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y02/Desktop/"/>
    </mc:Choice>
  </mc:AlternateContent>
  <xr:revisionPtr revIDLastSave="0" documentId="13_ncr:1_{A5EDD970-C666-0B48-AA42-3DE57E4D50BC}" xr6:coauthVersionLast="47" xr6:coauthVersionMax="47" xr10:uidLastSave="{00000000-0000-0000-0000-000000000000}"/>
  <bookViews>
    <workbookView xWindow="4300" yWindow="780" windowWidth="29900" windowHeight="21360" xr2:uid="{E498F8B3-C6D2-8845-95F2-EAB4CFBD5FA2}"/>
  </bookViews>
  <sheets>
    <sheet name="Total CO2e Emissions" sheetId="1" r:id="rId1"/>
    <sheet name="Total CO2e Emissions exc.LULUCF" sheetId="11" r:id="rId2"/>
    <sheet name="CO2e Emissions by Sector" sheetId="2" r:id="rId3"/>
    <sheet name="Electricity Generation" sheetId="39" r:id="rId4"/>
    <sheet name="Transportation Fuel Use" sheetId="26" r:id="rId5"/>
    <sheet name="Travel Demand" sheetId="15" r:id="rId6"/>
    <sheet name="CO2e Emissions by Vehicle Type" sheetId="24" r:id="rId7"/>
    <sheet name="GDP" sheetId="3" r:id="rId8"/>
    <sheet name="Jobs" sheetId="4" r:id="rId9"/>
    <sheet name="Debt" sheetId="9" r:id="rId10"/>
    <sheet name="Government Cash Flow" sheetId="27" r:id="rId11"/>
    <sheet name="Avoided Mortality" sheetId="17" r:id="rId12"/>
    <sheet name="Change in OM and CE" sheetId="30" r:id="rId13"/>
    <sheet name="Economic Bebefits from Climate " sheetId="4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44" l="1"/>
  <c r="S5" i="44"/>
  <c r="S6" i="44"/>
  <c r="S7" i="44"/>
  <c r="S8" i="44"/>
  <c r="S9" i="44"/>
  <c r="S10" i="44"/>
  <c r="S11" i="44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" i="44"/>
  <c r="R4" i="44"/>
  <c r="R5" i="44"/>
  <c r="R6" i="44"/>
  <c r="R7" i="44"/>
  <c r="R8" i="44"/>
  <c r="R9" i="44"/>
  <c r="R10" i="44"/>
  <c r="R11" i="44"/>
  <c r="R12" i="44"/>
  <c r="R13" i="44"/>
  <c r="R14" i="44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3" i="44"/>
  <c r="C4" i="17" l="1"/>
  <c r="C5" i="17"/>
  <c r="C6" i="17"/>
  <c r="C7" i="17"/>
  <c r="C8" i="17"/>
  <c r="C3" i="17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2" i="1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Y3" i="2"/>
  <c r="V3" i="2"/>
  <c r="S3" i="2"/>
  <c r="P3" i="2"/>
  <c r="M3" i="2"/>
  <c r="J3" i="2"/>
  <c r="G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" i="2"/>
</calcChain>
</file>

<file path=xl/sharedStrings.xml><?xml version="1.0" encoding="utf-8"?>
<sst xmlns="http://schemas.openxmlformats.org/spreadsheetml/2006/main" count="162" uniqueCount="104">
  <si>
    <t>Time (Year)</t>
  </si>
  <si>
    <t>BAU</t>
  </si>
  <si>
    <t>CAS</t>
  </si>
  <si>
    <t>Reduction</t>
  </si>
  <si>
    <t>Transportation: BAU</t>
  </si>
  <si>
    <t>Transportation: CAS</t>
  </si>
  <si>
    <t>Electricity: BAU</t>
  </si>
  <si>
    <t>Electricity: CAS</t>
  </si>
  <si>
    <t>Commercial Buildings : BAU</t>
  </si>
  <si>
    <t>Residential Buildings: BAU</t>
  </si>
  <si>
    <t>Residential Buildings: CAS</t>
  </si>
  <si>
    <t>Commercial Buildings : CAS</t>
  </si>
  <si>
    <t>Industry: BAU</t>
  </si>
  <si>
    <t>Industry: CAS</t>
  </si>
  <si>
    <t>District Heat and Hydrogen: BAU</t>
  </si>
  <si>
    <t>District Heat and Hydrogen: CAS</t>
  </si>
  <si>
    <t>LULUCF: BAU</t>
  </si>
  <si>
    <t>LULUCF: CAS</t>
  </si>
  <si>
    <t>Geoengineering: BAU</t>
  </si>
  <si>
    <t>Geoengineering: CAS</t>
  </si>
  <si>
    <t>Agriculture: BAU</t>
  </si>
  <si>
    <t>Agriculture: CAS</t>
  </si>
  <si>
    <t>Water and Waste: BAU</t>
  </si>
  <si>
    <t>Water and Waste: CAS</t>
  </si>
  <si>
    <t>LDV-Passenger: BAU</t>
  </si>
  <si>
    <t>LDV-Passenger: CAS</t>
  </si>
  <si>
    <t>HDV-Passenger: CAS</t>
  </si>
  <si>
    <t>HDV-Passenger: BAU</t>
  </si>
  <si>
    <t>HDV-Freight: BAU</t>
  </si>
  <si>
    <t>HDV-Freight: CAS</t>
  </si>
  <si>
    <t>LDV-Freight: CAS</t>
  </si>
  <si>
    <t>LDV-Freight-BAU</t>
  </si>
  <si>
    <t>Output Cumulative Change in National Debt : BAU</t>
  </si>
  <si>
    <t>Output Cumulative Change in National Debt : CAS</t>
  </si>
  <si>
    <t>Passenger:BAU</t>
  </si>
  <si>
    <t>Passenger:CAS</t>
  </si>
  <si>
    <t>Freight:BAU</t>
  </si>
  <si>
    <t>Freight:CAS</t>
  </si>
  <si>
    <t>Monetized Benefit from Avoided Premature Mortality : BAU</t>
  </si>
  <si>
    <t>Monetized Benefit from Avoided Premature Mortality : CAS</t>
  </si>
  <si>
    <t>Total Change in OM Expenditures : BAU</t>
  </si>
  <si>
    <t>Total Change in OM Expenditures : CAS</t>
  </si>
  <si>
    <t>Total Change in Capital Expenditures : BAU</t>
  </si>
  <si>
    <t>Total Change in Capital Expenditures : CAS</t>
  </si>
  <si>
    <t>Coal</t>
  </si>
  <si>
    <t>Hydro</t>
  </si>
  <si>
    <t>Energy Sources</t>
  </si>
  <si>
    <t>Natural Gas</t>
  </si>
  <si>
    <t>Wind</t>
  </si>
  <si>
    <t>Solar</t>
  </si>
  <si>
    <t>Oil</t>
  </si>
  <si>
    <t>Other (Bio, Nuclear, Goe, and MW)</t>
  </si>
  <si>
    <t>Economic Benefit from Avoided Climate Damages : BAU</t>
  </si>
  <si>
    <t>Electricity Generation (GWh)</t>
  </si>
  <si>
    <t>GHG Emissions (CO2e)</t>
  </si>
  <si>
    <t>Electricity : BAU</t>
  </si>
  <si>
    <t>Natural gas: BAU</t>
  </si>
  <si>
    <t>Petroleum gasoline : BAU</t>
  </si>
  <si>
    <t>Petroleum diesel : BAU</t>
  </si>
  <si>
    <t>Biofuel gasoline: BAU</t>
  </si>
  <si>
    <t>Biofuel diesel : BAU</t>
  </si>
  <si>
    <t>Jet fuel : BAU</t>
  </si>
  <si>
    <t>Heavy or residual fuel oil : BAU</t>
  </si>
  <si>
    <t>LPG propane or butane : BAU</t>
  </si>
  <si>
    <t>Hydrogen : BAU</t>
  </si>
  <si>
    <t>Electricity : CAS</t>
  </si>
  <si>
    <t>Natural gas: CAS</t>
  </si>
  <si>
    <t>Petroleum gasoline : CAS</t>
  </si>
  <si>
    <t>Petroleum diesel : CAS</t>
  </si>
  <si>
    <t>Biofuel gasoline: CAS</t>
  </si>
  <si>
    <t>Biofuel diesel : CAS</t>
  </si>
  <si>
    <t>Jet fuel : CAS</t>
  </si>
  <si>
    <t>Heavy or residual fuel oil : CAS</t>
  </si>
  <si>
    <t>LPG propane or butane : CAS</t>
  </si>
  <si>
    <t>Hydrogen : CAS</t>
  </si>
  <si>
    <t>Transportation Fuel Use (BTU)</t>
  </si>
  <si>
    <t>GHG Emissions by Fuel Type (CO2e)</t>
  </si>
  <si>
    <t>Travel Demand (Trillion Freight Ton-km per year)</t>
  </si>
  <si>
    <t>Change in Job (number of jobs)</t>
  </si>
  <si>
    <t>Absolute change in GDP (Billion US Dollars)</t>
  </si>
  <si>
    <t>Percentage Change in GDP (%)</t>
  </si>
  <si>
    <t>Travel Demand (Trillion Passenger-km per year)</t>
  </si>
  <si>
    <t>Change in Government Cash Flow (Billion US Dollars)</t>
  </si>
  <si>
    <t>carbon tax revenue : CAS</t>
  </si>
  <si>
    <t>fuel tax revenue : CAS</t>
  </si>
  <si>
    <t>EV subsidy: CAS</t>
  </si>
  <si>
    <t>elec gen subsidy : CAS</t>
  </si>
  <si>
    <t>elec cap construction subsidy : CAS</t>
  </si>
  <si>
    <t>distributed solar subsidy: CAS</t>
  </si>
  <si>
    <t>fuel subsidy : CAS</t>
  </si>
  <si>
    <t>national debt interest : CAS</t>
  </si>
  <si>
    <t>Remainder : CAS</t>
  </si>
  <si>
    <t>Avoided Premature Mortality : BAU</t>
  </si>
  <si>
    <t>Avoided Premature Mortality : CAS</t>
  </si>
  <si>
    <t>Avoided mortality (incidents)</t>
  </si>
  <si>
    <t>Unit in Billion US Dollars</t>
  </si>
  <si>
    <t>Economic Benefit from Avoided Climate Damages : CAS</t>
  </si>
  <si>
    <t>Household Savings: BAU</t>
  </si>
  <si>
    <t>Household Savings: CAS</t>
  </si>
  <si>
    <t>Unit in Billion US Dollar</t>
  </si>
  <si>
    <t>Social Benefits from Emissions Reduction: BAU</t>
  </si>
  <si>
    <t>Social Benefits from Emissions Reduction : CAS</t>
  </si>
  <si>
    <t>Total Savings: BAU</t>
  </si>
  <si>
    <t>Total Savings: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</si>
</sst>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/>
    <xf numFmtId="0" fontId="1" fillId="3" borderId="0" xfId="0" applyFont="1" applyFill="1"/>
    <xf numFmtId="10" fontId="0" fillId="3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  <xf numFmtId="11" fontId="0" fillId="0" borderId="0" xfId="0" applyNumberFormat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/>
    </xf>
    <xf numFmtId="10" fontId="0" fillId="3" borderId="0" xfId="0" applyNumberFormat="1" applyFill="1" applyAlignment="1">
      <alignment horizontal="left" vertical="center"/>
    </xf>
    <xf numFmtId="10" fontId="0" fillId="3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/>
    </xf>
    <xf numFmtId="10" fontId="0" fillId="2" borderId="0" xfId="0" applyNumberFormat="1" applyFill="1" applyAlignment="1">
      <alignment horizontal="left" vertical="center"/>
    </xf>
    <xf numFmtId="10" fontId="0" fillId="2" borderId="0" xfId="0" applyNumberForma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6638-29F8-5E47-846D-608DAB7DC1DC}">
  <dimension ref="A1:D33"/>
  <sheetViews>
    <sheetView tabSelected="1" workbookViewId="0">
      <selection activeCell="H18" sqref="H18"/>
    </sheetView>
  </sheetViews>
  <sheetFormatPr baseColWidth="10" defaultRowHeight="16" x14ac:dyDescent="0.2"/>
  <sheetData>
    <row r="1" spans="1:4" x14ac:dyDescent="0.2">
      <c r="A1" s="6" t="s">
        <v>54</v>
      </c>
    </row>
    <row r="2" spans="1:4" s="6" customFormat="1" x14ac:dyDescent="0.2">
      <c r="A2" s="6" t="s">
        <v>0</v>
      </c>
      <c r="B2" s="6" t="s">
        <v>1</v>
      </c>
      <c r="C2" s="6" t="s">
        <v>2</v>
      </c>
      <c r="D2" s="7" t="s">
        <v>3</v>
      </c>
    </row>
    <row r="3" spans="1:4" x14ac:dyDescent="0.2">
      <c r="A3" s="1">
        <v>2020</v>
      </c>
      <c r="B3" s="14">
        <v>551.29200000000003</v>
      </c>
      <c r="C3" s="1">
        <v>551.29200000000003</v>
      </c>
      <c r="D3" s="8">
        <f>(B3-C3)/B3</f>
        <v>0</v>
      </c>
    </row>
    <row r="4" spans="1:4" x14ac:dyDescent="0.2">
      <c r="A4" s="1">
        <v>2021</v>
      </c>
      <c r="B4" s="14">
        <v>571.18600000000004</v>
      </c>
      <c r="C4" s="1">
        <v>571.18600000000004</v>
      </c>
      <c r="D4" s="8">
        <f t="shared" ref="D4:D33" si="0">(B4-C4)/B4</f>
        <v>0</v>
      </c>
    </row>
    <row r="5" spans="1:4" x14ac:dyDescent="0.2">
      <c r="A5" s="1">
        <v>2022</v>
      </c>
      <c r="B5" s="14">
        <v>587.30200000000002</v>
      </c>
      <c r="C5" s="1">
        <v>587.30200000000002</v>
      </c>
      <c r="D5" s="8">
        <f t="shared" si="0"/>
        <v>0</v>
      </c>
    </row>
    <row r="6" spans="1:4" x14ac:dyDescent="0.2">
      <c r="A6" s="1">
        <v>2023</v>
      </c>
      <c r="B6" s="14">
        <v>594.024</v>
      </c>
      <c r="C6" s="1">
        <v>594.024</v>
      </c>
      <c r="D6" s="8">
        <f t="shared" si="0"/>
        <v>0</v>
      </c>
    </row>
    <row r="7" spans="1:4" x14ac:dyDescent="0.2">
      <c r="A7" s="1">
        <v>2024</v>
      </c>
      <c r="B7" s="14">
        <v>602.923</v>
      </c>
      <c r="C7" s="1">
        <v>602.923</v>
      </c>
      <c r="D7" s="8">
        <f t="shared" si="0"/>
        <v>0</v>
      </c>
    </row>
    <row r="8" spans="1:4" x14ac:dyDescent="0.2">
      <c r="A8" s="1">
        <v>2025</v>
      </c>
      <c r="B8" s="14">
        <v>614.923</v>
      </c>
      <c r="C8" s="1">
        <v>614.923</v>
      </c>
      <c r="D8" s="8">
        <f t="shared" si="0"/>
        <v>0</v>
      </c>
    </row>
    <row r="9" spans="1:4" x14ac:dyDescent="0.2">
      <c r="A9" s="1">
        <v>2026</v>
      </c>
      <c r="B9" s="14">
        <v>621.61699999999996</v>
      </c>
      <c r="C9" s="1">
        <v>610.11500000000001</v>
      </c>
      <c r="D9" s="8">
        <f t="shared" si="0"/>
        <v>1.850335495972593E-2</v>
      </c>
    </row>
    <row r="10" spans="1:4" x14ac:dyDescent="0.2">
      <c r="A10" s="1">
        <v>2027</v>
      </c>
      <c r="B10" s="14">
        <v>628.68700000000001</v>
      </c>
      <c r="C10" s="1">
        <v>600.57500000000005</v>
      </c>
      <c r="D10" s="8">
        <f t="shared" si="0"/>
        <v>4.4715414824865102E-2</v>
      </c>
    </row>
    <row r="11" spans="1:4" x14ac:dyDescent="0.2">
      <c r="A11" s="1">
        <v>2028</v>
      </c>
      <c r="B11" s="14">
        <v>636.63</v>
      </c>
      <c r="C11" s="1">
        <v>569.32899999999995</v>
      </c>
      <c r="D11" s="8">
        <f t="shared" si="0"/>
        <v>0.10571446523098196</v>
      </c>
    </row>
    <row r="12" spans="1:4" x14ac:dyDescent="0.2">
      <c r="A12" s="1">
        <v>2029</v>
      </c>
      <c r="B12" s="14">
        <v>645.41899999999998</v>
      </c>
      <c r="C12" s="1">
        <v>553.22</v>
      </c>
      <c r="D12" s="8">
        <f t="shared" si="0"/>
        <v>0.14285138801305811</v>
      </c>
    </row>
    <row r="13" spans="1:4" x14ac:dyDescent="0.2">
      <c r="A13" s="3">
        <v>2030</v>
      </c>
      <c r="B13" s="14">
        <v>656.36699999999996</v>
      </c>
      <c r="C13" s="1">
        <v>543.00099999999998</v>
      </c>
      <c r="D13" s="9">
        <f t="shared" si="0"/>
        <v>0.17271739743161979</v>
      </c>
    </row>
    <row r="14" spans="1:4" x14ac:dyDescent="0.2">
      <c r="A14" s="1">
        <v>2031</v>
      </c>
      <c r="B14" s="14">
        <v>665.01400000000001</v>
      </c>
      <c r="C14" s="1">
        <v>535.76</v>
      </c>
      <c r="D14" s="8">
        <f t="shared" si="0"/>
        <v>0.19436282544427638</v>
      </c>
    </row>
    <row r="15" spans="1:4" x14ac:dyDescent="0.2">
      <c r="A15" s="1">
        <v>2032</v>
      </c>
      <c r="B15" s="14">
        <v>673.18399999999997</v>
      </c>
      <c r="C15" s="1">
        <v>530.88</v>
      </c>
      <c r="D15" s="8">
        <f t="shared" si="0"/>
        <v>0.21138945667157863</v>
      </c>
    </row>
    <row r="16" spans="1:4" x14ac:dyDescent="0.2">
      <c r="A16" s="1">
        <v>2033</v>
      </c>
      <c r="B16" s="14">
        <v>682.87</v>
      </c>
      <c r="C16" s="1">
        <v>513.48900000000003</v>
      </c>
      <c r="D16" s="8">
        <f t="shared" si="0"/>
        <v>0.24804281927746127</v>
      </c>
    </row>
    <row r="17" spans="1:4" x14ac:dyDescent="0.2">
      <c r="A17" s="1">
        <v>2034</v>
      </c>
      <c r="B17" s="14">
        <v>691.31700000000001</v>
      </c>
      <c r="C17" s="1">
        <v>507.35</v>
      </c>
      <c r="D17" s="8">
        <f t="shared" si="0"/>
        <v>0.26611091583166618</v>
      </c>
    </row>
    <row r="18" spans="1:4" x14ac:dyDescent="0.2">
      <c r="A18" s="1">
        <v>2035</v>
      </c>
      <c r="B18" s="14">
        <v>700.11199999999997</v>
      </c>
      <c r="C18" s="1">
        <v>500.18700000000001</v>
      </c>
      <c r="D18" s="8">
        <f t="shared" si="0"/>
        <v>0.28556145302465885</v>
      </c>
    </row>
    <row r="19" spans="1:4" x14ac:dyDescent="0.2">
      <c r="A19" s="1">
        <v>2036</v>
      </c>
      <c r="B19" s="14">
        <v>708.31200000000001</v>
      </c>
      <c r="C19" s="1">
        <v>489.22699999999998</v>
      </c>
      <c r="D19" s="8">
        <f t="shared" si="0"/>
        <v>0.3093057861507359</v>
      </c>
    </row>
    <row r="20" spans="1:4" x14ac:dyDescent="0.2">
      <c r="A20" s="1">
        <v>2037</v>
      </c>
      <c r="B20" s="14">
        <v>717.83699999999999</v>
      </c>
      <c r="C20" s="1">
        <v>476.99900000000002</v>
      </c>
      <c r="D20" s="8">
        <f t="shared" si="0"/>
        <v>0.33550513556698802</v>
      </c>
    </row>
    <row r="21" spans="1:4" x14ac:dyDescent="0.2">
      <c r="A21" s="1">
        <v>2038</v>
      </c>
      <c r="B21" s="14">
        <v>727.02300000000002</v>
      </c>
      <c r="C21" s="1">
        <v>460.87099999999998</v>
      </c>
      <c r="D21" s="8">
        <f t="shared" si="0"/>
        <v>0.36608470433535117</v>
      </c>
    </row>
    <row r="22" spans="1:4" x14ac:dyDescent="0.2">
      <c r="A22" s="1">
        <v>2039</v>
      </c>
      <c r="B22" s="14">
        <v>736.19600000000003</v>
      </c>
      <c r="C22" s="1">
        <v>445.53800000000001</v>
      </c>
      <c r="D22" s="8">
        <f t="shared" si="0"/>
        <v>0.39481062108460246</v>
      </c>
    </row>
    <row r="23" spans="1:4" x14ac:dyDescent="0.2">
      <c r="A23" s="1">
        <v>2040</v>
      </c>
      <c r="B23" s="14">
        <v>746.65200000000004</v>
      </c>
      <c r="C23" s="1">
        <v>428.86399999999998</v>
      </c>
      <c r="D23" s="8">
        <f t="shared" si="0"/>
        <v>0.42561728891103223</v>
      </c>
    </row>
    <row r="24" spans="1:4" x14ac:dyDescent="0.2">
      <c r="A24" s="1">
        <v>2041</v>
      </c>
      <c r="B24" s="14">
        <v>758.25300000000004</v>
      </c>
      <c r="C24" s="1">
        <v>408.71899999999999</v>
      </c>
      <c r="D24" s="8">
        <f t="shared" si="0"/>
        <v>0.46097278876575498</v>
      </c>
    </row>
    <row r="25" spans="1:4" x14ac:dyDescent="0.2">
      <c r="A25" s="1">
        <v>2042</v>
      </c>
      <c r="B25" s="14">
        <v>769.67499999999995</v>
      </c>
      <c r="C25" s="1">
        <v>388.07499999999999</v>
      </c>
      <c r="D25" s="8">
        <f t="shared" si="0"/>
        <v>0.49579367915029071</v>
      </c>
    </row>
    <row r="26" spans="1:4" x14ac:dyDescent="0.2">
      <c r="A26" s="1">
        <v>2043</v>
      </c>
      <c r="B26" s="14">
        <v>780.06600000000003</v>
      </c>
      <c r="C26" s="1">
        <v>366.45800000000003</v>
      </c>
      <c r="D26" s="8">
        <f t="shared" si="0"/>
        <v>0.53022180174498057</v>
      </c>
    </row>
    <row r="27" spans="1:4" x14ac:dyDescent="0.2">
      <c r="A27" s="1">
        <v>2044</v>
      </c>
      <c r="B27" s="14">
        <v>792.93</v>
      </c>
      <c r="C27" s="1">
        <v>343.50200000000001</v>
      </c>
      <c r="D27" s="8">
        <f t="shared" si="0"/>
        <v>0.56679404234926156</v>
      </c>
    </row>
    <row r="28" spans="1:4" x14ac:dyDescent="0.2">
      <c r="A28" s="1">
        <v>2045</v>
      </c>
      <c r="B28" s="14">
        <v>804.98299999999995</v>
      </c>
      <c r="C28" s="1">
        <v>320.61</v>
      </c>
      <c r="D28" s="8">
        <f t="shared" si="0"/>
        <v>0.60171829715658587</v>
      </c>
    </row>
    <row r="29" spans="1:4" x14ac:dyDescent="0.2">
      <c r="A29" s="1">
        <v>2046</v>
      </c>
      <c r="B29" s="14">
        <v>817.84900000000005</v>
      </c>
      <c r="C29" s="1">
        <v>296.64299999999997</v>
      </c>
      <c r="D29" s="8">
        <f t="shared" si="0"/>
        <v>0.63728879047354725</v>
      </c>
    </row>
    <row r="30" spans="1:4" x14ac:dyDescent="0.2">
      <c r="A30" s="1">
        <v>2047</v>
      </c>
      <c r="B30" s="14">
        <v>830.22900000000004</v>
      </c>
      <c r="C30" s="1">
        <v>274.28300000000002</v>
      </c>
      <c r="D30" s="8">
        <f t="shared" si="0"/>
        <v>0.66962970457548454</v>
      </c>
    </row>
    <row r="31" spans="1:4" x14ac:dyDescent="0.2">
      <c r="A31" s="1">
        <v>2048</v>
      </c>
      <c r="B31" s="14">
        <v>843.61099999999999</v>
      </c>
      <c r="C31" s="1">
        <v>252.86600000000001</v>
      </c>
      <c r="D31" s="8">
        <f t="shared" si="0"/>
        <v>0.70025758317518383</v>
      </c>
    </row>
    <row r="32" spans="1:4" x14ac:dyDescent="0.2">
      <c r="A32" s="1">
        <v>2049</v>
      </c>
      <c r="B32" s="14">
        <v>857.54100000000005</v>
      </c>
      <c r="C32" s="1">
        <v>231.63300000000001</v>
      </c>
      <c r="D32" s="8">
        <f t="shared" si="0"/>
        <v>0.72988696750359461</v>
      </c>
    </row>
    <row r="33" spans="1:4" x14ac:dyDescent="0.2">
      <c r="A33" s="3">
        <v>2050</v>
      </c>
      <c r="B33" s="14">
        <v>873.48699999999997</v>
      </c>
      <c r="C33" s="1">
        <v>199.88499999999999</v>
      </c>
      <c r="D33" s="9">
        <f t="shared" si="0"/>
        <v>0.77116431040187206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C470-CBE8-4C41-935B-CC55C287BD93}">
  <dimension ref="A1:D32"/>
  <sheetViews>
    <sheetView workbookViewId="0">
      <selection activeCell="I46" sqref="I46"/>
    </sheetView>
  </sheetViews>
  <sheetFormatPr baseColWidth="10" defaultRowHeight="16" x14ac:dyDescent="0.2"/>
  <sheetData>
    <row r="1" spans="1:4" x14ac:dyDescent="0.2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2">
      <c r="A2" s="1">
        <v>2020</v>
      </c>
      <c r="B2" s="1">
        <v>533.67600000000004</v>
      </c>
      <c r="C2" s="1">
        <v>533.67600000000004</v>
      </c>
      <c r="D2" s="8">
        <f>(B2-C2)/B2</f>
        <v>0</v>
      </c>
    </row>
    <row r="3" spans="1:4" x14ac:dyDescent="0.2">
      <c r="A3" s="1">
        <v>2021</v>
      </c>
      <c r="B3" s="1">
        <v>553.66700000000003</v>
      </c>
      <c r="C3" s="1">
        <v>553.66700000000003</v>
      </c>
      <c r="D3" s="8">
        <f t="shared" ref="D3:D32" si="0">(B3-C3)/B3</f>
        <v>0</v>
      </c>
    </row>
    <row r="4" spans="1:4" x14ac:dyDescent="0.2">
      <c r="A4" s="1">
        <v>2022</v>
      </c>
      <c r="B4" s="1">
        <v>569.98</v>
      </c>
      <c r="C4" s="1">
        <v>569.98</v>
      </c>
      <c r="D4" s="8">
        <f t="shared" si="0"/>
        <v>0</v>
      </c>
    </row>
    <row r="5" spans="1:4" x14ac:dyDescent="0.2">
      <c r="A5" s="1">
        <v>2023</v>
      </c>
      <c r="B5" s="1">
        <v>576.79899999999998</v>
      </c>
      <c r="C5" s="1">
        <v>576.79899999999998</v>
      </c>
      <c r="D5" s="8">
        <f t="shared" si="0"/>
        <v>0</v>
      </c>
    </row>
    <row r="6" spans="1:4" x14ac:dyDescent="0.2">
      <c r="A6" s="1">
        <v>2024</v>
      </c>
      <c r="B6" s="1">
        <v>585.89400000000001</v>
      </c>
      <c r="C6" s="1">
        <v>585.89400000000001</v>
      </c>
      <c r="D6" s="8">
        <f t="shared" si="0"/>
        <v>0</v>
      </c>
    </row>
    <row r="7" spans="1:4" x14ac:dyDescent="0.2">
      <c r="A7" s="1">
        <v>2025</v>
      </c>
      <c r="B7" s="1">
        <v>598.09100000000001</v>
      </c>
      <c r="C7" s="1">
        <v>598.09100000000001</v>
      </c>
      <c r="D7" s="8">
        <f t="shared" si="0"/>
        <v>0</v>
      </c>
    </row>
    <row r="8" spans="1:4" x14ac:dyDescent="0.2">
      <c r="A8" s="1">
        <v>2026</v>
      </c>
      <c r="B8" s="1">
        <v>604.88199999999995</v>
      </c>
      <c r="C8" s="1">
        <v>593.83299999999997</v>
      </c>
      <c r="D8" s="8">
        <f t="shared" si="0"/>
        <v>1.8266372614824014E-2</v>
      </c>
    </row>
    <row r="9" spans="1:4" x14ac:dyDescent="0.2">
      <c r="A9" s="1">
        <v>2027</v>
      </c>
      <c r="B9" s="1">
        <v>612.14800000000002</v>
      </c>
      <c r="C9" s="1">
        <v>585.23299999999995</v>
      </c>
      <c r="D9" s="8">
        <f t="shared" si="0"/>
        <v>4.3968125355306358E-2</v>
      </c>
    </row>
    <row r="10" spans="1:4" x14ac:dyDescent="0.2">
      <c r="A10" s="1">
        <v>2028</v>
      </c>
      <c r="B10" s="1">
        <v>620.18799999999999</v>
      </c>
      <c r="C10" s="1">
        <v>555.11500000000001</v>
      </c>
      <c r="D10" s="8">
        <f t="shared" si="0"/>
        <v>0.10492463575560956</v>
      </c>
    </row>
    <row r="11" spans="1:4" x14ac:dyDescent="0.2">
      <c r="A11" s="1">
        <v>2029</v>
      </c>
      <c r="B11" s="1">
        <v>629.173</v>
      </c>
      <c r="C11" s="1">
        <v>540.52300000000002</v>
      </c>
      <c r="D11" s="8">
        <f t="shared" si="0"/>
        <v>0.14089924392814054</v>
      </c>
    </row>
    <row r="12" spans="1:4" x14ac:dyDescent="0.2">
      <c r="A12" s="3">
        <v>2030</v>
      </c>
      <c r="B12" s="1">
        <v>640.21799999999996</v>
      </c>
      <c r="C12" s="1">
        <v>532.22400000000005</v>
      </c>
      <c r="D12" s="9">
        <f t="shared" si="0"/>
        <v>0.16868316729613964</v>
      </c>
    </row>
    <row r="13" spans="1:4" x14ac:dyDescent="0.2">
      <c r="A13" s="1">
        <v>2031</v>
      </c>
      <c r="B13" s="1">
        <v>649.06100000000004</v>
      </c>
      <c r="C13" s="1">
        <v>526.86099999999999</v>
      </c>
      <c r="D13" s="8">
        <f t="shared" si="0"/>
        <v>0.18827198059966635</v>
      </c>
    </row>
    <row r="14" spans="1:4" x14ac:dyDescent="0.2">
      <c r="A14" s="1">
        <v>2032</v>
      </c>
      <c r="B14" s="1">
        <v>657.32899999999995</v>
      </c>
      <c r="C14" s="1">
        <v>524.26400000000001</v>
      </c>
      <c r="D14" s="8">
        <f t="shared" si="0"/>
        <v>0.20243287607879759</v>
      </c>
    </row>
    <row r="15" spans="1:4" x14ac:dyDescent="0.2">
      <c r="A15" s="1">
        <v>2033</v>
      </c>
      <c r="B15" s="1">
        <v>667.21100000000001</v>
      </c>
      <c r="C15" s="1">
        <v>509.54399999999998</v>
      </c>
      <c r="D15" s="8">
        <f t="shared" si="0"/>
        <v>0.23630755488143934</v>
      </c>
    </row>
    <row r="16" spans="1:4" x14ac:dyDescent="0.2">
      <c r="A16" s="1">
        <v>2034</v>
      </c>
      <c r="B16" s="1">
        <v>675.85500000000002</v>
      </c>
      <c r="C16" s="1">
        <v>506.36399999999998</v>
      </c>
      <c r="D16" s="8">
        <f t="shared" si="0"/>
        <v>0.25078012295536772</v>
      </c>
    </row>
    <row r="17" spans="1:4" x14ac:dyDescent="0.2">
      <c r="A17" s="1">
        <v>2035</v>
      </c>
      <c r="B17" s="1">
        <v>684.74699999999996</v>
      </c>
      <c r="C17" s="1">
        <v>502.34899999999999</v>
      </c>
      <c r="D17" s="8">
        <f t="shared" si="0"/>
        <v>0.26637283551443086</v>
      </c>
    </row>
    <row r="18" spans="1:4" x14ac:dyDescent="0.2">
      <c r="A18" s="1">
        <v>2036</v>
      </c>
      <c r="B18" s="1">
        <v>693.14300000000003</v>
      </c>
      <c r="C18" s="1">
        <v>494.92500000000001</v>
      </c>
      <c r="D18" s="8">
        <f t="shared" si="0"/>
        <v>0.28596985037719491</v>
      </c>
    </row>
    <row r="19" spans="1:4" x14ac:dyDescent="0.2">
      <c r="A19" s="1">
        <v>2037</v>
      </c>
      <c r="B19" s="1">
        <v>702.76499999999999</v>
      </c>
      <c r="C19" s="1">
        <v>486.42200000000003</v>
      </c>
      <c r="D19" s="8">
        <f t="shared" si="0"/>
        <v>0.30784543908703471</v>
      </c>
    </row>
    <row r="20" spans="1:4" x14ac:dyDescent="0.2">
      <c r="A20" s="1">
        <v>2038</v>
      </c>
      <c r="B20" s="1">
        <v>712.14700000000005</v>
      </c>
      <c r="C20" s="1">
        <v>474.40800000000002</v>
      </c>
      <c r="D20" s="8">
        <f t="shared" si="0"/>
        <v>0.33383416626061757</v>
      </c>
    </row>
    <row r="21" spans="1:4" x14ac:dyDescent="0.2">
      <c r="A21" s="1">
        <v>2039</v>
      </c>
      <c r="B21" s="1">
        <v>721.41800000000001</v>
      </c>
      <c r="C21" s="1">
        <v>463.37700000000001</v>
      </c>
      <c r="D21" s="8">
        <f t="shared" si="0"/>
        <v>0.35768583539639986</v>
      </c>
    </row>
    <row r="22" spans="1:4" x14ac:dyDescent="0.2">
      <c r="A22" s="1">
        <v>2040</v>
      </c>
      <c r="B22" s="1">
        <v>732.06899999999996</v>
      </c>
      <c r="C22" s="1">
        <v>451.39299999999997</v>
      </c>
      <c r="D22" s="8">
        <f t="shared" si="0"/>
        <v>0.38340101821003214</v>
      </c>
    </row>
    <row r="23" spans="1:4" x14ac:dyDescent="0.2">
      <c r="A23" s="1">
        <v>2041</v>
      </c>
      <c r="B23" s="1">
        <v>743.76800000000003</v>
      </c>
      <c r="C23" s="1">
        <v>436.12799999999999</v>
      </c>
      <c r="D23" s="8">
        <f t="shared" si="0"/>
        <v>0.41362360305901846</v>
      </c>
    </row>
    <row r="24" spans="1:4" x14ac:dyDescent="0.2">
      <c r="A24" s="1">
        <v>2042</v>
      </c>
      <c r="B24" s="1">
        <v>755.38599999999997</v>
      </c>
      <c r="C24" s="1">
        <v>420.75099999999998</v>
      </c>
      <c r="D24" s="8">
        <f t="shared" si="0"/>
        <v>0.44299867882115901</v>
      </c>
    </row>
    <row r="25" spans="1:4" x14ac:dyDescent="0.2">
      <c r="A25" s="1">
        <v>2043</v>
      </c>
      <c r="B25" s="1">
        <v>765.87400000000002</v>
      </c>
      <c r="C25" s="1">
        <v>404.59</v>
      </c>
      <c r="D25" s="8">
        <f t="shared" si="0"/>
        <v>0.47172772544831137</v>
      </c>
    </row>
    <row r="26" spans="1:4" x14ac:dyDescent="0.2">
      <c r="A26" s="1">
        <v>2044</v>
      </c>
      <c r="B26" s="1">
        <v>778.93499999999995</v>
      </c>
      <c r="C26" s="1">
        <v>387.47899999999998</v>
      </c>
      <c r="D26" s="8">
        <f t="shared" si="0"/>
        <v>0.50255284458908633</v>
      </c>
    </row>
    <row r="27" spans="1:4" x14ac:dyDescent="0.2">
      <c r="A27" s="1">
        <v>2045</v>
      </c>
      <c r="B27" s="1">
        <v>791.18399999999997</v>
      </c>
      <c r="C27" s="1">
        <v>370.72</v>
      </c>
      <c r="D27" s="8">
        <f t="shared" si="0"/>
        <v>0.53143642945256719</v>
      </c>
    </row>
    <row r="28" spans="1:4" x14ac:dyDescent="0.2">
      <c r="A28" s="1">
        <v>2046</v>
      </c>
      <c r="B28" s="1">
        <v>804.14700000000005</v>
      </c>
      <c r="C28" s="1">
        <v>353.07600000000002</v>
      </c>
      <c r="D28" s="8">
        <f t="shared" si="0"/>
        <v>0.56093102380534898</v>
      </c>
    </row>
    <row r="29" spans="1:4" x14ac:dyDescent="0.2">
      <c r="A29" s="1">
        <v>2047</v>
      </c>
      <c r="B29" s="1">
        <v>816.72400000000005</v>
      </c>
      <c r="C29" s="1">
        <v>337.42599999999999</v>
      </c>
      <c r="D29" s="8">
        <f t="shared" si="0"/>
        <v>0.58685431063615134</v>
      </c>
    </row>
    <row r="30" spans="1:4" x14ac:dyDescent="0.2">
      <c r="A30" s="1">
        <v>2048</v>
      </c>
      <c r="B30" s="1">
        <v>830.202</v>
      </c>
      <c r="C30" s="1">
        <v>322.90899999999999</v>
      </c>
      <c r="D30" s="8">
        <f t="shared" si="0"/>
        <v>0.61104767273506932</v>
      </c>
    </row>
    <row r="31" spans="1:4" x14ac:dyDescent="0.2">
      <c r="A31" s="1">
        <v>2049</v>
      </c>
      <c r="B31" s="1">
        <v>844.32899999999995</v>
      </c>
      <c r="C31" s="1">
        <v>308.96199999999999</v>
      </c>
      <c r="D31" s="8">
        <f t="shared" si="0"/>
        <v>0.63407392142162589</v>
      </c>
    </row>
    <row r="32" spans="1:4" x14ac:dyDescent="0.2">
      <c r="A32" s="3">
        <v>2050</v>
      </c>
      <c r="B32" s="1">
        <v>860.37199999999996</v>
      </c>
      <c r="C32" s="1">
        <v>284.09100000000001</v>
      </c>
      <c r="D32" s="9">
        <f t="shared" si="0"/>
        <v>0.66980445667687927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5ABB-49BC-C040-A15B-6A940299ACB4}">
  <dimension ref="A1:AC48"/>
  <sheetViews>
    <sheetView workbookViewId="0">
      <selection activeCell="B37" sqref="B37"/>
    </sheetView>
  </sheetViews>
  <sheetFormatPr baseColWidth="10" defaultRowHeight="16" x14ac:dyDescent="0.2"/>
  <cols>
    <col min="26" max="27" width="12.1640625" bestFit="1" customWidth="1"/>
  </cols>
  <sheetData>
    <row r="1" spans="1:29" s="6" customFormat="1" x14ac:dyDescent="0.2">
      <c r="A1" s="6" t="s">
        <v>54</v>
      </c>
    </row>
    <row r="2" spans="1:29" s="6" customFormat="1" x14ac:dyDescent="0.2">
      <c r="A2" s="15" t="s">
        <v>0</v>
      </c>
      <c r="B2" s="15" t="s">
        <v>4</v>
      </c>
      <c r="C2" s="15" t="s">
        <v>5</v>
      </c>
      <c r="D2" s="16" t="s">
        <v>3</v>
      </c>
      <c r="E2" s="15" t="s">
        <v>6</v>
      </c>
      <c r="F2" s="15" t="s">
        <v>7</v>
      </c>
      <c r="G2" s="16" t="s">
        <v>3</v>
      </c>
      <c r="H2" s="15" t="s">
        <v>9</v>
      </c>
      <c r="I2" s="15" t="s">
        <v>10</v>
      </c>
      <c r="J2" s="16" t="s">
        <v>3</v>
      </c>
      <c r="K2" s="15" t="s">
        <v>8</v>
      </c>
      <c r="L2" s="15" t="s">
        <v>11</v>
      </c>
      <c r="M2" s="16" t="s">
        <v>3</v>
      </c>
      <c r="N2" s="15" t="s">
        <v>12</v>
      </c>
      <c r="O2" s="15" t="s">
        <v>13</v>
      </c>
      <c r="P2" s="16" t="s">
        <v>3</v>
      </c>
      <c r="Q2" s="15" t="s">
        <v>16</v>
      </c>
      <c r="R2" s="15" t="s">
        <v>17</v>
      </c>
      <c r="S2" s="16" t="s">
        <v>3</v>
      </c>
      <c r="T2" s="15" t="s">
        <v>20</v>
      </c>
      <c r="U2" s="15" t="s">
        <v>21</v>
      </c>
      <c r="V2" s="16" t="s">
        <v>3</v>
      </c>
      <c r="W2" s="15" t="s">
        <v>22</v>
      </c>
      <c r="X2" s="15" t="s">
        <v>23</v>
      </c>
      <c r="Y2" s="16" t="s">
        <v>3</v>
      </c>
      <c r="Z2" s="15" t="s">
        <v>14</v>
      </c>
      <c r="AA2" s="15" t="s">
        <v>15</v>
      </c>
      <c r="AB2" s="15" t="s">
        <v>18</v>
      </c>
      <c r="AC2" s="15" t="s">
        <v>19</v>
      </c>
    </row>
    <row r="3" spans="1:29" x14ac:dyDescent="0.2">
      <c r="A3" s="14">
        <v>2020</v>
      </c>
      <c r="B3" s="14">
        <v>149.83799999999999</v>
      </c>
      <c r="C3" s="14">
        <v>149.83799999999999</v>
      </c>
      <c r="D3" s="17">
        <f>(B3-C3)/B3</f>
        <v>0</v>
      </c>
      <c r="E3" s="14">
        <v>109.61199999999999</v>
      </c>
      <c r="F3" s="14">
        <v>109.61199999999999</v>
      </c>
      <c r="G3" s="17">
        <f>(E3-F3)/E3</f>
        <v>0</v>
      </c>
      <c r="H3" s="14">
        <v>16.5474</v>
      </c>
      <c r="I3" s="14">
        <v>16.5474</v>
      </c>
      <c r="J3" s="17">
        <f>(H3-I3)/H3</f>
        <v>0</v>
      </c>
      <c r="K3" s="14">
        <v>4.1658600000000003</v>
      </c>
      <c r="L3" s="14">
        <v>4.1658600000000003</v>
      </c>
      <c r="M3" s="17">
        <f>(K3-L3)/K3</f>
        <v>0</v>
      </c>
      <c r="N3" s="14">
        <v>124.17</v>
      </c>
      <c r="O3" s="14">
        <v>124.17</v>
      </c>
      <c r="P3" s="17">
        <f>(N3-O3)/N3</f>
        <v>0</v>
      </c>
      <c r="Q3" s="14">
        <v>17.6158</v>
      </c>
      <c r="R3" s="14">
        <v>17.6158</v>
      </c>
      <c r="S3" s="17">
        <f>(Q3-R3)/Q3</f>
        <v>0</v>
      </c>
      <c r="T3" s="14">
        <v>79.9983</v>
      </c>
      <c r="U3" s="14">
        <v>79.9983</v>
      </c>
      <c r="V3" s="17">
        <f>(T3-U3)/T3</f>
        <v>0</v>
      </c>
      <c r="W3" s="14">
        <v>49.344499999999996</v>
      </c>
      <c r="X3" s="14">
        <v>49.344499999999996</v>
      </c>
      <c r="Y3" s="18">
        <f>(W3-X3)/W3</f>
        <v>0</v>
      </c>
      <c r="Z3" s="19">
        <v>0</v>
      </c>
      <c r="AA3" s="19">
        <v>0</v>
      </c>
      <c r="AB3" s="19">
        <v>0</v>
      </c>
      <c r="AC3" s="19">
        <v>0</v>
      </c>
    </row>
    <row r="4" spans="1:29" x14ac:dyDescent="0.2">
      <c r="A4" s="14">
        <v>2021</v>
      </c>
      <c r="B4" s="14">
        <v>153.60499999999999</v>
      </c>
      <c r="C4" s="14">
        <v>153.60499999999999</v>
      </c>
      <c r="D4" s="17">
        <f t="shared" ref="D4:D33" si="0">(B4-C4)/B4</f>
        <v>0</v>
      </c>
      <c r="E4" s="14">
        <v>118.194</v>
      </c>
      <c r="F4" s="14">
        <v>118.194</v>
      </c>
      <c r="G4" s="17">
        <f t="shared" ref="G4:G33" si="1">(E4-F4)/E4</f>
        <v>0</v>
      </c>
      <c r="H4" s="14">
        <v>16.546900000000001</v>
      </c>
      <c r="I4" s="14">
        <v>16.546900000000001</v>
      </c>
      <c r="J4" s="17">
        <f t="shared" ref="J4:J33" si="2">(H4-I4)/H4</f>
        <v>0</v>
      </c>
      <c r="K4" s="14">
        <v>4.18492</v>
      </c>
      <c r="L4" s="14">
        <v>4.18492</v>
      </c>
      <c r="M4" s="17">
        <f t="shared" ref="M4:M33" si="3">(K4-L4)/K4</f>
        <v>0</v>
      </c>
      <c r="N4" s="14">
        <v>130.483</v>
      </c>
      <c r="O4" s="14">
        <v>130.483</v>
      </c>
      <c r="P4" s="17">
        <f t="shared" ref="P4:P33" si="4">(N4-O4)/N4</f>
        <v>0</v>
      </c>
      <c r="Q4" s="14">
        <v>17.519300000000001</v>
      </c>
      <c r="R4" s="14">
        <v>17.519300000000001</v>
      </c>
      <c r="S4" s="17">
        <f t="shared" ref="S4:S33" si="5">(Q4-R4)/Q4</f>
        <v>0</v>
      </c>
      <c r="T4" s="14">
        <v>80.494</v>
      </c>
      <c r="U4" s="14">
        <v>80.494</v>
      </c>
      <c r="V4" s="17">
        <f t="shared" ref="V4:V33" si="6">(T4-U4)/T4</f>
        <v>0</v>
      </c>
      <c r="W4" s="14">
        <v>50.158700000000003</v>
      </c>
      <c r="X4" s="14">
        <v>50.158700000000003</v>
      </c>
      <c r="Y4" s="18">
        <f t="shared" ref="Y4:Y33" si="7">(W4-X4)/W4</f>
        <v>0</v>
      </c>
      <c r="Z4" s="19">
        <v>5.2299999999999999E-6</v>
      </c>
      <c r="AA4" s="19">
        <v>5.2299999999999999E-6</v>
      </c>
      <c r="AB4" s="19">
        <v>0</v>
      </c>
      <c r="AC4" s="19">
        <v>0</v>
      </c>
    </row>
    <row r="5" spans="1:29" x14ac:dyDescent="0.2">
      <c r="A5" s="14">
        <v>2022</v>
      </c>
      <c r="B5" s="14">
        <v>157.84399999999999</v>
      </c>
      <c r="C5" s="14">
        <v>157.84399999999999</v>
      </c>
      <c r="D5" s="17">
        <f t="shared" si="0"/>
        <v>0</v>
      </c>
      <c r="E5" s="14">
        <v>126.295</v>
      </c>
      <c r="F5" s="14">
        <v>126.295</v>
      </c>
      <c r="G5" s="17">
        <f t="shared" si="1"/>
        <v>0</v>
      </c>
      <c r="H5" s="14">
        <v>16.532800000000002</v>
      </c>
      <c r="I5" s="14">
        <v>16.532800000000002</v>
      </c>
      <c r="J5" s="17">
        <f t="shared" si="2"/>
        <v>0</v>
      </c>
      <c r="K5" s="14">
        <v>4.1991399999999999</v>
      </c>
      <c r="L5" s="14">
        <v>4.1991399999999999</v>
      </c>
      <c r="M5" s="17">
        <f t="shared" si="3"/>
        <v>0</v>
      </c>
      <c r="N5" s="14">
        <v>133.136</v>
      </c>
      <c r="O5" s="14">
        <v>133.136</v>
      </c>
      <c r="P5" s="17">
        <f t="shared" si="4"/>
        <v>0</v>
      </c>
      <c r="Q5" s="14">
        <v>17.322299999999998</v>
      </c>
      <c r="R5" s="14">
        <v>17.322299999999998</v>
      </c>
      <c r="S5" s="17">
        <f t="shared" si="5"/>
        <v>0</v>
      </c>
      <c r="T5" s="14">
        <v>80.972499999999997</v>
      </c>
      <c r="U5" s="14">
        <v>80.972499999999997</v>
      </c>
      <c r="V5" s="17">
        <f t="shared" si="6"/>
        <v>0</v>
      </c>
      <c r="W5" s="14">
        <v>51.000799999999998</v>
      </c>
      <c r="X5" s="14">
        <v>51.000799999999998</v>
      </c>
      <c r="Y5" s="18">
        <f t="shared" si="7"/>
        <v>0</v>
      </c>
      <c r="Z5" s="19">
        <v>1.0417999999999999E-5</v>
      </c>
      <c r="AA5" s="19">
        <v>1.0417999999999999E-5</v>
      </c>
      <c r="AB5" s="19">
        <v>0</v>
      </c>
      <c r="AC5" s="19">
        <v>0</v>
      </c>
    </row>
    <row r="6" spans="1:29" x14ac:dyDescent="0.2">
      <c r="A6" s="14">
        <v>2023</v>
      </c>
      <c r="B6" s="14">
        <v>162.54300000000001</v>
      </c>
      <c r="C6" s="14">
        <v>162.54300000000001</v>
      </c>
      <c r="D6" s="17">
        <f t="shared" si="0"/>
        <v>0</v>
      </c>
      <c r="E6" s="14">
        <v>124.52</v>
      </c>
      <c r="F6" s="14">
        <v>124.52</v>
      </c>
      <c r="G6" s="17">
        <f t="shared" si="1"/>
        <v>0</v>
      </c>
      <c r="H6" s="14">
        <v>16.506</v>
      </c>
      <c r="I6" s="14">
        <v>16.506</v>
      </c>
      <c r="J6" s="17">
        <f t="shared" si="2"/>
        <v>0</v>
      </c>
      <c r="K6" s="14">
        <v>4.20967</v>
      </c>
      <c r="L6" s="14">
        <v>4.20967</v>
      </c>
      <c r="M6" s="17">
        <f t="shared" si="3"/>
        <v>0</v>
      </c>
      <c r="N6" s="14">
        <v>135.75700000000001</v>
      </c>
      <c r="O6" s="14">
        <v>135.75700000000001</v>
      </c>
      <c r="P6" s="17">
        <f t="shared" si="4"/>
        <v>0</v>
      </c>
      <c r="Q6" s="14">
        <v>17.2256</v>
      </c>
      <c r="R6" s="14">
        <v>17.2256</v>
      </c>
      <c r="S6" s="17">
        <f t="shared" si="5"/>
        <v>0</v>
      </c>
      <c r="T6" s="14">
        <v>81.448700000000002</v>
      </c>
      <c r="U6" s="14">
        <v>81.448700000000002</v>
      </c>
      <c r="V6" s="17">
        <f t="shared" si="6"/>
        <v>0</v>
      </c>
      <c r="W6" s="14">
        <v>51.814999999999998</v>
      </c>
      <c r="X6" s="14">
        <v>51.814999999999998</v>
      </c>
      <c r="Y6" s="18">
        <f t="shared" si="7"/>
        <v>0</v>
      </c>
      <c r="Z6" s="19">
        <v>1.5707999999999999E-5</v>
      </c>
      <c r="AA6" s="19">
        <v>1.5707999999999999E-5</v>
      </c>
      <c r="AB6" s="19">
        <v>0</v>
      </c>
      <c r="AC6" s="19">
        <v>0</v>
      </c>
    </row>
    <row r="7" spans="1:29" x14ac:dyDescent="0.2">
      <c r="A7" s="14">
        <v>2024</v>
      </c>
      <c r="B7" s="14">
        <v>167.322</v>
      </c>
      <c r="C7" s="14">
        <v>167.322</v>
      </c>
      <c r="D7" s="17">
        <f t="shared" si="0"/>
        <v>0</v>
      </c>
      <c r="E7" s="14">
        <v>124.958</v>
      </c>
      <c r="F7" s="14">
        <v>124.958</v>
      </c>
      <c r="G7" s="17">
        <f t="shared" si="1"/>
        <v>0</v>
      </c>
      <c r="H7" s="14">
        <v>16.4862</v>
      </c>
      <c r="I7" s="14">
        <v>16.4862</v>
      </c>
      <c r="J7" s="17">
        <f t="shared" si="2"/>
        <v>0</v>
      </c>
      <c r="K7" s="14">
        <v>4.2210700000000001</v>
      </c>
      <c r="L7" s="14">
        <v>4.2210700000000001</v>
      </c>
      <c r="M7" s="17">
        <f t="shared" si="3"/>
        <v>0</v>
      </c>
      <c r="N7" s="14">
        <v>138.35300000000001</v>
      </c>
      <c r="O7" s="14">
        <v>138.35300000000001</v>
      </c>
      <c r="P7" s="17">
        <f t="shared" si="4"/>
        <v>0</v>
      </c>
      <c r="Q7" s="14">
        <v>17.029199999999999</v>
      </c>
      <c r="R7" s="14">
        <v>17.029199999999999</v>
      </c>
      <c r="S7" s="17">
        <f t="shared" si="5"/>
        <v>0</v>
      </c>
      <c r="T7" s="14">
        <v>81.924599999999998</v>
      </c>
      <c r="U7" s="14">
        <v>81.924599999999998</v>
      </c>
      <c r="V7" s="17">
        <f t="shared" si="6"/>
        <v>0</v>
      </c>
      <c r="W7" s="14">
        <v>52.628999999999998</v>
      </c>
      <c r="X7" s="14">
        <v>52.628999999999998</v>
      </c>
      <c r="Y7" s="18">
        <f t="shared" si="7"/>
        <v>0</v>
      </c>
      <c r="Z7" s="19">
        <v>2.0934E-5</v>
      </c>
      <c r="AA7" s="19">
        <v>2.0934E-5</v>
      </c>
      <c r="AB7" s="19">
        <v>0</v>
      </c>
      <c r="AC7" s="19">
        <v>0</v>
      </c>
    </row>
    <row r="8" spans="1:29" x14ac:dyDescent="0.2">
      <c r="A8" s="14">
        <v>2025</v>
      </c>
      <c r="B8" s="14">
        <v>172.32</v>
      </c>
      <c r="C8" s="14">
        <v>172.32</v>
      </c>
      <c r="D8" s="17">
        <f t="shared" si="0"/>
        <v>0</v>
      </c>
      <c r="E8" s="14">
        <v>128.29300000000001</v>
      </c>
      <c r="F8" s="14">
        <v>128.29300000000001</v>
      </c>
      <c r="G8" s="17">
        <f t="shared" si="1"/>
        <v>0</v>
      </c>
      <c r="H8" s="14">
        <v>16.468299999999999</v>
      </c>
      <c r="I8" s="14">
        <v>16.468299999999999</v>
      </c>
      <c r="J8" s="17">
        <f t="shared" si="2"/>
        <v>0</v>
      </c>
      <c r="K8" s="14">
        <v>4.2316000000000003</v>
      </c>
      <c r="L8" s="14">
        <v>4.2316000000000003</v>
      </c>
      <c r="M8" s="17">
        <f t="shared" si="3"/>
        <v>0</v>
      </c>
      <c r="N8" s="14">
        <v>140.93299999999999</v>
      </c>
      <c r="O8" s="14">
        <v>140.93299999999999</v>
      </c>
      <c r="P8" s="17">
        <f t="shared" si="4"/>
        <v>0</v>
      </c>
      <c r="Q8" s="14">
        <v>16.8325</v>
      </c>
      <c r="R8" s="14">
        <v>16.8325</v>
      </c>
      <c r="S8" s="17">
        <f t="shared" si="5"/>
        <v>0</v>
      </c>
      <c r="T8" s="14">
        <v>82.402500000000003</v>
      </c>
      <c r="U8" s="14">
        <v>82.402500000000003</v>
      </c>
      <c r="V8" s="17">
        <f t="shared" si="6"/>
        <v>0</v>
      </c>
      <c r="W8" s="14">
        <v>53.442999999999998</v>
      </c>
      <c r="X8" s="14">
        <v>53.442999999999998</v>
      </c>
      <c r="Y8" s="18">
        <f t="shared" si="7"/>
        <v>0</v>
      </c>
      <c r="Z8" s="19">
        <v>4.1097999999999999E-5</v>
      </c>
      <c r="AA8" s="19">
        <v>4.1097999999999999E-5</v>
      </c>
      <c r="AB8" s="19">
        <v>0</v>
      </c>
      <c r="AC8" s="19">
        <v>0</v>
      </c>
    </row>
    <row r="9" spans="1:29" x14ac:dyDescent="0.2">
      <c r="A9" s="14">
        <v>2026</v>
      </c>
      <c r="B9" s="14">
        <v>177.392</v>
      </c>
      <c r="C9" s="14">
        <v>174.76300000000001</v>
      </c>
      <c r="D9" s="17">
        <f t="shared" si="0"/>
        <v>1.4820285018490071E-2</v>
      </c>
      <c r="E9" s="14">
        <v>126.825</v>
      </c>
      <c r="F9" s="14">
        <v>122.76300000000001</v>
      </c>
      <c r="G9" s="17">
        <f t="shared" si="1"/>
        <v>3.2028385570668227E-2</v>
      </c>
      <c r="H9" s="14">
        <v>16.454799999999999</v>
      </c>
      <c r="I9" s="14">
        <v>16.348500000000001</v>
      </c>
      <c r="J9" s="17">
        <f t="shared" si="2"/>
        <v>6.4601210589005885E-3</v>
      </c>
      <c r="K9" s="14">
        <v>4.2436199999999999</v>
      </c>
      <c r="L9" s="14">
        <v>4.2136899999999997</v>
      </c>
      <c r="M9" s="17">
        <f t="shared" si="3"/>
        <v>7.0529406497283533E-3</v>
      </c>
      <c r="N9" s="14">
        <v>142.916</v>
      </c>
      <c r="O9" s="14">
        <v>140.821</v>
      </c>
      <c r="P9" s="17">
        <f t="shared" si="4"/>
        <v>1.4658960508270586E-2</v>
      </c>
      <c r="Q9" s="14">
        <v>16.735700000000001</v>
      </c>
      <c r="R9" s="14">
        <v>16.281500000000001</v>
      </c>
      <c r="S9" s="17">
        <f t="shared" si="5"/>
        <v>2.7139587827219664E-2</v>
      </c>
      <c r="T9" s="14">
        <v>82.824200000000005</v>
      </c>
      <c r="U9" s="14">
        <v>82.050700000000006</v>
      </c>
      <c r="V9" s="17">
        <f t="shared" si="6"/>
        <v>9.3390579081958948E-3</v>
      </c>
      <c r="W9" s="14">
        <v>54.225999999999999</v>
      </c>
      <c r="X9" s="14">
        <v>53.1661</v>
      </c>
      <c r="Y9" s="18">
        <f t="shared" si="7"/>
        <v>1.9545974255891989E-2</v>
      </c>
      <c r="Z9" s="19">
        <v>6.1329999999999997E-5</v>
      </c>
      <c r="AA9" s="19">
        <v>0.28670400000000001</v>
      </c>
      <c r="AB9" s="19">
        <v>0</v>
      </c>
      <c r="AC9" s="19">
        <v>0</v>
      </c>
    </row>
    <row r="10" spans="1:29" x14ac:dyDescent="0.2">
      <c r="A10" s="14">
        <v>2027</v>
      </c>
      <c r="B10" s="14">
        <v>182.71600000000001</v>
      </c>
      <c r="C10" s="14">
        <v>176.85499999999999</v>
      </c>
      <c r="D10" s="17">
        <f t="shared" si="0"/>
        <v>3.2077103264082064E-2</v>
      </c>
      <c r="E10" s="14">
        <v>125.095</v>
      </c>
      <c r="F10" s="14">
        <v>113.992</v>
      </c>
      <c r="G10" s="17">
        <f t="shared" si="1"/>
        <v>8.875654502578037E-2</v>
      </c>
      <c r="H10" s="14">
        <v>16.447299999999998</v>
      </c>
      <c r="I10" s="14">
        <v>16.151599999999998</v>
      </c>
      <c r="J10" s="17">
        <f t="shared" si="2"/>
        <v>1.7978634791120739E-2</v>
      </c>
      <c r="K10" s="14">
        <v>4.2542999999999997</v>
      </c>
      <c r="L10" s="14">
        <v>4.1743300000000003</v>
      </c>
      <c r="M10" s="17">
        <f t="shared" si="3"/>
        <v>1.8797451989751413E-2</v>
      </c>
      <c r="N10" s="14">
        <v>145.43600000000001</v>
      </c>
      <c r="O10" s="14">
        <v>140.28800000000001</v>
      </c>
      <c r="P10" s="17">
        <f t="shared" si="4"/>
        <v>3.5397013119172663E-2</v>
      </c>
      <c r="Q10" s="14">
        <v>16.539000000000001</v>
      </c>
      <c r="R10" s="14">
        <v>15.342000000000001</v>
      </c>
      <c r="S10" s="17">
        <f t="shared" si="5"/>
        <v>7.2374387810629479E-2</v>
      </c>
      <c r="T10" s="14">
        <v>83.217799999999997</v>
      </c>
      <c r="U10" s="14">
        <v>81.722700000000003</v>
      </c>
      <c r="V10" s="17">
        <f t="shared" si="6"/>
        <v>1.7966108212425631E-2</v>
      </c>
      <c r="W10" s="14">
        <v>54.980899999999998</v>
      </c>
      <c r="X10" s="14">
        <v>52.813699999999997</v>
      </c>
      <c r="Y10" s="18">
        <f t="shared" si="7"/>
        <v>3.941732492556508E-2</v>
      </c>
      <c r="Z10" s="19">
        <v>9.6707999999999996E-5</v>
      </c>
      <c r="AA10" s="19">
        <v>0.61358100000000004</v>
      </c>
      <c r="AB10" s="19">
        <v>0</v>
      </c>
      <c r="AC10" s="19">
        <v>0</v>
      </c>
    </row>
    <row r="11" spans="1:29" x14ac:dyDescent="0.2">
      <c r="A11" s="14">
        <v>2028</v>
      </c>
      <c r="B11" s="14">
        <v>188.315</v>
      </c>
      <c r="C11" s="14">
        <v>178.61799999999999</v>
      </c>
      <c r="D11" s="17">
        <f t="shared" si="0"/>
        <v>5.1493508217614122E-2</v>
      </c>
      <c r="E11" s="14">
        <v>124.49299999999999</v>
      </c>
      <c r="F11" s="14">
        <v>102.621</v>
      </c>
      <c r="G11" s="17">
        <f t="shared" si="1"/>
        <v>0.17568859293293598</v>
      </c>
      <c r="H11" s="14">
        <v>16.436599999999999</v>
      </c>
      <c r="I11" s="14">
        <v>15.9564</v>
      </c>
      <c r="J11" s="17">
        <f t="shared" si="2"/>
        <v>2.9215287833250076E-2</v>
      </c>
      <c r="K11" s="14">
        <v>4.2663200000000003</v>
      </c>
      <c r="L11" s="14">
        <v>4.1379000000000001</v>
      </c>
      <c r="M11" s="17">
        <f t="shared" si="3"/>
        <v>3.010088319675978E-2</v>
      </c>
      <c r="N11" s="14">
        <v>147.30099999999999</v>
      </c>
      <c r="O11" s="14">
        <v>124.122</v>
      </c>
      <c r="P11" s="17">
        <f t="shared" si="4"/>
        <v>0.15735806274227596</v>
      </c>
      <c r="Q11" s="14">
        <v>16.442599999999999</v>
      </c>
      <c r="R11" s="14">
        <v>14.2141</v>
      </c>
      <c r="S11" s="17">
        <f t="shared" si="5"/>
        <v>0.13553209346453715</v>
      </c>
      <c r="T11" s="14">
        <v>83.612899999999996</v>
      </c>
      <c r="U11" s="14">
        <v>81.319900000000004</v>
      </c>
      <c r="V11" s="17">
        <f t="shared" si="6"/>
        <v>2.7423997971604767E-2</v>
      </c>
      <c r="W11" s="14">
        <v>55.763399999999997</v>
      </c>
      <c r="X11" s="14">
        <v>49.9559</v>
      </c>
      <c r="Y11" s="18">
        <f t="shared" si="7"/>
        <v>0.10414537133675489</v>
      </c>
      <c r="Z11" s="19">
        <v>1.4262199999999999E-4</v>
      </c>
      <c r="AA11" s="19">
        <v>0.91054299999999999</v>
      </c>
      <c r="AB11" s="19">
        <v>0</v>
      </c>
      <c r="AC11" s="19">
        <v>0</v>
      </c>
    </row>
    <row r="12" spans="1:29" x14ac:dyDescent="0.2">
      <c r="A12" s="14">
        <v>2029</v>
      </c>
      <c r="B12" s="14">
        <v>194.22200000000001</v>
      </c>
      <c r="C12" s="14">
        <v>180.119</v>
      </c>
      <c r="D12" s="17">
        <f t="shared" si="0"/>
        <v>7.2612783309820766E-2</v>
      </c>
      <c r="E12" s="14">
        <v>124.45</v>
      </c>
      <c r="F12" s="14">
        <v>89.312600000000003</v>
      </c>
      <c r="G12" s="17">
        <f t="shared" si="1"/>
        <v>0.28234150261149055</v>
      </c>
      <c r="H12" s="14">
        <v>16.442499999999999</v>
      </c>
      <c r="I12" s="14">
        <v>15.723599999999999</v>
      </c>
      <c r="J12" s="17">
        <f t="shared" si="2"/>
        <v>4.3722061730272141E-2</v>
      </c>
      <c r="K12" s="14">
        <v>4.2776199999999998</v>
      </c>
      <c r="L12" s="14">
        <v>4.0859500000000004</v>
      </c>
      <c r="M12" s="17">
        <f t="shared" si="3"/>
        <v>4.4807626670905633E-2</v>
      </c>
      <c r="N12" s="14">
        <v>149.20099999999999</v>
      </c>
      <c r="O12" s="14">
        <v>124.22</v>
      </c>
      <c r="P12" s="17">
        <f t="shared" si="4"/>
        <v>0.16743185367390295</v>
      </c>
      <c r="Q12" s="14">
        <v>16.2456</v>
      </c>
      <c r="R12" s="14">
        <v>12.6973</v>
      </c>
      <c r="S12" s="17">
        <f t="shared" si="5"/>
        <v>0.21841606342640466</v>
      </c>
      <c r="T12" s="14">
        <v>84.034000000000006</v>
      </c>
      <c r="U12" s="14">
        <v>81.038899999999998</v>
      </c>
      <c r="V12" s="17">
        <f t="shared" si="6"/>
        <v>3.5641526048980264E-2</v>
      </c>
      <c r="W12" s="14">
        <v>56.5458</v>
      </c>
      <c r="X12" s="14">
        <v>49.466000000000001</v>
      </c>
      <c r="Y12" s="18">
        <f t="shared" si="7"/>
        <v>0.1252047013217604</v>
      </c>
      <c r="Z12" s="19">
        <v>2.14506E-4</v>
      </c>
      <c r="AA12" s="19">
        <v>1.2223299999999999</v>
      </c>
      <c r="AB12" s="19">
        <v>0</v>
      </c>
      <c r="AC12" s="19">
        <v>0</v>
      </c>
    </row>
    <row r="13" spans="1:29" x14ac:dyDescent="0.2">
      <c r="A13" s="20">
        <v>2030</v>
      </c>
      <c r="B13" s="14">
        <v>200.13399999999999</v>
      </c>
      <c r="C13" s="14">
        <v>181.13900000000001</v>
      </c>
      <c r="D13" s="21">
        <f t="shared" si="0"/>
        <v>9.4911409355731544E-2</v>
      </c>
      <c r="E13" s="14">
        <v>126.496</v>
      </c>
      <c r="F13" s="14">
        <v>81.590400000000002</v>
      </c>
      <c r="G13" s="21">
        <f t="shared" si="1"/>
        <v>0.35499620541360988</v>
      </c>
      <c r="H13" s="14">
        <v>16.434699999999999</v>
      </c>
      <c r="I13" s="14">
        <v>15.476699999999999</v>
      </c>
      <c r="J13" s="21">
        <f t="shared" si="2"/>
        <v>5.829129828959459E-2</v>
      </c>
      <c r="K13" s="14">
        <v>4.2889200000000001</v>
      </c>
      <c r="L13" s="14">
        <v>4.0331700000000001</v>
      </c>
      <c r="M13" s="21">
        <f t="shared" si="3"/>
        <v>5.9630396463445326E-2</v>
      </c>
      <c r="N13" s="14">
        <v>151.107</v>
      </c>
      <c r="O13" s="14">
        <v>122.879</v>
      </c>
      <c r="P13" s="21">
        <f t="shared" si="4"/>
        <v>0.18680802345357922</v>
      </c>
      <c r="Q13" s="14">
        <v>16.149100000000001</v>
      </c>
      <c r="R13" s="14">
        <v>10.9924</v>
      </c>
      <c r="S13" s="21">
        <f t="shared" si="5"/>
        <v>0.31931810441448755</v>
      </c>
      <c r="T13" s="14">
        <v>84.428700000000006</v>
      </c>
      <c r="U13" s="14">
        <v>80.7333</v>
      </c>
      <c r="V13" s="21">
        <f t="shared" si="6"/>
        <v>4.3769476493183079E-2</v>
      </c>
      <c r="W13" s="14">
        <v>57.328200000000002</v>
      </c>
      <c r="X13" s="14">
        <v>48.911799999999999</v>
      </c>
      <c r="Y13" s="22">
        <f t="shared" si="7"/>
        <v>0.14681081910822252</v>
      </c>
      <c r="Z13" s="19">
        <v>3.1691999999999999E-4</v>
      </c>
      <c r="AA13" s="19">
        <v>1.52112</v>
      </c>
      <c r="AB13" s="19">
        <v>0</v>
      </c>
      <c r="AC13" s="19">
        <v>0</v>
      </c>
    </row>
    <row r="14" spans="1:29" x14ac:dyDescent="0.2">
      <c r="A14" s="14">
        <v>2031</v>
      </c>
      <c r="B14" s="14">
        <v>206.04499999999999</v>
      </c>
      <c r="C14" s="14">
        <v>181.65</v>
      </c>
      <c r="D14" s="17">
        <f t="shared" si="0"/>
        <v>0.11839646679123485</v>
      </c>
      <c r="E14" s="14">
        <v>127.32299999999999</v>
      </c>
      <c r="F14" s="14">
        <v>78.335400000000007</v>
      </c>
      <c r="G14" s="17">
        <f t="shared" si="1"/>
        <v>0.38475059494356861</v>
      </c>
      <c r="H14" s="14">
        <v>16.3948</v>
      </c>
      <c r="I14" s="14">
        <v>15.194599999999999</v>
      </c>
      <c r="J14" s="17">
        <f t="shared" si="2"/>
        <v>7.3206138531729609E-2</v>
      </c>
      <c r="K14" s="14">
        <v>4.2875300000000003</v>
      </c>
      <c r="L14" s="14">
        <v>3.9647199999999998</v>
      </c>
      <c r="M14" s="17">
        <f t="shared" si="3"/>
        <v>7.5290435285584115E-2</v>
      </c>
      <c r="N14" s="14">
        <v>152.245</v>
      </c>
      <c r="O14" s="14">
        <v>120.629</v>
      </c>
      <c r="P14" s="17">
        <f t="shared" si="4"/>
        <v>0.20766527636375579</v>
      </c>
      <c r="Q14" s="14">
        <v>15.952400000000001</v>
      </c>
      <c r="R14" s="14">
        <v>8.8986400000000003</v>
      </c>
      <c r="S14" s="17">
        <f t="shared" si="5"/>
        <v>0.44217547202928714</v>
      </c>
      <c r="T14" s="14">
        <v>84.7136</v>
      </c>
      <c r="U14" s="14">
        <v>80.330299999999994</v>
      </c>
      <c r="V14" s="17">
        <f t="shared" si="6"/>
        <v>5.1742577342953261E-2</v>
      </c>
      <c r="W14" s="14">
        <v>58.051600000000001</v>
      </c>
      <c r="X14" s="14">
        <v>48.403199999999998</v>
      </c>
      <c r="Y14" s="18">
        <f t="shared" si="7"/>
        <v>0.16620386001419429</v>
      </c>
      <c r="Z14" s="19">
        <v>4.4550600000000003E-4</v>
      </c>
      <c r="AA14" s="19">
        <v>1.80989</v>
      </c>
      <c r="AB14" s="19">
        <v>0</v>
      </c>
      <c r="AC14" s="19">
        <v>0</v>
      </c>
    </row>
    <row r="15" spans="1:29" x14ac:dyDescent="0.2">
      <c r="A15" s="14">
        <v>2032</v>
      </c>
      <c r="B15" s="14">
        <v>211.87299999999999</v>
      </c>
      <c r="C15" s="14">
        <v>181.63200000000001</v>
      </c>
      <c r="D15" s="17">
        <f t="shared" si="0"/>
        <v>0.14273173080099866</v>
      </c>
      <c r="E15" s="14">
        <v>127.491</v>
      </c>
      <c r="F15" s="14">
        <v>77.509299999999996</v>
      </c>
      <c r="G15" s="17">
        <f t="shared" si="1"/>
        <v>0.39204100681616744</v>
      </c>
      <c r="H15" s="14">
        <v>16.4177</v>
      </c>
      <c r="I15" s="14">
        <v>14.9565</v>
      </c>
      <c r="J15" s="17">
        <f t="shared" si="2"/>
        <v>8.9001504473830068E-2</v>
      </c>
      <c r="K15" s="14">
        <v>4.3518800000000004</v>
      </c>
      <c r="L15" s="14">
        <v>3.9485000000000001</v>
      </c>
      <c r="M15" s="17">
        <f t="shared" si="3"/>
        <v>9.2690974934970694E-2</v>
      </c>
      <c r="N15" s="14">
        <v>153.392</v>
      </c>
      <c r="O15" s="14">
        <v>119.182</v>
      </c>
      <c r="P15" s="17">
        <f t="shared" si="4"/>
        <v>0.22302336497340144</v>
      </c>
      <c r="Q15" s="14">
        <v>15.855399999999999</v>
      </c>
      <c r="R15" s="14">
        <v>6.6161000000000003</v>
      </c>
      <c r="S15" s="17">
        <f t="shared" si="5"/>
        <v>0.58272260554763677</v>
      </c>
      <c r="T15" s="14">
        <v>84.999499999999998</v>
      </c>
      <c r="U15" s="14">
        <v>79.914100000000005</v>
      </c>
      <c r="V15" s="17">
        <f t="shared" si="6"/>
        <v>5.9828587226983608E-2</v>
      </c>
      <c r="W15" s="14">
        <v>58.802599999999998</v>
      </c>
      <c r="X15" s="14">
        <v>47.880499999999998</v>
      </c>
      <c r="Y15" s="18">
        <f t="shared" si="7"/>
        <v>0.18574178692778892</v>
      </c>
      <c r="Z15" s="19">
        <v>6.1479600000000003E-4</v>
      </c>
      <c r="AA15" s="19">
        <v>2.09836</v>
      </c>
      <c r="AB15" s="19">
        <v>0</v>
      </c>
      <c r="AC15" s="19">
        <v>0</v>
      </c>
    </row>
    <row r="16" spans="1:29" x14ac:dyDescent="0.2">
      <c r="A16" s="14">
        <v>2033</v>
      </c>
      <c r="B16" s="14">
        <v>217.75200000000001</v>
      </c>
      <c r="C16" s="14">
        <v>181.244</v>
      </c>
      <c r="D16" s="17">
        <f t="shared" si="0"/>
        <v>0.16765862081634156</v>
      </c>
      <c r="E16" s="14">
        <v>129.25299999999999</v>
      </c>
      <c r="F16" s="14">
        <v>77.706400000000002</v>
      </c>
      <c r="G16" s="17">
        <f t="shared" si="1"/>
        <v>0.39880389623451673</v>
      </c>
      <c r="H16" s="14">
        <v>16.436499999999999</v>
      </c>
      <c r="I16" s="14">
        <v>14.722099999999999</v>
      </c>
      <c r="J16" s="17">
        <f t="shared" si="2"/>
        <v>0.10430444437684419</v>
      </c>
      <c r="K16" s="14">
        <v>4.4170100000000003</v>
      </c>
      <c r="L16" s="14">
        <v>3.9283800000000002</v>
      </c>
      <c r="M16" s="17">
        <f t="shared" si="3"/>
        <v>0.11062460804933656</v>
      </c>
      <c r="N16" s="14">
        <v>154.541</v>
      </c>
      <c r="O16" s="14">
        <v>106.557</v>
      </c>
      <c r="P16" s="17">
        <f t="shared" si="4"/>
        <v>0.31049365540536167</v>
      </c>
      <c r="Q16" s="14">
        <v>15.659000000000001</v>
      </c>
      <c r="R16" s="14">
        <v>3.94556</v>
      </c>
      <c r="S16" s="17">
        <f t="shared" si="5"/>
        <v>0.74803244140749725</v>
      </c>
      <c r="T16" s="14">
        <v>85.284999999999997</v>
      </c>
      <c r="U16" s="14">
        <v>79.486000000000004</v>
      </c>
      <c r="V16" s="17">
        <f t="shared" si="6"/>
        <v>6.7995544351292639E-2</v>
      </c>
      <c r="W16" s="14">
        <v>59.525399999999998</v>
      </c>
      <c r="X16" s="14">
        <v>45.884700000000002</v>
      </c>
      <c r="Y16" s="18">
        <f t="shared" si="7"/>
        <v>0.22915763690794175</v>
      </c>
      <c r="Z16" s="19">
        <v>8.3443999999999999E-4</v>
      </c>
      <c r="AA16" s="19">
        <v>2.3811300000000002</v>
      </c>
      <c r="AB16" s="19">
        <v>0</v>
      </c>
      <c r="AC16" s="19">
        <v>0</v>
      </c>
    </row>
    <row r="17" spans="1:29" x14ac:dyDescent="0.2">
      <c r="A17" s="14">
        <v>2034</v>
      </c>
      <c r="B17" s="14">
        <v>223.68199999999999</v>
      </c>
      <c r="C17" s="14">
        <v>180.51400000000001</v>
      </c>
      <c r="D17" s="17">
        <f t="shared" si="0"/>
        <v>0.19298826011927639</v>
      </c>
      <c r="E17" s="14">
        <v>129.69900000000001</v>
      </c>
      <c r="F17" s="14">
        <v>76.650599999999997</v>
      </c>
      <c r="G17" s="17">
        <f t="shared" si="1"/>
        <v>0.4090116346309533</v>
      </c>
      <c r="H17" s="14">
        <v>16.456</v>
      </c>
      <c r="I17" s="14">
        <v>14.3405</v>
      </c>
      <c r="J17" s="17">
        <f t="shared" si="2"/>
        <v>0.12855493437044233</v>
      </c>
      <c r="K17" s="14">
        <v>4.4840299999999997</v>
      </c>
      <c r="L17" s="14">
        <v>3.8723900000000002</v>
      </c>
      <c r="M17" s="17">
        <f t="shared" si="3"/>
        <v>0.1364040829343246</v>
      </c>
      <c r="N17" s="14">
        <v>155.685</v>
      </c>
      <c r="O17" s="14">
        <v>105.887</v>
      </c>
      <c r="P17" s="17">
        <f t="shared" si="4"/>
        <v>0.31986382760060378</v>
      </c>
      <c r="Q17" s="14">
        <v>15.462199999999999</v>
      </c>
      <c r="R17" s="14">
        <v>0.98620300000000005</v>
      </c>
      <c r="S17" s="17">
        <f t="shared" si="5"/>
        <v>0.93621845532977199</v>
      </c>
      <c r="T17" s="14">
        <v>85.571100000000001</v>
      </c>
      <c r="U17" s="14">
        <v>79.045199999999994</v>
      </c>
      <c r="V17" s="17">
        <f t="shared" si="6"/>
        <v>7.6262897169722108E-2</v>
      </c>
      <c r="W17" s="14">
        <v>60.276299999999999</v>
      </c>
      <c r="X17" s="14">
        <v>45.356499999999997</v>
      </c>
      <c r="Y17" s="18">
        <f t="shared" si="7"/>
        <v>0.24752348767260104</v>
      </c>
      <c r="Z17" s="19">
        <v>1.1049E-3</v>
      </c>
      <c r="AA17" s="19">
        <v>2.6607099999999999</v>
      </c>
      <c r="AB17" s="19">
        <v>0</v>
      </c>
      <c r="AC17" s="19">
        <v>0</v>
      </c>
    </row>
    <row r="18" spans="1:29" x14ac:dyDescent="0.2">
      <c r="A18" s="14">
        <v>2035</v>
      </c>
      <c r="B18" s="14">
        <v>229.78399999999999</v>
      </c>
      <c r="C18" s="14">
        <v>179.48599999999999</v>
      </c>
      <c r="D18" s="17">
        <f t="shared" si="0"/>
        <v>0.21889252515405774</v>
      </c>
      <c r="E18" s="14">
        <v>129.815</v>
      </c>
      <c r="F18" s="14">
        <v>75.347099999999998</v>
      </c>
      <c r="G18" s="17">
        <f t="shared" si="1"/>
        <v>0.41958094210992569</v>
      </c>
      <c r="H18" s="14">
        <v>16.4831</v>
      </c>
      <c r="I18" s="14">
        <v>13.9168</v>
      </c>
      <c r="J18" s="17">
        <f t="shared" si="2"/>
        <v>0.15569280050475942</v>
      </c>
      <c r="K18" s="14">
        <v>4.5512499999999996</v>
      </c>
      <c r="L18" s="14">
        <v>3.7966700000000002</v>
      </c>
      <c r="M18" s="17">
        <f t="shared" si="3"/>
        <v>0.16579620983246349</v>
      </c>
      <c r="N18" s="14">
        <v>157.25800000000001</v>
      </c>
      <c r="O18" s="14">
        <v>105.22199999999999</v>
      </c>
      <c r="P18" s="17">
        <f t="shared" si="4"/>
        <v>0.33089572549568236</v>
      </c>
      <c r="Q18" s="14">
        <v>15.365500000000001</v>
      </c>
      <c r="R18" s="14">
        <v>-2.1617199999999999</v>
      </c>
      <c r="S18" s="17">
        <f t="shared" si="5"/>
        <v>1.140686603104357</v>
      </c>
      <c r="T18" s="14">
        <v>85.855400000000003</v>
      </c>
      <c r="U18" s="14">
        <v>78.624700000000004</v>
      </c>
      <c r="V18" s="17">
        <f t="shared" si="6"/>
        <v>8.4219513274645497E-2</v>
      </c>
      <c r="W18" s="14">
        <v>60.998600000000003</v>
      </c>
      <c r="X18" s="14">
        <v>44.770699999999998</v>
      </c>
      <c r="Y18" s="18">
        <f t="shared" si="7"/>
        <v>0.26603725331401057</v>
      </c>
      <c r="Z18" s="19">
        <v>1.4330199999999999E-3</v>
      </c>
      <c r="AA18" s="19">
        <v>3.06026</v>
      </c>
      <c r="AB18" s="19">
        <v>0</v>
      </c>
      <c r="AC18" s="19">
        <v>0</v>
      </c>
    </row>
    <row r="19" spans="1:29" x14ac:dyDescent="0.2">
      <c r="A19" s="14">
        <v>2036</v>
      </c>
      <c r="B19" s="14">
        <v>235.916</v>
      </c>
      <c r="C19" s="14">
        <v>177.98599999999999</v>
      </c>
      <c r="D19" s="17">
        <f t="shared" si="0"/>
        <v>0.24555350209396568</v>
      </c>
      <c r="E19" s="14">
        <v>128.81100000000001</v>
      </c>
      <c r="F19" s="14">
        <v>73.605999999999995</v>
      </c>
      <c r="G19" s="17">
        <f t="shared" si="1"/>
        <v>0.42857364666061137</v>
      </c>
      <c r="H19" s="14">
        <v>16.504799999999999</v>
      </c>
      <c r="I19" s="14">
        <v>13.4331</v>
      </c>
      <c r="J19" s="17">
        <f t="shared" si="2"/>
        <v>0.18610949541951433</v>
      </c>
      <c r="K19" s="14">
        <v>4.6192000000000002</v>
      </c>
      <c r="L19" s="14">
        <v>3.6972100000000001</v>
      </c>
      <c r="M19" s="17">
        <f t="shared" si="3"/>
        <v>0.19959949774852789</v>
      </c>
      <c r="N19" s="14">
        <v>159.48599999999999</v>
      </c>
      <c r="O19" s="14">
        <v>102.685</v>
      </c>
      <c r="P19" s="17">
        <f t="shared" si="4"/>
        <v>0.35615038310572711</v>
      </c>
      <c r="Q19" s="14">
        <v>15.168799999999999</v>
      </c>
      <c r="R19" s="14">
        <v>-5.6981700000000002</v>
      </c>
      <c r="S19" s="17">
        <f t="shared" si="5"/>
        <v>1.375650677706872</v>
      </c>
      <c r="T19" s="14">
        <v>86.085899999999995</v>
      </c>
      <c r="U19" s="14">
        <v>78.176500000000004</v>
      </c>
      <c r="V19" s="17">
        <f t="shared" si="6"/>
        <v>9.1877996280459298E-2</v>
      </c>
      <c r="W19" s="14">
        <v>61.718200000000003</v>
      </c>
      <c r="X19" s="14">
        <v>44.164099999999998</v>
      </c>
      <c r="Y19" s="18">
        <f t="shared" si="7"/>
        <v>0.28442339536797906</v>
      </c>
      <c r="Z19" s="19">
        <v>1.82182E-3</v>
      </c>
      <c r="AA19" s="19">
        <v>3.35182</v>
      </c>
      <c r="AB19" s="19">
        <v>0</v>
      </c>
      <c r="AC19" s="19">
        <v>0</v>
      </c>
    </row>
    <row r="20" spans="1:29" x14ac:dyDescent="0.2">
      <c r="A20" s="14">
        <v>2037</v>
      </c>
      <c r="B20" s="14">
        <v>241.75800000000001</v>
      </c>
      <c r="C20" s="14">
        <v>175.50200000000001</v>
      </c>
      <c r="D20" s="17">
        <f t="shared" si="0"/>
        <v>0.27405918315009226</v>
      </c>
      <c r="E20" s="14">
        <v>129.32300000000001</v>
      </c>
      <c r="F20" s="14">
        <v>71.994399999999999</v>
      </c>
      <c r="G20" s="17">
        <f t="shared" si="1"/>
        <v>0.44329778925635815</v>
      </c>
      <c r="H20" s="14">
        <v>16.533899999999999</v>
      </c>
      <c r="I20" s="14">
        <v>12.8939</v>
      </c>
      <c r="J20" s="17">
        <f t="shared" si="2"/>
        <v>0.22015374473052329</v>
      </c>
      <c r="K20" s="14">
        <v>4.6885399999999997</v>
      </c>
      <c r="L20" s="14">
        <v>3.57585</v>
      </c>
      <c r="M20" s="17">
        <f t="shared" si="3"/>
        <v>0.23732121300020897</v>
      </c>
      <c r="N20" s="14">
        <v>161.70599999999999</v>
      </c>
      <c r="O20" s="14">
        <v>100.048</v>
      </c>
      <c r="P20" s="17">
        <f t="shared" si="4"/>
        <v>0.38129692157372014</v>
      </c>
      <c r="Q20" s="14">
        <v>15.0724</v>
      </c>
      <c r="R20" s="14">
        <v>-9.4229000000000003</v>
      </c>
      <c r="S20" s="17">
        <f t="shared" si="5"/>
        <v>1.6251758180515379</v>
      </c>
      <c r="T20" s="14">
        <v>86.315100000000001</v>
      </c>
      <c r="U20" s="14">
        <v>77.745999999999995</v>
      </c>
      <c r="V20" s="17">
        <f t="shared" si="6"/>
        <v>9.9276951541503233E-2</v>
      </c>
      <c r="W20" s="14">
        <v>62.4375</v>
      </c>
      <c r="X20" s="14">
        <v>43.532699999999998</v>
      </c>
      <c r="Y20" s="18">
        <f t="shared" si="7"/>
        <v>0.30277957957957963</v>
      </c>
      <c r="Z20" s="19">
        <v>2.2959199999999999E-3</v>
      </c>
      <c r="AA20" s="19">
        <v>3.6699000000000002</v>
      </c>
      <c r="AB20" s="19">
        <v>0</v>
      </c>
      <c r="AC20" s="19">
        <v>0</v>
      </c>
    </row>
    <row r="21" spans="1:29" x14ac:dyDescent="0.2">
      <c r="A21" s="14">
        <v>2038</v>
      </c>
      <c r="B21" s="14">
        <v>247.809</v>
      </c>
      <c r="C21" s="14">
        <v>172.68</v>
      </c>
      <c r="D21" s="17">
        <f t="shared" si="0"/>
        <v>0.30317300824425258</v>
      </c>
      <c r="E21" s="14">
        <v>129.4</v>
      </c>
      <c r="F21" s="14">
        <v>69.385800000000003</v>
      </c>
      <c r="G21" s="17">
        <f t="shared" si="1"/>
        <v>0.4637882534775889</v>
      </c>
      <c r="H21" s="14">
        <v>16.564399999999999</v>
      </c>
      <c r="I21" s="14">
        <v>12.2682</v>
      </c>
      <c r="J21" s="17">
        <f t="shared" si="2"/>
        <v>0.25936345415469314</v>
      </c>
      <c r="K21" s="14">
        <v>4.7585899999999999</v>
      </c>
      <c r="L21" s="14">
        <v>3.43391</v>
      </c>
      <c r="M21" s="17">
        <f t="shared" si="3"/>
        <v>0.27837657793590115</v>
      </c>
      <c r="N21" s="14">
        <v>163.93700000000001</v>
      </c>
      <c r="O21" s="14">
        <v>95.6541</v>
      </c>
      <c r="P21" s="17">
        <f t="shared" si="4"/>
        <v>0.41651915064933487</v>
      </c>
      <c r="Q21" s="14">
        <v>14.875400000000001</v>
      </c>
      <c r="R21" s="14">
        <v>-13.5367</v>
      </c>
      <c r="S21" s="17">
        <f t="shared" si="5"/>
        <v>1.9100057813571401</v>
      </c>
      <c r="T21" s="14">
        <v>86.518900000000002</v>
      </c>
      <c r="U21" s="14">
        <v>77.236599999999996</v>
      </c>
      <c r="V21" s="17">
        <f t="shared" si="6"/>
        <v>0.10728638482458754</v>
      </c>
      <c r="W21" s="14">
        <v>63.156500000000001</v>
      </c>
      <c r="X21" s="14">
        <v>42.688299999999998</v>
      </c>
      <c r="Y21" s="18">
        <f t="shared" si="7"/>
        <v>0.32408699025436816</v>
      </c>
      <c r="Z21" s="19">
        <v>2.8374899999999998E-3</v>
      </c>
      <c r="AA21" s="19">
        <v>3.9746199999999998</v>
      </c>
      <c r="AB21" s="19">
        <v>0</v>
      </c>
      <c r="AC21" s="19">
        <v>0</v>
      </c>
    </row>
    <row r="22" spans="1:29" x14ac:dyDescent="0.2">
      <c r="A22" s="14">
        <v>2039</v>
      </c>
      <c r="B22" s="14">
        <v>253.97399999999999</v>
      </c>
      <c r="C22" s="14">
        <v>169.375</v>
      </c>
      <c r="D22" s="17">
        <f t="shared" si="0"/>
        <v>0.33310102608928471</v>
      </c>
      <c r="E22" s="14">
        <v>129.21</v>
      </c>
      <c r="F22" s="14">
        <v>66.5702</v>
      </c>
      <c r="G22" s="17">
        <f t="shared" si="1"/>
        <v>0.484790650878415</v>
      </c>
      <c r="H22" s="14">
        <v>16.590299999999999</v>
      </c>
      <c r="I22" s="14">
        <v>11.657999999999999</v>
      </c>
      <c r="J22" s="17">
        <f t="shared" si="2"/>
        <v>0.29730022965226666</v>
      </c>
      <c r="K22" s="14">
        <v>4.8306500000000003</v>
      </c>
      <c r="L22" s="14">
        <v>3.2972199999999998</v>
      </c>
      <c r="M22" s="17">
        <f t="shared" si="3"/>
        <v>0.31743761191558079</v>
      </c>
      <c r="N22" s="14">
        <v>166.18700000000001</v>
      </c>
      <c r="O22" s="14">
        <v>92.506500000000003</v>
      </c>
      <c r="P22" s="17">
        <f t="shared" si="4"/>
        <v>0.44335898716506106</v>
      </c>
      <c r="Q22" s="14">
        <v>14.778600000000001</v>
      </c>
      <c r="R22" s="14">
        <v>-17.838799999999999</v>
      </c>
      <c r="S22" s="17">
        <f t="shared" si="5"/>
        <v>2.2070696818372513</v>
      </c>
      <c r="T22" s="14">
        <v>86.748199999999997</v>
      </c>
      <c r="U22" s="14">
        <v>76.851900000000001</v>
      </c>
      <c r="V22" s="17">
        <f t="shared" si="6"/>
        <v>0.11408075326058635</v>
      </c>
      <c r="W22" s="14">
        <v>63.875500000000002</v>
      </c>
      <c r="X22" s="14">
        <v>42.103400000000001</v>
      </c>
      <c r="Y22" s="18">
        <f t="shared" si="7"/>
        <v>0.34085212640214169</v>
      </c>
      <c r="Z22" s="19">
        <v>3.4675700000000001E-3</v>
      </c>
      <c r="AA22" s="19">
        <v>4.2857099999999999</v>
      </c>
      <c r="AB22" s="19">
        <v>0</v>
      </c>
      <c r="AC22" s="19">
        <v>0</v>
      </c>
    </row>
    <row r="23" spans="1:29" x14ac:dyDescent="0.2">
      <c r="A23" s="14">
        <v>2040</v>
      </c>
      <c r="B23" s="14">
        <v>260.42899999999997</v>
      </c>
      <c r="C23" s="14">
        <v>165.739</v>
      </c>
      <c r="D23" s="17">
        <f t="shared" si="0"/>
        <v>0.36359238026487056</v>
      </c>
      <c r="E23" s="14">
        <v>130.09800000000001</v>
      </c>
      <c r="F23" s="14">
        <v>63.032800000000002</v>
      </c>
      <c r="G23" s="17">
        <f t="shared" si="1"/>
        <v>0.51549754800227521</v>
      </c>
      <c r="H23" s="14">
        <v>16.624199999999998</v>
      </c>
      <c r="I23" s="14">
        <v>11.0578</v>
      </c>
      <c r="J23" s="17">
        <f t="shared" si="2"/>
        <v>0.33483716509666622</v>
      </c>
      <c r="K23" s="14">
        <v>4.9028099999999997</v>
      </c>
      <c r="L23" s="14">
        <v>3.1548600000000002</v>
      </c>
      <c r="M23" s="17">
        <f t="shared" si="3"/>
        <v>0.35652003646888203</v>
      </c>
      <c r="N23" s="14">
        <v>168.46600000000001</v>
      </c>
      <c r="O23" s="14">
        <v>89.299499999999995</v>
      </c>
      <c r="P23" s="17">
        <f t="shared" si="4"/>
        <v>0.46992568233352727</v>
      </c>
      <c r="Q23" s="14">
        <v>14.5822</v>
      </c>
      <c r="R23" s="14">
        <v>-22.529199999999999</v>
      </c>
      <c r="S23" s="17">
        <f t="shared" si="5"/>
        <v>2.5449794955493688</v>
      </c>
      <c r="T23" s="14">
        <v>86.979399999999998</v>
      </c>
      <c r="U23" s="14">
        <v>76.463200000000001</v>
      </c>
      <c r="V23" s="17">
        <f t="shared" si="6"/>
        <v>0.12090449002867343</v>
      </c>
      <c r="W23" s="14">
        <v>64.566000000000003</v>
      </c>
      <c r="X23" s="14">
        <v>41.442399999999999</v>
      </c>
      <c r="Y23" s="18">
        <f t="shared" si="7"/>
        <v>0.35813895858501382</v>
      </c>
      <c r="Z23" s="19">
        <v>4.17074E-3</v>
      </c>
      <c r="AA23" s="19">
        <v>4.6032000000000002</v>
      </c>
      <c r="AB23" s="19">
        <v>0</v>
      </c>
      <c r="AC23" s="19">
        <v>0</v>
      </c>
    </row>
    <row r="24" spans="1:29" x14ac:dyDescent="0.2">
      <c r="A24" s="14">
        <v>2041</v>
      </c>
      <c r="B24" s="14">
        <v>267.09300000000002</v>
      </c>
      <c r="C24" s="14">
        <v>161.56399999999999</v>
      </c>
      <c r="D24" s="17">
        <f t="shared" si="0"/>
        <v>0.39510208054872281</v>
      </c>
      <c r="E24" s="14">
        <v>131.74700000000001</v>
      </c>
      <c r="F24" s="14">
        <v>59.097799999999999</v>
      </c>
      <c r="G24" s="17">
        <f t="shared" si="1"/>
        <v>0.55142963407136403</v>
      </c>
      <c r="H24" s="14">
        <v>16.658300000000001</v>
      </c>
      <c r="I24" s="14">
        <v>10.4474</v>
      </c>
      <c r="J24" s="17">
        <f t="shared" si="2"/>
        <v>0.37284116626546526</v>
      </c>
      <c r="K24" s="14">
        <v>4.9757400000000001</v>
      </c>
      <c r="L24" s="14">
        <v>3.0001199999999999</v>
      </c>
      <c r="M24" s="17">
        <f t="shared" si="3"/>
        <v>0.39705048897249456</v>
      </c>
      <c r="N24" s="14">
        <v>170.90899999999999</v>
      </c>
      <c r="O24" s="14">
        <v>85.008499999999998</v>
      </c>
      <c r="P24" s="17">
        <f t="shared" si="4"/>
        <v>0.5026095758561574</v>
      </c>
      <c r="Q24" s="14">
        <v>14.485200000000001</v>
      </c>
      <c r="R24" s="14">
        <v>-27.4087</v>
      </c>
      <c r="S24" s="17">
        <f t="shared" si="5"/>
        <v>2.8921865076077653</v>
      </c>
      <c r="T24" s="14">
        <v>87.126599999999996</v>
      </c>
      <c r="U24" s="14">
        <v>75.867400000000004</v>
      </c>
      <c r="V24" s="17">
        <f t="shared" si="6"/>
        <v>0.12922804287094863</v>
      </c>
      <c r="W24" s="14">
        <v>65.253200000000007</v>
      </c>
      <c r="X24" s="14">
        <v>39.643000000000001</v>
      </c>
      <c r="Y24" s="18">
        <f t="shared" si="7"/>
        <v>0.39247423881127674</v>
      </c>
      <c r="Z24" s="19">
        <v>4.9492199999999998E-3</v>
      </c>
      <c r="AA24" s="19">
        <v>4.9202899999999996</v>
      </c>
      <c r="AB24" s="19">
        <v>0</v>
      </c>
      <c r="AC24" s="19">
        <v>0</v>
      </c>
    </row>
    <row r="25" spans="1:29" x14ac:dyDescent="0.2">
      <c r="A25" s="14">
        <v>2042</v>
      </c>
      <c r="B25" s="14">
        <v>273.95699999999999</v>
      </c>
      <c r="C25" s="14">
        <v>156.94800000000001</v>
      </c>
      <c r="D25" s="17">
        <f t="shared" si="0"/>
        <v>0.42710717375354523</v>
      </c>
      <c r="E25" s="14">
        <v>133.096</v>
      </c>
      <c r="F25" s="14">
        <v>54.244500000000002</v>
      </c>
      <c r="G25" s="17">
        <f t="shared" si="1"/>
        <v>0.59244079461441368</v>
      </c>
      <c r="H25" s="14">
        <v>16.688199999999998</v>
      </c>
      <c r="I25" s="14">
        <v>9.8330699999999993</v>
      </c>
      <c r="J25" s="17">
        <f t="shared" si="2"/>
        <v>0.41077707601778501</v>
      </c>
      <c r="K25" s="14">
        <v>5.0506700000000002</v>
      </c>
      <c r="L25" s="14">
        <v>2.8392599999999999</v>
      </c>
      <c r="M25" s="17">
        <f t="shared" si="3"/>
        <v>0.43784487998621968</v>
      </c>
      <c r="N25" s="14">
        <v>173.37299999999999</v>
      </c>
      <c r="O25" s="14">
        <v>80.544600000000003</v>
      </c>
      <c r="P25" s="17">
        <f t="shared" si="4"/>
        <v>0.53542593137339722</v>
      </c>
      <c r="Q25" s="14">
        <v>14.2887</v>
      </c>
      <c r="R25" s="14">
        <v>-32.676099999999998</v>
      </c>
      <c r="S25" s="17">
        <f t="shared" si="5"/>
        <v>3.2868490485488531</v>
      </c>
      <c r="T25" s="14">
        <v>87.246499999999997</v>
      </c>
      <c r="U25" s="14">
        <v>75.416700000000006</v>
      </c>
      <c r="V25" s="17">
        <f t="shared" si="6"/>
        <v>0.13559053944857377</v>
      </c>
      <c r="W25" s="14">
        <v>65.969499999999996</v>
      </c>
      <c r="X25" s="14">
        <v>39.038800000000002</v>
      </c>
      <c r="Y25" s="18">
        <f t="shared" si="7"/>
        <v>0.4082295606302912</v>
      </c>
      <c r="Z25" s="19">
        <v>5.7852700000000003E-3</v>
      </c>
      <c r="AA25" s="19">
        <v>5.2472300000000001</v>
      </c>
      <c r="AB25" s="19">
        <v>0</v>
      </c>
      <c r="AC25" s="19">
        <v>0</v>
      </c>
    </row>
    <row r="26" spans="1:29" x14ac:dyDescent="0.2">
      <c r="A26" s="14">
        <v>2043</v>
      </c>
      <c r="B26" s="14">
        <v>281.18200000000002</v>
      </c>
      <c r="C26" s="14">
        <v>152.21299999999999</v>
      </c>
      <c r="D26" s="17">
        <f t="shared" si="0"/>
        <v>0.45866734001465248</v>
      </c>
      <c r="E26" s="14">
        <v>132.93299999999999</v>
      </c>
      <c r="F26" s="14">
        <v>49.010300000000001</v>
      </c>
      <c r="G26" s="17">
        <f t="shared" si="1"/>
        <v>0.63131577561628793</v>
      </c>
      <c r="H26" s="14">
        <v>16.726199999999999</v>
      </c>
      <c r="I26" s="14">
        <v>9.2247000000000003</v>
      </c>
      <c r="J26" s="17">
        <f t="shared" si="2"/>
        <v>0.44848800086092472</v>
      </c>
      <c r="K26" s="14">
        <v>5.1263199999999998</v>
      </c>
      <c r="L26" s="14">
        <v>2.6718700000000002</v>
      </c>
      <c r="M26" s="17">
        <f t="shared" si="3"/>
        <v>0.47879375458418511</v>
      </c>
      <c r="N26" s="14">
        <v>175.851</v>
      </c>
      <c r="O26" s="14">
        <v>75.864400000000003</v>
      </c>
      <c r="P26" s="17">
        <f t="shared" si="4"/>
        <v>0.56858704243933778</v>
      </c>
      <c r="Q26" s="14">
        <v>14.192</v>
      </c>
      <c r="R26" s="14">
        <v>-38.132399999999997</v>
      </c>
      <c r="S26" s="17">
        <f t="shared" si="5"/>
        <v>3.6868940248027053</v>
      </c>
      <c r="T26" s="14">
        <v>87.393100000000004</v>
      </c>
      <c r="U26" s="14">
        <v>74.970200000000006</v>
      </c>
      <c r="V26" s="17">
        <f t="shared" si="6"/>
        <v>0.14214966627800132</v>
      </c>
      <c r="W26" s="14">
        <v>66.656400000000005</v>
      </c>
      <c r="X26" s="14">
        <v>38.383200000000002</v>
      </c>
      <c r="Y26" s="18">
        <f t="shared" si="7"/>
        <v>0.42416332115145733</v>
      </c>
      <c r="Z26" s="19">
        <v>6.6919500000000003E-3</v>
      </c>
      <c r="AA26" s="19">
        <v>5.5754900000000003</v>
      </c>
      <c r="AB26" s="19">
        <v>0</v>
      </c>
      <c r="AC26" s="19">
        <v>0</v>
      </c>
    </row>
    <row r="27" spans="1:29" x14ac:dyDescent="0.2">
      <c r="A27" s="14">
        <v>2044</v>
      </c>
      <c r="B27" s="14">
        <v>288.798</v>
      </c>
      <c r="C27" s="14">
        <v>147.35900000000001</v>
      </c>
      <c r="D27" s="17">
        <f t="shared" si="0"/>
        <v>0.4897506215417004</v>
      </c>
      <c r="E27" s="14">
        <v>134.99700000000001</v>
      </c>
      <c r="F27" s="14">
        <v>44.203699999999998</v>
      </c>
      <c r="G27" s="17">
        <f t="shared" si="1"/>
        <v>0.67255790869426735</v>
      </c>
      <c r="H27" s="14">
        <v>16.7639</v>
      </c>
      <c r="I27" s="14">
        <v>8.6179900000000007</v>
      </c>
      <c r="J27" s="17">
        <f t="shared" si="2"/>
        <v>0.48591974421226558</v>
      </c>
      <c r="K27" s="14">
        <v>5.2034099999999999</v>
      </c>
      <c r="L27" s="14">
        <v>2.5002399999999998</v>
      </c>
      <c r="M27" s="17">
        <f t="shared" si="3"/>
        <v>0.51949971268841011</v>
      </c>
      <c r="N27" s="14">
        <v>178.30799999999999</v>
      </c>
      <c r="O27" s="14">
        <v>70.866299999999995</v>
      </c>
      <c r="P27" s="17">
        <f t="shared" si="4"/>
        <v>0.60256242008210514</v>
      </c>
      <c r="Q27" s="14">
        <v>13.9953</v>
      </c>
      <c r="R27" s="14">
        <v>-43.9773</v>
      </c>
      <c r="S27" s="17">
        <f t="shared" si="5"/>
        <v>4.1422906261387746</v>
      </c>
      <c r="T27" s="14">
        <v>87.513300000000001</v>
      </c>
      <c r="U27" s="14">
        <v>74.232900000000001</v>
      </c>
      <c r="V27" s="17">
        <f t="shared" si="6"/>
        <v>0.15175293355409977</v>
      </c>
      <c r="W27" s="14">
        <v>67.343400000000003</v>
      </c>
      <c r="X27" s="14">
        <v>37.108400000000003</v>
      </c>
      <c r="Y27" s="18">
        <f t="shared" si="7"/>
        <v>0.44896753059691075</v>
      </c>
      <c r="Z27" s="19">
        <v>7.6772799999999999E-3</v>
      </c>
      <c r="AA27" s="19">
        <v>5.89513</v>
      </c>
      <c r="AB27" s="19">
        <v>0</v>
      </c>
      <c r="AC27" s="19">
        <v>0</v>
      </c>
    </row>
    <row r="28" spans="1:29" x14ac:dyDescent="0.2">
      <c r="A28" s="14">
        <v>2045</v>
      </c>
      <c r="B28" s="14">
        <v>296.85599999999999</v>
      </c>
      <c r="C28" s="14">
        <v>142.416</v>
      </c>
      <c r="D28" s="17">
        <f t="shared" si="0"/>
        <v>0.52025224351200583</v>
      </c>
      <c r="E28" s="14">
        <v>135.75200000000001</v>
      </c>
      <c r="F28" s="14">
        <v>38.560899999999997</v>
      </c>
      <c r="G28" s="17">
        <f t="shared" si="1"/>
        <v>0.71594598974600743</v>
      </c>
      <c r="H28" s="14">
        <v>16.804600000000001</v>
      </c>
      <c r="I28" s="14">
        <v>8.0101499999999994</v>
      </c>
      <c r="J28" s="17">
        <f t="shared" si="2"/>
        <v>0.52333587232067413</v>
      </c>
      <c r="K28" s="14">
        <v>5.2812700000000001</v>
      </c>
      <c r="L28" s="14">
        <v>2.3248899999999999</v>
      </c>
      <c r="M28" s="17">
        <f t="shared" si="3"/>
        <v>0.55978580909516085</v>
      </c>
      <c r="N28" s="14">
        <v>180.791</v>
      </c>
      <c r="O28" s="14">
        <v>65.9435</v>
      </c>
      <c r="P28" s="17">
        <f t="shared" si="4"/>
        <v>0.63525009541404165</v>
      </c>
      <c r="Q28" s="14">
        <v>13.7986</v>
      </c>
      <c r="R28" s="14">
        <v>-50.110599999999998</v>
      </c>
      <c r="S28" s="17">
        <f t="shared" si="5"/>
        <v>4.6315713188294465</v>
      </c>
      <c r="T28" s="14">
        <v>87.66</v>
      </c>
      <c r="U28" s="14">
        <v>74.009500000000003</v>
      </c>
      <c r="V28" s="17">
        <f t="shared" si="6"/>
        <v>0.15572096737394472</v>
      </c>
      <c r="W28" s="14">
        <v>68.0304</v>
      </c>
      <c r="X28" s="14">
        <v>36.492699999999999</v>
      </c>
      <c r="Y28" s="18">
        <f t="shared" si="7"/>
        <v>0.46358245725440395</v>
      </c>
      <c r="Z28" s="19">
        <v>8.7280799999999992E-3</v>
      </c>
      <c r="AA28" s="19">
        <v>6.2328999999999999</v>
      </c>
      <c r="AB28" s="19">
        <v>0</v>
      </c>
      <c r="AC28" s="19">
        <v>0</v>
      </c>
    </row>
    <row r="29" spans="1:29" x14ac:dyDescent="0.2">
      <c r="A29" s="14">
        <v>2046</v>
      </c>
      <c r="B29" s="14">
        <v>305.26600000000002</v>
      </c>
      <c r="C29" s="14">
        <v>137.17099999999999</v>
      </c>
      <c r="D29" s="17">
        <f t="shared" si="0"/>
        <v>0.55065090773292802</v>
      </c>
      <c r="E29" s="14">
        <v>136.958</v>
      </c>
      <c r="F29" s="14">
        <v>33.366</v>
      </c>
      <c r="G29" s="17">
        <f t="shared" si="1"/>
        <v>0.75637786766746007</v>
      </c>
      <c r="H29" s="14">
        <v>16.845700000000001</v>
      </c>
      <c r="I29" s="14">
        <v>7.4010499999999997</v>
      </c>
      <c r="J29" s="17">
        <f t="shared" si="2"/>
        <v>0.5606564286435114</v>
      </c>
      <c r="K29" s="14">
        <v>5.3610800000000003</v>
      </c>
      <c r="L29" s="14">
        <v>2.1438899999999999</v>
      </c>
      <c r="M29" s="17">
        <f t="shared" si="3"/>
        <v>0.60010109903228459</v>
      </c>
      <c r="N29" s="14">
        <v>183.268</v>
      </c>
      <c r="O29" s="14">
        <v>61.607300000000002</v>
      </c>
      <c r="P29" s="17">
        <f t="shared" si="4"/>
        <v>0.66384038675600754</v>
      </c>
      <c r="Q29" s="14">
        <v>13.7019</v>
      </c>
      <c r="R29" s="14">
        <v>-56.432600000000001</v>
      </c>
      <c r="S29" s="17">
        <f t="shared" si="5"/>
        <v>5.1185966909698655</v>
      </c>
      <c r="T29" s="14">
        <v>87.752200000000002</v>
      </c>
      <c r="U29" s="14">
        <v>72.458799999999997</v>
      </c>
      <c r="V29" s="17">
        <f t="shared" si="6"/>
        <v>0.17427939128591655</v>
      </c>
      <c r="W29" s="14">
        <v>68.686300000000003</v>
      </c>
      <c r="X29" s="14">
        <v>35.39</v>
      </c>
      <c r="Y29" s="18">
        <f t="shared" si="7"/>
        <v>0.48475896940146729</v>
      </c>
      <c r="Z29" s="19">
        <v>9.8285100000000004E-3</v>
      </c>
      <c r="AA29" s="19">
        <v>6.5615399999999999</v>
      </c>
      <c r="AB29" s="19">
        <v>0</v>
      </c>
      <c r="AC29" s="19">
        <v>0</v>
      </c>
    </row>
    <row r="30" spans="1:29" x14ac:dyDescent="0.2">
      <c r="A30" s="14">
        <v>2047</v>
      </c>
      <c r="B30" s="14">
        <v>313.82499999999999</v>
      </c>
      <c r="C30" s="14">
        <v>131.696</v>
      </c>
      <c r="D30" s="17">
        <f t="shared" si="0"/>
        <v>0.58035210706604001</v>
      </c>
      <c r="E30" s="14">
        <v>137.54599999999999</v>
      </c>
      <c r="F30" s="14">
        <v>28.2727</v>
      </c>
      <c r="G30" s="17">
        <f t="shared" si="1"/>
        <v>0.79444912974568505</v>
      </c>
      <c r="H30" s="14">
        <v>16.889199999999999</v>
      </c>
      <c r="I30" s="14">
        <v>6.78505</v>
      </c>
      <c r="J30" s="17">
        <f t="shared" si="2"/>
        <v>0.59826101887596805</v>
      </c>
      <c r="K30" s="14">
        <v>5.4410999999999996</v>
      </c>
      <c r="L30" s="14">
        <v>1.958</v>
      </c>
      <c r="M30" s="17">
        <f t="shared" si="3"/>
        <v>0.64014629394791489</v>
      </c>
      <c r="N30" s="14">
        <v>185.77</v>
      </c>
      <c r="O30" s="14">
        <v>56.912999999999997</v>
      </c>
      <c r="P30" s="17">
        <f t="shared" si="4"/>
        <v>0.69363729342735647</v>
      </c>
      <c r="Q30" s="14">
        <v>13.505100000000001</v>
      </c>
      <c r="R30" s="14">
        <v>-63.143099999999997</v>
      </c>
      <c r="S30" s="17">
        <f t="shared" si="5"/>
        <v>5.6755003665282002</v>
      </c>
      <c r="T30" s="14">
        <v>87.872600000000006</v>
      </c>
      <c r="U30" s="14">
        <v>71.961600000000004</v>
      </c>
      <c r="V30" s="17">
        <f t="shared" si="6"/>
        <v>0.18106895664860265</v>
      </c>
      <c r="W30" s="14">
        <v>69.369399999999999</v>
      </c>
      <c r="X30" s="14">
        <v>34.7395</v>
      </c>
      <c r="Y30" s="18">
        <f t="shared" si="7"/>
        <v>0.4992100263228455</v>
      </c>
      <c r="Z30" s="19">
        <v>1.0985099999999999E-2</v>
      </c>
      <c r="AA30" s="19">
        <v>6.8975900000000001</v>
      </c>
      <c r="AB30" s="19">
        <v>0</v>
      </c>
      <c r="AC30" s="19">
        <v>0</v>
      </c>
    </row>
    <row r="31" spans="1:29" x14ac:dyDescent="0.2">
      <c r="A31" s="14">
        <v>2048</v>
      </c>
      <c r="B31" s="14">
        <v>323.23700000000002</v>
      </c>
      <c r="C31" s="14">
        <v>126.239</v>
      </c>
      <c r="D31" s="17">
        <f t="shared" si="0"/>
        <v>0.60945374446613476</v>
      </c>
      <c r="E31" s="14">
        <v>138.25299999999999</v>
      </c>
      <c r="F31" s="14">
        <v>24.5931</v>
      </c>
      <c r="G31" s="17">
        <f t="shared" si="1"/>
        <v>0.82211525247191741</v>
      </c>
      <c r="H31" s="14">
        <v>16.933</v>
      </c>
      <c r="I31" s="14">
        <v>6.1866300000000001</v>
      </c>
      <c r="J31" s="17">
        <f t="shared" si="2"/>
        <v>0.63464064253233321</v>
      </c>
      <c r="K31" s="14">
        <v>5.5224000000000002</v>
      </c>
      <c r="L31" s="14">
        <v>1.77485</v>
      </c>
      <c r="M31" s="17">
        <f t="shared" si="3"/>
        <v>0.67860893814283652</v>
      </c>
      <c r="N31" s="14">
        <v>188.255</v>
      </c>
      <c r="O31" s="14">
        <v>52.229599999999998</v>
      </c>
      <c r="P31" s="17">
        <f t="shared" si="4"/>
        <v>0.72255929457384926</v>
      </c>
      <c r="Q31" s="14">
        <v>13.4084</v>
      </c>
      <c r="R31" s="14">
        <v>-70.042100000000005</v>
      </c>
      <c r="S31" s="17">
        <f t="shared" si="5"/>
        <v>6.2237477998866382</v>
      </c>
      <c r="T31" s="14">
        <v>87.964600000000004</v>
      </c>
      <c r="U31" s="14">
        <v>71.533000000000001</v>
      </c>
      <c r="V31" s="17">
        <f t="shared" si="6"/>
        <v>0.18679787096172781</v>
      </c>
      <c r="W31" s="14">
        <v>70.024600000000007</v>
      </c>
      <c r="X31" s="14">
        <v>34.191800000000001</v>
      </c>
      <c r="Y31" s="18">
        <f t="shared" si="7"/>
        <v>0.51171731077364246</v>
      </c>
      <c r="Z31" s="19">
        <v>1.2210199999999999E-2</v>
      </c>
      <c r="AA31" s="19">
        <v>7.23698</v>
      </c>
      <c r="AB31" s="19">
        <v>0</v>
      </c>
      <c r="AC31" s="19">
        <v>0</v>
      </c>
    </row>
    <row r="32" spans="1:29" x14ac:dyDescent="0.2">
      <c r="A32" s="14">
        <v>2049</v>
      </c>
      <c r="B32" s="14">
        <v>333.23899999999998</v>
      </c>
      <c r="C32" s="14">
        <v>120.63200000000001</v>
      </c>
      <c r="D32" s="17">
        <f t="shared" si="0"/>
        <v>0.63800155443990647</v>
      </c>
      <c r="E32" s="14">
        <v>138.98699999999999</v>
      </c>
      <c r="F32" s="14">
        <v>21.773800000000001</v>
      </c>
      <c r="G32" s="17">
        <f t="shared" si="1"/>
        <v>0.84333930511486688</v>
      </c>
      <c r="H32" s="14">
        <v>16.9787</v>
      </c>
      <c r="I32" s="14">
        <v>5.5860000000000003</v>
      </c>
      <c r="J32" s="17">
        <f t="shared" si="2"/>
        <v>0.67099954649060289</v>
      </c>
      <c r="K32" s="14">
        <v>5.6051900000000003</v>
      </c>
      <c r="L32" s="14">
        <v>1.58917</v>
      </c>
      <c r="M32" s="17">
        <f t="shared" si="3"/>
        <v>0.71648240291586907</v>
      </c>
      <c r="N32" s="14">
        <v>190.74199999999999</v>
      </c>
      <c r="O32" s="14">
        <v>47.926699999999997</v>
      </c>
      <c r="P32" s="17">
        <f t="shared" si="4"/>
        <v>0.74873546465906815</v>
      </c>
      <c r="Q32" s="14">
        <v>13.212</v>
      </c>
      <c r="R32" s="14">
        <v>-77.329400000000007</v>
      </c>
      <c r="S32" s="17">
        <f t="shared" si="5"/>
        <v>6.8529669996972462</v>
      </c>
      <c r="T32" s="14">
        <v>88.056200000000004</v>
      </c>
      <c r="U32" s="14">
        <v>71.075199999999995</v>
      </c>
      <c r="V32" s="17">
        <f t="shared" si="6"/>
        <v>0.19284275269657342</v>
      </c>
      <c r="W32" s="14">
        <v>70.707800000000006</v>
      </c>
      <c r="X32" s="14">
        <v>33.675199999999997</v>
      </c>
      <c r="Y32" s="18">
        <f t="shared" si="7"/>
        <v>0.52374136941044702</v>
      </c>
      <c r="Z32" s="19">
        <v>1.3479E-2</v>
      </c>
      <c r="AA32" s="19">
        <v>7.5897800000000002</v>
      </c>
      <c r="AB32" s="19">
        <v>0</v>
      </c>
      <c r="AC32" s="19">
        <v>0</v>
      </c>
    </row>
    <row r="33" spans="1:29" x14ac:dyDescent="0.2">
      <c r="A33" s="20">
        <v>2050</v>
      </c>
      <c r="B33" s="14">
        <v>343.92599999999999</v>
      </c>
      <c r="C33" s="14">
        <v>114.92</v>
      </c>
      <c r="D33" s="21">
        <f t="shared" si="0"/>
        <v>0.66585835325040843</v>
      </c>
      <c r="E33" s="14">
        <v>140.91900000000001</v>
      </c>
      <c r="F33" s="14">
        <v>19.5245</v>
      </c>
      <c r="G33" s="21">
        <f t="shared" si="1"/>
        <v>0.86144877553772026</v>
      </c>
      <c r="H33" s="14">
        <v>17.027100000000001</v>
      </c>
      <c r="I33" s="14">
        <v>4.9922399999999998</v>
      </c>
      <c r="J33" s="21">
        <f t="shared" si="2"/>
        <v>0.7068062089257714</v>
      </c>
      <c r="K33" s="14">
        <v>5.6899800000000003</v>
      </c>
      <c r="L33" s="14">
        <v>1.4034599999999999</v>
      </c>
      <c r="M33" s="21">
        <f t="shared" si="3"/>
        <v>0.75334535446521778</v>
      </c>
      <c r="N33" s="14">
        <v>193.22800000000001</v>
      </c>
      <c r="O33" s="14">
        <v>43.720399999999998</v>
      </c>
      <c r="P33" s="21">
        <f t="shared" si="4"/>
        <v>0.77373672552632133</v>
      </c>
      <c r="Q33" s="14">
        <v>13.115</v>
      </c>
      <c r="R33" s="14">
        <v>-84.805800000000005</v>
      </c>
      <c r="S33" s="21">
        <f t="shared" si="5"/>
        <v>7.4663210064811283</v>
      </c>
      <c r="T33" s="14">
        <v>88.203299999999999</v>
      </c>
      <c r="U33" s="14">
        <v>70.676699999999997</v>
      </c>
      <c r="V33" s="21">
        <f t="shared" si="6"/>
        <v>0.19870685110421041</v>
      </c>
      <c r="W33" s="14">
        <v>71.363699999999994</v>
      </c>
      <c r="X33" s="14">
        <v>33.188800000000001</v>
      </c>
      <c r="Y33" s="22">
        <f t="shared" si="7"/>
        <v>0.53493442744700737</v>
      </c>
      <c r="Z33" s="19">
        <v>1.47896E-2</v>
      </c>
      <c r="AA33" s="19">
        <v>7.95181</v>
      </c>
      <c r="AB33" s="19">
        <v>0</v>
      </c>
      <c r="AC33" s="19">
        <v>0</v>
      </c>
    </row>
    <row r="47" spans="1:29" x14ac:dyDescent="0.2">
      <c r="C47" s="2"/>
      <c r="D47" s="2"/>
      <c r="E47" s="2"/>
      <c r="F47" s="2"/>
      <c r="G47" s="2"/>
      <c r="H47" s="2"/>
      <c r="I47" s="2"/>
    </row>
    <row r="48" spans="1:29" x14ac:dyDescent="0.2">
      <c r="C48" s="2"/>
      <c r="D48" s="2"/>
      <c r="E48" s="2"/>
      <c r="F48" s="2"/>
      <c r="G4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410F-AACE-434F-9D03-AFA0378313B1}">
  <dimension ref="A1:M19"/>
  <sheetViews>
    <sheetView workbookViewId="0">
      <selection activeCell="D18" sqref="D18"/>
    </sheetView>
  </sheetViews>
  <sheetFormatPr baseColWidth="10" defaultRowHeight="16" x14ac:dyDescent="0.2"/>
  <sheetData>
    <row r="1" spans="1:13" x14ac:dyDescent="0.2">
      <c r="A1" s="6" t="s">
        <v>53</v>
      </c>
    </row>
    <row r="2" spans="1:13" x14ac:dyDescent="0.2">
      <c r="A2" s="29">
        <v>2020</v>
      </c>
      <c r="B2" s="29"/>
      <c r="C2" s="29"/>
      <c r="D2" s="6"/>
      <c r="E2" s="6"/>
      <c r="F2" s="29">
        <v>2030</v>
      </c>
      <c r="G2" s="29"/>
      <c r="H2" s="29"/>
      <c r="I2" s="6"/>
      <c r="J2" s="6"/>
      <c r="K2" s="29">
        <v>2050</v>
      </c>
      <c r="L2" s="29"/>
      <c r="M2" s="29"/>
    </row>
    <row r="3" spans="1:13" x14ac:dyDescent="0.2">
      <c r="A3" s="6" t="s">
        <v>46</v>
      </c>
      <c r="B3" s="6" t="s">
        <v>1</v>
      </c>
      <c r="C3" s="6" t="s">
        <v>2</v>
      </c>
      <c r="D3" s="6"/>
      <c r="E3" s="6"/>
      <c r="F3" s="6" t="s">
        <v>46</v>
      </c>
      <c r="G3" s="6" t="s">
        <v>1</v>
      </c>
      <c r="H3" s="6" t="s">
        <v>2</v>
      </c>
      <c r="I3" s="6"/>
      <c r="J3" s="6"/>
      <c r="K3" s="6" t="s">
        <v>46</v>
      </c>
      <c r="L3" s="6" t="s">
        <v>1</v>
      </c>
      <c r="M3" s="6" t="s">
        <v>2</v>
      </c>
    </row>
    <row r="4" spans="1:13" x14ac:dyDescent="0.2">
      <c r="A4" t="s">
        <v>44</v>
      </c>
      <c r="B4">
        <v>5460</v>
      </c>
      <c r="C4">
        <v>5460</v>
      </c>
      <c r="F4" t="s">
        <v>44</v>
      </c>
      <c r="G4">
        <v>4170</v>
      </c>
      <c r="H4">
        <v>0</v>
      </c>
      <c r="K4" t="s">
        <v>44</v>
      </c>
      <c r="L4">
        <v>2880</v>
      </c>
      <c r="M4">
        <v>0</v>
      </c>
    </row>
    <row r="5" spans="1:13" x14ac:dyDescent="0.2">
      <c r="A5" t="s">
        <v>47</v>
      </c>
      <c r="B5">
        <v>33656</v>
      </c>
      <c r="C5">
        <v>33656</v>
      </c>
      <c r="F5" t="s">
        <v>47</v>
      </c>
      <c r="G5">
        <v>36236</v>
      </c>
      <c r="H5">
        <v>38620</v>
      </c>
      <c r="K5" t="s">
        <v>47</v>
      </c>
      <c r="L5">
        <v>48976</v>
      </c>
      <c r="M5">
        <v>14566</v>
      </c>
    </row>
    <row r="6" spans="1:13" x14ac:dyDescent="0.2">
      <c r="A6" t="s">
        <v>45</v>
      </c>
      <c r="B6">
        <v>12600</v>
      </c>
      <c r="C6">
        <v>12600</v>
      </c>
      <c r="F6" t="s">
        <v>45</v>
      </c>
      <c r="G6">
        <v>12600</v>
      </c>
      <c r="H6">
        <v>12600</v>
      </c>
      <c r="K6" t="s">
        <v>45</v>
      </c>
      <c r="L6">
        <v>12600</v>
      </c>
      <c r="M6">
        <v>12600</v>
      </c>
    </row>
    <row r="7" spans="1:13" x14ac:dyDescent="0.2">
      <c r="A7" t="s">
        <v>48</v>
      </c>
      <c r="B7">
        <v>11735</v>
      </c>
      <c r="C7">
        <v>11735</v>
      </c>
      <c r="F7" t="s">
        <v>48</v>
      </c>
      <c r="G7">
        <v>19180</v>
      </c>
      <c r="H7">
        <v>25570</v>
      </c>
      <c r="K7" t="s">
        <v>48</v>
      </c>
      <c r="L7">
        <v>30745</v>
      </c>
      <c r="M7">
        <v>50970</v>
      </c>
    </row>
    <row r="8" spans="1:13" x14ac:dyDescent="0.2">
      <c r="A8" t="s">
        <v>49</v>
      </c>
      <c r="B8">
        <v>13360</v>
      </c>
      <c r="C8">
        <v>13360</v>
      </c>
      <c r="F8" t="s">
        <v>49</v>
      </c>
      <c r="G8">
        <v>33276</v>
      </c>
      <c r="H8">
        <v>53712</v>
      </c>
      <c r="K8" t="s">
        <v>49</v>
      </c>
      <c r="L8">
        <v>76136</v>
      </c>
      <c r="M8">
        <v>151000</v>
      </c>
    </row>
    <row r="9" spans="1:13" x14ac:dyDescent="0.2">
      <c r="A9" t="s">
        <v>50</v>
      </c>
      <c r="B9">
        <v>10170</v>
      </c>
      <c r="C9">
        <v>10170</v>
      </c>
      <c r="F9" t="s">
        <v>50</v>
      </c>
      <c r="G9">
        <v>6579</v>
      </c>
      <c r="H9">
        <v>308</v>
      </c>
      <c r="K9" t="s">
        <v>50</v>
      </c>
      <c r="L9">
        <v>7492</v>
      </c>
      <c r="M9">
        <v>0</v>
      </c>
    </row>
    <row r="10" spans="1:13" x14ac:dyDescent="0.2">
      <c r="A10" t="s">
        <v>51</v>
      </c>
      <c r="B10">
        <v>3404</v>
      </c>
      <c r="C10">
        <v>3404</v>
      </c>
      <c r="F10" t="s">
        <v>51</v>
      </c>
      <c r="G10">
        <v>4054</v>
      </c>
      <c r="H10">
        <v>3360</v>
      </c>
      <c r="K10" t="s">
        <v>51</v>
      </c>
      <c r="L10">
        <v>4572</v>
      </c>
      <c r="M10">
        <v>2592</v>
      </c>
    </row>
    <row r="11" spans="1:13" x14ac:dyDescent="0.2">
      <c r="B11" s="1"/>
      <c r="C11" s="1"/>
    </row>
    <row r="12" spans="1:13" x14ac:dyDescent="0.2">
      <c r="B12" s="1"/>
      <c r="C12" s="1"/>
    </row>
    <row r="13" spans="1:13" x14ac:dyDescent="0.2">
      <c r="B13" s="1"/>
      <c r="C13" s="1"/>
    </row>
    <row r="14" spans="1:13" x14ac:dyDescent="0.2">
      <c r="B14" s="1"/>
      <c r="C14" s="1"/>
    </row>
    <row r="15" spans="1:13" x14ac:dyDescent="0.2">
      <c r="B15" s="1"/>
      <c r="C15" s="1"/>
    </row>
    <row r="16" spans="1:13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</sheetData>
  <mergeCells count="3">
    <mergeCell ref="A2:C2"/>
    <mergeCell ref="F2:H2"/>
    <mergeCell ref="K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4D52-F59F-8540-A129-C66B1F700B7B}">
  <dimension ref="A1:U33"/>
  <sheetViews>
    <sheetView workbookViewId="0">
      <selection activeCell="D6" sqref="D6"/>
    </sheetView>
  </sheetViews>
  <sheetFormatPr baseColWidth="10" defaultRowHeight="16" x14ac:dyDescent="0.2"/>
  <sheetData>
    <row r="1" spans="1:21" s="6" customFormat="1" x14ac:dyDescent="0.2">
      <c r="A1" s="6" t="s">
        <v>75</v>
      </c>
    </row>
    <row r="2" spans="1:21" ht="68" x14ac:dyDescent="0.2">
      <c r="A2" s="11" t="s">
        <v>0</v>
      </c>
      <c r="B2" s="11" t="s">
        <v>55</v>
      </c>
      <c r="C2" s="11" t="s">
        <v>56</v>
      </c>
      <c r="D2" s="11" t="s">
        <v>57</v>
      </c>
      <c r="E2" s="11" t="s">
        <v>58</v>
      </c>
      <c r="F2" s="11" t="s">
        <v>59</v>
      </c>
      <c r="G2" s="11" t="s">
        <v>60</v>
      </c>
      <c r="H2" s="11" t="s">
        <v>61</v>
      </c>
      <c r="I2" s="11" t="s">
        <v>62</v>
      </c>
      <c r="J2" s="11" t="s">
        <v>63</v>
      </c>
      <c r="K2" s="11" t="s">
        <v>64</v>
      </c>
      <c r="L2" s="11" t="s">
        <v>65</v>
      </c>
      <c r="M2" s="11" t="s">
        <v>66</v>
      </c>
      <c r="N2" s="11" t="s">
        <v>67</v>
      </c>
      <c r="O2" s="11" t="s">
        <v>68</v>
      </c>
      <c r="P2" s="11" t="s">
        <v>69</v>
      </c>
      <c r="Q2" s="11" t="s">
        <v>70</v>
      </c>
      <c r="R2" s="11" t="s">
        <v>71</v>
      </c>
      <c r="S2" s="11" t="s">
        <v>72</v>
      </c>
      <c r="T2" s="11" t="s">
        <v>73</v>
      </c>
      <c r="U2" s="11" t="s">
        <v>74</v>
      </c>
    </row>
    <row r="3" spans="1:21" x14ac:dyDescent="0.2">
      <c r="A3">
        <v>2020</v>
      </c>
      <c r="B3">
        <v>16.484400000000001</v>
      </c>
      <c r="C3">
        <v>4.53718E-3</v>
      </c>
      <c r="D3">
        <v>1155.23</v>
      </c>
      <c r="E3">
        <v>846.68100000000004</v>
      </c>
      <c r="F3">
        <v>6.18872</v>
      </c>
      <c r="G3">
        <v>31.935500000000001</v>
      </c>
      <c r="H3">
        <v>110.95399999999999</v>
      </c>
      <c r="I3">
        <v>0</v>
      </c>
      <c r="J3">
        <v>0.26997300000000002</v>
      </c>
      <c r="K3">
        <v>0</v>
      </c>
      <c r="L3">
        <v>16.484400000000001</v>
      </c>
      <c r="M3">
        <v>4.53718E-3</v>
      </c>
      <c r="N3">
        <v>1155.23</v>
      </c>
      <c r="O3">
        <v>846.68100000000004</v>
      </c>
      <c r="P3">
        <v>6.18872</v>
      </c>
      <c r="Q3">
        <v>31.935500000000001</v>
      </c>
      <c r="R3">
        <v>110.95399999999999</v>
      </c>
      <c r="S3">
        <v>0</v>
      </c>
      <c r="T3">
        <v>0.26997300000000002</v>
      </c>
      <c r="U3">
        <v>0</v>
      </c>
    </row>
    <row r="4" spans="1:21" x14ac:dyDescent="0.2">
      <c r="A4">
        <v>2021</v>
      </c>
      <c r="B4">
        <v>17.190999999999999</v>
      </c>
      <c r="C4">
        <v>9.1694600000000008E-3</v>
      </c>
      <c r="D4">
        <v>1177.6500000000001</v>
      </c>
      <c r="E4">
        <v>873.71900000000005</v>
      </c>
      <c r="F4">
        <v>6.8376400000000004</v>
      </c>
      <c r="G4">
        <v>37.927799999999998</v>
      </c>
      <c r="H4">
        <v>113.17100000000001</v>
      </c>
      <c r="I4">
        <v>0</v>
      </c>
      <c r="J4">
        <v>0.25698399999999999</v>
      </c>
      <c r="K4" s="2">
        <v>5.0977999999999999E-5</v>
      </c>
      <c r="L4">
        <v>17.190999999999999</v>
      </c>
      <c r="M4">
        <v>9.1694600000000008E-3</v>
      </c>
      <c r="N4">
        <v>1177.6500000000001</v>
      </c>
      <c r="O4">
        <v>873.71900000000005</v>
      </c>
      <c r="P4">
        <v>6.8376400000000004</v>
      </c>
      <c r="Q4">
        <v>37.927799999999998</v>
      </c>
      <c r="R4">
        <v>113.17100000000001</v>
      </c>
      <c r="S4">
        <v>0</v>
      </c>
      <c r="T4">
        <v>0.25698399999999999</v>
      </c>
      <c r="U4" s="2">
        <v>5.0977999999999999E-5</v>
      </c>
    </row>
    <row r="5" spans="1:21" x14ac:dyDescent="0.2">
      <c r="A5">
        <v>2022</v>
      </c>
      <c r="B5">
        <v>17.970500000000001</v>
      </c>
      <c r="C5">
        <v>1.39515E-2</v>
      </c>
      <c r="D5">
        <v>1201.6300000000001</v>
      </c>
      <c r="E5">
        <v>906.95299999999997</v>
      </c>
      <c r="F5">
        <v>7.0253899999999998</v>
      </c>
      <c r="G5">
        <v>39.455399999999997</v>
      </c>
      <c r="H5">
        <v>115.553</v>
      </c>
      <c r="I5">
        <v>0</v>
      </c>
      <c r="J5">
        <v>0.24367800000000001</v>
      </c>
      <c r="K5">
        <v>1.0235599999999999E-4</v>
      </c>
      <c r="L5">
        <v>17.970500000000001</v>
      </c>
      <c r="M5">
        <v>1.39515E-2</v>
      </c>
      <c r="N5">
        <v>1201.6300000000001</v>
      </c>
      <c r="O5">
        <v>906.95299999999997</v>
      </c>
      <c r="P5">
        <v>7.0253899999999998</v>
      </c>
      <c r="Q5">
        <v>39.455399999999997</v>
      </c>
      <c r="R5">
        <v>115.553</v>
      </c>
      <c r="S5">
        <v>0</v>
      </c>
      <c r="T5">
        <v>0.24367800000000001</v>
      </c>
      <c r="U5">
        <v>1.0235599999999999E-4</v>
      </c>
    </row>
    <row r="6" spans="1:21" x14ac:dyDescent="0.2">
      <c r="A6">
        <v>2023</v>
      </c>
      <c r="B6">
        <v>18.846399999999999</v>
      </c>
      <c r="C6">
        <v>1.8815200000000001E-2</v>
      </c>
      <c r="D6">
        <v>1226.51</v>
      </c>
      <c r="E6">
        <v>945.99699999999996</v>
      </c>
      <c r="F6">
        <v>7.8605099999999997</v>
      </c>
      <c r="G6">
        <v>37.746899999999997</v>
      </c>
      <c r="H6">
        <v>118.069</v>
      </c>
      <c r="I6">
        <v>0</v>
      </c>
      <c r="J6">
        <v>0.23050300000000001</v>
      </c>
      <c r="K6">
        <v>1.53857E-4</v>
      </c>
      <c r="L6">
        <v>18.846399999999999</v>
      </c>
      <c r="M6">
        <v>1.8815200000000001E-2</v>
      </c>
      <c r="N6">
        <v>1226.51</v>
      </c>
      <c r="O6">
        <v>945.99699999999996</v>
      </c>
      <c r="P6">
        <v>7.8605099999999997</v>
      </c>
      <c r="Q6">
        <v>37.746899999999997</v>
      </c>
      <c r="R6">
        <v>118.069</v>
      </c>
      <c r="S6">
        <v>0</v>
      </c>
      <c r="T6">
        <v>0.23050300000000001</v>
      </c>
      <c r="U6">
        <v>1.53857E-4</v>
      </c>
    </row>
    <row r="7" spans="1:21" x14ac:dyDescent="0.2">
      <c r="A7">
        <v>2024</v>
      </c>
      <c r="B7">
        <v>19.854099999999999</v>
      </c>
      <c r="C7">
        <v>2.3859399999999999E-2</v>
      </c>
      <c r="D7">
        <v>1252.82</v>
      </c>
      <c r="E7">
        <v>984.19299999999998</v>
      </c>
      <c r="F7">
        <v>8.37866</v>
      </c>
      <c r="G7">
        <v>39.1601</v>
      </c>
      <c r="H7">
        <v>120.563</v>
      </c>
      <c r="I7">
        <v>0</v>
      </c>
      <c r="J7">
        <v>0.217556</v>
      </c>
      <c r="K7">
        <v>2.0536099999999999E-4</v>
      </c>
      <c r="L7">
        <v>19.854099999999999</v>
      </c>
      <c r="M7">
        <v>2.3859399999999999E-2</v>
      </c>
      <c r="N7">
        <v>1252.82</v>
      </c>
      <c r="O7">
        <v>984.19299999999998</v>
      </c>
      <c r="P7">
        <v>8.37866</v>
      </c>
      <c r="Q7">
        <v>39.1601</v>
      </c>
      <c r="R7">
        <v>120.563</v>
      </c>
      <c r="S7">
        <v>0</v>
      </c>
      <c r="T7">
        <v>0.217556</v>
      </c>
      <c r="U7">
        <v>2.0536099999999999E-4</v>
      </c>
    </row>
    <row r="8" spans="1:21" x14ac:dyDescent="0.2">
      <c r="A8">
        <v>2025</v>
      </c>
      <c r="B8">
        <v>21.041799999999999</v>
      </c>
      <c r="C8">
        <v>2.8996000000000001E-2</v>
      </c>
      <c r="D8">
        <v>1280.04</v>
      </c>
      <c r="E8">
        <v>1024.4000000000001</v>
      </c>
      <c r="F8">
        <v>8.97865</v>
      </c>
      <c r="G8">
        <v>39.9848</v>
      </c>
      <c r="H8">
        <v>123.264</v>
      </c>
      <c r="I8">
        <v>0</v>
      </c>
      <c r="J8">
        <v>0.20502699999999999</v>
      </c>
      <c r="K8">
        <v>4.0321999999999998E-4</v>
      </c>
      <c r="L8">
        <v>21.041799999999999</v>
      </c>
      <c r="M8">
        <v>2.8996000000000001E-2</v>
      </c>
      <c r="N8">
        <v>1280.04</v>
      </c>
      <c r="O8">
        <v>1024.4000000000001</v>
      </c>
      <c r="P8">
        <v>8.97865</v>
      </c>
      <c r="Q8">
        <v>39.9848</v>
      </c>
      <c r="R8">
        <v>123.264</v>
      </c>
      <c r="S8">
        <v>0</v>
      </c>
      <c r="T8">
        <v>0.20502699999999999</v>
      </c>
      <c r="U8">
        <v>4.0321999999999998E-4</v>
      </c>
    </row>
    <row r="9" spans="1:21" x14ac:dyDescent="0.2">
      <c r="A9">
        <v>2026</v>
      </c>
      <c r="B9">
        <v>22.488800000000001</v>
      </c>
      <c r="C9">
        <v>3.4392699999999998E-2</v>
      </c>
      <c r="D9">
        <v>1308.0899999999999</v>
      </c>
      <c r="E9">
        <v>1064.44</v>
      </c>
      <c r="F9">
        <v>9.5318299999999994</v>
      </c>
      <c r="G9">
        <v>41.816800000000001</v>
      </c>
      <c r="H9">
        <v>126.116</v>
      </c>
      <c r="I9">
        <v>0</v>
      </c>
      <c r="J9">
        <v>0.193133</v>
      </c>
      <c r="K9">
        <v>6.0247199999999995E-4</v>
      </c>
      <c r="L9">
        <v>23.570599999999999</v>
      </c>
      <c r="M9">
        <v>3.40028E-2</v>
      </c>
      <c r="N9">
        <v>1289.3900000000001</v>
      </c>
      <c r="O9">
        <v>1047.17</v>
      </c>
      <c r="P9">
        <v>9.3782300000000003</v>
      </c>
      <c r="Q9">
        <v>41.035600000000002</v>
      </c>
      <c r="R9">
        <v>125.208</v>
      </c>
      <c r="S9">
        <v>0</v>
      </c>
      <c r="T9">
        <v>0.19098699999999999</v>
      </c>
      <c r="U9">
        <v>5.9637299999999998E-4</v>
      </c>
    </row>
    <row r="10" spans="1:21" x14ac:dyDescent="0.2">
      <c r="A10">
        <v>2027</v>
      </c>
      <c r="B10">
        <v>24.425799999999999</v>
      </c>
      <c r="C10">
        <v>4.01216E-2</v>
      </c>
      <c r="D10">
        <v>1337</v>
      </c>
      <c r="E10">
        <v>1106.7</v>
      </c>
      <c r="F10">
        <v>10.035</v>
      </c>
      <c r="G10">
        <v>44.357599999999998</v>
      </c>
      <c r="H10">
        <v>129.27600000000001</v>
      </c>
      <c r="I10">
        <v>0</v>
      </c>
      <c r="J10">
        <v>0.18176800000000001</v>
      </c>
      <c r="K10">
        <v>9.4997300000000001E-4</v>
      </c>
      <c r="L10">
        <v>27.343499999999999</v>
      </c>
      <c r="M10">
        <v>3.9127599999999998E-2</v>
      </c>
      <c r="N10">
        <v>1294.8800000000001</v>
      </c>
      <c r="O10">
        <v>1068.42</v>
      </c>
      <c r="P10">
        <v>9.6773600000000002</v>
      </c>
      <c r="Q10">
        <v>42.5916</v>
      </c>
      <c r="R10">
        <v>127.43600000000001</v>
      </c>
      <c r="S10">
        <v>0</v>
      </c>
      <c r="T10">
        <v>0.17743999999999999</v>
      </c>
      <c r="U10">
        <v>7.5118600000000004E-4</v>
      </c>
    </row>
    <row r="11" spans="1:21" x14ac:dyDescent="0.2">
      <c r="A11">
        <v>2028</v>
      </c>
      <c r="B11">
        <v>26.768000000000001</v>
      </c>
      <c r="C11">
        <v>4.6312699999999998E-2</v>
      </c>
      <c r="D11">
        <v>1368.18</v>
      </c>
      <c r="E11">
        <v>1150.55</v>
      </c>
      <c r="F11">
        <v>10.555</v>
      </c>
      <c r="G11">
        <v>46.566200000000002</v>
      </c>
      <c r="H11">
        <v>132.45699999999999</v>
      </c>
      <c r="I11">
        <v>0</v>
      </c>
      <c r="J11">
        <v>0.171404</v>
      </c>
      <c r="K11">
        <v>1.40014E-3</v>
      </c>
      <c r="L11">
        <v>32.493000000000002</v>
      </c>
      <c r="M11">
        <v>4.45727E-2</v>
      </c>
      <c r="N11">
        <v>1298.1400000000001</v>
      </c>
      <c r="O11">
        <v>1087.3399999999999</v>
      </c>
      <c r="P11">
        <v>9.9430499999999995</v>
      </c>
      <c r="Q11">
        <v>43.626300000000001</v>
      </c>
      <c r="R11">
        <v>129.614</v>
      </c>
      <c r="S11">
        <v>0</v>
      </c>
      <c r="T11">
        <v>0.164877</v>
      </c>
      <c r="U11">
        <v>1.03984E-3</v>
      </c>
    </row>
    <row r="12" spans="1:21" x14ac:dyDescent="0.2">
      <c r="A12">
        <v>2029</v>
      </c>
      <c r="B12">
        <v>29.916699999999999</v>
      </c>
      <c r="C12">
        <v>5.3057800000000002E-2</v>
      </c>
      <c r="D12">
        <v>1400.93</v>
      </c>
      <c r="E12">
        <v>1196.8900000000001</v>
      </c>
      <c r="F12">
        <v>11.1556</v>
      </c>
      <c r="G12">
        <v>48.9846</v>
      </c>
      <c r="H12">
        <v>135.809</v>
      </c>
      <c r="I12">
        <v>0</v>
      </c>
      <c r="J12">
        <v>0.16203500000000001</v>
      </c>
      <c r="K12">
        <v>2.1041800000000002E-3</v>
      </c>
      <c r="L12">
        <v>39.3371</v>
      </c>
      <c r="M12">
        <v>5.0361999999999997E-2</v>
      </c>
      <c r="N12">
        <v>1298.95</v>
      </c>
      <c r="O12">
        <v>1104.82</v>
      </c>
      <c r="P12">
        <v>10.2355</v>
      </c>
      <c r="Q12">
        <v>44.659500000000001</v>
      </c>
      <c r="R12">
        <v>131.904</v>
      </c>
      <c r="S12">
        <v>0</v>
      </c>
      <c r="T12">
        <v>0.153223</v>
      </c>
      <c r="U12">
        <v>1.41091E-3</v>
      </c>
    </row>
    <row r="13" spans="1:21" x14ac:dyDescent="0.2">
      <c r="A13">
        <v>2030</v>
      </c>
      <c r="B13">
        <v>33.8842</v>
      </c>
      <c r="C13">
        <v>6.0199500000000003E-2</v>
      </c>
      <c r="D13">
        <v>1431.8</v>
      </c>
      <c r="E13">
        <v>1244.8699999999999</v>
      </c>
      <c r="F13">
        <v>11.6175</v>
      </c>
      <c r="G13">
        <v>51.546100000000003</v>
      </c>
      <c r="H13">
        <v>139.48400000000001</v>
      </c>
      <c r="I13">
        <v>0</v>
      </c>
      <c r="J13">
        <v>0.15290999999999999</v>
      </c>
      <c r="K13">
        <v>3.1097400000000002E-3</v>
      </c>
      <c r="L13">
        <v>47.849299999999999</v>
      </c>
      <c r="M13">
        <v>5.6365800000000001E-2</v>
      </c>
      <c r="N13">
        <v>1295.02</v>
      </c>
      <c r="O13">
        <v>1120</v>
      </c>
      <c r="P13">
        <v>10.3582</v>
      </c>
      <c r="Q13">
        <v>45.619599999999998</v>
      </c>
      <c r="R13">
        <v>134.49299999999999</v>
      </c>
      <c r="S13">
        <v>0</v>
      </c>
      <c r="T13">
        <v>0.141817</v>
      </c>
      <c r="U13">
        <v>1.95911E-3</v>
      </c>
    </row>
    <row r="14" spans="1:21" x14ac:dyDescent="0.2">
      <c r="A14">
        <v>2031</v>
      </c>
      <c r="B14">
        <v>38.656500000000001</v>
      </c>
      <c r="C14">
        <v>6.7774600000000004E-2</v>
      </c>
      <c r="D14">
        <v>1461.46</v>
      </c>
      <c r="E14">
        <v>1293.83</v>
      </c>
      <c r="F14">
        <v>12.2956</v>
      </c>
      <c r="G14">
        <v>54.104799999999997</v>
      </c>
      <c r="H14">
        <v>143.18700000000001</v>
      </c>
      <c r="I14">
        <v>0</v>
      </c>
      <c r="J14">
        <v>0.144231</v>
      </c>
      <c r="K14">
        <v>4.3698499999999998E-3</v>
      </c>
      <c r="L14">
        <v>57.744500000000002</v>
      </c>
      <c r="M14">
        <v>6.2592400000000006E-2</v>
      </c>
      <c r="N14">
        <v>1286.6500000000001</v>
      </c>
      <c r="O14">
        <v>1132.33</v>
      </c>
      <c r="P14">
        <v>10.628500000000001</v>
      </c>
      <c r="Q14">
        <v>46.371000000000002</v>
      </c>
      <c r="R14">
        <v>137.09200000000001</v>
      </c>
      <c r="S14">
        <v>0</v>
      </c>
      <c r="T14">
        <v>0.130771</v>
      </c>
      <c r="U14">
        <v>2.673E-3</v>
      </c>
    </row>
    <row r="15" spans="1:21" x14ac:dyDescent="0.2">
      <c r="A15">
        <v>2032</v>
      </c>
      <c r="B15">
        <v>44.293999999999997</v>
      </c>
      <c r="C15">
        <v>7.5981900000000005E-2</v>
      </c>
      <c r="D15">
        <v>1489.78</v>
      </c>
      <c r="E15">
        <v>1343.21</v>
      </c>
      <c r="F15">
        <v>12.9765</v>
      </c>
      <c r="G15">
        <v>56.616700000000002</v>
      </c>
      <c r="H15">
        <v>146.607</v>
      </c>
      <c r="I15">
        <v>0</v>
      </c>
      <c r="J15">
        <v>0.136044</v>
      </c>
      <c r="K15">
        <v>6.0298000000000001E-3</v>
      </c>
      <c r="L15">
        <v>69.202699999999993</v>
      </c>
      <c r="M15">
        <v>6.9187399999999996E-2</v>
      </c>
      <c r="N15">
        <v>1274.56</v>
      </c>
      <c r="O15">
        <v>1141.21</v>
      </c>
      <c r="P15">
        <v>10.8552</v>
      </c>
      <c r="Q15">
        <v>46.879399999999997</v>
      </c>
      <c r="R15">
        <v>139.40600000000001</v>
      </c>
      <c r="S15">
        <v>0</v>
      </c>
      <c r="T15">
        <v>0.120157</v>
      </c>
      <c r="U15">
        <v>3.5826299999999998E-3</v>
      </c>
    </row>
    <row r="16" spans="1:21" x14ac:dyDescent="0.2">
      <c r="A16">
        <v>2033</v>
      </c>
      <c r="B16">
        <v>50.910800000000002</v>
      </c>
      <c r="C16">
        <v>8.4824499999999997E-2</v>
      </c>
      <c r="D16">
        <v>1516.8</v>
      </c>
      <c r="E16">
        <v>1394.22</v>
      </c>
      <c r="F16">
        <v>13.6569</v>
      </c>
      <c r="G16">
        <v>59.3108</v>
      </c>
      <c r="H16">
        <v>150.31899999999999</v>
      </c>
      <c r="I16">
        <v>0</v>
      </c>
      <c r="J16">
        <v>0.12840499999999999</v>
      </c>
      <c r="K16">
        <v>8.1888299999999994E-3</v>
      </c>
      <c r="L16">
        <v>82.502899999999997</v>
      </c>
      <c r="M16">
        <v>7.6162099999999996E-2</v>
      </c>
      <c r="N16">
        <v>1259.08</v>
      </c>
      <c r="O16">
        <v>1148.1099999999999</v>
      </c>
      <c r="P16">
        <v>11.0358</v>
      </c>
      <c r="Q16">
        <v>47.350299999999997</v>
      </c>
      <c r="R16">
        <v>141.89099999999999</v>
      </c>
      <c r="S16">
        <v>0</v>
      </c>
      <c r="T16">
        <v>0.110078</v>
      </c>
      <c r="U16">
        <v>4.6032800000000004E-3</v>
      </c>
    </row>
    <row r="17" spans="1:21" x14ac:dyDescent="0.2">
      <c r="A17">
        <v>2034</v>
      </c>
      <c r="B17">
        <v>58.3949</v>
      </c>
      <c r="C17">
        <v>9.4480599999999998E-2</v>
      </c>
      <c r="D17">
        <v>1542.83</v>
      </c>
      <c r="E17">
        <v>1446.94</v>
      </c>
      <c r="F17">
        <v>14.3331</v>
      </c>
      <c r="G17">
        <v>61.945900000000002</v>
      </c>
      <c r="H17">
        <v>154.02199999999999</v>
      </c>
      <c r="I17">
        <v>0</v>
      </c>
      <c r="J17">
        <v>0.12130000000000001</v>
      </c>
      <c r="K17">
        <v>1.0842299999999999E-2</v>
      </c>
      <c r="L17">
        <v>97.478700000000003</v>
      </c>
      <c r="M17">
        <v>8.3566699999999994E-2</v>
      </c>
      <c r="N17">
        <v>1240.9100000000001</v>
      </c>
      <c r="O17">
        <v>1153.02</v>
      </c>
      <c r="P17">
        <v>11.1714</v>
      </c>
      <c r="Q17">
        <v>47.590600000000002</v>
      </c>
      <c r="R17">
        <v>144.26499999999999</v>
      </c>
      <c r="S17">
        <v>0</v>
      </c>
      <c r="T17">
        <v>0.10054399999999999</v>
      </c>
      <c r="U17">
        <v>5.8523999999999998E-3</v>
      </c>
    </row>
    <row r="18" spans="1:21" x14ac:dyDescent="0.2">
      <c r="A18">
        <v>2035</v>
      </c>
      <c r="B18">
        <v>66.675899999999999</v>
      </c>
      <c r="C18">
        <v>0.104874</v>
      </c>
      <c r="D18">
        <v>1567.98</v>
      </c>
      <c r="E18">
        <v>1503.08</v>
      </c>
      <c r="F18">
        <v>15.093</v>
      </c>
      <c r="G18">
        <v>63.204700000000003</v>
      </c>
      <c r="H18">
        <v>157.83600000000001</v>
      </c>
      <c r="I18">
        <v>0</v>
      </c>
      <c r="J18">
        <v>0.114746</v>
      </c>
      <c r="K18">
        <v>1.4033E-2</v>
      </c>
      <c r="L18">
        <v>114.023</v>
      </c>
      <c r="M18">
        <v>9.1365000000000002E-2</v>
      </c>
      <c r="N18">
        <v>1219.54</v>
      </c>
      <c r="O18">
        <v>1157.22</v>
      </c>
      <c r="P18">
        <v>11.321</v>
      </c>
      <c r="Q18">
        <v>46.638800000000003</v>
      </c>
      <c r="R18">
        <v>146.578</v>
      </c>
      <c r="S18">
        <v>0</v>
      </c>
      <c r="T18">
        <v>9.1472499999999998E-2</v>
      </c>
      <c r="U18">
        <v>7.31958E-3</v>
      </c>
    </row>
    <row r="19" spans="1:21" x14ac:dyDescent="0.2">
      <c r="A19">
        <v>2036</v>
      </c>
      <c r="B19">
        <v>75.733599999999996</v>
      </c>
      <c r="C19">
        <v>0.11613900000000001</v>
      </c>
      <c r="D19">
        <v>1591.86</v>
      </c>
      <c r="E19">
        <v>1560.62</v>
      </c>
      <c r="F19">
        <v>15.932600000000001</v>
      </c>
      <c r="G19">
        <v>65.032399999999996</v>
      </c>
      <c r="H19">
        <v>161.75800000000001</v>
      </c>
      <c r="I19">
        <v>0</v>
      </c>
      <c r="J19">
        <v>0.10885499999999999</v>
      </c>
      <c r="K19">
        <v>1.7850399999999999E-2</v>
      </c>
      <c r="L19">
        <v>132.27600000000001</v>
      </c>
      <c r="M19">
        <v>9.94144E-2</v>
      </c>
      <c r="N19">
        <v>1194.5</v>
      </c>
      <c r="O19">
        <v>1158.56</v>
      </c>
      <c r="P19">
        <v>11.4748</v>
      </c>
      <c r="Q19">
        <v>45.981900000000003</v>
      </c>
      <c r="R19">
        <v>148.68700000000001</v>
      </c>
      <c r="S19">
        <v>0</v>
      </c>
      <c r="T19">
        <v>8.2880300000000004E-2</v>
      </c>
      <c r="U19">
        <v>8.9338100000000004E-3</v>
      </c>
    </row>
    <row r="20" spans="1:21" x14ac:dyDescent="0.2">
      <c r="A20">
        <v>2037</v>
      </c>
      <c r="B20">
        <v>85.965999999999994</v>
      </c>
      <c r="C20">
        <v>0.12532399999999999</v>
      </c>
      <c r="D20">
        <v>1607.35</v>
      </c>
      <c r="E20">
        <v>1622.06</v>
      </c>
      <c r="F20">
        <v>16.692399999999999</v>
      </c>
      <c r="G20">
        <v>67.750100000000003</v>
      </c>
      <c r="H20">
        <v>165.79300000000001</v>
      </c>
      <c r="I20">
        <v>0</v>
      </c>
      <c r="J20">
        <v>0.112967</v>
      </c>
      <c r="K20">
        <v>2.24719E-2</v>
      </c>
      <c r="L20">
        <v>152.81899999999999</v>
      </c>
      <c r="M20">
        <v>0.104631</v>
      </c>
      <c r="N20">
        <v>1155.54</v>
      </c>
      <c r="O20">
        <v>1159.5999999999999</v>
      </c>
      <c r="P20">
        <v>11.443199999999999</v>
      </c>
      <c r="Q20">
        <v>45.817</v>
      </c>
      <c r="R20">
        <v>150.977</v>
      </c>
      <c r="S20">
        <v>0</v>
      </c>
      <c r="T20">
        <v>8.2613599999999995E-2</v>
      </c>
      <c r="U20">
        <v>1.08731E-2</v>
      </c>
    </row>
    <row r="21" spans="1:21" x14ac:dyDescent="0.2">
      <c r="A21">
        <v>2038</v>
      </c>
      <c r="B21">
        <v>96.8596</v>
      </c>
      <c r="C21">
        <v>0.13558000000000001</v>
      </c>
      <c r="D21">
        <v>1623.83</v>
      </c>
      <c r="E21">
        <v>1685.36</v>
      </c>
      <c r="F21">
        <v>17.477699999999999</v>
      </c>
      <c r="G21">
        <v>70.337800000000001</v>
      </c>
      <c r="H21">
        <v>169.94499999999999</v>
      </c>
      <c r="I21">
        <v>0</v>
      </c>
      <c r="J21">
        <v>0.117365</v>
      </c>
      <c r="K21">
        <v>2.77828E-2</v>
      </c>
      <c r="L21">
        <v>175.29</v>
      </c>
      <c r="M21">
        <v>0.11005</v>
      </c>
      <c r="N21">
        <v>1114.3499999999999</v>
      </c>
      <c r="O21">
        <v>1158.1600000000001</v>
      </c>
      <c r="P21">
        <v>11.355399999999999</v>
      </c>
      <c r="Q21">
        <v>45.395499999999998</v>
      </c>
      <c r="R21">
        <v>153.32300000000001</v>
      </c>
      <c r="S21">
        <v>0</v>
      </c>
      <c r="T21">
        <v>8.2199800000000003E-2</v>
      </c>
      <c r="U21">
        <v>1.2881699999999999E-2</v>
      </c>
    </row>
    <row r="22" spans="1:21" x14ac:dyDescent="0.2">
      <c r="A22">
        <v>2039</v>
      </c>
      <c r="B22">
        <v>108.44799999999999</v>
      </c>
      <c r="C22">
        <v>0.146839</v>
      </c>
      <c r="D22">
        <v>1640.16</v>
      </c>
      <c r="E22">
        <v>1750.24</v>
      </c>
      <c r="F22">
        <v>18.350100000000001</v>
      </c>
      <c r="G22">
        <v>72.888300000000001</v>
      </c>
      <c r="H22">
        <v>174.22800000000001</v>
      </c>
      <c r="I22">
        <v>0</v>
      </c>
      <c r="J22">
        <v>0.12201099999999999</v>
      </c>
      <c r="K22">
        <v>3.3938299999999998E-2</v>
      </c>
      <c r="L22">
        <v>199.744</v>
      </c>
      <c r="M22">
        <v>0.115449</v>
      </c>
      <c r="N22">
        <v>1069.3399999999999</v>
      </c>
      <c r="O22">
        <v>1153.95</v>
      </c>
      <c r="P22">
        <v>11.2386</v>
      </c>
      <c r="Q22">
        <v>44.7819</v>
      </c>
      <c r="R22">
        <v>155.52099999999999</v>
      </c>
      <c r="S22">
        <v>0</v>
      </c>
      <c r="T22">
        <v>8.1575900000000007E-2</v>
      </c>
      <c r="U22">
        <v>1.5049099999999999E-2</v>
      </c>
    </row>
    <row r="23" spans="1:21" x14ac:dyDescent="0.2">
      <c r="A23">
        <v>2040</v>
      </c>
      <c r="B23">
        <v>120.69799999999999</v>
      </c>
      <c r="C23">
        <v>0.15926699999999999</v>
      </c>
      <c r="D23">
        <v>1657.32</v>
      </c>
      <c r="E23">
        <v>1818.61</v>
      </c>
      <c r="F23">
        <v>19.235499999999998</v>
      </c>
      <c r="G23">
        <v>73.759799999999998</v>
      </c>
      <c r="H23">
        <v>178.636</v>
      </c>
      <c r="I23">
        <v>0</v>
      </c>
      <c r="J23">
        <v>0.126885</v>
      </c>
      <c r="K23">
        <v>4.0840300000000003E-2</v>
      </c>
      <c r="L23">
        <v>226.24700000000001</v>
      </c>
      <c r="M23">
        <v>0.120792</v>
      </c>
      <c r="N23">
        <v>1021.32</v>
      </c>
      <c r="O23">
        <v>1148.03</v>
      </c>
      <c r="P23">
        <v>11.0397</v>
      </c>
      <c r="Q23">
        <v>43.0244</v>
      </c>
      <c r="R23">
        <v>158.12899999999999</v>
      </c>
      <c r="S23">
        <v>0</v>
      </c>
      <c r="T23">
        <v>8.05863E-2</v>
      </c>
      <c r="U23">
        <v>1.7214799999999999E-2</v>
      </c>
    </row>
    <row r="24" spans="1:21" x14ac:dyDescent="0.2">
      <c r="A24">
        <v>2041</v>
      </c>
      <c r="B24">
        <v>133.54599999999999</v>
      </c>
      <c r="C24">
        <v>0.17264499999999999</v>
      </c>
      <c r="D24">
        <v>1675.57</v>
      </c>
      <c r="E24">
        <v>1888.55</v>
      </c>
      <c r="F24">
        <v>20.221399999999999</v>
      </c>
      <c r="G24">
        <v>75.039400000000001</v>
      </c>
      <c r="H24">
        <v>183.173</v>
      </c>
      <c r="I24">
        <v>0</v>
      </c>
      <c r="J24">
        <v>0.13218099999999999</v>
      </c>
      <c r="K24">
        <v>4.8419499999999997E-2</v>
      </c>
      <c r="L24">
        <v>254.77099999999999</v>
      </c>
      <c r="M24">
        <v>0.12578400000000001</v>
      </c>
      <c r="N24">
        <v>969.82299999999998</v>
      </c>
      <c r="O24">
        <v>1138.48</v>
      </c>
      <c r="P24">
        <v>10.8026</v>
      </c>
      <c r="Q24">
        <v>41.415799999999997</v>
      </c>
      <c r="R24">
        <v>160.25</v>
      </c>
      <c r="S24">
        <v>0</v>
      </c>
      <c r="T24">
        <v>7.9332100000000003E-2</v>
      </c>
      <c r="U24">
        <v>1.9408399999999999E-2</v>
      </c>
    </row>
    <row r="25" spans="1:21" x14ac:dyDescent="0.2">
      <c r="A25">
        <v>2042</v>
      </c>
      <c r="B25">
        <v>146.91499999999999</v>
      </c>
      <c r="C25">
        <v>0.18695700000000001</v>
      </c>
      <c r="D25">
        <v>1695.59</v>
      </c>
      <c r="E25">
        <v>1959.02</v>
      </c>
      <c r="F25">
        <v>21.164899999999999</v>
      </c>
      <c r="G25">
        <v>78.040300000000002</v>
      </c>
      <c r="H25">
        <v>187.86699999999999</v>
      </c>
      <c r="I25">
        <v>0</v>
      </c>
      <c r="J25">
        <v>0.137706</v>
      </c>
      <c r="K25">
        <v>5.6596E-2</v>
      </c>
      <c r="L25">
        <v>285.33499999999998</v>
      </c>
      <c r="M25">
        <v>0.13043199999999999</v>
      </c>
      <c r="N25">
        <v>915.31100000000004</v>
      </c>
      <c r="O25">
        <v>1125.6500000000001</v>
      </c>
      <c r="P25">
        <v>10.4293</v>
      </c>
      <c r="Q25">
        <v>40.6297</v>
      </c>
      <c r="R25">
        <v>162.4</v>
      </c>
      <c r="S25">
        <v>0</v>
      </c>
      <c r="T25">
        <v>7.7689300000000003E-2</v>
      </c>
      <c r="U25">
        <v>2.13864E-2</v>
      </c>
    </row>
    <row r="26" spans="1:21" x14ac:dyDescent="0.2">
      <c r="A26">
        <v>2043</v>
      </c>
      <c r="B26">
        <v>160.733</v>
      </c>
      <c r="C26">
        <v>0.20205000000000001</v>
      </c>
      <c r="D26">
        <v>1717.4</v>
      </c>
      <c r="E26">
        <v>2032.78</v>
      </c>
      <c r="F26">
        <v>22.2331</v>
      </c>
      <c r="G26">
        <v>80.011099999999999</v>
      </c>
      <c r="H26">
        <v>192.70099999999999</v>
      </c>
      <c r="I26">
        <v>0</v>
      </c>
      <c r="J26">
        <v>0.143652</v>
      </c>
      <c r="K26">
        <v>6.5498299999999995E-2</v>
      </c>
      <c r="L26">
        <v>317.91699999999997</v>
      </c>
      <c r="M26">
        <v>0.134494</v>
      </c>
      <c r="N26">
        <v>860.976</v>
      </c>
      <c r="O26">
        <v>1111.1099999999999</v>
      </c>
      <c r="P26">
        <v>10.053000000000001</v>
      </c>
      <c r="Q26">
        <v>39.177999999999997</v>
      </c>
      <c r="R26">
        <v>164.661</v>
      </c>
      <c r="S26">
        <v>0</v>
      </c>
      <c r="T26">
        <v>7.5843300000000002E-2</v>
      </c>
      <c r="U26">
        <v>2.3269399999999999E-2</v>
      </c>
    </row>
    <row r="27" spans="1:21" x14ac:dyDescent="0.2">
      <c r="A27">
        <v>2044</v>
      </c>
      <c r="B27">
        <v>174.83600000000001</v>
      </c>
      <c r="C27">
        <v>0.21788399999999999</v>
      </c>
      <c r="D27">
        <v>1740.82</v>
      </c>
      <c r="E27">
        <v>2110.56</v>
      </c>
      <c r="F27">
        <v>23.335799999999999</v>
      </c>
      <c r="G27">
        <v>80.834100000000007</v>
      </c>
      <c r="H27">
        <v>197.65100000000001</v>
      </c>
      <c r="I27">
        <v>0</v>
      </c>
      <c r="J27">
        <v>0.14998300000000001</v>
      </c>
      <c r="K27">
        <v>7.5105599999999995E-2</v>
      </c>
      <c r="L27">
        <v>352.39499999999998</v>
      </c>
      <c r="M27">
        <v>0.13786499999999999</v>
      </c>
      <c r="N27">
        <v>807.13900000000001</v>
      </c>
      <c r="O27">
        <v>1094.54</v>
      </c>
      <c r="P27">
        <v>9.6405799999999999</v>
      </c>
      <c r="Q27">
        <v>37.0959</v>
      </c>
      <c r="R27">
        <v>167.04</v>
      </c>
      <c r="S27">
        <v>0</v>
      </c>
      <c r="T27">
        <v>7.3815900000000004E-2</v>
      </c>
      <c r="U27">
        <v>2.50412E-2</v>
      </c>
    </row>
    <row r="28" spans="1:21" x14ac:dyDescent="0.2">
      <c r="A28">
        <v>2045</v>
      </c>
      <c r="B28">
        <v>189.17599999999999</v>
      </c>
      <c r="C28">
        <v>0.234431</v>
      </c>
      <c r="D28">
        <v>1766.37</v>
      </c>
      <c r="E28">
        <v>2192.5100000000002</v>
      </c>
      <c r="F28">
        <v>24.470199999999998</v>
      </c>
      <c r="G28">
        <v>80.498699999999999</v>
      </c>
      <c r="H28">
        <v>202.74100000000001</v>
      </c>
      <c r="I28">
        <v>0</v>
      </c>
      <c r="J28">
        <v>0.15688099999999999</v>
      </c>
      <c r="K28">
        <v>8.5392599999999999E-2</v>
      </c>
      <c r="L28">
        <v>388.86900000000003</v>
      </c>
      <c r="M28">
        <v>0.14036100000000001</v>
      </c>
      <c r="N28">
        <v>753.82500000000005</v>
      </c>
      <c r="O28">
        <v>1076.3599999999999</v>
      </c>
      <c r="P28">
        <v>9.1933600000000002</v>
      </c>
      <c r="Q28">
        <v>34.503500000000003</v>
      </c>
      <c r="R28">
        <v>169.49799999999999</v>
      </c>
      <c r="S28">
        <v>0</v>
      </c>
      <c r="T28">
        <v>7.1604899999999999E-2</v>
      </c>
      <c r="U28">
        <v>2.6521200000000002E-2</v>
      </c>
    </row>
    <row r="29" spans="1:21" x14ac:dyDescent="0.2">
      <c r="A29">
        <v>2046</v>
      </c>
      <c r="B29">
        <v>203.64099999999999</v>
      </c>
      <c r="C29">
        <v>0.25164999999999998</v>
      </c>
      <c r="D29">
        <v>1794.75</v>
      </c>
      <c r="E29">
        <v>2275.98</v>
      </c>
      <c r="F29">
        <v>25.666</v>
      </c>
      <c r="G29">
        <v>81.8964</v>
      </c>
      <c r="H29">
        <v>207.98699999999999</v>
      </c>
      <c r="I29">
        <v>0</v>
      </c>
      <c r="J29">
        <v>0.16432099999999999</v>
      </c>
      <c r="K29">
        <v>9.6154500000000004E-2</v>
      </c>
      <c r="L29">
        <v>426.92</v>
      </c>
      <c r="M29">
        <v>0.141759</v>
      </c>
      <c r="N29">
        <v>700.80499999999995</v>
      </c>
      <c r="O29">
        <v>1054.18</v>
      </c>
      <c r="P29">
        <v>8.7026500000000002</v>
      </c>
      <c r="Q29">
        <v>32.630899999999997</v>
      </c>
      <c r="R29">
        <v>171.35499999999999</v>
      </c>
      <c r="S29">
        <v>0</v>
      </c>
      <c r="T29">
        <v>6.9138500000000006E-2</v>
      </c>
      <c r="U29">
        <v>2.7703800000000001E-2</v>
      </c>
    </row>
    <row r="30" spans="1:21" x14ac:dyDescent="0.2">
      <c r="A30">
        <v>2047</v>
      </c>
      <c r="B30">
        <v>218.096</v>
      </c>
      <c r="C30">
        <v>0.26944400000000002</v>
      </c>
      <c r="D30">
        <v>1827.41</v>
      </c>
      <c r="E30">
        <v>2355.3000000000002</v>
      </c>
      <c r="F30">
        <v>27.034800000000001</v>
      </c>
      <c r="G30">
        <v>91.027100000000004</v>
      </c>
      <c r="H30">
        <v>213.393</v>
      </c>
      <c r="I30">
        <v>0</v>
      </c>
      <c r="J30">
        <v>0.17242099999999999</v>
      </c>
      <c r="K30">
        <v>0.10748000000000001</v>
      </c>
      <c r="L30">
        <v>466.69200000000001</v>
      </c>
      <c r="M30">
        <v>0.14202999999999999</v>
      </c>
      <c r="N30">
        <v>648.70799999999997</v>
      </c>
      <c r="O30">
        <v>1027.28</v>
      </c>
      <c r="P30">
        <v>8.2093000000000007</v>
      </c>
      <c r="Q30">
        <v>33.570599999999999</v>
      </c>
      <c r="R30">
        <v>173.23099999999999</v>
      </c>
      <c r="S30">
        <v>0</v>
      </c>
      <c r="T30">
        <v>6.6507999999999998E-2</v>
      </c>
      <c r="U30">
        <v>2.83816E-2</v>
      </c>
    </row>
    <row r="31" spans="1:21" x14ac:dyDescent="0.2">
      <c r="A31">
        <v>2048</v>
      </c>
      <c r="B31">
        <v>232.44800000000001</v>
      </c>
      <c r="C31">
        <v>0.287829</v>
      </c>
      <c r="D31">
        <v>1863.96</v>
      </c>
      <c r="E31">
        <v>2443.59</v>
      </c>
      <c r="F31">
        <v>28.485199999999999</v>
      </c>
      <c r="G31">
        <v>95.29</v>
      </c>
      <c r="H31">
        <v>218.95</v>
      </c>
      <c r="I31">
        <v>0</v>
      </c>
      <c r="J31">
        <v>0.18122099999999999</v>
      </c>
      <c r="K31">
        <v>0.119439</v>
      </c>
      <c r="L31">
        <v>508.38900000000001</v>
      </c>
      <c r="M31">
        <v>0.14110200000000001</v>
      </c>
      <c r="N31">
        <v>597.18499999999995</v>
      </c>
      <c r="O31">
        <v>1000.75</v>
      </c>
      <c r="P31">
        <v>7.6745400000000004</v>
      </c>
      <c r="Q31">
        <v>32.3874</v>
      </c>
      <c r="R31">
        <v>175.04499999999999</v>
      </c>
      <c r="S31">
        <v>0</v>
      </c>
      <c r="T31">
        <v>6.3702700000000001E-2</v>
      </c>
      <c r="U31">
        <v>2.85902E-2</v>
      </c>
    </row>
    <row r="32" spans="1:21" x14ac:dyDescent="0.2">
      <c r="A32">
        <v>2049</v>
      </c>
      <c r="B32">
        <v>246.73</v>
      </c>
      <c r="C32">
        <v>0.306724</v>
      </c>
      <c r="D32">
        <v>1904.73</v>
      </c>
      <c r="E32">
        <v>2535.56</v>
      </c>
      <c r="F32">
        <v>30.118500000000001</v>
      </c>
      <c r="G32">
        <v>100.045</v>
      </c>
      <c r="H32">
        <v>224.67599999999999</v>
      </c>
      <c r="I32">
        <v>0</v>
      </c>
      <c r="J32">
        <v>0.19075700000000001</v>
      </c>
      <c r="K32">
        <v>0.13186700000000001</v>
      </c>
      <c r="L32">
        <v>551.42999999999995</v>
      </c>
      <c r="M32">
        <v>0.13866700000000001</v>
      </c>
      <c r="N32">
        <v>545.83199999999999</v>
      </c>
      <c r="O32">
        <v>971.76599999999996</v>
      </c>
      <c r="P32">
        <v>7.1276700000000002</v>
      </c>
      <c r="Q32">
        <v>31.1569</v>
      </c>
      <c r="R32">
        <v>177.13900000000001</v>
      </c>
      <c r="S32">
        <v>0</v>
      </c>
      <c r="T32">
        <v>6.0689899999999998E-2</v>
      </c>
      <c r="U32">
        <v>2.82975E-2</v>
      </c>
    </row>
    <row r="33" spans="1:21" x14ac:dyDescent="0.2">
      <c r="A33">
        <v>2050</v>
      </c>
      <c r="B33">
        <v>261.06</v>
      </c>
      <c r="C33">
        <v>0.32606800000000002</v>
      </c>
      <c r="D33">
        <v>1950.15</v>
      </c>
      <c r="E33">
        <v>2632.28</v>
      </c>
      <c r="F33">
        <v>31.861799999999999</v>
      </c>
      <c r="G33">
        <v>104.904</v>
      </c>
      <c r="H33">
        <v>230.52</v>
      </c>
      <c r="I33">
        <v>0</v>
      </c>
      <c r="J33">
        <v>0.201156</v>
      </c>
      <c r="K33">
        <v>0.14466999999999999</v>
      </c>
      <c r="L33">
        <v>596.46</v>
      </c>
      <c r="M33">
        <v>0.13466700000000001</v>
      </c>
      <c r="N33">
        <v>494.92099999999999</v>
      </c>
      <c r="O33">
        <v>941.04899999999998</v>
      </c>
      <c r="P33">
        <v>6.5248600000000003</v>
      </c>
      <c r="Q33">
        <v>29.757899999999999</v>
      </c>
      <c r="R33">
        <v>179.221</v>
      </c>
      <c r="S33">
        <v>0</v>
      </c>
      <c r="T33">
        <v>5.7456500000000001E-2</v>
      </c>
      <c r="U33">
        <v>2.7558300000000001E-2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F2FD-AF87-3545-ADAD-CF102EAE1388}">
  <dimension ref="A1:I33"/>
  <sheetViews>
    <sheetView workbookViewId="0">
      <selection activeCell="A2" sqref="A2"/>
    </sheetView>
  </sheetViews>
  <sheetFormatPr baseColWidth="10" defaultRowHeight="16" x14ac:dyDescent="0.2"/>
  <cols>
    <col min="1" max="1" width="11.83203125" customWidth="1"/>
  </cols>
  <sheetData>
    <row r="1" spans="1:9" s="6" customFormat="1" x14ac:dyDescent="0.2">
      <c r="A1" s="6" t="s">
        <v>81</v>
      </c>
      <c r="G1" s="6" t="s">
        <v>77</v>
      </c>
    </row>
    <row r="2" spans="1:9" s="11" customFormat="1" ht="34" x14ac:dyDescent="0.2">
      <c r="A2" s="11" t="s">
        <v>0</v>
      </c>
      <c r="B2" s="11" t="s">
        <v>34</v>
      </c>
      <c r="C2" s="11" t="s">
        <v>35</v>
      </c>
      <c r="G2" s="11" t="s">
        <v>0</v>
      </c>
      <c r="H2" s="11" t="s">
        <v>36</v>
      </c>
      <c r="I2" s="11" t="s">
        <v>37</v>
      </c>
    </row>
    <row r="3" spans="1:9" x14ac:dyDescent="0.2">
      <c r="A3" s="1">
        <v>2020</v>
      </c>
      <c r="B3" s="1">
        <v>0.62106899999999998</v>
      </c>
      <c r="C3" s="1">
        <v>0.62106899999999998</v>
      </c>
      <c r="G3" s="1">
        <v>2020</v>
      </c>
      <c r="H3" s="1">
        <v>0.85640300000000003</v>
      </c>
      <c r="I3" s="1">
        <v>0.85640300000000003</v>
      </c>
    </row>
    <row r="4" spans="1:9" x14ac:dyDescent="0.2">
      <c r="A4" s="1">
        <v>2021</v>
      </c>
      <c r="B4" s="1">
        <v>0.63586199999999993</v>
      </c>
      <c r="C4" s="1">
        <v>0.63586199999999993</v>
      </c>
      <c r="G4" s="1">
        <v>2021</v>
      </c>
      <c r="H4" s="1">
        <v>0.89039000000000001</v>
      </c>
      <c r="I4" s="1">
        <v>0.89039000000000001</v>
      </c>
    </row>
    <row r="5" spans="1:9" x14ac:dyDescent="0.2">
      <c r="A5" s="1">
        <v>2022</v>
      </c>
      <c r="B5" s="1">
        <v>0.65145200000000003</v>
      </c>
      <c r="C5" s="1">
        <v>0.65145200000000003</v>
      </c>
      <c r="G5" s="1">
        <v>2022</v>
      </c>
      <c r="H5" s="1">
        <v>0.92494799999999999</v>
      </c>
      <c r="I5" s="1">
        <v>0.92494799999999999</v>
      </c>
    </row>
    <row r="6" spans="1:9" x14ac:dyDescent="0.2">
      <c r="A6" s="1">
        <v>2023</v>
      </c>
      <c r="B6" s="1">
        <v>0.66776199999999997</v>
      </c>
      <c r="C6" s="1">
        <v>0.66776199999999997</v>
      </c>
      <c r="G6" s="1">
        <v>2023</v>
      </c>
      <c r="H6" s="1">
        <v>0.96140199999999998</v>
      </c>
      <c r="I6" s="1">
        <v>0.96140199999999998</v>
      </c>
    </row>
    <row r="7" spans="1:9" x14ac:dyDescent="0.2">
      <c r="A7" s="1">
        <v>2024</v>
      </c>
      <c r="B7" s="1">
        <v>0.68421699999999996</v>
      </c>
      <c r="C7" s="1">
        <v>0.68421699999999996</v>
      </c>
      <c r="G7" s="1">
        <v>2024</v>
      </c>
      <c r="H7" s="1">
        <v>0.99996799999999997</v>
      </c>
      <c r="I7" s="1">
        <v>0.99996799999999997</v>
      </c>
    </row>
    <row r="8" spans="1:9" x14ac:dyDescent="0.2">
      <c r="A8" s="1">
        <v>2025</v>
      </c>
      <c r="B8" s="1">
        <v>0.70112700000000006</v>
      </c>
      <c r="C8" s="1">
        <v>0.70112700000000006</v>
      </c>
      <c r="G8" s="1">
        <v>2025</v>
      </c>
      <c r="H8" s="1">
        <v>1.0395909999999999</v>
      </c>
      <c r="I8" s="1">
        <v>1.0395909999999999</v>
      </c>
    </row>
    <row r="9" spans="1:9" x14ac:dyDescent="0.2">
      <c r="A9" s="1">
        <v>2026</v>
      </c>
      <c r="B9" s="1">
        <v>0.71880999999999995</v>
      </c>
      <c r="C9" s="1">
        <v>0.71269399999999994</v>
      </c>
      <c r="G9" s="1">
        <v>2026</v>
      </c>
      <c r="H9" s="1">
        <v>1.0798350000000001</v>
      </c>
      <c r="I9" s="1">
        <v>1.060983</v>
      </c>
    </row>
    <row r="10" spans="1:9" x14ac:dyDescent="0.2">
      <c r="A10" s="1">
        <v>2027</v>
      </c>
      <c r="B10" s="1">
        <v>0.737371</v>
      </c>
      <c r="C10" s="1">
        <v>0.72509399999999991</v>
      </c>
      <c r="G10" s="1">
        <v>2027</v>
      </c>
      <c r="H10" s="1">
        <v>1.1218409999999999</v>
      </c>
      <c r="I10" s="1">
        <v>1.0830120000000001</v>
      </c>
    </row>
    <row r="11" spans="1:9" x14ac:dyDescent="0.2">
      <c r="A11" s="1">
        <v>2028</v>
      </c>
      <c r="B11" s="1">
        <v>0.75790399999999991</v>
      </c>
      <c r="C11" s="1">
        <v>0.73935600000000001</v>
      </c>
      <c r="G11" s="1">
        <v>2028</v>
      </c>
      <c r="H11" s="1">
        <v>1.1653090000000002</v>
      </c>
      <c r="I11" s="1">
        <v>1.1052710000000001</v>
      </c>
    </row>
    <row r="12" spans="1:9" x14ac:dyDescent="0.2">
      <c r="A12" s="1">
        <v>2029</v>
      </c>
      <c r="B12" s="1">
        <v>0.780636</v>
      </c>
      <c r="C12" s="1">
        <v>0.75568400000000002</v>
      </c>
      <c r="G12" s="1">
        <v>2029</v>
      </c>
      <c r="H12" s="1">
        <v>1.210159</v>
      </c>
      <c r="I12" s="1">
        <v>1.127616</v>
      </c>
    </row>
    <row r="13" spans="1:9" x14ac:dyDescent="0.2">
      <c r="A13" s="1">
        <v>2030</v>
      </c>
      <c r="B13" s="1">
        <v>0.80390099999999998</v>
      </c>
      <c r="C13" s="1">
        <v>0.772563</v>
      </c>
      <c r="G13" s="1">
        <v>2030</v>
      </c>
      <c r="H13" s="1">
        <v>1.2562389999999999</v>
      </c>
      <c r="I13" s="1">
        <v>1.1498919999999999</v>
      </c>
    </row>
    <row r="14" spans="1:9" x14ac:dyDescent="0.2">
      <c r="A14" s="1">
        <v>2031</v>
      </c>
      <c r="B14" s="1">
        <v>0.82810099999999998</v>
      </c>
      <c r="C14" s="1">
        <v>0.79004300000000005</v>
      </c>
      <c r="G14" s="1">
        <v>2031</v>
      </c>
      <c r="H14" s="1">
        <v>1.3026390000000001</v>
      </c>
      <c r="I14" s="1">
        <v>1.1711549999999999</v>
      </c>
    </row>
    <row r="15" spans="1:9" x14ac:dyDescent="0.2">
      <c r="A15" s="1">
        <v>2032</v>
      </c>
      <c r="B15" s="1">
        <v>0.85332000000000008</v>
      </c>
      <c r="C15" s="1">
        <v>0.80833599999999994</v>
      </c>
      <c r="G15" s="1">
        <v>2032</v>
      </c>
      <c r="H15" s="1">
        <v>1.348946</v>
      </c>
      <c r="I15" s="1">
        <v>1.190944</v>
      </c>
    </row>
    <row r="16" spans="1:9" x14ac:dyDescent="0.2">
      <c r="A16" s="1">
        <v>2033</v>
      </c>
      <c r="B16" s="1">
        <v>0.87963499999999994</v>
      </c>
      <c r="C16" s="1">
        <v>0.82757799999999992</v>
      </c>
      <c r="G16" s="1">
        <v>2033</v>
      </c>
      <c r="H16" s="1">
        <v>1.3956980000000001</v>
      </c>
      <c r="I16" s="1">
        <v>1.2099169999999999</v>
      </c>
    </row>
    <row r="17" spans="1:9" x14ac:dyDescent="0.2">
      <c r="A17" s="1">
        <v>2034</v>
      </c>
      <c r="B17" s="1">
        <v>0.90713699999999997</v>
      </c>
      <c r="C17" s="1">
        <v>0.84790900000000002</v>
      </c>
      <c r="G17" s="1">
        <v>2034</v>
      </c>
      <c r="H17" s="1">
        <v>1.443721</v>
      </c>
      <c r="I17" s="1">
        <v>1.228769</v>
      </c>
    </row>
    <row r="18" spans="1:9" x14ac:dyDescent="0.2">
      <c r="A18" s="1">
        <v>2035</v>
      </c>
      <c r="B18" s="1">
        <v>0.93561799999999995</v>
      </c>
      <c r="C18" s="1">
        <v>0.86879799999999996</v>
      </c>
      <c r="G18" s="1">
        <v>2035</v>
      </c>
      <c r="H18" s="1">
        <v>1.493428</v>
      </c>
      <c r="I18" s="1">
        <v>1.2476379999999998</v>
      </c>
    </row>
    <row r="19" spans="1:9" x14ac:dyDescent="0.2">
      <c r="A19" s="1">
        <v>2036</v>
      </c>
      <c r="B19" s="1">
        <v>0.96511199999999997</v>
      </c>
      <c r="C19" s="1">
        <v>0.89012199999999997</v>
      </c>
      <c r="G19" s="1">
        <v>2036</v>
      </c>
      <c r="H19" s="1">
        <v>1.544853</v>
      </c>
      <c r="I19" s="1">
        <v>1.2659130000000001</v>
      </c>
    </row>
    <row r="20" spans="1:9" x14ac:dyDescent="0.2">
      <c r="A20" s="1">
        <v>2037</v>
      </c>
      <c r="B20" s="1">
        <v>0.99565799999999993</v>
      </c>
      <c r="C20" s="1">
        <v>0.91238200000000003</v>
      </c>
      <c r="G20" s="1">
        <v>2037</v>
      </c>
      <c r="H20" s="1">
        <v>1.5980720000000002</v>
      </c>
      <c r="I20" s="1">
        <v>1.2843559999999998</v>
      </c>
    </row>
    <row r="21" spans="1:9" x14ac:dyDescent="0.2">
      <c r="A21" s="1">
        <v>2038</v>
      </c>
      <c r="B21" s="1">
        <v>1.0272999999999999</v>
      </c>
      <c r="C21" s="1">
        <v>0.93555100000000002</v>
      </c>
      <c r="G21" s="1">
        <v>2038</v>
      </c>
      <c r="H21" s="1">
        <v>1.653152</v>
      </c>
      <c r="I21" s="1">
        <v>1.3029489999999999</v>
      </c>
    </row>
    <row r="22" spans="1:9" x14ac:dyDescent="0.2">
      <c r="A22" s="1">
        <v>2039</v>
      </c>
      <c r="B22" s="1">
        <v>1.0600779999999999</v>
      </c>
      <c r="C22" s="1">
        <v>0.95949399999999996</v>
      </c>
      <c r="G22" s="1">
        <v>2039</v>
      </c>
      <c r="H22" s="1">
        <v>1.7101380000000002</v>
      </c>
      <c r="I22" s="1">
        <v>1.3215000000000001</v>
      </c>
    </row>
    <row r="23" spans="1:9" x14ac:dyDescent="0.2">
      <c r="A23" s="1">
        <v>2040</v>
      </c>
      <c r="B23" s="1">
        <v>1.0940340000000002</v>
      </c>
      <c r="C23" s="1">
        <v>0.98436599999999996</v>
      </c>
      <c r="G23" s="1">
        <v>2040</v>
      </c>
      <c r="H23" s="1">
        <v>1.7691180000000002</v>
      </c>
      <c r="I23" s="1">
        <v>1.340055</v>
      </c>
    </row>
    <row r="24" spans="1:9" x14ac:dyDescent="0.2">
      <c r="A24" s="1">
        <v>2041</v>
      </c>
      <c r="B24" s="1">
        <v>1.129219</v>
      </c>
      <c r="C24" s="1">
        <v>1.009873</v>
      </c>
      <c r="G24" s="1">
        <v>2041</v>
      </c>
      <c r="H24" s="1">
        <v>1.8301500000000002</v>
      </c>
      <c r="I24" s="1">
        <v>1.35798</v>
      </c>
    </row>
    <row r="25" spans="1:9" x14ac:dyDescent="0.2">
      <c r="A25" s="1">
        <v>2042</v>
      </c>
      <c r="B25" s="1">
        <v>1.1656759999999999</v>
      </c>
      <c r="C25" s="1">
        <v>1.036432</v>
      </c>
      <c r="G25" s="1">
        <v>2042</v>
      </c>
      <c r="H25" s="1">
        <v>1.8933139999999999</v>
      </c>
      <c r="I25" s="1">
        <v>1.37608</v>
      </c>
    </row>
    <row r="26" spans="1:9" x14ac:dyDescent="0.2">
      <c r="A26" s="1">
        <v>2043</v>
      </c>
      <c r="B26" s="1">
        <v>1.2034560000000001</v>
      </c>
      <c r="C26" s="1">
        <v>1.064254</v>
      </c>
      <c r="G26" s="1">
        <v>2043</v>
      </c>
      <c r="H26" s="1">
        <v>1.958688</v>
      </c>
      <c r="I26" s="1">
        <v>1.394485</v>
      </c>
    </row>
    <row r="27" spans="1:9" x14ac:dyDescent="0.2">
      <c r="A27" s="1">
        <v>2044</v>
      </c>
      <c r="B27" s="1">
        <v>1.24261</v>
      </c>
      <c r="C27" s="1">
        <v>1.0930759999999999</v>
      </c>
      <c r="G27" s="1">
        <v>2044</v>
      </c>
      <c r="H27" s="1">
        <v>2.0263429999999998</v>
      </c>
      <c r="I27" s="1">
        <v>1.4125880000000002</v>
      </c>
    </row>
    <row r="28" spans="1:9" x14ac:dyDescent="0.2">
      <c r="A28" s="1">
        <v>2045</v>
      </c>
      <c r="B28" s="1">
        <v>1.2831939999999999</v>
      </c>
      <c r="C28" s="1">
        <v>1.1233109999999999</v>
      </c>
      <c r="G28" s="1">
        <v>2045</v>
      </c>
      <c r="H28" s="1">
        <v>2.096352</v>
      </c>
      <c r="I28" s="1">
        <v>1.4309069999999999</v>
      </c>
    </row>
    <row r="29" spans="1:9" x14ac:dyDescent="0.2">
      <c r="A29" s="1">
        <v>2046</v>
      </c>
      <c r="B29" s="1">
        <v>1.325261</v>
      </c>
      <c r="C29" s="1">
        <v>1.1539509999999999</v>
      </c>
      <c r="G29" s="1">
        <v>2046</v>
      </c>
      <c r="H29" s="1">
        <v>2.1688160000000001</v>
      </c>
      <c r="I29" s="1">
        <v>1.447859</v>
      </c>
    </row>
    <row r="30" spans="1:9" x14ac:dyDescent="0.2">
      <c r="A30" s="1">
        <v>2047</v>
      </c>
      <c r="B30" s="1">
        <v>1.3688720000000001</v>
      </c>
      <c r="C30" s="1">
        <v>1.1857949999999999</v>
      </c>
      <c r="G30" s="1">
        <v>2047</v>
      </c>
      <c r="H30" s="1">
        <v>2.2438090000000002</v>
      </c>
      <c r="I30" s="1">
        <v>1.4646949999999999</v>
      </c>
    </row>
    <row r="31" spans="1:9" x14ac:dyDescent="0.2">
      <c r="A31" s="1">
        <v>2048</v>
      </c>
      <c r="B31" s="1">
        <v>1.414083</v>
      </c>
      <c r="C31" s="1">
        <v>1.2191589999999999</v>
      </c>
      <c r="G31" s="1">
        <v>2048</v>
      </c>
      <c r="H31" s="1">
        <v>2.3214359999999998</v>
      </c>
      <c r="I31" s="1">
        <v>1.481781</v>
      </c>
    </row>
    <row r="32" spans="1:9" x14ac:dyDescent="0.2">
      <c r="A32" s="1">
        <v>2049</v>
      </c>
      <c r="B32" s="1">
        <v>1.4609619999999999</v>
      </c>
      <c r="C32" s="1">
        <v>1.2528999999999999</v>
      </c>
      <c r="G32" s="1">
        <v>2049</v>
      </c>
      <c r="H32" s="1">
        <v>2.4017710000000001</v>
      </c>
      <c r="I32" s="1">
        <v>1.4976180000000001</v>
      </c>
    </row>
    <row r="33" spans="1:9" x14ac:dyDescent="0.2">
      <c r="A33" s="1">
        <v>2050</v>
      </c>
      <c r="B33" s="1">
        <v>1.5095700000000001</v>
      </c>
      <c r="C33" s="1">
        <v>1.2879</v>
      </c>
      <c r="G33" s="1">
        <v>2050</v>
      </c>
      <c r="H33" s="1">
        <v>2.4849119999999996</v>
      </c>
      <c r="I33" s="1">
        <v>1.513123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C31D-08B8-7C49-A90A-71D0E9583424}">
  <dimension ref="A1:I33"/>
  <sheetViews>
    <sheetView workbookViewId="0">
      <selection activeCell="A2" sqref="A2"/>
    </sheetView>
  </sheetViews>
  <sheetFormatPr baseColWidth="10" defaultRowHeight="16" x14ac:dyDescent="0.2"/>
  <sheetData>
    <row r="1" spans="1:9" x14ac:dyDescent="0.2">
      <c r="A1" s="6" t="s">
        <v>76</v>
      </c>
    </row>
    <row r="2" spans="1:9" ht="51" x14ac:dyDescent="0.2">
      <c r="A2" s="12" t="s">
        <v>0</v>
      </c>
      <c r="B2" s="12" t="s">
        <v>24</v>
      </c>
      <c r="C2" s="12" t="s">
        <v>25</v>
      </c>
      <c r="D2" s="12" t="s">
        <v>27</v>
      </c>
      <c r="E2" s="12" t="s">
        <v>26</v>
      </c>
      <c r="F2" s="12" t="s">
        <v>31</v>
      </c>
      <c r="G2" s="12" t="s">
        <v>30</v>
      </c>
      <c r="H2" s="12" t="s">
        <v>28</v>
      </c>
      <c r="I2" s="12" t="s">
        <v>29</v>
      </c>
    </row>
    <row r="3" spans="1:9" x14ac:dyDescent="0.2">
      <c r="A3" s="1">
        <v>2020</v>
      </c>
      <c r="B3" s="1">
        <v>39.676719621000004</v>
      </c>
      <c r="C3" s="1">
        <v>39.676719621000004</v>
      </c>
      <c r="D3" s="1">
        <v>12.971398637</v>
      </c>
      <c r="E3" s="1">
        <v>12.971398637</v>
      </c>
      <c r="F3" s="1">
        <v>36.241313046000009</v>
      </c>
      <c r="G3" s="1">
        <v>36.241313046000009</v>
      </c>
      <c r="H3" s="1">
        <v>40.400208277000011</v>
      </c>
      <c r="I3" s="1">
        <v>40.400208277000011</v>
      </c>
    </row>
    <row r="4" spans="1:9" x14ac:dyDescent="0.2">
      <c r="A4" s="1">
        <v>2021</v>
      </c>
      <c r="B4" s="1">
        <v>39.740526131000003</v>
      </c>
      <c r="C4" s="1">
        <v>39.740526131000003</v>
      </c>
      <c r="D4" s="1">
        <v>13.109132331999998</v>
      </c>
      <c r="E4" s="1">
        <v>13.109132331999998</v>
      </c>
      <c r="F4" s="1">
        <v>37.932227023999999</v>
      </c>
      <c r="G4" s="1">
        <v>37.932227023999999</v>
      </c>
      <c r="H4" s="1">
        <v>41.979318491000008</v>
      </c>
      <c r="I4" s="1">
        <v>41.979318491000008</v>
      </c>
    </row>
    <row r="5" spans="1:9" x14ac:dyDescent="0.2">
      <c r="A5" s="1">
        <v>2022</v>
      </c>
      <c r="B5" s="1">
        <v>39.845146033999995</v>
      </c>
      <c r="C5" s="1">
        <v>39.845146033999995</v>
      </c>
      <c r="D5" s="1">
        <v>13.303609619000001</v>
      </c>
      <c r="E5" s="1">
        <v>13.303609619000001</v>
      </c>
      <c r="F5" s="1">
        <v>39.765969214999991</v>
      </c>
      <c r="G5" s="1">
        <v>39.765969214999991</v>
      </c>
      <c r="H5" s="1">
        <v>43.759057021000011</v>
      </c>
      <c r="I5" s="1">
        <v>43.759057021000011</v>
      </c>
    </row>
    <row r="6" spans="1:9" x14ac:dyDescent="0.2">
      <c r="A6" s="1">
        <v>2023</v>
      </c>
      <c r="B6" s="1">
        <v>40.019973428999997</v>
      </c>
      <c r="C6" s="1">
        <v>40.019973428999997</v>
      </c>
      <c r="D6" s="1">
        <v>13.530761310999999</v>
      </c>
      <c r="E6" s="1">
        <v>13.530761310999999</v>
      </c>
      <c r="F6" s="1">
        <v>41.721064066999993</v>
      </c>
      <c r="G6" s="1">
        <v>41.721064066999993</v>
      </c>
      <c r="H6" s="1">
        <v>45.748835837000009</v>
      </c>
      <c r="I6" s="1">
        <v>45.748835837000009</v>
      </c>
    </row>
    <row r="7" spans="1:9" x14ac:dyDescent="0.2">
      <c r="A7" s="1">
        <v>2024</v>
      </c>
      <c r="B7" s="1">
        <v>40.285205492000003</v>
      </c>
      <c r="C7" s="1">
        <v>40.285205492000003</v>
      </c>
      <c r="D7" s="1">
        <v>13.697523083000004</v>
      </c>
      <c r="E7" s="1">
        <v>13.697523083000004</v>
      </c>
      <c r="F7" s="1">
        <v>43.780063231999996</v>
      </c>
      <c r="G7" s="1">
        <v>43.780063231999996</v>
      </c>
      <c r="H7" s="1">
        <v>47.671327842000011</v>
      </c>
      <c r="I7" s="1">
        <v>47.671327842000011</v>
      </c>
    </row>
    <row r="8" spans="1:9" x14ac:dyDescent="0.2">
      <c r="A8" s="1">
        <v>2025</v>
      </c>
      <c r="B8" s="1">
        <v>40.635763769</v>
      </c>
      <c r="C8" s="1">
        <v>40.635763769</v>
      </c>
      <c r="D8" s="1">
        <v>13.843030634000002</v>
      </c>
      <c r="E8" s="1">
        <v>13.843030634000002</v>
      </c>
      <c r="F8" s="1">
        <v>45.939315389999997</v>
      </c>
      <c r="G8" s="1">
        <v>45.939315389999997</v>
      </c>
      <c r="H8" s="1">
        <v>49.618595293000013</v>
      </c>
      <c r="I8" s="1">
        <v>49.618595293000013</v>
      </c>
    </row>
    <row r="9" spans="1:9" x14ac:dyDescent="0.2">
      <c r="A9" s="1">
        <v>2026</v>
      </c>
      <c r="B9" s="1">
        <v>41.095047532999999</v>
      </c>
      <c r="C9" s="1">
        <v>40.568282735999986</v>
      </c>
      <c r="D9" s="1">
        <v>13.951577200999999</v>
      </c>
      <c r="E9" s="1">
        <v>13.831743283999998</v>
      </c>
      <c r="F9" s="1">
        <v>48.164537517000007</v>
      </c>
      <c r="G9" s="1">
        <v>47.332489540999987</v>
      </c>
      <c r="H9" s="1">
        <v>51.481529727000002</v>
      </c>
      <c r="I9" s="1">
        <v>50.430783810999991</v>
      </c>
    </row>
    <row r="10" spans="1:9" x14ac:dyDescent="0.2">
      <c r="A10" s="1">
        <v>2027</v>
      </c>
      <c r="B10" s="1">
        <v>41.632746980999997</v>
      </c>
      <c r="C10" s="1">
        <v>40.47014472</v>
      </c>
      <c r="D10" s="1">
        <v>14.042774282</v>
      </c>
      <c r="E10" s="1">
        <v>13.782439566000003</v>
      </c>
      <c r="F10" s="1">
        <v>50.495951270999996</v>
      </c>
      <c r="G10" s="1">
        <v>48.541651888000011</v>
      </c>
      <c r="H10" s="1">
        <v>53.325696044000004</v>
      </c>
      <c r="I10" s="1">
        <v>51.050733050999995</v>
      </c>
    </row>
    <row r="11" spans="1:9" x14ac:dyDescent="0.2">
      <c r="A11" s="1">
        <v>2028</v>
      </c>
      <c r="B11" s="1">
        <v>42.346288343000005</v>
      </c>
      <c r="C11" s="1">
        <v>40.435610999000005</v>
      </c>
      <c r="D11" s="1">
        <v>14.130061777</v>
      </c>
      <c r="E11" s="1">
        <v>13.711075586</v>
      </c>
      <c r="F11" s="1">
        <v>52.947388644000007</v>
      </c>
      <c r="G11" s="1">
        <v>49.583489441000005</v>
      </c>
      <c r="H11" s="1">
        <v>55.210972533000003</v>
      </c>
      <c r="I11" s="1">
        <v>51.535803998000006</v>
      </c>
    </row>
    <row r="12" spans="1:9" x14ac:dyDescent="0.2">
      <c r="A12" s="1">
        <v>2029</v>
      </c>
      <c r="B12" s="1">
        <v>43.230185789999993</v>
      </c>
      <c r="C12" s="1">
        <v>40.465842627000015</v>
      </c>
      <c r="D12" s="1">
        <v>14.200079903999999</v>
      </c>
      <c r="E12" s="1">
        <v>13.607613603000001</v>
      </c>
      <c r="F12" s="1">
        <v>55.47394525499999</v>
      </c>
      <c r="G12" s="1">
        <v>50.429541422999989</v>
      </c>
      <c r="H12" s="1">
        <v>57.084909564</v>
      </c>
      <c r="I12" s="1">
        <v>51.841760499000003</v>
      </c>
    </row>
    <row r="13" spans="1:9" x14ac:dyDescent="0.2">
      <c r="A13" s="1">
        <v>2030</v>
      </c>
      <c r="B13" s="1">
        <v>44.058116294000001</v>
      </c>
      <c r="C13" s="1">
        <v>40.371577875999996</v>
      </c>
      <c r="D13" s="1">
        <v>14.257732744000002</v>
      </c>
      <c r="E13" s="1">
        <v>13.479697698999999</v>
      </c>
      <c r="F13" s="1">
        <v>58.061647825999991</v>
      </c>
      <c r="G13" s="1">
        <v>51.097020930000006</v>
      </c>
      <c r="H13" s="1">
        <v>58.942767462000013</v>
      </c>
      <c r="I13" s="1">
        <v>51.972389040000003</v>
      </c>
    </row>
    <row r="14" spans="1:9" x14ac:dyDescent="0.2">
      <c r="A14" s="1">
        <v>2031</v>
      </c>
      <c r="B14" s="1">
        <v>44.882724150000001</v>
      </c>
      <c r="C14" s="1">
        <v>40.179964542999997</v>
      </c>
      <c r="D14" s="1">
        <v>14.299928406999998</v>
      </c>
      <c r="E14" s="1">
        <v>13.324420828999999</v>
      </c>
      <c r="F14" s="1">
        <v>60.706266459000005</v>
      </c>
      <c r="G14" s="1">
        <v>51.577626701000007</v>
      </c>
      <c r="H14" s="1">
        <v>60.744515160000006</v>
      </c>
      <c r="I14" s="1">
        <v>51.893316619000011</v>
      </c>
    </row>
    <row r="15" spans="1:9" x14ac:dyDescent="0.2">
      <c r="A15" s="1">
        <v>2032</v>
      </c>
      <c r="B15" s="1">
        <v>45.701641315000003</v>
      </c>
      <c r="C15" s="1">
        <v>39.911371013</v>
      </c>
      <c r="D15" s="1">
        <v>14.328773382000003</v>
      </c>
      <c r="E15" s="1">
        <v>13.147317296999995</v>
      </c>
      <c r="F15" s="1">
        <v>63.391342455999997</v>
      </c>
      <c r="G15" s="1">
        <v>51.88692471200001</v>
      </c>
      <c r="H15" s="1">
        <v>62.487328897999994</v>
      </c>
      <c r="I15" s="1">
        <v>51.60515298</v>
      </c>
    </row>
    <row r="16" spans="1:9" x14ac:dyDescent="0.2">
      <c r="A16" s="1">
        <v>2033</v>
      </c>
      <c r="B16" s="1">
        <v>46.530223512999996</v>
      </c>
      <c r="C16" s="1">
        <v>39.58370759400001</v>
      </c>
      <c r="D16" s="1">
        <v>14.346197938000001</v>
      </c>
      <c r="E16" s="1">
        <v>12.954540994000002</v>
      </c>
      <c r="F16" s="1">
        <v>66.095403005999998</v>
      </c>
      <c r="G16" s="1">
        <v>52.015941845999997</v>
      </c>
      <c r="H16" s="1">
        <v>64.206838345999998</v>
      </c>
      <c r="I16" s="1">
        <v>51.159583312000002</v>
      </c>
    </row>
    <row r="17" spans="1:9" x14ac:dyDescent="0.2">
      <c r="A17" s="1">
        <v>2034</v>
      </c>
      <c r="B17" s="1">
        <v>47.397152484999985</v>
      </c>
      <c r="C17" s="1">
        <v>39.227014715000003</v>
      </c>
      <c r="D17" s="1">
        <v>14.351882400999997</v>
      </c>
      <c r="E17" s="1">
        <v>12.748594740000001</v>
      </c>
      <c r="F17" s="1">
        <v>68.809249750999996</v>
      </c>
      <c r="G17" s="1">
        <v>51.978663136000009</v>
      </c>
      <c r="H17" s="1">
        <v>65.955060376999981</v>
      </c>
      <c r="I17" s="1">
        <v>50.605502272000003</v>
      </c>
    </row>
    <row r="18" spans="1:9" x14ac:dyDescent="0.2">
      <c r="A18" s="1">
        <v>2035</v>
      </c>
      <c r="B18" s="1">
        <v>48.281779614000008</v>
      </c>
      <c r="C18" s="1">
        <v>38.800651042999995</v>
      </c>
      <c r="D18" s="1">
        <v>14.354949679999995</v>
      </c>
      <c r="E18" s="1">
        <v>12.534871173999999</v>
      </c>
      <c r="F18" s="1">
        <v>71.557171166000018</v>
      </c>
      <c r="G18" s="1">
        <v>51.771911607000007</v>
      </c>
      <c r="H18" s="1">
        <v>67.804908664000024</v>
      </c>
      <c r="I18" s="1">
        <v>49.997695199000013</v>
      </c>
    </row>
    <row r="19" spans="1:9" x14ac:dyDescent="0.2">
      <c r="A19" s="1">
        <v>2036</v>
      </c>
      <c r="B19" s="1">
        <v>49.180142575999994</v>
      </c>
      <c r="C19" s="1">
        <v>38.273342633999988</v>
      </c>
      <c r="D19" s="1">
        <v>14.338874649999998</v>
      </c>
      <c r="E19" s="1">
        <v>12.293804037899999</v>
      </c>
      <c r="F19" s="1">
        <v>74.297918519999996</v>
      </c>
      <c r="G19" s="1">
        <v>51.375676629000012</v>
      </c>
      <c r="H19" s="1">
        <v>69.680588701000005</v>
      </c>
      <c r="I19" s="1">
        <v>49.253541581</v>
      </c>
    </row>
    <row r="20" spans="1:9" x14ac:dyDescent="0.2">
      <c r="A20" s="1">
        <v>2037</v>
      </c>
      <c r="B20" s="1">
        <v>49.821117364000003</v>
      </c>
      <c r="C20" s="1">
        <v>37.364368776999989</v>
      </c>
      <c r="D20" s="1">
        <v>14.306778655</v>
      </c>
      <c r="E20" s="1">
        <v>12.036778305899999</v>
      </c>
      <c r="F20" s="1">
        <v>76.984944480999999</v>
      </c>
      <c r="G20" s="1">
        <v>50.463239020000003</v>
      </c>
      <c r="H20" s="1">
        <v>71.573292241000004</v>
      </c>
      <c r="I20" s="1">
        <v>48.407515689</v>
      </c>
    </row>
    <row r="21" spans="1:9" x14ac:dyDescent="0.2">
      <c r="A21" s="1">
        <v>2038</v>
      </c>
      <c r="B21" s="1">
        <v>50.544641349000003</v>
      </c>
      <c r="C21" s="1">
        <v>36.389399146000002</v>
      </c>
      <c r="D21" s="1">
        <v>14.265374782000002</v>
      </c>
      <c r="E21" s="1">
        <v>11.767987549800001</v>
      </c>
      <c r="F21" s="1">
        <v>79.713577282000017</v>
      </c>
      <c r="G21" s="1">
        <v>49.354073917000001</v>
      </c>
      <c r="H21" s="1">
        <v>73.523955378000011</v>
      </c>
      <c r="I21" s="1">
        <v>47.487733600999995</v>
      </c>
    </row>
    <row r="22" spans="1:9" x14ac:dyDescent="0.2">
      <c r="A22" s="1">
        <v>2039</v>
      </c>
      <c r="B22" s="1">
        <v>51.316576984999998</v>
      </c>
      <c r="C22" s="1">
        <v>35.301218433000003</v>
      </c>
      <c r="D22" s="1">
        <v>14.215879672000002</v>
      </c>
      <c r="E22" s="1">
        <v>11.4856215808</v>
      </c>
      <c r="F22" s="1">
        <v>82.435579570999977</v>
      </c>
      <c r="G22" s="1">
        <v>47.967544142999998</v>
      </c>
      <c r="H22" s="1">
        <v>75.532598697999987</v>
      </c>
      <c r="I22" s="1">
        <v>46.494201443999998</v>
      </c>
    </row>
    <row r="23" spans="1:9" x14ac:dyDescent="0.2">
      <c r="A23" s="1">
        <v>2040</v>
      </c>
      <c r="B23" s="1">
        <v>52.131531767000013</v>
      </c>
      <c r="C23" s="1">
        <v>34.096845221999992</v>
      </c>
      <c r="D23" s="1">
        <v>14.169003882999997</v>
      </c>
      <c r="E23" s="1">
        <v>11.197987465300001</v>
      </c>
      <c r="F23" s="1">
        <v>85.218270707000016</v>
      </c>
      <c r="G23" s="1">
        <v>46.339651529000008</v>
      </c>
      <c r="H23" s="1">
        <v>77.664244877999991</v>
      </c>
      <c r="I23" s="1">
        <v>45.468347038999994</v>
      </c>
    </row>
    <row r="24" spans="1:9" x14ac:dyDescent="0.2">
      <c r="A24" s="1">
        <v>2041</v>
      </c>
      <c r="B24" s="1">
        <v>53.002157168000004</v>
      </c>
      <c r="C24" s="1">
        <v>32.769084183999986</v>
      </c>
      <c r="D24" s="1">
        <v>14.113855622999999</v>
      </c>
      <c r="E24" s="1">
        <v>10.8908515187</v>
      </c>
      <c r="F24" s="1">
        <v>88.092585086999989</v>
      </c>
      <c r="G24" s="1">
        <v>44.456189670000001</v>
      </c>
      <c r="H24" s="1">
        <v>79.844913312999992</v>
      </c>
      <c r="I24" s="1">
        <v>44.345884044999991</v>
      </c>
    </row>
    <row r="25" spans="1:9" x14ac:dyDescent="0.2">
      <c r="A25" s="1">
        <v>2042</v>
      </c>
      <c r="B25" s="1">
        <v>53.950141610999999</v>
      </c>
      <c r="C25" s="1">
        <v>31.334449616000001</v>
      </c>
      <c r="D25" s="1">
        <v>14.045248532</v>
      </c>
      <c r="E25" s="1">
        <v>10.566263927000001</v>
      </c>
      <c r="F25" s="1">
        <v>91.068532556000008</v>
      </c>
      <c r="G25" s="1">
        <v>42.316880098999995</v>
      </c>
      <c r="H25" s="1">
        <v>82.031018910000014</v>
      </c>
      <c r="I25" s="1">
        <v>43.138280563000002</v>
      </c>
    </row>
    <row r="26" spans="1:9" x14ac:dyDescent="0.2">
      <c r="A26" s="1">
        <v>2043</v>
      </c>
      <c r="B26" s="1">
        <v>54.98437043900001</v>
      </c>
      <c r="C26" s="1">
        <v>29.882910142999997</v>
      </c>
      <c r="D26" s="1">
        <v>13.978085624000002</v>
      </c>
      <c r="E26" s="1">
        <v>10.2367331115</v>
      </c>
      <c r="F26" s="1">
        <v>94.185128162999987</v>
      </c>
      <c r="G26" s="1">
        <v>40.087160785999998</v>
      </c>
      <c r="H26" s="1">
        <v>84.326783808000016</v>
      </c>
      <c r="I26" s="1">
        <v>41.909371869999994</v>
      </c>
    </row>
    <row r="27" spans="1:9" x14ac:dyDescent="0.2">
      <c r="A27" s="1">
        <v>2044</v>
      </c>
      <c r="B27" s="1">
        <v>56.099960131999993</v>
      </c>
      <c r="C27" s="1">
        <v>28.399638646999996</v>
      </c>
      <c r="D27" s="1">
        <v>13.914977712000001</v>
      </c>
      <c r="E27" s="1">
        <v>9.8980020326999991</v>
      </c>
      <c r="F27" s="1">
        <v>97.450372157999993</v>
      </c>
      <c r="G27" s="1">
        <v>37.809334557999996</v>
      </c>
      <c r="H27" s="1">
        <v>86.741539401000026</v>
      </c>
      <c r="I27" s="1">
        <v>40.642880911999995</v>
      </c>
    </row>
    <row r="28" spans="1:9" x14ac:dyDescent="0.2">
      <c r="A28" s="1">
        <v>2045</v>
      </c>
      <c r="B28" s="1">
        <v>57.319328489</v>
      </c>
      <c r="C28" s="1">
        <v>26.905625982</v>
      </c>
      <c r="D28" s="1">
        <v>13.856132209000002</v>
      </c>
      <c r="E28" s="1">
        <v>9.5537748821000008</v>
      </c>
      <c r="F28" s="1">
        <v>100.89862186400001</v>
      </c>
      <c r="G28" s="1">
        <v>35.464593461999989</v>
      </c>
      <c r="H28" s="1">
        <v>89.278604951999995</v>
      </c>
      <c r="I28" s="1">
        <v>39.358013985000007</v>
      </c>
    </row>
    <row r="29" spans="1:9" x14ac:dyDescent="0.2">
      <c r="A29" s="1">
        <v>2046</v>
      </c>
      <c r="B29" s="1">
        <v>58.672193320000005</v>
      </c>
      <c r="C29" s="1">
        <v>25.382688435000002</v>
      </c>
      <c r="D29" s="1">
        <v>13.789356901</v>
      </c>
      <c r="E29" s="1">
        <v>9.1844083457999997</v>
      </c>
      <c r="F29" s="1">
        <v>104.51967582100001</v>
      </c>
      <c r="G29" s="1">
        <v>33.040527348999994</v>
      </c>
      <c r="H29" s="1">
        <v>91.840697505000009</v>
      </c>
      <c r="I29" s="1">
        <v>37.965852772999995</v>
      </c>
    </row>
    <row r="30" spans="1:9" x14ac:dyDescent="0.2">
      <c r="A30" s="1">
        <v>2047</v>
      </c>
      <c r="B30" s="1">
        <v>60.205285785000001</v>
      </c>
      <c r="C30" s="1">
        <v>23.860208542999999</v>
      </c>
      <c r="D30" s="1">
        <v>13.690153335999998</v>
      </c>
      <c r="E30" s="1">
        <v>8.7837026371000011</v>
      </c>
      <c r="F30" s="1">
        <v>108.287217086</v>
      </c>
      <c r="G30" s="1">
        <v>30.528795476999999</v>
      </c>
      <c r="H30" s="1">
        <v>94.226325987999999</v>
      </c>
      <c r="I30" s="1">
        <v>36.437207826000005</v>
      </c>
    </row>
    <row r="31" spans="1:9" x14ac:dyDescent="0.2">
      <c r="A31" s="1">
        <v>2048</v>
      </c>
      <c r="B31" s="1">
        <v>61.906996047999989</v>
      </c>
      <c r="C31" s="1">
        <v>22.332344076000002</v>
      </c>
      <c r="D31" s="1">
        <v>13.615332880999999</v>
      </c>
      <c r="E31" s="1">
        <v>8.3897012424999993</v>
      </c>
      <c r="F31" s="1">
        <v>112.40091517299999</v>
      </c>
      <c r="G31" s="1">
        <v>27.974539966999995</v>
      </c>
      <c r="H31" s="1">
        <v>96.878233236</v>
      </c>
      <c r="I31" s="1">
        <v>34.964751271000011</v>
      </c>
    </row>
    <row r="32" spans="1:9" x14ac:dyDescent="0.2">
      <c r="A32" s="1">
        <v>2049</v>
      </c>
      <c r="B32" s="1">
        <v>63.783478321999993</v>
      </c>
      <c r="C32" s="1">
        <v>20.774610623000001</v>
      </c>
      <c r="D32" s="1">
        <v>13.541292494</v>
      </c>
      <c r="E32" s="1">
        <v>7.9776184055000012</v>
      </c>
      <c r="F32" s="1">
        <v>116.81550848500001</v>
      </c>
      <c r="G32" s="1">
        <v>25.350853498000006</v>
      </c>
      <c r="H32" s="1">
        <v>99.608599683999984</v>
      </c>
      <c r="I32" s="1">
        <v>33.436090812999986</v>
      </c>
    </row>
    <row r="33" spans="1:9" x14ac:dyDescent="0.2">
      <c r="A33" s="1">
        <v>2050</v>
      </c>
      <c r="B33" s="1">
        <v>65.841559939000007</v>
      </c>
      <c r="C33" s="1">
        <v>19.194231822999999</v>
      </c>
      <c r="D33" s="1">
        <v>13.497813419999998</v>
      </c>
      <c r="E33" s="1">
        <v>7.5618561196000007</v>
      </c>
      <c r="F33" s="1">
        <v>121.56660434200001</v>
      </c>
      <c r="G33" s="1">
        <v>22.658667296999997</v>
      </c>
      <c r="H33" s="1">
        <v>102.44147876400001</v>
      </c>
      <c r="I33" s="1">
        <v>31.888887406999999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B329-99CC-7345-95C9-D88007F8AD74}">
  <dimension ref="A1:H33"/>
  <sheetViews>
    <sheetView workbookViewId="0">
      <selection activeCell="J11" sqref="J11"/>
    </sheetView>
  </sheetViews>
  <sheetFormatPr baseColWidth="10" defaultRowHeight="16" x14ac:dyDescent="0.2"/>
  <sheetData>
    <row r="1" spans="1:8" s="6" customFormat="1" x14ac:dyDescent="0.2">
      <c r="A1" s="6" t="s">
        <v>79</v>
      </c>
      <c r="F1" s="6" t="s">
        <v>80</v>
      </c>
    </row>
    <row r="2" spans="1:8" s="6" customFormat="1" x14ac:dyDescent="0.2">
      <c r="A2" s="4" t="s">
        <v>0</v>
      </c>
      <c r="B2" s="4" t="s">
        <v>1</v>
      </c>
      <c r="C2" s="4" t="s">
        <v>2</v>
      </c>
      <c r="F2" s="4" t="s">
        <v>0</v>
      </c>
      <c r="G2" s="4" t="s">
        <v>1</v>
      </c>
      <c r="H2" s="4" t="s">
        <v>2</v>
      </c>
    </row>
    <row r="3" spans="1:8" x14ac:dyDescent="0.2">
      <c r="A3" s="1">
        <v>2020</v>
      </c>
      <c r="B3">
        <v>0</v>
      </c>
      <c r="C3">
        <v>0</v>
      </c>
      <c r="F3" s="1">
        <v>2020</v>
      </c>
      <c r="G3" s="1">
        <v>0</v>
      </c>
      <c r="H3" s="1">
        <v>0</v>
      </c>
    </row>
    <row r="4" spans="1:8" x14ac:dyDescent="0.2">
      <c r="A4" s="1">
        <v>2021</v>
      </c>
      <c r="B4">
        <v>0</v>
      </c>
      <c r="C4">
        <v>0</v>
      </c>
      <c r="F4" s="1">
        <v>2021</v>
      </c>
      <c r="G4" s="1">
        <v>0</v>
      </c>
      <c r="H4" s="1">
        <v>0</v>
      </c>
    </row>
    <row r="5" spans="1:8" x14ac:dyDescent="0.2">
      <c r="A5" s="1">
        <v>2022</v>
      </c>
      <c r="B5">
        <v>0</v>
      </c>
      <c r="C5">
        <v>0</v>
      </c>
      <c r="F5" s="1">
        <v>2022</v>
      </c>
      <c r="G5" s="1">
        <v>0</v>
      </c>
      <c r="H5" s="1">
        <v>0</v>
      </c>
    </row>
    <row r="6" spans="1:8" x14ac:dyDescent="0.2">
      <c r="A6" s="1">
        <v>2023</v>
      </c>
      <c r="B6">
        <v>0</v>
      </c>
      <c r="C6">
        <v>0</v>
      </c>
      <c r="F6" s="1">
        <v>2023</v>
      </c>
      <c r="G6" s="1">
        <v>0</v>
      </c>
      <c r="H6" s="1">
        <v>0</v>
      </c>
    </row>
    <row r="7" spans="1:8" x14ac:dyDescent="0.2">
      <c r="A7" s="1">
        <v>2024</v>
      </c>
      <c r="B7">
        <v>0</v>
      </c>
      <c r="C7">
        <v>0</v>
      </c>
      <c r="F7" s="1">
        <v>2024</v>
      </c>
      <c r="G7" s="1">
        <v>0</v>
      </c>
      <c r="H7" s="1">
        <v>0</v>
      </c>
    </row>
    <row r="8" spans="1:8" x14ac:dyDescent="0.2">
      <c r="A8" s="1">
        <v>2025</v>
      </c>
      <c r="B8">
        <v>0</v>
      </c>
      <c r="C8">
        <v>0</v>
      </c>
      <c r="F8" s="1">
        <v>2025</v>
      </c>
      <c r="G8" s="1">
        <v>0</v>
      </c>
      <c r="H8" s="1">
        <v>0</v>
      </c>
    </row>
    <row r="9" spans="1:8" x14ac:dyDescent="0.2">
      <c r="A9" s="1">
        <v>2026</v>
      </c>
      <c r="B9">
        <v>0</v>
      </c>
      <c r="C9">
        <v>0.57457499999999995</v>
      </c>
      <c r="F9" s="1">
        <v>2026</v>
      </c>
      <c r="G9" s="1">
        <v>0</v>
      </c>
      <c r="H9" s="1">
        <v>4.2909700000000002E-2</v>
      </c>
    </row>
    <row r="10" spans="1:8" x14ac:dyDescent="0.2">
      <c r="A10" s="1">
        <v>2027</v>
      </c>
      <c r="B10">
        <v>0</v>
      </c>
      <c r="C10">
        <v>1.9473199999999999</v>
      </c>
      <c r="F10" s="1">
        <v>2027</v>
      </c>
      <c r="G10" s="1">
        <v>0</v>
      </c>
      <c r="H10" s="1">
        <v>0.13380800000000001</v>
      </c>
    </row>
    <row r="11" spans="1:8" x14ac:dyDescent="0.2">
      <c r="A11" s="1">
        <v>2028</v>
      </c>
      <c r="B11">
        <v>0</v>
      </c>
      <c r="C11">
        <v>2.3918400000000002</v>
      </c>
      <c r="F11" s="1">
        <v>2028</v>
      </c>
      <c r="G11" s="1">
        <v>0</v>
      </c>
      <c r="H11" s="1">
        <v>0.168629</v>
      </c>
    </row>
    <row r="12" spans="1:8" x14ac:dyDescent="0.2">
      <c r="A12" s="1">
        <v>2029</v>
      </c>
      <c r="B12">
        <v>0</v>
      </c>
      <c r="C12">
        <v>2.6212200000000001</v>
      </c>
      <c r="F12" s="1">
        <v>2029</v>
      </c>
      <c r="G12" s="1">
        <v>0</v>
      </c>
      <c r="H12" s="1">
        <v>0.19290399999999999</v>
      </c>
    </row>
    <row r="13" spans="1:8" x14ac:dyDescent="0.2">
      <c r="A13" s="1">
        <v>2030</v>
      </c>
      <c r="B13">
        <v>0</v>
      </c>
      <c r="C13">
        <v>3.2078199999999999</v>
      </c>
      <c r="F13" s="1">
        <v>2030</v>
      </c>
      <c r="G13" s="1">
        <v>0</v>
      </c>
      <c r="H13" s="1">
        <v>0.235655</v>
      </c>
    </row>
    <row r="14" spans="1:8" x14ac:dyDescent="0.2">
      <c r="A14" s="1">
        <v>2031</v>
      </c>
      <c r="B14">
        <v>0</v>
      </c>
      <c r="C14">
        <v>4.8433599999999997</v>
      </c>
      <c r="F14" s="1">
        <v>2031</v>
      </c>
      <c r="G14" s="1">
        <v>0</v>
      </c>
      <c r="H14" s="1">
        <v>0.32674500000000001</v>
      </c>
    </row>
    <row r="15" spans="1:8" x14ac:dyDescent="0.2">
      <c r="A15" s="1">
        <v>2032</v>
      </c>
      <c r="B15">
        <v>0</v>
      </c>
      <c r="C15">
        <v>6.2210000000000001</v>
      </c>
      <c r="F15" s="1">
        <v>2032</v>
      </c>
      <c r="G15" s="1">
        <v>0</v>
      </c>
      <c r="H15" s="1">
        <v>0.41815400000000003</v>
      </c>
    </row>
    <row r="16" spans="1:8" x14ac:dyDescent="0.2">
      <c r="A16" s="1">
        <v>2033</v>
      </c>
      <c r="B16">
        <v>0</v>
      </c>
      <c r="C16">
        <v>7.0757399999999997</v>
      </c>
      <c r="F16" s="1">
        <v>2033</v>
      </c>
      <c r="G16" s="1">
        <v>0</v>
      </c>
      <c r="H16" s="1">
        <v>0.48587000000000002</v>
      </c>
    </row>
    <row r="17" spans="1:8" x14ac:dyDescent="0.2">
      <c r="A17" s="1">
        <v>2034</v>
      </c>
      <c r="B17">
        <v>0</v>
      </c>
      <c r="C17">
        <v>7.4921899999999999</v>
      </c>
      <c r="F17" s="1">
        <v>2034</v>
      </c>
      <c r="G17" s="1">
        <v>0</v>
      </c>
      <c r="H17" s="1">
        <v>0.53222700000000001</v>
      </c>
    </row>
    <row r="18" spans="1:8" x14ac:dyDescent="0.2">
      <c r="A18" s="1">
        <v>2035</v>
      </c>
      <c r="B18">
        <v>0</v>
      </c>
      <c r="C18">
        <v>8.0952699999999993</v>
      </c>
      <c r="F18" s="1">
        <v>2035</v>
      </c>
      <c r="G18" s="1">
        <v>0</v>
      </c>
      <c r="H18" s="1">
        <v>0.58683099999999999</v>
      </c>
    </row>
    <row r="19" spans="1:8" x14ac:dyDescent="0.2">
      <c r="A19" s="1">
        <v>2036</v>
      </c>
      <c r="B19">
        <v>0</v>
      </c>
      <c r="C19">
        <v>10.578900000000001</v>
      </c>
      <c r="F19" s="1">
        <v>2036</v>
      </c>
      <c r="G19" s="1">
        <v>0</v>
      </c>
      <c r="H19" s="1">
        <v>0.72635700000000003</v>
      </c>
    </row>
    <row r="20" spans="1:8" x14ac:dyDescent="0.2">
      <c r="A20" s="1">
        <v>2037</v>
      </c>
      <c r="B20">
        <v>0</v>
      </c>
      <c r="C20">
        <v>11.9391</v>
      </c>
      <c r="F20" s="1">
        <v>2037</v>
      </c>
      <c r="G20" s="1">
        <v>0</v>
      </c>
      <c r="H20" s="1">
        <v>0.82021200000000005</v>
      </c>
    </row>
    <row r="21" spans="1:8" x14ac:dyDescent="0.2">
      <c r="A21" s="1">
        <v>2038</v>
      </c>
      <c r="B21">
        <v>0</v>
      </c>
      <c r="C21">
        <v>13.072699999999999</v>
      </c>
      <c r="F21" s="1">
        <v>2038</v>
      </c>
      <c r="G21" s="1">
        <v>0</v>
      </c>
      <c r="H21" s="1">
        <v>0.90356400000000003</v>
      </c>
    </row>
    <row r="22" spans="1:8" x14ac:dyDescent="0.2">
      <c r="A22" s="1">
        <v>2039</v>
      </c>
      <c r="B22">
        <v>0</v>
      </c>
      <c r="C22">
        <v>13.885999999999999</v>
      </c>
      <c r="F22" s="1">
        <v>2039</v>
      </c>
      <c r="G22" s="1">
        <v>0</v>
      </c>
      <c r="H22" s="1">
        <v>0.97340800000000005</v>
      </c>
    </row>
    <row r="23" spans="1:8" x14ac:dyDescent="0.2">
      <c r="A23" s="1">
        <v>2040</v>
      </c>
      <c r="B23">
        <v>0</v>
      </c>
      <c r="C23">
        <v>15.219099999999999</v>
      </c>
      <c r="F23" s="1">
        <v>2040</v>
      </c>
      <c r="G23" s="1">
        <v>0</v>
      </c>
      <c r="H23" s="1">
        <v>1.0570999999999999</v>
      </c>
    </row>
    <row r="24" spans="1:8" x14ac:dyDescent="0.2">
      <c r="A24" s="1">
        <v>2041</v>
      </c>
      <c r="B24">
        <v>0</v>
      </c>
      <c r="C24">
        <v>16.758900000000001</v>
      </c>
      <c r="F24" s="1">
        <v>2041</v>
      </c>
      <c r="G24" s="1">
        <v>0</v>
      </c>
      <c r="H24" s="1">
        <v>1.1591499999999999</v>
      </c>
    </row>
    <row r="25" spans="1:8" x14ac:dyDescent="0.2">
      <c r="A25" s="1">
        <v>2042</v>
      </c>
      <c r="B25">
        <v>0</v>
      </c>
      <c r="C25">
        <v>17.9682</v>
      </c>
      <c r="F25" s="1">
        <v>2042</v>
      </c>
      <c r="G25" s="1">
        <v>0</v>
      </c>
      <c r="H25" s="1">
        <v>1.24861</v>
      </c>
    </row>
    <row r="26" spans="1:8" x14ac:dyDescent="0.2">
      <c r="A26" s="1">
        <v>2043</v>
      </c>
      <c r="B26">
        <v>0</v>
      </c>
      <c r="C26">
        <v>19.023299999999999</v>
      </c>
      <c r="F26" s="1">
        <v>2043</v>
      </c>
      <c r="G26" s="1">
        <v>0</v>
      </c>
      <c r="H26" s="1">
        <v>1.3335699999999999</v>
      </c>
    </row>
    <row r="27" spans="1:8" x14ac:dyDescent="0.2">
      <c r="A27" s="1">
        <v>2044</v>
      </c>
      <c r="B27">
        <v>0</v>
      </c>
      <c r="C27">
        <v>20.189</v>
      </c>
      <c r="F27" s="1">
        <v>2044</v>
      </c>
      <c r="G27" s="1">
        <v>0</v>
      </c>
      <c r="H27" s="1">
        <v>1.42154</v>
      </c>
    </row>
    <row r="28" spans="1:8" x14ac:dyDescent="0.2">
      <c r="A28" s="1">
        <v>2045</v>
      </c>
      <c r="B28">
        <v>0</v>
      </c>
      <c r="C28">
        <v>20.999199999999998</v>
      </c>
      <c r="F28" s="1">
        <v>2045</v>
      </c>
      <c r="G28" s="1">
        <v>0</v>
      </c>
      <c r="H28" s="1">
        <v>1.5027200000000001</v>
      </c>
    </row>
    <row r="29" spans="1:8" x14ac:dyDescent="0.2">
      <c r="A29" s="1">
        <v>2046</v>
      </c>
      <c r="B29">
        <v>0</v>
      </c>
      <c r="C29">
        <v>23.8444</v>
      </c>
      <c r="F29" s="1">
        <v>2046</v>
      </c>
      <c r="G29" s="1">
        <v>0</v>
      </c>
      <c r="H29" s="1">
        <v>1.6482600000000001</v>
      </c>
    </row>
    <row r="30" spans="1:8" x14ac:dyDescent="0.2">
      <c r="A30" s="1">
        <v>2047</v>
      </c>
      <c r="B30">
        <v>0</v>
      </c>
      <c r="C30">
        <v>25.0199</v>
      </c>
      <c r="F30" s="1">
        <v>2047</v>
      </c>
      <c r="G30" s="1">
        <v>0</v>
      </c>
      <c r="H30" s="1">
        <v>1.7439199999999999</v>
      </c>
    </row>
    <row r="31" spans="1:8" x14ac:dyDescent="0.2">
      <c r="A31" s="1">
        <v>2048</v>
      </c>
      <c r="B31">
        <v>0</v>
      </c>
      <c r="C31">
        <v>26.113800000000001</v>
      </c>
      <c r="F31" s="1">
        <v>2048</v>
      </c>
      <c r="G31" s="1">
        <v>0</v>
      </c>
      <c r="H31" s="1">
        <v>1.83094</v>
      </c>
    </row>
    <row r="32" spans="1:8" x14ac:dyDescent="0.2">
      <c r="A32" s="1">
        <v>2049</v>
      </c>
      <c r="B32">
        <v>0</v>
      </c>
      <c r="C32">
        <v>29.113600000000002</v>
      </c>
      <c r="F32" s="1">
        <v>2049</v>
      </c>
      <c r="G32" s="1">
        <v>0</v>
      </c>
      <c r="H32" s="1">
        <v>1.9417899999999999</v>
      </c>
    </row>
    <row r="33" spans="1:8" x14ac:dyDescent="0.2">
      <c r="A33" s="1">
        <v>2050</v>
      </c>
      <c r="B33">
        <v>0</v>
      </c>
      <c r="C33">
        <v>32.413600000000002</v>
      </c>
      <c r="F33" s="1">
        <v>2050</v>
      </c>
      <c r="G33" s="1">
        <v>0</v>
      </c>
      <c r="H33" s="1">
        <v>2.05219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B40D-5DA4-D941-B7B5-00ED86BCA4A2}">
  <dimension ref="A1:AF39"/>
  <sheetViews>
    <sheetView workbookViewId="0">
      <selection activeCell="E8" sqref="E8"/>
    </sheetView>
  </sheetViews>
  <sheetFormatPr baseColWidth="10" defaultRowHeight="16" x14ac:dyDescent="0.2"/>
  <sheetData>
    <row r="1" spans="1:3" s="6" customFormat="1" x14ac:dyDescent="0.2">
      <c r="A1" s="6" t="s">
        <v>78</v>
      </c>
    </row>
    <row r="2" spans="1:3" x14ac:dyDescent="0.2">
      <c r="A2" s="4" t="s">
        <v>0</v>
      </c>
      <c r="B2" s="4" t="s">
        <v>1</v>
      </c>
      <c r="C2" s="4" t="s">
        <v>2</v>
      </c>
    </row>
    <row r="3" spans="1:3" x14ac:dyDescent="0.2">
      <c r="A3" s="1">
        <v>2020</v>
      </c>
      <c r="B3" s="1">
        <v>0</v>
      </c>
      <c r="C3" s="1">
        <v>0</v>
      </c>
    </row>
    <row r="4" spans="1:3" x14ac:dyDescent="0.2">
      <c r="A4" s="1">
        <v>2021</v>
      </c>
      <c r="B4" s="1">
        <v>0</v>
      </c>
      <c r="C4" s="1">
        <v>0</v>
      </c>
    </row>
    <row r="5" spans="1:3" x14ac:dyDescent="0.2">
      <c r="A5" s="1">
        <v>2022</v>
      </c>
      <c r="B5" s="1">
        <v>0</v>
      </c>
      <c r="C5" s="1">
        <v>0</v>
      </c>
    </row>
    <row r="6" spans="1:3" x14ac:dyDescent="0.2">
      <c r="A6" s="1">
        <v>2023</v>
      </c>
      <c r="B6" s="1">
        <v>0</v>
      </c>
      <c r="C6" s="1">
        <v>0</v>
      </c>
    </row>
    <row r="7" spans="1:3" x14ac:dyDescent="0.2">
      <c r="A7" s="1">
        <v>2024</v>
      </c>
      <c r="B7" s="1">
        <v>0</v>
      </c>
      <c r="C7" s="1">
        <v>0</v>
      </c>
    </row>
    <row r="8" spans="1:3" x14ac:dyDescent="0.2">
      <c r="A8" s="1">
        <v>2025</v>
      </c>
      <c r="B8" s="1">
        <v>0</v>
      </c>
      <c r="C8" s="1">
        <v>0</v>
      </c>
    </row>
    <row r="9" spans="1:3" x14ac:dyDescent="0.2">
      <c r="A9" s="1">
        <v>2026</v>
      </c>
      <c r="B9" s="1">
        <v>0</v>
      </c>
      <c r="C9" s="1">
        <v>11238</v>
      </c>
    </row>
    <row r="10" spans="1:3" x14ac:dyDescent="0.2">
      <c r="A10" s="1">
        <v>2027</v>
      </c>
      <c r="B10" s="1">
        <v>0</v>
      </c>
      <c r="C10" s="1">
        <v>29863</v>
      </c>
    </row>
    <row r="11" spans="1:3" x14ac:dyDescent="0.2">
      <c r="A11" s="1">
        <v>2028</v>
      </c>
      <c r="B11" s="1">
        <v>0</v>
      </c>
      <c r="C11" s="1">
        <v>41096</v>
      </c>
    </row>
    <row r="12" spans="1:3" x14ac:dyDescent="0.2">
      <c r="A12" s="1">
        <v>2029</v>
      </c>
      <c r="B12" s="1">
        <v>0</v>
      </c>
      <c r="C12" s="1">
        <v>45198</v>
      </c>
    </row>
    <row r="13" spans="1:3" x14ac:dyDescent="0.2">
      <c r="A13" s="1">
        <v>2030</v>
      </c>
      <c r="B13" s="1">
        <v>0</v>
      </c>
      <c r="C13" s="1">
        <v>87487</v>
      </c>
    </row>
    <row r="14" spans="1:3" x14ac:dyDescent="0.2">
      <c r="A14" s="1">
        <v>2031</v>
      </c>
      <c r="B14" s="1">
        <v>0</v>
      </c>
      <c r="C14" s="1">
        <v>127339</v>
      </c>
    </row>
    <row r="15" spans="1:3" x14ac:dyDescent="0.2">
      <c r="A15" s="1">
        <v>2032</v>
      </c>
      <c r="B15" s="1">
        <v>0</v>
      </c>
      <c r="C15" s="1">
        <v>163524</v>
      </c>
    </row>
    <row r="16" spans="1:3" x14ac:dyDescent="0.2">
      <c r="A16" s="1">
        <v>2033</v>
      </c>
      <c r="B16" s="1">
        <v>0</v>
      </c>
      <c r="C16" s="1">
        <v>193092</v>
      </c>
    </row>
    <row r="17" spans="1:6" x14ac:dyDescent="0.2">
      <c r="A17" s="1">
        <v>2034</v>
      </c>
      <c r="B17" s="1">
        <v>0</v>
      </c>
      <c r="C17" s="1">
        <v>221974</v>
      </c>
    </row>
    <row r="18" spans="1:6" x14ac:dyDescent="0.2">
      <c r="A18" s="1">
        <v>2035</v>
      </c>
      <c r="B18" s="1">
        <v>0</v>
      </c>
      <c r="C18" s="1">
        <v>255936</v>
      </c>
    </row>
    <row r="19" spans="1:6" x14ac:dyDescent="0.2">
      <c r="A19" s="1">
        <v>2036</v>
      </c>
      <c r="B19" s="1">
        <v>0</v>
      </c>
      <c r="C19" s="1">
        <v>341794</v>
      </c>
    </row>
    <row r="20" spans="1:6" x14ac:dyDescent="0.2">
      <c r="A20" s="1">
        <v>2037</v>
      </c>
      <c r="B20" s="1">
        <v>0</v>
      </c>
      <c r="C20" s="1">
        <v>398577</v>
      </c>
    </row>
    <row r="21" spans="1:6" x14ac:dyDescent="0.2">
      <c r="A21" s="1">
        <v>2038</v>
      </c>
      <c r="B21" s="1">
        <v>0</v>
      </c>
      <c r="C21" s="1">
        <v>451554</v>
      </c>
    </row>
    <row r="22" spans="1:6" x14ac:dyDescent="0.2">
      <c r="A22" s="1">
        <v>2039</v>
      </c>
      <c r="B22" s="1">
        <v>0</v>
      </c>
      <c r="C22" s="1">
        <v>506936</v>
      </c>
    </row>
    <row r="23" spans="1:6" x14ac:dyDescent="0.2">
      <c r="A23" s="1">
        <v>2040</v>
      </c>
      <c r="B23" s="1">
        <v>0</v>
      </c>
      <c r="C23" s="1">
        <v>561618</v>
      </c>
    </row>
    <row r="24" spans="1:6" x14ac:dyDescent="0.2">
      <c r="A24" s="1">
        <v>2041</v>
      </c>
      <c r="B24" s="1">
        <v>0</v>
      </c>
      <c r="C24" s="1">
        <v>631519</v>
      </c>
    </row>
    <row r="25" spans="1:6" x14ac:dyDescent="0.2">
      <c r="A25" s="1">
        <v>2042</v>
      </c>
      <c r="B25" s="1">
        <v>0</v>
      </c>
      <c r="C25" s="1">
        <v>699119</v>
      </c>
    </row>
    <row r="26" spans="1:6" x14ac:dyDescent="0.2">
      <c r="A26" s="1">
        <v>2043</v>
      </c>
      <c r="B26" s="1">
        <v>0</v>
      </c>
      <c r="C26" s="1">
        <v>769064</v>
      </c>
    </row>
    <row r="27" spans="1:6" x14ac:dyDescent="0.2">
      <c r="A27" s="1">
        <v>2044</v>
      </c>
      <c r="B27" s="1">
        <v>0</v>
      </c>
      <c r="C27" s="1">
        <v>835704</v>
      </c>
    </row>
    <row r="28" spans="1:6" x14ac:dyDescent="0.2">
      <c r="A28" s="1">
        <v>2045</v>
      </c>
      <c r="B28" s="1">
        <v>0</v>
      </c>
      <c r="C28" s="1">
        <v>900075</v>
      </c>
    </row>
    <row r="29" spans="1:6" x14ac:dyDescent="0.2">
      <c r="A29" s="1">
        <v>2046</v>
      </c>
      <c r="B29" s="1">
        <v>0</v>
      </c>
      <c r="C29" s="1">
        <v>993460</v>
      </c>
    </row>
    <row r="30" spans="1:6" x14ac:dyDescent="0.2">
      <c r="A30" s="1">
        <v>2047</v>
      </c>
      <c r="B30" s="1">
        <v>0</v>
      </c>
      <c r="C30" s="10">
        <v>1075140</v>
      </c>
      <c r="F30" s="2"/>
    </row>
    <row r="31" spans="1:6" x14ac:dyDescent="0.2">
      <c r="A31" s="1">
        <v>2048</v>
      </c>
      <c r="B31" s="1">
        <v>0</v>
      </c>
      <c r="C31" s="10">
        <v>1157620</v>
      </c>
      <c r="F31" s="2"/>
    </row>
    <row r="32" spans="1:6" x14ac:dyDescent="0.2">
      <c r="A32" s="1">
        <v>2049</v>
      </c>
      <c r="B32" s="1">
        <v>0</v>
      </c>
      <c r="C32" s="10">
        <v>1241990</v>
      </c>
      <c r="F32" s="2"/>
    </row>
    <row r="33" spans="1:32" x14ac:dyDescent="0.2">
      <c r="A33" s="1">
        <v>2050</v>
      </c>
      <c r="B33" s="1">
        <v>0</v>
      </c>
      <c r="C33" s="10">
        <v>1325060</v>
      </c>
      <c r="F33" s="2"/>
    </row>
    <row r="38" spans="1:32" x14ac:dyDescent="0.2">
      <c r="AC38" s="2"/>
      <c r="AD38" s="2"/>
      <c r="AE38" s="2"/>
      <c r="AF38" s="2"/>
    </row>
    <row r="39" spans="1:32" x14ac:dyDescent="0.2">
      <c r="X39" s="2"/>
      <c r="Y39" s="2"/>
      <c r="Z39" s="2"/>
      <c r="AA39" s="2"/>
      <c r="AB39" s="2"/>
      <c r="AC39" s="2"/>
      <c r="AD39" s="2"/>
      <c r="AE39" s="2"/>
      <c r="AF3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AF24-9E34-6845-AC50-1582F15F0B7D}">
  <dimension ref="A1:C32"/>
  <sheetViews>
    <sheetView workbookViewId="0">
      <selection activeCell="C33" sqref="C33"/>
    </sheetView>
  </sheetViews>
  <sheetFormatPr baseColWidth="10" defaultRowHeight="16" x14ac:dyDescent="0.2"/>
  <sheetData>
    <row r="1" spans="1:3" ht="85" x14ac:dyDescent="0.2">
      <c r="A1" s="12" t="s">
        <v>0</v>
      </c>
      <c r="B1" s="12" t="s">
        <v>32</v>
      </c>
      <c r="C1" s="12" t="s">
        <v>33</v>
      </c>
    </row>
    <row r="2" spans="1:3" x14ac:dyDescent="0.2">
      <c r="A2" s="1">
        <v>2020</v>
      </c>
      <c r="B2">
        <v>0</v>
      </c>
      <c r="C2">
        <v>0</v>
      </c>
    </row>
    <row r="3" spans="1:3" x14ac:dyDescent="0.2">
      <c r="A3" s="1">
        <v>2021</v>
      </c>
      <c r="B3">
        <v>0</v>
      </c>
      <c r="C3">
        <v>0</v>
      </c>
    </row>
    <row r="4" spans="1:3" x14ac:dyDescent="0.2">
      <c r="A4" s="1">
        <v>2022</v>
      </c>
      <c r="B4">
        <v>0</v>
      </c>
      <c r="C4">
        <v>0</v>
      </c>
    </row>
    <row r="5" spans="1:3" x14ac:dyDescent="0.2">
      <c r="A5" s="1">
        <v>2023</v>
      </c>
      <c r="B5">
        <v>0</v>
      </c>
      <c r="C5">
        <v>0</v>
      </c>
    </row>
    <row r="6" spans="1:3" x14ac:dyDescent="0.2">
      <c r="A6" s="1">
        <v>2024</v>
      </c>
      <c r="B6">
        <v>0</v>
      </c>
      <c r="C6">
        <v>0</v>
      </c>
    </row>
    <row r="7" spans="1:3" x14ac:dyDescent="0.2">
      <c r="A7" s="1">
        <v>2025</v>
      </c>
      <c r="B7">
        <v>0</v>
      </c>
      <c r="C7">
        <v>0</v>
      </c>
    </row>
    <row r="8" spans="1:3" x14ac:dyDescent="0.2">
      <c r="A8" s="1">
        <v>2026</v>
      </c>
      <c r="B8">
        <v>0</v>
      </c>
      <c r="C8">
        <v>-0.30510399999999999</v>
      </c>
    </row>
    <row r="9" spans="1:3" x14ac:dyDescent="0.2">
      <c r="A9" s="1">
        <v>2027</v>
      </c>
      <c r="B9">
        <v>0</v>
      </c>
      <c r="C9">
        <v>-0.89126000000000005</v>
      </c>
    </row>
    <row r="10" spans="1:3" x14ac:dyDescent="0.2">
      <c r="A10" s="1">
        <v>2028</v>
      </c>
      <c r="B10">
        <v>0</v>
      </c>
      <c r="C10">
        <v>-1.7727200000000001</v>
      </c>
    </row>
    <row r="11" spans="1:3" x14ac:dyDescent="0.2">
      <c r="A11" s="1">
        <v>2029</v>
      </c>
      <c r="B11">
        <v>0</v>
      </c>
      <c r="C11">
        <v>-2.9539399999999998</v>
      </c>
    </row>
    <row r="12" spans="1:3" x14ac:dyDescent="0.2">
      <c r="A12" s="1">
        <v>2030</v>
      </c>
      <c r="B12">
        <v>0</v>
      </c>
      <c r="C12">
        <v>-4.4081900000000003</v>
      </c>
    </row>
    <row r="13" spans="1:3" x14ac:dyDescent="0.2">
      <c r="A13" s="1">
        <v>2031</v>
      </c>
      <c r="B13">
        <v>0</v>
      </c>
      <c r="C13">
        <v>-6.1862599999999999</v>
      </c>
    </row>
    <row r="14" spans="1:3" x14ac:dyDescent="0.2">
      <c r="A14" s="1">
        <v>2032</v>
      </c>
      <c r="B14">
        <v>0</v>
      </c>
      <c r="C14">
        <v>-8.3937000000000008</v>
      </c>
    </row>
    <row r="15" spans="1:3" x14ac:dyDescent="0.2">
      <c r="A15" s="1">
        <v>2033</v>
      </c>
      <c r="B15">
        <v>0</v>
      </c>
      <c r="C15">
        <v>-10.9757</v>
      </c>
    </row>
    <row r="16" spans="1:3" x14ac:dyDescent="0.2">
      <c r="A16" s="1">
        <v>2034</v>
      </c>
      <c r="B16">
        <v>0</v>
      </c>
      <c r="C16">
        <v>-13.9078</v>
      </c>
    </row>
    <row r="17" spans="1:3" x14ac:dyDescent="0.2">
      <c r="A17" s="1">
        <v>2035</v>
      </c>
      <c r="B17">
        <v>0</v>
      </c>
      <c r="C17">
        <v>-17.249300000000002</v>
      </c>
    </row>
    <row r="18" spans="1:3" x14ac:dyDescent="0.2">
      <c r="A18" s="1">
        <v>2036</v>
      </c>
      <c r="B18">
        <v>0</v>
      </c>
      <c r="C18">
        <v>-21.0517</v>
      </c>
    </row>
    <row r="19" spans="1:3" x14ac:dyDescent="0.2">
      <c r="A19" s="1">
        <v>2037</v>
      </c>
      <c r="B19">
        <v>0</v>
      </c>
      <c r="C19">
        <v>-25.2029</v>
      </c>
    </row>
    <row r="20" spans="1:3" x14ac:dyDescent="0.2">
      <c r="A20" s="1">
        <v>2038</v>
      </c>
      <c r="B20">
        <v>0</v>
      </c>
      <c r="C20">
        <v>-29.754100000000001</v>
      </c>
    </row>
    <row r="21" spans="1:3" x14ac:dyDescent="0.2">
      <c r="A21" s="1">
        <v>2039</v>
      </c>
      <c r="B21">
        <v>0</v>
      </c>
      <c r="C21">
        <v>-34.664700000000003</v>
      </c>
    </row>
    <row r="22" spans="1:3" x14ac:dyDescent="0.2">
      <c r="A22" s="1">
        <v>2040</v>
      </c>
      <c r="B22">
        <v>0</v>
      </c>
      <c r="C22">
        <v>-39.894199999999998</v>
      </c>
    </row>
    <row r="23" spans="1:3" x14ac:dyDescent="0.2">
      <c r="A23" s="1">
        <v>2041</v>
      </c>
      <c r="B23">
        <v>0</v>
      </c>
      <c r="C23">
        <v>-45.4925</v>
      </c>
    </row>
    <row r="24" spans="1:3" x14ac:dyDescent="0.2">
      <c r="A24" s="1">
        <v>2042</v>
      </c>
      <c r="B24">
        <v>0</v>
      </c>
      <c r="C24">
        <v>-51.430300000000003</v>
      </c>
    </row>
    <row r="25" spans="1:3" x14ac:dyDescent="0.2">
      <c r="A25" s="1">
        <v>2043</v>
      </c>
      <c r="B25">
        <v>0</v>
      </c>
      <c r="C25">
        <v>-57.677100000000003</v>
      </c>
    </row>
    <row r="26" spans="1:3" x14ac:dyDescent="0.2">
      <c r="A26" s="1">
        <v>2044</v>
      </c>
      <c r="B26">
        <v>0</v>
      </c>
      <c r="C26">
        <v>-64.183599999999998</v>
      </c>
    </row>
    <row r="27" spans="1:3" x14ac:dyDescent="0.2">
      <c r="A27" s="1">
        <v>2045</v>
      </c>
      <c r="B27">
        <v>0</v>
      </c>
      <c r="C27">
        <v>-70.9191</v>
      </c>
    </row>
    <row r="28" spans="1:3" x14ac:dyDescent="0.2">
      <c r="A28" s="1">
        <v>2046</v>
      </c>
      <c r="B28">
        <v>0</v>
      </c>
      <c r="C28">
        <v>-77.894099999999995</v>
      </c>
    </row>
    <row r="29" spans="1:3" x14ac:dyDescent="0.2">
      <c r="A29" s="1">
        <v>2047</v>
      </c>
      <c r="B29">
        <v>0</v>
      </c>
      <c r="C29">
        <v>-85.135599999999997</v>
      </c>
    </row>
    <row r="30" spans="1:3" x14ac:dyDescent="0.2">
      <c r="A30" s="1">
        <v>2048</v>
      </c>
      <c r="B30">
        <v>0</v>
      </c>
      <c r="C30">
        <v>-92.598799999999997</v>
      </c>
    </row>
    <row r="31" spans="1:3" x14ac:dyDescent="0.2">
      <c r="A31" s="1">
        <v>2049</v>
      </c>
      <c r="B31">
        <v>0</v>
      </c>
      <c r="C31">
        <v>-100.197</v>
      </c>
    </row>
    <row r="32" spans="1:3" x14ac:dyDescent="0.2">
      <c r="A32" s="1">
        <v>2050</v>
      </c>
      <c r="B32">
        <v>0</v>
      </c>
      <c r="C32">
        <v>-107.9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3BD9-80DC-524E-9699-199B06A06C1B}">
  <dimension ref="A1:U33"/>
  <sheetViews>
    <sheetView workbookViewId="0">
      <selection activeCell="N9" sqref="N9"/>
    </sheetView>
  </sheetViews>
  <sheetFormatPr baseColWidth="10" defaultRowHeight="16" x14ac:dyDescent="0.2"/>
  <cols>
    <col min="12" max="12" width="11.1640625" bestFit="1" customWidth="1"/>
  </cols>
  <sheetData>
    <row r="1" spans="1:21" s="6" customFormat="1" x14ac:dyDescent="0.2">
      <c r="A1" s="6" t="s">
        <v>82</v>
      </c>
    </row>
    <row r="2" spans="1:21" ht="68" x14ac:dyDescent="0.2">
      <c r="A2" s="12" t="s">
        <v>0</v>
      </c>
      <c r="B2" s="12" t="s">
        <v>83</v>
      </c>
      <c r="C2" s="12" t="s">
        <v>84</v>
      </c>
      <c r="D2" s="12" t="s">
        <v>85</v>
      </c>
      <c r="E2" s="12" t="s">
        <v>86</v>
      </c>
      <c r="F2" s="12" t="s">
        <v>87</v>
      </c>
      <c r="G2" s="12" t="s">
        <v>88</v>
      </c>
      <c r="H2" s="12" t="s">
        <v>89</v>
      </c>
      <c r="I2" s="12" t="s">
        <v>90</v>
      </c>
      <c r="J2" s="12" t="s">
        <v>91</v>
      </c>
      <c r="K2" s="13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">
      <c r="A3" s="1">
        <v>2020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L3" s="10"/>
    </row>
    <row r="4" spans="1:21" x14ac:dyDescent="0.2">
      <c r="A4" s="1">
        <v>2021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21" x14ac:dyDescent="0.2">
      <c r="A5" s="1">
        <v>2022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21" x14ac:dyDescent="0.2">
      <c r="A6" s="1">
        <v>2023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21" x14ac:dyDescent="0.2">
      <c r="A7" s="1">
        <v>2024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21" x14ac:dyDescent="0.2">
      <c r="A8" s="1">
        <v>2025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21" x14ac:dyDescent="0.2">
      <c r="A9" s="1">
        <v>2026</v>
      </c>
      <c r="B9" s="1">
        <v>1.2412399999999999</v>
      </c>
      <c r="C9" s="1">
        <v>-0.165659</v>
      </c>
      <c r="D9" s="1">
        <v>0</v>
      </c>
      <c r="E9" s="1">
        <v>0</v>
      </c>
      <c r="F9" s="1">
        <v>0</v>
      </c>
      <c r="G9" s="1">
        <v>0</v>
      </c>
      <c r="H9" s="1">
        <v>0.18779299999999999</v>
      </c>
      <c r="I9" s="1">
        <v>0</v>
      </c>
      <c r="J9" s="1">
        <v>-2.8171999999999999E-2</v>
      </c>
    </row>
    <row r="10" spans="1:21" x14ac:dyDescent="0.2">
      <c r="A10" s="1">
        <v>2027</v>
      </c>
      <c r="B10" s="1">
        <v>2.4489800000000002</v>
      </c>
      <c r="C10" s="1">
        <v>-0.43589800000000001</v>
      </c>
      <c r="D10" s="1">
        <v>0</v>
      </c>
      <c r="E10" s="1">
        <v>0</v>
      </c>
      <c r="F10" s="1">
        <v>0</v>
      </c>
      <c r="G10" s="1">
        <v>0</v>
      </c>
      <c r="H10" s="1">
        <v>0.39915200000000001</v>
      </c>
      <c r="I10" s="1">
        <v>1.9193100000000001E-2</v>
      </c>
      <c r="J10" s="1">
        <v>-6.7746399999999998E-2</v>
      </c>
    </row>
    <row r="11" spans="1:21" x14ac:dyDescent="0.2">
      <c r="A11" s="1">
        <v>2028</v>
      </c>
      <c r="B11" s="1">
        <v>3.4297200000000001</v>
      </c>
      <c r="C11" s="1">
        <v>-0.79654199999999997</v>
      </c>
      <c r="D11" s="1">
        <v>0</v>
      </c>
      <c r="E11" s="1">
        <v>0</v>
      </c>
      <c r="F11" s="1">
        <v>0</v>
      </c>
      <c r="G11" s="1">
        <v>0</v>
      </c>
      <c r="H11" s="1">
        <v>0.67053600000000002</v>
      </c>
      <c r="I11" s="1">
        <v>5.6281400000000002E-2</v>
      </c>
      <c r="J11" s="1">
        <v>-7.7160199999999998E-2</v>
      </c>
    </row>
    <row r="12" spans="1:21" x14ac:dyDescent="0.2">
      <c r="A12" s="1">
        <v>2029</v>
      </c>
      <c r="B12" s="1">
        <v>4.4931299999999998</v>
      </c>
      <c r="C12" s="1">
        <v>-1.22058</v>
      </c>
      <c r="D12" s="1">
        <v>0</v>
      </c>
      <c r="E12" s="1">
        <v>0</v>
      </c>
      <c r="F12" s="1">
        <v>0</v>
      </c>
      <c r="G12" s="1">
        <v>0</v>
      </c>
      <c r="H12" s="1">
        <v>0.97901800000000005</v>
      </c>
      <c r="I12" s="1">
        <v>0.112066</v>
      </c>
      <c r="J12" s="1">
        <v>-0.135906</v>
      </c>
    </row>
    <row r="13" spans="1:21" x14ac:dyDescent="0.2">
      <c r="A13" s="1">
        <v>2030</v>
      </c>
      <c r="B13" s="1">
        <v>6.1272399999999996</v>
      </c>
      <c r="C13" s="1">
        <v>-1.6744399999999999</v>
      </c>
      <c r="D13" s="1">
        <v>0</v>
      </c>
      <c r="E13" s="1">
        <v>0</v>
      </c>
      <c r="F13" s="1">
        <v>0</v>
      </c>
      <c r="G13" s="1">
        <v>0</v>
      </c>
      <c r="H13" s="1">
        <v>1.2615700000000001</v>
      </c>
      <c r="I13" s="1">
        <v>0.20372090000000001</v>
      </c>
      <c r="J13" s="1">
        <v>-0.20152900000000001</v>
      </c>
    </row>
    <row r="14" spans="1:21" x14ac:dyDescent="0.2">
      <c r="A14" s="1">
        <v>2031</v>
      </c>
      <c r="B14" s="1">
        <v>6.34476</v>
      </c>
      <c r="C14" s="1">
        <v>-2.0354700000000001</v>
      </c>
      <c r="D14" s="1">
        <v>0</v>
      </c>
      <c r="E14" s="1">
        <v>0</v>
      </c>
      <c r="F14" s="1">
        <v>0</v>
      </c>
      <c r="G14" s="1">
        <v>0</v>
      </c>
      <c r="H14" s="1">
        <v>1.60118</v>
      </c>
      <c r="I14" s="1">
        <v>0.278922</v>
      </c>
      <c r="J14" s="1">
        <v>-0.29822199999999999</v>
      </c>
    </row>
    <row r="15" spans="1:21" x14ac:dyDescent="0.2">
      <c r="A15" s="1">
        <v>2032</v>
      </c>
      <c r="B15" s="1">
        <v>7.1794900000000004</v>
      </c>
      <c r="C15" s="1">
        <v>-2.3370000000000002</v>
      </c>
      <c r="D15" s="1">
        <v>0</v>
      </c>
      <c r="E15" s="1">
        <v>0</v>
      </c>
      <c r="F15" s="1">
        <v>0</v>
      </c>
      <c r="G15" s="1">
        <v>0</v>
      </c>
      <c r="H15" s="1">
        <v>2.0011700000000001</v>
      </c>
      <c r="I15" s="1">
        <v>0.39049</v>
      </c>
      <c r="J15" s="1">
        <v>-0.37200100000000003</v>
      </c>
    </row>
    <row r="16" spans="1:21" x14ac:dyDescent="0.2">
      <c r="A16" s="1">
        <v>2033</v>
      </c>
      <c r="B16" s="1">
        <v>7.7775999999999996</v>
      </c>
      <c r="C16" s="1">
        <v>-2.63714</v>
      </c>
      <c r="D16" s="1">
        <v>0</v>
      </c>
      <c r="E16" s="1">
        <v>0</v>
      </c>
      <c r="F16" s="1">
        <v>0</v>
      </c>
      <c r="G16" s="1">
        <v>0</v>
      </c>
      <c r="H16" s="1">
        <v>2.3844699999999999</v>
      </c>
      <c r="I16" s="1">
        <v>0.52826600000000001</v>
      </c>
      <c r="J16" s="1">
        <v>-0.43402299999999999</v>
      </c>
    </row>
    <row r="17" spans="1:10" x14ac:dyDescent="0.2">
      <c r="A17" s="1">
        <v>2034</v>
      </c>
      <c r="B17" s="1">
        <v>8.5707500000000003</v>
      </c>
      <c r="C17" s="1">
        <v>-2.9755400000000001</v>
      </c>
      <c r="D17" s="1">
        <v>0</v>
      </c>
      <c r="E17" s="1">
        <v>0</v>
      </c>
      <c r="F17" s="1">
        <v>0</v>
      </c>
      <c r="G17" s="1">
        <v>0</v>
      </c>
      <c r="H17" s="1">
        <v>2.77373</v>
      </c>
      <c r="I17" s="1">
        <v>0.68932300000000002</v>
      </c>
      <c r="J17" s="1">
        <v>-0.60352300000000003</v>
      </c>
    </row>
    <row r="18" spans="1:10" x14ac:dyDescent="0.2">
      <c r="A18" s="1">
        <v>2035</v>
      </c>
      <c r="B18" s="1">
        <v>9.3459699999999994</v>
      </c>
      <c r="C18" s="1">
        <v>-3.2951700000000002</v>
      </c>
      <c r="D18" s="1">
        <v>0</v>
      </c>
      <c r="E18" s="1">
        <v>0</v>
      </c>
      <c r="F18" s="1">
        <v>0</v>
      </c>
      <c r="G18" s="1">
        <v>0</v>
      </c>
      <c r="H18" s="1">
        <v>3.2153200000000002</v>
      </c>
      <c r="I18" s="1">
        <v>0.872417</v>
      </c>
      <c r="J18" s="1">
        <v>-0.77105599999999996</v>
      </c>
    </row>
    <row r="19" spans="1:10" x14ac:dyDescent="0.2">
      <c r="A19" s="1">
        <v>2036</v>
      </c>
      <c r="B19" s="1">
        <v>10.551500000000001</v>
      </c>
      <c r="C19" s="1">
        <v>-3.6684800000000002</v>
      </c>
      <c r="D19" s="1">
        <v>0</v>
      </c>
      <c r="E19" s="1">
        <v>0</v>
      </c>
      <c r="F19" s="1">
        <v>0</v>
      </c>
      <c r="G19" s="1">
        <v>0</v>
      </c>
      <c r="H19" s="1">
        <v>3.6852200000000002</v>
      </c>
      <c r="I19" s="1">
        <v>1.0814699999999999</v>
      </c>
      <c r="J19" s="1">
        <v>-0.98233700000000002</v>
      </c>
    </row>
    <row r="20" spans="1:10" x14ac:dyDescent="0.2">
      <c r="A20" s="1">
        <v>2037</v>
      </c>
      <c r="B20" s="1">
        <v>11.699</v>
      </c>
      <c r="C20" s="1">
        <v>-4.0782600000000002</v>
      </c>
      <c r="D20" s="1">
        <v>0</v>
      </c>
      <c r="E20" s="1">
        <v>0</v>
      </c>
      <c r="F20" s="1">
        <v>0</v>
      </c>
      <c r="G20" s="1">
        <v>0</v>
      </c>
      <c r="H20" s="1">
        <v>4.0703800000000001</v>
      </c>
      <c r="I20" s="1">
        <v>1.3199099999999999</v>
      </c>
      <c r="J20" s="1">
        <v>-1.1611800000000001</v>
      </c>
    </row>
    <row r="21" spans="1:10" x14ac:dyDescent="0.2">
      <c r="A21" s="1">
        <v>2038</v>
      </c>
      <c r="B21" s="1">
        <v>12.7035</v>
      </c>
      <c r="C21" s="1">
        <v>-4.5398199999999997</v>
      </c>
      <c r="D21" s="1">
        <v>0</v>
      </c>
      <c r="E21" s="1">
        <v>0</v>
      </c>
      <c r="F21" s="1">
        <v>0</v>
      </c>
      <c r="G21" s="1">
        <v>0</v>
      </c>
      <c r="H21" s="1">
        <v>4.56569</v>
      </c>
      <c r="I21" s="1">
        <v>1.5812900000000001</v>
      </c>
      <c r="J21" s="1">
        <v>-1.4149</v>
      </c>
    </row>
    <row r="22" spans="1:10" x14ac:dyDescent="0.2">
      <c r="A22" s="1">
        <v>2039</v>
      </c>
      <c r="B22" s="1">
        <v>13.6805</v>
      </c>
      <c r="C22" s="1">
        <v>-5.0245600000000001</v>
      </c>
      <c r="D22" s="1">
        <v>0</v>
      </c>
      <c r="E22" s="1">
        <v>0</v>
      </c>
      <c r="F22" s="1">
        <v>0</v>
      </c>
      <c r="G22" s="1">
        <v>0</v>
      </c>
      <c r="H22" s="1">
        <v>5.0448399999999998</v>
      </c>
      <c r="I22" s="1">
        <v>1.8690800000000001</v>
      </c>
      <c r="J22" s="1">
        <v>-1.7125699999999999</v>
      </c>
    </row>
    <row r="23" spans="1:10" x14ac:dyDescent="0.2">
      <c r="A23" s="1">
        <v>2040</v>
      </c>
      <c r="B23" s="1">
        <v>14.5548</v>
      </c>
      <c r="C23" s="1">
        <v>-5.5702299999999996</v>
      </c>
      <c r="D23" s="1">
        <v>0</v>
      </c>
      <c r="E23" s="1">
        <v>0</v>
      </c>
      <c r="F23" s="1">
        <v>0</v>
      </c>
      <c r="G23" s="1">
        <v>0</v>
      </c>
      <c r="H23" s="1">
        <v>5.5296399999999997</v>
      </c>
      <c r="I23" s="1">
        <v>2.1803699999999999</v>
      </c>
      <c r="J23" s="1">
        <v>-2.0119099999999999</v>
      </c>
    </row>
    <row r="24" spans="1:10" x14ac:dyDescent="0.2">
      <c r="A24" s="1">
        <v>2041</v>
      </c>
      <c r="B24" s="1">
        <v>15.9482</v>
      </c>
      <c r="C24" s="1">
        <v>-6.1885500000000002</v>
      </c>
      <c r="D24" s="1">
        <v>0</v>
      </c>
      <c r="E24" s="1">
        <v>0</v>
      </c>
      <c r="F24" s="1">
        <v>0</v>
      </c>
      <c r="G24" s="1">
        <v>0</v>
      </c>
      <c r="H24" s="1">
        <v>6.0528700000000004</v>
      </c>
      <c r="I24" s="1">
        <v>2.5132500000000002</v>
      </c>
      <c r="J24" s="1">
        <v>-2.3941599999999998</v>
      </c>
    </row>
    <row r="25" spans="1:10" x14ac:dyDescent="0.2">
      <c r="A25" s="1">
        <v>2042</v>
      </c>
      <c r="B25" s="1">
        <v>17.191500000000001</v>
      </c>
      <c r="C25" s="1">
        <v>-6.8402500000000002</v>
      </c>
      <c r="D25" s="1">
        <v>0</v>
      </c>
      <c r="E25" s="1">
        <v>0</v>
      </c>
      <c r="F25" s="1">
        <v>0</v>
      </c>
      <c r="G25" s="1">
        <v>0</v>
      </c>
      <c r="H25" s="1">
        <v>6.5847199999999999</v>
      </c>
      <c r="I25" s="1">
        <v>2.8712399999999998</v>
      </c>
      <c r="J25" s="1">
        <v>-2.7939099999999999</v>
      </c>
    </row>
    <row r="26" spans="1:10" x14ac:dyDescent="0.2">
      <c r="A26" s="1">
        <v>2043</v>
      </c>
      <c r="B26" s="1">
        <v>18.249600000000001</v>
      </c>
      <c r="C26" s="1">
        <v>-7.5336800000000004</v>
      </c>
      <c r="D26" s="1">
        <v>0</v>
      </c>
      <c r="E26" s="1">
        <v>0</v>
      </c>
      <c r="F26" s="1">
        <v>0</v>
      </c>
      <c r="G26" s="1">
        <v>0</v>
      </c>
      <c r="H26" s="1">
        <v>7.1400100000000002</v>
      </c>
      <c r="I26" s="1">
        <v>3.2524700000000002</v>
      </c>
      <c r="J26" s="1">
        <v>-3.2151999999999998</v>
      </c>
    </row>
    <row r="27" spans="1:10" x14ac:dyDescent="0.2">
      <c r="A27" s="1">
        <v>2044</v>
      </c>
      <c r="B27" s="1">
        <v>19.1053</v>
      </c>
      <c r="C27" s="1">
        <v>-8.2696299999999994</v>
      </c>
      <c r="D27" s="1">
        <v>0</v>
      </c>
      <c r="E27" s="1">
        <v>0</v>
      </c>
      <c r="F27" s="1">
        <v>0</v>
      </c>
      <c r="G27" s="1">
        <v>0</v>
      </c>
      <c r="H27" s="1">
        <v>7.7088400000000004</v>
      </c>
      <c r="I27" s="1">
        <v>3.6555300000000002</v>
      </c>
      <c r="J27" s="1">
        <v>-3.6806899999999998</v>
      </c>
    </row>
    <row r="28" spans="1:10" x14ac:dyDescent="0.2">
      <c r="A28" s="1">
        <v>2045</v>
      </c>
      <c r="B28" s="1">
        <v>19.810600000000001</v>
      </c>
      <c r="C28" s="1">
        <v>-9.0140700000000002</v>
      </c>
      <c r="D28" s="1">
        <v>0</v>
      </c>
      <c r="E28" s="1">
        <v>0</v>
      </c>
      <c r="F28" s="1">
        <v>0</v>
      </c>
      <c r="G28" s="1">
        <v>0</v>
      </c>
      <c r="H28" s="1">
        <v>8.2659900000000004</v>
      </c>
      <c r="I28" s="1">
        <v>4.0775899999999998</v>
      </c>
      <c r="J28" s="1">
        <v>-4.1263899999999998</v>
      </c>
    </row>
    <row r="29" spans="1:10" x14ac:dyDescent="0.2">
      <c r="A29" s="1">
        <v>2046</v>
      </c>
      <c r="B29" s="1">
        <v>21.1843</v>
      </c>
      <c r="C29" s="1">
        <v>-9.7837800000000001</v>
      </c>
      <c r="D29" s="1">
        <v>0</v>
      </c>
      <c r="E29" s="1">
        <v>0</v>
      </c>
      <c r="F29" s="1">
        <v>0</v>
      </c>
      <c r="G29" s="1">
        <v>0</v>
      </c>
      <c r="H29" s="1">
        <v>8.8138199999999998</v>
      </c>
      <c r="I29" s="1">
        <v>4.5168200000000001</v>
      </c>
      <c r="J29" s="1">
        <v>-4.7062799999999996</v>
      </c>
    </row>
    <row r="30" spans="1:10" x14ac:dyDescent="0.2">
      <c r="A30" s="1">
        <v>2047</v>
      </c>
      <c r="B30" s="1">
        <v>22.351400000000002</v>
      </c>
      <c r="C30" s="1">
        <v>-10.597799999999999</v>
      </c>
      <c r="D30" s="1">
        <v>0</v>
      </c>
      <c r="E30" s="1">
        <v>0</v>
      </c>
      <c r="F30" s="1">
        <v>0</v>
      </c>
      <c r="G30" s="1">
        <v>0</v>
      </c>
      <c r="H30" s="1">
        <v>9.4103999999999992</v>
      </c>
      <c r="I30" s="1">
        <v>4.9746600000000001</v>
      </c>
      <c r="J30" s="1">
        <v>-5.2492000000000001</v>
      </c>
    </row>
    <row r="31" spans="1:10" x14ac:dyDescent="0.2">
      <c r="A31" s="1">
        <v>2048</v>
      </c>
      <c r="B31" s="1">
        <v>23.443999999999999</v>
      </c>
      <c r="C31" s="1">
        <v>-11.3498</v>
      </c>
      <c r="D31" s="1">
        <v>0</v>
      </c>
      <c r="E31" s="1">
        <v>0</v>
      </c>
      <c r="F31" s="1">
        <v>0</v>
      </c>
      <c r="G31" s="1">
        <v>0</v>
      </c>
      <c r="H31" s="1">
        <v>10.0093</v>
      </c>
      <c r="I31" s="1">
        <v>5.4525300000000003</v>
      </c>
      <c r="J31" s="1">
        <v>-5.9211200000000002</v>
      </c>
    </row>
    <row r="32" spans="1:10" x14ac:dyDescent="0.2">
      <c r="A32" s="1">
        <v>2049</v>
      </c>
      <c r="B32" s="1">
        <v>24.437000000000001</v>
      </c>
      <c r="C32" s="1">
        <v>-12.136699999999999</v>
      </c>
      <c r="D32" s="1">
        <v>0</v>
      </c>
      <c r="E32" s="1">
        <v>0</v>
      </c>
      <c r="F32" s="1">
        <v>0</v>
      </c>
      <c r="G32" s="1">
        <v>0</v>
      </c>
      <c r="H32" s="1">
        <v>10.6012</v>
      </c>
      <c r="I32" s="1">
        <v>5.9484300000000001</v>
      </c>
      <c r="J32" s="1">
        <v>-6.7243599999999999</v>
      </c>
    </row>
    <row r="33" spans="1:10" x14ac:dyDescent="0.2">
      <c r="A33" s="1">
        <v>2050</v>
      </c>
      <c r="B33" s="1">
        <v>27.6981</v>
      </c>
      <c r="C33" s="1">
        <v>-12.990600000000001</v>
      </c>
      <c r="D33" s="1">
        <v>0</v>
      </c>
      <c r="E33" s="1">
        <v>0</v>
      </c>
      <c r="F33" s="1">
        <v>0</v>
      </c>
      <c r="G33" s="1">
        <v>0</v>
      </c>
      <c r="H33" s="1">
        <v>11.231199999999999</v>
      </c>
      <c r="I33" s="1">
        <v>6.9171699999999996</v>
      </c>
      <c r="J33" s="1">
        <v>-7.5594799999999998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958D-1CCF-B741-A899-B4FB28A40D86}">
  <dimension ref="A1:C33"/>
  <sheetViews>
    <sheetView workbookViewId="0">
      <selection activeCell="F13" sqref="F13"/>
    </sheetView>
  </sheetViews>
  <sheetFormatPr baseColWidth="10" defaultRowHeight="16" x14ac:dyDescent="0.2"/>
  <sheetData>
    <row r="1" spans="1:3" x14ac:dyDescent="0.2">
      <c r="A1" t="s">
        <v>94</v>
      </c>
    </row>
    <row r="2" spans="1:3" ht="68" x14ac:dyDescent="0.2">
      <c r="A2" s="12" t="s">
        <v>0</v>
      </c>
      <c r="B2" s="12" t="s">
        <v>92</v>
      </c>
      <c r="C2" s="12" t="s">
        <v>93</v>
      </c>
    </row>
    <row r="3" spans="1:3" x14ac:dyDescent="0.2">
      <c r="A3" s="1">
        <v>2020</v>
      </c>
      <c r="B3" s="1">
        <v>0</v>
      </c>
      <c r="C3">
        <f>0</f>
        <v>0</v>
      </c>
    </row>
    <row r="4" spans="1:3" x14ac:dyDescent="0.2">
      <c r="A4" s="1">
        <v>2021</v>
      </c>
      <c r="B4" s="1">
        <v>0</v>
      </c>
      <c r="C4">
        <f>0</f>
        <v>0</v>
      </c>
    </row>
    <row r="5" spans="1:3" x14ac:dyDescent="0.2">
      <c r="A5" s="1">
        <v>2022</v>
      </c>
      <c r="B5" s="1">
        <v>0</v>
      </c>
      <c r="C5">
        <f>0</f>
        <v>0</v>
      </c>
    </row>
    <row r="6" spans="1:3" x14ac:dyDescent="0.2">
      <c r="A6" s="1">
        <v>2023</v>
      </c>
      <c r="B6" s="1">
        <v>0</v>
      </c>
      <c r="C6">
        <f>0</f>
        <v>0</v>
      </c>
    </row>
    <row r="7" spans="1:3" x14ac:dyDescent="0.2">
      <c r="A7" s="1">
        <v>2024</v>
      </c>
      <c r="B7" s="1">
        <v>0</v>
      </c>
      <c r="C7">
        <f>0</f>
        <v>0</v>
      </c>
    </row>
    <row r="8" spans="1:3" x14ac:dyDescent="0.2">
      <c r="A8" s="1">
        <v>2025</v>
      </c>
      <c r="B8" s="1">
        <v>0</v>
      </c>
      <c r="C8">
        <f>0</f>
        <v>0</v>
      </c>
    </row>
    <row r="9" spans="1:3" x14ac:dyDescent="0.2">
      <c r="A9" s="1">
        <v>2026</v>
      </c>
      <c r="B9" s="1">
        <v>0</v>
      </c>
      <c r="C9">
        <v>43</v>
      </c>
    </row>
    <row r="10" spans="1:3" x14ac:dyDescent="0.2">
      <c r="A10" s="1">
        <v>2027</v>
      </c>
      <c r="B10" s="1">
        <v>0</v>
      </c>
      <c r="C10">
        <v>168</v>
      </c>
    </row>
    <row r="11" spans="1:3" x14ac:dyDescent="0.2">
      <c r="A11" s="1">
        <v>2028</v>
      </c>
      <c r="B11" s="1">
        <v>0</v>
      </c>
      <c r="C11">
        <v>398</v>
      </c>
    </row>
    <row r="12" spans="1:3" x14ac:dyDescent="0.2">
      <c r="A12" s="1">
        <v>2029</v>
      </c>
      <c r="B12" s="1">
        <v>0</v>
      </c>
      <c r="C12">
        <v>793</v>
      </c>
    </row>
    <row r="13" spans="1:3" x14ac:dyDescent="0.2">
      <c r="A13" s="1">
        <v>2030</v>
      </c>
      <c r="B13" s="1">
        <v>0</v>
      </c>
      <c r="C13">
        <v>1329</v>
      </c>
    </row>
    <row r="14" spans="1:3" x14ac:dyDescent="0.2">
      <c r="A14" s="1">
        <v>2031</v>
      </c>
      <c r="B14" s="1">
        <v>0</v>
      </c>
      <c r="C14">
        <v>1973</v>
      </c>
    </row>
    <row r="15" spans="1:3" x14ac:dyDescent="0.2">
      <c r="A15" s="1">
        <v>2032</v>
      </c>
      <c r="B15" s="1">
        <v>0</v>
      </c>
      <c r="C15">
        <v>2695</v>
      </c>
    </row>
    <row r="16" spans="1:3" x14ac:dyDescent="0.2">
      <c r="A16" s="1">
        <v>2033</v>
      </c>
      <c r="B16" s="1">
        <v>0</v>
      </c>
      <c r="C16">
        <v>3494</v>
      </c>
    </row>
    <row r="17" spans="1:3" x14ac:dyDescent="0.2">
      <c r="A17" s="1">
        <v>2034</v>
      </c>
      <c r="B17" s="1">
        <v>0</v>
      </c>
      <c r="C17">
        <v>4376</v>
      </c>
    </row>
    <row r="18" spans="1:3" x14ac:dyDescent="0.2">
      <c r="A18" s="1">
        <v>2035</v>
      </c>
      <c r="B18" s="1">
        <v>0</v>
      </c>
      <c r="C18">
        <v>5344</v>
      </c>
    </row>
    <row r="19" spans="1:3" x14ac:dyDescent="0.2">
      <c r="A19" s="1">
        <v>2036</v>
      </c>
      <c r="B19" s="1">
        <v>0</v>
      </c>
      <c r="C19">
        <v>6399</v>
      </c>
    </row>
    <row r="20" spans="1:3" x14ac:dyDescent="0.2">
      <c r="A20" s="1">
        <v>2037</v>
      </c>
      <c r="B20" s="1">
        <v>0</v>
      </c>
      <c r="C20">
        <v>7556</v>
      </c>
    </row>
    <row r="21" spans="1:3" x14ac:dyDescent="0.2">
      <c r="A21" s="1">
        <v>2038</v>
      </c>
      <c r="B21" s="1">
        <v>0</v>
      </c>
      <c r="C21">
        <v>8822</v>
      </c>
    </row>
    <row r="22" spans="1:3" x14ac:dyDescent="0.2">
      <c r="A22" s="1">
        <v>2039</v>
      </c>
      <c r="B22" s="1">
        <v>0</v>
      </c>
      <c r="C22">
        <v>10207</v>
      </c>
    </row>
    <row r="23" spans="1:3" x14ac:dyDescent="0.2">
      <c r="A23" s="1">
        <v>2040</v>
      </c>
      <c r="B23" s="1">
        <v>0</v>
      </c>
      <c r="C23">
        <v>11736</v>
      </c>
    </row>
    <row r="24" spans="1:3" x14ac:dyDescent="0.2">
      <c r="A24" s="1">
        <v>2041</v>
      </c>
      <c r="B24" s="1">
        <v>0</v>
      </c>
      <c r="C24">
        <v>13427</v>
      </c>
    </row>
    <row r="25" spans="1:3" x14ac:dyDescent="0.2">
      <c r="A25" s="1">
        <v>2042</v>
      </c>
      <c r="B25" s="1">
        <v>0</v>
      </c>
      <c r="C25">
        <v>15298</v>
      </c>
    </row>
    <row r="26" spans="1:3" x14ac:dyDescent="0.2">
      <c r="A26" s="1">
        <v>2043</v>
      </c>
      <c r="B26" s="1">
        <v>0</v>
      </c>
      <c r="C26">
        <v>17346</v>
      </c>
    </row>
    <row r="27" spans="1:3" x14ac:dyDescent="0.2">
      <c r="A27" s="1">
        <v>2044</v>
      </c>
      <c r="B27" s="1">
        <v>0</v>
      </c>
      <c r="C27">
        <v>19609</v>
      </c>
    </row>
    <row r="28" spans="1:3" x14ac:dyDescent="0.2">
      <c r="A28" s="1">
        <v>2045</v>
      </c>
      <c r="B28" s="1">
        <v>0</v>
      </c>
      <c r="C28">
        <v>22089</v>
      </c>
    </row>
    <row r="29" spans="1:3" x14ac:dyDescent="0.2">
      <c r="A29" s="1">
        <v>2046</v>
      </c>
      <c r="B29" s="1">
        <v>0</v>
      </c>
      <c r="C29">
        <v>24784</v>
      </c>
    </row>
    <row r="30" spans="1:3" x14ac:dyDescent="0.2">
      <c r="A30" s="1">
        <v>2047</v>
      </c>
      <c r="B30" s="1">
        <v>0</v>
      </c>
      <c r="C30">
        <v>27725</v>
      </c>
    </row>
    <row r="31" spans="1:3" x14ac:dyDescent="0.2">
      <c r="A31" s="1">
        <v>2048</v>
      </c>
      <c r="B31" s="1">
        <v>0</v>
      </c>
      <c r="C31">
        <v>30999</v>
      </c>
    </row>
    <row r="32" spans="1:3" x14ac:dyDescent="0.2">
      <c r="A32" s="1">
        <v>2049</v>
      </c>
      <c r="B32" s="1">
        <v>0</v>
      </c>
      <c r="C32">
        <v>35309</v>
      </c>
    </row>
    <row r="33" spans="1:3" x14ac:dyDescent="0.2">
      <c r="A33" s="1">
        <v>2050</v>
      </c>
      <c r="B33" s="1">
        <v>0</v>
      </c>
      <c r="C33">
        <v>39333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3856-E709-9E4F-A60C-6C3F31722504}">
  <dimension ref="A1:AE37"/>
  <sheetViews>
    <sheetView workbookViewId="0">
      <selection activeCell="H7" sqref="H7"/>
    </sheetView>
  </sheetViews>
  <sheetFormatPr baseColWidth="10" defaultRowHeight="16" x14ac:dyDescent="0.2"/>
  <cols>
    <col min="2" max="2" width="13.5" customWidth="1"/>
    <col min="3" max="3" width="13" customWidth="1"/>
    <col min="4" max="4" width="12.5" customWidth="1"/>
    <col min="5" max="5" width="12.83203125" customWidth="1"/>
    <col min="7" max="7" width="11.1640625" bestFit="1" customWidth="1"/>
  </cols>
  <sheetData>
    <row r="1" spans="1:11" s="6" customFormat="1" x14ac:dyDescent="0.2">
      <c r="A1" s="6" t="s">
        <v>95</v>
      </c>
    </row>
    <row r="2" spans="1:11" ht="85" x14ac:dyDescent="0.2">
      <c r="A2" s="12" t="s">
        <v>0</v>
      </c>
      <c r="B2" s="12" t="s">
        <v>40</v>
      </c>
      <c r="C2" s="12" t="s">
        <v>41</v>
      </c>
      <c r="D2" s="11" t="s">
        <v>42</v>
      </c>
      <c r="E2" s="11" t="s">
        <v>43</v>
      </c>
    </row>
    <row r="3" spans="1:11" x14ac:dyDescent="0.2">
      <c r="A3" s="1">
        <v>2020</v>
      </c>
      <c r="B3">
        <v>0</v>
      </c>
      <c r="C3">
        <v>0</v>
      </c>
      <c r="D3">
        <v>0</v>
      </c>
      <c r="E3">
        <v>0</v>
      </c>
      <c r="G3" s="2"/>
      <c r="J3" s="2"/>
      <c r="K3" s="2"/>
    </row>
    <row r="4" spans="1:11" x14ac:dyDescent="0.2">
      <c r="A4" s="1">
        <v>2021</v>
      </c>
      <c r="B4">
        <v>0</v>
      </c>
      <c r="C4">
        <v>0</v>
      </c>
      <c r="D4">
        <v>0</v>
      </c>
      <c r="E4">
        <v>0</v>
      </c>
      <c r="K4" s="2"/>
    </row>
    <row r="5" spans="1:11" x14ac:dyDescent="0.2">
      <c r="A5" s="1">
        <v>2022</v>
      </c>
      <c r="B5">
        <v>0</v>
      </c>
      <c r="C5">
        <v>0</v>
      </c>
      <c r="D5">
        <v>0</v>
      </c>
      <c r="E5">
        <v>0</v>
      </c>
      <c r="K5" s="2"/>
    </row>
    <row r="6" spans="1:11" x14ac:dyDescent="0.2">
      <c r="A6" s="1">
        <v>2023</v>
      </c>
      <c r="B6">
        <v>0</v>
      </c>
      <c r="C6">
        <v>0</v>
      </c>
      <c r="D6">
        <v>0</v>
      </c>
      <c r="E6">
        <v>0</v>
      </c>
      <c r="K6" s="2"/>
    </row>
    <row r="7" spans="1:11" x14ac:dyDescent="0.2">
      <c r="A7" s="1">
        <v>2024</v>
      </c>
      <c r="B7">
        <v>0</v>
      </c>
      <c r="C7">
        <v>0</v>
      </c>
      <c r="D7">
        <v>0</v>
      </c>
      <c r="E7">
        <v>0</v>
      </c>
      <c r="K7" s="2"/>
    </row>
    <row r="8" spans="1:11" x14ac:dyDescent="0.2">
      <c r="A8" s="1">
        <v>2025</v>
      </c>
      <c r="B8">
        <v>0</v>
      </c>
      <c r="C8">
        <v>0</v>
      </c>
      <c r="D8">
        <v>0</v>
      </c>
      <c r="E8">
        <v>0</v>
      </c>
      <c r="K8" s="2"/>
    </row>
    <row r="9" spans="1:11" x14ac:dyDescent="0.2">
      <c r="A9" s="1">
        <v>2026</v>
      </c>
      <c r="B9">
        <v>0</v>
      </c>
      <c r="C9">
        <v>-0.27839999999999998</v>
      </c>
      <c r="D9">
        <v>0</v>
      </c>
      <c r="E9">
        <v>0.96875999999999995</v>
      </c>
      <c r="K9" s="2"/>
    </row>
    <row r="10" spans="1:11" x14ac:dyDescent="0.2">
      <c r="A10" s="1">
        <v>2027</v>
      </c>
      <c r="B10">
        <v>0</v>
      </c>
      <c r="C10">
        <v>-0.54800000000000004</v>
      </c>
      <c r="D10">
        <v>0</v>
      </c>
      <c r="E10">
        <v>1.4872099999999999</v>
      </c>
      <c r="K10" s="2"/>
    </row>
    <row r="11" spans="1:11" x14ac:dyDescent="0.2">
      <c r="A11" s="1">
        <v>2028</v>
      </c>
      <c r="B11">
        <v>0</v>
      </c>
      <c r="C11">
        <v>-0.79559999999999997</v>
      </c>
      <c r="D11">
        <v>0</v>
      </c>
      <c r="E11">
        <v>2.15889</v>
      </c>
      <c r="K11" s="2"/>
    </row>
    <row r="12" spans="1:11" x14ac:dyDescent="0.2">
      <c r="A12" s="1">
        <v>2029</v>
      </c>
      <c r="B12">
        <v>0</v>
      </c>
      <c r="C12">
        <v>-1.1768000000000001</v>
      </c>
      <c r="D12">
        <v>0</v>
      </c>
      <c r="E12">
        <v>2.79894</v>
      </c>
      <c r="K12" s="2"/>
    </row>
    <row r="13" spans="1:11" x14ac:dyDescent="0.2">
      <c r="A13" s="1">
        <v>2030</v>
      </c>
      <c r="B13">
        <v>0</v>
      </c>
      <c r="C13">
        <v>-1.8275999999999999</v>
      </c>
      <c r="D13">
        <v>0</v>
      </c>
      <c r="E13">
        <v>4.6536099999999996</v>
      </c>
      <c r="K13" s="2"/>
    </row>
    <row r="14" spans="1:11" x14ac:dyDescent="0.2">
      <c r="A14" s="1">
        <v>2031</v>
      </c>
      <c r="B14">
        <v>0</v>
      </c>
      <c r="C14">
        <v>-2.4196</v>
      </c>
      <c r="D14">
        <v>0</v>
      </c>
      <c r="E14">
        <v>5.0126099999999996</v>
      </c>
      <c r="K14" s="2"/>
    </row>
    <row r="15" spans="1:11" x14ac:dyDescent="0.2">
      <c r="A15" s="1">
        <v>2032</v>
      </c>
      <c r="B15">
        <v>0</v>
      </c>
      <c r="C15">
        <v>-3.0312000000000001</v>
      </c>
      <c r="D15">
        <v>0</v>
      </c>
      <c r="E15">
        <v>3.9129</v>
      </c>
      <c r="K15" s="2"/>
    </row>
    <row r="16" spans="1:11" x14ac:dyDescent="0.2">
      <c r="A16" s="1">
        <v>2033</v>
      </c>
      <c r="B16">
        <v>0</v>
      </c>
      <c r="C16">
        <v>-3.6227999999999998</v>
      </c>
      <c r="D16">
        <v>0</v>
      </c>
      <c r="E16">
        <v>2.7503899999999999</v>
      </c>
      <c r="K16" s="2"/>
    </row>
    <row r="17" spans="1:11" x14ac:dyDescent="0.2">
      <c r="A17" s="1">
        <v>2034</v>
      </c>
      <c r="B17">
        <v>0</v>
      </c>
      <c r="C17">
        <v>-4.2984</v>
      </c>
      <c r="D17">
        <v>0</v>
      </c>
      <c r="E17">
        <v>1.8569</v>
      </c>
      <c r="K17" s="2"/>
    </row>
    <row r="18" spans="1:11" x14ac:dyDescent="0.2">
      <c r="A18" s="1">
        <v>2035</v>
      </c>
      <c r="B18">
        <v>0</v>
      </c>
      <c r="C18">
        <v>-5.0784000000000002</v>
      </c>
      <c r="D18">
        <v>0</v>
      </c>
      <c r="E18">
        <v>1.03468</v>
      </c>
      <c r="K18" s="2"/>
    </row>
    <row r="19" spans="1:11" x14ac:dyDescent="0.2">
      <c r="A19" s="1">
        <v>2036</v>
      </c>
      <c r="B19">
        <v>0</v>
      </c>
      <c r="C19">
        <v>-6.0439999999999996</v>
      </c>
      <c r="D19">
        <v>0</v>
      </c>
      <c r="E19">
        <v>1.46628</v>
      </c>
      <c r="K19" s="2"/>
    </row>
    <row r="20" spans="1:11" x14ac:dyDescent="0.2">
      <c r="A20" s="1">
        <v>2037</v>
      </c>
      <c r="B20">
        <v>0</v>
      </c>
      <c r="C20">
        <v>-6.9412000000000003</v>
      </c>
      <c r="D20">
        <v>0</v>
      </c>
      <c r="E20">
        <v>2.00433E-2</v>
      </c>
      <c r="K20" s="2"/>
    </row>
    <row r="21" spans="1:11" x14ac:dyDescent="0.2">
      <c r="A21" s="1">
        <v>2038</v>
      </c>
      <c r="B21">
        <v>0</v>
      </c>
      <c r="C21">
        <v>-7.9644000000000004</v>
      </c>
      <c r="D21">
        <v>0</v>
      </c>
      <c r="E21">
        <v>-1.25248</v>
      </c>
      <c r="K21" s="2"/>
    </row>
    <row r="22" spans="1:11" x14ac:dyDescent="0.2">
      <c r="A22" s="1">
        <v>2039</v>
      </c>
      <c r="B22">
        <v>0</v>
      </c>
      <c r="C22">
        <v>-9.2263999999999999</v>
      </c>
      <c r="D22">
        <v>0</v>
      </c>
      <c r="E22">
        <v>-2.4154399999999998</v>
      </c>
      <c r="K22" s="2"/>
    </row>
    <row r="23" spans="1:11" x14ac:dyDescent="0.2">
      <c r="A23" s="1">
        <v>2040</v>
      </c>
      <c r="B23">
        <v>0</v>
      </c>
      <c r="C23">
        <v>-10.5084</v>
      </c>
      <c r="D23">
        <v>0</v>
      </c>
      <c r="E23">
        <v>-3.8857300000000001</v>
      </c>
      <c r="K23" s="2"/>
    </row>
    <row r="24" spans="1:11" x14ac:dyDescent="0.2">
      <c r="A24" s="1">
        <v>2041</v>
      </c>
      <c r="B24">
        <v>0</v>
      </c>
      <c r="C24">
        <v>-12.032</v>
      </c>
      <c r="D24">
        <v>0</v>
      </c>
      <c r="E24">
        <v>-5.1257400000000004</v>
      </c>
      <c r="K24" s="2"/>
    </row>
    <row r="25" spans="1:11" x14ac:dyDescent="0.2">
      <c r="A25" s="1">
        <v>2042</v>
      </c>
      <c r="B25">
        <v>0</v>
      </c>
      <c r="C25">
        <v>-13.7996</v>
      </c>
      <c r="D25">
        <v>0</v>
      </c>
      <c r="E25">
        <v>-6.6053899999999999</v>
      </c>
      <c r="K25" s="2"/>
    </row>
    <row r="26" spans="1:11" x14ac:dyDescent="0.2">
      <c r="A26" s="1">
        <v>2043</v>
      </c>
      <c r="B26">
        <v>0</v>
      </c>
      <c r="C26">
        <v>-15.726000000000001</v>
      </c>
      <c r="D26">
        <v>0</v>
      </c>
      <c r="E26">
        <v>-8.3059499999999993</v>
      </c>
      <c r="K26" s="2"/>
    </row>
    <row r="27" spans="1:11" x14ac:dyDescent="0.2">
      <c r="A27" s="1">
        <v>2044</v>
      </c>
      <c r="B27">
        <v>0</v>
      </c>
      <c r="C27">
        <v>-17.674800000000001</v>
      </c>
      <c r="D27">
        <v>0</v>
      </c>
      <c r="E27">
        <v>-10.08</v>
      </c>
      <c r="K27" s="2"/>
    </row>
    <row r="28" spans="1:11" x14ac:dyDescent="0.2">
      <c r="A28" s="1">
        <v>2045</v>
      </c>
      <c r="B28">
        <v>0</v>
      </c>
      <c r="C28">
        <v>-19.891999999999999</v>
      </c>
      <c r="D28">
        <v>0</v>
      </c>
      <c r="E28">
        <v>-12.343999999999999</v>
      </c>
      <c r="K28" s="2"/>
    </row>
    <row r="29" spans="1:11" x14ac:dyDescent="0.2">
      <c r="A29" s="1">
        <v>2046</v>
      </c>
      <c r="B29">
        <v>0</v>
      </c>
      <c r="C29">
        <v>-22.439599999999999</v>
      </c>
      <c r="D29">
        <v>0</v>
      </c>
      <c r="E29">
        <v>-12.430899999999999</v>
      </c>
      <c r="K29" s="2"/>
    </row>
    <row r="30" spans="1:11" x14ac:dyDescent="0.2">
      <c r="A30" s="1">
        <v>2047</v>
      </c>
      <c r="B30">
        <v>0</v>
      </c>
      <c r="C30">
        <v>-25.216000000000001</v>
      </c>
      <c r="D30">
        <v>0</v>
      </c>
      <c r="E30">
        <v>-15.297499999999999</v>
      </c>
      <c r="K30" s="2"/>
    </row>
    <row r="31" spans="1:11" x14ac:dyDescent="0.2">
      <c r="A31" s="1">
        <v>2048</v>
      </c>
      <c r="B31">
        <v>0</v>
      </c>
      <c r="C31">
        <v>-28.1524</v>
      </c>
      <c r="D31">
        <v>0</v>
      </c>
      <c r="E31">
        <v>-18.761900000000001</v>
      </c>
      <c r="K31" s="2"/>
    </row>
    <row r="32" spans="1:11" x14ac:dyDescent="0.2">
      <c r="A32" s="1">
        <v>2049</v>
      </c>
      <c r="B32">
        <v>0</v>
      </c>
      <c r="C32">
        <v>-31.2608</v>
      </c>
      <c r="D32">
        <v>0</v>
      </c>
      <c r="E32">
        <v>-22.393699999999999</v>
      </c>
      <c r="K32" s="2"/>
    </row>
    <row r="33" spans="1:31" x14ac:dyDescent="0.2">
      <c r="A33" s="1">
        <v>2050</v>
      </c>
      <c r="B33">
        <v>0</v>
      </c>
      <c r="C33">
        <v>-34.619999999999997</v>
      </c>
      <c r="D33">
        <v>0</v>
      </c>
      <c r="E33">
        <v>-26.5627</v>
      </c>
      <c r="K33" s="2"/>
    </row>
    <row r="37" spans="1:31" x14ac:dyDescent="0.2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4753-558B-4342-A06D-0786B6A7CD6B}">
  <dimension ref="A1:AF38"/>
  <sheetViews>
    <sheetView workbookViewId="0">
      <selection activeCell="V8" sqref="V8"/>
    </sheetView>
  </sheetViews>
  <sheetFormatPr baseColWidth="10" defaultRowHeight="16" x14ac:dyDescent="0.2"/>
  <cols>
    <col min="5" max="5" width="11.1640625" bestFit="1" customWidth="1"/>
    <col min="17" max="17" width="11.1640625" bestFit="1" customWidth="1"/>
  </cols>
  <sheetData>
    <row r="1" spans="1:19" s="6" customFormat="1" x14ac:dyDescent="0.2">
      <c r="A1" s="6" t="s">
        <v>99</v>
      </c>
    </row>
    <row r="2" spans="1:19" ht="113" customHeight="1" x14ac:dyDescent="0.2">
      <c r="A2" s="23" t="s">
        <v>0</v>
      </c>
      <c r="B2" s="23" t="s">
        <v>52</v>
      </c>
      <c r="C2" s="23" t="s">
        <v>96</v>
      </c>
      <c r="D2" s="11"/>
      <c r="E2" s="24" t="s">
        <v>0</v>
      </c>
      <c r="F2" s="24" t="s">
        <v>97</v>
      </c>
      <c r="G2" s="24" t="s">
        <v>98</v>
      </c>
      <c r="H2" s="11"/>
      <c r="I2" s="25" t="s">
        <v>0</v>
      </c>
      <c r="J2" s="25" t="s">
        <v>100</v>
      </c>
      <c r="K2" s="25" t="s">
        <v>101</v>
      </c>
      <c r="L2" s="11"/>
      <c r="M2" s="26" t="s">
        <v>0</v>
      </c>
      <c r="N2" s="27" t="s">
        <v>38</v>
      </c>
      <c r="O2" s="27" t="s">
        <v>39</v>
      </c>
      <c r="Q2" s="28" t="s">
        <v>0</v>
      </c>
      <c r="R2" s="28" t="s">
        <v>102</v>
      </c>
      <c r="S2" s="28" t="s">
        <v>103</v>
      </c>
    </row>
    <row r="3" spans="1:19" x14ac:dyDescent="0.2">
      <c r="A3" s="1">
        <v>2020</v>
      </c>
      <c r="B3" s="1">
        <v>0</v>
      </c>
      <c r="C3" s="1">
        <v>0</v>
      </c>
      <c r="D3" s="1"/>
      <c r="E3" s="1">
        <v>2020</v>
      </c>
      <c r="F3" s="1">
        <v>0</v>
      </c>
      <c r="G3" s="1">
        <v>0</v>
      </c>
      <c r="H3" s="10"/>
      <c r="I3" s="1">
        <v>2020</v>
      </c>
      <c r="J3" s="1">
        <v>0</v>
      </c>
      <c r="K3" s="1">
        <v>0</v>
      </c>
      <c r="L3" s="1"/>
      <c r="M3" s="1">
        <v>2020</v>
      </c>
      <c r="N3" s="1">
        <v>0</v>
      </c>
      <c r="O3" s="1">
        <v>0</v>
      </c>
      <c r="P3" s="1"/>
      <c r="Q3" s="1">
        <v>2020</v>
      </c>
      <c r="R3" s="1">
        <f>B3+F3+J3</f>
        <v>0</v>
      </c>
      <c r="S3" s="1">
        <f>C3+G3+K3</f>
        <v>0</v>
      </c>
    </row>
    <row r="4" spans="1:19" x14ac:dyDescent="0.2">
      <c r="A4" s="1">
        <v>2021</v>
      </c>
      <c r="B4" s="1">
        <v>0</v>
      </c>
      <c r="C4" s="1">
        <v>0</v>
      </c>
      <c r="D4" s="1"/>
      <c r="E4" s="1">
        <v>2021</v>
      </c>
      <c r="F4" s="1">
        <v>0</v>
      </c>
      <c r="G4" s="1">
        <v>0</v>
      </c>
      <c r="H4" s="10"/>
      <c r="I4" s="1">
        <v>2021</v>
      </c>
      <c r="J4" s="1">
        <v>0</v>
      </c>
      <c r="K4" s="1">
        <v>0</v>
      </c>
      <c r="L4" s="1"/>
      <c r="M4" s="1">
        <v>2021</v>
      </c>
      <c r="N4" s="1">
        <v>0</v>
      </c>
      <c r="O4" s="1">
        <v>0</v>
      </c>
      <c r="P4" s="1"/>
      <c r="Q4" s="1">
        <v>2021</v>
      </c>
      <c r="R4" s="1">
        <f t="shared" ref="R4:R33" si="0">B4+F4+J4</f>
        <v>0</v>
      </c>
      <c r="S4" s="1">
        <f t="shared" ref="S4:S33" si="1">C4+G4+K4</f>
        <v>0</v>
      </c>
    </row>
    <row r="5" spans="1:19" x14ac:dyDescent="0.2">
      <c r="A5" s="1">
        <v>2022</v>
      </c>
      <c r="B5" s="1">
        <v>0</v>
      </c>
      <c r="C5" s="1">
        <v>0</v>
      </c>
      <c r="D5" s="1"/>
      <c r="E5" s="1">
        <v>2022</v>
      </c>
      <c r="F5" s="1">
        <v>0</v>
      </c>
      <c r="G5" s="1">
        <v>0</v>
      </c>
      <c r="H5" s="10"/>
      <c r="I5" s="1">
        <v>2022</v>
      </c>
      <c r="J5" s="1">
        <v>0</v>
      </c>
      <c r="K5" s="1">
        <v>0</v>
      </c>
      <c r="L5" s="1"/>
      <c r="M5" s="1">
        <v>2022</v>
      </c>
      <c r="N5" s="1">
        <v>0</v>
      </c>
      <c r="O5" s="1">
        <v>0</v>
      </c>
      <c r="P5" s="1"/>
      <c r="Q5" s="1">
        <v>2022</v>
      </c>
      <c r="R5" s="1">
        <f t="shared" si="0"/>
        <v>0</v>
      </c>
      <c r="S5" s="1">
        <f t="shared" si="1"/>
        <v>0</v>
      </c>
    </row>
    <row r="6" spans="1:19" x14ac:dyDescent="0.2">
      <c r="A6" s="1">
        <v>2023</v>
      </c>
      <c r="B6" s="1">
        <v>0</v>
      </c>
      <c r="C6" s="1">
        <v>0</v>
      </c>
      <c r="D6" s="1"/>
      <c r="E6" s="1">
        <v>2023</v>
      </c>
      <c r="F6" s="1">
        <v>0</v>
      </c>
      <c r="G6" s="1">
        <v>0</v>
      </c>
      <c r="H6" s="10"/>
      <c r="I6" s="1">
        <v>2023</v>
      </c>
      <c r="J6" s="1">
        <v>0</v>
      </c>
      <c r="K6" s="1">
        <v>0</v>
      </c>
      <c r="L6" s="1"/>
      <c r="M6" s="1">
        <v>2023</v>
      </c>
      <c r="N6" s="1">
        <v>0</v>
      </c>
      <c r="O6" s="1">
        <v>0</v>
      </c>
      <c r="P6" s="1"/>
      <c r="Q6" s="1">
        <v>2023</v>
      </c>
      <c r="R6" s="1">
        <f t="shared" si="0"/>
        <v>0</v>
      </c>
      <c r="S6" s="1">
        <f t="shared" si="1"/>
        <v>0</v>
      </c>
    </row>
    <row r="7" spans="1:19" x14ac:dyDescent="0.2">
      <c r="A7" s="1">
        <v>2024</v>
      </c>
      <c r="B7" s="1">
        <v>0</v>
      </c>
      <c r="C7" s="1">
        <v>0</v>
      </c>
      <c r="D7" s="1"/>
      <c r="E7" s="1">
        <v>2024</v>
      </c>
      <c r="F7" s="1">
        <v>0</v>
      </c>
      <c r="G7" s="1">
        <v>0</v>
      </c>
      <c r="H7" s="10"/>
      <c r="I7" s="1">
        <v>2024</v>
      </c>
      <c r="J7" s="1">
        <v>0</v>
      </c>
      <c r="K7" s="1">
        <v>0</v>
      </c>
      <c r="L7" s="1"/>
      <c r="M7" s="1">
        <v>2024</v>
      </c>
      <c r="N7" s="1">
        <v>0</v>
      </c>
      <c r="O7" s="1">
        <v>0</v>
      </c>
      <c r="P7" s="1"/>
      <c r="Q7" s="1">
        <v>2024</v>
      </c>
      <c r="R7" s="1">
        <f t="shared" si="0"/>
        <v>0</v>
      </c>
      <c r="S7" s="1">
        <f t="shared" si="1"/>
        <v>0</v>
      </c>
    </row>
    <row r="8" spans="1:19" x14ac:dyDescent="0.2">
      <c r="A8" s="1">
        <v>2025</v>
      </c>
      <c r="B8" s="1">
        <v>0</v>
      </c>
      <c r="C8" s="1">
        <v>0</v>
      </c>
      <c r="D8" s="1"/>
      <c r="E8" s="1">
        <v>2025</v>
      </c>
      <c r="F8" s="1">
        <v>0</v>
      </c>
      <c r="G8" s="1">
        <v>0</v>
      </c>
      <c r="H8" s="10"/>
      <c r="I8" s="1">
        <v>2025</v>
      </c>
      <c r="J8" s="1">
        <v>0</v>
      </c>
      <c r="K8" s="1">
        <v>0</v>
      </c>
      <c r="L8" s="1"/>
      <c r="M8" s="1">
        <v>2025</v>
      </c>
      <c r="N8" s="1">
        <v>0</v>
      </c>
      <c r="O8" s="1">
        <v>0</v>
      </c>
      <c r="P8" s="1"/>
      <c r="Q8" s="1">
        <v>2025</v>
      </c>
      <c r="R8" s="1">
        <f t="shared" si="0"/>
        <v>0</v>
      </c>
      <c r="S8" s="1">
        <f t="shared" si="1"/>
        <v>0</v>
      </c>
    </row>
    <row r="9" spans="1:19" x14ac:dyDescent="0.2">
      <c r="A9" s="1">
        <v>2026</v>
      </c>
      <c r="B9" s="1">
        <v>0</v>
      </c>
      <c r="C9" s="1">
        <v>0.56913599999999998</v>
      </c>
      <c r="D9" s="1"/>
      <c r="E9" s="1">
        <v>2026</v>
      </c>
      <c r="F9" s="1">
        <v>0</v>
      </c>
      <c r="G9" s="1">
        <v>9.5238600000000007E-2</v>
      </c>
      <c r="H9" s="10"/>
      <c r="I9" s="1">
        <v>2026</v>
      </c>
      <c r="J9" s="1">
        <v>0</v>
      </c>
      <c r="K9" s="1">
        <v>0.61240000000000006</v>
      </c>
      <c r="L9" s="1"/>
      <c r="M9" s="1">
        <v>2026</v>
      </c>
      <c r="N9" s="1">
        <v>0</v>
      </c>
      <c r="O9" s="1">
        <v>4.3500999999999998E-2</v>
      </c>
      <c r="P9" s="1"/>
      <c r="Q9" s="1">
        <v>2026</v>
      </c>
      <c r="R9" s="1">
        <f t="shared" si="0"/>
        <v>0</v>
      </c>
      <c r="S9" s="1">
        <f t="shared" si="1"/>
        <v>1.2767746</v>
      </c>
    </row>
    <row r="10" spans="1:19" x14ac:dyDescent="0.2">
      <c r="A10" s="1">
        <v>2027</v>
      </c>
      <c r="B10" s="1">
        <v>0</v>
      </c>
      <c r="C10" s="1">
        <v>1.4221699999999999</v>
      </c>
      <c r="D10" s="1"/>
      <c r="E10" s="1">
        <v>2027</v>
      </c>
      <c r="F10" s="1">
        <v>0</v>
      </c>
      <c r="G10" s="1">
        <v>0.216033</v>
      </c>
      <c r="H10" s="10"/>
      <c r="I10" s="1">
        <v>2027</v>
      </c>
      <c r="J10" s="1">
        <v>0</v>
      </c>
      <c r="K10" s="1">
        <v>1.5484</v>
      </c>
      <c r="L10" s="1"/>
      <c r="M10" s="1">
        <v>2027</v>
      </c>
      <c r="N10" s="1">
        <v>0</v>
      </c>
      <c r="O10" s="1">
        <v>0.12645600000000001</v>
      </c>
      <c r="P10" s="1"/>
      <c r="Q10" s="1">
        <v>2027</v>
      </c>
      <c r="R10" s="1">
        <f t="shared" si="0"/>
        <v>0</v>
      </c>
      <c r="S10" s="1">
        <f t="shared" si="1"/>
        <v>3.1866029999999999</v>
      </c>
    </row>
    <row r="11" spans="1:19" x14ac:dyDescent="0.2">
      <c r="A11" s="1">
        <v>2028</v>
      </c>
      <c r="B11" s="1">
        <v>0</v>
      </c>
      <c r="C11" s="1">
        <v>3.5170300000000001</v>
      </c>
      <c r="D11" s="1"/>
      <c r="E11" s="1">
        <v>2028</v>
      </c>
      <c r="F11" s="1">
        <v>0</v>
      </c>
      <c r="G11" s="1">
        <v>0.36651400000000001</v>
      </c>
      <c r="H11" s="10"/>
      <c r="I11" s="1">
        <v>2028</v>
      </c>
      <c r="J11" s="1">
        <v>0</v>
      </c>
      <c r="K11" s="1">
        <v>3.7496</v>
      </c>
      <c r="L11" s="1"/>
      <c r="M11" s="1">
        <v>2028</v>
      </c>
      <c r="N11" s="1">
        <v>0</v>
      </c>
      <c r="O11" s="1">
        <v>0.23268</v>
      </c>
      <c r="P11" s="1"/>
      <c r="Q11" s="1">
        <v>2028</v>
      </c>
      <c r="R11" s="1">
        <f t="shared" si="0"/>
        <v>0</v>
      </c>
      <c r="S11" s="1">
        <f t="shared" si="1"/>
        <v>7.6331439999999997</v>
      </c>
    </row>
    <row r="12" spans="1:19" x14ac:dyDescent="0.2">
      <c r="A12" s="1">
        <v>2029</v>
      </c>
      <c r="B12" s="1">
        <v>0</v>
      </c>
      <c r="C12" s="1">
        <v>4.7526799999999998</v>
      </c>
      <c r="D12" s="1"/>
      <c r="E12" s="1">
        <v>2029</v>
      </c>
      <c r="F12" s="1">
        <v>0</v>
      </c>
      <c r="G12" s="1">
        <v>0.56530000000000002</v>
      </c>
      <c r="H12" s="10"/>
      <c r="I12" s="1">
        <v>2029</v>
      </c>
      <c r="J12" s="1">
        <v>0</v>
      </c>
      <c r="K12" s="1">
        <v>5.1520000000000001</v>
      </c>
      <c r="L12" s="1"/>
      <c r="M12" s="1">
        <v>2029</v>
      </c>
      <c r="N12" s="1">
        <v>0</v>
      </c>
      <c r="O12" s="1">
        <v>0.39960200000000001</v>
      </c>
      <c r="P12" s="1"/>
      <c r="Q12" s="1">
        <v>2029</v>
      </c>
      <c r="R12" s="1">
        <f t="shared" si="0"/>
        <v>0</v>
      </c>
      <c r="S12" s="1">
        <f t="shared" si="1"/>
        <v>10.46998</v>
      </c>
    </row>
    <row r="13" spans="1:19" x14ac:dyDescent="0.2">
      <c r="A13" s="1">
        <v>2030</v>
      </c>
      <c r="B13" s="1">
        <v>0</v>
      </c>
      <c r="C13" s="1">
        <v>6.0538999999999996</v>
      </c>
      <c r="D13" s="1"/>
      <c r="E13" s="1">
        <v>2030</v>
      </c>
      <c r="F13" s="1">
        <v>0</v>
      </c>
      <c r="G13" s="1">
        <v>0.81988300000000003</v>
      </c>
      <c r="H13" s="10"/>
      <c r="I13" s="1">
        <v>2030</v>
      </c>
      <c r="J13" s="1">
        <v>0</v>
      </c>
      <c r="K13" s="1">
        <v>6.5960000000000001</v>
      </c>
      <c r="L13" s="1"/>
      <c r="M13" s="1">
        <v>2030</v>
      </c>
      <c r="N13" s="1">
        <v>0</v>
      </c>
      <c r="O13" s="1">
        <v>0.54224499999999998</v>
      </c>
      <c r="P13" s="1"/>
      <c r="Q13" s="1">
        <v>2030</v>
      </c>
      <c r="R13" s="1">
        <f t="shared" si="0"/>
        <v>0</v>
      </c>
      <c r="S13" s="1">
        <f t="shared" si="1"/>
        <v>13.469783</v>
      </c>
    </row>
    <row r="14" spans="1:19" x14ac:dyDescent="0.2">
      <c r="A14" s="1">
        <v>2031</v>
      </c>
      <c r="B14" s="1">
        <v>0</v>
      </c>
      <c r="C14" s="1">
        <v>7.1192299999999999</v>
      </c>
      <c r="D14" s="1"/>
      <c r="E14" s="1">
        <v>2031</v>
      </c>
      <c r="F14" s="1">
        <v>0</v>
      </c>
      <c r="G14" s="1">
        <v>1.06308</v>
      </c>
      <c r="H14" s="10"/>
      <c r="I14" s="1">
        <v>2031</v>
      </c>
      <c r="J14" s="1">
        <v>0</v>
      </c>
      <c r="K14" s="1">
        <v>7.7704000000000004</v>
      </c>
      <c r="L14" s="1"/>
      <c r="M14" s="1">
        <v>2031</v>
      </c>
      <c r="N14" s="1">
        <v>0</v>
      </c>
      <c r="O14" s="1">
        <v>0.65150300000000005</v>
      </c>
      <c r="P14" s="1"/>
      <c r="Q14" s="1">
        <v>2031</v>
      </c>
      <c r="R14" s="1">
        <f t="shared" si="0"/>
        <v>0</v>
      </c>
      <c r="S14" s="1">
        <f t="shared" si="1"/>
        <v>15.95271</v>
      </c>
    </row>
    <row r="15" spans="1:19" x14ac:dyDescent="0.2">
      <c r="A15" s="1">
        <v>2032</v>
      </c>
      <c r="B15" s="1">
        <v>0</v>
      </c>
      <c r="C15" s="1">
        <v>8.0448799999999991</v>
      </c>
      <c r="D15" s="1"/>
      <c r="E15" s="1">
        <v>2032</v>
      </c>
      <c r="F15" s="1">
        <v>0</v>
      </c>
      <c r="G15" s="1">
        <v>1.3651599999999999</v>
      </c>
      <c r="H15" s="10"/>
      <c r="I15" s="1">
        <v>2032</v>
      </c>
      <c r="J15" s="1">
        <v>0</v>
      </c>
      <c r="K15" s="1">
        <v>8.7751999999999999</v>
      </c>
      <c r="L15" s="1"/>
      <c r="M15" s="1">
        <v>2032</v>
      </c>
      <c r="N15" s="1">
        <v>0</v>
      </c>
      <c r="O15" s="1">
        <v>0.73041199999999995</v>
      </c>
      <c r="P15" s="1"/>
      <c r="Q15" s="1">
        <v>2032</v>
      </c>
      <c r="R15" s="1">
        <f t="shared" si="0"/>
        <v>0</v>
      </c>
      <c r="S15" s="1">
        <f t="shared" si="1"/>
        <v>18.18524</v>
      </c>
    </row>
    <row r="16" spans="1:19" x14ac:dyDescent="0.2">
      <c r="A16" s="1">
        <v>2033</v>
      </c>
      <c r="B16" s="1">
        <v>0</v>
      </c>
      <c r="C16" s="1">
        <v>9.8187999999999995</v>
      </c>
      <c r="D16" s="1"/>
      <c r="E16" s="1">
        <v>2033</v>
      </c>
      <c r="F16" s="1">
        <v>0</v>
      </c>
      <c r="G16" s="1">
        <v>1.6865399999999999</v>
      </c>
      <c r="H16" s="10"/>
      <c r="I16" s="1">
        <v>2033</v>
      </c>
      <c r="J16" s="1">
        <v>0</v>
      </c>
      <c r="K16" s="1">
        <v>10.626799999999999</v>
      </c>
      <c r="L16" s="1"/>
      <c r="M16" s="1">
        <v>2033</v>
      </c>
      <c r="N16" s="1">
        <v>0</v>
      </c>
      <c r="O16" s="1">
        <v>0.80830900000000006</v>
      </c>
      <c r="P16" s="1"/>
      <c r="Q16" s="1">
        <v>2033</v>
      </c>
      <c r="R16" s="1">
        <f t="shared" si="0"/>
        <v>0</v>
      </c>
      <c r="S16" s="1">
        <f t="shared" si="1"/>
        <v>22.13214</v>
      </c>
    </row>
    <row r="17" spans="1:19" x14ac:dyDescent="0.2">
      <c r="A17" s="1">
        <v>2034</v>
      </c>
      <c r="B17" s="1">
        <v>0</v>
      </c>
      <c r="C17" s="1">
        <v>10.9</v>
      </c>
      <c r="D17" s="1"/>
      <c r="E17" s="1">
        <v>2034</v>
      </c>
      <c r="F17" s="1">
        <v>0</v>
      </c>
      <c r="G17" s="1">
        <v>2.0299</v>
      </c>
      <c r="H17" s="10"/>
      <c r="I17" s="1">
        <v>2034</v>
      </c>
      <c r="J17" s="1">
        <v>0</v>
      </c>
      <c r="K17" s="1">
        <v>11.792</v>
      </c>
      <c r="L17" s="1"/>
      <c r="M17" s="1">
        <v>2034</v>
      </c>
      <c r="N17" s="1">
        <v>0</v>
      </c>
      <c r="O17" s="1">
        <v>0.89227599999999996</v>
      </c>
      <c r="P17" s="1"/>
      <c r="Q17" s="1">
        <v>2034</v>
      </c>
      <c r="R17" s="1">
        <f t="shared" si="0"/>
        <v>0</v>
      </c>
      <c r="S17" s="1">
        <f t="shared" si="1"/>
        <v>24.721899999999998</v>
      </c>
    </row>
    <row r="18" spans="1:19" x14ac:dyDescent="0.2">
      <c r="A18" s="1">
        <v>2035</v>
      </c>
      <c r="B18" s="1">
        <v>0</v>
      </c>
      <c r="C18" s="1">
        <v>12.0783</v>
      </c>
      <c r="D18" s="1"/>
      <c r="E18" s="1">
        <v>2035</v>
      </c>
      <c r="F18" s="1">
        <v>0</v>
      </c>
      <c r="G18" s="1">
        <v>2.3929800000000001</v>
      </c>
      <c r="H18" s="10"/>
      <c r="I18" s="1">
        <v>2035</v>
      </c>
      <c r="J18" s="1">
        <v>0</v>
      </c>
      <c r="K18" s="1">
        <v>13.057600000000001</v>
      </c>
      <c r="L18" s="1"/>
      <c r="M18" s="1">
        <v>2035</v>
      </c>
      <c r="N18" s="1">
        <v>0</v>
      </c>
      <c r="O18" s="1">
        <v>0.97927799999999998</v>
      </c>
      <c r="P18" s="1"/>
      <c r="Q18" s="1">
        <v>2035</v>
      </c>
      <c r="R18" s="1">
        <f t="shared" si="0"/>
        <v>0</v>
      </c>
      <c r="S18" s="1">
        <f t="shared" si="1"/>
        <v>27.528880000000001</v>
      </c>
    </row>
    <row r="19" spans="1:19" x14ac:dyDescent="0.2">
      <c r="A19" s="1">
        <v>2036</v>
      </c>
      <c r="B19" s="1">
        <v>0</v>
      </c>
      <c r="C19" s="1">
        <v>13.466900000000001</v>
      </c>
      <c r="D19" s="1"/>
      <c r="E19" s="1">
        <v>2036</v>
      </c>
      <c r="F19" s="1">
        <v>0</v>
      </c>
      <c r="G19" s="1">
        <v>2.81006</v>
      </c>
      <c r="H19" s="10"/>
      <c r="I19" s="1">
        <v>2036</v>
      </c>
      <c r="J19" s="1">
        <v>0</v>
      </c>
      <c r="K19" s="1">
        <v>14.534000000000001</v>
      </c>
      <c r="L19" s="1"/>
      <c r="M19" s="1">
        <v>2036</v>
      </c>
      <c r="N19" s="1">
        <v>0</v>
      </c>
      <c r="O19" s="1">
        <v>1.0672900000000001</v>
      </c>
      <c r="P19" s="1"/>
      <c r="Q19" s="1">
        <v>2036</v>
      </c>
      <c r="R19" s="1">
        <f t="shared" si="0"/>
        <v>0</v>
      </c>
      <c r="S19" s="1">
        <f t="shared" si="1"/>
        <v>30.810960000000001</v>
      </c>
    </row>
    <row r="20" spans="1:19" x14ac:dyDescent="0.2">
      <c r="A20" s="1">
        <v>2037</v>
      </c>
      <c r="B20" s="1">
        <v>0</v>
      </c>
      <c r="C20" s="1">
        <v>15.0565</v>
      </c>
      <c r="D20" s="1"/>
      <c r="E20" s="1">
        <v>2037</v>
      </c>
      <c r="F20" s="1">
        <v>0</v>
      </c>
      <c r="G20" s="1">
        <v>3.3464700000000001</v>
      </c>
      <c r="H20" s="10"/>
      <c r="I20" s="1">
        <v>2037</v>
      </c>
      <c r="J20" s="1">
        <v>0</v>
      </c>
      <c r="K20" s="1">
        <v>16.226800000000001</v>
      </c>
      <c r="L20" s="1"/>
      <c r="M20" s="1">
        <v>2037</v>
      </c>
      <c r="N20" s="1">
        <v>0</v>
      </c>
      <c r="O20" s="1">
        <v>1.17048</v>
      </c>
      <c r="P20" s="1"/>
      <c r="Q20" s="1">
        <v>2037</v>
      </c>
      <c r="R20" s="1">
        <f t="shared" si="0"/>
        <v>0</v>
      </c>
      <c r="S20" s="1">
        <f t="shared" si="1"/>
        <v>34.629770000000001</v>
      </c>
    </row>
    <row r="21" spans="1:19" x14ac:dyDescent="0.2">
      <c r="A21" s="1">
        <v>2038</v>
      </c>
      <c r="B21" s="1">
        <v>0</v>
      </c>
      <c r="C21" s="1">
        <v>16.921700000000001</v>
      </c>
      <c r="D21" s="1"/>
      <c r="E21" s="1">
        <v>2038</v>
      </c>
      <c r="F21" s="1">
        <v>0</v>
      </c>
      <c r="G21" s="1">
        <v>3.8629699999999998</v>
      </c>
      <c r="H21" s="10"/>
      <c r="I21" s="1">
        <v>2038</v>
      </c>
      <c r="J21" s="1">
        <v>0</v>
      </c>
      <c r="K21" s="1">
        <v>18.202400000000001</v>
      </c>
      <c r="L21" s="1"/>
      <c r="M21" s="1">
        <v>2038</v>
      </c>
      <c r="N21" s="1">
        <v>0</v>
      </c>
      <c r="O21" s="1">
        <v>1.2807500000000001</v>
      </c>
      <c r="P21" s="1"/>
      <c r="Q21" s="1">
        <v>2038</v>
      </c>
      <c r="R21" s="1">
        <f t="shared" si="0"/>
        <v>0</v>
      </c>
      <c r="S21" s="1">
        <f t="shared" si="1"/>
        <v>38.987070000000003</v>
      </c>
    </row>
    <row r="22" spans="1:19" x14ac:dyDescent="0.2">
      <c r="A22" s="1">
        <v>2039</v>
      </c>
      <c r="B22" s="1">
        <v>0</v>
      </c>
      <c r="C22" s="1">
        <v>18.79</v>
      </c>
      <c r="D22" s="1"/>
      <c r="E22" s="1">
        <v>2039</v>
      </c>
      <c r="F22" s="1">
        <v>0</v>
      </c>
      <c r="G22" s="1">
        <v>4.4157200000000003</v>
      </c>
      <c r="H22" s="10"/>
      <c r="I22" s="1">
        <v>2039</v>
      </c>
      <c r="J22" s="1">
        <v>0</v>
      </c>
      <c r="K22" s="1">
        <v>20.190799999999999</v>
      </c>
      <c r="L22" s="1"/>
      <c r="M22" s="1">
        <v>2039</v>
      </c>
      <c r="N22" s="1">
        <v>0</v>
      </c>
      <c r="O22" s="1">
        <v>1.4011400000000001</v>
      </c>
      <c r="P22" s="1"/>
      <c r="Q22" s="1">
        <v>2039</v>
      </c>
      <c r="R22" s="1">
        <f t="shared" si="0"/>
        <v>0</v>
      </c>
      <c r="S22" s="1">
        <f t="shared" si="1"/>
        <v>43.396519999999995</v>
      </c>
    </row>
    <row r="23" spans="1:19" x14ac:dyDescent="0.2">
      <c r="A23" s="1">
        <v>2040</v>
      </c>
      <c r="B23" s="1">
        <v>0</v>
      </c>
      <c r="C23" s="1">
        <v>20.901</v>
      </c>
      <c r="D23" s="1"/>
      <c r="E23" s="1">
        <v>2040</v>
      </c>
      <c r="F23" s="1">
        <v>0</v>
      </c>
      <c r="G23" s="1">
        <v>5.01668</v>
      </c>
      <c r="H23" s="10"/>
      <c r="I23" s="1">
        <v>2040</v>
      </c>
      <c r="J23" s="1">
        <v>0</v>
      </c>
      <c r="K23" s="1">
        <v>22.447600000000001</v>
      </c>
      <c r="L23" s="1"/>
      <c r="M23" s="1">
        <v>2040</v>
      </c>
      <c r="N23" s="1">
        <v>0</v>
      </c>
      <c r="O23" s="1">
        <v>1.54681</v>
      </c>
      <c r="P23" s="1"/>
      <c r="Q23" s="1">
        <v>2040</v>
      </c>
      <c r="R23" s="1">
        <f t="shared" si="0"/>
        <v>0</v>
      </c>
      <c r="S23" s="1">
        <f t="shared" si="1"/>
        <v>48.365279999999998</v>
      </c>
    </row>
    <row r="24" spans="1:19" x14ac:dyDescent="0.2">
      <c r="A24" s="1">
        <v>2041</v>
      </c>
      <c r="B24" s="1">
        <v>0</v>
      </c>
      <c r="C24" s="1">
        <v>23.390699999999999</v>
      </c>
      <c r="D24" s="1"/>
      <c r="E24" s="1">
        <v>2041</v>
      </c>
      <c r="F24" s="1">
        <v>0</v>
      </c>
      <c r="G24" s="1">
        <v>5.6872800000000003</v>
      </c>
      <c r="H24" s="10"/>
      <c r="I24" s="1">
        <v>2041</v>
      </c>
      <c r="J24" s="1">
        <v>0</v>
      </c>
      <c r="K24" s="1">
        <v>25.101199999999999</v>
      </c>
      <c r="L24" s="1"/>
      <c r="M24" s="1">
        <v>2041</v>
      </c>
      <c r="N24" s="1">
        <v>0</v>
      </c>
      <c r="O24" s="1">
        <v>1.7107000000000001</v>
      </c>
      <c r="P24" s="1"/>
      <c r="Q24" s="1">
        <v>2041</v>
      </c>
      <c r="R24" s="1">
        <f t="shared" si="0"/>
        <v>0</v>
      </c>
      <c r="S24" s="1">
        <f t="shared" si="1"/>
        <v>54.179180000000002</v>
      </c>
    </row>
    <row r="25" spans="1:19" x14ac:dyDescent="0.2">
      <c r="A25" s="1">
        <v>2042</v>
      </c>
      <c r="B25" s="1">
        <v>0</v>
      </c>
      <c r="C25" s="1">
        <v>25.561599999999999</v>
      </c>
      <c r="D25" s="1"/>
      <c r="E25" s="1">
        <v>2042</v>
      </c>
      <c r="F25" s="1">
        <v>0</v>
      </c>
      <c r="G25" s="1">
        <v>6.4329200000000002</v>
      </c>
      <c r="H25" s="10"/>
      <c r="I25" s="1">
        <v>2042</v>
      </c>
      <c r="J25" s="1">
        <v>0</v>
      </c>
      <c r="K25" s="1">
        <v>27.454000000000001</v>
      </c>
      <c r="L25" s="1"/>
      <c r="M25" s="1">
        <v>2042</v>
      </c>
      <c r="N25" s="1">
        <v>0</v>
      </c>
      <c r="O25" s="1">
        <v>1.8928</v>
      </c>
      <c r="P25" s="1"/>
      <c r="Q25" s="1">
        <v>2042</v>
      </c>
      <c r="R25" s="1">
        <f t="shared" si="0"/>
        <v>0</v>
      </c>
      <c r="S25" s="1">
        <f t="shared" si="1"/>
        <v>59.448520000000002</v>
      </c>
    </row>
    <row r="26" spans="1:19" x14ac:dyDescent="0.2">
      <c r="A26" s="1">
        <v>2043</v>
      </c>
      <c r="B26" s="1">
        <v>0</v>
      </c>
      <c r="C26" s="1">
        <v>28.2193</v>
      </c>
      <c r="D26" s="1"/>
      <c r="E26" s="1">
        <v>2043</v>
      </c>
      <c r="F26" s="1">
        <v>0</v>
      </c>
      <c r="G26" s="1">
        <v>7.2325999999999997</v>
      </c>
      <c r="H26" s="10"/>
      <c r="I26" s="1">
        <v>2043</v>
      </c>
      <c r="J26" s="1">
        <v>0</v>
      </c>
      <c r="K26" s="1">
        <v>30.2912</v>
      </c>
      <c r="L26" s="1"/>
      <c r="M26" s="1">
        <v>2043</v>
      </c>
      <c r="N26" s="1">
        <v>0</v>
      </c>
      <c r="O26" s="1">
        <v>2.07186</v>
      </c>
      <c r="P26" s="1"/>
      <c r="Q26" s="1">
        <v>2043</v>
      </c>
      <c r="R26" s="1">
        <f t="shared" si="0"/>
        <v>0</v>
      </c>
      <c r="S26" s="1">
        <f t="shared" si="1"/>
        <v>65.743099999999998</v>
      </c>
    </row>
    <row r="27" spans="1:19" x14ac:dyDescent="0.2">
      <c r="A27" s="1">
        <v>2044</v>
      </c>
      <c r="B27" s="1">
        <v>0</v>
      </c>
      <c r="C27" s="1">
        <v>31.174800000000001</v>
      </c>
      <c r="D27" s="1"/>
      <c r="E27" s="1">
        <v>2044</v>
      </c>
      <c r="F27" s="1">
        <v>0</v>
      </c>
      <c r="G27" s="1">
        <v>8.0572700000000008</v>
      </c>
      <c r="H27" s="10"/>
      <c r="I27" s="1">
        <v>2044</v>
      </c>
      <c r="J27" s="1">
        <v>0</v>
      </c>
      <c r="K27" s="1">
        <v>33.463999999999999</v>
      </c>
      <c r="L27" s="1"/>
      <c r="M27" s="1">
        <v>2044</v>
      </c>
      <c r="N27" s="1">
        <v>0</v>
      </c>
      <c r="O27" s="1">
        <v>2.2893699999999999</v>
      </c>
      <c r="P27" s="1"/>
      <c r="Q27" s="1">
        <v>2044</v>
      </c>
      <c r="R27" s="1">
        <f t="shared" si="0"/>
        <v>0</v>
      </c>
      <c r="S27" s="1">
        <f t="shared" si="1"/>
        <v>72.696069999999992</v>
      </c>
    </row>
    <row r="28" spans="1:19" x14ac:dyDescent="0.2">
      <c r="A28" s="1">
        <v>2045</v>
      </c>
      <c r="B28" s="1">
        <v>0</v>
      </c>
      <c r="C28" s="1">
        <v>34.148000000000003</v>
      </c>
      <c r="D28" s="1"/>
      <c r="E28" s="1">
        <v>2045</v>
      </c>
      <c r="F28" s="1">
        <v>0</v>
      </c>
      <c r="G28" s="1">
        <v>8.9645899999999994</v>
      </c>
      <c r="H28" s="10"/>
      <c r="I28" s="1">
        <v>2045</v>
      </c>
      <c r="J28" s="1">
        <v>0</v>
      </c>
      <c r="K28" s="1">
        <v>36.656799999999997</v>
      </c>
      <c r="L28" s="1"/>
      <c r="M28" s="1">
        <v>2045</v>
      </c>
      <c r="N28" s="1">
        <v>0</v>
      </c>
      <c r="O28" s="1">
        <v>2.5088900000000001</v>
      </c>
      <c r="P28" s="1"/>
      <c r="Q28" s="1">
        <v>2045</v>
      </c>
      <c r="R28" s="1">
        <f t="shared" si="0"/>
        <v>0</v>
      </c>
      <c r="S28" s="1">
        <f t="shared" si="1"/>
        <v>79.769390000000001</v>
      </c>
    </row>
    <row r="29" spans="1:19" x14ac:dyDescent="0.2">
      <c r="A29" s="1">
        <v>2046</v>
      </c>
      <c r="B29" s="1">
        <v>0</v>
      </c>
      <c r="C29" s="1">
        <v>37.349299999999999</v>
      </c>
      <c r="D29" s="1"/>
      <c r="E29" s="1">
        <v>2046</v>
      </c>
      <c r="F29" s="1">
        <v>0</v>
      </c>
      <c r="G29" s="1">
        <v>9.7570899999999998</v>
      </c>
      <c r="H29" s="10"/>
      <c r="I29" s="1">
        <v>2046</v>
      </c>
      <c r="J29" s="1">
        <v>0</v>
      </c>
      <c r="K29" s="1">
        <v>40.075600000000001</v>
      </c>
      <c r="L29" s="1"/>
      <c r="M29" s="1">
        <v>2046</v>
      </c>
      <c r="N29" s="1">
        <v>0</v>
      </c>
      <c r="O29" s="1">
        <v>2.7263999999999999</v>
      </c>
      <c r="P29" s="1"/>
      <c r="Q29" s="1">
        <v>2046</v>
      </c>
      <c r="R29" s="1">
        <f t="shared" si="0"/>
        <v>0</v>
      </c>
      <c r="S29" s="1">
        <f t="shared" si="1"/>
        <v>87.181989999999999</v>
      </c>
    </row>
    <row r="30" spans="1:19" x14ac:dyDescent="0.2">
      <c r="A30" s="1">
        <v>2047</v>
      </c>
      <c r="B30" s="1">
        <v>0</v>
      </c>
      <c r="C30" s="1">
        <v>40.550899999999999</v>
      </c>
      <c r="D30" s="1"/>
      <c r="E30" s="1">
        <v>2047</v>
      </c>
      <c r="F30" s="1">
        <v>0</v>
      </c>
      <c r="G30" s="1">
        <v>10.8627</v>
      </c>
      <c r="H30" s="10"/>
      <c r="I30" s="1">
        <v>2047</v>
      </c>
      <c r="J30" s="1">
        <v>0</v>
      </c>
      <c r="K30" s="1">
        <v>43.526000000000003</v>
      </c>
      <c r="L30" s="1"/>
      <c r="M30" s="1">
        <v>2047</v>
      </c>
      <c r="N30" s="1">
        <v>0</v>
      </c>
      <c r="O30" s="1">
        <v>2.9752700000000001</v>
      </c>
      <c r="P30" s="1"/>
      <c r="Q30" s="1">
        <v>2047</v>
      </c>
      <c r="R30" s="1">
        <f t="shared" si="0"/>
        <v>0</v>
      </c>
      <c r="S30" s="1">
        <f t="shared" si="1"/>
        <v>94.939600000000013</v>
      </c>
    </row>
    <row r="31" spans="1:19" x14ac:dyDescent="0.2">
      <c r="A31" s="1">
        <v>2048</v>
      </c>
      <c r="B31" s="1">
        <v>0</v>
      </c>
      <c r="C31" s="1">
        <v>43.798099999999998</v>
      </c>
      <c r="D31" s="1"/>
      <c r="E31" s="1">
        <v>2048</v>
      </c>
      <c r="F31" s="1">
        <v>0</v>
      </c>
      <c r="G31" s="1">
        <v>12.0022</v>
      </c>
      <c r="H31" s="10"/>
      <c r="I31" s="1">
        <v>2048</v>
      </c>
      <c r="J31" s="1">
        <v>0</v>
      </c>
      <c r="K31" s="1">
        <v>47.006</v>
      </c>
      <c r="L31" s="1"/>
      <c r="M31" s="1">
        <v>2048</v>
      </c>
      <c r="N31" s="1">
        <v>0</v>
      </c>
      <c r="O31" s="1">
        <v>3.2079399999999998</v>
      </c>
      <c r="P31" s="1"/>
      <c r="Q31" s="1">
        <v>2048</v>
      </c>
      <c r="R31" s="1">
        <f t="shared" si="0"/>
        <v>0</v>
      </c>
      <c r="S31" s="1">
        <f t="shared" si="1"/>
        <v>102.80629999999999</v>
      </c>
    </row>
    <row r="32" spans="1:19" x14ac:dyDescent="0.2">
      <c r="A32" s="1">
        <v>2049</v>
      </c>
      <c r="B32" s="1">
        <v>0</v>
      </c>
      <c r="C32" s="1">
        <v>47.110900000000001</v>
      </c>
      <c r="D32" s="1"/>
      <c r="E32" s="1">
        <v>2049</v>
      </c>
      <c r="F32" s="1">
        <v>0</v>
      </c>
      <c r="G32" s="1">
        <v>13.191000000000001</v>
      </c>
      <c r="H32" s="10"/>
      <c r="I32" s="1">
        <v>2049</v>
      </c>
      <c r="J32" s="1">
        <v>0</v>
      </c>
      <c r="K32" s="1">
        <v>50.563600000000001</v>
      </c>
      <c r="L32" s="1"/>
      <c r="M32" s="1">
        <v>2049</v>
      </c>
      <c r="N32" s="1">
        <v>0</v>
      </c>
      <c r="O32" s="1">
        <v>3.4527600000000001</v>
      </c>
      <c r="P32" s="1"/>
      <c r="Q32" s="1">
        <v>2049</v>
      </c>
      <c r="R32" s="1">
        <f t="shared" si="0"/>
        <v>0</v>
      </c>
      <c r="S32" s="1">
        <f t="shared" si="1"/>
        <v>110.8655</v>
      </c>
    </row>
    <row r="33" spans="1:32" x14ac:dyDescent="0.2">
      <c r="A33" s="1">
        <v>2050</v>
      </c>
      <c r="B33" s="1">
        <v>0</v>
      </c>
      <c r="C33" s="1">
        <v>50.619100000000003</v>
      </c>
      <c r="D33" s="1"/>
      <c r="E33" s="1">
        <v>2050</v>
      </c>
      <c r="F33" s="1">
        <v>0</v>
      </c>
      <c r="G33" s="1">
        <v>14.479799999999999</v>
      </c>
      <c r="H33" s="10"/>
      <c r="I33" s="1">
        <v>2050</v>
      </c>
      <c r="J33" s="1">
        <v>0</v>
      </c>
      <c r="K33" s="1">
        <v>54.354799999999997</v>
      </c>
      <c r="L33" s="1"/>
      <c r="M33" s="1">
        <v>2050</v>
      </c>
      <c r="N33" s="1">
        <v>0</v>
      </c>
      <c r="O33" s="1">
        <v>3.73603</v>
      </c>
      <c r="P33" s="1"/>
      <c r="Q33" s="1">
        <v>2050</v>
      </c>
      <c r="R33" s="1">
        <f t="shared" si="0"/>
        <v>0</v>
      </c>
      <c r="S33" s="1">
        <f t="shared" si="1"/>
        <v>119.4537</v>
      </c>
    </row>
    <row r="38" spans="1:32" x14ac:dyDescent="0.2"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Total CO2e Emissions</vt:lpstr>
      <vt:lpstr>Total CO2e Emissions exc.LULUCF</vt:lpstr>
      <vt:lpstr>CO2e Emissions by Sector</vt:lpstr>
      <vt:lpstr>Electricity Generation</vt:lpstr>
      <vt:lpstr>Transportation Fuel Use</vt:lpstr>
      <vt:lpstr>Travel Demand</vt:lpstr>
      <vt:lpstr>CO2e Emissions by Vehicle Type</vt:lpstr>
      <vt:lpstr>GDP</vt:lpstr>
      <vt:lpstr>Jobs</vt:lpstr>
      <vt:lpstr>Debt</vt:lpstr>
      <vt:lpstr>Government Cash Flow</vt:lpstr>
      <vt:lpstr>Avoided Mortality</vt:lpstr>
      <vt:lpstr>Change in OM and CE</vt:lpstr>
      <vt:lpstr>Economic Bebefits from Climate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Sy, Saidou Abdoulaye</dc:creator>
  <cp:lastModifiedBy>Sy, Saidou Abdoulaye</cp:lastModifiedBy>
  <dcterms:created xsi:type="dcterms:W3CDTF">2024-10-05T16:48:38Z</dcterms:created>
  <dcterms:modified xsi:type="dcterms:W3CDTF">2024-12-18T19:37:21Z</dcterms:modified>
</cp:coreProperties>
</file>