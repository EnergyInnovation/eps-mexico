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y02/Desktop/Paper-Mexico/"/>
    </mc:Choice>
  </mc:AlternateContent>
  <xr:revisionPtr revIDLastSave="0" documentId="13_ncr:1_{797E4111-E3F2-4546-844D-34FE9DEC1AAA}" xr6:coauthVersionLast="47" xr6:coauthVersionMax="47" xr10:uidLastSave="{00000000-0000-0000-0000-000000000000}"/>
  <bookViews>
    <workbookView xWindow="0" yWindow="760" windowWidth="34200" windowHeight="21380" activeTab="42" xr2:uid="{15BE99A7-C762-5140-982A-BBD24A713D7A}"/>
  </bookViews>
  <sheets>
    <sheet name="About" sheetId="51" r:id="rId1"/>
    <sheet name="CO2e Emissions" sheetId="1" r:id="rId2"/>
    <sheet name="CO2e Emissions (LULUCF excl)" sheetId="5" r:id="rId3"/>
    <sheet name="CO2e Emissions by Sector-BAU" sheetId="2" r:id="rId4"/>
    <sheet name="CO2e Emissions by Sector-Expert" sheetId="6" r:id="rId5"/>
    <sheet name="CO2e Emissions by Sector-CAS" sheetId="7" r:id="rId6"/>
    <sheet name="EG-BAU" sheetId="38" r:id="rId7"/>
    <sheet name="EG-BAU-2030" sheetId="40" r:id="rId8"/>
    <sheet name="EG-BAU-2050" sheetId="41" r:id="rId9"/>
    <sheet name="EG-Expert" sheetId="42" r:id="rId10"/>
    <sheet name="EG-Expert-2030" sheetId="43" r:id="rId11"/>
    <sheet name="EG-Expert-2050" sheetId="44" r:id="rId12"/>
    <sheet name="EG-CAS" sheetId="45" r:id="rId13"/>
    <sheet name="EG-CAS-2030" sheetId="46" r:id="rId14"/>
    <sheet name="EG-CAS-2050" sheetId="47" r:id="rId15"/>
    <sheet name="EGC-PENP-BAU" sheetId="16" r:id="rId16"/>
    <sheet name="EGC-PENP-Expert" sheetId="15" r:id="rId17"/>
    <sheet name="EGC-PENP-CAS" sheetId="17" r:id="rId18"/>
    <sheet name="ECG-BAU" sheetId="11" r:id="rId19"/>
    <sheet name="EGC-BAU-2020" sheetId="30" r:id="rId20"/>
    <sheet name="EGC-BAU-2030" sheetId="31" r:id="rId21"/>
    <sheet name="EGC-BAU-2050" sheetId="32" r:id="rId22"/>
    <sheet name="EGC-Expert" sheetId="12" r:id="rId23"/>
    <sheet name="EGC-Expert-2030" sheetId="33" r:id="rId24"/>
    <sheet name="EGC-Expert-2050" sheetId="34" r:id="rId25"/>
    <sheet name="EGC-CAS" sheetId="13" r:id="rId26"/>
    <sheet name="EGC-CAS-2030" sheetId="35" r:id="rId27"/>
    <sheet name="EGC-CAS-2050" sheetId="36" r:id="rId28"/>
    <sheet name="GDP" sheetId="3" r:id="rId29"/>
    <sheet name="Debt" sheetId="4" r:id="rId30"/>
    <sheet name="Jobs" sheetId="25" r:id="rId31"/>
    <sheet name="EPS Outputs" sheetId="50" r:id="rId32"/>
    <sheet name="GCF-Expert" sheetId="19" r:id="rId33"/>
    <sheet name="GCF-CAS" sheetId="20" r:id="rId34"/>
    <sheet name="Expert" sheetId="23" r:id="rId35"/>
    <sheet name="CAS" sheetId="22" r:id="rId36"/>
    <sheet name="Savings-Expert" sheetId="48" r:id="rId37"/>
    <sheet name="Savings-CAS" sheetId="21" r:id="rId38"/>
    <sheet name="Avoided Deaths" sheetId="24" r:id="rId39"/>
    <sheet name="GDP-Sector-Expert" sheetId="26" r:id="rId40"/>
    <sheet name="GDP-Sector-CAS" sheetId="27" r:id="rId41"/>
    <sheet name="Jobs-Sector-Expert" sheetId="28" r:id="rId42"/>
    <sheet name="Jobs-Sector-CAS" sheetId="29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50" l="1"/>
  <c r="BI3" i="50"/>
  <c r="BJ3" i="50"/>
  <c r="BK3" i="50"/>
  <c r="BL3" i="50"/>
  <c r="BM3" i="50"/>
  <c r="BN3" i="50"/>
  <c r="BO3" i="50"/>
  <c r="BP3" i="50"/>
  <c r="BH4" i="50"/>
  <c r="BI4" i="50"/>
  <c r="BJ4" i="50"/>
  <c r="BK4" i="50"/>
  <c r="BL4" i="50"/>
  <c r="BM4" i="50"/>
  <c r="BN4" i="50"/>
  <c r="BO4" i="50"/>
  <c r="BP4" i="50"/>
  <c r="BH5" i="50"/>
  <c r="BI5" i="50"/>
  <c r="BJ5" i="50"/>
  <c r="BK5" i="50"/>
  <c r="BL5" i="50"/>
  <c r="BM5" i="50"/>
  <c r="BN5" i="50"/>
  <c r="BO5" i="50"/>
  <c r="BP5" i="50"/>
  <c r="BH6" i="50"/>
  <c r="BI6" i="50"/>
  <c r="BJ6" i="50"/>
  <c r="BK6" i="50"/>
  <c r="BL6" i="50"/>
  <c r="BM6" i="50"/>
  <c r="BN6" i="50"/>
  <c r="BO6" i="50"/>
  <c r="BP6" i="50"/>
  <c r="BH7" i="50"/>
  <c r="BI7" i="50"/>
  <c r="BJ7" i="50"/>
  <c r="BK7" i="50"/>
  <c r="BL7" i="50"/>
  <c r="BM7" i="50"/>
  <c r="BN7" i="50"/>
  <c r="BO7" i="50"/>
  <c r="BP7" i="50"/>
  <c r="BH8" i="50"/>
  <c r="BI8" i="50"/>
  <c r="BJ8" i="50"/>
  <c r="BK8" i="50"/>
  <c r="BL8" i="50"/>
  <c r="BM8" i="50"/>
  <c r="BN8" i="50"/>
  <c r="BO8" i="50"/>
  <c r="BP8" i="50"/>
  <c r="BH9" i="50"/>
  <c r="BI9" i="50"/>
  <c r="BJ9" i="50"/>
  <c r="BK9" i="50"/>
  <c r="BL9" i="50"/>
  <c r="BM9" i="50"/>
  <c r="BN9" i="50"/>
  <c r="BO9" i="50"/>
  <c r="BP9" i="50"/>
  <c r="BH10" i="50"/>
  <c r="BI10" i="50"/>
  <c r="BJ10" i="50"/>
  <c r="BK10" i="50"/>
  <c r="BL10" i="50"/>
  <c r="BM10" i="50"/>
  <c r="BN10" i="50"/>
  <c r="BO10" i="50"/>
  <c r="BP10" i="50"/>
  <c r="BH11" i="50"/>
  <c r="BI11" i="50"/>
  <c r="BJ11" i="50"/>
  <c r="BK11" i="50"/>
  <c r="BL11" i="50"/>
  <c r="BM11" i="50"/>
  <c r="BN11" i="50"/>
  <c r="BO11" i="50"/>
  <c r="BP11" i="50"/>
  <c r="BH12" i="50"/>
  <c r="BI12" i="50"/>
  <c r="BJ12" i="50"/>
  <c r="BK12" i="50"/>
  <c r="BL12" i="50"/>
  <c r="BM12" i="50"/>
  <c r="BN12" i="50"/>
  <c r="BO12" i="50"/>
  <c r="BP12" i="50"/>
  <c r="BH13" i="50"/>
  <c r="BI13" i="50"/>
  <c r="BJ13" i="50"/>
  <c r="BK13" i="50"/>
  <c r="BL13" i="50"/>
  <c r="BM13" i="50"/>
  <c r="BN13" i="50"/>
  <c r="BO13" i="50"/>
  <c r="BP13" i="50"/>
  <c r="BH14" i="50"/>
  <c r="BI14" i="50"/>
  <c r="BJ14" i="50"/>
  <c r="BK14" i="50"/>
  <c r="BL14" i="50"/>
  <c r="BM14" i="50"/>
  <c r="BN14" i="50"/>
  <c r="BO14" i="50"/>
  <c r="BP14" i="50"/>
  <c r="BH15" i="50"/>
  <c r="BI15" i="50"/>
  <c r="BJ15" i="50"/>
  <c r="BK15" i="50"/>
  <c r="BL15" i="50"/>
  <c r="BM15" i="50"/>
  <c r="BN15" i="50"/>
  <c r="BO15" i="50"/>
  <c r="BP15" i="50"/>
  <c r="BH16" i="50"/>
  <c r="BI16" i="50"/>
  <c r="BJ16" i="50"/>
  <c r="BK16" i="50"/>
  <c r="BL16" i="50"/>
  <c r="BM16" i="50"/>
  <c r="BN16" i="50"/>
  <c r="BO16" i="50"/>
  <c r="BP16" i="50"/>
  <c r="BH17" i="50"/>
  <c r="BI17" i="50"/>
  <c r="BJ17" i="50"/>
  <c r="BK17" i="50"/>
  <c r="BL17" i="50"/>
  <c r="BM17" i="50"/>
  <c r="BN17" i="50"/>
  <c r="BO17" i="50"/>
  <c r="BP17" i="50"/>
  <c r="BH18" i="50"/>
  <c r="BI18" i="50"/>
  <c r="BJ18" i="50"/>
  <c r="BK18" i="50"/>
  <c r="BL18" i="50"/>
  <c r="BM18" i="50"/>
  <c r="BN18" i="50"/>
  <c r="BO18" i="50"/>
  <c r="BP18" i="50"/>
  <c r="BH19" i="50"/>
  <c r="BI19" i="50"/>
  <c r="BJ19" i="50"/>
  <c r="BK19" i="50"/>
  <c r="BL19" i="50"/>
  <c r="BM19" i="50"/>
  <c r="BN19" i="50"/>
  <c r="BO19" i="50"/>
  <c r="BP19" i="50"/>
  <c r="BH20" i="50"/>
  <c r="BI20" i="50"/>
  <c r="BJ20" i="50"/>
  <c r="BK20" i="50"/>
  <c r="BL20" i="50"/>
  <c r="BM20" i="50"/>
  <c r="BN20" i="50"/>
  <c r="BO20" i="50"/>
  <c r="BP20" i="50"/>
  <c r="BH21" i="50"/>
  <c r="BI21" i="50"/>
  <c r="BJ21" i="50"/>
  <c r="BK21" i="50"/>
  <c r="BL21" i="50"/>
  <c r="BM21" i="50"/>
  <c r="BN21" i="50"/>
  <c r="BO21" i="50"/>
  <c r="BP21" i="50"/>
  <c r="BH22" i="50"/>
  <c r="BI22" i="50"/>
  <c r="BJ22" i="50"/>
  <c r="BK22" i="50"/>
  <c r="BL22" i="50"/>
  <c r="BM22" i="50"/>
  <c r="BN22" i="50"/>
  <c r="BO22" i="50"/>
  <c r="BP22" i="50"/>
  <c r="BH23" i="50"/>
  <c r="BI23" i="50"/>
  <c r="BJ23" i="50"/>
  <c r="BK23" i="50"/>
  <c r="BL23" i="50"/>
  <c r="BM23" i="50"/>
  <c r="BN23" i="50"/>
  <c r="BO23" i="50"/>
  <c r="BP23" i="50"/>
  <c r="BH24" i="50"/>
  <c r="BI24" i="50"/>
  <c r="BJ24" i="50"/>
  <c r="BK24" i="50"/>
  <c r="BL24" i="50"/>
  <c r="BM24" i="50"/>
  <c r="BN24" i="50"/>
  <c r="BO24" i="50"/>
  <c r="BP24" i="50"/>
  <c r="BH25" i="50"/>
  <c r="BI25" i="50"/>
  <c r="BJ25" i="50"/>
  <c r="BK25" i="50"/>
  <c r="BL25" i="50"/>
  <c r="BM25" i="50"/>
  <c r="BN25" i="50"/>
  <c r="BO25" i="50"/>
  <c r="BP25" i="50"/>
  <c r="BH26" i="50"/>
  <c r="BI26" i="50"/>
  <c r="BJ26" i="50"/>
  <c r="BK26" i="50"/>
  <c r="BL26" i="50"/>
  <c r="BM26" i="50"/>
  <c r="BN26" i="50"/>
  <c r="BO26" i="50"/>
  <c r="BP26" i="50"/>
  <c r="BH27" i="50"/>
  <c r="BI27" i="50"/>
  <c r="BJ27" i="50"/>
  <c r="BK27" i="50"/>
  <c r="BL27" i="50"/>
  <c r="BM27" i="50"/>
  <c r="BN27" i="50"/>
  <c r="BO27" i="50"/>
  <c r="BP27" i="50"/>
  <c r="BH28" i="50"/>
  <c r="BI28" i="50"/>
  <c r="BJ28" i="50"/>
  <c r="BK28" i="50"/>
  <c r="BL28" i="50"/>
  <c r="BM28" i="50"/>
  <c r="BN28" i="50"/>
  <c r="BO28" i="50"/>
  <c r="BP28" i="50"/>
  <c r="BH29" i="50"/>
  <c r="BI29" i="50"/>
  <c r="BJ29" i="50"/>
  <c r="BK29" i="50"/>
  <c r="BL29" i="50"/>
  <c r="BM29" i="50"/>
  <c r="BN29" i="50"/>
  <c r="BO29" i="50"/>
  <c r="BP29" i="50"/>
  <c r="BH30" i="50"/>
  <c r="BI30" i="50"/>
  <c r="BJ30" i="50"/>
  <c r="BK30" i="50"/>
  <c r="BL30" i="50"/>
  <c r="BM30" i="50"/>
  <c r="BN30" i="50"/>
  <c r="BO30" i="50"/>
  <c r="BP30" i="50"/>
  <c r="BH31" i="50"/>
  <c r="BI31" i="50"/>
  <c r="BJ31" i="50"/>
  <c r="BK31" i="50"/>
  <c r="BL31" i="50"/>
  <c r="BM31" i="50"/>
  <c r="BN31" i="50"/>
  <c r="BO31" i="50"/>
  <c r="BP31" i="50"/>
  <c r="BH32" i="50"/>
  <c r="BI32" i="50"/>
  <c r="BJ32" i="50"/>
  <c r="BK32" i="50"/>
  <c r="BL32" i="50"/>
  <c r="BM32" i="50"/>
  <c r="BN32" i="50"/>
  <c r="BO32" i="50"/>
  <c r="BP32" i="50"/>
  <c r="BI2" i="50"/>
  <c r="BJ2" i="50"/>
  <c r="BK2" i="50"/>
  <c r="BL2" i="50"/>
  <c r="BM2" i="50"/>
  <c r="BN2" i="50"/>
  <c r="BO2" i="50"/>
  <c r="BP2" i="50"/>
  <c r="BH2" i="50"/>
  <c r="AY3" i="50"/>
  <c r="AZ3" i="50"/>
  <c r="BA3" i="50"/>
  <c r="BB3" i="50"/>
  <c r="BC3" i="50"/>
  <c r="BD3" i="50"/>
  <c r="BE3" i="50"/>
  <c r="BF3" i="50"/>
  <c r="BG3" i="50"/>
  <c r="AY4" i="50"/>
  <c r="AZ4" i="50"/>
  <c r="BA4" i="50"/>
  <c r="BB4" i="50"/>
  <c r="BC4" i="50"/>
  <c r="BD4" i="50"/>
  <c r="BE4" i="50"/>
  <c r="BF4" i="50"/>
  <c r="BG4" i="50"/>
  <c r="AY5" i="50"/>
  <c r="AZ5" i="50"/>
  <c r="BA5" i="50"/>
  <c r="BB5" i="50"/>
  <c r="BC5" i="50"/>
  <c r="BD5" i="50"/>
  <c r="BE5" i="50"/>
  <c r="BF5" i="50"/>
  <c r="BG5" i="50"/>
  <c r="AY6" i="50"/>
  <c r="AZ6" i="50"/>
  <c r="BA6" i="50"/>
  <c r="BB6" i="50"/>
  <c r="BC6" i="50"/>
  <c r="BD6" i="50"/>
  <c r="BE6" i="50"/>
  <c r="BF6" i="50"/>
  <c r="BG6" i="50"/>
  <c r="AY7" i="50"/>
  <c r="AZ7" i="50"/>
  <c r="BA7" i="50"/>
  <c r="BB7" i="50"/>
  <c r="BC7" i="50"/>
  <c r="BD7" i="50"/>
  <c r="BE7" i="50"/>
  <c r="BF7" i="50"/>
  <c r="BG7" i="50"/>
  <c r="AY8" i="50"/>
  <c r="AZ8" i="50"/>
  <c r="BA8" i="50"/>
  <c r="BB8" i="50"/>
  <c r="BC8" i="50"/>
  <c r="BD8" i="50"/>
  <c r="BE8" i="50"/>
  <c r="BF8" i="50"/>
  <c r="BG8" i="50"/>
  <c r="AY9" i="50"/>
  <c r="AZ9" i="50"/>
  <c r="BA9" i="50"/>
  <c r="BB9" i="50"/>
  <c r="BC9" i="50"/>
  <c r="BD9" i="50"/>
  <c r="BE9" i="50"/>
  <c r="BF9" i="50"/>
  <c r="BG9" i="50"/>
  <c r="AY10" i="50"/>
  <c r="AZ10" i="50"/>
  <c r="BA10" i="50"/>
  <c r="BB10" i="50"/>
  <c r="BC10" i="50"/>
  <c r="BD10" i="50"/>
  <c r="BE10" i="50"/>
  <c r="BF10" i="50"/>
  <c r="BG10" i="50"/>
  <c r="AY11" i="50"/>
  <c r="AZ11" i="50"/>
  <c r="BA11" i="50"/>
  <c r="BB11" i="50"/>
  <c r="BC11" i="50"/>
  <c r="BD11" i="50"/>
  <c r="BE11" i="50"/>
  <c r="BF11" i="50"/>
  <c r="BG11" i="50"/>
  <c r="AY12" i="50"/>
  <c r="AZ12" i="50"/>
  <c r="BA12" i="50"/>
  <c r="BB12" i="50"/>
  <c r="BC12" i="50"/>
  <c r="BD12" i="50"/>
  <c r="BE12" i="50"/>
  <c r="BF12" i="50"/>
  <c r="BG12" i="50"/>
  <c r="AY13" i="50"/>
  <c r="AZ13" i="50"/>
  <c r="BA13" i="50"/>
  <c r="BB13" i="50"/>
  <c r="BC13" i="50"/>
  <c r="BD13" i="50"/>
  <c r="BE13" i="50"/>
  <c r="BF13" i="50"/>
  <c r="BG13" i="50"/>
  <c r="AY14" i="50"/>
  <c r="AZ14" i="50"/>
  <c r="BA14" i="50"/>
  <c r="BB14" i="50"/>
  <c r="BC14" i="50"/>
  <c r="BD14" i="50"/>
  <c r="BE14" i="50"/>
  <c r="BF14" i="50"/>
  <c r="BG14" i="50"/>
  <c r="AY15" i="50"/>
  <c r="AZ15" i="50"/>
  <c r="BA15" i="50"/>
  <c r="BB15" i="50"/>
  <c r="BC15" i="50"/>
  <c r="BD15" i="50"/>
  <c r="BE15" i="50"/>
  <c r="BF15" i="50"/>
  <c r="BG15" i="50"/>
  <c r="AY16" i="50"/>
  <c r="AZ16" i="50"/>
  <c r="BA16" i="50"/>
  <c r="BB16" i="50"/>
  <c r="BC16" i="50"/>
  <c r="BD16" i="50"/>
  <c r="BE16" i="50"/>
  <c r="BF16" i="50"/>
  <c r="BG16" i="50"/>
  <c r="AY17" i="50"/>
  <c r="AZ17" i="50"/>
  <c r="BA17" i="50"/>
  <c r="BB17" i="50"/>
  <c r="BC17" i="50"/>
  <c r="BD17" i="50"/>
  <c r="BE17" i="50"/>
  <c r="BF17" i="50"/>
  <c r="BG17" i="50"/>
  <c r="AY18" i="50"/>
  <c r="AZ18" i="50"/>
  <c r="BA18" i="50"/>
  <c r="BB18" i="50"/>
  <c r="BC18" i="50"/>
  <c r="BD18" i="50"/>
  <c r="BE18" i="50"/>
  <c r="BF18" i="50"/>
  <c r="BG18" i="50"/>
  <c r="AY19" i="50"/>
  <c r="AZ19" i="50"/>
  <c r="BA19" i="50"/>
  <c r="BB19" i="50"/>
  <c r="BC19" i="50"/>
  <c r="BD19" i="50"/>
  <c r="BE19" i="50"/>
  <c r="BF19" i="50"/>
  <c r="BG19" i="50"/>
  <c r="AY20" i="50"/>
  <c r="AZ20" i="50"/>
  <c r="BA20" i="50"/>
  <c r="BB20" i="50"/>
  <c r="BC20" i="50"/>
  <c r="BD20" i="50"/>
  <c r="BE20" i="50"/>
  <c r="BF20" i="50"/>
  <c r="BG20" i="50"/>
  <c r="AY21" i="50"/>
  <c r="AZ21" i="50"/>
  <c r="BA21" i="50"/>
  <c r="BB21" i="50"/>
  <c r="BC21" i="50"/>
  <c r="BD21" i="50"/>
  <c r="BE21" i="50"/>
  <c r="BF21" i="50"/>
  <c r="BG21" i="50"/>
  <c r="AY22" i="50"/>
  <c r="AZ22" i="50"/>
  <c r="BA22" i="50"/>
  <c r="BB22" i="50"/>
  <c r="BC22" i="50"/>
  <c r="BD22" i="50"/>
  <c r="BE22" i="50"/>
  <c r="BF22" i="50"/>
  <c r="BG22" i="50"/>
  <c r="AY23" i="50"/>
  <c r="AZ23" i="50"/>
  <c r="BA23" i="50"/>
  <c r="BB23" i="50"/>
  <c r="BC23" i="50"/>
  <c r="BD23" i="50"/>
  <c r="BE23" i="50"/>
  <c r="BF23" i="50"/>
  <c r="BG23" i="50"/>
  <c r="AY24" i="50"/>
  <c r="AZ24" i="50"/>
  <c r="BA24" i="50"/>
  <c r="BB24" i="50"/>
  <c r="BC24" i="50"/>
  <c r="BD24" i="50"/>
  <c r="BE24" i="50"/>
  <c r="BF24" i="50"/>
  <c r="BG24" i="50"/>
  <c r="AY25" i="50"/>
  <c r="AZ25" i="50"/>
  <c r="BA25" i="50"/>
  <c r="BB25" i="50"/>
  <c r="BC25" i="50"/>
  <c r="BD25" i="50"/>
  <c r="BE25" i="50"/>
  <c r="BF25" i="50"/>
  <c r="BG25" i="50"/>
  <c r="AY26" i="50"/>
  <c r="AZ26" i="50"/>
  <c r="BA26" i="50"/>
  <c r="BB26" i="50"/>
  <c r="BC26" i="50"/>
  <c r="BD26" i="50"/>
  <c r="BE26" i="50"/>
  <c r="BF26" i="50"/>
  <c r="BG26" i="50"/>
  <c r="AY27" i="50"/>
  <c r="AZ27" i="50"/>
  <c r="BA27" i="50"/>
  <c r="BB27" i="50"/>
  <c r="BC27" i="50"/>
  <c r="BD27" i="50"/>
  <c r="BE27" i="50"/>
  <c r="BF27" i="50"/>
  <c r="BG27" i="50"/>
  <c r="AY28" i="50"/>
  <c r="AZ28" i="50"/>
  <c r="BA28" i="50"/>
  <c r="BB28" i="50"/>
  <c r="BC28" i="50"/>
  <c r="BD28" i="50"/>
  <c r="BE28" i="50"/>
  <c r="BF28" i="50"/>
  <c r="BG28" i="50"/>
  <c r="AY29" i="50"/>
  <c r="AZ29" i="50"/>
  <c r="BA29" i="50"/>
  <c r="BB29" i="50"/>
  <c r="BC29" i="50"/>
  <c r="BD29" i="50"/>
  <c r="BE29" i="50"/>
  <c r="BF29" i="50"/>
  <c r="BG29" i="50"/>
  <c r="AY30" i="50"/>
  <c r="AZ30" i="50"/>
  <c r="BA30" i="50"/>
  <c r="BB30" i="50"/>
  <c r="BC30" i="50"/>
  <c r="BD30" i="50"/>
  <c r="BE30" i="50"/>
  <c r="BF30" i="50"/>
  <c r="BG30" i="50"/>
  <c r="AY31" i="50"/>
  <c r="AZ31" i="50"/>
  <c r="BA31" i="50"/>
  <c r="BB31" i="50"/>
  <c r="BC31" i="50"/>
  <c r="BD31" i="50"/>
  <c r="BE31" i="50"/>
  <c r="BF31" i="50"/>
  <c r="BG31" i="50"/>
  <c r="AY32" i="50"/>
  <c r="AZ32" i="50"/>
  <c r="BA32" i="50"/>
  <c r="BB32" i="50"/>
  <c r="BC32" i="50"/>
  <c r="BD32" i="50"/>
  <c r="BE32" i="50"/>
  <c r="BF32" i="50"/>
  <c r="BG32" i="50"/>
  <c r="AZ2" i="50"/>
  <c r="BA2" i="50"/>
  <c r="BB2" i="50"/>
  <c r="BC2" i="50"/>
  <c r="BD2" i="50"/>
  <c r="BE2" i="50"/>
  <c r="BF2" i="50"/>
  <c r="BG2" i="50"/>
  <c r="AY2" i="50"/>
  <c r="AV3" i="50"/>
  <c r="AW3" i="50"/>
  <c r="AX3" i="50"/>
  <c r="AV4" i="50"/>
  <c r="AW4" i="50"/>
  <c r="AX4" i="50"/>
  <c r="AV5" i="50"/>
  <c r="AW5" i="50"/>
  <c r="AX5" i="50"/>
  <c r="AV6" i="50"/>
  <c r="AW6" i="50"/>
  <c r="AX6" i="50"/>
  <c r="AV7" i="50"/>
  <c r="AW7" i="50"/>
  <c r="AX7" i="50"/>
  <c r="AV8" i="50"/>
  <c r="AW8" i="50"/>
  <c r="AX8" i="50"/>
  <c r="AV9" i="50"/>
  <c r="AW9" i="50"/>
  <c r="AX9" i="50"/>
  <c r="AV10" i="50"/>
  <c r="AW10" i="50"/>
  <c r="AX10" i="50"/>
  <c r="AV11" i="50"/>
  <c r="AW11" i="50"/>
  <c r="AX11" i="50"/>
  <c r="AV12" i="50"/>
  <c r="AW12" i="50"/>
  <c r="AX12" i="50"/>
  <c r="AV13" i="50"/>
  <c r="AW13" i="50"/>
  <c r="AX13" i="50"/>
  <c r="AV14" i="50"/>
  <c r="AW14" i="50"/>
  <c r="AX14" i="50"/>
  <c r="AV15" i="50"/>
  <c r="AW15" i="50"/>
  <c r="AX15" i="50"/>
  <c r="AV16" i="50"/>
  <c r="AW16" i="50"/>
  <c r="AX16" i="50"/>
  <c r="AV17" i="50"/>
  <c r="AW17" i="50"/>
  <c r="AX17" i="50"/>
  <c r="AV18" i="50"/>
  <c r="AW18" i="50"/>
  <c r="AX18" i="50"/>
  <c r="AV19" i="50"/>
  <c r="AW19" i="50"/>
  <c r="AX19" i="50"/>
  <c r="AV20" i="50"/>
  <c r="AW20" i="50"/>
  <c r="AX20" i="50"/>
  <c r="AV21" i="50"/>
  <c r="AW21" i="50"/>
  <c r="AX21" i="50"/>
  <c r="AV22" i="50"/>
  <c r="AW22" i="50"/>
  <c r="AX22" i="50"/>
  <c r="AV23" i="50"/>
  <c r="AW23" i="50"/>
  <c r="AX23" i="50"/>
  <c r="AV24" i="50"/>
  <c r="AW24" i="50"/>
  <c r="AX24" i="50"/>
  <c r="AV25" i="50"/>
  <c r="AW25" i="50"/>
  <c r="AX25" i="50"/>
  <c r="AV26" i="50"/>
  <c r="AW26" i="50"/>
  <c r="AX26" i="50"/>
  <c r="AV27" i="50"/>
  <c r="AW27" i="50"/>
  <c r="AX27" i="50"/>
  <c r="AV28" i="50"/>
  <c r="AW28" i="50"/>
  <c r="AX28" i="50"/>
  <c r="AV29" i="50"/>
  <c r="AW29" i="50"/>
  <c r="AX29" i="50"/>
  <c r="AV30" i="50"/>
  <c r="AW30" i="50"/>
  <c r="AX30" i="50"/>
  <c r="AV31" i="50"/>
  <c r="AW31" i="50"/>
  <c r="AX31" i="50"/>
  <c r="AV32" i="50"/>
  <c r="AW32" i="50"/>
  <c r="AX32" i="50"/>
  <c r="AW2" i="50"/>
  <c r="AX2" i="50"/>
  <c r="AV2" i="50"/>
  <c r="AS3" i="50"/>
  <c r="AT3" i="50"/>
  <c r="AU3" i="50"/>
  <c r="AS4" i="50"/>
  <c r="AT4" i="50"/>
  <c r="AU4" i="50"/>
  <c r="AS5" i="50"/>
  <c r="AT5" i="50"/>
  <c r="AU5" i="50"/>
  <c r="AS6" i="50"/>
  <c r="AT6" i="50"/>
  <c r="AU6" i="50"/>
  <c r="AS7" i="50"/>
  <c r="AT7" i="50"/>
  <c r="AU7" i="50"/>
  <c r="AS8" i="50"/>
  <c r="AT8" i="50"/>
  <c r="AU8" i="50"/>
  <c r="AS9" i="50"/>
  <c r="AT9" i="50"/>
  <c r="AU9" i="50"/>
  <c r="AS10" i="50"/>
  <c r="AT10" i="50"/>
  <c r="AU10" i="50"/>
  <c r="AS11" i="50"/>
  <c r="AT11" i="50"/>
  <c r="AU11" i="50"/>
  <c r="AS12" i="50"/>
  <c r="AT12" i="50"/>
  <c r="AU12" i="50"/>
  <c r="AS13" i="50"/>
  <c r="AT13" i="50"/>
  <c r="AU13" i="50"/>
  <c r="AS14" i="50"/>
  <c r="AT14" i="50"/>
  <c r="AU14" i="50"/>
  <c r="AS15" i="50"/>
  <c r="AT15" i="50"/>
  <c r="AU15" i="50"/>
  <c r="AS16" i="50"/>
  <c r="AT16" i="50"/>
  <c r="AU16" i="50"/>
  <c r="AS17" i="50"/>
  <c r="AT17" i="50"/>
  <c r="AU17" i="50"/>
  <c r="AS18" i="50"/>
  <c r="AT18" i="50"/>
  <c r="AU18" i="50"/>
  <c r="AS19" i="50"/>
  <c r="AT19" i="50"/>
  <c r="AU19" i="50"/>
  <c r="AS20" i="50"/>
  <c r="AT20" i="50"/>
  <c r="AU20" i="50"/>
  <c r="AS21" i="50"/>
  <c r="AT21" i="50"/>
  <c r="AU21" i="50"/>
  <c r="AS22" i="50"/>
  <c r="AT22" i="50"/>
  <c r="AU22" i="50"/>
  <c r="AS23" i="50"/>
  <c r="AT23" i="50"/>
  <c r="AU23" i="50"/>
  <c r="AS24" i="50"/>
  <c r="AT24" i="50"/>
  <c r="AU24" i="50"/>
  <c r="AS25" i="50"/>
  <c r="AT25" i="50"/>
  <c r="AU25" i="50"/>
  <c r="AS26" i="50"/>
  <c r="AT26" i="50"/>
  <c r="AU26" i="50"/>
  <c r="AS27" i="50"/>
  <c r="AT27" i="50"/>
  <c r="AU27" i="50"/>
  <c r="AS28" i="50"/>
  <c r="AT28" i="50"/>
  <c r="AU28" i="50"/>
  <c r="AS29" i="50"/>
  <c r="AT29" i="50"/>
  <c r="AU29" i="50"/>
  <c r="AS30" i="50"/>
  <c r="AT30" i="50"/>
  <c r="AU30" i="50"/>
  <c r="AS31" i="50"/>
  <c r="AT31" i="50"/>
  <c r="AU31" i="50"/>
  <c r="AS32" i="50"/>
  <c r="AT32" i="50"/>
  <c r="AU32" i="50"/>
  <c r="AU2" i="50"/>
  <c r="AT2" i="50"/>
  <c r="AS2" i="50"/>
  <c r="AP3" i="50"/>
  <c r="AQ3" i="50"/>
  <c r="AR3" i="50"/>
  <c r="AP4" i="50"/>
  <c r="AQ4" i="50"/>
  <c r="AR4" i="50"/>
  <c r="AP5" i="50"/>
  <c r="AQ5" i="50"/>
  <c r="AR5" i="50"/>
  <c r="AP6" i="50"/>
  <c r="AQ6" i="50"/>
  <c r="AR6" i="50"/>
  <c r="AP7" i="50"/>
  <c r="AQ7" i="50"/>
  <c r="AR7" i="50"/>
  <c r="AP8" i="50"/>
  <c r="AQ8" i="50"/>
  <c r="AR8" i="50"/>
  <c r="AP9" i="50"/>
  <c r="AQ9" i="50"/>
  <c r="AR9" i="50"/>
  <c r="AP10" i="50"/>
  <c r="AQ10" i="50"/>
  <c r="AR10" i="50"/>
  <c r="AP11" i="50"/>
  <c r="AQ11" i="50"/>
  <c r="AR11" i="50"/>
  <c r="AP12" i="50"/>
  <c r="AQ12" i="50"/>
  <c r="AR12" i="50"/>
  <c r="AP13" i="50"/>
  <c r="AQ13" i="50"/>
  <c r="AR13" i="50"/>
  <c r="AP14" i="50"/>
  <c r="AQ14" i="50"/>
  <c r="AR14" i="50"/>
  <c r="AP15" i="50"/>
  <c r="AQ15" i="50"/>
  <c r="AR15" i="50"/>
  <c r="AP16" i="50"/>
  <c r="AQ16" i="50"/>
  <c r="AR16" i="50"/>
  <c r="AP17" i="50"/>
  <c r="AQ17" i="50"/>
  <c r="AR17" i="50"/>
  <c r="AP18" i="50"/>
  <c r="AQ18" i="50"/>
  <c r="AR18" i="50"/>
  <c r="AP19" i="50"/>
  <c r="AQ19" i="50"/>
  <c r="AR19" i="50"/>
  <c r="AP20" i="50"/>
  <c r="AQ20" i="50"/>
  <c r="AR20" i="50"/>
  <c r="AP21" i="50"/>
  <c r="AQ21" i="50"/>
  <c r="AR21" i="50"/>
  <c r="AP22" i="50"/>
  <c r="AQ22" i="50"/>
  <c r="AR22" i="50"/>
  <c r="AP23" i="50"/>
  <c r="AQ23" i="50"/>
  <c r="AR23" i="50"/>
  <c r="AP24" i="50"/>
  <c r="AQ24" i="50"/>
  <c r="AR24" i="50"/>
  <c r="AP25" i="50"/>
  <c r="AQ25" i="50"/>
  <c r="AR25" i="50"/>
  <c r="AP26" i="50"/>
  <c r="AQ26" i="50"/>
  <c r="AR26" i="50"/>
  <c r="AP27" i="50"/>
  <c r="AQ27" i="50"/>
  <c r="AR27" i="50"/>
  <c r="AP28" i="50"/>
  <c r="AQ28" i="50"/>
  <c r="AR28" i="50"/>
  <c r="AP29" i="50"/>
  <c r="AQ29" i="50"/>
  <c r="AR29" i="50"/>
  <c r="AP30" i="50"/>
  <c r="AQ30" i="50"/>
  <c r="AR30" i="50"/>
  <c r="AP31" i="50"/>
  <c r="AQ31" i="50"/>
  <c r="AR31" i="50"/>
  <c r="AP32" i="50"/>
  <c r="AQ32" i="50"/>
  <c r="AR32" i="50"/>
  <c r="AR2" i="50"/>
  <c r="AQ2" i="50"/>
  <c r="AP2" i="50"/>
  <c r="AJ3" i="50"/>
  <c r="AK3" i="50"/>
  <c r="AL3" i="50"/>
  <c r="AM3" i="50"/>
  <c r="AN3" i="50"/>
  <c r="AO3" i="50"/>
  <c r="AJ4" i="50"/>
  <c r="AK4" i="50"/>
  <c r="AL4" i="50"/>
  <c r="AM4" i="50"/>
  <c r="AN4" i="50"/>
  <c r="AO4" i="50"/>
  <c r="AJ5" i="50"/>
  <c r="AK5" i="50"/>
  <c r="AL5" i="50"/>
  <c r="AM5" i="50"/>
  <c r="AN5" i="50"/>
  <c r="AO5" i="50"/>
  <c r="AJ6" i="50"/>
  <c r="AK6" i="50"/>
  <c r="AL6" i="50"/>
  <c r="AM6" i="50"/>
  <c r="AN6" i="50"/>
  <c r="AO6" i="50"/>
  <c r="AJ7" i="50"/>
  <c r="AK7" i="50"/>
  <c r="AL7" i="50"/>
  <c r="AM7" i="50"/>
  <c r="AN7" i="50"/>
  <c r="AO7" i="50"/>
  <c r="AJ8" i="50"/>
  <c r="AK8" i="50"/>
  <c r="AL8" i="50"/>
  <c r="AM8" i="50"/>
  <c r="AN8" i="50"/>
  <c r="AO8" i="50"/>
  <c r="AO2" i="50"/>
  <c r="AN2" i="50"/>
  <c r="AM2" i="50"/>
  <c r="AL2" i="50"/>
  <c r="AK2" i="50"/>
  <c r="AJ2" i="50"/>
  <c r="AI3" i="50"/>
  <c r="AI4" i="50"/>
  <c r="AI5" i="50"/>
  <c r="AI6" i="50"/>
  <c r="AI7" i="50"/>
  <c r="AI8" i="50"/>
  <c r="AI2" i="50"/>
  <c r="Z3" i="50" l="1"/>
  <c r="AA3" i="50"/>
  <c r="AB3" i="50"/>
  <c r="AC3" i="50"/>
  <c r="AD3" i="50"/>
  <c r="AE3" i="50"/>
  <c r="AF3" i="50"/>
  <c r="AG3" i="50"/>
  <c r="AH3" i="50"/>
  <c r="Z4" i="50"/>
  <c r="AA4" i="50"/>
  <c r="AB4" i="50"/>
  <c r="AC4" i="50"/>
  <c r="AD4" i="50"/>
  <c r="AE4" i="50"/>
  <c r="AF4" i="50"/>
  <c r="AG4" i="50"/>
  <c r="AH4" i="50"/>
  <c r="Z5" i="50"/>
  <c r="AA5" i="50"/>
  <c r="AB5" i="50"/>
  <c r="AC5" i="50"/>
  <c r="AD5" i="50"/>
  <c r="AE5" i="50"/>
  <c r="AF5" i="50"/>
  <c r="AG5" i="50"/>
  <c r="AH5" i="50"/>
  <c r="Z6" i="50"/>
  <c r="AA6" i="50"/>
  <c r="AB6" i="50"/>
  <c r="AC6" i="50"/>
  <c r="AD6" i="50"/>
  <c r="AE6" i="50"/>
  <c r="AF6" i="50"/>
  <c r="AG6" i="50"/>
  <c r="AH6" i="50"/>
  <c r="Z7" i="50"/>
  <c r="AA7" i="50"/>
  <c r="AB7" i="50"/>
  <c r="AC7" i="50"/>
  <c r="AD7" i="50"/>
  <c r="AE7" i="50"/>
  <c r="AF7" i="50"/>
  <c r="AG7" i="50"/>
  <c r="AH7" i="50"/>
  <c r="Z8" i="50"/>
  <c r="AA8" i="50"/>
  <c r="AB8" i="50"/>
  <c r="AC8" i="50"/>
  <c r="AD8" i="50"/>
  <c r="AE8" i="50"/>
  <c r="AF8" i="50"/>
  <c r="AG8" i="50"/>
  <c r="AH8" i="50"/>
  <c r="Z9" i="50"/>
  <c r="AA9" i="50"/>
  <c r="AB9" i="50"/>
  <c r="AC9" i="50"/>
  <c r="AD9" i="50"/>
  <c r="AE9" i="50"/>
  <c r="AF9" i="50"/>
  <c r="AG9" i="50"/>
  <c r="AH9" i="50"/>
  <c r="Z10" i="50"/>
  <c r="AA10" i="50"/>
  <c r="AB10" i="50"/>
  <c r="AC10" i="50"/>
  <c r="AD10" i="50"/>
  <c r="AE10" i="50"/>
  <c r="AF10" i="50"/>
  <c r="AG10" i="50"/>
  <c r="AH10" i="50"/>
  <c r="Z11" i="50"/>
  <c r="AA11" i="50"/>
  <c r="AB11" i="50"/>
  <c r="AC11" i="50"/>
  <c r="AD11" i="50"/>
  <c r="AE11" i="50"/>
  <c r="AF11" i="50"/>
  <c r="AG11" i="50"/>
  <c r="AH11" i="50"/>
  <c r="Z12" i="50"/>
  <c r="AA12" i="50"/>
  <c r="AB12" i="50"/>
  <c r="AC12" i="50"/>
  <c r="AD12" i="50"/>
  <c r="AE12" i="50"/>
  <c r="AF12" i="50"/>
  <c r="AG12" i="50"/>
  <c r="AH12" i="50"/>
  <c r="Z13" i="50"/>
  <c r="AA13" i="50"/>
  <c r="AB13" i="50"/>
  <c r="AC13" i="50"/>
  <c r="AD13" i="50"/>
  <c r="AE13" i="50"/>
  <c r="AF13" i="50"/>
  <c r="AG13" i="50"/>
  <c r="AH13" i="50"/>
  <c r="Z14" i="50"/>
  <c r="AA14" i="50"/>
  <c r="AB14" i="50"/>
  <c r="AC14" i="50"/>
  <c r="AD14" i="50"/>
  <c r="AE14" i="50"/>
  <c r="AF14" i="50"/>
  <c r="AG14" i="50"/>
  <c r="AH14" i="50"/>
  <c r="Z15" i="50"/>
  <c r="AA15" i="50"/>
  <c r="AB15" i="50"/>
  <c r="AC15" i="50"/>
  <c r="AD15" i="50"/>
  <c r="AE15" i="50"/>
  <c r="AF15" i="50"/>
  <c r="AG15" i="50"/>
  <c r="AH15" i="50"/>
  <c r="Z16" i="50"/>
  <c r="AA16" i="50"/>
  <c r="AB16" i="50"/>
  <c r="AC16" i="50"/>
  <c r="AD16" i="50"/>
  <c r="AE16" i="50"/>
  <c r="AF16" i="50"/>
  <c r="AG16" i="50"/>
  <c r="AH16" i="50"/>
  <c r="Z17" i="50"/>
  <c r="AA17" i="50"/>
  <c r="AB17" i="50"/>
  <c r="AC17" i="50"/>
  <c r="AD17" i="50"/>
  <c r="AE17" i="50"/>
  <c r="AF17" i="50"/>
  <c r="AG17" i="50"/>
  <c r="AH17" i="50"/>
  <c r="Z18" i="50"/>
  <c r="AA18" i="50"/>
  <c r="AB18" i="50"/>
  <c r="AC18" i="50"/>
  <c r="AD18" i="50"/>
  <c r="AE18" i="50"/>
  <c r="AF18" i="50"/>
  <c r="AG18" i="50"/>
  <c r="AH18" i="50"/>
  <c r="Z19" i="50"/>
  <c r="AA19" i="50"/>
  <c r="AB19" i="50"/>
  <c r="AC19" i="50"/>
  <c r="AD19" i="50"/>
  <c r="AE19" i="50"/>
  <c r="AF19" i="50"/>
  <c r="AG19" i="50"/>
  <c r="AH19" i="50"/>
  <c r="Z20" i="50"/>
  <c r="AA20" i="50"/>
  <c r="AB20" i="50"/>
  <c r="AC20" i="50"/>
  <c r="AD20" i="50"/>
  <c r="AE20" i="50"/>
  <c r="AF20" i="50"/>
  <c r="AG20" i="50"/>
  <c r="AH20" i="50"/>
  <c r="Z21" i="50"/>
  <c r="AA21" i="50"/>
  <c r="AB21" i="50"/>
  <c r="AC21" i="50"/>
  <c r="AD21" i="50"/>
  <c r="AE21" i="50"/>
  <c r="AF21" i="50"/>
  <c r="AG21" i="50"/>
  <c r="AH21" i="50"/>
  <c r="Z22" i="50"/>
  <c r="AA22" i="50"/>
  <c r="AB22" i="50"/>
  <c r="AC22" i="50"/>
  <c r="AD22" i="50"/>
  <c r="AE22" i="50"/>
  <c r="AF22" i="50"/>
  <c r="AG22" i="50"/>
  <c r="AH22" i="50"/>
  <c r="Z23" i="50"/>
  <c r="AA23" i="50"/>
  <c r="AB23" i="50"/>
  <c r="AC23" i="50"/>
  <c r="AD23" i="50"/>
  <c r="AE23" i="50"/>
  <c r="AF23" i="50"/>
  <c r="AG23" i="50"/>
  <c r="AH23" i="50"/>
  <c r="Z24" i="50"/>
  <c r="AA24" i="50"/>
  <c r="AB24" i="50"/>
  <c r="AC24" i="50"/>
  <c r="AD24" i="50"/>
  <c r="AE24" i="50"/>
  <c r="AF24" i="50"/>
  <c r="AG24" i="50"/>
  <c r="AH24" i="50"/>
  <c r="Z25" i="50"/>
  <c r="AA25" i="50"/>
  <c r="AB25" i="50"/>
  <c r="AC25" i="50"/>
  <c r="AD25" i="50"/>
  <c r="AE25" i="50"/>
  <c r="AF25" i="50"/>
  <c r="AG25" i="50"/>
  <c r="AH25" i="50"/>
  <c r="Z26" i="50"/>
  <c r="AA26" i="50"/>
  <c r="AB26" i="50"/>
  <c r="AC26" i="50"/>
  <c r="AD26" i="50"/>
  <c r="AE26" i="50"/>
  <c r="AF26" i="50"/>
  <c r="AG26" i="50"/>
  <c r="AH26" i="50"/>
  <c r="Z27" i="50"/>
  <c r="AA27" i="50"/>
  <c r="AB27" i="50"/>
  <c r="AC27" i="50"/>
  <c r="AD27" i="50"/>
  <c r="AE27" i="50"/>
  <c r="AF27" i="50"/>
  <c r="AG27" i="50"/>
  <c r="AH27" i="50"/>
  <c r="Z28" i="50"/>
  <c r="AA28" i="50"/>
  <c r="AB28" i="50"/>
  <c r="AC28" i="50"/>
  <c r="AD28" i="50"/>
  <c r="AE28" i="50"/>
  <c r="AF28" i="50"/>
  <c r="AG28" i="50"/>
  <c r="AH28" i="50"/>
  <c r="Z29" i="50"/>
  <c r="AA29" i="50"/>
  <c r="AB29" i="50"/>
  <c r="AC29" i="50"/>
  <c r="AD29" i="50"/>
  <c r="AE29" i="50"/>
  <c r="AF29" i="50"/>
  <c r="AG29" i="50"/>
  <c r="AH29" i="50"/>
  <c r="Z30" i="50"/>
  <c r="AA30" i="50"/>
  <c r="AB30" i="50"/>
  <c r="AC30" i="50"/>
  <c r="AD30" i="50"/>
  <c r="AE30" i="50"/>
  <c r="AF30" i="50"/>
  <c r="AG30" i="50"/>
  <c r="AH30" i="50"/>
  <c r="Z31" i="50"/>
  <c r="AA31" i="50"/>
  <c r="AB31" i="50"/>
  <c r="AC31" i="50"/>
  <c r="AD31" i="50"/>
  <c r="AE31" i="50"/>
  <c r="AF31" i="50"/>
  <c r="AG31" i="50"/>
  <c r="AH31" i="50"/>
  <c r="Z32" i="50"/>
  <c r="AA32" i="50"/>
  <c r="AB32" i="50"/>
  <c r="AC32" i="50"/>
  <c r="AD32" i="50"/>
  <c r="AE32" i="50"/>
  <c r="AF32" i="50"/>
  <c r="AG32" i="50"/>
  <c r="AH32" i="50"/>
  <c r="AA2" i="50"/>
  <c r="AB2" i="50"/>
  <c r="AC2" i="50"/>
  <c r="AD2" i="50"/>
  <c r="AE2" i="50"/>
  <c r="AF2" i="50"/>
  <c r="AG2" i="50"/>
  <c r="AH2" i="50"/>
  <c r="Z2" i="50"/>
  <c r="Q3" i="50"/>
  <c r="R3" i="50"/>
  <c r="S3" i="50"/>
  <c r="T3" i="50"/>
  <c r="U3" i="50"/>
  <c r="V3" i="50"/>
  <c r="W3" i="50"/>
  <c r="X3" i="50"/>
  <c r="Y3" i="50"/>
  <c r="Q4" i="50"/>
  <c r="R4" i="50"/>
  <c r="S4" i="50"/>
  <c r="T4" i="50"/>
  <c r="U4" i="50"/>
  <c r="V4" i="50"/>
  <c r="W4" i="50"/>
  <c r="X4" i="50"/>
  <c r="Y4" i="50"/>
  <c r="Q5" i="50"/>
  <c r="R5" i="50"/>
  <c r="S5" i="50"/>
  <c r="T5" i="50"/>
  <c r="U5" i="50"/>
  <c r="V5" i="50"/>
  <c r="W5" i="50"/>
  <c r="X5" i="50"/>
  <c r="Y5" i="50"/>
  <c r="Q6" i="50"/>
  <c r="R6" i="50"/>
  <c r="S6" i="50"/>
  <c r="T6" i="50"/>
  <c r="U6" i="50"/>
  <c r="V6" i="50"/>
  <c r="W6" i="50"/>
  <c r="X6" i="50"/>
  <c r="Y6" i="50"/>
  <c r="Q7" i="50"/>
  <c r="R7" i="50"/>
  <c r="S7" i="50"/>
  <c r="T7" i="50"/>
  <c r="U7" i="50"/>
  <c r="V7" i="50"/>
  <c r="W7" i="50"/>
  <c r="X7" i="50"/>
  <c r="Y7" i="50"/>
  <c r="Q8" i="50"/>
  <c r="R8" i="50"/>
  <c r="S8" i="50"/>
  <c r="T8" i="50"/>
  <c r="U8" i="50"/>
  <c r="V8" i="50"/>
  <c r="W8" i="50"/>
  <c r="X8" i="50"/>
  <c r="Y8" i="50"/>
  <c r="Q9" i="50"/>
  <c r="R9" i="50"/>
  <c r="S9" i="50"/>
  <c r="T9" i="50"/>
  <c r="U9" i="50"/>
  <c r="V9" i="50"/>
  <c r="W9" i="50"/>
  <c r="X9" i="50"/>
  <c r="Y9" i="50"/>
  <c r="Q10" i="50"/>
  <c r="R10" i="50"/>
  <c r="S10" i="50"/>
  <c r="T10" i="50"/>
  <c r="U10" i="50"/>
  <c r="V10" i="50"/>
  <c r="W10" i="50"/>
  <c r="X10" i="50"/>
  <c r="Y10" i="50"/>
  <c r="Q11" i="50"/>
  <c r="R11" i="50"/>
  <c r="S11" i="50"/>
  <c r="T11" i="50"/>
  <c r="U11" i="50"/>
  <c r="V11" i="50"/>
  <c r="W11" i="50"/>
  <c r="X11" i="50"/>
  <c r="Y11" i="50"/>
  <c r="Q12" i="50"/>
  <c r="R12" i="50"/>
  <c r="S12" i="50"/>
  <c r="T12" i="50"/>
  <c r="U12" i="50"/>
  <c r="V12" i="50"/>
  <c r="W12" i="50"/>
  <c r="X12" i="50"/>
  <c r="Y12" i="50"/>
  <c r="Q13" i="50"/>
  <c r="R13" i="50"/>
  <c r="S13" i="50"/>
  <c r="T13" i="50"/>
  <c r="U13" i="50"/>
  <c r="V13" i="50"/>
  <c r="W13" i="50"/>
  <c r="X13" i="50"/>
  <c r="Y13" i="50"/>
  <c r="Q14" i="50"/>
  <c r="R14" i="50"/>
  <c r="S14" i="50"/>
  <c r="T14" i="50"/>
  <c r="U14" i="50"/>
  <c r="V14" i="50"/>
  <c r="W14" i="50"/>
  <c r="X14" i="50"/>
  <c r="Y14" i="50"/>
  <c r="Q15" i="50"/>
  <c r="R15" i="50"/>
  <c r="S15" i="50"/>
  <c r="T15" i="50"/>
  <c r="U15" i="50"/>
  <c r="V15" i="50"/>
  <c r="W15" i="50"/>
  <c r="X15" i="50"/>
  <c r="Y15" i="50"/>
  <c r="Q16" i="50"/>
  <c r="R16" i="50"/>
  <c r="S16" i="50"/>
  <c r="T16" i="50"/>
  <c r="U16" i="50"/>
  <c r="V16" i="50"/>
  <c r="W16" i="50"/>
  <c r="X16" i="50"/>
  <c r="Y16" i="50"/>
  <c r="Q17" i="50"/>
  <c r="R17" i="50"/>
  <c r="S17" i="50"/>
  <c r="T17" i="50"/>
  <c r="U17" i="50"/>
  <c r="V17" i="50"/>
  <c r="W17" i="50"/>
  <c r="X17" i="50"/>
  <c r="Y17" i="50"/>
  <c r="Q18" i="50"/>
  <c r="R18" i="50"/>
  <c r="S18" i="50"/>
  <c r="T18" i="50"/>
  <c r="U18" i="50"/>
  <c r="V18" i="50"/>
  <c r="W18" i="50"/>
  <c r="X18" i="50"/>
  <c r="Y18" i="50"/>
  <c r="Q19" i="50"/>
  <c r="R19" i="50"/>
  <c r="S19" i="50"/>
  <c r="T19" i="50"/>
  <c r="U19" i="50"/>
  <c r="V19" i="50"/>
  <c r="W19" i="50"/>
  <c r="X19" i="50"/>
  <c r="Y19" i="50"/>
  <c r="Q20" i="50"/>
  <c r="R20" i="50"/>
  <c r="S20" i="50"/>
  <c r="T20" i="50"/>
  <c r="U20" i="50"/>
  <c r="V20" i="50"/>
  <c r="W20" i="50"/>
  <c r="X20" i="50"/>
  <c r="Y20" i="50"/>
  <c r="Q21" i="50"/>
  <c r="R21" i="50"/>
  <c r="S21" i="50"/>
  <c r="T21" i="50"/>
  <c r="U21" i="50"/>
  <c r="V21" i="50"/>
  <c r="W21" i="50"/>
  <c r="X21" i="50"/>
  <c r="Y21" i="50"/>
  <c r="Q22" i="50"/>
  <c r="R22" i="50"/>
  <c r="S22" i="50"/>
  <c r="T22" i="50"/>
  <c r="U22" i="50"/>
  <c r="V22" i="50"/>
  <c r="W22" i="50"/>
  <c r="X22" i="50"/>
  <c r="Y22" i="50"/>
  <c r="Q23" i="50"/>
  <c r="R23" i="50"/>
  <c r="S23" i="50"/>
  <c r="T23" i="50"/>
  <c r="U23" i="50"/>
  <c r="V23" i="50"/>
  <c r="W23" i="50"/>
  <c r="X23" i="50"/>
  <c r="Y23" i="50"/>
  <c r="Q24" i="50"/>
  <c r="R24" i="50"/>
  <c r="S24" i="50"/>
  <c r="T24" i="50"/>
  <c r="U24" i="50"/>
  <c r="V24" i="50"/>
  <c r="W24" i="50"/>
  <c r="X24" i="50"/>
  <c r="Y24" i="50"/>
  <c r="Q25" i="50"/>
  <c r="R25" i="50"/>
  <c r="S25" i="50"/>
  <c r="T25" i="50"/>
  <c r="U25" i="50"/>
  <c r="V25" i="50"/>
  <c r="W25" i="50"/>
  <c r="X25" i="50"/>
  <c r="Y25" i="50"/>
  <c r="Q26" i="50"/>
  <c r="R26" i="50"/>
  <c r="S26" i="50"/>
  <c r="T26" i="50"/>
  <c r="U26" i="50"/>
  <c r="V26" i="50"/>
  <c r="W26" i="50"/>
  <c r="X26" i="50"/>
  <c r="Y26" i="50"/>
  <c r="Q27" i="50"/>
  <c r="R27" i="50"/>
  <c r="S27" i="50"/>
  <c r="T27" i="50"/>
  <c r="U27" i="50"/>
  <c r="V27" i="50"/>
  <c r="W27" i="50"/>
  <c r="X27" i="50"/>
  <c r="Y27" i="50"/>
  <c r="Q28" i="50"/>
  <c r="R28" i="50"/>
  <c r="S28" i="50"/>
  <c r="T28" i="50"/>
  <c r="U28" i="50"/>
  <c r="V28" i="50"/>
  <c r="W28" i="50"/>
  <c r="X28" i="50"/>
  <c r="Y28" i="50"/>
  <c r="Q29" i="50"/>
  <c r="R29" i="50"/>
  <c r="S29" i="50"/>
  <c r="T29" i="50"/>
  <c r="U29" i="50"/>
  <c r="V29" i="50"/>
  <c r="W29" i="50"/>
  <c r="X29" i="50"/>
  <c r="Y29" i="50"/>
  <c r="Q30" i="50"/>
  <c r="R30" i="50"/>
  <c r="S30" i="50"/>
  <c r="T30" i="50"/>
  <c r="U30" i="50"/>
  <c r="V30" i="50"/>
  <c r="W30" i="50"/>
  <c r="X30" i="50"/>
  <c r="Y30" i="50"/>
  <c r="Q31" i="50"/>
  <c r="R31" i="50"/>
  <c r="S31" i="50"/>
  <c r="T31" i="50"/>
  <c r="U31" i="50"/>
  <c r="V31" i="50"/>
  <c r="W31" i="50"/>
  <c r="X31" i="50"/>
  <c r="Y31" i="50"/>
  <c r="Q32" i="50"/>
  <c r="R32" i="50"/>
  <c r="S32" i="50"/>
  <c r="T32" i="50"/>
  <c r="U32" i="50"/>
  <c r="V32" i="50"/>
  <c r="W32" i="50"/>
  <c r="X32" i="50"/>
  <c r="Y32" i="50"/>
  <c r="R2" i="50"/>
  <c r="S2" i="50"/>
  <c r="T2" i="50"/>
  <c r="U2" i="50"/>
  <c r="V2" i="50"/>
  <c r="W2" i="50"/>
  <c r="X2" i="50"/>
  <c r="Y2" i="50"/>
  <c r="Q2" i="50"/>
  <c r="H3" i="50"/>
  <c r="I3" i="50"/>
  <c r="J3" i="50"/>
  <c r="K3" i="50"/>
  <c r="L3" i="50"/>
  <c r="M3" i="50"/>
  <c r="N3" i="50"/>
  <c r="O3" i="50"/>
  <c r="P3" i="50"/>
  <c r="H4" i="50"/>
  <c r="I4" i="50"/>
  <c r="J4" i="50"/>
  <c r="K4" i="50"/>
  <c r="L4" i="50"/>
  <c r="M4" i="50"/>
  <c r="N4" i="50"/>
  <c r="O4" i="50"/>
  <c r="P4" i="50"/>
  <c r="H5" i="50"/>
  <c r="I5" i="50"/>
  <c r="J5" i="50"/>
  <c r="K5" i="50"/>
  <c r="L5" i="50"/>
  <c r="M5" i="50"/>
  <c r="N5" i="50"/>
  <c r="O5" i="50"/>
  <c r="P5" i="50"/>
  <c r="H6" i="50"/>
  <c r="I6" i="50"/>
  <c r="J6" i="50"/>
  <c r="K6" i="50"/>
  <c r="L6" i="50"/>
  <c r="M6" i="50"/>
  <c r="N6" i="50"/>
  <c r="O6" i="50"/>
  <c r="P6" i="50"/>
  <c r="H7" i="50"/>
  <c r="I7" i="50"/>
  <c r="J7" i="50"/>
  <c r="K7" i="50"/>
  <c r="L7" i="50"/>
  <c r="M7" i="50"/>
  <c r="N7" i="50"/>
  <c r="O7" i="50"/>
  <c r="P7" i="50"/>
  <c r="H8" i="50"/>
  <c r="I8" i="50"/>
  <c r="J8" i="50"/>
  <c r="K8" i="50"/>
  <c r="L8" i="50"/>
  <c r="M8" i="50"/>
  <c r="N8" i="50"/>
  <c r="O8" i="50"/>
  <c r="P8" i="50"/>
  <c r="H9" i="50"/>
  <c r="I9" i="50"/>
  <c r="J9" i="50"/>
  <c r="K9" i="50"/>
  <c r="L9" i="50"/>
  <c r="M9" i="50"/>
  <c r="N9" i="50"/>
  <c r="O9" i="50"/>
  <c r="P9" i="50"/>
  <c r="H10" i="50"/>
  <c r="I10" i="50"/>
  <c r="J10" i="50"/>
  <c r="K10" i="50"/>
  <c r="L10" i="50"/>
  <c r="M10" i="50"/>
  <c r="N10" i="50"/>
  <c r="O10" i="50"/>
  <c r="P10" i="50"/>
  <c r="H11" i="50"/>
  <c r="I11" i="50"/>
  <c r="J11" i="50"/>
  <c r="K11" i="50"/>
  <c r="L11" i="50"/>
  <c r="M11" i="50"/>
  <c r="N11" i="50"/>
  <c r="O11" i="50"/>
  <c r="P11" i="50"/>
  <c r="H12" i="50"/>
  <c r="I12" i="50"/>
  <c r="J12" i="50"/>
  <c r="K12" i="50"/>
  <c r="L12" i="50"/>
  <c r="M12" i="50"/>
  <c r="N12" i="50"/>
  <c r="O12" i="50"/>
  <c r="P12" i="50"/>
  <c r="H13" i="50"/>
  <c r="I13" i="50"/>
  <c r="J13" i="50"/>
  <c r="K13" i="50"/>
  <c r="L13" i="50"/>
  <c r="M13" i="50"/>
  <c r="N13" i="50"/>
  <c r="O13" i="50"/>
  <c r="P13" i="50"/>
  <c r="H14" i="50"/>
  <c r="I14" i="50"/>
  <c r="J14" i="50"/>
  <c r="K14" i="50"/>
  <c r="L14" i="50"/>
  <c r="M14" i="50"/>
  <c r="N14" i="50"/>
  <c r="O14" i="50"/>
  <c r="P14" i="50"/>
  <c r="H15" i="50"/>
  <c r="I15" i="50"/>
  <c r="J15" i="50"/>
  <c r="K15" i="50"/>
  <c r="L15" i="50"/>
  <c r="M15" i="50"/>
  <c r="N15" i="50"/>
  <c r="O15" i="50"/>
  <c r="P15" i="50"/>
  <c r="H16" i="50"/>
  <c r="I16" i="50"/>
  <c r="J16" i="50"/>
  <c r="K16" i="50"/>
  <c r="L16" i="50"/>
  <c r="M16" i="50"/>
  <c r="N16" i="50"/>
  <c r="O16" i="50"/>
  <c r="P16" i="50"/>
  <c r="H17" i="50"/>
  <c r="I17" i="50"/>
  <c r="J17" i="50"/>
  <c r="K17" i="50"/>
  <c r="L17" i="50"/>
  <c r="M17" i="50"/>
  <c r="N17" i="50"/>
  <c r="O17" i="50"/>
  <c r="P17" i="50"/>
  <c r="H18" i="50"/>
  <c r="I18" i="50"/>
  <c r="J18" i="50"/>
  <c r="K18" i="50"/>
  <c r="L18" i="50"/>
  <c r="M18" i="50"/>
  <c r="N18" i="50"/>
  <c r="O18" i="50"/>
  <c r="P18" i="50"/>
  <c r="H19" i="50"/>
  <c r="I19" i="50"/>
  <c r="J19" i="50"/>
  <c r="K19" i="50"/>
  <c r="L19" i="50"/>
  <c r="M19" i="50"/>
  <c r="N19" i="50"/>
  <c r="O19" i="50"/>
  <c r="P19" i="50"/>
  <c r="H20" i="50"/>
  <c r="I20" i="50"/>
  <c r="J20" i="50"/>
  <c r="K20" i="50"/>
  <c r="L20" i="50"/>
  <c r="M20" i="50"/>
  <c r="N20" i="50"/>
  <c r="O20" i="50"/>
  <c r="P20" i="50"/>
  <c r="H21" i="50"/>
  <c r="I21" i="50"/>
  <c r="J21" i="50"/>
  <c r="K21" i="50"/>
  <c r="L21" i="50"/>
  <c r="M21" i="50"/>
  <c r="N21" i="50"/>
  <c r="O21" i="50"/>
  <c r="P21" i="50"/>
  <c r="H22" i="50"/>
  <c r="I22" i="50"/>
  <c r="J22" i="50"/>
  <c r="K22" i="50"/>
  <c r="L22" i="50"/>
  <c r="M22" i="50"/>
  <c r="N22" i="50"/>
  <c r="O22" i="50"/>
  <c r="P22" i="50"/>
  <c r="H23" i="50"/>
  <c r="I23" i="50"/>
  <c r="J23" i="50"/>
  <c r="K23" i="50"/>
  <c r="L23" i="50"/>
  <c r="M23" i="50"/>
  <c r="N23" i="50"/>
  <c r="O23" i="50"/>
  <c r="P23" i="50"/>
  <c r="H24" i="50"/>
  <c r="I24" i="50"/>
  <c r="J24" i="50"/>
  <c r="K24" i="50"/>
  <c r="L24" i="50"/>
  <c r="M24" i="50"/>
  <c r="N24" i="50"/>
  <c r="O24" i="50"/>
  <c r="P24" i="50"/>
  <c r="H25" i="50"/>
  <c r="I25" i="50"/>
  <c r="J25" i="50"/>
  <c r="K25" i="50"/>
  <c r="L25" i="50"/>
  <c r="M25" i="50"/>
  <c r="N25" i="50"/>
  <c r="O25" i="50"/>
  <c r="P25" i="50"/>
  <c r="H26" i="50"/>
  <c r="I26" i="50"/>
  <c r="J26" i="50"/>
  <c r="K26" i="50"/>
  <c r="L26" i="50"/>
  <c r="M26" i="50"/>
  <c r="N26" i="50"/>
  <c r="O26" i="50"/>
  <c r="P26" i="50"/>
  <c r="H27" i="50"/>
  <c r="I27" i="50"/>
  <c r="J27" i="50"/>
  <c r="K27" i="50"/>
  <c r="L27" i="50"/>
  <c r="M27" i="50"/>
  <c r="N27" i="50"/>
  <c r="O27" i="50"/>
  <c r="P27" i="50"/>
  <c r="H28" i="50"/>
  <c r="I28" i="50"/>
  <c r="J28" i="50"/>
  <c r="K28" i="50"/>
  <c r="L28" i="50"/>
  <c r="M28" i="50"/>
  <c r="N28" i="50"/>
  <c r="O28" i="50"/>
  <c r="P28" i="50"/>
  <c r="H29" i="50"/>
  <c r="I29" i="50"/>
  <c r="J29" i="50"/>
  <c r="K29" i="50"/>
  <c r="L29" i="50"/>
  <c r="M29" i="50"/>
  <c r="N29" i="50"/>
  <c r="O29" i="50"/>
  <c r="P29" i="50"/>
  <c r="H30" i="50"/>
  <c r="I30" i="50"/>
  <c r="J30" i="50"/>
  <c r="K30" i="50"/>
  <c r="L30" i="50"/>
  <c r="M30" i="50"/>
  <c r="N30" i="50"/>
  <c r="O30" i="50"/>
  <c r="P30" i="50"/>
  <c r="H31" i="50"/>
  <c r="I31" i="50"/>
  <c r="J31" i="50"/>
  <c r="K31" i="50"/>
  <c r="L31" i="50"/>
  <c r="M31" i="50"/>
  <c r="N31" i="50"/>
  <c r="O31" i="50"/>
  <c r="P31" i="50"/>
  <c r="H32" i="50"/>
  <c r="I32" i="50"/>
  <c r="J32" i="50"/>
  <c r="K32" i="50"/>
  <c r="L32" i="50"/>
  <c r="M32" i="50"/>
  <c r="N32" i="50"/>
  <c r="O32" i="50"/>
  <c r="P32" i="50"/>
  <c r="I2" i="50"/>
  <c r="J2" i="50"/>
  <c r="K2" i="50"/>
  <c r="L2" i="50"/>
  <c r="M2" i="50"/>
  <c r="N2" i="50"/>
  <c r="O2" i="50"/>
  <c r="P2" i="50"/>
  <c r="H2" i="50"/>
  <c r="E3" i="50"/>
  <c r="F3" i="50"/>
  <c r="G3" i="50"/>
  <c r="E4" i="50"/>
  <c r="F4" i="50"/>
  <c r="G4" i="50"/>
  <c r="E5" i="50"/>
  <c r="F5" i="50"/>
  <c r="G5" i="50"/>
  <c r="E6" i="50"/>
  <c r="F6" i="50"/>
  <c r="G6" i="50"/>
  <c r="E7" i="50"/>
  <c r="F7" i="50"/>
  <c r="G7" i="50"/>
  <c r="E8" i="50"/>
  <c r="F8" i="50"/>
  <c r="G8" i="50"/>
  <c r="E9" i="50"/>
  <c r="F9" i="50"/>
  <c r="G9" i="50"/>
  <c r="E10" i="50"/>
  <c r="F10" i="50"/>
  <c r="G10" i="50"/>
  <c r="E11" i="50"/>
  <c r="F11" i="50"/>
  <c r="G11" i="50"/>
  <c r="E12" i="50"/>
  <c r="F12" i="50"/>
  <c r="G12" i="50"/>
  <c r="E13" i="50"/>
  <c r="F13" i="50"/>
  <c r="G13" i="50"/>
  <c r="E14" i="50"/>
  <c r="F14" i="50"/>
  <c r="G14" i="50"/>
  <c r="E15" i="50"/>
  <c r="F15" i="50"/>
  <c r="G15" i="50"/>
  <c r="E16" i="50"/>
  <c r="F16" i="50"/>
  <c r="G16" i="50"/>
  <c r="E17" i="50"/>
  <c r="F17" i="50"/>
  <c r="G17" i="50"/>
  <c r="E18" i="50"/>
  <c r="F18" i="50"/>
  <c r="G18" i="50"/>
  <c r="E19" i="50"/>
  <c r="F19" i="50"/>
  <c r="G19" i="50"/>
  <c r="E20" i="50"/>
  <c r="F20" i="50"/>
  <c r="G20" i="50"/>
  <c r="E21" i="50"/>
  <c r="F21" i="50"/>
  <c r="G21" i="50"/>
  <c r="E22" i="50"/>
  <c r="F22" i="50"/>
  <c r="G22" i="50"/>
  <c r="E23" i="50"/>
  <c r="F23" i="50"/>
  <c r="G23" i="50"/>
  <c r="E24" i="50"/>
  <c r="F24" i="50"/>
  <c r="G24" i="50"/>
  <c r="E25" i="50"/>
  <c r="F25" i="50"/>
  <c r="G25" i="50"/>
  <c r="E26" i="50"/>
  <c r="F26" i="50"/>
  <c r="G26" i="50"/>
  <c r="E27" i="50"/>
  <c r="F27" i="50"/>
  <c r="G27" i="50"/>
  <c r="E28" i="50"/>
  <c r="F28" i="50"/>
  <c r="G28" i="50"/>
  <c r="E29" i="50"/>
  <c r="F29" i="50"/>
  <c r="G29" i="50"/>
  <c r="E30" i="50"/>
  <c r="F30" i="50"/>
  <c r="G30" i="50"/>
  <c r="E31" i="50"/>
  <c r="F31" i="50"/>
  <c r="G31" i="50"/>
  <c r="E32" i="50"/>
  <c r="F32" i="50"/>
  <c r="G32" i="50"/>
  <c r="F2" i="50"/>
  <c r="G2" i="50"/>
  <c r="E2" i="50"/>
  <c r="B3" i="50"/>
  <c r="C3" i="50"/>
  <c r="D3" i="50"/>
  <c r="B4" i="50"/>
  <c r="C4" i="50"/>
  <c r="D4" i="50"/>
  <c r="B5" i="50"/>
  <c r="C5" i="50"/>
  <c r="D5" i="50"/>
  <c r="B6" i="50"/>
  <c r="C6" i="50"/>
  <c r="D6" i="50"/>
  <c r="B7" i="50"/>
  <c r="C7" i="50"/>
  <c r="D7" i="50"/>
  <c r="B8" i="50"/>
  <c r="C8" i="50"/>
  <c r="D8" i="50"/>
  <c r="B9" i="50"/>
  <c r="C9" i="50"/>
  <c r="D9" i="50"/>
  <c r="B10" i="50"/>
  <c r="C10" i="50"/>
  <c r="D10" i="50"/>
  <c r="B11" i="50"/>
  <c r="C11" i="50"/>
  <c r="D11" i="50"/>
  <c r="B12" i="50"/>
  <c r="C12" i="50"/>
  <c r="D12" i="50"/>
  <c r="B13" i="50"/>
  <c r="C13" i="50"/>
  <c r="D13" i="50"/>
  <c r="B14" i="50"/>
  <c r="C14" i="50"/>
  <c r="D14" i="50"/>
  <c r="B15" i="50"/>
  <c r="C15" i="50"/>
  <c r="D15" i="50"/>
  <c r="B16" i="50"/>
  <c r="C16" i="50"/>
  <c r="D16" i="50"/>
  <c r="B17" i="50"/>
  <c r="C17" i="50"/>
  <c r="D17" i="50"/>
  <c r="B18" i="50"/>
  <c r="C18" i="50"/>
  <c r="D18" i="50"/>
  <c r="B19" i="50"/>
  <c r="C19" i="50"/>
  <c r="D19" i="50"/>
  <c r="B20" i="50"/>
  <c r="C20" i="50"/>
  <c r="D20" i="50"/>
  <c r="B21" i="50"/>
  <c r="C21" i="50"/>
  <c r="D21" i="50"/>
  <c r="B22" i="50"/>
  <c r="C22" i="50"/>
  <c r="D22" i="50"/>
  <c r="B23" i="50"/>
  <c r="C23" i="50"/>
  <c r="D23" i="50"/>
  <c r="B24" i="50"/>
  <c r="C24" i="50"/>
  <c r="D24" i="50"/>
  <c r="B25" i="50"/>
  <c r="C25" i="50"/>
  <c r="D25" i="50"/>
  <c r="B26" i="50"/>
  <c r="C26" i="50"/>
  <c r="D26" i="50"/>
  <c r="B27" i="50"/>
  <c r="C27" i="50"/>
  <c r="D27" i="50"/>
  <c r="B28" i="50"/>
  <c r="C28" i="50"/>
  <c r="D28" i="50"/>
  <c r="B29" i="50"/>
  <c r="C29" i="50"/>
  <c r="D29" i="50"/>
  <c r="B30" i="50"/>
  <c r="C30" i="50"/>
  <c r="D30" i="50"/>
  <c r="B31" i="50"/>
  <c r="C31" i="50"/>
  <c r="D31" i="50"/>
  <c r="B32" i="50"/>
  <c r="C32" i="50"/>
  <c r="D32" i="50"/>
  <c r="C2" i="50"/>
  <c r="D2" i="50"/>
  <c r="B2" i="50"/>
  <c r="A30" i="50"/>
  <c r="A31" i="50"/>
  <c r="A32" i="50"/>
  <c r="A2" i="50"/>
  <c r="A3" i="50"/>
  <c r="A4" i="50"/>
  <c r="A5" i="50"/>
  <c r="A6" i="50"/>
  <c r="A7" i="50"/>
  <c r="A8" i="50"/>
  <c r="A9" i="50"/>
  <c r="A10" i="50"/>
  <c r="A11" i="50"/>
  <c r="A12" i="50"/>
  <c r="A13" i="50"/>
  <c r="A14" i="50"/>
  <c r="A15" i="50"/>
  <c r="A16" i="50"/>
  <c r="A1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1" i="50"/>
  <c r="F3" i="48"/>
  <c r="F4" i="48"/>
  <c r="F5" i="48"/>
  <c r="F6" i="48"/>
  <c r="F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2" i="48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  <c r="F2" i="21"/>
  <c r="C7" i="24" l="1"/>
  <c r="C6" i="24"/>
  <c r="C5" i="24"/>
  <c r="C4" i="24"/>
  <c r="C3" i="24"/>
  <c r="C2" i="24"/>
  <c r="B3" i="47" l="1"/>
  <c r="B4" i="47"/>
  <c r="B5" i="47"/>
  <c r="B6" i="47"/>
  <c r="B7" i="47"/>
  <c r="B8" i="47"/>
  <c r="B2" i="47"/>
  <c r="B3" i="46"/>
  <c r="B4" i="46"/>
  <c r="B5" i="46"/>
  <c r="B6" i="46"/>
  <c r="B7" i="46"/>
  <c r="B8" i="46"/>
  <c r="B2" i="46"/>
  <c r="B3" i="44"/>
  <c r="B4" i="44"/>
  <c r="B5" i="44"/>
  <c r="B6" i="44"/>
  <c r="B7" i="44"/>
  <c r="B8" i="44"/>
  <c r="B2" i="44"/>
  <c r="B3" i="43"/>
  <c r="B4" i="43"/>
  <c r="B5" i="43"/>
  <c r="B6" i="43"/>
  <c r="B7" i="43"/>
  <c r="B8" i="43"/>
  <c r="B2" i="43"/>
  <c r="B3" i="41"/>
  <c r="B4" i="41"/>
  <c r="B5" i="41"/>
  <c r="B6" i="41"/>
  <c r="B7" i="41"/>
  <c r="B8" i="41"/>
  <c r="B2" i="41"/>
  <c r="B3" i="40"/>
  <c r="B4" i="40"/>
  <c r="B5" i="40"/>
  <c r="B6" i="40"/>
  <c r="B7" i="40"/>
  <c r="B8" i="40"/>
  <c r="B2" i="40"/>
  <c r="C25" i="42"/>
  <c r="D25" i="42"/>
  <c r="E25" i="42"/>
  <c r="F25" i="42"/>
  <c r="G25" i="42"/>
  <c r="H25" i="42"/>
  <c r="I25" i="42"/>
  <c r="J25" i="42"/>
  <c r="K25" i="42"/>
  <c r="L25" i="42"/>
  <c r="M25" i="42"/>
  <c r="N25" i="42"/>
  <c r="O25" i="42"/>
  <c r="P25" i="42"/>
  <c r="Q25" i="42"/>
  <c r="R25" i="42"/>
  <c r="S25" i="42"/>
  <c r="T25" i="42"/>
  <c r="U25" i="42"/>
  <c r="V25" i="42"/>
  <c r="W25" i="42"/>
  <c r="X25" i="42"/>
  <c r="Y25" i="42"/>
  <c r="Z25" i="42"/>
  <c r="AA25" i="42"/>
  <c r="AB25" i="42"/>
  <c r="AC25" i="42"/>
  <c r="AD25" i="42"/>
  <c r="AE25" i="42"/>
  <c r="AF25" i="42"/>
  <c r="B25" i="42"/>
  <c r="C25" i="38"/>
  <c r="D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B25" i="38"/>
  <c r="C25" i="45"/>
  <c r="D25" i="45"/>
  <c r="E25" i="45"/>
  <c r="F25" i="45"/>
  <c r="G25" i="45"/>
  <c r="H25" i="45"/>
  <c r="I25" i="45"/>
  <c r="J25" i="45"/>
  <c r="K25" i="45"/>
  <c r="L25" i="45"/>
  <c r="M25" i="45"/>
  <c r="N25" i="45"/>
  <c r="O25" i="45"/>
  <c r="P25" i="45"/>
  <c r="Q25" i="45"/>
  <c r="R25" i="45"/>
  <c r="S25" i="45"/>
  <c r="T25" i="45"/>
  <c r="U25" i="45"/>
  <c r="V25" i="45"/>
  <c r="W25" i="45"/>
  <c r="X25" i="45"/>
  <c r="Y25" i="45"/>
  <c r="Z25" i="45"/>
  <c r="AA25" i="45"/>
  <c r="AB25" i="45"/>
  <c r="AC25" i="45"/>
  <c r="AD25" i="45"/>
  <c r="AE25" i="45"/>
  <c r="AF25" i="45"/>
  <c r="B25" i="45"/>
  <c r="AF29" i="45" l="1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22" i="45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C29" i="42"/>
  <c r="B29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C28" i="42"/>
  <c r="B28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B27" i="42"/>
  <c r="AF26" i="42"/>
  <c r="AE26" i="42"/>
  <c r="AD26" i="42"/>
  <c r="AC26" i="42"/>
  <c r="AB26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C26" i="42"/>
  <c r="B26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E24" i="42"/>
  <c r="D24" i="42"/>
  <c r="C24" i="42"/>
  <c r="B24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C23" i="42"/>
  <c r="B23" i="42"/>
  <c r="AF22" i="42"/>
  <c r="AE22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C22" i="42"/>
  <c r="B22" i="42"/>
  <c r="A22" i="42"/>
  <c r="C23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C24" i="38"/>
  <c r="D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X24" i="38"/>
  <c r="Y24" i="38"/>
  <c r="Z24" i="38"/>
  <c r="AA24" i="38"/>
  <c r="AB24" i="38"/>
  <c r="AC24" i="38"/>
  <c r="AD24" i="38"/>
  <c r="AE24" i="38"/>
  <c r="AF24" i="38"/>
  <c r="C26" i="38"/>
  <c r="D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X26" i="38"/>
  <c r="Y26" i="38"/>
  <c r="Z26" i="38"/>
  <c r="AA26" i="38"/>
  <c r="AB26" i="38"/>
  <c r="AC26" i="38"/>
  <c r="AD26" i="38"/>
  <c r="AE26" i="38"/>
  <c r="AF26" i="38"/>
  <c r="C27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Z27" i="38"/>
  <c r="AA27" i="38"/>
  <c r="AB27" i="38"/>
  <c r="AC27" i="38"/>
  <c r="AD27" i="38"/>
  <c r="AE27" i="38"/>
  <c r="AF27" i="38"/>
  <c r="C28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AD28" i="38"/>
  <c r="AE28" i="38"/>
  <c r="AF28" i="38"/>
  <c r="C29" i="38"/>
  <c r="D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X29" i="38"/>
  <c r="Y29" i="38"/>
  <c r="Z29" i="38"/>
  <c r="AA29" i="38"/>
  <c r="AB29" i="38"/>
  <c r="AC29" i="38"/>
  <c r="AD29" i="38"/>
  <c r="AE29" i="38"/>
  <c r="AF29" i="38"/>
  <c r="B28" i="38"/>
  <c r="B29" i="38"/>
  <c r="B27" i="38"/>
  <c r="B26" i="38"/>
  <c r="B24" i="38"/>
  <c r="B23" i="38"/>
  <c r="B22" i="38"/>
  <c r="C22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AD22" i="38"/>
  <c r="AE22" i="38"/>
  <c r="AF22" i="38"/>
  <c r="A22" i="38"/>
  <c r="B3" i="36"/>
  <c r="B4" i="36"/>
  <c r="B5" i="36"/>
  <c r="B6" i="36"/>
  <c r="B7" i="36"/>
  <c r="B8" i="36"/>
  <c r="B2" i="36"/>
  <c r="B3" i="35"/>
  <c r="B4" i="35"/>
  <c r="B5" i="35"/>
  <c r="B6" i="35"/>
  <c r="B7" i="35"/>
  <c r="B8" i="35"/>
  <c r="B2" i="35"/>
  <c r="B3" i="34"/>
  <c r="B4" i="34"/>
  <c r="B5" i="34"/>
  <c r="B6" i="34"/>
  <c r="B7" i="34"/>
  <c r="B8" i="34"/>
  <c r="B2" i="34"/>
  <c r="B3" i="33"/>
  <c r="B4" i="33"/>
  <c r="B5" i="33"/>
  <c r="B6" i="33"/>
  <c r="B7" i="33"/>
  <c r="B8" i="33"/>
  <c r="B2" i="33"/>
  <c r="B3" i="32"/>
  <c r="B4" i="32"/>
  <c r="B5" i="32"/>
  <c r="B6" i="32"/>
  <c r="B7" i="32"/>
  <c r="B8" i="32"/>
  <c r="B2" i="32"/>
  <c r="B3" i="31"/>
  <c r="B4" i="31"/>
  <c r="B5" i="31"/>
  <c r="B6" i="31"/>
  <c r="B7" i="31"/>
  <c r="B8" i="31"/>
  <c r="B2" i="31"/>
  <c r="B3" i="30"/>
  <c r="B4" i="30"/>
  <c r="B5" i="30"/>
  <c r="B6" i="30"/>
  <c r="B7" i="30"/>
  <c r="B8" i="30"/>
  <c r="B2" i="30"/>
</calcChain>
</file>

<file path=xl/sharedStrings.xml><?xml version="1.0" encoding="utf-8"?>
<sst xmlns="http://schemas.openxmlformats.org/spreadsheetml/2006/main" count="418" uniqueCount="180">
  <si>
    <t>Time (Year)</t>
  </si>
  <si>
    <t xml:space="preserve"> BAU</t>
  </si>
  <si>
    <t>Expert</t>
  </si>
  <si>
    <t>CAS</t>
  </si>
  <si>
    <t>BAU</t>
  </si>
  <si>
    <t xml:space="preserve"> Expert</t>
  </si>
  <si>
    <t xml:space="preserve">Transportation </t>
  </si>
  <si>
    <t xml:space="preserve">Electricity </t>
  </si>
  <si>
    <t>Residential Buildings</t>
  </si>
  <si>
    <t>Commercial Buildings</t>
  </si>
  <si>
    <t>Industry</t>
  </si>
  <si>
    <t xml:space="preserve">LULUCF </t>
  </si>
  <si>
    <t>Agriculture</t>
  </si>
  <si>
    <t>Water and Waste</t>
  </si>
  <si>
    <t xml:space="preserve">District Heat and Hydrogen </t>
  </si>
  <si>
    <t>Coal</t>
  </si>
  <si>
    <t>Hydro</t>
  </si>
  <si>
    <t>Natural Gas</t>
  </si>
  <si>
    <t>Solar</t>
  </si>
  <si>
    <t>Wind</t>
  </si>
  <si>
    <t>Oil</t>
  </si>
  <si>
    <t>Other (Biomass, Lignite, Waste, Nuclear, and Geothermal)</t>
  </si>
  <si>
    <t>Fossil Fuels</t>
  </si>
  <si>
    <t xml:space="preserve"> CAS</t>
  </si>
  <si>
    <t>Carbon Tax Revenue</t>
  </si>
  <si>
    <t>Fuel Tax Revenue</t>
  </si>
  <si>
    <t>Electric Vehicle  Subsidy</t>
  </si>
  <si>
    <t>Electricity Generation Subsidy</t>
  </si>
  <si>
    <t>Electricity Capacity Construction Subsidy</t>
  </si>
  <si>
    <t>Distributed Solar Subsidy</t>
  </si>
  <si>
    <t>Fuel Subsidy</t>
  </si>
  <si>
    <t>National Debt Interest</t>
  </si>
  <si>
    <t>Remainder</t>
  </si>
  <si>
    <t>Oil and gas extraction [ISIC 06]</t>
  </si>
  <si>
    <t>Food products, beverages and tobacco [ISIC 10T12]</t>
  </si>
  <si>
    <t>Real estate activities [ISIC 68]</t>
  </si>
  <si>
    <t>Coke and refined petroleum products [ISIC 19]</t>
  </si>
  <si>
    <t xml:space="preserve">Motor vehicles, trailers and semi-trailers [ISIC 29] </t>
  </si>
  <si>
    <t>Electric power generation, transmission and distribution [ISIC 351]</t>
  </si>
  <si>
    <t>Agriculture, forestry and fishing [ISIC 01T03]</t>
  </si>
  <si>
    <t xml:space="preserve"> Other business sector services [ISIC 69T82]</t>
  </si>
  <si>
    <t>Private households with employed persons [ISIC 97T98]</t>
  </si>
  <si>
    <t>Type</t>
  </si>
  <si>
    <t>EGC</t>
  </si>
  <si>
    <t>Bau</t>
  </si>
  <si>
    <t xml:space="preserve">EG </t>
  </si>
  <si>
    <t>Output Electricity Generation by Type[hard coal es] : CAS-Adjusted</t>
  </si>
  <si>
    <t>Output Electricity Generation by Type[natural gas nonpeaker es] : CAS-Adjusted</t>
  </si>
  <si>
    <t>Output Electricity Generation by Type[nuclear es] : CAS-Adjusted</t>
  </si>
  <si>
    <t>Output Electricity Generation by Type[hydro es] : CAS-Adjusted</t>
  </si>
  <si>
    <t>Output Electricity Generation by Type[onshore wind es] : CAS-Adjusted</t>
  </si>
  <si>
    <t>Output Electricity Generation by Type[solar PV es] : CAS-Adjusted</t>
  </si>
  <si>
    <t>Output Electricity Generation by Type[solar thermal es] : CAS-Adjusted</t>
  </si>
  <si>
    <t>Output Electricity Generation by Type[biomass es] : CAS-Adjusted</t>
  </si>
  <si>
    <t>Output Electricity Generation by Type[geothermal es] : CAS-Adjusted</t>
  </si>
  <si>
    <t>Output Electricity Generation by Type[petroleum es] : CAS-Adjusted</t>
  </si>
  <si>
    <t>Output Electricity Generation by Type[natural gas peaker es] : CAS-Adjusted</t>
  </si>
  <si>
    <t>Output Electricity Generation by Type[lignite es] : CAS-Adjusted</t>
  </si>
  <si>
    <t>Output Electricity Generation by Type[offshore wind es] : CAS-Adjusted</t>
  </si>
  <si>
    <t>Output Electricity Generation by Type[crude oil es] : CAS-Adjusted</t>
  </si>
  <si>
    <t>Output Electricity Generation by Type[heavy or residual fuel oil es] : CAS-Adjusted</t>
  </si>
  <si>
    <t>Output Electricity Generation by Type[municipal solid waste es] : CAS-Adjusted</t>
  </si>
  <si>
    <t>Output Distributed Solar PV Output : CAS-Adjusted</t>
  </si>
  <si>
    <t>Output Electricity Generation by Type[hard coal es] : BAU-Adjusted</t>
  </si>
  <si>
    <t>Output Electricity Generation by Type[natural gas nonpeaker es] : BAU-Adjusted</t>
  </si>
  <si>
    <t>Output Electricity Generation by Type[nuclear es] : BAU-Adjusted</t>
  </si>
  <si>
    <t>Output Electricity Generation by Type[hydro es] : BAU-Adjusted</t>
  </si>
  <si>
    <t>Output Electricity Generation by Type[onshore wind es] : BAU-Adjusted</t>
  </si>
  <si>
    <t>Output Electricity Generation by Type[solar PV es] : BAU-Adjusted</t>
  </si>
  <si>
    <t>Output Electricity Generation by Type[solar thermal es] : BAU-Adjusted</t>
  </si>
  <si>
    <t>Output Electricity Generation by Type[biomass es] : BAU-Adjusted</t>
  </si>
  <si>
    <t>Output Electricity Generation by Type[geothermal es] : BAU-Adjusted</t>
  </si>
  <si>
    <t>Output Electricity Generation by Type[petroleum es] : BAU-Adjusted</t>
  </si>
  <si>
    <t>Output Electricity Generation by Type[natural gas peaker es] : BAU-Adjusted</t>
  </si>
  <si>
    <t>Output Electricity Generation by Type[lignite es] : BAU-Adjusted</t>
  </si>
  <si>
    <t>Output Electricity Generation by Type[offshore wind es] : BAU-Adjusted</t>
  </si>
  <si>
    <t>Output Electricity Generation by Type[crude oil es] : BAU-Adjusted</t>
  </si>
  <si>
    <t>Output Electricity Generation by Type[heavy or residual fuel oil es] : BAU-Adjusted</t>
  </si>
  <si>
    <t>Output Electricity Generation by Type[municipal solid waste es] : BAU-Adjusted</t>
  </si>
  <si>
    <t>Output Distributed Solar PV Output : BAU-Adjusted</t>
  </si>
  <si>
    <t>Output Electricity Generation by Type[hard coal es] : Expert-Adjusted</t>
  </si>
  <si>
    <t>Output Electricity Generation by Type[natural gas nonpeaker es] : Expert-Adjusted</t>
  </si>
  <si>
    <t>Output Electricity Generation by Type[nuclear es] : Expert-Adjusted</t>
  </si>
  <si>
    <t>Output Electricity Generation by Type[hydro es] : Expert-Adjusted</t>
  </si>
  <si>
    <t>Output Electricity Generation by Type[onshore wind es] : Expert-Adjusted</t>
  </si>
  <si>
    <t>Output Electricity Generation by Type[solar PV es] : Expert-Adjusted</t>
  </si>
  <si>
    <t>Output Electricity Generation by Type[solar thermal es] : Expert-Adjusted</t>
  </si>
  <si>
    <t>Output Electricity Generation by Type[biomass es] : Expert-Adjusted</t>
  </si>
  <si>
    <t>Output Electricity Generation by Type[geothermal es] : Expert-Adjusted</t>
  </si>
  <si>
    <t>Output Electricity Generation by Type[petroleum es] : Expert-Adjusted</t>
  </si>
  <si>
    <t>Output Electricity Generation by Type[natural gas peaker es] : Expert-Adjusted</t>
  </si>
  <si>
    <t>Output Electricity Generation by Type[lignite es] : Expert-Adjusted</t>
  </si>
  <si>
    <t>Output Electricity Generation by Type[offshore wind es] : Expert-Adjusted</t>
  </si>
  <si>
    <t>Output Electricity Generation by Type[crude oil es] : Expert-Adjusted</t>
  </si>
  <si>
    <t>Output Electricity Generation by Type[heavy or residual fuel oil es] : Expert-Adjusted</t>
  </si>
  <si>
    <t>Output Electricity Generation by Type[municipal solid waste es] : Expert-Adjusted</t>
  </si>
  <si>
    <t>Output Distributed Solar PV Output : Expert-Adjusted</t>
  </si>
  <si>
    <t>CAS:CAPEXP</t>
  </si>
  <si>
    <t>CAS:OMEXP</t>
  </si>
  <si>
    <t>Expert: CAPEXP</t>
  </si>
  <si>
    <t>Expert: OMEXP</t>
  </si>
  <si>
    <t>CAPEXP: BAU</t>
  </si>
  <si>
    <t>OMEXP: BAU</t>
  </si>
  <si>
    <t>Coal mining [ISIC 05]</t>
  </si>
  <si>
    <t>Iron and steel mills and ferroalloy manufacturing [ISIC 241]</t>
  </si>
  <si>
    <t>Public services [ISIC 84]</t>
  </si>
  <si>
    <t xml:space="preserve">Economic Benefit from Avoided Climate Damages </t>
  </si>
  <si>
    <t>Household Savings</t>
  </si>
  <si>
    <t>Social Benefits from Emissions Reduction</t>
  </si>
  <si>
    <t>Monetized Benefit from Avoided Premature Mortality</t>
  </si>
  <si>
    <t>Total Savings</t>
  </si>
  <si>
    <t>Economic Benefit from Avoided Climate Damages</t>
  </si>
  <si>
    <t xml:space="preserve">Social Benefits from Emissions Reduction </t>
  </si>
  <si>
    <t>Total GHG-BAU</t>
  </si>
  <si>
    <t>Total GHG-Expert</t>
  </si>
  <si>
    <t>Total GHG-CAS</t>
  </si>
  <si>
    <t>Total GHGeLULUCF-BAU</t>
  </si>
  <si>
    <t>Total GHGeLULUCF-Expert</t>
  </si>
  <si>
    <t>Total GHGeLULUCF-CAS</t>
  </si>
  <si>
    <t>GHGS1BAU</t>
  </si>
  <si>
    <t>GHGS2BAU</t>
  </si>
  <si>
    <t>GHGS3BAU</t>
  </si>
  <si>
    <t>GHGS4BAU</t>
  </si>
  <si>
    <t>GHGS5BAU</t>
  </si>
  <si>
    <t>GHGS6BAU</t>
  </si>
  <si>
    <t>GHGS7BAU</t>
  </si>
  <si>
    <t>GHGS8BAU</t>
  </si>
  <si>
    <t>GHGS9BAU</t>
  </si>
  <si>
    <t>GHGS1EXPERT</t>
  </si>
  <si>
    <t>GHGS2EXPERT</t>
  </si>
  <si>
    <t>GHGS3EXPERT</t>
  </si>
  <si>
    <t>GHGS4EXPERT</t>
  </si>
  <si>
    <t>GHGS5EXPERT</t>
  </si>
  <si>
    <t>GHGS6EXPERT</t>
  </si>
  <si>
    <t>GHGS7EXPERT</t>
  </si>
  <si>
    <t>GHGS8EXPERT</t>
  </si>
  <si>
    <t>GHGS9EXPERT</t>
  </si>
  <si>
    <t>GHGS1CAS</t>
  </si>
  <si>
    <t>GHGS2CAS</t>
  </si>
  <si>
    <t>GHGS3CAS</t>
  </si>
  <si>
    <t>GHGS4CAS</t>
  </si>
  <si>
    <t>GHGS5CAS</t>
  </si>
  <si>
    <t>GHGS6CAS</t>
  </si>
  <si>
    <t>GHGS7CAS</t>
  </si>
  <si>
    <t>GHGS8CAS</t>
  </si>
  <si>
    <t>GHGS9CAS</t>
  </si>
  <si>
    <t>BAU2030</t>
  </si>
  <si>
    <t>BAU2050</t>
  </si>
  <si>
    <t>EXPERT2030</t>
  </si>
  <si>
    <t>EXPERT2050</t>
  </si>
  <si>
    <t>CAS2030</t>
  </si>
  <si>
    <t>CAS2050</t>
  </si>
  <si>
    <t>Other</t>
  </si>
  <si>
    <t>GDPBAU</t>
  </si>
  <si>
    <t>GDPEXPERT</t>
  </si>
  <si>
    <t>GDPCAS</t>
  </si>
  <si>
    <t>JOBBAU</t>
  </si>
  <si>
    <t>JOBEXPERT</t>
  </si>
  <si>
    <t>JOBCAS</t>
  </si>
  <si>
    <t>DEBTBAU</t>
  </si>
  <si>
    <t>DEBTEXPERT</t>
  </si>
  <si>
    <t>DEBTCAS</t>
  </si>
  <si>
    <t>CTREXPERT</t>
  </si>
  <si>
    <t>FTREXPERT</t>
  </si>
  <si>
    <t>EVSEXPERT</t>
  </si>
  <si>
    <t>EGSEXPERT</t>
  </si>
  <si>
    <t>ECCSEXPERT</t>
  </si>
  <si>
    <t>DSSEXPERT</t>
  </si>
  <si>
    <t>FSEXPERT</t>
  </si>
  <si>
    <t>NDIEXPERT</t>
  </si>
  <si>
    <t>REXPERT</t>
  </si>
  <si>
    <t>CTRCAS</t>
  </si>
  <si>
    <t>FTRCAS</t>
  </si>
  <si>
    <t>EVSCAS</t>
  </si>
  <si>
    <t>EGSCAS</t>
  </si>
  <si>
    <t>ECCSCAS</t>
  </si>
  <si>
    <t>DSSCAS</t>
  </si>
  <si>
    <t>FSCAS</t>
  </si>
  <si>
    <t>NDICAS</t>
  </si>
  <si>
    <t>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</si>
</sst>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1F2328"/>
      <name val="Aptos Display"/>
      <scheme val="major"/>
    </font>
    <font>
      <sz val="12"/>
      <color theme="1"/>
      <name val="Aptos Display"/>
      <scheme val="maj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11" fontId="0" fillId="2" borderId="1" xfId="0" applyNumberFormat="1" applyFill="1" applyBorder="1" applyAlignment="1">
      <alignment horizontal="left"/>
    </xf>
    <xf numFmtId="11" fontId="0" fillId="2" borderId="2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horizontal="left" vertical="top" wrapText="1"/>
    </xf>
    <xf numFmtId="0" fontId="5" fillId="7" borderId="0" xfId="0" applyFont="1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E4CF-3519-6843-B264-A11B02D84A54}">
  <dimension ref="A1"/>
  <sheetViews>
    <sheetView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9BA4-829D-A049-B850-7127B403B67A}">
  <dimension ref="A1:D32"/>
  <sheetViews>
    <sheetView workbookViewId="0">
      <selection activeCell="D1" sqref="D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2020</v>
      </c>
      <c r="B2" s="15">
        <v>551.29200000000003</v>
      </c>
      <c r="C2" s="1">
        <v>551.29200000000003</v>
      </c>
      <c r="D2" s="1">
        <v>551.29200000000003</v>
      </c>
    </row>
    <row r="3" spans="1:4" x14ac:dyDescent="0.2">
      <c r="A3" s="1">
        <v>2021</v>
      </c>
      <c r="B3" s="15">
        <v>571.18600000000004</v>
      </c>
      <c r="C3" s="1">
        <v>571.18600000000004</v>
      </c>
      <c r="D3" s="1">
        <v>571.18600000000004</v>
      </c>
    </row>
    <row r="4" spans="1:4" x14ac:dyDescent="0.2">
      <c r="A4" s="1">
        <v>2022</v>
      </c>
      <c r="B4" s="15">
        <v>587.30200000000002</v>
      </c>
      <c r="C4" s="1">
        <v>587.30200000000002</v>
      </c>
      <c r="D4" s="1">
        <v>587.30200000000002</v>
      </c>
    </row>
    <row r="5" spans="1:4" x14ac:dyDescent="0.2">
      <c r="A5" s="1">
        <v>2023</v>
      </c>
      <c r="B5" s="15">
        <v>594.024</v>
      </c>
      <c r="C5" s="1">
        <v>594.024</v>
      </c>
      <c r="D5" s="1">
        <v>594.024</v>
      </c>
    </row>
    <row r="6" spans="1:4" x14ac:dyDescent="0.2">
      <c r="A6" s="1">
        <v>2024</v>
      </c>
      <c r="B6" s="15">
        <v>602.923</v>
      </c>
      <c r="C6" s="1">
        <v>602.923</v>
      </c>
      <c r="D6" s="1">
        <v>602.923</v>
      </c>
    </row>
    <row r="7" spans="1:4" x14ac:dyDescent="0.2">
      <c r="A7" s="1">
        <v>2025</v>
      </c>
      <c r="B7" s="15">
        <v>614.923</v>
      </c>
      <c r="C7" s="1">
        <v>614.923</v>
      </c>
      <c r="D7" s="1">
        <v>614.923</v>
      </c>
    </row>
    <row r="8" spans="1:4" x14ac:dyDescent="0.2">
      <c r="A8" s="1">
        <v>2026</v>
      </c>
      <c r="B8" s="1">
        <v>624.39700000000005</v>
      </c>
      <c r="C8" s="1">
        <v>623.94100000000003</v>
      </c>
      <c r="D8" s="1">
        <v>610.11500000000001</v>
      </c>
    </row>
    <row r="9" spans="1:4" x14ac:dyDescent="0.2">
      <c r="A9" s="1">
        <v>2027</v>
      </c>
      <c r="B9" s="1">
        <v>631.59199999999998</v>
      </c>
      <c r="C9" s="1">
        <v>630.13499999999999</v>
      </c>
      <c r="D9" s="1">
        <v>600.57500000000005</v>
      </c>
    </row>
    <row r="10" spans="1:4" x14ac:dyDescent="0.2">
      <c r="A10" s="1">
        <v>2028</v>
      </c>
      <c r="B10" s="1">
        <v>639.76</v>
      </c>
      <c r="C10" s="1">
        <v>637.55499999999995</v>
      </c>
      <c r="D10" s="1">
        <v>569.32899999999995</v>
      </c>
    </row>
    <row r="11" spans="1:4" x14ac:dyDescent="0.2">
      <c r="A11" s="1">
        <v>2029</v>
      </c>
      <c r="B11" s="1">
        <v>648.69100000000003</v>
      </c>
      <c r="C11" s="1">
        <v>645.22500000000002</v>
      </c>
      <c r="D11" s="1">
        <v>553.22</v>
      </c>
    </row>
    <row r="12" spans="1:4" x14ac:dyDescent="0.2">
      <c r="A12" s="1">
        <v>2030</v>
      </c>
      <c r="B12" s="1">
        <v>659.61800000000005</v>
      </c>
      <c r="C12" s="1">
        <v>654.99</v>
      </c>
      <c r="D12" s="1">
        <v>543.00099999999998</v>
      </c>
    </row>
    <row r="13" spans="1:4" x14ac:dyDescent="0.2">
      <c r="A13" s="1">
        <v>2031</v>
      </c>
      <c r="B13" s="1">
        <v>668.66899999999998</v>
      </c>
      <c r="C13" s="1">
        <v>662.726</v>
      </c>
      <c r="D13" s="1">
        <v>535.76</v>
      </c>
    </row>
    <row r="14" spans="1:4" x14ac:dyDescent="0.2">
      <c r="A14" s="1">
        <v>2032</v>
      </c>
      <c r="B14" s="1">
        <v>676.8</v>
      </c>
      <c r="C14" s="1">
        <v>669.68299999999999</v>
      </c>
      <c r="D14" s="1">
        <v>530.88</v>
      </c>
    </row>
    <row r="15" spans="1:4" x14ac:dyDescent="0.2">
      <c r="A15" s="1">
        <v>2033</v>
      </c>
      <c r="B15" s="1">
        <v>686.69600000000003</v>
      </c>
      <c r="C15" s="1">
        <v>677.72699999999998</v>
      </c>
      <c r="D15" s="1">
        <v>513.48900000000003</v>
      </c>
    </row>
    <row r="16" spans="1:4" x14ac:dyDescent="0.2">
      <c r="A16" s="1">
        <v>2034</v>
      </c>
      <c r="B16" s="1">
        <v>695.22</v>
      </c>
      <c r="C16" s="1">
        <v>684.47699999999998</v>
      </c>
      <c r="D16" s="1">
        <v>507.35</v>
      </c>
    </row>
    <row r="17" spans="1:4" x14ac:dyDescent="0.2">
      <c r="A17" s="1">
        <v>2035</v>
      </c>
      <c r="B17" s="1">
        <v>704.08299999999997</v>
      </c>
      <c r="C17" s="1">
        <v>691.50099999999998</v>
      </c>
      <c r="D17" s="1">
        <v>500.18700000000001</v>
      </c>
    </row>
    <row r="18" spans="1:4" x14ac:dyDescent="0.2">
      <c r="A18" s="1">
        <v>2036</v>
      </c>
      <c r="B18" s="1">
        <v>712.75099999999998</v>
      </c>
      <c r="C18" s="1">
        <v>698.36</v>
      </c>
      <c r="D18" s="1">
        <v>489.22699999999998</v>
      </c>
    </row>
    <row r="19" spans="1:4" x14ac:dyDescent="0.2">
      <c r="A19" s="1">
        <v>2037</v>
      </c>
      <c r="B19" s="1">
        <v>721.95100000000002</v>
      </c>
      <c r="C19" s="1">
        <v>705.11300000000006</v>
      </c>
      <c r="D19" s="1">
        <v>476.99900000000002</v>
      </c>
    </row>
    <row r="20" spans="1:4" x14ac:dyDescent="0.2">
      <c r="A20" s="1">
        <v>2038</v>
      </c>
      <c r="B20" s="1">
        <v>731.22299999999996</v>
      </c>
      <c r="C20" s="1">
        <v>711.70799999999997</v>
      </c>
      <c r="D20" s="1">
        <v>460.87099999999998</v>
      </c>
    </row>
    <row r="21" spans="1:4" x14ac:dyDescent="0.2">
      <c r="A21" s="1">
        <v>2039</v>
      </c>
      <c r="B21" s="1">
        <v>740.25400000000002</v>
      </c>
      <c r="C21" s="1">
        <v>717.89099999999996</v>
      </c>
      <c r="D21" s="1">
        <v>445.53800000000001</v>
      </c>
    </row>
    <row r="22" spans="1:4" x14ac:dyDescent="0.2">
      <c r="A22" s="1">
        <v>2040</v>
      </c>
      <c r="B22" s="1">
        <v>751.04</v>
      </c>
      <c r="C22" s="1">
        <v>725.54700000000003</v>
      </c>
      <c r="D22" s="1">
        <v>428.86399999999998</v>
      </c>
    </row>
    <row r="23" spans="1:4" x14ac:dyDescent="0.2">
      <c r="A23" s="1">
        <v>2041</v>
      </c>
      <c r="B23" s="1">
        <v>762.51599999999996</v>
      </c>
      <c r="C23" s="1">
        <v>733.62</v>
      </c>
      <c r="D23" s="1">
        <v>408.71899999999999</v>
      </c>
    </row>
    <row r="24" spans="1:4" x14ac:dyDescent="0.2">
      <c r="A24" s="1">
        <v>2042</v>
      </c>
      <c r="B24" s="1">
        <v>773.88</v>
      </c>
      <c r="C24" s="1">
        <v>741.47</v>
      </c>
      <c r="D24" s="1">
        <v>388.07499999999999</v>
      </c>
    </row>
    <row r="25" spans="1:4" x14ac:dyDescent="0.2">
      <c r="A25" s="1">
        <v>2043</v>
      </c>
      <c r="B25" s="1">
        <v>784.27200000000005</v>
      </c>
      <c r="C25" s="1">
        <v>747.904</v>
      </c>
      <c r="D25" s="1">
        <v>366.45800000000003</v>
      </c>
    </row>
    <row r="26" spans="1:4" x14ac:dyDescent="0.2">
      <c r="A26" s="1">
        <v>2044</v>
      </c>
      <c r="B26" s="1">
        <v>797.16399999999999</v>
      </c>
      <c r="C26" s="1">
        <v>756.74599999999998</v>
      </c>
      <c r="D26" s="1">
        <v>343.50200000000001</v>
      </c>
    </row>
    <row r="27" spans="1:4" x14ac:dyDescent="0.2">
      <c r="A27" s="1">
        <v>2045</v>
      </c>
      <c r="B27" s="1">
        <v>809.54899999999998</v>
      </c>
      <c r="C27" s="1">
        <v>764.59699999999998</v>
      </c>
      <c r="D27" s="1">
        <v>320.61</v>
      </c>
    </row>
    <row r="28" spans="1:4" x14ac:dyDescent="0.2">
      <c r="A28" s="1">
        <v>2046</v>
      </c>
      <c r="B28" s="1">
        <v>822.31899999999996</v>
      </c>
      <c r="C28" s="1">
        <v>735.64700000000005</v>
      </c>
      <c r="D28" s="1">
        <v>296.64299999999997</v>
      </c>
    </row>
    <row r="29" spans="1:4" x14ac:dyDescent="0.2">
      <c r="A29" s="1">
        <v>2047</v>
      </c>
      <c r="B29" s="1">
        <v>834.62699999999995</v>
      </c>
      <c r="C29" s="1">
        <v>742.26300000000003</v>
      </c>
      <c r="D29" s="1">
        <v>274.28300000000002</v>
      </c>
    </row>
    <row r="30" spans="1:4" x14ac:dyDescent="0.2">
      <c r="A30" s="1">
        <v>2048</v>
      </c>
      <c r="B30" s="1">
        <v>848.11</v>
      </c>
      <c r="C30" s="1">
        <v>749.8</v>
      </c>
      <c r="D30" s="1">
        <v>252.86600000000001</v>
      </c>
    </row>
    <row r="31" spans="1:4" x14ac:dyDescent="0.2">
      <c r="A31" s="1">
        <v>2049</v>
      </c>
      <c r="B31" s="1">
        <v>862.43700000000001</v>
      </c>
      <c r="C31" s="1">
        <v>757.99199999999996</v>
      </c>
      <c r="D31" s="1">
        <v>231.63300000000001</v>
      </c>
    </row>
    <row r="32" spans="1:4" x14ac:dyDescent="0.2">
      <c r="A32" s="1">
        <v>2050</v>
      </c>
      <c r="B32" s="1">
        <v>878.09400000000005</v>
      </c>
      <c r="C32" s="1">
        <v>767.13499999999999</v>
      </c>
      <c r="D32" s="1">
        <v>199.88499999999999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19CA-60AD-EF4A-AADB-DA3F7EDE9872}">
  <dimension ref="A1:D32"/>
  <sheetViews>
    <sheetView workbookViewId="0">
      <selection activeCell="K36" sqref="K3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4</v>
      </c>
      <c r="C1" s="1" t="s">
        <v>5</v>
      </c>
      <c r="D1" s="1" t="s">
        <v>3</v>
      </c>
    </row>
    <row r="2" spans="1:4" x14ac:dyDescent="0.2">
      <c r="A2" s="1">
        <v>2020</v>
      </c>
      <c r="B2" s="1">
        <v>533.67600000000004</v>
      </c>
      <c r="C2" s="1">
        <v>533.67600000000004</v>
      </c>
      <c r="D2" s="1">
        <v>533.67600000000004</v>
      </c>
    </row>
    <row r="3" spans="1:4" x14ac:dyDescent="0.2">
      <c r="A3" s="1">
        <v>2021</v>
      </c>
      <c r="B3" s="1">
        <v>553.66700000000003</v>
      </c>
      <c r="C3" s="1">
        <v>553.66700000000003</v>
      </c>
      <c r="D3" s="1">
        <v>553.66700000000003</v>
      </c>
    </row>
    <row r="4" spans="1:4" x14ac:dyDescent="0.2">
      <c r="A4" s="1">
        <v>2022</v>
      </c>
      <c r="B4" s="1">
        <v>569.98</v>
      </c>
      <c r="C4" s="1">
        <v>569.98</v>
      </c>
      <c r="D4" s="1">
        <v>569.98</v>
      </c>
    </row>
    <row r="5" spans="1:4" x14ac:dyDescent="0.2">
      <c r="A5" s="1">
        <v>2023</v>
      </c>
      <c r="B5" s="1">
        <v>576.79899999999998</v>
      </c>
      <c r="C5" s="1">
        <v>576.79899999999998</v>
      </c>
      <c r="D5" s="1">
        <v>576.79899999999998</v>
      </c>
    </row>
    <row r="6" spans="1:4" x14ac:dyDescent="0.2">
      <c r="A6" s="1">
        <v>2024</v>
      </c>
      <c r="B6" s="1">
        <v>585.89400000000001</v>
      </c>
      <c r="C6" s="1">
        <v>585.89400000000001</v>
      </c>
      <c r="D6" s="1">
        <v>585.89400000000001</v>
      </c>
    </row>
    <row r="7" spans="1:4" x14ac:dyDescent="0.2">
      <c r="A7" s="1">
        <v>2025</v>
      </c>
      <c r="B7" s="1">
        <v>598.09100000000001</v>
      </c>
      <c r="C7" s="1">
        <v>598.09100000000001</v>
      </c>
      <c r="D7" s="1">
        <v>598.09100000000001</v>
      </c>
    </row>
    <row r="8" spans="1:4" x14ac:dyDescent="0.2">
      <c r="A8" s="1">
        <v>2026</v>
      </c>
      <c r="B8" s="1">
        <v>607.67200000000003</v>
      </c>
      <c r="C8" s="1">
        <v>607.31100000000004</v>
      </c>
      <c r="D8" s="1">
        <v>593.83299999999997</v>
      </c>
    </row>
    <row r="9" spans="1:4" x14ac:dyDescent="0.2">
      <c r="A9" s="1">
        <v>2027</v>
      </c>
      <c r="B9" s="1">
        <v>615.01900000000001</v>
      </c>
      <c r="C9" s="1">
        <v>613.84799999999996</v>
      </c>
      <c r="D9" s="1">
        <v>585.23299999999995</v>
      </c>
    </row>
    <row r="10" spans="1:4" x14ac:dyDescent="0.2">
      <c r="A10" s="1">
        <v>2028</v>
      </c>
      <c r="B10" s="1">
        <v>623.33799999999997</v>
      </c>
      <c r="C10" s="1">
        <v>621.70699999999999</v>
      </c>
      <c r="D10" s="1">
        <v>555.11500000000001</v>
      </c>
    </row>
    <row r="11" spans="1:4" x14ac:dyDescent="0.2">
      <c r="A11" s="1">
        <v>2029</v>
      </c>
      <c r="B11" s="1">
        <v>632.42100000000005</v>
      </c>
      <c r="C11" s="1">
        <v>629.91200000000003</v>
      </c>
      <c r="D11" s="1">
        <v>540.52300000000002</v>
      </c>
    </row>
    <row r="12" spans="1:4" x14ac:dyDescent="0.2">
      <c r="A12" s="1">
        <v>2030</v>
      </c>
      <c r="B12" s="1">
        <v>643.5</v>
      </c>
      <c r="C12" s="1">
        <v>640.30700000000002</v>
      </c>
      <c r="D12" s="1">
        <v>532.22400000000005</v>
      </c>
    </row>
    <row r="13" spans="1:4" x14ac:dyDescent="0.2">
      <c r="A13" s="1">
        <v>2031</v>
      </c>
      <c r="B13" s="1">
        <v>652.70299999999997</v>
      </c>
      <c r="C13" s="1">
        <v>648.76900000000001</v>
      </c>
      <c r="D13" s="1">
        <v>526.86099999999999</v>
      </c>
    </row>
    <row r="14" spans="1:4" x14ac:dyDescent="0.2">
      <c r="A14" s="1">
        <v>2032</v>
      </c>
      <c r="B14" s="1">
        <v>660.98599999999999</v>
      </c>
      <c r="C14" s="1">
        <v>656.54700000000003</v>
      </c>
      <c r="D14" s="1">
        <v>524.26400000000001</v>
      </c>
    </row>
    <row r="15" spans="1:4" x14ac:dyDescent="0.2">
      <c r="A15" s="1">
        <v>2033</v>
      </c>
      <c r="B15" s="1">
        <v>671.03399999999999</v>
      </c>
      <c r="C15" s="1">
        <v>665.50900000000001</v>
      </c>
      <c r="D15" s="1">
        <v>509.54399999999998</v>
      </c>
    </row>
    <row r="16" spans="1:4" x14ac:dyDescent="0.2">
      <c r="A16" s="1">
        <v>2034</v>
      </c>
      <c r="B16" s="1">
        <v>679.70899999999995</v>
      </c>
      <c r="C16" s="1">
        <v>673.27200000000005</v>
      </c>
      <c r="D16" s="1">
        <v>506.36399999999998</v>
      </c>
    </row>
    <row r="17" spans="1:4" x14ac:dyDescent="0.2">
      <c r="A17" s="1">
        <v>2035</v>
      </c>
      <c r="B17" s="1">
        <v>688.72500000000002</v>
      </c>
      <c r="C17" s="1">
        <v>681.404</v>
      </c>
      <c r="D17" s="1">
        <v>502.34899999999999</v>
      </c>
    </row>
    <row r="18" spans="1:4" x14ac:dyDescent="0.2">
      <c r="A18" s="1">
        <v>2036</v>
      </c>
      <c r="B18" s="1">
        <v>697.54399999999998</v>
      </c>
      <c r="C18" s="1">
        <v>689.46699999999998</v>
      </c>
      <c r="D18" s="1">
        <v>494.92500000000001</v>
      </c>
    </row>
    <row r="19" spans="1:4" x14ac:dyDescent="0.2">
      <c r="A19" s="1">
        <v>2037</v>
      </c>
      <c r="B19" s="1">
        <v>706.89700000000005</v>
      </c>
      <c r="C19" s="1">
        <v>697.52</v>
      </c>
      <c r="D19" s="1">
        <v>486.42200000000003</v>
      </c>
    </row>
    <row r="20" spans="1:4" x14ac:dyDescent="0.2">
      <c r="A20" s="1">
        <v>2038</v>
      </c>
      <c r="B20" s="1">
        <v>716.32</v>
      </c>
      <c r="C20" s="1">
        <v>705.51</v>
      </c>
      <c r="D20" s="1">
        <v>474.40800000000002</v>
      </c>
    </row>
    <row r="21" spans="1:4" x14ac:dyDescent="0.2">
      <c r="A21" s="1">
        <v>2039</v>
      </c>
      <c r="B21" s="1">
        <v>725.50300000000004</v>
      </c>
      <c r="C21" s="1">
        <v>713.18499999999995</v>
      </c>
      <c r="D21" s="1">
        <v>463.37700000000001</v>
      </c>
    </row>
    <row r="22" spans="1:4" x14ac:dyDescent="0.2">
      <c r="A22" s="1">
        <v>2040</v>
      </c>
      <c r="B22" s="1">
        <v>736.44100000000003</v>
      </c>
      <c r="C22" s="1">
        <v>722.42700000000002</v>
      </c>
      <c r="D22" s="1">
        <v>451.39299999999997</v>
      </c>
    </row>
    <row r="23" spans="1:4" x14ac:dyDescent="0.2">
      <c r="A23" s="1">
        <v>2041</v>
      </c>
      <c r="B23" s="1">
        <v>748.06799999999998</v>
      </c>
      <c r="C23" s="1">
        <v>732.18299999999999</v>
      </c>
      <c r="D23" s="1">
        <v>436.12799999999999</v>
      </c>
    </row>
    <row r="24" spans="1:4" x14ac:dyDescent="0.2">
      <c r="A24" s="1">
        <v>2042</v>
      </c>
      <c r="B24" s="1">
        <v>759.58500000000004</v>
      </c>
      <c r="C24" s="1">
        <v>741.81200000000001</v>
      </c>
      <c r="D24" s="1">
        <v>420.75099999999998</v>
      </c>
    </row>
    <row r="25" spans="1:4" x14ac:dyDescent="0.2">
      <c r="A25" s="1">
        <v>2043</v>
      </c>
      <c r="B25" s="1">
        <v>770.12900000000002</v>
      </c>
      <c r="C25" s="1">
        <v>750.12</v>
      </c>
      <c r="D25" s="1">
        <v>404.59</v>
      </c>
    </row>
    <row r="26" spans="1:4" x14ac:dyDescent="0.2">
      <c r="A26" s="1">
        <v>2044</v>
      </c>
      <c r="B26" s="1">
        <v>783.17200000000003</v>
      </c>
      <c r="C26" s="1">
        <v>760.93100000000004</v>
      </c>
      <c r="D26" s="1">
        <v>387.47899999999998</v>
      </c>
    </row>
    <row r="27" spans="1:4" x14ac:dyDescent="0.2">
      <c r="A27" s="1">
        <v>2045</v>
      </c>
      <c r="B27" s="1">
        <v>795.70899999999995</v>
      </c>
      <c r="C27" s="1">
        <v>770.84799999999996</v>
      </c>
      <c r="D27" s="1">
        <v>370.72</v>
      </c>
    </row>
    <row r="28" spans="1:4" x14ac:dyDescent="0.2">
      <c r="A28" s="1">
        <v>2046</v>
      </c>
      <c r="B28" s="1">
        <v>808.63099999999997</v>
      </c>
      <c r="C28" s="1">
        <v>744.05799999999999</v>
      </c>
      <c r="D28" s="1">
        <v>353.07600000000002</v>
      </c>
    </row>
    <row r="29" spans="1:4" x14ac:dyDescent="0.2">
      <c r="A29" s="1">
        <v>2047</v>
      </c>
      <c r="B29" s="1">
        <v>821.09100000000001</v>
      </c>
      <c r="C29" s="1">
        <v>752.93100000000004</v>
      </c>
      <c r="D29" s="1">
        <v>337.42599999999999</v>
      </c>
    </row>
    <row r="30" spans="1:4" x14ac:dyDescent="0.2">
      <c r="A30" s="1">
        <v>2048</v>
      </c>
      <c r="B30" s="1">
        <v>834.726</v>
      </c>
      <c r="C30" s="1">
        <v>762.82100000000003</v>
      </c>
      <c r="D30" s="1">
        <v>322.90899999999999</v>
      </c>
    </row>
    <row r="31" spans="1:4" x14ac:dyDescent="0.2">
      <c r="A31" s="1">
        <v>2049</v>
      </c>
      <c r="B31" s="1">
        <v>849.20399999999995</v>
      </c>
      <c r="C31" s="1">
        <v>773.46</v>
      </c>
      <c r="D31" s="1">
        <v>308.96199999999999</v>
      </c>
    </row>
    <row r="32" spans="1:4" x14ac:dyDescent="0.2">
      <c r="A32" s="1">
        <v>2050</v>
      </c>
      <c r="B32" s="1">
        <v>865.01400000000001</v>
      </c>
      <c r="C32" s="1">
        <v>785.14700000000005</v>
      </c>
      <c r="D32" s="1">
        <v>284.09100000000001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FB7E-460A-E04E-8361-B41E93800BF1}">
  <dimension ref="A1:J32"/>
  <sheetViews>
    <sheetView workbookViewId="0">
      <selection activeCell="B1" sqref="B1"/>
    </sheetView>
  </sheetViews>
  <sheetFormatPr baseColWidth="10" defaultRowHeight="16" x14ac:dyDescent="0.2"/>
  <sheetData>
    <row r="1" spans="1:10" s="12" customFormat="1" x14ac:dyDescent="0.2">
      <c r="A1" s="13" t="s">
        <v>0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14</v>
      </c>
      <c r="H1" s="13" t="s">
        <v>11</v>
      </c>
      <c r="I1" s="13" t="s">
        <v>12</v>
      </c>
      <c r="J1" s="13" t="s">
        <v>13</v>
      </c>
    </row>
    <row r="2" spans="1:10" x14ac:dyDescent="0.2">
      <c r="A2" s="1">
        <v>2020</v>
      </c>
      <c r="B2" s="15">
        <v>149.83799999999999</v>
      </c>
      <c r="C2" s="15">
        <v>109.61199999999999</v>
      </c>
      <c r="D2" s="15">
        <v>16.5474</v>
      </c>
      <c r="E2" s="15">
        <v>4.1658600000000003</v>
      </c>
      <c r="F2" s="15">
        <v>124.17</v>
      </c>
      <c r="G2" s="1">
        <v>0</v>
      </c>
      <c r="H2" s="15">
        <v>17.6158</v>
      </c>
      <c r="I2" s="15">
        <v>79.9983</v>
      </c>
      <c r="J2" s="15">
        <v>49.344499999999996</v>
      </c>
    </row>
    <row r="3" spans="1:10" x14ac:dyDescent="0.2">
      <c r="A3" s="1">
        <v>2021</v>
      </c>
      <c r="B3" s="15">
        <v>153.60499999999999</v>
      </c>
      <c r="C3" s="15">
        <v>118.194</v>
      </c>
      <c r="D3" s="15">
        <v>16.546900000000001</v>
      </c>
      <c r="E3" s="15">
        <v>4.18492</v>
      </c>
      <c r="F3" s="15">
        <v>130.483</v>
      </c>
      <c r="G3" s="3">
        <v>5.2299999999999999E-6</v>
      </c>
      <c r="H3" s="15">
        <v>17.519300000000001</v>
      </c>
      <c r="I3" s="15">
        <v>80.494</v>
      </c>
      <c r="J3" s="15">
        <v>50.158700000000003</v>
      </c>
    </row>
    <row r="4" spans="1:10" x14ac:dyDescent="0.2">
      <c r="A4" s="1">
        <v>2022</v>
      </c>
      <c r="B4" s="15">
        <v>157.84399999999999</v>
      </c>
      <c r="C4" s="15">
        <v>126.295</v>
      </c>
      <c r="D4" s="15">
        <v>16.532800000000002</v>
      </c>
      <c r="E4" s="15">
        <v>4.1991399999999999</v>
      </c>
      <c r="F4" s="15">
        <v>133.136</v>
      </c>
      <c r="G4" s="3">
        <v>1.0417999999999999E-5</v>
      </c>
      <c r="H4" s="15">
        <v>17.322299999999998</v>
      </c>
      <c r="I4" s="15">
        <v>80.972499999999997</v>
      </c>
      <c r="J4" s="15">
        <v>51.000799999999998</v>
      </c>
    </row>
    <row r="5" spans="1:10" x14ac:dyDescent="0.2">
      <c r="A5" s="1">
        <v>2023</v>
      </c>
      <c r="B5" s="15">
        <v>162.54300000000001</v>
      </c>
      <c r="C5" s="15">
        <v>124.52</v>
      </c>
      <c r="D5" s="15">
        <v>16.506</v>
      </c>
      <c r="E5" s="15">
        <v>4.20967</v>
      </c>
      <c r="F5" s="15">
        <v>135.75700000000001</v>
      </c>
      <c r="G5" s="3">
        <v>1.5707999999999999E-5</v>
      </c>
      <c r="H5" s="15">
        <v>17.2256</v>
      </c>
      <c r="I5" s="15">
        <v>81.448700000000002</v>
      </c>
      <c r="J5" s="15">
        <v>51.814999999999998</v>
      </c>
    </row>
    <row r="6" spans="1:10" x14ac:dyDescent="0.2">
      <c r="A6" s="1">
        <v>2024</v>
      </c>
      <c r="B6" s="15">
        <v>167.322</v>
      </c>
      <c r="C6" s="15">
        <v>124.958</v>
      </c>
      <c r="D6" s="15">
        <v>16.4862</v>
      </c>
      <c r="E6" s="15">
        <v>4.2210700000000001</v>
      </c>
      <c r="F6" s="15">
        <v>138.35300000000001</v>
      </c>
      <c r="G6" s="3">
        <v>2.0934E-5</v>
      </c>
      <c r="H6" s="15">
        <v>17.029199999999999</v>
      </c>
      <c r="I6" s="15">
        <v>81.924599999999998</v>
      </c>
      <c r="J6" s="15">
        <v>52.628999999999998</v>
      </c>
    </row>
    <row r="7" spans="1:10" x14ac:dyDescent="0.2">
      <c r="A7" s="1">
        <v>2025</v>
      </c>
      <c r="B7" s="15">
        <v>172.32</v>
      </c>
      <c r="C7" s="15">
        <v>128.29300000000001</v>
      </c>
      <c r="D7" s="15">
        <v>16.468299999999999</v>
      </c>
      <c r="E7" s="15">
        <v>4.2316000000000003</v>
      </c>
      <c r="F7" s="15">
        <v>140.93299999999999</v>
      </c>
      <c r="G7" s="3">
        <v>4.2048000000000001E-5</v>
      </c>
      <c r="H7" s="15">
        <v>16.8325</v>
      </c>
      <c r="I7" s="15">
        <v>82.402500000000003</v>
      </c>
      <c r="J7" s="15">
        <v>53.442999999999998</v>
      </c>
    </row>
    <row r="8" spans="1:10" x14ac:dyDescent="0.2">
      <c r="A8" s="1">
        <v>2026</v>
      </c>
      <c r="B8" s="15">
        <v>177.392</v>
      </c>
      <c r="C8" s="15">
        <v>126.825</v>
      </c>
      <c r="D8" s="15">
        <v>16.454799999999999</v>
      </c>
      <c r="E8" s="15">
        <v>4.2436199999999999</v>
      </c>
      <c r="F8" s="15">
        <v>142.916</v>
      </c>
      <c r="G8" s="3">
        <v>6.3239999999999998E-5</v>
      </c>
      <c r="H8" s="15">
        <v>16.735700000000001</v>
      </c>
      <c r="I8" s="15">
        <v>82.824200000000005</v>
      </c>
      <c r="J8" s="15">
        <v>54.225999999999999</v>
      </c>
    </row>
    <row r="9" spans="1:10" x14ac:dyDescent="0.2">
      <c r="A9" s="1">
        <v>2027</v>
      </c>
      <c r="B9" s="15">
        <v>182.71600000000001</v>
      </c>
      <c r="C9" s="15">
        <v>125.095</v>
      </c>
      <c r="D9" s="15">
        <v>16.447299999999998</v>
      </c>
      <c r="E9" s="15">
        <v>4.2542999999999997</v>
      </c>
      <c r="F9" s="15">
        <v>145.43600000000001</v>
      </c>
      <c r="G9" s="1">
        <v>1.00598E-4</v>
      </c>
      <c r="H9" s="15">
        <v>16.539000000000001</v>
      </c>
      <c r="I9" s="15">
        <v>83.217799999999997</v>
      </c>
      <c r="J9" s="15">
        <v>54.980899999999998</v>
      </c>
    </row>
    <row r="10" spans="1:10" x14ac:dyDescent="0.2">
      <c r="A10" s="1">
        <v>2028</v>
      </c>
      <c r="B10" s="15">
        <v>188.315</v>
      </c>
      <c r="C10" s="15">
        <v>124.49299999999999</v>
      </c>
      <c r="D10" s="15">
        <v>16.436599999999999</v>
      </c>
      <c r="E10" s="15">
        <v>4.2663200000000003</v>
      </c>
      <c r="F10" s="15">
        <v>147.30099999999999</v>
      </c>
      <c r="G10" s="1">
        <v>1.4940999999999999E-4</v>
      </c>
      <c r="H10" s="15">
        <v>16.442599999999999</v>
      </c>
      <c r="I10" s="15">
        <v>83.612899999999996</v>
      </c>
      <c r="J10" s="15">
        <v>55.763399999999997</v>
      </c>
    </row>
    <row r="11" spans="1:10" x14ac:dyDescent="0.2">
      <c r="A11" s="1">
        <v>2029</v>
      </c>
      <c r="B11" s="15">
        <v>194.22200000000001</v>
      </c>
      <c r="C11" s="15">
        <v>124.45</v>
      </c>
      <c r="D11" s="15">
        <v>16.442499999999999</v>
      </c>
      <c r="E11" s="15">
        <v>4.2776199999999998</v>
      </c>
      <c r="F11" s="15">
        <v>149.20099999999999</v>
      </c>
      <c r="G11" s="1">
        <v>2.26214E-4</v>
      </c>
      <c r="H11" s="15">
        <v>16.2456</v>
      </c>
      <c r="I11" s="15">
        <v>84.034000000000006</v>
      </c>
      <c r="J11" s="15">
        <v>56.5458</v>
      </c>
    </row>
    <row r="12" spans="1:10" x14ac:dyDescent="0.2">
      <c r="A12" s="1">
        <v>2030</v>
      </c>
      <c r="B12" s="15">
        <v>200.13399999999999</v>
      </c>
      <c r="C12" s="15">
        <v>126.496</v>
      </c>
      <c r="D12" s="15">
        <v>16.434699999999999</v>
      </c>
      <c r="E12" s="15">
        <v>4.2889200000000001</v>
      </c>
      <c r="F12" s="15">
        <v>151.107</v>
      </c>
      <c r="G12" s="1">
        <v>3.35664E-4</v>
      </c>
      <c r="H12" s="15">
        <v>16.149100000000001</v>
      </c>
      <c r="I12" s="15">
        <v>84.428700000000006</v>
      </c>
      <c r="J12" s="15">
        <v>57.328200000000002</v>
      </c>
    </row>
    <row r="13" spans="1:10" x14ac:dyDescent="0.2">
      <c r="A13" s="1">
        <v>2031</v>
      </c>
      <c r="B13" s="15">
        <v>206.04499999999999</v>
      </c>
      <c r="C13" s="15">
        <v>127.32299999999999</v>
      </c>
      <c r="D13" s="15">
        <v>16.3948</v>
      </c>
      <c r="E13" s="15">
        <v>4.2875300000000003</v>
      </c>
      <c r="F13" s="15">
        <v>152.245</v>
      </c>
      <c r="G13" s="1">
        <v>4.8409199999999999E-4</v>
      </c>
      <c r="H13" s="15">
        <v>15.952400000000001</v>
      </c>
      <c r="I13" s="15">
        <v>84.7136</v>
      </c>
      <c r="J13" s="15">
        <v>58.051600000000001</v>
      </c>
    </row>
    <row r="14" spans="1:10" x14ac:dyDescent="0.2">
      <c r="A14" s="1">
        <v>2032</v>
      </c>
      <c r="B14" s="15">
        <v>211.87299999999999</v>
      </c>
      <c r="C14" s="15">
        <v>127.491</v>
      </c>
      <c r="D14" s="15">
        <v>16.4177</v>
      </c>
      <c r="E14" s="15">
        <v>4.3518800000000004</v>
      </c>
      <c r="F14" s="15">
        <v>153.392</v>
      </c>
      <c r="G14" s="1">
        <v>6.7671599999999995E-4</v>
      </c>
      <c r="H14" s="15">
        <v>15.855399999999999</v>
      </c>
      <c r="I14" s="15">
        <v>84.999499999999998</v>
      </c>
      <c r="J14" s="15">
        <v>58.802599999999998</v>
      </c>
    </row>
    <row r="15" spans="1:10" x14ac:dyDescent="0.2">
      <c r="A15" s="1">
        <v>2033</v>
      </c>
      <c r="B15" s="15">
        <v>217.75200000000001</v>
      </c>
      <c r="C15" s="15">
        <v>129.25299999999999</v>
      </c>
      <c r="D15" s="15">
        <v>16.436499999999999</v>
      </c>
      <c r="E15" s="15">
        <v>4.4170100000000003</v>
      </c>
      <c r="F15" s="15">
        <v>154.541</v>
      </c>
      <c r="G15" s="1">
        <v>9.1257199999999995E-4</v>
      </c>
      <c r="H15" s="15">
        <v>15.659000000000001</v>
      </c>
      <c r="I15" s="15">
        <v>85.284999999999997</v>
      </c>
      <c r="J15" s="15">
        <v>59.525399999999998</v>
      </c>
    </row>
    <row r="16" spans="1:10" x14ac:dyDescent="0.2">
      <c r="A16" s="1">
        <v>2034</v>
      </c>
      <c r="B16" s="15">
        <v>223.68199999999999</v>
      </c>
      <c r="C16" s="15">
        <v>129.69900000000001</v>
      </c>
      <c r="D16" s="15">
        <v>16.456</v>
      </c>
      <c r="E16" s="15">
        <v>4.4840299999999997</v>
      </c>
      <c r="F16" s="15">
        <v>155.685</v>
      </c>
      <c r="G16" s="1">
        <v>1.21451E-3</v>
      </c>
      <c r="H16" s="15">
        <v>15.462199999999999</v>
      </c>
      <c r="I16" s="15">
        <v>85.571100000000001</v>
      </c>
      <c r="J16" s="15">
        <v>60.276299999999999</v>
      </c>
    </row>
    <row r="17" spans="1:10" x14ac:dyDescent="0.2">
      <c r="A17" s="1">
        <v>2035</v>
      </c>
      <c r="B17" s="15">
        <v>229.78399999999999</v>
      </c>
      <c r="C17" s="15">
        <v>129.815</v>
      </c>
      <c r="D17" s="15">
        <v>16.4831</v>
      </c>
      <c r="E17" s="15">
        <v>4.5512499999999996</v>
      </c>
      <c r="F17" s="15">
        <v>157.25800000000001</v>
      </c>
      <c r="G17" s="1">
        <v>1.57734E-3</v>
      </c>
      <c r="H17" s="15">
        <v>15.365500000000001</v>
      </c>
      <c r="I17" s="15">
        <v>85.855400000000003</v>
      </c>
      <c r="J17" s="15">
        <v>60.998600000000003</v>
      </c>
    </row>
    <row r="18" spans="1:10" x14ac:dyDescent="0.2">
      <c r="A18" s="1">
        <v>2036</v>
      </c>
      <c r="B18" s="15">
        <v>235.916</v>
      </c>
      <c r="C18" s="15">
        <v>128.81100000000001</v>
      </c>
      <c r="D18" s="15">
        <v>16.504799999999999</v>
      </c>
      <c r="E18" s="15">
        <v>4.6192000000000002</v>
      </c>
      <c r="F18" s="15">
        <v>159.48599999999999</v>
      </c>
      <c r="G18" s="1">
        <v>2.0056200000000001E-3</v>
      </c>
      <c r="H18" s="15">
        <v>15.168799999999999</v>
      </c>
      <c r="I18" s="15">
        <v>86.085899999999995</v>
      </c>
      <c r="J18" s="15">
        <v>61.718200000000003</v>
      </c>
    </row>
    <row r="19" spans="1:10" x14ac:dyDescent="0.2">
      <c r="A19" s="1">
        <v>2037</v>
      </c>
      <c r="B19" s="15">
        <v>241.75800000000001</v>
      </c>
      <c r="C19" s="15">
        <v>129.32300000000001</v>
      </c>
      <c r="D19" s="15">
        <v>16.533899999999999</v>
      </c>
      <c r="E19" s="15">
        <v>4.6885399999999997</v>
      </c>
      <c r="F19" s="15">
        <v>161.70599999999999</v>
      </c>
      <c r="G19" s="1">
        <v>2.5380099999999998E-3</v>
      </c>
      <c r="H19" s="15">
        <v>15.0724</v>
      </c>
      <c r="I19" s="15">
        <v>86.315100000000001</v>
      </c>
      <c r="J19" s="15">
        <v>62.4375</v>
      </c>
    </row>
    <row r="20" spans="1:10" x14ac:dyDescent="0.2">
      <c r="A20" s="1">
        <v>2038</v>
      </c>
      <c r="B20" s="15">
        <v>247.809</v>
      </c>
      <c r="C20" s="15">
        <v>129.4</v>
      </c>
      <c r="D20" s="15">
        <v>16.564399999999999</v>
      </c>
      <c r="E20" s="15">
        <v>4.7585899999999999</v>
      </c>
      <c r="F20" s="15">
        <v>163.93700000000001</v>
      </c>
      <c r="G20" s="1">
        <v>3.1449500000000001E-3</v>
      </c>
      <c r="H20" s="15">
        <v>14.875400000000001</v>
      </c>
      <c r="I20" s="15">
        <v>86.518900000000002</v>
      </c>
      <c r="J20" s="15">
        <v>63.156500000000001</v>
      </c>
    </row>
    <row r="21" spans="1:10" x14ac:dyDescent="0.2">
      <c r="A21" s="1">
        <v>2039</v>
      </c>
      <c r="B21" s="15">
        <v>253.97399999999999</v>
      </c>
      <c r="C21" s="15">
        <v>129.21</v>
      </c>
      <c r="D21" s="15">
        <v>16.590299999999999</v>
      </c>
      <c r="E21" s="15">
        <v>4.8306500000000003</v>
      </c>
      <c r="F21" s="15">
        <v>166.18700000000001</v>
      </c>
      <c r="G21" s="1">
        <v>3.8298500000000001E-3</v>
      </c>
      <c r="H21" s="15">
        <v>14.778600000000001</v>
      </c>
      <c r="I21" s="15">
        <v>86.748199999999997</v>
      </c>
      <c r="J21" s="15">
        <v>63.875500000000002</v>
      </c>
    </row>
    <row r="22" spans="1:10" x14ac:dyDescent="0.2">
      <c r="A22" s="1">
        <v>2040</v>
      </c>
      <c r="B22" s="15">
        <v>260.42899999999997</v>
      </c>
      <c r="C22" s="15">
        <v>130.09800000000001</v>
      </c>
      <c r="D22" s="15">
        <v>16.624199999999998</v>
      </c>
      <c r="E22" s="15">
        <v>4.9028099999999997</v>
      </c>
      <c r="F22" s="15">
        <v>168.46600000000001</v>
      </c>
      <c r="G22" s="1">
        <v>4.6132100000000004E-3</v>
      </c>
      <c r="H22" s="15">
        <v>14.5822</v>
      </c>
      <c r="I22" s="15">
        <v>86.979399999999998</v>
      </c>
      <c r="J22" s="15">
        <v>64.566000000000003</v>
      </c>
    </row>
    <row r="23" spans="1:10" x14ac:dyDescent="0.2">
      <c r="A23" s="1">
        <v>2041</v>
      </c>
      <c r="B23" s="15">
        <v>267.09300000000002</v>
      </c>
      <c r="C23" s="15">
        <v>131.74700000000001</v>
      </c>
      <c r="D23" s="15">
        <v>16.658300000000001</v>
      </c>
      <c r="E23" s="15">
        <v>4.9757400000000001</v>
      </c>
      <c r="F23" s="15">
        <v>170.90899999999999</v>
      </c>
      <c r="G23" s="1">
        <v>5.4713399999999999E-3</v>
      </c>
      <c r="H23" s="15">
        <v>14.485200000000001</v>
      </c>
      <c r="I23" s="15">
        <v>87.126599999999996</v>
      </c>
      <c r="J23" s="15">
        <v>65.253200000000007</v>
      </c>
    </row>
    <row r="24" spans="1:10" x14ac:dyDescent="0.2">
      <c r="A24" s="1">
        <v>2042</v>
      </c>
      <c r="B24" s="15">
        <v>273.95699999999999</v>
      </c>
      <c r="C24" s="15">
        <v>133.096</v>
      </c>
      <c r="D24" s="15">
        <v>16.688199999999998</v>
      </c>
      <c r="E24" s="15">
        <v>5.0506700000000002</v>
      </c>
      <c r="F24" s="15">
        <v>173.37299999999999</v>
      </c>
      <c r="G24" s="1">
        <v>6.4022799999999998E-3</v>
      </c>
      <c r="H24" s="15">
        <v>14.2887</v>
      </c>
      <c r="I24" s="15">
        <v>87.246499999999997</v>
      </c>
      <c r="J24" s="15">
        <v>65.969499999999996</v>
      </c>
    </row>
    <row r="25" spans="1:10" x14ac:dyDescent="0.2">
      <c r="A25" s="1">
        <v>2043</v>
      </c>
      <c r="B25" s="15">
        <v>281.18200000000002</v>
      </c>
      <c r="C25" s="15">
        <v>132.93299999999999</v>
      </c>
      <c r="D25" s="15">
        <v>16.726199999999999</v>
      </c>
      <c r="E25" s="15">
        <v>5.1263199999999998</v>
      </c>
      <c r="F25" s="15">
        <v>175.851</v>
      </c>
      <c r="G25" s="1">
        <v>7.4164599999999997E-3</v>
      </c>
      <c r="H25" s="15">
        <v>14.192</v>
      </c>
      <c r="I25" s="15">
        <v>87.393100000000004</v>
      </c>
      <c r="J25" s="15">
        <v>66.656400000000005</v>
      </c>
    </row>
    <row r="26" spans="1:10" x14ac:dyDescent="0.2">
      <c r="A26" s="1">
        <v>2044</v>
      </c>
      <c r="B26" s="15">
        <v>288.798</v>
      </c>
      <c r="C26" s="15">
        <v>134.99700000000001</v>
      </c>
      <c r="D26" s="15">
        <v>16.7639</v>
      </c>
      <c r="E26" s="15">
        <v>5.2034099999999999</v>
      </c>
      <c r="F26" s="15">
        <v>178.30799999999999</v>
      </c>
      <c r="G26" s="1">
        <v>8.5004E-3</v>
      </c>
      <c r="H26" s="15">
        <v>13.9953</v>
      </c>
      <c r="I26" s="15">
        <v>87.513300000000001</v>
      </c>
      <c r="J26" s="15">
        <v>67.343400000000003</v>
      </c>
    </row>
    <row r="27" spans="1:10" x14ac:dyDescent="0.2">
      <c r="A27" s="1">
        <v>2045</v>
      </c>
      <c r="B27" s="15">
        <v>296.85599999999999</v>
      </c>
      <c r="C27" s="15">
        <v>135.75200000000001</v>
      </c>
      <c r="D27" s="15">
        <v>16.804600000000001</v>
      </c>
      <c r="E27" s="15">
        <v>5.2812700000000001</v>
      </c>
      <c r="F27" s="15">
        <v>180.791</v>
      </c>
      <c r="G27" s="1">
        <v>9.6644899999999995E-3</v>
      </c>
      <c r="H27" s="15">
        <v>13.7986</v>
      </c>
      <c r="I27" s="15">
        <v>87.66</v>
      </c>
      <c r="J27" s="15">
        <v>68.0304</v>
      </c>
    </row>
    <row r="28" spans="1:10" x14ac:dyDescent="0.2">
      <c r="A28" s="1">
        <v>2046</v>
      </c>
      <c r="B28" s="15">
        <v>305.26600000000002</v>
      </c>
      <c r="C28" s="15">
        <v>136.958</v>
      </c>
      <c r="D28" s="15">
        <v>16.845700000000001</v>
      </c>
      <c r="E28" s="15">
        <v>5.3610800000000003</v>
      </c>
      <c r="F28" s="15">
        <v>183.268</v>
      </c>
      <c r="G28" s="1">
        <v>1.0889599999999999E-2</v>
      </c>
      <c r="H28" s="15">
        <v>13.7019</v>
      </c>
      <c r="I28" s="15">
        <v>87.752200000000002</v>
      </c>
      <c r="J28" s="15">
        <v>68.686300000000003</v>
      </c>
    </row>
    <row r="29" spans="1:10" x14ac:dyDescent="0.2">
      <c r="A29" s="1">
        <v>2047</v>
      </c>
      <c r="B29" s="15">
        <v>313.82499999999999</v>
      </c>
      <c r="C29" s="15">
        <v>137.54599999999999</v>
      </c>
      <c r="D29" s="15">
        <v>16.889199999999999</v>
      </c>
      <c r="E29" s="15">
        <v>5.4410999999999996</v>
      </c>
      <c r="F29" s="15">
        <v>185.77</v>
      </c>
      <c r="G29" s="1">
        <v>1.21779E-2</v>
      </c>
      <c r="H29" s="15">
        <v>13.505100000000001</v>
      </c>
      <c r="I29" s="15">
        <v>87.872600000000006</v>
      </c>
      <c r="J29" s="15">
        <v>69.369399999999999</v>
      </c>
    </row>
    <row r="30" spans="1:10" x14ac:dyDescent="0.2">
      <c r="A30" s="1">
        <v>2048</v>
      </c>
      <c r="B30" s="15">
        <v>323.23700000000002</v>
      </c>
      <c r="C30" s="15">
        <v>138.25299999999999</v>
      </c>
      <c r="D30" s="15">
        <v>16.933</v>
      </c>
      <c r="E30" s="15">
        <v>5.5224000000000002</v>
      </c>
      <c r="F30" s="15">
        <v>188.255</v>
      </c>
      <c r="G30" s="1">
        <v>1.35222E-2</v>
      </c>
      <c r="H30" s="15">
        <v>13.4084</v>
      </c>
      <c r="I30" s="15">
        <v>87.964600000000004</v>
      </c>
      <c r="J30" s="15">
        <v>70.024600000000007</v>
      </c>
    </row>
    <row r="31" spans="1:10" x14ac:dyDescent="0.2">
      <c r="A31" s="1">
        <v>2049</v>
      </c>
      <c r="B31" s="15">
        <v>333.23899999999998</v>
      </c>
      <c r="C31" s="15">
        <v>138.98699999999999</v>
      </c>
      <c r="D31" s="15">
        <v>16.9787</v>
      </c>
      <c r="E31" s="15">
        <v>5.6051900000000003</v>
      </c>
      <c r="F31" s="15">
        <v>190.74199999999999</v>
      </c>
      <c r="G31" s="1">
        <v>1.49187E-2</v>
      </c>
      <c r="H31" s="15">
        <v>13.212</v>
      </c>
      <c r="I31" s="15">
        <v>88.056200000000004</v>
      </c>
      <c r="J31" s="15">
        <v>70.707800000000006</v>
      </c>
    </row>
    <row r="32" spans="1:10" x14ac:dyDescent="0.2">
      <c r="A32" s="1">
        <v>2050</v>
      </c>
      <c r="B32" s="15">
        <v>343.92599999999999</v>
      </c>
      <c r="C32" s="15">
        <v>140.91900000000001</v>
      </c>
      <c r="D32" s="15">
        <v>17.027100000000001</v>
      </c>
      <c r="E32" s="15">
        <v>5.6899800000000003</v>
      </c>
      <c r="F32" s="15">
        <v>193.22800000000001</v>
      </c>
      <c r="G32" s="1">
        <v>1.6369399999999999E-2</v>
      </c>
      <c r="H32" s="15">
        <v>13.115</v>
      </c>
      <c r="I32" s="15">
        <v>88.203299999999999</v>
      </c>
      <c r="J32" s="15">
        <v>71.363699999999994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79C0-843B-114D-A2B3-8897CBE375E0}">
  <dimension ref="A1:J32"/>
  <sheetViews>
    <sheetView workbookViewId="0">
      <selection activeCell="N21" sqref="N2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14</v>
      </c>
      <c r="H1" s="1" t="s">
        <v>11</v>
      </c>
      <c r="I1" s="1" t="s">
        <v>12</v>
      </c>
      <c r="J1" s="1" t="s">
        <v>13</v>
      </c>
    </row>
    <row r="2" spans="1:10" x14ac:dyDescent="0.2">
      <c r="A2" s="1">
        <v>2020</v>
      </c>
      <c r="B2" s="1">
        <v>151.84</v>
      </c>
      <c r="C2" s="1">
        <v>109.596</v>
      </c>
      <c r="D2" s="1">
        <v>16.5471</v>
      </c>
      <c r="E2" s="1">
        <v>4.1660399999999997</v>
      </c>
      <c r="F2" s="1">
        <v>124.17</v>
      </c>
      <c r="G2" s="1">
        <v>0</v>
      </c>
      <c r="H2" s="1">
        <v>17.637</v>
      </c>
      <c r="I2" s="1">
        <v>79.985799999999998</v>
      </c>
      <c r="J2" s="1">
        <v>49.355699999999999</v>
      </c>
    </row>
    <row r="3" spans="1:10" x14ac:dyDescent="0.2">
      <c r="A3" s="1">
        <v>2021</v>
      </c>
      <c r="B3" s="1">
        <v>155.69399999999999</v>
      </c>
      <c r="C3" s="1">
        <v>118.146</v>
      </c>
      <c r="D3" s="1">
        <v>16.549700000000001</v>
      </c>
      <c r="E3" s="1">
        <v>4.1850500000000004</v>
      </c>
      <c r="F3" s="1">
        <v>130.49100000000001</v>
      </c>
      <c r="G3" s="3">
        <v>5.2299999999999999E-6</v>
      </c>
      <c r="H3" s="1">
        <v>17.485099999999999</v>
      </c>
      <c r="I3" s="1">
        <v>80.4863</v>
      </c>
      <c r="J3" s="1">
        <v>50.171999999999997</v>
      </c>
    </row>
    <row r="4" spans="1:10" x14ac:dyDescent="0.2">
      <c r="A4" s="1">
        <v>2022</v>
      </c>
      <c r="B4" s="1">
        <v>160.041</v>
      </c>
      <c r="C4" s="1">
        <v>126.30500000000001</v>
      </c>
      <c r="D4" s="1">
        <v>16.5303</v>
      </c>
      <c r="E4" s="1">
        <v>4.1993</v>
      </c>
      <c r="F4" s="1">
        <v>133.137</v>
      </c>
      <c r="G4" s="3">
        <v>1.0417999999999999E-5</v>
      </c>
      <c r="H4" s="1">
        <v>17.333200000000001</v>
      </c>
      <c r="I4" s="1">
        <v>80.968100000000007</v>
      </c>
      <c r="J4" s="1">
        <v>50.988599999999998</v>
      </c>
    </row>
    <row r="5" spans="1:10" x14ac:dyDescent="0.2">
      <c r="A5" s="1">
        <v>2023</v>
      </c>
      <c r="B5" s="1">
        <v>164.875</v>
      </c>
      <c r="C5" s="1">
        <v>124.48699999999999</v>
      </c>
      <c r="D5" s="1">
        <v>16.505500000000001</v>
      </c>
      <c r="E5" s="1">
        <v>4.20939</v>
      </c>
      <c r="F5" s="1">
        <v>135.73599999999999</v>
      </c>
      <c r="G5" s="3">
        <v>1.5707999999999999E-5</v>
      </c>
      <c r="H5" s="1">
        <v>17.1813</v>
      </c>
      <c r="I5" s="1">
        <v>81.449100000000001</v>
      </c>
      <c r="J5" s="1">
        <v>51.805199999999999</v>
      </c>
    </row>
    <row r="6" spans="1:10" x14ac:dyDescent="0.2">
      <c r="A6" s="1">
        <v>2024</v>
      </c>
      <c r="B6" s="1">
        <v>169.809</v>
      </c>
      <c r="C6" s="1">
        <v>124.90900000000001</v>
      </c>
      <c r="D6" s="1">
        <v>16.4831</v>
      </c>
      <c r="E6" s="1">
        <v>4.2212699999999996</v>
      </c>
      <c r="F6" s="1">
        <v>138.33799999999999</v>
      </c>
      <c r="G6" s="3">
        <v>2.0934E-5</v>
      </c>
      <c r="H6" s="1">
        <v>17.029399999999999</v>
      </c>
      <c r="I6" s="1">
        <v>81.9298</v>
      </c>
      <c r="J6" s="1">
        <v>52.621699999999997</v>
      </c>
    </row>
    <row r="7" spans="1:10" x14ac:dyDescent="0.2">
      <c r="A7" s="1">
        <v>2025</v>
      </c>
      <c r="B7" s="1">
        <v>174.96600000000001</v>
      </c>
      <c r="C7" s="1">
        <v>128.22499999999999</v>
      </c>
      <c r="D7" s="1">
        <v>16.468399999999999</v>
      </c>
      <c r="E7" s="1">
        <v>4.2313700000000001</v>
      </c>
      <c r="F7" s="1">
        <v>140.935</v>
      </c>
      <c r="G7" s="3">
        <v>4.2048000000000001E-5</v>
      </c>
      <c r="H7" s="1">
        <v>16.877600000000001</v>
      </c>
      <c r="I7" s="1">
        <v>82.411100000000005</v>
      </c>
      <c r="J7" s="1">
        <v>53.437899999999999</v>
      </c>
    </row>
    <row r="8" spans="1:10" x14ac:dyDescent="0.2">
      <c r="A8" s="1">
        <v>2026</v>
      </c>
      <c r="B8" s="1">
        <v>180.166</v>
      </c>
      <c r="C8" s="1">
        <v>126.595</v>
      </c>
      <c r="D8" s="1">
        <v>16.455500000000001</v>
      </c>
      <c r="E8" s="1">
        <v>4.2421600000000002</v>
      </c>
      <c r="F8" s="1">
        <v>142.77799999999999</v>
      </c>
      <c r="G8" s="1">
        <v>7.2350700000000004E-2</v>
      </c>
      <c r="H8" s="1">
        <v>16.63</v>
      </c>
      <c r="I8" s="1">
        <v>82.786500000000004</v>
      </c>
      <c r="J8" s="1">
        <v>54.214799999999997</v>
      </c>
    </row>
    <row r="9" spans="1:10" x14ac:dyDescent="0.2">
      <c r="A9" s="1">
        <v>2027</v>
      </c>
      <c r="B9" s="1">
        <v>185.50800000000001</v>
      </c>
      <c r="C9" s="1">
        <v>124.239</v>
      </c>
      <c r="D9" s="1">
        <v>16.439499999999999</v>
      </c>
      <c r="E9" s="1">
        <v>4.2508699999999999</v>
      </c>
      <c r="F9" s="1">
        <v>145.11000000000001</v>
      </c>
      <c r="G9" s="1">
        <v>0.14701500000000001</v>
      </c>
      <c r="H9" s="1">
        <v>16.286799999999999</v>
      </c>
      <c r="I9" s="1">
        <v>83.162099999999995</v>
      </c>
      <c r="J9" s="1">
        <v>54.993299999999998</v>
      </c>
    </row>
    <row r="10" spans="1:10" x14ac:dyDescent="0.2">
      <c r="A10" s="1">
        <v>2028</v>
      </c>
      <c r="B10" s="1">
        <v>191.148</v>
      </c>
      <c r="C10" s="1">
        <v>123.607</v>
      </c>
      <c r="D10" s="1">
        <v>16.432300000000001</v>
      </c>
      <c r="E10" s="1">
        <v>4.2625799999999998</v>
      </c>
      <c r="F10" s="1">
        <v>146.72800000000001</v>
      </c>
      <c r="G10" s="1">
        <v>0.224075</v>
      </c>
      <c r="H10" s="1">
        <v>15.847899999999999</v>
      </c>
      <c r="I10" s="1">
        <v>83.538399999999996</v>
      </c>
      <c r="J10" s="1">
        <v>55.769799999999996</v>
      </c>
    </row>
    <row r="11" spans="1:10" x14ac:dyDescent="0.2">
      <c r="A11" s="1">
        <v>2029</v>
      </c>
      <c r="B11" s="1">
        <v>197.00899999999999</v>
      </c>
      <c r="C11" s="1">
        <v>123.056</v>
      </c>
      <c r="D11" s="1">
        <v>16.429600000000001</v>
      </c>
      <c r="E11" s="1">
        <v>4.2719100000000001</v>
      </c>
      <c r="F11" s="1">
        <v>148.38300000000001</v>
      </c>
      <c r="G11" s="1">
        <v>0.30327100000000001</v>
      </c>
      <c r="H11" s="1">
        <v>15.3133</v>
      </c>
      <c r="I11" s="1">
        <v>83.915899999999993</v>
      </c>
      <c r="J11" s="1">
        <v>56.548699999999997</v>
      </c>
    </row>
    <row r="12" spans="1:10" x14ac:dyDescent="0.2">
      <c r="A12" s="1">
        <v>2030</v>
      </c>
      <c r="B12" s="1">
        <v>202.84700000000001</v>
      </c>
      <c r="C12" s="1">
        <v>124.726</v>
      </c>
      <c r="D12" s="1">
        <v>16.421299999999999</v>
      </c>
      <c r="E12" s="1">
        <v>4.2828099999999996</v>
      </c>
      <c r="F12" s="1">
        <v>150.03</v>
      </c>
      <c r="G12" s="1">
        <v>0.38523099999999999</v>
      </c>
      <c r="H12" s="1">
        <v>14.6831</v>
      </c>
      <c r="I12" s="1">
        <v>84.2958</v>
      </c>
      <c r="J12" s="1">
        <v>57.325600000000001</v>
      </c>
    </row>
    <row r="13" spans="1:10" x14ac:dyDescent="0.2">
      <c r="A13" s="1">
        <v>2031</v>
      </c>
      <c r="B13" s="1">
        <v>208.631</v>
      </c>
      <c r="C13" s="1">
        <v>125.45099999999999</v>
      </c>
      <c r="D13" s="1">
        <v>16.380800000000001</v>
      </c>
      <c r="E13" s="1">
        <v>4.2801299999999998</v>
      </c>
      <c r="F13" s="1">
        <v>150.94999999999999</v>
      </c>
      <c r="G13" s="1">
        <v>0.46714899999999998</v>
      </c>
      <c r="H13" s="1">
        <v>13.9572</v>
      </c>
      <c r="I13" s="1">
        <v>84.552000000000007</v>
      </c>
      <c r="J13" s="1">
        <v>58.066099999999999</v>
      </c>
    </row>
    <row r="14" spans="1:10" x14ac:dyDescent="0.2">
      <c r="A14" s="1">
        <v>2032</v>
      </c>
      <c r="B14" s="1">
        <v>214.292</v>
      </c>
      <c r="C14" s="1">
        <v>125.41500000000001</v>
      </c>
      <c r="D14" s="1">
        <v>16.399999999999999</v>
      </c>
      <c r="E14" s="1">
        <v>4.3437000000000001</v>
      </c>
      <c r="F14" s="1">
        <v>151.946</v>
      </c>
      <c r="G14" s="1">
        <v>0.551485</v>
      </c>
      <c r="H14" s="1">
        <v>13.1356</v>
      </c>
      <c r="I14" s="1">
        <v>84.802800000000005</v>
      </c>
      <c r="J14" s="1">
        <v>58.805300000000003</v>
      </c>
    </row>
    <row r="15" spans="1:10" x14ac:dyDescent="0.2">
      <c r="A15" s="1">
        <v>2033</v>
      </c>
      <c r="B15" s="1">
        <v>219.92400000000001</v>
      </c>
      <c r="C15" s="1">
        <v>126.62</v>
      </c>
      <c r="D15" s="1">
        <v>16.418800000000001</v>
      </c>
      <c r="E15" s="1">
        <v>4.4077099999999998</v>
      </c>
      <c r="F15" s="1">
        <v>152.91</v>
      </c>
      <c r="G15" s="1">
        <v>0.63700599999999996</v>
      </c>
      <c r="H15" s="1">
        <v>12.218400000000001</v>
      </c>
      <c r="I15" s="1">
        <v>85.0548</v>
      </c>
      <c r="J15" s="1">
        <v>59.544499999999999</v>
      </c>
    </row>
    <row r="16" spans="1:10" x14ac:dyDescent="0.2">
      <c r="A16" s="1">
        <v>2034</v>
      </c>
      <c r="B16" s="1">
        <v>225.571</v>
      </c>
      <c r="C16" s="1">
        <v>126.655</v>
      </c>
      <c r="D16" s="1">
        <v>16.4405</v>
      </c>
      <c r="E16" s="1">
        <v>4.4729700000000001</v>
      </c>
      <c r="F16" s="1">
        <v>153.82300000000001</v>
      </c>
      <c r="G16" s="1">
        <v>0.72540300000000002</v>
      </c>
      <c r="H16" s="1">
        <v>11.205500000000001</v>
      </c>
      <c r="I16" s="1">
        <v>85.308499999999995</v>
      </c>
      <c r="J16" s="1">
        <v>60.283200000000001</v>
      </c>
    </row>
    <row r="17" spans="1:10" x14ac:dyDescent="0.2">
      <c r="A17" s="1">
        <v>2035</v>
      </c>
      <c r="B17" s="1">
        <v>231.33699999999999</v>
      </c>
      <c r="C17" s="1">
        <v>126.535</v>
      </c>
      <c r="D17" s="1">
        <v>16.4617</v>
      </c>
      <c r="E17" s="1">
        <v>4.5385400000000002</v>
      </c>
      <c r="F17" s="1">
        <v>155.13499999999999</v>
      </c>
      <c r="G17" s="1">
        <v>0.81647599999999998</v>
      </c>
      <c r="H17" s="1">
        <v>10.0969</v>
      </c>
      <c r="I17" s="1">
        <v>85.563299999999998</v>
      </c>
      <c r="J17" s="1">
        <v>61.022500000000001</v>
      </c>
    </row>
    <row r="18" spans="1:10" x14ac:dyDescent="0.2">
      <c r="A18" s="1">
        <v>2036</v>
      </c>
      <c r="B18" s="1">
        <v>237.09399999999999</v>
      </c>
      <c r="C18" s="1">
        <v>125.74</v>
      </c>
      <c r="D18" s="1">
        <v>16.4849</v>
      </c>
      <c r="E18" s="1">
        <v>4.6049800000000003</v>
      </c>
      <c r="F18" s="1">
        <v>157.13800000000001</v>
      </c>
      <c r="G18" s="1">
        <v>0.909964</v>
      </c>
      <c r="H18" s="1">
        <v>8.8926400000000001</v>
      </c>
      <c r="I18" s="1">
        <v>85.759</v>
      </c>
      <c r="J18" s="1">
        <v>61.735599999999998</v>
      </c>
    </row>
    <row r="19" spans="1:10" x14ac:dyDescent="0.2">
      <c r="A19" s="1">
        <v>2037</v>
      </c>
      <c r="B19" s="1">
        <v>242.44</v>
      </c>
      <c r="C19" s="1">
        <v>125.363</v>
      </c>
      <c r="D19" s="1">
        <v>16.509</v>
      </c>
      <c r="E19" s="1">
        <v>4.6722299999999999</v>
      </c>
      <c r="F19" s="1">
        <v>159.125</v>
      </c>
      <c r="G19" s="1">
        <v>1.00526</v>
      </c>
      <c r="H19" s="1">
        <v>7.5927300000000004</v>
      </c>
      <c r="I19" s="1">
        <v>85.955799999999996</v>
      </c>
      <c r="J19" s="1">
        <v>62.449399999999997</v>
      </c>
    </row>
    <row r="20" spans="1:10" x14ac:dyDescent="0.2">
      <c r="A20" s="1">
        <v>2038</v>
      </c>
      <c r="B20" s="1">
        <v>247.92</v>
      </c>
      <c r="C20" s="1">
        <v>124.828</v>
      </c>
      <c r="D20" s="1">
        <v>16.535399999999999</v>
      </c>
      <c r="E20" s="1">
        <v>4.74057</v>
      </c>
      <c r="F20" s="1">
        <v>161.06700000000001</v>
      </c>
      <c r="G20" s="1">
        <v>1.1035299999999999</v>
      </c>
      <c r="H20" s="1">
        <v>6.1971499999999997</v>
      </c>
      <c r="I20" s="1">
        <v>86.152299999999997</v>
      </c>
      <c r="J20" s="1">
        <v>63.162999999999997</v>
      </c>
    </row>
    <row r="21" spans="1:10" x14ac:dyDescent="0.2">
      <c r="A21" s="1">
        <v>2039</v>
      </c>
      <c r="B21" s="1">
        <v>253.464</v>
      </c>
      <c r="C21" s="1">
        <v>123.92400000000001</v>
      </c>
      <c r="D21" s="1">
        <v>16.5627</v>
      </c>
      <c r="E21" s="1">
        <v>4.8097300000000001</v>
      </c>
      <c r="F21" s="1">
        <v>162.99299999999999</v>
      </c>
      <c r="G21" s="1">
        <v>1.20333</v>
      </c>
      <c r="H21" s="1">
        <v>4.7058999999999997</v>
      </c>
      <c r="I21" s="1">
        <v>86.347499999999997</v>
      </c>
      <c r="J21" s="1">
        <v>63.876899999999999</v>
      </c>
    </row>
    <row r="22" spans="1:10" x14ac:dyDescent="0.2">
      <c r="A22" s="1">
        <v>2040</v>
      </c>
      <c r="B22" s="1">
        <v>259.24400000000003</v>
      </c>
      <c r="C22" s="1">
        <v>124.321</v>
      </c>
      <c r="D22" s="1">
        <v>16.5913</v>
      </c>
      <c r="E22" s="1">
        <v>4.8798599999999999</v>
      </c>
      <c r="F22" s="1">
        <v>164.946</v>
      </c>
      <c r="G22" s="1">
        <v>1.3072299999999999</v>
      </c>
      <c r="H22" s="1">
        <v>3.1189900000000002</v>
      </c>
      <c r="I22" s="1">
        <v>86.543700000000001</v>
      </c>
      <c r="J22" s="1">
        <v>64.590599999999995</v>
      </c>
    </row>
    <row r="23" spans="1:10" x14ac:dyDescent="0.2">
      <c r="A23" s="1">
        <v>2041</v>
      </c>
      <c r="B23" s="1">
        <v>265.12099999999998</v>
      </c>
      <c r="C23" s="1">
        <v>125.063</v>
      </c>
      <c r="D23" s="1">
        <v>16.6204</v>
      </c>
      <c r="E23" s="1">
        <v>4.9502699999999997</v>
      </c>
      <c r="F23" s="1">
        <v>167.078</v>
      </c>
      <c r="G23" s="1">
        <v>1.4097299999999999</v>
      </c>
      <c r="H23" s="1">
        <v>1.43641</v>
      </c>
      <c r="I23" s="1">
        <v>86.651799999999994</v>
      </c>
      <c r="J23" s="1">
        <v>65.283600000000007</v>
      </c>
    </row>
    <row r="24" spans="1:10" x14ac:dyDescent="0.2">
      <c r="A24" s="1">
        <v>2042</v>
      </c>
      <c r="B24" s="1">
        <v>271.10199999999998</v>
      </c>
      <c r="C24" s="1">
        <v>125.56</v>
      </c>
      <c r="D24" s="1">
        <v>16.6511</v>
      </c>
      <c r="E24" s="1">
        <v>5.0216599999999998</v>
      </c>
      <c r="F24" s="1">
        <v>169.214</v>
      </c>
      <c r="G24" s="1">
        <v>1.5161199999999999</v>
      </c>
      <c r="H24" s="1">
        <v>-0.34184900000000001</v>
      </c>
      <c r="I24" s="1">
        <v>86.760199999999998</v>
      </c>
      <c r="J24" s="1">
        <v>65.977699999999999</v>
      </c>
    </row>
    <row r="25" spans="1:10" x14ac:dyDescent="0.2">
      <c r="A25" s="1">
        <v>2043</v>
      </c>
      <c r="B25" s="1">
        <v>277.42700000000002</v>
      </c>
      <c r="C25" s="1">
        <v>124.376</v>
      </c>
      <c r="D25" s="1">
        <v>16.682099999999998</v>
      </c>
      <c r="E25" s="1">
        <v>5.09354</v>
      </c>
      <c r="F25" s="1">
        <v>171.364</v>
      </c>
      <c r="G25" s="1">
        <v>1.62808</v>
      </c>
      <c r="H25" s="1">
        <v>-2.21577</v>
      </c>
      <c r="I25" s="1">
        <v>86.865099999999998</v>
      </c>
      <c r="J25" s="1">
        <v>66.671499999999995</v>
      </c>
    </row>
    <row r="26" spans="1:10" x14ac:dyDescent="0.2">
      <c r="A26" s="1">
        <v>2044</v>
      </c>
      <c r="B26" s="1">
        <v>284.10899999999998</v>
      </c>
      <c r="C26" s="1">
        <v>125.42700000000001</v>
      </c>
      <c r="D26" s="1">
        <v>16.714700000000001</v>
      </c>
      <c r="E26" s="1">
        <v>5.1665799999999997</v>
      </c>
      <c r="F26" s="1">
        <v>173.43100000000001</v>
      </c>
      <c r="G26" s="1">
        <v>1.7376199999999999</v>
      </c>
      <c r="H26" s="1">
        <v>-4.1853600000000002</v>
      </c>
      <c r="I26" s="1">
        <v>86.966800000000006</v>
      </c>
      <c r="J26" s="1">
        <v>67.364900000000006</v>
      </c>
    </row>
    <row r="27" spans="1:10" x14ac:dyDescent="0.2">
      <c r="A27" s="1">
        <v>2045</v>
      </c>
      <c r="B27" s="1">
        <v>291.16000000000003</v>
      </c>
      <c r="C27" s="1">
        <v>125.20399999999999</v>
      </c>
      <c r="D27" s="1">
        <v>16.748100000000001</v>
      </c>
      <c r="E27" s="1">
        <v>5.2402699999999998</v>
      </c>
      <c r="F27" s="1">
        <v>175.501</v>
      </c>
      <c r="G27" s="1">
        <v>1.8537300000000001</v>
      </c>
      <c r="H27" s="1">
        <v>-6.25061</v>
      </c>
      <c r="I27" s="1">
        <v>87.066000000000003</v>
      </c>
      <c r="J27" s="1">
        <v>68.058300000000003</v>
      </c>
    </row>
    <row r="28" spans="1:10" x14ac:dyDescent="0.2">
      <c r="A28" s="1">
        <v>2046</v>
      </c>
      <c r="B28" s="1">
        <v>298.48</v>
      </c>
      <c r="C28" s="1">
        <v>125.04900000000001</v>
      </c>
      <c r="D28" s="1">
        <v>16.7851</v>
      </c>
      <c r="E28" s="1">
        <v>5.3150000000000004</v>
      </c>
      <c r="F28" s="1">
        <v>144.971</v>
      </c>
      <c r="G28" s="1">
        <v>1.9692799999999999</v>
      </c>
      <c r="H28" s="1">
        <v>-8.4115400000000005</v>
      </c>
      <c r="I28" s="1">
        <v>87.052300000000002</v>
      </c>
      <c r="J28" s="1">
        <v>64.417599999999993</v>
      </c>
    </row>
    <row r="29" spans="1:10" x14ac:dyDescent="0.2">
      <c r="A29" s="1">
        <v>2047</v>
      </c>
      <c r="B29" s="1">
        <v>305.84100000000001</v>
      </c>
      <c r="C29" s="1">
        <v>124.232</v>
      </c>
      <c r="D29" s="1">
        <v>16.8169</v>
      </c>
      <c r="E29" s="1">
        <v>5.3885399999999999</v>
      </c>
      <c r="F29" s="1">
        <v>146.398</v>
      </c>
      <c r="G29" s="1">
        <v>2.08731</v>
      </c>
      <c r="H29" s="1">
        <v>-10.668100000000001</v>
      </c>
      <c r="I29" s="1">
        <v>87.120599999999996</v>
      </c>
      <c r="J29" s="1">
        <v>65.022599999999997</v>
      </c>
    </row>
    <row r="30" spans="1:10" x14ac:dyDescent="0.2">
      <c r="A30" s="1">
        <v>2048</v>
      </c>
      <c r="B30" s="1">
        <v>313.99799999999999</v>
      </c>
      <c r="C30" s="1">
        <v>123.63200000000001</v>
      </c>
      <c r="D30" s="1">
        <v>16.857399999999998</v>
      </c>
      <c r="E30" s="1">
        <v>5.4652799999999999</v>
      </c>
      <c r="F30" s="1">
        <v>147.816</v>
      </c>
      <c r="G30" s="1">
        <v>2.2095600000000002</v>
      </c>
      <c r="H30" s="1">
        <v>-13.0204</v>
      </c>
      <c r="I30" s="1">
        <v>87.187600000000003</v>
      </c>
      <c r="J30" s="1">
        <v>65.633300000000006</v>
      </c>
    </row>
    <row r="31" spans="1:10" x14ac:dyDescent="0.2">
      <c r="A31" s="1">
        <v>2049</v>
      </c>
      <c r="B31" s="1">
        <v>322.66899999999998</v>
      </c>
      <c r="C31" s="1">
        <v>123.262</v>
      </c>
      <c r="D31" s="1">
        <v>16.8964</v>
      </c>
      <c r="E31" s="1">
        <v>5.5420199999999999</v>
      </c>
      <c r="F31" s="1">
        <v>149.227</v>
      </c>
      <c r="G31" s="1">
        <v>2.33575</v>
      </c>
      <c r="H31" s="1">
        <v>-15.468299999999999</v>
      </c>
      <c r="I31" s="1">
        <v>87.254300000000001</v>
      </c>
      <c r="J31" s="1">
        <v>66.244900000000001</v>
      </c>
    </row>
    <row r="32" spans="1:10" x14ac:dyDescent="0.2">
      <c r="A32" s="1">
        <v>2050</v>
      </c>
      <c r="B32" s="1">
        <v>331.94299999999998</v>
      </c>
      <c r="C32" s="1">
        <v>123.358</v>
      </c>
      <c r="D32" s="1">
        <v>16.938400000000001</v>
      </c>
      <c r="E32" s="1">
        <v>5.6203200000000004</v>
      </c>
      <c r="F32" s="1">
        <v>150.62100000000001</v>
      </c>
      <c r="G32" s="1">
        <v>2.46149</v>
      </c>
      <c r="H32" s="1">
        <v>-18.011900000000001</v>
      </c>
      <c r="I32" s="1">
        <v>87.320999999999998</v>
      </c>
      <c r="J32" s="1">
        <v>66.856399999999994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E717-595A-CB44-995A-AE43EA5BF5C7}">
  <dimension ref="A1:J40"/>
  <sheetViews>
    <sheetView workbookViewId="0">
      <selection activeCell="M7" sqref="M7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14</v>
      </c>
      <c r="H1" s="1" t="s">
        <v>11</v>
      </c>
      <c r="I1" s="1" t="s">
        <v>12</v>
      </c>
      <c r="J1" s="1" t="s">
        <v>13</v>
      </c>
    </row>
    <row r="2" spans="1:10" x14ac:dyDescent="0.2">
      <c r="A2" s="1">
        <v>2020</v>
      </c>
      <c r="B2" s="15">
        <v>149.83799999999999</v>
      </c>
      <c r="C2" s="15">
        <v>109.61199999999999</v>
      </c>
      <c r="D2" s="15">
        <v>16.5474</v>
      </c>
      <c r="E2" s="15">
        <v>4.1658600000000003</v>
      </c>
      <c r="F2" s="15">
        <v>124.17</v>
      </c>
      <c r="G2" s="16">
        <v>0</v>
      </c>
      <c r="H2" s="15">
        <v>17.6158</v>
      </c>
      <c r="I2" s="15">
        <v>79.9983</v>
      </c>
      <c r="J2" s="15">
        <v>49.344499999999996</v>
      </c>
    </row>
    <row r="3" spans="1:10" x14ac:dyDescent="0.2">
      <c r="A3" s="1">
        <v>2021</v>
      </c>
      <c r="B3" s="15">
        <v>153.60499999999999</v>
      </c>
      <c r="C3" s="15">
        <v>118.194</v>
      </c>
      <c r="D3" s="15">
        <v>16.546900000000001</v>
      </c>
      <c r="E3" s="15">
        <v>4.18492</v>
      </c>
      <c r="F3" s="15">
        <v>130.483</v>
      </c>
      <c r="G3" s="16">
        <v>5.2299999999999999E-6</v>
      </c>
      <c r="H3" s="15">
        <v>17.519300000000001</v>
      </c>
      <c r="I3" s="15">
        <v>80.494</v>
      </c>
      <c r="J3" s="15">
        <v>50.158700000000003</v>
      </c>
    </row>
    <row r="4" spans="1:10" x14ac:dyDescent="0.2">
      <c r="A4" s="1">
        <v>2022</v>
      </c>
      <c r="B4" s="15">
        <v>157.84399999999999</v>
      </c>
      <c r="C4" s="15">
        <v>126.295</v>
      </c>
      <c r="D4" s="15">
        <v>16.532800000000002</v>
      </c>
      <c r="E4" s="15">
        <v>4.1991399999999999</v>
      </c>
      <c r="F4" s="15">
        <v>133.136</v>
      </c>
      <c r="G4" s="16">
        <v>1.0417999999999999E-5</v>
      </c>
      <c r="H4" s="15">
        <v>17.322299999999998</v>
      </c>
      <c r="I4" s="15">
        <v>80.972499999999997</v>
      </c>
      <c r="J4" s="15">
        <v>51.000799999999998</v>
      </c>
    </row>
    <row r="5" spans="1:10" x14ac:dyDescent="0.2">
      <c r="A5" s="1">
        <v>2023</v>
      </c>
      <c r="B5" s="15">
        <v>162.54300000000001</v>
      </c>
      <c r="C5" s="15">
        <v>124.52</v>
      </c>
      <c r="D5" s="15">
        <v>16.506</v>
      </c>
      <c r="E5" s="15">
        <v>4.20967</v>
      </c>
      <c r="F5" s="15">
        <v>135.75700000000001</v>
      </c>
      <c r="G5" s="16">
        <v>1.5707999999999999E-5</v>
      </c>
      <c r="H5" s="15">
        <v>17.2256</v>
      </c>
      <c r="I5" s="15">
        <v>81.448700000000002</v>
      </c>
      <c r="J5" s="15">
        <v>51.814999999999998</v>
      </c>
    </row>
    <row r="6" spans="1:10" x14ac:dyDescent="0.2">
      <c r="A6" s="1">
        <v>2024</v>
      </c>
      <c r="B6" s="15">
        <v>167.322</v>
      </c>
      <c r="C6" s="15">
        <v>124.958</v>
      </c>
      <c r="D6" s="15">
        <v>16.4862</v>
      </c>
      <c r="E6" s="15">
        <v>4.2210700000000001</v>
      </c>
      <c r="F6" s="15">
        <v>138.35300000000001</v>
      </c>
      <c r="G6" s="16">
        <v>2.0934E-5</v>
      </c>
      <c r="H6" s="15">
        <v>17.029199999999999</v>
      </c>
      <c r="I6" s="15">
        <v>81.924599999999998</v>
      </c>
      <c r="J6" s="15">
        <v>52.628999999999998</v>
      </c>
    </row>
    <row r="7" spans="1:10" x14ac:dyDescent="0.2">
      <c r="A7" s="1">
        <v>2025</v>
      </c>
      <c r="B7" s="15">
        <v>172.32</v>
      </c>
      <c r="C7" s="15">
        <v>128.29300000000001</v>
      </c>
      <c r="D7" s="15">
        <v>16.468299999999999</v>
      </c>
      <c r="E7" s="15">
        <v>4.2316000000000003</v>
      </c>
      <c r="F7" s="15">
        <v>140.93299999999999</v>
      </c>
      <c r="G7" s="16">
        <v>4.1097999999999999E-5</v>
      </c>
      <c r="H7" s="15">
        <v>16.8325</v>
      </c>
      <c r="I7" s="15">
        <v>82.402500000000003</v>
      </c>
      <c r="J7" s="15">
        <v>53.442999999999998</v>
      </c>
    </row>
    <row r="8" spans="1:10" x14ac:dyDescent="0.2">
      <c r="A8" s="1">
        <v>2026</v>
      </c>
      <c r="B8" s="15">
        <v>174.76300000000001</v>
      </c>
      <c r="C8" s="15">
        <v>122.76300000000001</v>
      </c>
      <c r="D8" s="15">
        <v>16.348500000000001</v>
      </c>
      <c r="E8" s="15">
        <v>4.2136899999999997</v>
      </c>
      <c r="F8" s="15">
        <v>140.821</v>
      </c>
      <c r="G8" s="16">
        <v>0.28670400000000001</v>
      </c>
      <c r="H8" s="15">
        <v>16.281500000000001</v>
      </c>
      <c r="I8" s="15">
        <v>82.050700000000006</v>
      </c>
      <c r="J8" s="15">
        <v>53.1661</v>
      </c>
    </row>
    <row r="9" spans="1:10" x14ac:dyDescent="0.2">
      <c r="A9" s="1">
        <v>2027</v>
      </c>
      <c r="B9" s="15">
        <v>176.85499999999999</v>
      </c>
      <c r="C9" s="15">
        <v>113.992</v>
      </c>
      <c r="D9" s="15">
        <v>16.151599999999998</v>
      </c>
      <c r="E9" s="15">
        <v>4.1743300000000003</v>
      </c>
      <c r="F9" s="15">
        <v>140.28800000000001</v>
      </c>
      <c r="G9" s="16">
        <v>0.61358100000000004</v>
      </c>
      <c r="H9" s="15">
        <v>15.342000000000001</v>
      </c>
      <c r="I9" s="15">
        <v>81.722700000000003</v>
      </c>
      <c r="J9" s="15">
        <v>52.813699999999997</v>
      </c>
    </row>
    <row r="10" spans="1:10" x14ac:dyDescent="0.2">
      <c r="A10" s="1">
        <v>2028</v>
      </c>
      <c r="B10" s="15">
        <v>178.61799999999999</v>
      </c>
      <c r="C10" s="15">
        <v>102.621</v>
      </c>
      <c r="D10" s="15">
        <v>15.9564</v>
      </c>
      <c r="E10" s="15">
        <v>4.1379000000000001</v>
      </c>
      <c r="F10" s="15">
        <v>124.122</v>
      </c>
      <c r="G10" s="16">
        <v>0.91054299999999999</v>
      </c>
      <c r="H10" s="15">
        <v>14.2141</v>
      </c>
      <c r="I10" s="15">
        <v>81.319900000000004</v>
      </c>
      <c r="J10" s="15">
        <v>49.9559</v>
      </c>
    </row>
    <row r="11" spans="1:10" x14ac:dyDescent="0.2">
      <c r="A11" s="1">
        <v>2029</v>
      </c>
      <c r="B11" s="15">
        <v>180.119</v>
      </c>
      <c r="C11" s="15">
        <v>89.312600000000003</v>
      </c>
      <c r="D11" s="15">
        <v>15.723599999999999</v>
      </c>
      <c r="E11" s="15">
        <v>4.0859500000000004</v>
      </c>
      <c r="F11" s="15">
        <v>124.22</v>
      </c>
      <c r="G11" s="16">
        <v>1.2223299999999999</v>
      </c>
      <c r="H11" s="15">
        <v>12.6973</v>
      </c>
      <c r="I11" s="15">
        <v>81.038899999999998</v>
      </c>
      <c r="J11" s="15">
        <v>49.466000000000001</v>
      </c>
    </row>
    <row r="12" spans="1:10" x14ac:dyDescent="0.2">
      <c r="A12" s="1">
        <v>2030</v>
      </c>
      <c r="B12" s="15">
        <v>181.13900000000001</v>
      </c>
      <c r="C12" s="15">
        <v>81.590400000000002</v>
      </c>
      <c r="D12" s="15">
        <v>15.476699999999999</v>
      </c>
      <c r="E12" s="15">
        <v>4.0331700000000001</v>
      </c>
      <c r="F12" s="15">
        <v>122.879</v>
      </c>
      <c r="G12" s="16">
        <v>1.52112</v>
      </c>
      <c r="H12" s="15">
        <v>10.9924</v>
      </c>
      <c r="I12" s="15">
        <v>80.7333</v>
      </c>
      <c r="J12" s="15">
        <v>48.911799999999999</v>
      </c>
    </row>
    <row r="13" spans="1:10" x14ac:dyDescent="0.2">
      <c r="A13" s="1">
        <v>2031</v>
      </c>
      <c r="B13" s="15">
        <v>181.65</v>
      </c>
      <c r="C13" s="15">
        <v>78.335400000000007</v>
      </c>
      <c r="D13" s="15">
        <v>15.194599999999999</v>
      </c>
      <c r="E13" s="15">
        <v>3.9647199999999998</v>
      </c>
      <c r="F13" s="15">
        <v>120.629</v>
      </c>
      <c r="G13" s="16">
        <v>1.80989</v>
      </c>
      <c r="H13" s="15">
        <v>8.8986400000000003</v>
      </c>
      <c r="I13" s="15">
        <v>80.330299999999994</v>
      </c>
      <c r="J13" s="15">
        <v>48.403199999999998</v>
      </c>
    </row>
    <row r="14" spans="1:10" x14ac:dyDescent="0.2">
      <c r="A14" s="1">
        <v>2032</v>
      </c>
      <c r="B14" s="15">
        <v>181.63200000000001</v>
      </c>
      <c r="C14" s="15">
        <v>77.509299999999996</v>
      </c>
      <c r="D14" s="15">
        <v>14.9565</v>
      </c>
      <c r="E14" s="15">
        <v>3.9485000000000001</v>
      </c>
      <c r="F14" s="15">
        <v>119.182</v>
      </c>
      <c r="G14" s="16">
        <v>2.09836</v>
      </c>
      <c r="H14" s="15">
        <v>6.6161000000000003</v>
      </c>
      <c r="I14" s="15">
        <v>79.914100000000005</v>
      </c>
      <c r="J14" s="15">
        <v>47.880499999999998</v>
      </c>
    </row>
    <row r="15" spans="1:10" x14ac:dyDescent="0.2">
      <c r="A15" s="1">
        <v>2033</v>
      </c>
      <c r="B15" s="15">
        <v>181.244</v>
      </c>
      <c r="C15" s="15">
        <v>77.706400000000002</v>
      </c>
      <c r="D15" s="15">
        <v>14.722099999999999</v>
      </c>
      <c r="E15" s="15">
        <v>3.9283800000000002</v>
      </c>
      <c r="F15" s="15">
        <v>106.557</v>
      </c>
      <c r="G15" s="16">
        <v>2.3811300000000002</v>
      </c>
      <c r="H15" s="15">
        <v>3.94556</v>
      </c>
      <c r="I15" s="15">
        <v>79.486000000000004</v>
      </c>
      <c r="J15" s="15">
        <v>45.884700000000002</v>
      </c>
    </row>
    <row r="16" spans="1:10" x14ac:dyDescent="0.2">
      <c r="A16" s="1">
        <v>2034</v>
      </c>
      <c r="B16" s="15">
        <v>180.51400000000001</v>
      </c>
      <c r="C16" s="15">
        <v>76.650599999999997</v>
      </c>
      <c r="D16" s="15">
        <v>14.3405</v>
      </c>
      <c r="E16" s="15">
        <v>3.8723900000000002</v>
      </c>
      <c r="F16" s="15">
        <v>105.887</v>
      </c>
      <c r="G16" s="16">
        <v>2.6607099999999999</v>
      </c>
      <c r="H16" s="15">
        <v>0.98620300000000005</v>
      </c>
      <c r="I16" s="15">
        <v>79.045199999999994</v>
      </c>
      <c r="J16" s="15">
        <v>45.356499999999997</v>
      </c>
    </row>
    <row r="17" spans="1:10" x14ac:dyDescent="0.2">
      <c r="A17" s="1">
        <v>2035</v>
      </c>
      <c r="B17" s="15">
        <v>179.48599999999999</v>
      </c>
      <c r="C17" s="15">
        <v>75.347099999999998</v>
      </c>
      <c r="D17" s="15">
        <v>13.9168</v>
      </c>
      <c r="E17" s="15">
        <v>3.7966700000000002</v>
      </c>
      <c r="F17" s="15">
        <v>105.22199999999999</v>
      </c>
      <c r="G17" s="16">
        <v>3.06026</v>
      </c>
      <c r="H17" s="15">
        <v>-2.1617199999999999</v>
      </c>
      <c r="I17" s="15">
        <v>78.624700000000004</v>
      </c>
      <c r="J17" s="15">
        <v>44.770699999999998</v>
      </c>
    </row>
    <row r="18" spans="1:10" x14ac:dyDescent="0.2">
      <c r="A18" s="1">
        <v>2036</v>
      </c>
      <c r="B18" s="15">
        <v>177.98599999999999</v>
      </c>
      <c r="C18" s="15">
        <v>73.605999999999995</v>
      </c>
      <c r="D18" s="15">
        <v>13.4331</v>
      </c>
      <c r="E18" s="15">
        <v>3.6972100000000001</v>
      </c>
      <c r="F18" s="15">
        <v>102.685</v>
      </c>
      <c r="G18" s="16">
        <v>3.35182</v>
      </c>
      <c r="H18" s="15">
        <v>-5.6981700000000002</v>
      </c>
      <c r="I18" s="15">
        <v>78.176500000000004</v>
      </c>
      <c r="J18" s="15">
        <v>44.164099999999998</v>
      </c>
    </row>
    <row r="19" spans="1:10" x14ac:dyDescent="0.2">
      <c r="A19" s="1">
        <v>2037</v>
      </c>
      <c r="B19" s="15">
        <v>175.50200000000001</v>
      </c>
      <c r="C19" s="15">
        <v>71.994399999999999</v>
      </c>
      <c r="D19" s="15">
        <v>12.8939</v>
      </c>
      <c r="E19" s="15">
        <v>3.57585</v>
      </c>
      <c r="F19" s="15">
        <v>100.048</v>
      </c>
      <c r="G19" s="16">
        <v>3.6699000000000002</v>
      </c>
      <c r="H19" s="15">
        <v>-9.4229000000000003</v>
      </c>
      <c r="I19" s="15">
        <v>77.745999999999995</v>
      </c>
      <c r="J19" s="15">
        <v>43.532699999999998</v>
      </c>
    </row>
    <row r="20" spans="1:10" x14ac:dyDescent="0.2">
      <c r="A20" s="1">
        <v>2038</v>
      </c>
      <c r="B20" s="15">
        <v>172.68</v>
      </c>
      <c r="C20" s="15">
        <v>69.385800000000003</v>
      </c>
      <c r="D20" s="15">
        <v>12.2682</v>
      </c>
      <c r="E20" s="15">
        <v>3.43391</v>
      </c>
      <c r="F20" s="15">
        <v>95.6541</v>
      </c>
      <c r="G20" s="16">
        <v>3.9746199999999998</v>
      </c>
      <c r="H20" s="15">
        <v>-13.5367</v>
      </c>
      <c r="I20" s="15">
        <v>77.236599999999996</v>
      </c>
      <c r="J20" s="15">
        <v>42.688299999999998</v>
      </c>
    </row>
    <row r="21" spans="1:10" x14ac:dyDescent="0.2">
      <c r="A21" s="1">
        <v>2039</v>
      </c>
      <c r="B21" s="15">
        <v>169.375</v>
      </c>
      <c r="C21" s="15">
        <v>66.5702</v>
      </c>
      <c r="D21" s="15">
        <v>11.657999999999999</v>
      </c>
      <c r="E21" s="15">
        <v>3.2972199999999998</v>
      </c>
      <c r="F21" s="15">
        <v>92.506500000000003</v>
      </c>
      <c r="G21" s="16">
        <v>4.2857099999999999</v>
      </c>
      <c r="H21" s="15">
        <v>-17.838799999999999</v>
      </c>
      <c r="I21" s="15">
        <v>76.851900000000001</v>
      </c>
      <c r="J21" s="15">
        <v>42.103400000000001</v>
      </c>
    </row>
    <row r="22" spans="1:10" x14ac:dyDescent="0.2">
      <c r="A22" s="1">
        <v>2040</v>
      </c>
      <c r="B22" s="15">
        <v>165.739</v>
      </c>
      <c r="C22" s="15">
        <v>63.032800000000002</v>
      </c>
      <c r="D22" s="15">
        <v>11.0578</v>
      </c>
      <c r="E22" s="15">
        <v>3.1548600000000002</v>
      </c>
      <c r="F22" s="15">
        <v>89.299499999999995</v>
      </c>
      <c r="G22" s="16">
        <v>4.6032000000000002</v>
      </c>
      <c r="H22" s="15">
        <v>-22.529199999999999</v>
      </c>
      <c r="I22" s="15">
        <v>76.463200000000001</v>
      </c>
      <c r="J22" s="15">
        <v>41.442399999999999</v>
      </c>
    </row>
    <row r="23" spans="1:10" x14ac:dyDescent="0.2">
      <c r="A23" s="1">
        <v>2041</v>
      </c>
      <c r="B23" s="15">
        <v>161.56399999999999</v>
      </c>
      <c r="C23" s="15">
        <v>59.097799999999999</v>
      </c>
      <c r="D23" s="15">
        <v>10.4474</v>
      </c>
      <c r="E23" s="15">
        <v>3.0001199999999999</v>
      </c>
      <c r="F23" s="15">
        <v>85.008499999999998</v>
      </c>
      <c r="G23" s="16">
        <v>4.9202899999999996</v>
      </c>
      <c r="H23" s="15">
        <v>-27.4087</v>
      </c>
      <c r="I23" s="15">
        <v>75.867400000000004</v>
      </c>
      <c r="J23" s="15">
        <v>39.643000000000001</v>
      </c>
    </row>
    <row r="24" spans="1:10" x14ac:dyDescent="0.2">
      <c r="A24" s="1">
        <v>2042</v>
      </c>
      <c r="B24" s="15">
        <v>156.94800000000001</v>
      </c>
      <c r="C24" s="15">
        <v>54.244500000000002</v>
      </c>
      <c r="D24" s="15">
        <v>9.8330699999999993</v>
      </c>
      <c r="E24" s="15">
        <v>2.8392599999999999</v>
      </c>
      <c r="F24" s="15">
        <v>80.544600000000003</v>
      </c>
      <c r="G24" s="16">
        <v>5.2472300000000001</v>
      </c>
      <c r="H24" s="15">
        <v>-32.676099999999998</v>
      </c>
      <c r="I24" s="15">
        <v>75.416700000000006</v>
      </c>
      <c r="J24" s="15">
        <v>39.038800000000002</v>
      </c>
    </row>
    <row r="25" spans="1:10" x14ac:dyDescent="0.2">
      <c r="A25" s="1">
        <v>2043</v>
      </c>
      <c r="B25" s="15">
        <v>152.21299999999999</v>
      </c>
      <c r="C25" s="15">
        <v>49.010300000000001</v>
      </c>
      <c r="D25" s="15">
        <v>9.2247000000000003</v>
      </c>
      <c r="E25" s="15">
        <v>2.6718700000000002</v>
      </c>
      <c r="F25" s="15">
        <v>75.864400000000003</v>
      </c>
      <c r="G25" s="16">
        <v>5.5754900000000003</v>
      </c>
      <c r="H25" s="15">
        <v>-38.132399999999997</v>
      </c>
      <c r="I25" s="15">
        <v>74.970200000000006</v>
      </c>
      <c r="J25" s="15">
        <v>38.383200000000002</v>
      </c>
    </row>
    <row r="26" spans="1:10" x14ac:dyDescent="0.2">
      <c r="A26" s="1">
        <v>2044</v>
      </c>
      <c r="B26" s="15">
        <v>147.35900000000001</v>
      </c>
      <c r="C26" s="15">
        <v>44.203699999999998</v>
      </c>
      <c r="D26" s="15">
        <v>8.6179900000000007</v>
      </c>
      <c r="E26" s="15">
        <v>2.5002399999999998</v>
      </c>
      <c r="F26" s="15">
        <v>70.866299999999995</v>
      </c>
      <c r="G26" s="16">
        <v>5.89513</v>
      </c>
      <c r="H26" s="15">
        <v>-43.9773</v>
      </c>
      <c r="I26" s="15">
        <v>74.232900000000001</v>
      </c>
      <c r="J26" s="15">
        <v>37.108400000000003</v>
      </c>
    </row>
    <row r="27" spans="1:10" x14ac:dyDescent="0.2">
      <c r="A27" s="1">
        <v>2045</v>
      </c>
      <c r="B27" s="15">
        <v>142.416</v>
      </c>
      <c r="C27" s="15">
        <v>38.560899999999997</v>
      </c>
      <c r="D27" s="15">
        <v>8.0101499999999994</v>
      </c>
      <c r="E27" s="15">
        <v>2.3248899999999999</v>
      </c>
      <c r="F27" s="15">
        <v>65.9435</v>
      </c>
      <c r="G27" s="16">
        <v>6.2328999999999999</v>
      </c>
      <c r="H27" s="15">
        <v>-50.110599999999998</v>
      </c>
      <c r="I27" s="15">
        <v>74.009500000000003</v>
      </c>
      <c r="J27" s="15">
        <v>36.492699999999999</v>
      </c>
    </row>
    <row r="28" spans="1:10" x14ac:dyDescent="0.2">
      <c r="A28" s="1">
        <v>2046</v>
      </c>
      <c r="B28" s="15">
        <v>137.17099999999999</v>
      </c>
      <c r="C28" s="15">
        <v>33.366</v>
      </c>
      <c r="D28" s="15">
        <v>7.4010499999999997</v>
      </c>
      <c r="E28" s="15">
        <v>2.1438899999999999</v>
      </c>
      <c r="F28" s="15">
        <v>61.607300000000002</v>
      </c>
      <c r="G28" s="16">
        <v>6.5615399999999999</v>
      </c>
      <c r="H28" s="15">
        <v>-56.432600000000001</v>
      </c>
      <c r="I28" s="15">
        <v>72.458799999999997</v>
      </c>
      <c r="J28" s="15">
        <v>35.39</v>
      </c>
    </row>
    <row r="29" spans="1:10" x14ac:dyDescent="0.2">
      <c r="A29" s="1">
        <v>2047</v>
      </c>
      <c r="B29" s="15">
        <v>131.696</v>
      </c>
      <c r="C29" s="15">
        <v>28.2727</v>
      </c>
      <c r="D29" s="15">
        <v>6.78505</v>
      </c>
      <c r="E29" s="15">
        <v>1.958</v>
      </c>
      <c r="F29" s="15">
        <v>56.912999999999997</v>
      </c>
      <c r="G29" s="16">
        <v>6.8975900000000001</v>
      </c>
      <c r="H29" s="15">
        <v>-63.143099999999997</v>
      </c>
      <c r="I29" s="15">
        <v>71.961600000000004</v>
      </c>
      <c r="J29" s="15">
        <v>34.7395</v>
      </c>
    </row>
    <row r="30" spans="1:10" x14ac:dyDescent="0.2">
      <c r="A30" s="1">
        <v>2048</v>
      </c>
      <c r="B30" s="15">
        <v>126.239</v>
      </c>
      <c r="C30" s="15">
        <v>24.5931</v>
      </c>
      <c r="D30" s="15">
        <v>6.1866300000000001</v>
      </c>
      <c r="E30" s="15">
        <v>1.77485</v>
      </c>
      <c r="F30" s="15">
        <v>52.229599999999998</v>
      </c>
      <c r="G30" s="16">
        <v>7.23698</v>
      </c>
      <c r="H30" s="15">
        <v>-70.042100000000005</v>
      </c>
      <c r="I30" s="15">
        <v>71.533000000000001</v>
      </c>
      <c r="J30" s="15">
        <v>34.191800000000001</v>
      </c>
    </row>
    <row r="31" spans="1:10" x14ac:dyDescent="0.2">
      <c r="A31" s="1">
        <v>2049</v>
      </c>
      <c r="B31" s="15">
        <v>120.63200000000001</v>
      </c>
      <c r="C31" s="15">
        <v>21.773800000000001</v>
      </c>
      <c r="D31" s="15">
        <v>5.5860000000000003</v>
      </c>
      <c r="E31" s="15">
        <v>1.58917</v>
      </c>
      <c r="F31" s="15">
        <v>47.926699999999997</v>
      </c>
      <c r="G31" s="16">
        <v>7.5897800000000002</v>
      </c>
      <c r="H31" s="15">
        <v>-77.329400000000007</v>
      </c>
      <c r="I31" s="15">
        <v>71.075199999999995</v>
      </c>
      <c r="J31" s="15">
        <v>33.675199999999997</v>
      </c>
    </row>
    <row r="32" spans="1:10" x14ac:dyDescent="0.2">
      <c r="A32" s="1">
        <v>2050</v>
      </c>
      <c r="B32" s="15">
        <v>114.92</v>
      </c>
      <c r="C32" s="15">
        <v>19.5245</v>
      </c>
      <c r="D32" s="15">
        <v>4.9922399999999998</v>
      </c>
      <c r="E32" s="15">
        <v>1.4034599999999999</v>
      </c>
      <c r="F32" s="15">
        <v>43.720399999999998</v>
      </c>
      <c r="G32" s="16">
        <v>7.95181</v>
      </c>
      <c r="H32" s="15">
        <v>-84.805800000000005</v>
      </c>
      <c r="I32" s="15">
        <v>70.676699999999997</v>
      </c>
      <c r="J32" s="15">
        <v>33.188800000000001</v>
      </c>
    </row>
    <row r="40" spans="3:7" x14ac:dyDescent="0.2">
      <c r="C40" s="2"/>
      <c r="D40" s="2"/>
      <c r="E40" s="2"/>
      <c r="F40" s="2"/>
      <c r="G4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AC8C-CE66-004A-9835-EBAB69F11AA5}">
  <dimension ref="A1:AF29"/>
  <sheetViews>
    <sheetView workbookViewId="0">
      <selection activeCell="A30" sqref="A30"/>
    </sheetView>
  </sheetViews>
  <sheetFormatPr baseColWidth="10" defaultRowHeight="16" x14ac:dyDescent="0.2"/>
  <cols>
    <col min="1" max="1" width="71.6640625" customWidth="1"/>
  </cols>
  <sheetData>
    <row r="1" spans="1:32" x14ac:dyDescent="0.2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63</v>
      </c>
      <c r="B2">
        <v>13.5351</v>
      </c>
      <c r="C2">
        <v>29.6539</v>
      </c>
      <c r="D2">
        <v>18.725200000000001</v>
      </c>
      <c r="E2">
        <v>19.198399999999999</v>
      </c>
      <c r="F2">
        <v>20.029599999999999</v>
      </c>
      <c r="G2">
        <v>22.668700000000001</v>
      </c>
      <c r="H2">
        <v>21.258099999999999</v>
      </c>
      <c r="I2">
        <v>19.747599999999998</v>
      </c>
      <c r="J2">
        <v>19.5031</v>
      </c>
      <c r="K2">
        <v>17.857600000000001</v>
      </c>
      <c r="L2">
        <v>18.657499999999999</v>
      </c>
      <c r="M2">
        <v>18.861000000000001</v>
      </c>
      <c r="N2">
        <v>18.538799999999998</v>
      </c>
      <c r="O2">
        <v>19.392900000000001</v>
      </c>
      <c r="P2">
        <v>19.433599999999998</v>
      </c>
      <c r="Q2">
        <v>19.558900000000001</v>
      </c>
      <c r="R2">
        <v>18.3841</v>
      </c>
      <c r="S2">
        <v>18.0046</v>
      </c>
      <c r="T2">
        <v>17.206800000000001</v>
      </c>
      <c r="U2">
        <v>15.6631</v>
      </c>
      <c r="V2">
        <v>15.458</v>
      </c>
      <c r="W2">
        <v>15.5039</v>
      </c>
      <c r="X2">
        <v>15.6555</v>
      </c>
      <c r="Y2">
        <v>14.3024</v>
      </c>
      <c r="Z2">
        <v>14.5304</v>
      </c>
      <c r="AA2">
        <v>14.367699999999999</v>
      </c>
      <c r="AB2">
        <v>14.2142</v>
      </c>
      <c r="AC2">
        <v>13.0944</v>
      </c>
      <c r="AD2">
        <v>12.895300000000001</v>
      </c>
      <c r="AE2">
        <v>12.5366</v>
      </c>
      <c r="AF2">
        <v>12.687200000000001</v>
      </c>
    </row>
    <row r="3" spans="1:32" x14ac:dyDescent="0.2">
      <c r="A3" t="s">
        <v>64</v>
      </c>
      <c r="B3">
        <v>179.7</v>
      </c>
      <c r="C3">
        <v>183.09899999999999</v>
      </c>
      <c r="D3">
        <v>170.429</v>
      </c>
      <c r="E3">
        <v>173.27199999999999</v>
      </c>
      <c r="F3">
        <v>172.27799999999999</v>
      </c>
      <c r="G3">
        <v>172.529</v>
      </c>
      <c r="H3">
        <v>180.411</v>
      </c>
      <c r="I3">
        <v>187.44300000000001</v>
      </c>
      <c r="J3">
        <v>185.31700000000001</v>
      </c>
      <c r="K3">
        <v>183.80500000000001</v>
      </c>
      <c r="L3">
        <v>183.25700000000001</v>
      </c>
      <c r="M3">
        <v>182.43899999999999</v>
      </c>
      <c r="N3">
        <v>181.749</v>
      </c>
      <c r="O3">
        <v>180.82900000000001</v>
      </c>
      <c r="P3">
        <v>181.029</v>
      </c>
      <c r="Q3">
        <v>181.464</v>
      </c>
      <c r="R3">
        <v>182.43199999999999</v>
      </c>
      <c r="S3">
        <v>182.75399999999999</v>
      </c>
      <c r="T3">
        <v>183.322</v>
      </c>
      <c r="U3">
        <v>184.654</v>
      </c>
      <c r="V3">
        <v>185.05799999999999</v>
      </c>
      <c r="W3">
        <v>186.24</v>
      </c>
      <c r="X3">
        <v>186.59100000000001</v>
      </c>
      <c r="Y3">
        <v>187.09700000000001</v>
      </c>
      <c r="Z3">
        <v>187.15</v>
      </c>
      <c r="AA3">
        <v>188.14</v>
      </c>
      <c r="AB3">
        <v>188.76599999999999</v>
      </c>
      <c r="AC3">
        <v>189.19300000000001</v>
      </c>
      <c r="AD3">
        <v>190.68799999999999</v>
      </c>
      <c r="AE3">
        <v>193.083</v>
      </c>
      <c r="AF3">
        <v>192.49700000000001</v>
      </c>
    </row>
    <row r="4" spans="1:32" x14ac:dyDescent="0.2">
      <c r="A4" t="s">
        <v>65</v>
      </c>
      <c r="B4">
        <v>10.882899999999999</v>
      </c>
      <c r="C4">
        <v>10.882899999999999</v>
      </c>
      <c r="D4">
        <v>10.882899999999999</v>
      </c>
      <c r="E4">
        <v>10.882899999999999</v>
      </c>
      <c r="F4">
        <v>10.882899999999999</v>
      </c>
      <c r="G4">
        <v>10.882899999999999</v>
      </c>
      <c r="H4">
        <v>10.882899999999999</v>
      </c>
      <c r="I4">
        <v>10.882899999999999</v>
      </c>
      <c r="J4">
        <v>10.882899999999999</v>
      </c>
      <c r="K4">
        <v>10.882899999999999</v>
      </c>
      <c r="L4">
        <v>10.882899999999999</v>
      </c>
      <c r="M4">
        <v>10.882899999999999</v>
      </c>
      <c r="N4">
        <v>10.882899999999999</v>
      </c>
      <c r="O4">
        <v>10.882899999999999</v>
      </c>
      <c r="P4">
        <v>10.882899999999999</v>
      </c>
      <c r="Q4">
        <v>10.882899999999999</v>
      </c>
      <c r="R4">
        <v>10.882899999999999</v>
      </c>
      <c r="S4">
        <v>10.882899999999999</v>
      </c>
      <c r="T4">
        <v>10.882899999999999</v>
      </c>
      <c r="U4">
        <v>10.882899999999999</v>
      </c>
      <c r="V4">
        <v>10.882899999999999</v>
      </c>
      <c r="W4">
        <v>10.882899999999999</v>
      </c>
      <c r="X4">
        <v>10.882899999999999</v>
      </c>
      <c r="Y4">
        <v>10.882899999999999</v>
      </c>
      <c r="Z4">
        <v>10.882899999999999</v>
      </c>
      <c r="AA4">
        <v>10.882899999999999</v>
      </c>
      <c r="AB4">
        <v>10.882899999999999</v>
      </c>
      <c r="AC4">
        <v>10.882899999999999</v>
      </c>
      <c r="AD4">
        <v>10.882899999999999</v>
      </c>
      <c r="AE4">
        <v>10.882899999999999</v>
      </c>
      <c r="AF4">
        <v>10.882899999999999</v>
      </c>
    </row>
    <row r="5" spans="1:32" x14ac:dyDescent="0.2">
      <c r="A5" t="s">
        <v>66</v>
      </c>
      <c r="B5">
        <v>31.305900000000001</v>
      </c>
      <c r="C5">
        <v>31.305900000000001</v>
      </c>
      <c r="D5">
        <v>31.305900000000001</v>
      </c>
      <c r="E5">
        <v>31.305900000000001</v>
      </c>
      <c r="F5">
        <v>31.305900000000001</v>
      </c>
      <c r="G5">
        <v>31.305900000000001</v>
      </c>
      <c r="H5">
        <v>31.305900000000001</v>
      </c>
      <c r="I5">
        <v>31.305900000000001</v>
      </c>
      <c r="J5">
        <v>31.305900000000001</v>
      </c>
      <c r="K5">
        <v>31.305900000000001</v>
      </c>
      <c r="L5">
        <v>31.305900000000001</v>
      </c>
      <c r="M5">
        <v>31.305900000000001</v>
      </c>
      <c r="N5">
        <v>31.305900000000001</v>
      </c>
      <c r="O5">
        <v>31.305900000000001</v>
      </c>
      <c r="P5">
        <v>31.305900000000001</v>
      </c>
      <c r="Q5">
        <v>31.305900000000001</v>
      </c>
      <c r="R5">
        <v>31.305900000000001</v>
      </c>
      <c r="S5">
        <v>31.305900000000001</v>
      </c>
      <c r="T5">
        <v>31.305900000000001</v>
      </c>
      <c r="U5">
        <v>31.305900000000001</v>
      </c>
      <c r="V5">
        <v>31.305900000000001</v>
      </c>
      <c r="W5">
        <v>31.305900000000001</v>
      </c>
      <c r="X5">
        <v>31.305900000000001</v>
      </c>
      <c r="Y5">
        <v>31.305900000000001</v>
      </c>
      <c r="Z5">
        <v>31.305900000000001</v>
      </c>
      <c r="AA5">
        <v>31.305900000000001</v>
      </c>
      <c r="AB5">
        <v>31.305900000000001</v>
      </c>
      <c r="AC5">
        <v>31.305900000000001</v>
      </c>
      <c r="AD5">
        <v>31.305900000000001</v>
      </c>
      <c r="AE5">
        <v>31.305900000000001</v>
      </c>
      <c r="AF5">
        <v>31.305900000000001</v>
      </c>
    </row>
    <row r="6" spans="1:32" x14ac:dyDescent="0.2">
      <c r="A6" t="s">
        <v>67</v>
      </c>
      <c r="B6">
        <v>34.7425</v>
      </c>
      <c r="C6">
        <v>37.047899999999998</v>
      </c>
      <c r="D6">
        <v>38.311700000000002</v>
      </c>
      <c r="E6">
        <v>41.4758</v>
      </c>
      <c r="F6">
        <v>44.290900000000001</v>
      </c>
      <c r="G6">
        <v>46.083799999999997</v>
      </c>
      <c r="H6">
        <v>48.0974</v>
      </c>
      <c r="I6">
        <v>50.376300000000001</v>
      </c>
      <c r="J6">
        <v>53.649700000000003</v>
      </c>
      <c r="K6">
        <v>56.598500000000001</v>
      </c>
      <c r="L6">
        <v>58.9756</v>
      </c>
      <c r="M6">
        <v>61.142699999999998</v>
      </c>
      <c r="N6">
        <v>63.028399999999998</v>
      </c>
      <c r="O6">
        <v>64.540000000000006</v>
      </c>
      <c r="P6">
        <v>66.412499999999994</v>
      </c>
      <c r="Q6">
        <v>68.336600000000004</v>
      </c>
      <c r="R6">
        <v>70.488600000000005</v>
      </c>
      <c r="S6">
        <v>72.4773</v>
      </c>
      <c r="T6">
        <v>74.317700000000002</v>
      </c>
      <c r="U6">
        <v>76.201300000000003</v>
      </c>
      <c r="V6">
        <v>77.924899999999994</v>
      </c>
      <c r="W6">
        <v>79.510800000000003</v>
      </c>
      <c r="X6">
        <v>81.310500000000005</v>
      </c>
      <c r="Y6">
        <v>83.565700000000007</v>
      </c>
      <c r="Z6">
        <v>85.252700000000004</v>
      </c>
      <c r="AA6">
        <v>87.191000000000003</v>
      </c>
      <c r="AB6">
        <v>89.179699999999997</v>
      </c>
      <c r="AC6">
        <v>91.323800000000006</v>
      </c>
      <c r="AD6">
        <v>93.285600000000002</v>
      </c>
      <c r="AE6">
        <v>95.164500000000004</v>
      </c>
      <c r="AF6">
        <v>97.2988</v>
      </c>
    </row>
    <row r="7" spans="1:32" x14ac:dyDescent="0.2">
      <c r="A7" t="s">
        <v>68</v>
      </c>
      <c r="B7">
        <v>31.223099999999999</v>
      </c>
      <c r="C7">
        <v>34.682099999999998</v>
      </c>
      <c r="D7">
        <v>36.813699999999997</v>
      </c>
      <c r="E7">
        <v>42.06</v>
      </c>
      <c r="F7">
        <v>47.4985</v>
      </c>
      <c r="G7">
        <v>50.369300000000003</v>
      </c>
      <c r="H7">
        <v>54.343400000000003</v>
      </c>
      <c r="I7">
        <v>59.210799999999999</v>
      </c>
      <c r="J7">
        <v>66.813299999999998</v>
      </c>
      <c r="K7">
        <v>74.117800000000003</v>
      </c>
      <c r="L7">
        <v>80.378299999999996</v>
      </c>
      <c r="M7">
        <v>85.915899999999993</v>
      </c>
      <c r="N7">
        <v>91.3523</v>
      </c>
      <c r="O7">
        <v>95.804500000000004</v>
      </c>
      <c r="P7">
        <v>101.38200000000001</v>
      </c>
      <c r="Q7">
        <v>107.143</v>
      </c>
      <c r="R7">
        <v>113.6</v>
      </c>
      <c r="S7">
        <v>119.565</v>
      </c>
      <c r="T7">
        <v>125.40300000000001</v>
      </c>
      <c r="U7">
        <v>131.53399999999999</v>
      </c>
      <c r="V7">
        <v>137.27600000000001</v>
      </c>
      <c r="W7">
        <v>142.625</v>
      </c>
      <c r="X7">
        <v>148.64400000000001</v>
      </c>
      <c r="Y7">
        <v>156.06399999999999</v>
      </c>
      <c r="Z7">
        <v>161.79400000000001</v>
      </c>
      <c r="AA7">
        <v>168.30099999999999</v>
      </c>
      <c r="AB7">
        <v>174.94900000000001</v>
      </c>
      <c r="AC7">
        <v>182.09399999999999</v>
      </c>
      <c r="AD7">
        <v>188.68600000000001</v>
      </c>
      <c r="AE7">
        <v>195.04900000000001</v>
      </c>
      <c r="AF7">
        <v>202.131</v>
      </c>
    </row>
    <row r="8" spans="1:32" x14ac:dyDescent="0.2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70</v>
      </c>
      <c r="B9">
        <v>6.6264399999999997</v>
      </c>
      <c r="C9">
        <v>6.7628300000000001</v>
      </c>
      <c r="D9">
        <v>6.7628300000000001</v>
      </c>
      <c r="E9">
        <v>6.8992199999999997</v>
      </c>
      <c r="F9">
        <v>7.0356199999999998</v>
      </c>
      <c r="G9">
        <v>7.0356199999999998</v>
      </c>
      <c r="H9">
        <v>7.0356199999999998</v>
      </c>
      <c r="I9">
        <v>7.0356199999999998</v>
      </c>
      <c r="J9">
        <v>7.0356199999999998</v>
      </c>
      <c r="K9">
        <v>7.0356199999999998</v>
      </c>
      <c r="L9">
        <v>7.0356199999999998</v>
      </c>
      <c r="M9">
        <v>7.0356199999999998</v>
      </c>
      <c r="N9">
        <v>7.0356199999999998</v>
      </c>
      <c r="O9">
        <v>7.0356199999999998</v>
      </c>
      <c r="P9">
        <v>7.0356199999999998</v>
      </c>
      <c r="Q9">
        <v>7.0356199999999998</v>
      </c>
      <c r="R9">
        <v>7.0356199999999998</v>
      </c>
      <c r="S9">
        <v>7.0356199999999998</v>
      </c>
      <c r="T9">
        <v>7.0356199999999998</v>
      </c>
      <c r="U9">
        <v>7.0356199999999998</v>
      </c>
      <c r="V9">
        <v>7.0356199999999998</v>
      </c>
      <c r="W9">
        <v>7.0356199999999998</v>
      </c>
      <c r="X9">
        <v>7.0356199999999998</v>
      </c>
      <c r="Y9">
        <v>7.0356199999999998</v>
      </c>
      <c r="Z9">
        <v>7.0356199999999998</v>
      </c>
      <c r="AA9">
        <v>7.0356199999999998</v>
      </c>
      <c r="AB9">
        <v>7.0356199999999998</v>
      </c>
      <c r="AC9">
        <v>7.0356199999999998</v>
      </c>
      <c r="AD9">
        <v>7.0356199999999998</v>
      </c>
      <c r="AE9">
        <v>7.0356199999999998</v>
      </c>
      <c r="AF9">
        <v>7.0356199999999998</v>
      </c>
    </row>
    <row r="10" spans="1:32" x14ac:dyDescent="0.2">
      <c r="A10" t="s">
        <v>71</v>
      </c>
      <c r="B10">
        <v>6.2663399999999996</v>
      </c>
      <c r="C10">
        <v>6.41554</v>
      </c>
      <c r="D10">
        <v>6.4901400000000002</v>
      </c>
      <c r="E10">
        <v>6.6393300000000002</v>
      </c>
      <c r="F10">
        <v>6.6393300000000002</v>
      </c>
      <c r="G10">
        <v>6.6393300000000002</v>
      </c>
      <c r="H10">
        <v>6.6393300000000002</v>
      </c>
      <c r="I10">
        <v>6.6393300000000002</v>
      </c>
      <c r="J10">
        <v>6.6393300000000002</v>
      </c>
      <c r="K10">
        <v>6.6393300000000002</v>
      </c>
      <c r="L10">
        <v>6.6393300000000002</v>
      </c>
      <c r="M10">
        <v>6.6393300000000002</v>
      </c>
      <c r="N10">
        <v>6.6393300000000002</v>
      </c>
      <c r="O10">
        <v>6.6393300000000002</v>
      </c>
      <c r="P10">
        <v>6.6393300000000002</v>
      </c>
      <c r="Q10">
        <v>6.6393300000000002</v>
      </c>
      <c r="R10">
        <v>6.6393300000000002</v>
      </c>
      <c r="S10">
        <v>6.6393300000000002</v>
      </c>
      <c r="T10">
        <v>6.6393300000000002</v>
      </c>
      <c r="U10">
        <v>6.6393300000000002</v>
      </c>
      <c r="V10">
        <v>6.6393300000000002</v>
      </c>
      <c r="W10">
        <v>6.6393300000000002</v>
      </c>
      <c r="X10">
        <v>6.6393300000000002</v>
      </c>
      <c r="Y10">
        <v>6.6393300000000002</v>
      </c>
      <c r="Z10">
        <v>6.6393300000000002</v>
      </c>
      <c r="AA10">
        <v>6.6393300000000002</v>
      </c>
      <c r="AB10">
        <v>6.6393300000000002</v>
      </c>
      <c r="AC10">
        <v>6.6393300000000002</v>
      </c>
      <c r="AD10">
        <v>6.6393300000000002</v>
      </c>
      <c r="AE10">
        <v>6.6393300000000002</v>
      </c>
      <c r="AF10">
        <v>6.6393300000000002</v>
      </c>
    </row>
    <row r="11" spans="1:32" x14ac:dyDescent="0.2">
      <c r="A11" t="s">
        <v>72</v>
      </c>
      <c r="B11">
        <v>0</v>
      </c>
      <c r="C11">
        <v>0</v>
      </c>
      <c r="D11">
        <v>0</v>
      </c>
      <c r="E11">
        <v>5.6926099999999999E-3</v>
      </c>
      <c r="F11">
        <v>1.7077800000000001E-2</v>
      </c>
      <c r="G11">
        <v>2.27704E-2</v>
      </c>
      <c r="H11">
        <v>2.8463100000000002E-2</v>
      </c>
      <c r="I11">
        <v>3.4155699999999997E-2</v>
      </c>
      <c r="J11">
        <v>3.9848300000000003E-2</v>
      </c>
      <c r="K11">
        <v>4.5540900000000002E-2</v>
      </c>
      <c r="L11">
        <v>5.1233500000000001E-2</v>
      </c>
      <c r="M11">
        <v>5.1233500000000001E-2</v>
      </c>
      <c r="N11">
        <v>5.1233500000000001E-2</v>
      </c>
      <c r="O11">
        <v>5.1233500000000001E-2</v>
      </c>
      <c r="P11">
        <v>5.1233500000000001E-2</v>
      </c>
      <c r="Q11">
        <v>5.1233500000000001E-2</v>
      </c>
      <c r="R11">
        <v>5.69261E-2</v>
      </c>
      <c r="S11">
        <v>0.31878600000000001</v>
      </c>
      <c r="T11">
        <v>0.64326499999999998</v>
      </c>
      <c r="U11">
        <v>1.02467</v>
      </c>
      <c r="V11">
        <v>1.3833</v>
      </c>
      <c r="W11">
        <v>1.6907099999999999</v>
      </c>
      <c r="X11">
        <v>2.01518</v>
      </c>
      <c r="Y11">
        <v>2.4250500000000001</v>
      </c>
      <c r="Z11">
        <v>2.7438400000000001</v>
      </c>
      <c r="AA11">
        <v>3.0683199999999999</v>
      </c>
      <c r="AB11">
        <v>3.4098700000000002</v>
      </c>
      <c r="AC11">
        <v>3.78559</v>
      </c>
      <c r="AD11">
        <v>4.1328399999999998</v>
      </c>
      <c r="AE11">
        <v>4.4345400000000001</v>
      </c>
      <c r="AF11">
        <v>4.78179</v>
      </c>
    </row>
    <row r="12" spans="1:32" x14ac:dyDescent="0.2">
      <c r="A12" t="s">
        <v>73</v>
      </c>
      <c r="B12">
        <v>7.7548700000000004</v>
      </c>
      <c r="C12">
        <v>7.07172</v>
      </c>
      <c r="D12">
        <v>6.8440099999999999</v>
      </c>
      <c r="E12">
        <v>6.3885800000000001</v>
      </c>
      <c r="F12">
        <v>6.5138199999999999</v>
      </c>
      <c r="G12">
        <v>6.5138199999999999</v>
      </c>
      <c r="H12">
        <v>6.5138199999999999</v>
      </c>
      <c r="I12">
        <v>6.5138199999999999</v>
      </c>
      <c r="J12">
        <v>6.6390599999999997</v>
      </c>
      <c r="K12">
        <v>6.6390599999999997</v>
      </c>
      <c r="L12">
        <v>6.6390599999999997</v>
      </c>
      <c r="M12">
        <v>6.6390599999999997</v>
      </c>
      <c r="N12">
        <v>6.6390599999999997</v>
      </c>
      <c r="O12">
        <v>6.6390599999999997</v>
      </c>
      <c r="P12">
        <v>6.6390599999999997</v>
      </c>
      <c r="Q12">
        <v>6.6390599999999997</v>
      </c>
      <c r="R12">
        <v>6.6390599999999997</v>
      </c>
      <c r="S12">
        <v>8.01675</v>
      </c>
      <c r="T12">
        <v>9.6449200000000008</v>
      </c>
      <c r="U12">
        <v>11.6488</v>
      </c>
      <c r="V12">
        <v>13.5275</v>
      </c>
      <c r="W12">
        <v>15.1556</v>
      </c>
      <c r="X12">
        <v>16.909099999999999</v>
      </c>
      <c r="Y12">
        <v>19.163499999999999</v>
      </c>
      <c r="Z12">
        <v>20.916899999999998</v>
      </c>
      <c r="AA12">
        <v>22.670300000000001</v>
      </c>
      <c r="AB12">
        <v>24.5489</v>
      </c>
      <c r="AC12">
        <v>26.678100000000001</v>
      </c>
      <c r="AD12">
        <v>28.681999999999999</v>
      </c>
      <c r="AE12">
        <v>30.435400000000001</v>
      </c>
      <c r="AF12">
        <v>32.439300000000003</v>
      </c>
    </row>
    <row r="13" spans="1:32" x14ac:dyDescent="0.2">
      <c r="A13" t="s">
        <v>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75</v>
      </c>
      <c r="B14">
        <v>0.60313600000000001</v>
      </c>
      <c r="C14">
        <v>0.69337400000000005</v>
      </c>
      <c r="D14">
        <v>0.74006899999999998</v>
      </c>
      <c r="E14">
        <v>0.87389799999999995</v>
      </c>
      <c r="F14">
        <v>1.0081199999999999</v>
      </c>
      <c r="G14">
        <v>1.09874</v>
      </c>
      <c r="H14">
        <v>1.2114799999999999</v>
      </c>
      <c r="I14">
        <v>1.34649</v>
      </c>
      <c r="J14">
        <v>1.5481100000000001</v>
      </c>
      <c r="K14">
        <v>1.72804</v>
      </c>
      <c r="L14">
        <v>1.8861300000000001</v>
      </c>
      <c r="M14">
        <v>2.0222500000000001</v>
      </c>
      <c r="N14">
        <v>2.15855</v>
      </c>
      <c r="O14">
        <v>2.2727300000000001</v>
      </c>
      <c r="P14">
        <v>2.4316300000000002</v>
      </c>
      <c r="Q14">
        <v>2.5907200000000001</v>
      </c>
      <c r="R14">
        <v>2.7723599999999999</v>
      </c>
      <c r="S14">
        <v>2.9542199999999998</v>
      </c>
      <c r="T14">
        <v>3.11389</v>
      </c>
      <c r="U14">
        <v>3.2737099999999999</v>
      </c>
      <c r="V14">
        <v>3.4112399999999998</v>
      </c>
      <c r="W14">
        <v>3.54887</v>
      </c>
      <c r="X14">
        <v>3.7090800000000002</v>
      </c>
      <c r="Y14">
        <v>3.9144100000000002</v>
      </c>
      <c r="Z14">
        <v>4.0523999999999996</v>
      </c>
      <c r="AA14">
        <v>4.2355400000000003</v>
      </c>
      <c r="AB14">
        <v>4.4188200000000002</v>
      </c>
      <c r="AC14">
        <v>4.6247999999999996</v>
      </c>
      <c r="AD14">
        <v>4.80837</v>
      </c>
      <c r="AE14">
        <v>4.99207</v>
      </c>
      <c r="AF14">
        <v>5.1985000000000001</v>
      </c>
    </row>
    <row r="15" spans="1:32" x14ac:dyDescent="0.2">
      <c r="A15" t="s">
        <v>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77</v>
      </c>
      <c r="B16">
        <v>29.343699999999998</v>
      </c>
      <c r="C16">
        <v>18.671500000000002</v>
      </c>
      <c r="D16">
        <v>48.507899999999999</v>
      </c>
      <c r="E16">
        <v>44.084499999999998</v>
      </c>
      <c r="F16">
        <v>43.329099999999997</v>
      </c>
      <c r="G16">
        <v>43.654899999999998</v>
      </c>
      <c r="H16">
        <v>39.608800000000002</v>
      </c>
      <c r="I16">
        <v>35.596699999999998</v>
      </c>
      <c r="J16">
        <v>35.644100000000002</v>
      </c>
      <c r="K16">
        <v>37.8337</v>
      </c>
      <c r="L16">
        <v>39.158099999999997</v>
      </c>
      <c r="M16">
        <v>40.2577</v>
      </c>
      <c r="N16">
        <v>40.731400000000001</v>
      </c>
      <c r="O16">
        <v>42.077399999999997</v>
      </c>
      <c r="P16">
        <v>42.171300000000002</v>
      </c>
      <c r="Q16">
        <v>41.741100000000003</v>
      </c>
      <c r="R16">
        <v>41.565399999999997</v>
      </c>
      <c r="S16">
        <v>40.818899999999999</v>
      </c>
      <c r="T16">
        <v>40.081299999999999</v>
      </c>
      <c r="U16">
        <v>39.202399999999997</v>
      </c>
      <c r="V16">
        <v>38.924999999999997</v>
      </c>
      <c r="W16">
        <v>38.831099999999999</v>
      </c>
      <c r="X16">
        <v>38.384300000000003</v>
      </c>
      <c r="Y16">
        <v>37.680100000000003</v>
      </c>
      <c r="Z16">
        <v>38.323399999999999</v>
      </c>
      <c r="AA16">
        <v>37.664999999999999</v>
      </c>
      <c r="AB16">
        <v>37.174399999999999</v>
      </c>
      <c r="AC16">
        <v>37.094000000000001</v>
      </c>
      <c r="AD16">
        <v>35.936900000000001</v>
      </c>
      <c r="AE16">
        <v>34.997199999999999</v>
      </c>
      <c r="AF16">
        <v>35.384399999999999</v>
      </c>
    </row>
    <row r="17" spans="1:32" x14ac:dyDescent="0.2">
      <c r="A17" t="s">
        <v>78</v>
      </c>
      <c r="B17">
        <v>0</v>
      </c>
      <c r="C17">
        <v>0</v>
      </c>
      <c r="D17">
        <v>0</v>
      </c>
      <c r="E17">
        <v>0.699048</v>
      </c>
      <c r="F17">
        <v>1.5145999999999999</v>
      </c>
      <c r="G17">
        <v>1.98064</v>
      </c>
      <c r="H17">
        <v>2.4466700000000001</v>
      </c>
      <c r="I17">
        <v>2.9127000000000001</v>
      </c>
      <c r="J17">
        <v>3.6117499999999998</v>
      </c>
      <c r="K17">
        <v>4.1942899999999996</v>
      </c>
      <c r="L17">
        <v>4.5438099999999997</v>
      </c>
      <c r="M17">
        <v>4.8933400000000002</v>
      </c>
      <c r="N17">
        <v>5.2428600000000003</v>
      </c>
      <c r="O17">
        <v>5.4758800000000001</v>
      </c>
      <c r="P17">
        <v>5.7088900000000002</v>
      </c>
      <c r="Q17">
        <v>5.94191</v>
      </c>
      <c r="R17">
        <v>6.2914300000000001</v>
      </c>
      <c r="S17">
        <v>6.5244499999999999</v>
      </c>
      <c r="T17">
        <v>6.75746</v>
      </c>
      <c r="U17">
        <v>6.9904799999999998</v>
      </c>
      <c r="V17">
        <v>7.2234999999999996</v>
      </c>
      <c r="W17">
        <v>7.34</v>
      </c>
      <c r="X17">
        <v>7.5730199999999996</v>
      </c>
      <c r="Y17">
        <v>7.8060400000000003</v>
      </c>
      <c r="Z17">
        <v>7.9225399999999997</v>
      </c>
      <c r="AA17">
        <v>8.1555599999999995</v>
      </c>
      <c r="AB17">
        <v>8.3885799999999993</v>
      </c>
      <c r="AC17">
        <v>8.6215899999999994</v>
      </c>
      <c r="AD17">
        <v>8.7380999999999993</v>
      </c>
      <c r="AE17">
        <v>8.8546099999999992</v>
      </c>
      <c r="AF17">
        <v>8.9711200000000009</v>
      </c>
    </row>
    <row r="18" spans="1:32" x14ac:dyDescent="0.2">
      <c r="A18" t="s">
        <v>79</v>
      </c>
      <c r="B18">
        <v>2.39514</v>
      </c>
      <c r="C18">
        <v>3.1365699999999999</v>
      </c>
      <c r="D18">
        <v>4.06081</v>
      </c>
      <c r="E18">
        <v>5.1909999999999998</v>
      </c>
      <c r="F18">
        <v>6.1195199999999996</v>
      </c>
      <c r="G18">
        <v>7.28498</v>
      </c>
      <c r="H18">
        <v>8.4504400000000004</v>
      </c>
      <c r="I18">
        <v>9.6158900000000003</v>
      </c>
      <c r="J18">
        <v>10.7814</v>
      </c>
      <c r="K18">
        <v>11.823700000000001</v>
      </c>
      <c r="L18">
        <v>12.866</v>
      </c>
      <c r="M18">
        <v>13.908300000000001</v>
      </c>
      <c r="N18">
        <v>14.9506</v>
      </c>
      <c r="O18">
        <v>15.992900000000001</v>
      </c>
      <c r="P18">
        <v>16.831099999999999</v>
      </c>
      <c r="Q18">
        <v>17.6692</v>
      </c>
      <c r="R18">
        <v>18.507400000000001</v>
      </c>
      <c r="S18">
        <v>19.345600000000001</v>
      </c>
      <c r="T18">
        <v>20.183800000000002</v>
      </c>
      <c r="U18">
        <v>20.790800000000001</v>
      </c>
      <c r="V18">
        <v>21.3978</v>
      </c>
      <c r="W18">
        <v>22.004899999999999</v>
      </c>
      <c r="X18">
        <v>22.611899999999999</v>
      </c>
      <c r="Y18">
        <v>23.218900000000001</v>
      </c>
      <c r="Z18">
        <v>23.585799999999999</v>
      </c>
      <c r="AA18">
        <v>23.9528</v>
      </c>
      <c r="AB18">
        <v>24.319700000000001</v>
      </c>
      <c r="AC18">
        <v>24.686599999999999</v>
      </c>
      <c r="AD18">
        <v>25.0535</v>
      </c>
      <c r="AE18">
        <v>25.177199999999999</v>
      </c>
      <c r="AF18">
        <v>25.300999999999998</v>
      </c>
    </row>
    <row r="22" spans="1:32" x14ac:dyDescent="0.2">
      <c r="A22" t="str">
        <f>A1</f>
        <v>Time (Year)</v>
      </c>
      <c r="B22">
        <f t="shared" ref="B22:AF22" si="0">B1</f>
        <v>2020</v>
      </c>
      <c r="C22">
        <f t="shared" si="0"/>
        <v>2021</v>
      </c>
      <c r="D22">
        <f t="shared" si="0"/>
        <v>2022</v>
      </c>
      <c r="E22">
        <f t="shared" si="0"/>
        <v>2023</v>
      </c>
      <c r="F22">
        <f t="shared" si="0"/>
        <v>2024</v>
      </c>
      <c r="G22">
        <f t="shared" si="0"/>
        <v>2025</v>
      </c>
      <c r="H22">
        <f t="shared" si="0"/>
        <v>2026</v>
      </c>
      <c r="I22">
        <f t="shared" si="0"/>
        <v>2027</v>
      </c>
      <c r="J22">
        <f t="shared" si="0"/>
        <v>2028</v>
      </c>
      <c r="K22">
        <f t="shared" si="0"/>
        <v>2029</v>
      </c>
      <c r="L22">
        <f t="shared" si="0"/>
        <v>2030</v>
      </c>
      <c r="M22">
        <f t="shared" si="0"/>
        <v>2031</v>
      </c>
      <c r="N22">
        <f t="shared" si="0"/>
        <v>2032</v>
      </c>
      <c r="O22">
        <f t="shared" si="0"/>
        <v>2033</v>
      </c>
      <c r="P22">
        <f t="shared" si="0"/>
        <v>2034</v>
      </c>
      <c r="Q22">
        <f t="shared" si="0"/>
        <v>2035</v>
      </c>
      <c r="R22">
        <f t="shared" si="0"/>
        <v>2036</v>
      </c>
      <c r="S22">
        <f t="shared" si="0"/>
        <v>2037</v>
      </c>
      <c r="T22">
        <f t="shared" si="0"/>
        <v>2038</v>
      </c>
      <c r="U22">
        <f t="shared" si="0"/>
        <v>2039</v>
      </c>
      <c r="V22">
        <f t="shared" si="0"/>
        <v>2040</v>
      </c>
      <c r="W22">
        <f t="shared" si="0"/>
        <v>2041</v>
      </c>
      <c r="X22">
        <f t="shared" si="0"/>
        <v>2042</v>
      </c>
      <c r="Y22">
        <f t="shared" si="0"/>
        <v>2043</v>
      </c>
      <c r="Z22">
        <f t="shared" si="0"/>
        <v>2044</v>
      </c>
      <c r="AA22">
        <f t="shared" si="0"/>
        <v>2045</v>
      </c>
      <c r="AB22">
        <f t="shared" si="0"/>
        <v>2046</v>
      </c>
      <c r="AC22">
        <f t="shared" si="0"/>
        <v>2047</v>
      </c>
      <c r="AD22">
        <f t="shared" si="0"/>
        <v>2048</v>
      </c>
      <c r="AE22">
        <f t="shared" si="0"/>
        <v>2049</v>
      </c>
      <c r="AF22">
        <f t="shared" si="0"/>
        <v>2050</v>
      </c>
    </row>
    <row r="23" spans="1:32" x14ac:dyDescent="0.2">
      <c r="A23" s="1" t="s">
        <v>15</v>
      </c>
      <c r="B23">
        <f>B2</f>
        <v>13.5351</v>
      </c>
      <c r="C23">
        <f t="shared" ref="C23:AF23" si="1">C2</f>
        <v>29.6539</v>
      </c>
      <c r="D23">
        <f t="shared" si="1"/>
        <v>18.725200000000001</v>
      </c>
      <c r="E23">
        <f t="shared" si="1"/>
        <v>19.198399999999999</v>
      </c>
      <c r="F23">
        <f t="shared" si="1"/>
        <v>20.029599999999999</v>
      </c>
      <c r="G23">
        <f t="shared" si="1"/>
        <v>22.668700000000001</v>
      </c>
      <c r="H23">
        <f t="shared" si="1"/>
        <v>21.258099999999999</v>
      </c>
      <c r="I23">
        <f t="shared" si="1"/>
        <v>19.747599999999998</v>
      </c>
      <c r="J23">
        <f t="shared" si="1"/>
        <v>19.5031</v>
      </c>
      <c r="K23">
        <f t="shared" si="1"/>
        <v>17.857600000000001</v>
      </c>
      <c r="L23">
        <f t="shared" si="1"/>
        <v>18.657499999999999</v>
      </c>
      <c r="M23">
        <f t="shared" si="1"/>
        <v>18.861000000000001</v>
      </c>
      <c r="N23">
        <f t="shared" si="1"/>
        <v>18.538799999999998</v>
      </c>
      <c r="O23">
        <f t="shared" si="1"/>
        <v>19.392900000000001</v>
      </c>
      <c r="P23">
        <f t="shared" si="1"/>
        <v>19.433599999999998</v>
      </c>
      <c r="Q23">
        <f t="shared" si="1"/>
        <v>19.558900000000001</v>
      </c>
      <c r="R23">
        <f t="shared" si="1"/>
        <v>18.3841</v>
      </c>
      <c r="S23">
        <f t="shared" si="1"/>
        <v>18.0046</v>
      </c>
      <c r="T23">
        <f t="shared" si="1"/>
        <v>17.206800000000001</v>
      </c>
      <c r="U23">
        <f t="shared" si="1"/>
        <v>15.6631</v>
      </c>
      <c r="V23">
        <f t="shared" si="1"/>
        <v>15.458</v>
      </c>
      <c r="W23">
        <f t="shared" si="1"/>
        <v>15.5039</v>
      </c>
      <c r="X23">
        <f t="shared" si="1"/>
        <v>15.6555</v>
      </c>
      <c r="Y23">
        <f t="shared" si="1"/>
        <v>14.3024</v>
      </c>
      <c r="Z23">
        <f t="shared" si="1"/>
        <v>14.5304</v>
      </c>
      <c r="AA23">
        <f t="shared" si="1"/>
        <v>14.367699999999999</v>
      </c>
      <c r="AB23">
        <f t="shared" si="1"/>
        <v>14.2142</v>
      </c>
      <c r="AC23">
        <f t="shared" si="1"/>
        <v>13.0944</v>
      </c>
      <c r="AD23">
        <f t="shared" si="1"/>
        <v>12.895300000000001</v>
      </c>
      <c r="AE23">
        <f t="shared" si="1"/>
        <v>12.5366</v>
      </c>
      <c r="AF23">
        <f t="shared" si="1"/>
        <v>12.687200000000001</v>
      </c>
    </row>
    <row r="24" spans="1:32" x14ac:dyDescent="0.2">
      <c r="A24" s="1" t="s">
        <v>17</v>
      </c>
      <c r="B24">
        <f>B3+B12</f>
        <v>187.45487</v>
      </c>
      <c r="C24">
        <f t="shared" ref="C24:AF24" si="2">C3+C12</f>
        <v>190.17071999999999</v>
      </c>
      <c r="D24">
        <f t="shared" si="2"/>
        <v>177.27301</v>
      </c>
      <c r="E24">
        <f t="shared" si="2"/>
        <v>179.66057999999998</v>
      </c>
      <c r="F24">
        <f t="shared" si="2"/>
        <v>178.79182</v>
      </c>
      <c r="G24">
        <f t="shared" si="2"/>
        <v>179.04282000000001</v>
      </c>
      <c r="H24">
        <f t="shared" si="2"/>
        <v>186.92482000000001</v>
      </c>
      <c r="I24">
        <f t="shared" si="2"/>
        <v>193.95682000000002</v>
      </c>
      <c r="J24">
        <f t="shared" si="2"/>
        <v>191.95606000000001</v>
      </c>
      <c r="K24">
        <f t="shared" si="2"/>
        <v>190.44406000000001</v>
      </c>
      <c r="L24">
        <f t="shared" si="2"/>
        <v>189.89606000000001</v>
      </c>
      <c r="M24">
        <f t="shared" si="2"/>
        <v>189.07805999999999</v>
      </c>
      <c r="N24">
        <f t="shared" si="2"/>
        <v>188.38806</v>
      </c>
      <c r="O24">
        <f t="shared" si="2"/>
        <v>187.46806000000001</v>
      </c>
      <c r="P24">
        <f t="shared" si="2"/>
        <v>187.66806</v>
      </c>
      <c r="Q24">
        <f t="shared" si="2"/>
        <v>188.10306</v>
      </c>
      <c r="R24">
        <f t="shared" si="2"/>
        <v>189.07105999999999</v>
      </c>
      <c r="S24">
        <f t="shared" si="2"/>
        <v>190.77074999999999</v>
      </c>
      <c r="T24">
        <f t="shared" si="2"/>
        <v>192.96692000000002</v>
      </c>
      <c r="U24">
        <f t="shared" si="2"/>
        <v>196.30279999999999</v>
      </c>
      <c r="V24">
        <f t="shared" si="2"/>
        <v>198.5855</v>
      </c>
      <c r="W24">
        <f t="shared" si="2"/>
        <v>201.3956</v>
      </c>
      <c r="X24">
        <f t="shared" si="2"/>
        <v>203.5001</v>
      </c>
      <c r="Y24">
        <f t="shared" si="2"/>
        <v>206.26050000000001</v>
      </c>
      <c r="Z24">
        <f t="shared" si="2"/>
        <v>208.0669</v>
      </c>
      <c r="AA24">
        <f t="shared" si="2"/>
        <v>210.81029999999998</v>
      </c>
      <c r="AB24">
        <f t="shared" si="2"/>
        <v>213.31489999999999</v>
      </c>
      <c r="AC24">
        <f t="shared" si="2"/>
        <v>215.87110000000001</v>
      </c>
      <c r="AD24">
        <f t="shared" si="2"/>
        <v>219.36999999999998</v>
      </c>
      <c r="AE24">
        <f t="shared" si="2"/>
        <v>223.51839999999999</v>
      </c>
      <c r="AF24">
        <f t="shared" si="2"/>
        <v>224.93630000000002</v>
      </c>
    </row>
    <row r="25" spans="1:32" x14ac:dyDescent="0.2">
      <c r="A25" s="1" t="s">
        <v>18</v>
      </c>
      <c r="B25">
        <f>B7+B8+B18</f>
        <v>33.61824</v>
      </c>
      <c r="C25">
        <f t="shared" ref="C25:AF25" si="3">C7+C8+C18</f>
        <v>37.818669999999997</v>
      </c>
      <c r="D25">
        <f t="shared" si="3"/>
        <v>40.874510000000001</v>
      </c>
      <c r="E25">
        <f t="shared" si="3"/>
        <v>47.251000000000005</v>
      </c>
      <c r="F25">
        <f t="shared" si="3"/>
        <v>53.618020000000001</v>
      </c>
      <c r="G25">
        <f t="shared" si="3"/>
        <v>57.65428</v>
      </c>
      <c r="H25">
        <f t="shared" si="3"/>
        <v>62.793840000000003</v>
      </c>
      <c r="I25">
        <f t="shared" si="3"/>
        <v>68.826689999999999</v>
      </c>
      <c r="J25">
        <f t="shared" si="3"/>
        <v>77.594700000000003</v>
      </c>
      <c r="K25">
        <f t="shared" si="3"/>
        <v>85.941500000000005</v>
      </c>
      <c r="L25">
        <f t="shared" si="3"/>
        <v>93.244299999999996</v>
      </c>
      <c r="M25">
        <f t="shared" si="3"/>
        <v>99.82419999999999</v>
      </c>
      <c r="N25">
        <f t="shared" si="3"/>
        <v>106.30289999999999</v>
      </c>
      <c r="O25">
        <f t="shared" si="3"/>
        <v>111.79740000000001</v>
      </c>
      <c r="P25">
        <f t="shared" si="3"/>
        <v>118.2131</v>
      </c>
      <c r="Q25">
        <f t="shared" si="3"/>
        <v>124.8122</v>
      </c>
      <c r="R25">
        <f t="shared" si="3"/>
        <v>132.10739999999998</v>
      </c>
      <c r="S25">
        <f t="shared" si="3"/>
        <v>138.91059999999999</v>
      </c>
      <c r="T25">
        <f t="shared" si="3"/>
        <v>145.58680000000001</v>
      </c>
      <c r="U25">
        <f t="shared" si="3"/>
        <v>152.32479999999998</v>
      </c>
      <c r="V25">
        <f t="shared" si="3"/>
        <v>158.6738</v>
      </c>
      <c r="W25">
        <f t="shared" si="3"/>
        <v>164.62989999999999</v>
      </c>
      <c r="X25">
        <f t="shared" si="3"/>
        <v>171.2559</v>
      </c>
      <c r="Y25">
        <f t="shared" si="3"/>
        <v>179.28289999999998</v>
      </c>
      <c r="Z25">
        <f t="shared" si="3"/>
        <v>185.37980000000002</v>
      </c>
      <c r="AA25">
        <f t="shared" si="3"/>
        <v>192.25379999999998</v>
      </c>
      <c r="AB25">
        <f t="shared" si="3"/>
        <v>199.26870000000002</v>
      </c>
      <c r="AC25">
        <f t="shared" si="3"/>
        <v>206.78059999999999</v>
      </c>
      <c r="AD25">
        <f t="shared" si="3"/>
        <v>213.73950000000002</v>
      </c>
      <c r="AE25">
        <f t="shared" si="3"/>
        <v>220.22620000000001</v>
      </c>
      <c r="AF25">
        <f t="shared" si="3"/>
        <v>227.43199999999999</v>
      </c>
    </row>
    <row r="26" spans="1:32" x14ac:dyDescent="0.2">
      <c r="A26" s="1" t="s">
        <v>19</v>
      </c>
      <c r="B26">
        <f>B6+B14</f>
        <v>35.345635999999999</v>
      </c>
      <c r="C26">
        <f t="shared" ref="C26:AF26" si="4">C6+C14</f>
        <v>37.741273999999997</v>
      </c>
      <c r="D26">
        <f t="shared" si="4"/>
        <v>39.051769</v>
      </c>
      <c r="E26">
        <f t="shared" si="4"/>
        <v>42.349697999999997</v>
      </c>
      <c r="F26">
        <f t="shared" si="4"/>
        <v>45.299019999999999</v>
      </c>
      <c r="G26">
        <f t="shared" si="4"/>
        <v>47.182539999999996</v>
      </c>
      <c r="H26">
        <f t="shared" si="4"/>
        <v>49.308880000000002</v>
      </c>
      <c r="I26">
        <f t="shared" si="4"/>
        <v>51.722790000000003</v>
      </c>
      <c r="J26">
        <f t="shared" si="4"/>
        <v>55.197810000000004</v>
      </c>
      <c r="K26">
        <f t="shared" si="4"/>
        <v>58.326540000000001</v>
      </c>
      <c r="L26">
        <f t="shared" si="4"/>
        <v>60.861730000000001</v>
      </c>
      <c r="M26">
        <f t="shared" si="4"/>
        <v>63.164949999999997</v>
      </c>
      <c r="N26">
        <f t="shared" si="4"/>
        <v>65.186949999999996</v>
      </c>
      <c r="O26">
        <f t="shared" si="4"/>
        <v>66.812730000000002</v>
      </c>
      <c r="P26">
        <f t="shared" si="4"/>
        <v>68.844129999999993</v>
      </c>
      <c r="Q26">
        <f t="shared" si="4"/>
        <v>70.927320000000009</v>
      </c>
      <c r="R26">
        <f t="shared" si="4"/>
        <v>73.260960000000011</v>
      </c>
      <c r="S26">
        <f t="shared" si="4"/>
        <v>75.431520000000006</v>
      </c>
      <c r="T26">
        <f t="shared" si="4"/>
        <v>77.43159</v>
      </c>
      <c r="U26">
        <f t="shared" si="4"/>
        <v>79.475009999999997</v>
      </c>
      <c r="V26">
        <f t="shared" si="4"/>
        <v>81.33614</v>
      </c>
      <c r="W26">
        <f t="shared" si="4"/>
        <v>83.059669999999997</v>
      </c>
      <c r="X26">
        <f t="shared" si="4"/>
        <v>85.019580000000005</v>
      </c>
      <c r="Y26">
        <f t="shared" si="4"/>
        <v>87.48011000000001</v>
      </c>
      <c r="Z26">
        <f t="shared" si="4"/>
        <v>89.30510000000001</v>
      </c>
      <c r="AA26">
        <f t="shared" si="4"/>
        <v>91.426540000000003</v>
      </c>
      <c r="AB26">
        <f t="shared" si="4"/>
        <v>93.598519999999994</v>
      </c>
      <c r="AC26">
        <f t="shared" si="4"/>
        <v>95.948599999999999</v>
      </c>
      <c r="AD26">
        <f t="shared" si="4"/>
        <v>98.093969999999999</v>
      </c>
      <c r="AE26">
        <f t="shared" si="4"/>
        <v>100.15657</v>
      </c>
      <c r="AF26">
        <f t="shared" si="4"/>
        <v>102.4973</v>
      </c>
    </row>
    <row r="27" spans="1:32" x14ac:dyDescent="0.2">
      <c r="A27" s="1" t="s">
        <v>16</v>
      </c>
      <c r="B27">
        <f>B5</f>
        <v>31.305900000000001</v>
      </c>
      <c r="C27">
        <f t="shared" ref="C27:AF27" si="5">C5</f>
        <v>31.305900000000001</v>
      </c>
      <c r="D27">
        <f t="shared" si="5"/>
        <v>31.305900000000001</v>
      </c>
      <c r="E27">
        <f t="shared" si="5"/>
        <v>31.305900000000001</v>
      </c>
      <c r="F27">
        <f t="shared" si="5"/>
        <v>31.305900000000001</v>
      </c>
      <c r="G27">
        <f t="shared" si="5"/>
        <v>31.305900000000001</v>
      </c>
      <c r="H27">
        <f t="shared" si="5"/>
        <v>31.305900000000001</v>
      </c>
      <c r="I27">
        <f t="shared" si="5"/>
        <v>31.305900000000001</v>
      </c>
      <c r="J27">
        <f t="shared" si="5"/>
        <v>31.305900000000001</v>
      </c>
      <c r="K27">
        <f t="shared" si="5"/>
        <v>31.305900000000001</v>
      </c>
      <c r="L27">
        <f t="shared" si="5"/>
        <v>31.305900000000001</v>
      </c>
      <c r="M27">
        <f t="shared" si="5"/>
        <v>31.305900000000001</v>
      </c>
      <c r="N27">
        <f t="shared" si="5"/>
        <v>31.305900000000001</v>
      </c>
      <c r="O27">
        <f t="shared" si="5"/>
        <v>31.305900000000001</v>
      </c>
      <c r="P27">
        <f t="shared" si="5"/>
        <v>31.305900000000001</v>
      </c>
      <c r="Q27">
        <f t="shared" si="5"/>
        <v>31.305900000000001</v>
      </c>
      <c r="R27">
        <f t="shared" si="5"/>
        <v>31.305900000000001</v>
      </c>
      <c r="S27">
        <f t="shared" si="5"/>
        <v>31.305900000000001</v>
      </c>
      <c r="T27">
        <f t="shared" si="5"/>
        <v>31.305900000000001</v>
      </c>
      <c r="U27">
        <f t="shared" si="5"/>
        <v>31.305900000000001</v>
      </c>
      <c r="V27">
        <f t="shared" si="5"/>
        <v>31.305900000000001</v>
      </c>
      <c r="W27">
        <f t="shared" si="5"/>
        <v>31.305900000000001</v>
      </c>
      <c r="X27">
        <f t="shared" si="5"/>
        <v>31.305900000000001</v>
      </c>
      <c r="Y27">
        <f t="shared" si="5"/>
        <v>31.305900000000001</v>
      </c>
      <c r="Z27">
        <f t="shared" si="5"/>
        <v>31.305900000000001</v>
      </c>
      <c r="AA27">
        <f t="shared" si="5"/>
        <v>31.305900000000001</v>
      </c>
      <c r="AB27">
        <f t="shared" si="5"/>
        <v>31.305900000000001</v>
      </c>
      <c r="AC27">
        <f t="shared" si="5"/>
        <v>31.305900000000001</v>
      </c>
      <c r="AD27">
        <f t="shared" si="5"/>
        <v>31.305900000000001</v>
      </c>
      <c r="AE27">
        <f t="shared" si="5"/>
        <v>31.305900000000001</v>
      </c>
      <c r="AF27">
        <f t="shared" si="5"/>
        <v>31.305900000000001</v>
      </c>
    </row>
    <row r="28" spans="1:32" x14ac:dyDescent="0.2">
      <c r="A28" s="1" t="s">
        <v>20</v>
      </c>
      <c r="B28">
        <f t="shared" ref="B28:AF28" si="6">B11+B15+B16</f>
        <v>29.343699999999998</v>
      </c>
      <c r="C28">
        <f t="shared" si="6"/>
        <v>18.671500000000002</v>
      </c>
      <c r="D28">
        <f t="shared" si="6"/>
        <v>48.507899999999999</v>
      </c>
      <c r="E28">
        <f t="shared" si="6"/>
        <v>44.090192609999995</v>
      </c>
      <c r="F28">
        <f t="shared" si="6"/>
        <v>43.3461778</v>
      </c>
      <c r="G28">
        <f t="shared" si="6"/>
        <v>43.677670399999997</v>
      </c>
      <c r="H28">
        <f t="shared" si="6"/>
        <v>39.637263100000006</v>
      </c>
      <c r="I28">
        <f t="shared" si="6"/>
        <v>35.630855699999998</v>
      </c>
      <c r="J28">
        <f t="shared" si="6"/>
        <v>35.683948300000004</v>
      </c>
      <c r="K28">
        <f t="shared" si="6"/>
        <v>37.879240899999999</v>
      </c>
      <c r="L28">
        <f t="shared" si="6"/>
        <v>39.2093335</v>
      </c>
      <c r="M28">
        <f t="shared" si="6"/>
        <v>40.308933500000002</v>
      </c>
      <c r="N28">
        <f t="shared" si="6"/>
        <v>40.782633500000003</v>
      </c>
      <c r="O28">
        <f t="shared" si="6"/>
        <v>42.128633499999999</v>
      </c>
      <c r="P28">
        <f t="shared" si="6"/>
        <v>42.222533500000004</v>
      </c>
      <c r="Q28">
        <f t="shared" si="6"/>
        <v>41.792333500000005</v>
      </c>
      <c r="R28">
        <f t="shared" si="6"/>
        <v>41.622326099999995</v>
      </c>
      <c r="S28">
        <f t="shared" si="6"/>
        <v>41.137686000000002</v>
      </c>
      <c r="T28">
        <f t="shared" si="6"/>
        <v>40.724564999999998</v>
      </c>
      <c r="U28">
        <f t="shared" si="6"/>
        <v>40.227069999999998</v>
      </c>
      <c r="V28">
        <f t="shared" si="6"/>
        <v>40.308299999999996</v>
      </c>
      <c r="W28">
        <f t="shared" si="6"/>
        <v>40.521810000000002</v>
      </c>
      <c r="X28">
        <f t="shared" si="6"/>
        <v>40.399480000000004</v>
      </c>
      <c r="Y28">
        <f t="shared" si="6"/>
        <v>40.105150000000002</v>
      </c>
      <c r="Z28">
        <f t="shared" si="6"/>
        <v>41.067239999999998</v>
      </c>
      <c r="AA28">
        <f t="shared" si="6"/>
        <v>40.733319999999999</v>
      </c>
      <c r="AB28">
        <f t="shared" si="6"/>
        <v>40.584269999999997</v>
      </c>
      <c r="AC28">
        <f t="shared" si="6"/>
        <v>40.87959</v>
      </c>
      <c r="AD28">
        <f t="shared" si="6"/>
        <v>40.069740000000003</v>
      </c>
      <c r="AE28">
        <f t="shared" si="6"/>
        <v>39.431739999999998</v>
      </c>
      <c r="AF28">
        <f t="shared" si="6"/>
        <v>40.16619</v>
      </c>
    </row>
    <row r="29" spans="1:32" x14ac:dyDescent="0.2">
      <c r="A29" s="1" t="s">
        <v>152</v>
      </c>
      <c r="B29">
        <f t="shared" ref="B29:AF29" si="7">B4+B9+B10+B13+B17</f>
        <v>23.775679999999998</v>
      </c>
      <c r="C29">
        <f t="shared" si="7"/>
        <v>24.06127</v>
      </c>
      <c r="D29">
        <f t="shared" si="7"/>
        <v>24.135870000000001</v>
      </c>
      <c r="E29">
        <f t="shared" si="7"/>
        <v>25.120498000000001</v>
      </c>
      <c r="F29">
        <f t="shared" si="7"/>
        <v>26.072450000000003</v>
      </c>
      <c r="G29">
        <f t="shared" si="7"/>
        <v>26.538490000000003</v>
      </c>
      <c r="H29">
        <f t="shared" si="7"/>
        <v>27.004520000000003</v>
      </c>
      <c r="I29">
        <f t="shared" si="7"/>
        <v>27.470550000000003</v>
      </c>
      <c r="J29">
        <f t="shared" si="7"/>
        <v>28.169600000000003</v>
      </c>
      <c r="K29">
        <f t="shared" si="7"/>
        <v>28.752140000000001</v>
      </c>
      <c r="L29">
        <f t="shared" si="7"/>
        <v>29.101660000000003</v>
      </c>
      <c r="M29">
        <f t="shared" si="7"/>
        <v>29.451190000000004</v>
      </c>
      <c r="N29">
        <f t="shared" si="7"/>
        <v>29.800710000000002</v>
      </c>
      <c r="O29">
        <f t="shared" si="7"/>
        <v>30.033730000000002</v>
      </c>
      <c r="P29">
        <f t="shared" si="7"/>
        <v>30.266740000000002</v>
      </c>
      <c r="Q29">
        <f t="shared" si="7"/>
        <v>30.499760000000002</v>
      </c>
      <c r="R29">
        <f t="shared" si="7"/>
        <v>30.84928</v>
      </c>
      <c r="S29">
        <f t="shared" si="7"/>
        <v>31.082300000000004</v>
      </c>
      <c r="T29">
        <f t="shared" si="7"/>
        <v>31.315310000000004</v>
      </c>
      <c r="U29">
        <f t="shared" si="7"/>
        <v>31.54833</v>
      </c>
      <c r="V29">
        <f t="shared" si="7"/>
        <v>31.781350000000003</v>
      </c>
      <c r="W29">
        <f t="shared" si="7"/>
        <v>31.897850000000002</v>
      </c>
      <c r="X29">
        <f t="shared" si="7"/>
        <v>32.130870000000002</v>
      </c>
      <c r="Y29">
        <f t="shared" si="7"/>
        <v>32.363890000000005</v>
      </c>
      <c r="Z29">
        <f t="shared" si="7"/>
        <v>32.48039</v>
      </c>
      <c r="AA29">
        <f t="shared" si="7"/>
        <v>32.713410000000003</v>
      </c>
      <c r="AB29">
        <f t="shared" si="7"/>
        <v>32.946429999999999</v>
      </c>
      <c r="AC29">
        <f t="shared" si="7"/>
        <v>33.17944</v>
      </c>
      <c r="AD29">
        <f t="shared" si="7"/>
        <v>33.295950000000005</v>
      </c>
      <c r="AE29">
        <f t="shared" si="7"/>
        <v>33.412460000000003</v>
      </c>
      <c r="AF29">
        <f t="shared" si="7"/>
        <v>33.528970000000001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991A-6849-0E4D-8CFE-58059D6A0992}">
  <dimension ref="A1:B8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42</v>
      </c>
      <c r="B1" t="s">
        <v>45</v>
      </c>
    </row>
    <row r="2" spans="1:2" x14ac:dyDescent="0.2">
      <c r="A2" s="1" t="s">
        <v>15</v>
      </c>
      <c r="B2">
        <f>'EG-BAU'!L23</f>
        <v>18.657499999999999</v>
      </c>
    </row>
    <row r="3" spans="1:2" x14ac:dyDescent="0.2">
      <c r="A3" s="1" t="s">
        <v>17</v>
      </c>
      <c r="B3">
        <f>'EG-BAU'!L24</f>
        <v>189.89606000000001</v>
      </c>
    </row>
    <row r="4" spans="1:2" x14ac:dyDescent="0.2">
      <c r="A4" s="1" t="s">
        <v>18</v>
      </c>
      <c r="B4">
        <f>'EG-BAU'!L25</f>
        <v>93.244299999999996</v>
      </c>
    </row>
    <row r="5" spans="1:2" x14ac:dyDescent="0.2">
      <c r="A5" s="1" t="s">
        <v>19</v>
      </c>
      <c r="B5">
        <f>'EG-BAU'!L26</f>
        <v>60.861730000000001</v>
      </c>
    </row>
    <row r="6" spans="1:2" x14ac:dyDescent="0.2">
      <c r="A6" s="1" t="s">
        <v>16</v>
      </c>
      <c r="B6">
        <f>'EG-BAU'!L27</f>
        <v>31.305900000000001</v>
      </c>
    </row>
    <row r="7" spans="1:2" x14ac:dyDescent="0.2">
      <c r="A7" s="1" t="s">
        <v>20</v>
      </c>
      <c r="B7">
        <f>'EG-BAU'!L28</f>
        <v>39.2093335</v>
      </c>
    </row>
    <row r="8" spans="1:2" x14ac:dyDescent="0.2">
      <c r="A8" s="1" t="s">
        <v>21</v>
      </c>
      <c r="B8">
        <f>'EG-BAU'!L29</f>
        <v>29.101660000000003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917B-5BD2-4B48-AB20-3B237CCA4412}">
  <dimension ref="A1:B8"/>
  <sheetViews>
    <sheetView workbookViewId="0">
      <selection activeCell="E8" sqref="E8"/>
    </sheetView>
  </sheetViews>
  <sheetFormatPr baseColWidth="10" defaultRowHeight="16" x14ac:dyDescent="0.2"/>
  <sheetData>
    <row r="1" spans="1:2" x14ac:dyDescent="0.2">
      <c r="A1" t="s">
        <v>42</v>
      </c>
      <c r="B1" t="s">
        <v>45</v>
      </c>
    </row>
    <row r="2" spans="1:2" x14ac:dyDescent="0.2">
      <c r="A2" s="1" t="s">
        <v>15</v>
      </c>
      <c r="B2">
        <f>'EG-BAU'!AF23</f>
        <v>12.687200000000001</v>
      </c>
    </row>
    <row r="3" spans="1:2" x14ac:dyDescent="0.2">
      <c r="A3" s="1" t="s">
        <v>17</v>
      </c>
      <c r="B3">
        <f>'EG-BAU'!AF24</f>
        <v>224.93630000000002</v>
      </c>
    </row>
    <row r="4" spans="1:2" x14ac:dyDescent="0.2">
      <c r="A4" s="1" t="s">
        <v>18</v>
      </c>
      <c r="B4">
        <f>'EG-BAU'!AF25</f>
        <v>227.43199999999999</v>
      </c>
    </row>
    <row r="5" spans="1:2" x14ac:dyDescent="0.2">
      <c r="A5" s="1" t="s">
        <v>19</v>
      </c>
      <c r="B5">
        <f>'EG-BAU'!AF26</f>
        <v>102.4973</v>
      </c>
    </row>
    <row r="6" spans="1:2" x14ac:dyDescent="0.2">
      <c r="A6" s="1" t="s">
        <v>16</v>
      </c>
      <c r="B6">
        <f>'EG-BAU'!AF27</f>
        <v>31.305900000000001</v>
      </c>
    </row>
    <row r="7" spans="1:2" x14ac:dyDescent="0.2">
      <c r="A7" s="1" t="s">
        <v>20</v>
      </c>
      <c r="B7">
        <f>'EG-BAU'!AF28</f>
        <v>40.16619</v>
      </c>
    </row>
    <row r="8" spans="1:2" x14ac:dyDescent="0.2">
      <c r="A8" s="1" t="s">
        <v>21</v>
      </c>
      <c r="B8">
        <f>'EG-BAU'!AF29</f>
        <v>33.528970000000001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17F7-42D9-4F4A-8784-8641196D4C8A}">
  <dimension ref="A1:AF29"/>
  <sheetViews>
    <sheetView topLeftCell="O1" workbookViewId="0">
      <selection activeCell="B33" sqref="B33"/>
    </sheetView>
  </sheetViews>
  <sheetFormatPr baseColWidth="10" defaultRowHeight="16" x14ac:dyDescent="0.2"/>
  <cols>
    <col min="1" max="1" width="66.33203125" customWidth="1"/>
  </cols>
  <sheetData>
    <row r="1" spans="1:32" x14ac:dyDescent="0.2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80</v>
      </c>
      <c r="B2">
        <v>13.5351</v>
      </c>
      <c r="C2">
        <v>29.6539</v>
      </c>
      <c r="D2">
        <v>18.725200000000001</v>
      </c>
      <c r="E2">
        <v>19.198399999999999</v>
      </c>
      <c r="F2">
        <v>20.029599999999999</v>
      </c>
      <c r="G2">
        <v>22.668700000000001</v>
      </c>
      <c r="H2">
        <v>21.252400000000002</v>
      </c>
      <c r="I2">
        <v>19.630400000000002</v>
      </c>
      <c r="J2">
        <v>19.366700000000002</v>
      </c>
      <c r="K2">
        <v>17.610399999999998</v>
      </c>
      <c r="L2">
        <v>18.282800000000002</v>
      </c>
      <c r="M2">
        <v>18.3322</v>
      </c>
      <c r="N2">
        <v>17.9726</v>
      </c>
      <c r="O2">
        <v>18.629200000000001</v>
      </c>
      <c r="P2">
        <v>18.523599999999998</v>
      </c>
      <c r="Q2">
        <v>18.531400000000001</v>
      </c>
      <c r="R2">
        <v>17.350999999999999</v>
      </c>
      <c r="S2">
        <v>16.878900000000002</v>
      </c>
      <c r="T2">
        <v>16.011800000000001</v>
      </c>
      <c r="U2">
        <v>14.4489</v>
      </c>
      <c r="V2">
        <v>14.1485</v>
      </c>
      <c r="W2">
        <v>14.015000000000001</v>
      </c>
      <c r="X2">
        <v>13.9665</v>
      </c>
      <c r="Y2">
        <v>12.523999999999999</v>
      </c>
      <c r="Z2">
        <v>12.569100000000001</v>
      </c>
      <c r="AA2">
        <v>12.257300000000001</v>
      </c>
      <c r="AB2">
        <v>11.908799999999999</v>
      </c>
      <c r="AC2">
        <v>10.753</v>
      </c>
      <c r="AD2">
        <v>10.378</v>
      </c>
      <c r="AE2">
        <v>9.9035899999999994</v>
      </c>
      <c r="AF2">
        <v>9.8270499999999998</v>
      </c>
    </row>
    <row r="3" spans="1:32" x14ac:dyDescent="0.2">
      <c r="A3" t="s">
        <v>81</v>
      </c>
      <c r="B3">
        <v>179.7</v>
      </c>
      <c r="C3">
        <v>183.09899999999999</v>
      </c>
      <c r="D3">
        <v>170.429</v>
      </c>
      <c r="E3">
        <v>173.27199999999999</v>
      </c>
      <c r="F3">
        <v>172.27799999999999</v>
      </c>
      <c r="G3">
        <v>172.529</v>
      </c>
      <c r="H3">
        <v>179.739</v>
      </c>
      <c r="I3">
        <v>185.97399999999999</v>
      </c>
      <c r="J3">
        <v>183.54900000000001</v>
      </c>
      <c r="K3">
        <v>181.35400000000001</v>
      </c>
      <c r="L3">
        <v>180.61500000000001</v>
      </c>
      <c r="M3">
        <v>179.999</v>
      </c>
      <c r="N3">
        <v>179.15600000000001</v>
      </c>
      <c r="O3">
        <v>177.88399999999999</v>
      </c>
      <c r="P3">
        <v>177.994</v>
      </c>
      <c r="Q3">
        <v>178.279</v>
      </c>
      <c r="R3">
        <v>178.91399999999999</v>
      </c>
      <c r="S3">
        <v>179.33</v>
      </c>
      <c r="T3">
        <v>179.65899999999999</v>
      </c>
      <c r="U3">
        <v>180.636</v>
      </c>
      <c r="V3">
        <v>180.93</v>
      </c>
      <c r="W3">
        <v>181.929</v>
      </c>
      <c r="X3">
        <v>182.02500000000001</v>
      </c>
      <c r="Y3">
        <v>181.45500000000001</v>
      </c>
      <c r="Z3">
        <v>179.94499999999999</v>
      </c>
      <c r="AA3">
        <v>179.61500000000001</v>
      </c>
      <c r="AB3">
        <v>179.27199999999999</v>
      </c>
      <c r="AC3">
        <v>178.518</v>
      </c>
      <c r="AD3">
        <v>178.614</v>
      </c>
      <c r="AE3">
        <v>179.536</v>
      </c>
      <c r="AF3">
        <v>177.82300000000001</v>
      </c>
    </row>
    <row r="4" spans="1:32" x14ac:dyDescent="0.2">
      <c r="A4" t="s">
        <v>82</v>
      </c>
      <c r="B4">
        <v>10.882899999999999</v>
      </c>
      <c r="C4">
        <v>10.882899999999999</v>
      </c>
      <c r="D4">
        <v>10.882899999999999</v>
      </c>
      <c r="E4">
        <v>10.882899999999999</v>
      </c>
      <c r="F4">
        <v>10.882899999999999</v>
      </c>
      <c r="G4">
        <v>10.882899999999999</v>
      </c>
      <c r="H4">
        <v>10.882899999999999</v>
      </c>
      <c r="I4">
        <v>10.882899999999999</v>
      </c>
      <c r="J4">
        <v>10.882899999999999</v>
      </c>
      <c r="K4">
        <v>10.882899999999999</v>
      </c>
      <c r="L4">
        <v>10.882899999999999</v>
      </c>
      <c r="M4">
        <v>10.882899999999999</v>
      </c>
      <c r="N4">
        <v>10.882899999999999</v>
      </c>
      <c r="O4">
        <v>10.882899999999999</v>
      </c>
      <c r="P4">
        <v>10.882899999999999</v>
      </c>
      <c r="Q4">
        <v>10.882899999999999</v>
      </c>
      <c r="R4">
        <v>10.882899999999999</v>
      </c>
      <c r="S4">
        <v>10.882899999999999</v>
      </c>
      <c r="T4">
        <v>10.882899999999999</v>
      </c>
      <c r="U4">
        <v>10.882899999999999</v>
      </c>
      <c r="V4">
        <v>10.882899999999999</v>
      </c>
      <c r="W4">
        <v>10.882899999999999</v>
      </c>
      <c r="X4">
        <v>10.882899999999999</v>
      </c>
      <c r="Y4">
        <v>10.882899999999999</v>
      </c>
      <c r="Z4">
        <v>10.882899999999999</v>
      </c>
      <c r="AA4">
        <v>10.882899999999999</v>
      </c>
      <c r="AB4">
        <v>10.882899999999999</v>
      </c>
      <c r="AC4">
        <v>10.882899999999999</v>
      </c>
      <c r="AD4">
        <v>10.882899999999999</v>
      </c>
      <c r="AE4">
        <v>10.882899999999999</v>
      </c>
      <c r="AF4">
        <v>10.882899999999999</v>
      </c>
    </row>
    <row r="5" spans="1:32" x14ac:dyDescent="0.2">
      <c r="A5" t="s">
        <v>83</v>
      </c>
      <c r="B5">
        <v>31.305900000000001</v>
      </c>
      <c r="C5">
        <v>31.305900000000001</v>
      </c>
      <c r="D5">
        <v>31.305900000000001</v>
      </c>
      <c r="E5">
        <v>31.305900000000001</v>
      </c>
      <c r="F5">
        <v>31.305900000000001</v>
      </c>
      <c r="G5">
        <v>31.305900000000001</v>
      </c>
      <c r="H5">
        <v>31.305900000000001</v>
      </c>
      <c r="I5">
        <v>31.305900000000001</v>
      </c>
      <c r="J5">
        <v>31.305900000000001</v>
      </c>
      <c r="K5">
        <v>31.305900000000001</v>
      </c>
      <c r="L5">
        <v>31.305900000000001</v>
      </c>
      <c r="M5">
        <v>31.305900000000001</v>
      </c>
      <c r="N5">
        <v>31.305900000000001</v>
      </c>
      <c r="O5">
        <v>31.305900000000001</v>
      </c>
      <c r="P5">
        <v>31.305900000000001</v>
      </c>
      <c r="Q5">
        <v>31.305900000000001</v>
      </c>
      <c r="R5">
        <v>31.305900000000001</v>
      </c>
      <c r="S5">
        <v>31.305900000000001</v>
      </c>
      <c r="T5">
        <v>31.305900000000001</v>
      </c>
      <c r="U5">
        <v>31.305900000000001</v>
      </c>
      <c r="V5">
        <v>31.305900000000001</v>
      </c>
      <c r="W5">
        <v>31.305900000000001</v>
      </c>
      <c r="X5">
        <v>31.305900000000001</v>
      </c>
      <c r="Y5">
        <v>31.305900000000001</v>
      </c>
      <c r="Z5">
        <v>31.305900000000001</v>
      </c>
      <c r="AA5">
        <v>31.305900000000001</v>
      </c>
      <c r="AB5">
        <v>31.305900000000001</v>
      </c>
      <c r="AC5">
        <v>31.305900000000001</v>
      </c>
      <c r="AD5">
        <v>31.305900000000001</v>
      </c>
      <c r="AE5">
        <v>31.305900000000001</v>
      </c>
      <c r="AF5">
        <v>31.305900000000001</v>
      </c>
    </row>
    <row r="6" spans="1:32" x14ac:dyDescent="0.2">
      <c r="A6" t="s">
        <v>84</v>
      </c>
      <c r="B6">
        <v>34.7425</v>
      </c>
      <c r="C6">
        <v>37.047899999999998</v>
      </c>
      <c r="D6">
        <v>38.311700000000002</v>
      </c>
      <c r="E6">
        <v>41.4758</v>
      </c>
      <c r="F6">
        <v>44.290900000000001</v>
      </c>
      <c r="G6">
        <v>46.083799999999997</v>
      </c>
      <c r="H6">
        <v>48.200800000000001</v>
      </c>
      <c r="I6">
        <v>50.615099999999998</v>
      </c>
      <c r="J6">
        <v>53.944899999999997</v>
      </c>
      <c r="K6">
        <v>57.0122</v>
      </c>
      <c r="L6">
        <v>59.433100000000003</v>
      </c>
      <c r="M6">
        <v>61.526400000000002</v>
      </c>
      <c r="N6">
        <v>63.339799999999997</v>
      </c>
      <c r="O6">
        <v>64.929199999999994</v>
      </c>
      <c r="P6">
        <v>66.794799999999995</v>
      </c>
      <c r="Q6">
        <v>68.609800000000007</v>
      </c>
      <c r="R6">
        <v>70.639799999999994</v>
      </c>
      <c r="S6">
        <v>72.640199999999993</v>
      </c>
      <c r="T6">
        <v>74.579599999999999</v>
      </c>
      <c r="U6">
        <v>76.554699999999997</v>
      </c>
      <c r="V6">
        <v>78.338999999999999</v>
      </c>
      <c r="W6">
        <v>80.035499999999999</v>
      </c>
      <c r="X6">
        <v>82.230800000000002</v>
      </c>
      <c r="Y6">
        <v>85.274600000000007</v>
      </c>
      <c r="Z6">
        <v>87.908000000000001</v>
      </c>
      <c r="AA6">
        <v>90.102500000000006</v>
      </c>
      <c r="AB6">
        <v>92.314800000000005</v>
      </c>
      <c r="AC6">
        <v>94.747500000000002</v>
      </c>
      <c r="AD6">
        <v>97.099400000000003</v>
      </c>
      <c r="AE6">
        <v>99.335099999999997</v>
      </c>
      <c r="AF6">
        <v>101.827</v>
      </c>
    </row>
    <row r="7" spans="1:32" x14ac:dyDescent="0.2">
      <c r="A7" t="s">
        <v>85</v>
      </c>
      <c r="B7">
        <v>31.223099999999999</v>
      </c>
      <c r="C7">
        <v>34.682099999999998</v>
      </c>
      <c r="D7">
        <v>36.813699999999997</v>
      </c>
      <c r="E7">
        <v>42.06</v>
      </c>
      <c r="F7">
        <v>47.4985</v>
      </c>
      <c r="G7">
        <v>50.369300000000003</v>
      </c>
      <c r="H7">
        <v>54.584600000000002</v>
      </c>
      <c r="I7">
        <v>59.761000000000003</v>
      </c>
      <c r="J7">
        <v>67.510499999999993</v>
      </c>
      <c r="K7">
        <v>75.161299999999997</v>
      </c>
      <c r="L7">
        <v>81.551400000000001</v>
      </c>
      <c r="M7">
        <v>86.915400000000005</v>
      </c>
      <c r="N7">
        <v>92.210599999999999</v>
      </c>
      <c r="O7">
        <v>96.966499999999996</v>
      </c>
      <c r="P7">
        <v>102.617</v>
      </c>
      <c r="Q7">
        <v>108.17400000000001</v>
      </c>
      <c r="R7">
        <v>114.407</v>
      </c>
      <c r="S7">
        <v>120.584</v>
      </c>
      <c r="T7">
        <v>126.71599999999999</v>
      </c>
      <c r="U7">
        <v>133.12299999999999</v>
      </c>
      <c r="V7">
        <v>139.06</v>
      </c>
      <c r="W7">
        <v>144.74100000000001</v>
      </c>
      <c r="X7">
        <v>151.964</v>
      </c>
      <c r="Y7">
        <v>161.834</v>
      </c>
      <c r="Z7">
        <v>170.517</v>
      </c>
      <c r="AA7">
        <v>177.83199999999999</v>
      </c>
      <c r="AB7">
        <v>185.239</v>
      </c>
      <c r="AC7">
        <v>193.28299999999999</v>
      </c>
      <c r="AD7">
        <v>201.07499999999999</v>
      </c>
      <c r="AE7">
        <v>208.55500000000001</v>
      </c>
      <c r="AF7">
        <v>216.77500000000001</v>
      </c>
    </row>
    <row r="8" spans="1:32" x14ac:dyDescent="0.2">
      <c r="A8" t="s">
        <v>86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87</v>
      </c>
      <c r="B9">
        <v>6.6264399999999997</v>
      </c>
      <c r="C9">
        <v>6.7628300000000001</v>
      </c>
      <c r="D9">
        <v>6.7628300000000001</v>
      </c>
      <c r="E9">
        <v>6.8992199999999997</v>
      </c>
      <c r="F9">
        <v>7.0356199999999998</v>
      </c>
      <c r="G9">
        <v>7.0356199999999998</v>
      </c>
      <c r="H9">
        <v>7.0356199999999998</v>
      </c>
      <c r="I9">
        <v>7.0356199999999998</v>
      </c>
      <c r="J9">
        <v>7.0356199999999998</v>
      </c>
      <c r="K9">
        <v>7.0356199999999998</v>
      </c>
      <c r="L9">
        <v>7.0356199999999998</v>
      </c>
      <c r="M9">
        <v>7.0356199999999998</v>
      </c>
      <c r="N9">
        <v>7.0356199999999998</v>
      </c>
      <c r="O9">
        <v>7.0356199999999998</v>
      </c>
      <c r="P9">
        <v>7.0356199999999998</v>
      </c>
      <c r="Q9">
        <v>7.0356199999999998</v>
      </c>
      <c r="R9">
        <v>7.0356199999999998</v>
      </c>
      <c r="S9">
        <v>7.0356199999999998</v>
      </c>
      <c r="T9">
        <v>7.0356199999999998</v>
      </c>
      <c r="U9">
        <v>7.0356199999999998</v>
      </c>
      <c r="V9">
        <v>7.0356199999999998</v>
      </c>
      <c r="W9">
        <v>7.0356199999999998</v>
      </c>
      <c r="X9">
        <v>5.6716800000000003</v>
      </c>
      <c r="Y9">
        <v>3.2166100000000002</v>
      </c>
      <c r="Z9">
        <v>7.95627E-2</v>
      </c>
      <c r="AA9">
        <v>7.95627E-2</v>
      </c>
      <c r="AB9">
        <v>7.95627E-2</v>
      </c>
      <c r="AC9">
        <v>7.95627E-2</v>
      </c>
      <c r="AD9">
        <v>7.95627E-2</v>
      </c>
      <c r="AE9">
        <v>7.95627E-2</v>
      </c>
      <c r="AF9">
        <v>7.95627E-2</v>
      </c>
    </row>
    <row r="10" spans="1:32" x14ac:dyDescent="0.2">
      <c r="A10" t="s">
        <v>88</v>
      </c>
      <c r="B10">
        <v>6.2663399999999996</v>
      </c>
      <c r="C10">
        <v>6.41554</v>
      </c>
      <c r="D10">
        <v>6.4901400000000002</v>
      </c>
      <c r="E10">
        <v>6.6393300000000002</v>
      </c>
      <c r="F10">
        <v>6.6393300000000002</v>
      </c>
      <c r="G10">
        <v>6.6393300000000002</v>
      </c>
      <c r="H10">
        <v>6.7139300000000004</v>
      </c>
      <c r="I10">
        <v>6.7139300000000004</v>
      </c>
      <c r="J10">
        <v>6.7139300000000004</v>
      </c>
      <c r="K10">
        <v>6.7139300000000004</v>
      </c>
      <c r="L10">
        <v>6.7139300000000004</v>
      </c>
      <c r="M10">
        <v>6.7139300000000004</v>
      </c>
      <c r="N10">
        <v>6.7139300000000004</v>
      </c>
      <c r="O10">
        <v>6.7139300000000004</v>
      </c>
      <c r="P10">
        <v>6.7139300000000004</v>
      </c>
      <c r="Q10">
        <v>6.7139300000000004</v>
      </c>
      <c r="R10">
        <v>6.7139300000000004</v>
      </c>
      <c r="S10">
        <v>6.7139300000000004</v>
      </c>
      <c r="T10">
        <v>6.7139300000000004</v>
      </c>
      <c r="U10">
        <v>6.7139300000000004</v>
      </c>
      <c r="V10">
        <v>6.7139300000000004</v>
      </c>
      <c r="W10">
        <v>6.7139300000000004</v>
      </c>
      <c r="X10">
        <v>6.7139300000000004</v>
      </c>
      <c r="Y10">
        <v>6.7139300000000004</v>
      </c>
      <c r="Z10">
        <v>6.7139300000000004</v>
      </c>
      <c r="AA10">
        <v>6.7139300000000004</v>
      </c>
      <c r="AB10">
        <v>6.7139300000000004</v>
      </c>
      <c r="AC10">
        <v>6.7139300000000004</v>
      </c>
      <c r="AD10">
        <v>6.7139300000000004</v>
      </c>
      <c r="AE10">
        <v>6.7139300000000004</v>
      </c>
      <c r="AF10">
        <v>6.7139300000000004</v>
      </c>
    </row>
    <row r="11" spans="1:32" x14ac:dyDescent="0.2">
      <c r="A11" t="s">
        <v>89</v>
      </c>
      <c r="B11">
        <v>0</v>
      </c>
      <c r="C11">
        <v>0</v>
      </c>
      <c r="D11">
        <v>0</v>
      </c>
      <c r="E11">
        <v>5.6926099999999999E-3</v>
      </c>
      <c r="F11">
        <v>1.7077800000000001E-2</v>
      </c>
      <c r="G11">
        <v>2.27704E-2</v>
      </c>
      <c r="H11">
        <v>2.8463100000000002E-2</v>
      </c>
      <c r="I11">
        <v>3.4155699999999997E-2</v>
      </c>
      <c r="J11">
        <v>3.9848300000000003E-2</v>
      </c>
      <c r="K11">
        <v>4.5540900000000002E-2</v>
      </c>
      <c r="L11">
        <v>4.5540900000000002E-2</v>
      </c>
      <c r="M11">
        <v>4.5540900000000002E-2</v>
      </c>
      <c r="N11">
        <v>4.5540900000000002E-2</v>
      </c>
      <c r="O11">
        <v>4.5540900000000002E-2</v>
      </c>
      <c r="P11">
        <v>4.5540900000000002E-2</v>
      </c>
      <c r="Q11">
        <v>4.5540900000000002E-2</v>
      </c>
      <c r="R11">
        <v>4.5540900000000002E-2</v>
      </c>
      <c r="S11">
        <v>0.153701</v>
      </c>
      <c r="T11">
        <v>0.387098</v>
      </c>
      <c r="U11">
        <v>0.67172799999999999</v>
      </c>
      <c r="V11">
        <v>0.91651000000000005</v>
      </c>
      <c r="W11">
        <v>1.09867</v>
      </c>
      <c r="X11">
        <v>1.3320700000000001</v>
      </c>
      <c r="Y11">
        <v>1.7248600000000001</v>
      </c>
      <c r="Z11">
        <v>2.0777999999999999</v>
      </c>
      <c r="AA11">
        <v>2.3567399999999998</v>
      </c>
      <c r="AB11">
        <v>2.5901399999999999</v>
      </c>
      <c r="AC11">
        <v>2.8406099999999999</v>
      </c>
      <c r="AD11">
        <v>3.0626199999999999</v>
      </c>
      <c r="AE11">
        <v>3.2334000000000001</v>
      </c>
      <c r="AF11">
        <v>3.4326400000000001</v>
      </c>
    </row>
    <row r="12" spans="1:32" x14ac:dyDescent="0.2">
      <c r="A12" t="s">
        <v>90</v>
      </c>
      <c r="B12">
        <v>7.7548700000000004</v>
      </c>
      <c r="C12">
        <v>7.07172</v>
      </c>
      <c r="D12">
        <v>6.8440099999999999</v>
      </c>
      <c r="E12">
        <v>6.3885800000000001</v>
      </c>
      <c r="F12">
        <v>6.5138199999999999</v>
      </c>
      <c r="G12">
        <v>6.5138199999999999</v>
      </c>
      <c r="H12">
        <v>6.5138199999999999</v>
      </c>
      <c r="I12">
        <v>6.5138199999999999</v>
      </c>
      <c r="J12">
        <v>6.5138199999999999</v>
      </c>
      <c r="K12">
        <v>6.5138199999999999</v>
      </c>
      <c r="L12">
        <v>6.5138199999999999</v>
      </c>
      <c r="M12">
        <v>6.5138199999999999</v>
      </c>
      <c r="N12">
        <v>6.5138199999999999</v>
      </c>
      <c r="O12">
        <v>6.5138199999999999</v>
      </c>
      <c r="P12">
        <v>6.5138199999999999</v>
      </c>
      <c r="Q12">
        <v>6.5138199999999999</v>
      </c>
      <c r="R12">
        <v>6.5138199999999999</v>
      </c>
      <c r="S12">
        <v>7.0148000000000001</v>
      </c>
      <c r="T12">
        <v>8.1419899999999998</v>
      </c>
      <c r="U12">
        <v>9.6449200000000008</v>
      </c>
      <c r="V12">
        <v>10.897399999999999</v>
      </c>
      <c r="W12">
        <v>11.774100000000001</v>
      </c>
      <c r="X12">
        <v>13.0265</v>
      </c>
      <c r="Y12">
        <v>15.1556</v>
      </c>
      <c r="Z12">
        <v>17.034300000000002</v>
      </c>
      <c r="AA12">
        <v>18.537199999999999</v>
      </c>
      <c r="AB12">
        <v>19.7897</v>
      </c>
      <c r="AC12">
        <v>21.167400000000001</v>
      </c>
      <c r="AD12">
        <v>22.419799999999999</v>
      </c>
      <c r="AE12">
        <v>23.421700000000001</v>
      </c>
      <c r="AF12">
        <v>24.5489</v>
      </c>
    </row>
    <row r="13" spans="1:32" x14ac:dyDescent="0.2">
      <c r="A13" t="s">
        <v>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92</v>
      </c>
      <c r="B14">
        <v>0.60313600000000001</v>
      </c>
      <c r="C14">
        <v>0.69337400000000005</v>
      </c>
      <c r="D14">
        <v>0.74006899999999998</v>
      </c>
      <c r="E14">
        <v>0.87389799999999995</v>
      </c>
      <c r="F14">
        <v>1.0081199999999999</v>
      </c>
      <c r="G14">
        <v>1.09874</v>
      </c>
      <c r="H14">
        <v>1.2114799999999999</v>
      </c>
      <c r="I14">
        <v>1.34649</v>
      </c>
      <c r="J14">
        <v>1.5481100000000001</v>
      </c>
      <c r="K14">
        <v>1.7501899999999999</v>
      </c>
      <c r="L14">
        <v>1.90832</v>
      </c>
      <c r="M14">
        <v>2.0444800000000001</v>
      </c>
      <c r="N14">
        <v>2.1808000000000001</v>
      </c>
      <c r="O14">
        <v>2.29501</v>
      </c>
      <c r="P14">
        <v>2.4539399999999998</v>
      </c>
      <c r="Q14">
        <v>2.6130599999999999</v>
      </c>
      <c r="R14">
        <v>2.7947199999999999</v>
      </c>
      <c r="S14">
        <v>2.9765999999999999</v>
      </c>
      <c r="T14">
        <v>3.1362899999999998</v>
      </c>
      <c r="U14">
        <v>3.2961299999999998</v>
      </c>
      <c r="V14">
        <v>3.4561199999999999</v>
      </c>
      <c r="W14">
        <v>3.5937899999999998</v>
      </c>
      <c r="X14">
        <v>3.7989999999999999</v>
      </c>
      <c r="Y14">
        <v>4.0718899999999998</v>
      </c>
      <c r="Z14">
        <v>4.3225600000000002</v>
      </c>
      <c r="AA14">
        <v>4.5284199999999997</v>
      </c>
      <c r="AB14">
        <v>4.7344499999999998</v>
      </c>
      <c r="AC14">
        <v>4.9631999999999996</v>
      </c>
      <c r="AD14">
        <v>5.1921400000000002</v>
      </c>
      <c r="AE14">
        <v>5.3986700000000001</v>
      </c>
      <c r="AF14">
        <v>5.6279399999999997</v>
      </c>
    </row>
    <row r="15" spans="1:32" x14ac:dyDescent="0.2">
      <c r="A15" t="s">
        <v>93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94</v>
      </c>
      <c r="B16">
        <v>29.343699999999998</v>
      </c>
      <c r="C16">
        <v>18.671500000000002</v>
      </c>
      <c r="D16">
        <v>48.507899999999999</v>
      </c>
      <c r="E16">
        <v>44.084499999999998</v>
      </c>
      <c r="F16">
        <v>43.329099999999997</v>
      </c>
      <c r="G16">
        <v>43.654899999999998</v>
      </c>
      <c r="H16">
        <v>39.749099999999999</v>
      </c>
      <c r="I16">
        <v>35.585900000000002</v>
      </c>
      <c r="J16">
        <v>35.813299999999998</v>
      </c>
      <c r="K16">
        <v>37.841099999999997</v>
      </c>
      <c r="L16">
        <v>39.111499999999999</v>
      </c>
      <c r="M16">
        <v>40.0578</v>
      </c>
      <c r="N16">
        <v>40.641399999999997</v>
      </c>
      <c r="O16">
        <v>41.686599999999999</v>
      </c>
      <c r="P16">
        <v>41.599899999999998</v>
      </c>
      <c r="Q16">
        <v>41.104700000000001</v>
      </c>
      <c r="R16">
        <v>41.0914</v>
      </c>
      <c r="S16">
        <v>40.417099999999998</v>
      </c>
      <c r="T16">
        <v>39.600700000000003</v>
      </c>
      <c r="U16">
        <v>38.622399999999999</v>
      </c>
      <c r="V16">
        <v>38.3078</v>
      </c>
      <c r="W16">
        <v>38.159700000000001</v>
      </c>
      <c r="X16">
        <v>37.630699999999997</v>
      </c>
      <c r="Y16">
        <v>36.444099999999999</v>
      </c>
      <c r="Z16">
        <v>36.7455</v>
      </c>
      <c r="AA16">
        <v>35.7971</v>
      </c>
      <c r="AB16">
        <v>35.1738</v>
      </c>
      <c r="AC16">
        <v>34.8324</v>
      </c>
      <c r="AD16">
        <v>33.494799999999998</v>
      </c>
      <c r="AE16">
        <v>32.3874</v>
      </c>
      <c r="AF16">
        <v>32.461799999999997</v>
      </c>
    </row>
    <row r="17" spans="1:32" x14ac:dyDescent="0.2">
      <c r="A17" t="s">
        <v>95</v>
      </c>
      <c r="B17">
        <v>0</v>
      </c>
      <c r="C17">
        <v>0</v>
      </c>
      <c r="D17">
        <v>0</v>
      </c>
      <c r="E17">
        <v>0.699048</v>
      </c>
      <c r="F17">
        <v>1.5145999999999999</v>
      </c>
      <c r="G17">
        <v>1.98064</v>
      </c>
      <c r="H17">
        <v>2.3301599999999998</v>
      </c>
      <c r="I17">
        <v>2.7961900000000002</v>
      </c>
      <c r="J17">
        <v>3.37873</v>
      </c>
      <c r="K17">
        <v>3.9612699999999998</v>
      </c>
      <c r="L17">
        <v>4.3108000000000004</v>
      </c>
      <c r="M17">
        <v>4.5438099999999997</v>
      </c>
      <c r="N17">
        <v>4.7768300000000004</v>
      </c>
      <c r="O17">
        <v>5.0098399999999996</v>
      </c>
      <c r="P17">
        <v>5.2428600000000003</v>
      </c>
      <c r="Q17">
        <v>5.4758800000000001</v>
      </c>
      <c r="R17">
        <v>5.7088900000000002</v>
      </c>
      <c r="S17">
        <v>5.94191</v>
      </c>
      <c r="T17">
        <v>6.1749200000000002</v>
      </c>
      <c r="U17">
        <v>6.40794</v>
      </c>
      <c r="V17">
        <v>6.5244499999999999</v>
      </c>
      <c r="W17">
        <v>6.6409599999999998</v>
      </c>
      <c r="X17">
        <v>6.8739699999999999</v>
      </c>
      <c r="Y17">
        <v>7.1069899999999997</v>
      </c>
      <c r="Z17">
        <v>7.34</v>
      </c>
      <c r="AA17">
        <v>7.4565099999999997</v>
      </c>
      <c r="AB17">
        <v>7.5730199999999996</v>
      </c>
      <c r="AC17">
        <v>7.6895300000000004</v>
      </c>
      <c r="AD17">
        <v>7.8060400000000003</v>
      </c>
      <c r="AE17">
        <v>7.9225399999999997</v>
      </c>
      <c r="AF17">
        <v>8.0390499999999996</v>
      </c>
    </row>
    <row r="18" spans="1:32" x14ac:dyDescent="0.2">
      <c r="A18" t="s">
        <v>96</v>
      </c>
      <c r="B18">
        <v>2.39514</v>
      </c>
      <c r="C18">
        <v>3.1365699999999999</v>
      </c>
      <c r="D18">
        <v>4.06081</v>
      </c>
      <c r="E18">
        <v>5.1909999999999998</v>
      </c>
      <c r="F18">
        <v>6.1195199999999996</v>
      </c>
      <c r="G18">
        <v>7.28498</v>
      </c>
      <c r="H18">
        <v>8.4504400000000004</v>
      </c>
      <c r="I18">
        <v>9.6158900000000003</v>
      </c>
      <c r="J18">
        <v>10.7814</v>
      </c>
      <c r="K18">
        <v>11.823700000000001</v>
      </c>
      <c r="L18">
        <v>12.866</v>
      </c>
      <c r="M18">
        <v>13.908300000000001</v>
      </c>
      <c r="N18">
        <v>14.9506</v>
      </c>
      <c r="O18">
        <v>15.992900000000001</v>
      </c>
      <c r="P18">
        <v>16.831099999999999</v>
      </c>
      <c r="Q18">
        <v>17.6692</v>
      </c>
      <c r="R18">
        <v>18.507400000000001</v>
      </c>
      <c r="S18">
        <v>19.345600000000001</v>
      </c>
      <c r="T18">
        <v>20.183800000000002</v>
      </c>
      <c r="U18">
        <v>20.790800000000001</v>
      </c>
      <c r="V18">
        <v>21.3978</v>
      </c>
      <c r="W18">
        <v>22.004899999999999</v>
      </c>
      <c r="X18">
        <v>22.611899999999999</v>
      </c>
      <c r="Y18">
        <v>23.218900000000001</v>
      </c>
      <c r="Z18">
        <v>23.585799999999999</v>
      </c>
      <c r="AA18">
        <v>23.9528</v>
      </c>
      <c r="AB18">
        <v>24.319700000000001</v>
      </c>
      <c r="AC18">
        <v>24.686599999999999</v>
      </c>
      <c r="AD18">
        <v>25.0535</v>
      </c>
      <c r="AE18">
        <v>25.177199999999999</v>
      </c>
      <c r="AF18">
        <v>25.300999999999998</v>
      </c>
    </row>
    <row r="22" spans="1:32" x14ac:dyDescent="0.2">
      <c r="A22" t="str">
        <f>A1</f>
        <v>Time (Year)</v>
      </c>
      <c r="B22">
        <f t="shared" ref="B22:AF23" si="0">B1</f>
        <v>2020</v>
      </c>
      <c r="C22">
        <f t="shared" si="0"/>
        <v>2021</v>
      </c>
      <c r="D22">
        <f t="shared" si="0"/>
        <v>2022</v>
      </c>
      <c r="E22">
        <f t="shared" si="0"/>
        <v>2023</v>
      </c>
      <c r="F22">
        <f t="shared" si="0"/>
        <v>2024</v>
      </c>
      <c r="G22">
        <f t="shared" si="0"/>
        <v>2025</v>
      </c>
      <c r="H22">
        <f t="shared" si="0"/>
        <v>2026</v>
      </c>
      <c r="I22">
        <f t="shared" si="0"/>
        <v>2027</v>
      </c>
      <c r="J22">
        <f t="shared" si="0"/>
        <v>2028</v>
      </c>
      <c r="K22">
        <f t="shared" si="0"/>
        <v>2029</v>
      </c>
      <c r="L22">
        <f t="shared" si="0"/>
        <v>2030</v>
      </c>
      <c r="M22">
        <f t="shared" si="0"/>
        <v>2031</v>
      </c>
      <c r="N22">
        <f t="shared" si="0"/>
        <v>2032</v>
      </c>
      <c r="O22">
        <f t="shared" si="0"/>
        <v>2033</v>
      </c>
      <c r="P22">
        <f t="shared" si="0"/>
        <v>2034</v>
      </c>
      <c r="Q22">
        <f t="shared" si="0"/>
        <v>2035</v>
      </c>
      <c r="R22">
        <f t="shared" si="0"/>
        <v>2036</v>
      </c>
      <c r="S22">
        <f t="shared" si="0"/>
        <v>2037</v>
      </c>
      <c r="T22">
        <f t="shared" si="0"/>
        <v>2038</v>
      </c>
      <c r="U22">
        <f t="shared" si="0"/>
        <v>2039</v>
      </c>
      <c r="V22">
        <f t="shared" si="0"/>
        <v>2040</v>
      </c>
      <c r="W22">
        <f t="shared" si="0"/>
        <v>2041</v>
      </c>
      <c r="X22">
        <f t="shared" si="0"/>
        <v>2042</v>
      </c>
      <c r="Y22">
        <f t="shared" si="0"/>
        <v>2043</v>
      </c>
      <c r="Z22">
        <f t="shared" si="0"/>
        <v>2044</v>
      </c>
      <c r="AA22">
        <f t="shared" si="0"/>
        <v>2045</v>
      </c>
      <c r="AB22">
        <f t="shared" si="0"/>
        <v>2046</v>
      </c>
      <c r="AC22">
        <f t="shared" si="0"/>
        <v>2047</v>
      </c>
      <c r="AD22">
        <f t="shared" si="0"/>
        <v>2048</v>
      </c>
      <c r="AE22">
        <f t="shared" si="0"/>
        <v>2049</v>
      </c>
      <c r="AF22">
        <f t="shared" si="0"/>
        <v>2050</v>
      </c>
    </row>
    <row r="23" spans="1:32" x14ac:dyDescent="0.2">
      <c r="A23" s="1" t="s">
        <v>15</v>
      </c>
      <c r="B23">
        <f>B2</f>
        <v>13.5351</v>
      </c>
      <c r="C23">
        <f t="shared" si="0"/>
        <v>29.6539</v>
      </c>
      <c r="D23">
        <f t="shared" si="0"/>
        <v>18.725200000000001</v>
      </c>
      <c r="E23">
        <f t="shared" si="0"/>
        <v>19.198399999999999</v>
      </c>
      <c r="F23">
        <f t="shared" si="0"/>
        <v>20.029599999999999</v>
      </c>
      <c r="G23">
        <f t="shared" si="0"/>
        <v>22.668700000000001</v>
      </c>
      <c r="H23">
        <f t="shared" si="0"/>
        <v>21.252400000000002</v>
      </c>
      <c r="I23">
        <f t="shared" si="0"/>
        <v>19.630400000000002</v>
      </c>
      <c r="J23">
        <f t="shared" si="0"/>
        <v>19.366700000000002</v>
      </c>
      <c r="K23">
        <f t="shared" si="0"/>
        <v>17.610399999999998</v>
      </c>
      <c r="L23">
        <f t="shared" si="0"/>
        <v>18.282800000000002</v>
      </c>
      <c r="M23">
        <f t="shared" si="0"/>
        <v>18.3322</v>
      </c>
      <c r="N23">
        <f t="shared" si="0"/>
        <v>17.9726</v>
      </c>
      <c r="O23">
        <f t="shared" si="0"/>
        <v>18.629200000000001</v>
      </c>
      <c r="P23">
        <f t="shared" si="0"/>
        <v>18.523599999999998</v>
      </c>
      <c r="Q23">
        <f t="shared" si="0"/>
        <v>18.531400000000001</v>
      </c>
      <c r="R23">
        <f t="shared" si="0"/>
        <v>17.350999999999999</v>
      </c>
      <c r="S23">
        <f t="shared" si="0"/>
        <v>16.878900000000002</v>
      </c>
      <c r="T23">
        <f t="shared" si="0"/>
        <v>16.011800000000001</v>
      </c>
      <c r="U23">
        <f t="shared" si="0"/>
        <v>14.4489</v>
      </c>
      <c r="V23">
        <f t="shared" si="0"/>
        <v>14.1485</v>
      </c>
      <c r="W23">
        <f t="shared" si="0"/>
        <v>14.015000000000001</v>
      </c>
      <c r="X23">
        <f t="shared" si="0"/>
        <v>13.9665</v>
      </c>
      <c r="Y23">
        <f t="shared" si="0"/>
        <v>12.523999999999999</v>
      </c>
      <c r="Z23">
        <f t="shared" si="0"/>
        <v>12.569100000000001</v>
      </c>
      <c r="AA23">
        <f t="shared" si="0"/>
        <v>12.257300000000001</v>
      </c>
      <c r="AB23">
        <f t="shared" si="0"/>
        <v>11.908799999999999</v>
      </c>
      <c r="AC23">
        <f t="shared" si="0"/>
        <v>10.753</v>
      </c>
      <c r="AD23">
        <f t="shared" si="0"/>
        <v>10.378</v>
      </c>
      <c r="AE23">
        <f t="shared" si="0"/>
        <v>9.9035899999999994</v>
      </c>
      <c r="AF23">
        <f t="shared" si="0"/>
        <v>9.8270499999999998</v>
      </c>
    </row>
    <row r="24" spans="1:32" x14ac:dyDescent="0.2">
      <c r="A24" s="1" t="s">
        <v>17</v>
      </c>
      <c r="B24">
        <f>B3+B12</f>
        <v>187.45487</v>
      </c>
      <c r="C24">
        <f t="shared" ref="C24:AF24" si="1">C3+C12</f>
        <v>190.17071999999999</v>
      </c>
      <c r="D24">
        <f t="shared" si="1"/>
        <v>177.27301</v>
      </c>
      <c r="E24">
        <f t="shared" si="1"/>
        <v>179.66057999999998</v>
      </c>
      <c r="F24">
        <f t="shared" si="1"/>
        <v>178.79182</v>
      </c>
      <c r="G24">
        <f t="shared" si="1"/>
        <v>179.04282000000001</v>
      </c>
      <c r="H24">
        <f t="shared" si="1"/>
        <v>186.25282000000001</v>
      </c>
      <c r="I24">
        <f t="shared" si="1"/>
        <v>192.48782</v>
      </c>
      <c r="J24">
        <f t="shared" si="1"/>
        <v>190.06282000000002</v>
      </c>
      <c r="K24">
        <f t="shared" si="1"/>
        <v>187.86782000000002</v>
      </c>
      <c r="L24">
        <f t="shared" si="1"/>
        <v>187.12882000000002</v>
      </c>
      <c r="M24">
        <f t="shared" si="1"/>
        <v>186.51282</v>
      </c>
      <c r="N24">
        <f t="shared" si="1"/>
        <v>185.66982000000002</v>
      </c>
      <c r="O24">
        <f t="shared" si="1"/>
        <v>184.39782</v>
      </c>
      <c r="P24">
        <f t="shared" si="1"/>
        <v>184.50782000000001</v>
      </c>
      <c r="Q24">
        <f t="shared" si="1"/>
        <v>184.79282000000001</v>
      </c>
      <c r="R24">
        <f t="shared" si="1"/>
        <v>185.42782</v>
      </c>
      <c r="S24">
        <f t="shared" si="1"/>
        <v>186.34480000000002</v>
      </c>
      <c r="T24">
        <f t="shared" si="1"/>
        <v>187.80098999999998</v>
      </c>
      <c r="U24">
        <f t="shared" si="1"/>
        <v>190.28092000000001</v>
      </c>
      <c r="V24">
        <f t="shared" si="1"/>
        <v>191.82740000000001</v>
      </c>
      <c r="W24">
        <f t="shared" si="1"/>
        <v>193.70310000000001</v>
      </c>
      <c r="X24">
        <f t="shared" si="1"/>
        <v>195.0515</v>
      </c>
      <c r="Y24">
        <f t="shared" si="1"/>
        <v>196.61060000000001</v>
      </c>
      <c r="Z24">
        <f t="shared" si="1"/>
        <v>196.97929999999999</v>
      </c>
      <c r="AA24">
        <f t="shared" si="1"/>
        <v>198.15219999999999</v>
      </c>
      <c r="AB24">
        <f t="shared" si="1"/>
        <v>199.0617</v>
      </c>
      <c r="AC24">
        <f t="shared" si="1"/>
        <v>199.68540000000002</v>
      </c>
      <c r="AD24">
        <f t="shared" si="1"/>
        <v>201.03380000000001</v>
      </c>
      <c r="AE24">
        <f t="shared" si="1"/>
        <v>202.95769999999999</v>
      </c>
      <c r="AF24">
        <f t="shared" si="1"/>
        <v>202.37190000000001</v>
      </c>
    </row>
    <row r="25" spans="1:32" x14ac:dyDescent="0.2">
      <c r="A25" s="1" t="s">
        <v>18</v>
      </c>
      <c r="B25">
        <f>B7+B8+B18</f>
        <v>33.61824</v>
      </c>
      <c r="C25">
        <f t="shared" ref="C25:AF25" si="2">C7+C8+C18</f>
        <v>37.818669999999997</v>
      </c>
      <c r="D25">
        <f t="shared" si="2"/>
        <v>40.874510000000001</v>
      </c>
      <c r="E25">
        <f t="shared" si="2"/>
        <v>47.251000000000005</v>
      </c>
      <c r="F25">
        <f t="shared" si="2"/>
        <v>53.618020000000001</v>
      </c>
      <c r="G25">
        <f t="shared" si="2"/>
        <v>57.65428</v>
      </c>
      <c r="H25">
        <f t="shared" si="2"/>
        <v>63.035040000000002</v>
      </c>
      <c r="I25">
        <f t="shared" si="2"/>
        <v>69.376890000000003</v>
      </c>
      <c r="J25">
        <f t="shared" si="2"/>
        <v>78.291899999999998</v>
      </c>
      <c r="K25">
        <f t="shared" si="2"/>
        <v>86.984999999999999</v>
      </c>
      <c r="L25">
        <f t="shared" si="2"/>
        <v>94.417400000000001</v>
      </c>
      <c r="M25">
        <f t="shared" si="2"/>
        <v>100.8237</v>
      </c>
      <c r="N25">
        <f t="shared" si="2"/>
        <v>107.16119999999999</v>
      </c>
      <c r="O25">
        <f t="shared" si="2"/>
        <v>112.9594</v>
      </c>
      <c r="P25">
        <f t="shared" si="2"/>
        <v>119.44810000000001</v>
      </c>
      <c r="Q25">
        <f t="shared" si="2"/>
        <v>125.84320000000001</v>
      </c>
      <c r="R25">
        <f t="shared" si="2"/>
        <v>132.9144</v>
      </c>
      <c r="S25">
        <f t="shared" si="2"/>
        <v>139.92959999999999</v>
      </c>
      <c r="T25">
        <f t="shared" si="2"/>
        <v>146.8998</v>
      </c>
      <c r="U25">
        <f t="shared" si="2"/>
        <v>153.91379999999998</v>
      </c>
      <c r="V25">
        <f t="shared" si="2"/>
        <v>160.45779999999999</v>
      </c>
      <c r="W25">
        <f t="shared" si="2"/>
        <v>166.74590000000001</v>
      </c>
      <c r="X25">
        <f t="shared" si="2"/>
        <v>174.57589999999999</v>
      </c>
      <c r="Y25">
        <f t="shared" si="2"/>
        <v>185.05289999999999</v>
      </c>
      <c r="Z25">
        <f t="shared" si="2"/>
        <v>194.1028</v>
      </c>
      <c r="AA25">
        <f t="shared" si="2"/>
        <v>201.78479999999999</v>
      </c>
      <c r="AB25">
        <f t="shared" si="2"/>
        <v>209.55870000000002</v>
      </c>
      <c r="AC25">
        <f t="shared" si="2"/>
        <v>217.96959999999999</v>
      </c>
      <c r="AD25">
        <f t="shared" si="2"/>
        <v>226.12849999999997</v>
      </c>
      <c r="AE25">
        <f t="shared" si="2"/>
        <v>233.73220000000001</v>
      </c>
      <c r="AF25">
        <f t="shared" si="2"/>
        <v>242.07599999999999</v>
      </c>
    </row>
    <row r="26" spans="1:32" x14ac:dyDescent="0.2">
      <c r="A26" s="1" t="s">
        <v>19</v>
      </c>
      <c r="B26">
        <f>B6+B14</f>
        <v>35.345635999999999</v>
      </c>
      <c r="C26">
        <f t="shared" ref="C26:AF26" si="3">C6+C14</f>
        <v>37.741273999999997</v>
      </c>
      <c r="D26">
        <f t="shared" si="3"/>
        <v>39.051769</v>
      </c>
      <c r="E26">
        <f t="shared" si="3"/>
        <v>42.349697999999997</v>
      </c>
      <c r="F26">
        <f t="shared" si="3"/>
        <v>45.299019999999999</v>
      </c>
      <c r="G26">
        <f t="shared" si="3"/>
        <v>47.182539999999996</v>
      </c>
      <c r="H26">
        <f t="shared" si="3"/>
        <v>49.412280000000003</v>
      </c>
      <c r="I26">
        <f t="shared" si="3"/>
        <v>51.961590000000001</v>
      </c>
      <c r="J26">
        <f t="shared" si="3"/>
        <v>55.493009999999998</v>
      </c>
      <c r="K26">
        <f t="shared" si="3"/>
        <v>58.762389999999996</v>
      </c>
      <c r="L26">
        <f t="shared" si="3"/>
        <v>61.341420000000006</v>
      </c>
      <c r="M26">
        <f t="shared" si="3"/>
        <v>63.570880000000002</v>
      </c>
      <c r="N26">
        <f t="shared" si="3"/>
        <v>65.520600000000002</v>
      </c>
      <c r="O26">
        <f t="shared" si="3"/>
        <v>67.224209999999999</v>
      </c>
      <c r="P26">
        <f t="shared" si="3"/>
        <v>69.248739999999998</v>
      </c>
      <c r="Q26">
        <f t="shared" si="3"/>
        <v>71.222860000000011</v>
      </c>
      <c r="R26">
        <f t="shared" si="3"/>
        <v>73.434519999999992</v>
      </c>
      <c r="S26">
        <f t="shared" si="3"/>
        <v>75.616799999999998</v>
      </c>
      <c r="T26">
        <f t="shared" si="3"/>
        <v>77.715890000000002</v>
      </c>
      <c r="U26">
        <f t="shared" si="3"/>
        <v>79.850830000000002</v>
      </c>
      <c r="V26">
        <f t="shared" si="3"/>
        <v>81.795119999999997</v>
      </c>
      <c r="W26">
        <f t="shared" si="3"/>
        <v>83.629289999999997</v>
      </c>
      <c r="X26">
        <f t="shared" si="3"/>
        <v>86.029800000000009</v>
      </c>
      <c r="Y26">
        <f t="shared" si="3"/>
        <v>89.346490000000003</v>
      </c>
      <c r="Z26">
        <f t="shared" si="3"/>
        <v>92.230559999999997</v>
      </c>
      <c r="AA26">
        <f t="shared" si="3"/>
        <v>94.630920000000003</v>
      </c>
      <c r="AB26">
        <f t="shared" si="3"/>
        <v>97.049250000000001</v>
      </c>
      <c r="AC26">
        <f t="shared" si="3"/>
        <v>99.710700000000003</v>
      </c>
      <c r="AD26">
        <f t="shared" si="3"/>
        <v>102.29154</v>
      </c>
      <c r="AE26">
        <f t="shared" si="3"/>
        <v>104.73376999999999</v>
      </c>
      <c r="AF26">
        <f t="shared" si="3"/>
        <v>107.45493999999999</v>
      </c>
    </row>
    <row r="27" spans="1:32" x14ac:dyDescent="0.2">
      <c r="A27" s="1" t="s">
        <v>16</v>
      </c>
      <c r="B27">
        <f>B5</f>
        <v>31.305900000000001</v>
      </c>
      <c r="C27">
        <f t="shared" ref="C27:AF27" si="4">C5</f>
        <v>31.305900000000001</v>
      </c>
      <c r="D27">
        <f t="shared" si="4"/>
        <v>31.305900000000001</v>
      </c>
      <c r="E27">
        <f t="shared" si="4"/>
        <v>31.305900000000001</v>
      </c>
      <c r="F27">
        <f t="shared" si="4"/>
        <v>31.305900000000001</v>
      </c>
      <c r="G27">
        <f t="shared" si="4"/>
        <v>31.305900000000001</v>
      </c>
      <c r="H27">
        <f t="shared" si="4"/>
        <v>31.305900000000001</v>
      </c>
      <c r="I27">
        <f t="shared" si="4"/>
        <v>31.305900000000001</v>
      </c>
      <c r="J27">
        <f t="shared" si="4"/>
        <v>31.305900000000001</v>
      </c>
      <c r="K27">
        <f t="shared" si="4"/>
        <v>31.305900000000001</v>
      </c>
      <c r="L27">
        <f t="shared" si="4"/>
        <v>31.305900000000001</v>
      </c>
      <c r="M27">
        <f t="shared" si="4"/>
        <v>31.305900000000001</v>
      </c>
      <c r="N27">
        <f t="shared" si="4"/>
        <v>31.305900000000001</v>
      </c>
      <c r="O27">
        <f t="shared" si="4"/>
        <v>31.305900000000001</v>
      </c>
      <c r="P27">
        <f t="shared" si="4"/>
        <v>31.305900000000001</v>
      </c>
      <c r="Q27">
        <f t="shared" si="4"/>
        <v>31.305900000000001</v>
      </c>
      <c r="R27">
        <f t="shared" si="4"/>
        <v>31.305900000000001</v>
      </c>
      <c r="S27">
        <f t="shared" si="4"/>
        <v>31.305900000000001</v>
      </c>
      <c r="T27">
        <f t="shared" si="4"/>
        <v>31.305900000000001</v>
      </c>
      <c r="U27">
        <f t="shared" si="4"/>
        <v>31.305900000000001</v>
      </c>
      <c r="V27">
        <f t="shared" si="4"/>
        <v>31.305900000000001</v>
      </c>
      <c r="W27">
        <f t="shared" si="4"/>
        <v>31.305900000000001</v>
      </c>
      <c r="X27">
        <f t="shared" si="4"/>
        <v>31.305900000000001</v>
      </c>
      <c r="Y27">
        <f t="shared" si="4"/>
        <v>31.305900000000001</v>
      </c>
      <c r="Z27">
        <f t="shared" si="4"/>
        <v>31.305900000000001</v>
      </c>
      <c r="AA27">
        <f t="shared" si="4"/>
        <v>31.305900000000001</v>
      </c>
      <c r="AB27">
        <f t="shared" si="4"/>
        <v>31.305900000000001</v>
      </c>
      <c r="AC27">
        <f t="shared" si="4"/>
        <v>31.305900000000001</v>
      </c>
      <c r="AD27">
        <f t="shared" si="4"/>
        <v>31.305900000000001</v>
      </c>
      <c r="AE27">
        <f t="shared" si="4"/>
        <v>31.305900000000001</v>
      </c>
      <c r="AF27">
        <f t="shared" si="4"/>
        <v>31.305900000000001</v>
      </c>
    </row>
    <row r="28" spans="1:32" x14ac:dyDescent="0.2">
      <c r="A28" s="1" t="s">
        <v>20</v>
      </c>
      <c r="B28">
        <f>B11+B15+B16</f>
        <v>29.343699999999998</v>
      </c>
      <c r="C28">
        <f t="shared" ref="C28:AF28" si="5">C11+C15+C16</f>
        <v>18.671500000000002</v>
      </c>
      <c r="D28">
        <f t="shared" si="5"/>
        <v>48.507899999999999</v>
      </c>
      <c r="E28">
        <f t="shared" si="5"/>
        <v>44.090192609999995</v>
      </c>
      <c r="F28">
        <f t="shared" si="5"/>
        <v>43.3461778</v>
      </c>
      <c r="G28">
        <f t="shared" si="5"/>
        <v>43.677670399999997</v>
      </c>
      <c r="H28">
        <f t="shared" si="5"/>
        <v>39.777563100000002</v>
      </c>
      <c r="I28">
        <f t="shared" si="5"/>
        <v>35.620055700000002</v>
      </c>
      <c r="J28">
        <f t="shared" si="5"/>
        <v>35.853148300000001</v>
      </c>
      <c r="K28">
        <f t="shared" si="5"/>
        <v>37.886640899999996</v>
      </c>
      <c r="L28">
        <f t="shared" si="5"/>
        <v>39.157040899999998</v>
      </c>
      <c r="M28">
        <f t="shared" si="5"/>
        <v>40.103340899999999</v>
      </c>
      <c r="N28">
        <f t="shared" si="5"/>
        <v>40.686940899999996</v>
      </c>
      <c r="O28">
        <f t="shared" si="5"/>
        <v>41.732140899999997</v>
      </c>
      <c r="P28">
        <f t="shared" si="5"/>
        <v>41.645440899999997</v>
      </c>
      <c r="Q28">
        <f t="shared" si="5"/>
        <v>41.1502409</v>
      </c>
      <c r="R28">
        <f t="shared" si="5"/>
        <v>41.136940899999999</v>
      </c>
      <c r="S28">
        <f t="shared" si="5"/>
        <v>40.570800999999996</v>
      </c>
      <c r="T28">
        <f t="shared" si="5"/>
        <v>39.987798000000005</v>
      </c>
      <c r="U28">
        <f t="shared" si="5"/>
        <v>39.294128000000001</v>
      </c>
      <c r="V28">
        <f t="shared" si="5"/>
        <v>39.224310000000003</v>
      </c>
      <c r="W28">
        <f t="shared" si="5"/>
        <v>39.258369999999999</v>
      </c>
      <c r="X28">
        <f t="shared" si="5"/>
        <v>38.962769999999999</v>
      </c>
      <c r="Y28">
        <f t="shared" si="5"/>
        <v>38.168959999999998</v>
      </c>
      <c r="Z28">
        <f t="shared" si="5"/>
        <v>38.823300000000003</v>
      </c>
      <c r="AA28">
        <f t="shared" si="5"/>
        <v>38.153840000000002</v>
      </c>
      <c r="AB28">
        <f t="shared" si="5"/>
        <v>37.763939999999998</v>
      </c>
      <c r="AC28">
        <f t="shared" si="5"/>
        <v>37.673009999999998</v>
      </c>
      <c r="AD28">
        <f t="shared" si="5"/>
        <v>36.55742</v>
      </c>
      <c r="AE28">
        <f t="shared" si="5"/>
        <v>35.620800000000003</v>
      </c>
      <c r="AF28">
        <f t="shared" si="5"/>
        <v>35.894439999999996</v>
      </c>
    </row>
    <row r="29" spans="1:32" x14ac:dyDescent="0.2">
      <c r="A29" s="1" t="s">
        <v>21</v>
      </c>
      <c r="B29">
        <f>B4+B9+B10+B13+B17</f>
        <v>23.775679999999998</v>
      </c>
      <c r="C29">
        <f t="shared" ref="C29:AF29" si="6">C4+C9+C10+C13+C17</f>
        <v>24.06127</v>
      </c>
      <c r="D29">
        <f t="shared" si="6"/>
        <v>24.135870000000001</v>
      </c>
      <c r="E29">
        <f t="shared" si="6"/>
        <v>25.120498000000001</v>
      </c>
      <c r="F29">
        <f t="shared" si="6"/>
        <v>26.072450000000003</v>
      </c>
      <c r="G29">
        <f t="shared" si="6"/>
        <v>26.538490000000003</v>
      </c>
      <c r="H29">
        <f t="shared" si="6"/>
        <v>26.962610000000002</v>
      </c>
      <c r="I29">
        <f t="shared" si="6"/>
        <v>27.428640000000001</v>
      </c>
      <c r="J29">
        <f t="shared" si="6"/>
        <v>28.011180000000003</v>
      </c>
      <c r="K29">
        <f t="shared" si="6"/>
        <v>28.593720000000001</v>
      </c>
      <c r="L29">
        <f t="shared" si="6"/>
        <v>28.943250000000003</v>
      </c>
      <c r="M29">
        <f t="shared" si="6"/>
        <v>29.176260000000003</v>
      </c>
      <c r="N29">
        <f t="shared" si="6"/>
        <v>29.409280000000003</v>
      </c>
      <c r="O29">
        <f t="shared" si="6"/>
        <v>29.642290000000003</v>
      </c>
      <c r="P29">
        <f t="shared" si="6"/>
        <v>29.875310000000002</v>
      </c>
      <c r="Q29">
        <f t="shared" si="6"/>
        <v>30.108330000000002</v>
      </c>
      <c r="R29">
        <f t="shared" si="6"/>
        <v>30.341340000000002</v>
      </c>
      <c r="S29">
        <f t="shared" si="6"/>
        <v>30.574360000000002</v>
      </c>
      <c r="T29">
        <f t="shared" si="6"/>
        <v>30.807370000000002</v>
      </c>
      <c r="U29">
        <f t="shared" si="6"/>
        <v>31.040390000000002</v>
      </c>
      <c r="V29">
        <f t="shared" si="6"/>
        <v>31.1569</v>
      </c>
      <c r="W29">
        <f t="shared" si="6"/>
        <v>31.273410000000002</v>
      </c>
      <c r="X29">
        <f t="shared" si="6"/>
        <v>30.142480000000003</v>
      </c>
      <c r="Y29">
        <f t="shared" si="6"/>
        <v>27.92043</v>
      </c>
      <c r="Z29">
        <f t="shared" si="6"/>
        <v>25.016392700000001</v>
      </c>
      <c r="AA29">
        <f t="shared" si="6"/>
        <v>25.132902700000002</v>
      </c>
      <c r="AB29">
        <f t="shared" si="6"/>
        <v>25.249412700000001</v>
      </c>
      <c r="AC29">
        <f t="shared" si="6"/>
        <v>25.365922700000002</v>
      </c>
      <c r="AD29">
        <f t="shared" si="6"/>
        <v>25.4824327</v>
      </c>
      <c r="AE29">
        <f t="shared" si="6"/>
        <v>25.598932699999999</v>
      </c>
      <c r="AF29">
        <f t="shared" si="6"/>
        <v>25.715442700000001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86FE-E5D8-7E42-8809-D2D3B061C481}">
  <dimension ref="A1:B8"/>
  <sheetViews>
    <sheetView workbookViewId="0">
      <selection activeCell="G9" sqref="G9"/>
    </sheetView>
  </sheetViews>
  <sheetFormatPr baseColWidth="10" defaultRowHeight="16" x14ac:dyDescent="0.2"/>
  <sheetData>
    <row r="1" spans="1:2" x14ac:dyDescent="0.2">
      <c r="A1" t="s">
        <v>42</v>
      </c>
      <c r="B1" t="s">
        <v>45</v>
      </c>
    </row>
    <row r="2" spans="1:2" x14ac:dyDescent="0.2">
      <c r="A2" s="1" t="s">
        <v>15</v>
      </c>
      <c r="B2">
        <f>'EG-Expert'!L23</f>
        <v>18.282800000000002</v>
      </c>
    </row>
    <row r="3" spans="1:2" x14ac:dyDescent="0.2">
      <c r="A3" s="1" t="s">
        <v>17</v>
      </c>
      <c r="B3">
        <f>'EG-Expert'!L24</f>
        <v>187.12882000000002</v>
      </c>
    </row>
    <row r="4" spans="1:2" x14ac:dyDescent="0.2">
      <c r="A4" s="1" t="s">
        <v>18</v>
      </c>
      <c r="B4">
        <f>'EG-Expert'!L25</f>
        <v>94.417400000000001</v>
      </c>
    </row>
    <row r="5" spans="1:2" x14ac:dyDescent="0.2">
      <c r="A5" s="1" t="s">
        <v>19</v>
      </c>
      <c r="B5">
        <f>'EG-Expert'!L26</f>
        <v>61.341420000000006</v>
      </c>
    </row>
    <row r="6" spans="1:2" x14ac:dyDescent="0.2">
      <c r="A6" s="1" t="s">
        <v>16</v>
      </c>
      <c r="B6">
        <f>'EG-Expert'!L27</f>
        <v>31.305900000000001</v>
      </c>
    </row>
    <row r="7" spans="1:2" x14ac:dyDescent="0.2">
      <c r="A7" s="1" t="s">
        <v>20</v>
      </c>
      <c r="B7">
        <f>'EG-Expert'!L28</f>
        <v>39.157040899999998</v>
      </c>
    </row>
    <row r="8" spans="1:2" x14ac:dyDescent="0.2">
      <c r="A8" s="1" t="s">
        <v>21</v>
      </c>
      <c r="B8">
        <f>'EG-Expert'!L29</f>
        <v>28.943250000000003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FB42-6231-BE46-A01C-2A21645F3E82}">
  <dimension ref="A1:B8"/>
  <sheetViews>
    <sheetView workbookViewId="0">
      <selection activeCell="J33" sqref="J33"/>
    </sheetView>
  </sheetViews>
  <sheetFormatPr baseColWidth="10" defaultRowHeight="16" x14ac:dyDescent="0.2"/>
  <sheetData>
    <row r="1" spans="1:2" x14ac:dyDescent="0.2">
      <c r="A1" t="s">
        <v>42</v>
      </c>
      <c r="B1" t="s">
        <v>45</v>
      </c>
    </row>
    <row r="2" spans="1:2" x14ac:dyDescent="0.2">
      <c r="A2" s="1" t="s">
        <v>15</v>
      </c>
      <c r="B2">
        <f>'EG-Expert'!AF23</f>
        <v>9.8270499999999998</v>
      </c>
    </row>
    <row r="3" spans="1:2" x14ac:dyDescent="0.2">
      <c r="A3" s="1" t="s">
        <v>17</v>
      </c>
      <c r="B3">
        <f>'EG-Expert'!AF24</f>
        <v>202.37190000000001</v>
      </c>
    </row>
    <row r="4" spans="1:2" x14ac:dyDescent="0.2">
      <c r="A4" s="1" t="s">
        <v>18</v>
      </c>
      <c r="B4">
        <f>'EG-Expert'!AF25</f>
        <v>242.07599999999999</v>
      </c>
    </row>
    <row r="5" spans="1:2" x14ac:dyDescent="0.2">
      <c r="A5" s="1" t="s">
        <v>19</v>
      </c>
      <c r="B5">
        <f>'EG-Expert'!AF26</f>
        <v>107.45493999999999</v>
      </c>
    </row>
    <row r="6" spans="1:2" x14ac:dyDescent="0.2">
      <c r="A6" s="1" t="s">
        <v>16</v>
      </c>
      <c r="B6">
        <f>'EG-Expert'!AF27</f>
        <v>31.305900000000001</v>
      </c>
    </row>
    <row r="7" spans="1:2" x14ac:dyDescent="0.2">
      <c r="A7" s="1" t="s">
        <v>20</v>
      </c>
      <c r="B7">
        <f>'EG-Expert'!AF28</f>
        <v>35.894439999999996</v>
      </c>
    </row>
    <row r="8" spans="1:2" x14ac:dyDescent="0.2">
      <c r="A8" s="1" t="s">
        <v>21</v>
      </c>
      <c r="B8">
        <f>'EG-Expert'!AF29</f>
        <v>25.715442700000001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66B0-1B10-DF46-B6AF-50731973EBC8}">
  <dimension ref="A1:AF29"/>
  <sheetViews>
    <sheetView topLeftCell="T1" workbookViewId="0">
      <selection activeCell="D33" sqref="D33"/>
    </sheetView>
  </sheetViews>
  <sheetFormatPr baseColWidth="10" defaultRowHeight="16" x14ac:dyDescent="0.2"/>
  <cols>
    <col min="1" max="1" width="70.1640625" customWidth="1"/>
  </cols>
  <sheetData>
    <row r="1" spans="1:32" x14ac:dyDescent="0.2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46</v>
      </c>
      <c r="B2">
        <v>13.5351</v>
      </c>
      <c r="C2">
        <v>29.6539</v>
      </c>
      <c r="D2">
        <v>18.725200000000001</v>
      </c>
      <c r="E2">
        <v>19.198399999999999</v>
      </c>
      <c r="F2">
        <v>20.029599999999999</v>
      </c>
      <c r="G2">
        <v>22.668700000000001</v>
      </c>
      <c r="H2">
        <v>18.577300000000001</v>
      </c>
      <c r="I2">
        <v>14.095000000000001</v>
      </c>
      <c r="J2">
        <v>8.5186499999999992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47</v>
      </c>
      <c r="B3">
        <v>179.7</v>
      </c>
      <c r="C3">
        <v>183.09899999999999</v>
      </c>
      <c r="D3">
        <v>170.429</v>
      </c>
      <c r="E3">
        <v>173.27199999999999</v>
      </c>
      <c r="F3">
        <v>172.27799999999999</v>
      </c>
      <c r="G3">
        <v>172.529</v>
      </c>
      <c r="H3">
        <v>174.733</v>
      </c>
      <c r="I3">
        <v>171.02500000000001</v>
      </c>
      <c r="J3">
        <v>152.06700000000001</v>
      </c>
      <c r="K3">
        <v>105.807</v>
      </c>
      <c r="L3">
        <v>101.575</v>
      </c>
      <c r="M3">
        <v>100.70399999999999</v>
      </c>
      <c r="N3">
        <v>102.72199999999999</v>
      </c>
      <c r="O3">
        <v>105.08</v>
      </c>
      <c r="P3">
        <v>109.01</v>
      </c>
      <c r="Q3">
        <v>111.08</v>
      </c>
      <c r="R3">
        <v>111.226</v>
      </c>
      <c r="S3">
        <v>110.95699999999999</v>
      </c>
      <c r="T3">
        <v>110.35299999999999</v>
      </c>
      <c r="U3">
        <v>110.404</v>
      </c>
      <c r="V3">
        <v>108.807</v>
      </c>
      <c r="W3">
        <v>106.042</v>
      </c>
      <c r="X3">
        <v>100.49</v>
      </c>
      <c r="Y3">
        <v>93.850700000000003</v>
      </c>
      <c r="Z3">
        <v>85.978899999999996</v>
      </c>
      <c r="AA3">
        <v>76.908100000000005</v>
      </c>
      <c r="AB3">
        <v>65.068899999999999</v>
      </c>
      <c r="AC3">
        <v>51.020400000000002</v>
      </c>
      <c r="AD3">
        <v>35.240499999999997</v>
      </c>
      <c r="AE3">
        <v>17.386199999999999</v>
      </c>
      <c r="AF3">
        <v>5.62561</v>
      </c>
    </row>
    <row r="4" spans="1:32" x14ac:dyDescent="0.2">
      <c r="A4" t="s">
        <v>48</v>
      </c>
      <c r="B4">
        <v>10.882899999999999</v>
      </c>
      <c r="C4">
        <v>10.882899999999999</v>
      </c>
      <c r="D4">
        <v>10.882899999999999</v>
      </c>
      <c r="E4">
        <v>10.882899999999999</v>
      </c>
      <c r="F4">
        <v>10.882899999999999</v>
      </c>
      <c r="G4">
        <v>10.882899999999999</v>
      </c>
      <c r="H4">
        <v>10.882899999999999</v>
      </c>
      <c r="I4">
        <v>10.882899999999999</v>
      </c>
      <c r="J4">
        <v>10.882899999999999</v>
      </c>
      <c r="K4">
        <v>10.882899999999999</v>
      </c>
      <c r="L4">
        <v>10.882899999999999</v>
      </c>
      <c r="M4">
        <v>10.882899999999999</v>
      </c>
      <c r="N4">
        <v>10.882899999999999</v>
      </c>
      <c r="O4">
        <v>10.882899999999999</v>
      </c>
      <c r="P4">
        <v>10.882899999999999</v>
      </c>
      <c r="Q4">
        <v>10.882899999999999</v>
      </c>
      <c r="R4">
        <v>10.882899999999999</v>
      </c>
      <c r="S4">
        <v>10.882899999999999</v>
      </c>
      <c r="T4">
        <v>10.882899999999999</v>
      </c>
      <c r="U4">
        <v>10.882899999999999</v>
      </c>
      <c r="V4">
        <v>10.882899999999999</v>
      </c>
      <c r="W4">
        <v>10.882899999999999</v>
      </c>
      <c r="X4">
        <v>10.882899999999999</v>
      </c>
      <c r="Y4">
        <v>10.882899999999999</v>
      </c>
      <c r="Z4">
        <v>10.882899999999999</v>
      </c>
      <c r="AA4">
        <v>10.882899999999999</v>
      </c>
      <c r="AB4">
        <v>10.882899999999999</v>
      </c>
      <c r="AC4">
        <v>10.882899999999999</v>
      </c>
      <c r="AD4">
        <v>10.882899999999999</v>
      </c>
      <c r="AE4">
        <v>10.882899999999999</v>
      </c>
      <c r="AF4">
        <v>10.882899999999999</v>
      </c>
    </row>
    <row r="5" spans="1:32" x14ac:dyDescent="0.2">
      <c r="A5" t="s">
        <v>49</v>
      </c>
      <c r="B5">
        <v>31.305900000000001</v>
      </c>
      <c r="C5">
        <v>31.305900000000001</v>
      </c>
      <c r="D5">
        <v>31.305900000000001</v>
      </c>
      <c r="E5">
        <v>31.305900000000001</v>
      </c>
      <c r="F5">
        <v>31.305900000000001</v>
      </c>
      <c r="G5">
        <v>31.305900000000001</v>
      </c>
      <c r="H5">
        <v>31.305900000000001</v>
      </c>
      <c r="I5">
        <v>31.305900000000001</v>
      </c>
      <c r="J5">
        <v>31.305900000000001</v>
      </c>
      <c r="K5">
        <v>31.305900000000001</v>
      </c>
      <c r="L5">
        <v>31.305900000000001</v>
      </c>
      <c r="M5">
        <v>31.305900000000001</v>
      </c>
      <c r="N5">
        <v>31.305900000000001</v>
      </c>
      <c r="O5">
        <v>31.305900000000001</v>
      </c>
      <c r="P5">
        <v>31.305900000000001</v>
      </c>
      <c r="Q5">
        <v>31.305900000000001</v>
      </c>
      <c r="R5">
        <v>31.305900000000001</v>
      </c>
      <c r="S5">
        <v>31.305900000000001</v>
      </c>
      <c r="T5">
        <v>31.305900000000001</v>
      </c>
      <c r="U5">
        <v>31.305900000000001</v>
      </c>
      <c r="V5">
        <v>31.305900000000001</v>
      </c>
      <c r="W5">
        <v>31.305900000000001</v>
      </c>
      <c r="X5">
        <v>31.305900000000001</v>
      </c>
      <c r="Y5">
        <v>31.305900000000001</v>
      </c>
      <c r="Z5">
        <v>31.305900000000001</v>
      </c>
      <c r="AA5">
        <v>31.305900000000001</v>
      </c>
      <c r="AB5">
        <v>31.305900000000001</v>
      </c>
      <c r="AC5">
        <v>31.305900000000001</v>
      </c>
      <c r="AD5">
        <v>31.305900000000001</v>
      </c>
      <c r="AE5">
        <v>31.305900000000001</v>
      </c>
      <c r="AF5">
        <v>31.305900000000001</v>
      </c>
    </row>
    <row r="6" spans="1:32" x14ac:dyDescent="0.2">
      <c r="A6" t="s">
        <v>50</v>
      </c>
      <c r="B6">
        <v>34.7425</v>
      </c>
      <c r="C6">
        <v>37.047899999999998</v>
      </c>
      <c r="D6">
        <v>38.311700000000002</v>
      </c>
      <c r="E6">
        <v>41.4758</v>
      </c>
      <c r="F6">
        <v>44.290900000000001</v>
      </c>
      <c r="G6">
        <v>46.083799999999997</v>
      </c>
      <c r="H6">
        <v>49.679900000000004</v>
      </c>
      <c r="I6">
        <v>54.750900000000001</v>
      </c>
      <c r="J6">
        <v>65.2654</v>
      </c>
      <c r="K6">
        <v>77.519199999999998</v>
      </c>
      <c r="L6">
        <v>78.234499999999997</v>
      </c>
      <c r="M6">
        <v>78.722499999999997</v>
      </c>
      <c r="N6">
        <v>78.851100000000002</v>
      </c>
      <c r="O6">
        <v>79.001199999999997</v>
      </c>
      <c r="P6">
        <v>79.121600000000001</v>
      </c>
      <c r="Q6">
        <v>79.670199999999994</v>
      </c>
      <c r="R6">
        <v>80.921099999999996</v>
      </c>
      <c r="S6">
        <v>82.805000000000007</v>
      </c>
      <c r="T6">
        <v>84.720799999999997</v>
      </c>
      <c r="U6">
        <v>86.622</v>
      </c>
      <c r="V6">
        <v>88.980599999999995</v>
      </c>
      <c r="W6">
        <v>92.252399999999994</v>
      </c>
      <c r="X6">
        <v>96.506900000000002</v>
      </c>
      <c r="Y6">
        <v>101.443</v>
      </c>
      <c r="Z6">
        <v>106.608</v>
      </c>
      <c r="AA6">
        <v>112.717</v>
      </c>
      <c r="AB6">
        <v>119.87</v>
      </c>
      <c r="AC6">
        <v>127.938</v>
      </c>
      <c r="AD6">
        <v>136.80199999999999</v>
      </c>
      <c r="AE6">
        <v>145.97300000000001</v>
      </c>
      <c r="AF6">
        <v>153.86699999999999</v>
      </c>
    </row>
    <row r="7" spans="1:32" x14ac:dyDescent="0.2">
      <c r="A7" t="s">
        <v>51</v>
      </c>
      <c r="B7">
        <v>31.223099999999999</v>
      </c>
      <c r="C7">
        <v>34.682099999999998</v>
      </c>
      <c r="D7">
        <v>36.813699999999997</v>
      </c>
      <c r="E7">
        <v>42.06</v>
      </c>
      <c r="F7">
        <v>47.4985</v>
      </c>
      <c r="G7">
        <v>50.369300000000003</v>
      </c>
      <c r="H7">
        <v>57.608600000000003</v>
      </c>
      <c r="I7">
        <v>68.505099999999999</v>
      </c>
      <c r="J7">
        <v>92.659700000000001</v>
      </c>
      <c r="K7">
        <v>121.36</v>
      </c>
      <c r="L7">
        <v>123.307</v>
      </c>
      <c r="M7">
        <v>124.32299999999999</v>
      </c>
      <c r="N7">
        <v>125.164</v>
      </c>
      <c r="O7">
        <v>126.149</v>
      </c>
      <c r="P7">
        <v>126.952</v>
      </c>
      <c r="Q7">
        <v>128.96700000000001</v>
      </c>
      <c r="R7">
        <v>132.93799999999999</v>
      </c>
      <c r="S7">
        <v>138.661</v>
      </c>
      <c r="T7">
        <v>144.459</v>
      </c>
      <c r="U7">
        <v>150.25</v>
      </c>
      <c r="V7">
        <v>157.73599999999999</v>
      </c>
      <c r="W7">
        <v>166.875</v>
      </c>
      <c r="X7">
        <v>179.08500000000001</v>
      </c>
      <c r="Y7">
        <v>193.07300000000001</v>
      </c>
      <c r="Z7">
        <v>207.59399999999999</v>
      </c>
      <c r="AA7">
        <v>224.55600000000001</v>
      </c>
      <c r="AB7">
        <v>244.172</v>
      </c>
      <c r="AC7">
        <v>265.99400000000003</v>
      </c>
      <c r="AD7">
        <v>289.661</v>
      </c>
      <c r="AE7">
        <v>313.87700000000001</v>
      </c>
      <c r="AF7">
        <v>334.625</v>
      </c>
    </row>
    <row r="8" spans="1:32" x14ac:dyDescent="0.2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53</v>
      </c>
      <c r="B9">
        <v>6.6264399999999997</v>
      </c>
      <c r="C9">
        <v>6.7628300000000001</v>
      </c>
      <c r="D9">
        <v>6.7628300000000001</v>
      </c>
      <c r="E9">
        <v>6.8992199999999997</v>
      </c>
      <c r="F9">
        <v>7.0356199999999998</v>
      </c>
      <c r="G9">
        <v>7.0356199999999998</v>
      </c>
      <c r="H9">
        <v>7.1720100000000002</v>
      </c>
      <c r="I9">
        <v>7.3083999999999998</v>
      </c>
      <c r="J9">
        <v>1.3070999999999999</v>
      </c>
      <c r="K9">
        <v>1.4434899999999999</v>
      </c>
      <c r="L9">
        <v>1.4434899999999999</v>
      </c>
      <c r="M9">
        <v>1.4434899999999999</v>
      </c>
      <c r="N9">
        <v>1.4434899999999999</v>
      </c>
      <c r="O9">
        <v>1.4434899999999999</v>
      </c>
      <c r="P9">
        <v>1.4434899999999999</v>
      </c>
      <c r="Q9">
        <v>1.4434899999999999</v>
      </c>
      <c r="R9">
        <v>1.4434899999999999</v>
      </c>
      <c r="S9">
        <v>1.4434899999999999</v>
      </c>
      <c r="T9">
        <v>1.4434899999999999</v>
      </c>
      <c r="U9">
        <v>1.4434899999999999</v>
      </c>
      <c r="V9">
        <v>1.4434899999999999</v>
      </c>
      <c r="W9">
        <v>1.4434899999999999</v>
      </c>
      <c r="X9">
        <v>1.4434899999999999</v>
      </c>
      <c r="Y9">
        <v>1.4434899999999999</v>
      </c>
      <c r="Z9">
        <v>1.4434899999999999</v>
      </c>
      <c r="AA9">
        <v>1.4434899999999999</v>
      </c>
      <c r="AB9">
        <v>1.4434899999999999</v>
      </c>
      <c r="AC9">
        <v>1.4434899999999999</v>
      </c>
      <c r="AD9">
        <v>1.4434899999999999</v>
      </c>
      <c r="AE9">
        <v>1.4434899999999999</v>
      </c>
      <c r="AF9">
        <v>7.95627E-2</v>
      </c>
    </row>
    <row r="10" spans="1:32" x14ac:dyDescent="0.2">
      <c r="A10" t="s">
        <v>54</v>
      </c>
      <c r="B10">
        <v>6.2663399999999996</v>
      </c>
      <c r="C10">
        <v>6.41554</v>
      </c>
      <c r="D10">
        <v>6.4901400000000002</v>
      </c>
      <c r="E10">
        <v>6.6393300000000002</v>
      </c>
      <c r="F10">
        <v>6.6393300000000002</v>
      </c>
      <c r="G10">
        <v>6.6393300000000002</v>
      </c>
      <c r="H10">
        <v>6.7139300000000004</v>
      </c>
      <c r="I10">
        <v>6.7139300000000004</v>
      </c>
      <c r="J10">
        <v>6.7139300000000004</v>
      </c>
      <c r="K10">
        <v>6.7139300000000004</v>
      </c>
      <c r="L10">
        <v>6.7139300000000004</v>
      </c>
      <c r="M10">
        <v>6.7139300000000004</v>
      </c>
      <c r="N10">
        <v>6.7139300000000004</v>
      </c>
      <c r="O10">
        <v>6.7139300000000004</v>
      </c>
      <c r="P10">
        <v>6.7139300000000004</v>
      </c>
      <c r="Q10">
        <v>6.7139300000000004</v>
      </c>
      <c r="R10">
        <v>6.7139300000000004</v>
      </c>
      <c r="S10">
        <v>6.7139300000000004</v>
      </c>
      <c r="T10">
        <v>6.7139300000000004</v>
      </c>
      <c r="U10">
        <v>6.7139300000000004</v>
      </c>
      <c r="V10">
        <v>6.7139300000000004</v>
      </c>
      <c r="W10">
        <v>6.7139300000000004</v>
      </c>
      <c r="X10">
        <v>6.7139300000000004</v>
      </c>
      <c r="Y10">
        <v>6.7139300000000004</v>
      </c>
      <c r="Z10">
        <v>6.7139300000000004</v>
      </c>
      <c r="AA10">
        <v>6.7139300000000004</v>
      </c>
      <c r="AB10">
        <v>6.7139300000000004</v>
      </c>
      <c r="AC10">
        <v>6.7139300000000004</v>
      </c>
      <c r="AD10">
        <v>6.7139300000000004</v>
      </c>
      <c r="AE10">
        <v>6.7139300000000004</v>
      </c>
      <c r="AF10">
        <v>6.7139300000000004</v>
      </c>
    </row>
    <row r="11" spans="1:32" x14ac:dyDescent="0.2">
      <c r="A11" t="s">
        <v>55</v>
      </c>
      <c r="B11">
        <v>0</v>
      </c>
      <c r="C11">
        <v>0</v>
      </c>
      <c r="D11">
        <v>0</v>
      </c>
      <c r="E11">
        <v>5.6926099999999999E-3</v>
      </c>
      <c r="F11">
        <v>1.7077800000000001E-2</v>
      </c>
      <c r="G11">
        <v>2.27704E-2</v>
      </c>
      <c r="H11">
        <v>3.4155699999999997E-2</v>
      </c>
      <c r="I11">
        <v>4.5540900000000002E-2</v>
      </c>
      <c r="J11">
        <v>1.5654699999999999</v>
      </c>
      <c r="K11">
        <v>32.220199999999998</v>
      </c>
      <c r="L11">
        <v>35.783799999999999</v>
      </c>
      <c r="M11">
        <v>35.931800000000003</v>
      </c>
      <c r="N11">
        <v>36.335900000000002</v>
      </c>
      <c r="O11">
        <v>36.398600000000002</v>
      </c>
      <c r="P11">
        <v>36.381500000000003</v>
      </c>
      <c r="Q11">
        <v>36.358699999999999</v>
      </c>
      <c r="R11">
        <v>36.335900000000002</v>
      </c>
      <c r="S11">
        <v>36.313200000000002</v>
      </c>
      <c r="T11">
        <v>36.284700000000001</v>
      </c>
      <c r="U11">
        <v>36.2562</v>
      </c>
      <c r="V11">
        <v>36.222099999999998</v>
      </c>
      <c r="W11">
        <v>36.187899999999999</v>
      </c>
      <c r="X11">
        <v>36.153799999999997</v>
      </c>
      <c r="Y11">
        <v>36.113900000000001</v>
      </c>
      <c r="Z11">
        <v>36.074100000000001</v>
      </c>
      <c r="AA11">
        <v>36.028500000000001</v>
      </c>
      <c r="AB11">
        <v>35.982999999999997</v>
      </c>
      <c r="AC11">
        <v>35.9375</v>
      </c>
      <c r="AD11">
        <v>35.886200000000002</v>
      </c>
      <c r="AE11">
        <v>35.835000000000001</v>
      </c>
      <c r="AF11">
        <v>35.778100000000002</v>
      </c>
    </row>
    <row r="12" spans="1:32" x14ac:dyDescent="0.2">
      <c r="A12" t="s">
        <v>56</v>
      </c>
      <c r="B12">
        <v>7.7548700000000004</v>
      </c>
      <c r="C12">
        <v>7.07172</v>
      </c>
      <c r="D12">
        <v>6.8440099999999999</v>
      </c>
      <c r="E12">
        <v>6.3885800000000001</v>
      </c>
      <c r="F12">
        <v>6.5138199999999999</v>
      </c>
      <c r="G12">
        <v>6.5138199999999999</v>
      </c>
      <c r="H12">
        <v>6.5138199999999999</v>
      </c>
      <c r="I12">
        <v>6.5138199999999999</v>
      </c>
      <c r="J12">
        <v>6.5138199999999999</v>
      </c>
      <c r="K12">
        <v>6.5138199999999999</v>
      </c>
      <c r="L12">
        <v>6.5138199999999999</v>
      </c>
      <c r="M12">
        <v>7.2652799999999997</v>
      </c>
      <c r="N12">
        <v>9.3944299999999998</v>
      </c>
      <c r="O12">
        <v>9.7701600000000006</v>
      </c>
      <c r="P12">
        <v>9.7701600000000006</v>
      </c>
      <c r="Q12">
        <v>9.7701600000000006</v>
      </c>
      <c r="R12">
        <v>9.7701600000000006</v>
      </c>
      <c r="S12">
        <v>9.7701600000000006</v>
      </c>
      <c r="T12">
        <v>9.7701600000000006</v>
      </c>
      <c r="U12">
        <v>9.7701600000000006</v>
      </c>
      <c r="V12">
        <v>9.7701600000000006</v>
      </c>
      <c r="W12">
        <v>9.7701600000000006</v>
      </c>
      <c r="X12">
        <v>9.7701600000000006</v>
      </c>
      <c r="Y12">
        <v>9.7701600000000006</v>
      </c>
      <c r="Z12">
        <v>9.7701600000000006</v>
      </c>
      <c r="AA12">
        <v>9.7701600000000006</v>
      </c>
      <c r="AB12">
        <v>9.7701600000000006</v>
      </c>
      <c r="AC12">
        <v>9.7701600000000006</v>
      </c>
      <c r="AD12">
        <v>9.7701600000000006</v>
      </c>
      <c r="AE12">
        <v>9.7701600000000006</v>
      </c>
      <c r="AF12">
        <v>9.7701600000000006</v>
      </c>
    </row>
    <row r="13" spans="1:32" x14ac:dyDescent="0.2">
      <c r="A13" t="s">
        <v>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58</v>
      </c>
      <c r="B14">
        <v>0.60313600000000001</v>
      </c>
      <c r="C14">
        <v>0.69337400000000005</v>
      </c>
      <c r="D14">
        <v>0.74006899999999998</v>
      </c>
      <c r="E14">
        <v>0.87389799999999995</v>
      </c>
      <c r="F14">
        <v>1.0081199999999999</v>
      </c>
      <c r="G14">
        <v>1.09874</v>
      </c>
      <c r="H14">
        <v>1.29959</v>
      </c>
      <c r="I14">
        <v>1.61137</v>
      </c>
      <c r="J14">
        <v>2.3000400000000001</v>
      </c>
      <c r="K14">
        <v>3.1459100000000002</v>
      </c>
      <c r="L14">
        <v>3.1509499999999999</v>
      </c>
      <c r="M14">
        <v>3.1556000000000002</v>
      </c>
      <c r="N14">
        <v>3.1599400000000002</v>
      </c>
      <c r="O14">
        <v>3.1640000000000001</v>
      </c>
      <c r="P14">
        <v>3.1678099999999998</v>
      </c>
      <c r="Q14">
        <v>3.19374</v>
      </c>
      <c r="R14">
        <v>3.2865899999999999</v>
      </c>
      <c r="S14">
        <v>3.42421</v>
      </c>
      <c r="T14">
        <v>3.5619299999999998</v>
      </c>
      <c r="U14">
        <v>3.6997399999999998</v>
      </c>
      <c r="V14">
        <v>3.88253</v>
      </c>
      <c r="W14">
        <v>4.13286</v>
      </c>
      <c r="X14">
        <v>4.4733700000000001</v>
      </c>
      <c r="Y14">
        <v>4.8592700000000004</v>
      </c>
      <c r="Z14">
        <v>5.2681199999999997</v>
      </c>
      <c r="AA14">
        <v>5.7450099999999997</v>
      </c>
      <c r="AB14">
        <v>6.3125900000000001</v>
      </c>
      <c r="AC14">
        <v>6.94848</v>
      </c>
      <c r="AD14">
        <v>7.6527599999999998</v>
      </c>
      <c r="AE14">
        <v>8.3577700000000004</v>
      </c>
      <c r="AF14">
        <v>8.9730699999999999</v>
      </c>
    </row>
    <row r="15" spans="1:32" x14ac:dyDescent="0.2">
      <c r="A15" t="s">
        <v>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60</v>
      </c>
      <c r="B16">
        <v>29.343699999999998</v>
      </c>
      <c r="C16">
        <v>18.671500000000002</v>
      </c>
      <c r="D16">
        <v>48.507899999999999</v>
      </c>
      <c r="E16">
        <v>44.084499999999998</v>
      </c>
      <c r="F16">
        <v>43.329099999999997</v>
      </c>
      <c r="G16">
        <v>43.654899999999998</v>
      </c>
      <c r="H16">
        <v>39.622399999999999</v>
      </c>
      <c r="I16">
        <v>34.674199999999999</v>
      </c>
      <c r="J16">
        <v>32.33</v>
      </c>
      <c r="K16">
        <v>23.5855</v>
      </c>
      <c r="L16">
        <v>23.872599999999998</v>
      </c>
      <c r="M16">
        <v>24.7972</v>
      </c>
      <c r="N16">
        <v>26.248000000000001</v>
      </c>
      <c r="O16">
        <v>28.174299999999999</v>
      </c>
      <c r="P16">
        <v>29.694199999999999</v>
      </c>
      <c r="Q16">
        <v>30.3047</v>
      </c>
      <c r="R16">
        <v>30.786200000000001</v>
      </c>
      <c r="S16">
        <v>30.631900000000002</v>
      </c>
      <c r="T16">
        <v>30.359000000000002</v>
      </c>
      <c r="U16">
        <v>30.2149</v>
      </c>
      <c r="V16">
        <v>29.850300000000001</v>
      </c>
      <c r="W16">
        <v>28.8111</v>
      </c>
      <c r="X16">
        <v>26.794499999999999</v>
      </c>
      <c r="Y16">
        <v>24.451599999999999</v>
      </c>
      <c r="Z16">
        <v>22.263100000000001</v>
      </c>
      <c r="AA16">
        <v>19.028500000000001</v>
      </c>
      <c r="AB16">
        <v>15.1828</v>
      </c>
      <c r="AC16">
        <v>10.944699999999999</v>
      </c>
      <c r="AD16">
        <v>6.7296800000000001</v>
      </c>
      <c r="AE16">
        <v>3.6737299999999999</v>
      </c>
      <c r="AF16">
        <v>1.34413</v>
      </c>
    </row>
    <row r="17" spans="1:32" x14ac:dyDescent="0.2">
      <c r="A17" t="s">
        <v>61</v>
      </c>
      <c r="B17">
        <v>0</v>
      </c>
      <c r="C17">
        <v>0</v>
      </c>
      <c r="D17">
        <v>0</v>
      </c>
      <c r="E17">
        <v>0.699048</v>
      </c>
      <c r="F17">
        <v>1.5145999999999999</v>
      </c>
      <c r="G17">
        <v>1.98064</v>
      </c>
      <c r="H17">
        <v>2.7961900000000002</v>
      </c>
      <c r="I17">
        <v>3.7282600000000001</v>
      </c>
      <c r="J17">
        <v>5.4758800000000001</v>
      </c>
      <c r="K17">
        <v>7.2234999999999996</v>
      </c>
      <c r="L17">
        <v>7.2234999999999996</v>
      </c>
      <c r="M17">
        <v>7.2234999999999996</v>
      </c>
      <c r="N17">
        <v>7.2234999999999996</v>
      </c>
      <c r="O17">
        <v>7.2234999999999996</v>
      </c>
      <c r="P17">
        <v>7.2234999999999996</v>
      </c>
      <c r="Q17">
        <v>7.2234999999999996</v>
      </c>
      <c r="R17">
        <v>7.2234999999999996</v>
      </c>
      <c r="S17">
        <v>7.2234999999999996</v>
      </c>
      <c r="T17">
        <v>7.2234999999999996</v>
      </c>
      <c r="U17">
        <v>7.2234999999999996</v>
      </c>
      <c r="V17">
        <v>7.2234999999999996</v>
      </c>
      <c r="W17">
        <v>7.2234999999999996</v>
      </c>
      <c r="X17">
        <v>7.2234999999999996</v>
      </c>
      <c r="Y17">
        <v>7.2234999999999996</v>
      </c>
      <c r="Z17">
        <v>7.2234999999999996</v>
      </c>
      <c r="AA17">
        <v>7.2234999999999996</v>
      </c>
      <c r="AB17">
        <v>7.2234999999999996</v>
      </c>
      <c r="AC17">
        <v>7.2234999999999996</v>
      </c>
      <c r="AD17">
        <v>7.2234999999999996</v>
      </c>
      <c r="AE17">
        <v>7.2234999999999996</v>
      </c>
      <c r="AF17">
        <v>7.2234999999999996</v>
      </c>
    </row>
    <row r="18" spans="1:32" x14ac:dyDescent="0.2">
      <c r="A18" t="s">
        <v>62</v>
      </c>
      <c r="B18">
        <v>2.39514</v>
      </c>
      <c r="C18">
        <v>3.1365699999999999</v>
      </c>
      <c r="D18">
        <v>4.06081</v>
      </c>
      <c r="E18">
        <v>5.1909999999999998</v>
      </c>
      <c r="F18">
        <v>6.1195199999999996</v>
      </c>
      <c r="G18">
        <v>7.28498</v>
      </c>
      <c r="H18">
        <v>8.4504400000000004</v>
      </c>
      <c r="I18">
        <v>9.6158900000000003</v>
      </c>
      <c r="J18">
        <v>10.7814</v>
      </c>
      <c r="K18">
        <v>11.823700000000001</v>
      </c>
      <c r="L18">
        <v>12.866</v>
      </c>
      <c r="M18">
        <v>13.908300000000001</v>
      </c>
      <c r="N18">
        <v>14.9506</v>
      </c>
      <c r="O18">
        <v>15.992900000000001</v>
      </c>
      <c r="P18">
        <v>17.123699999999999</v>
      </c>
      <c r="Q18">
        <v>19.2837</v>
      </c>
      <c r="R18">
        <v>21.444099999999999</v>
      </c>
      <c r="S18">
        <v>23.685099999999998</v>
      </c>
      <c r="T18">
        <v>26.050899999999999</v>
      </c>
      <c r="U18">
        <v>28.459599999999998</v>
      </c>
      <c r="V18">
        <v>30.975000000000001</v>
      </c>
      <c r="W18">
        <v>33.577500000000001</v>
      </c>
      <c r="X18">
        <v>36.307600000000001</v>
      </c>
      <c r="Y18">
        <v>39.1434</v>
      </c>
      <c r="Z18">
        <v>42.1449</v>
      </c>
      <c r="AA18">
        <v>45.2117</v>
      </c>
      <c r="AB18">
        <v>48.4724</v>
      </c>
      <c r="AC18">
        <v>51.868499999999997</v>
      </c>
      <c r="AD18">
        <v>55.420999999999999</v>
      </c>
      <c r="AE18">
        <v>59.182499999999997</v>
      </c>
      <c r="AF18">
        <v>63.055199999999999</v>
      </c>
    </row>
    <row r="22" spans="1:32" x14ac:dyDescent="0.2">
      <c r="A22" t="str">
        <f t="shared" ref="A22:AF22" si="0">A1</f>
        <v>Time (Year)</v>
      </c>
      <c r="B22">
        <f t="shared" si="0"/>
        <v>2020</v>
      </c>
      <c r="C22">
        <f t="shared" si="0"/>
        <v>2021</v>
      </c>
      <c r="D22">
        <f t="shared" si="0"/>
        <v>2022</v>
      </c>
      <c r="E22">
        <f t="shared" si="0"/>
        <v>2023</v>
      </c>
      <c r="F22">
        <f t="shared" si="0"/>
        <v>2024</v>
      </c>
      <c r="G22">
        <f t="shared" si="0"/>
        <v>2025</v>
      </c>
      <c r="H22">
        <f t="shared" si="0"/>
        <v>2026</v>
      </c>
      <c r="I22">
        <f t="shared" si="0"/>
        <v>2027</v>
      </c>
      <c r="J22">
        <f t="shared" si="0"/>
        <v>2028</v>
      </c>
      <c r="K22">
        <f t="shared" si="0"/>
        <v>2029</v>
      </c>
      <c r="L22">
        <f t="shared" si="0"/>
        <v>2030</v>
      </c>
      <c r="M22">
        <f t="shared" si="0"/>
        <v>2031</v>
      </c>
      <c r="N22">
        <f t="shared" si="0"/>
        <v>2032</v>
      </c>
      <c r="O22">
        <f t="shared" si="0"/>
        <v>2033</v>
      </c>
      <c r="P22">
        <f t="shared" si="0"/>
        <v>2034</v>
      </c>
      <c r="Q22">
        <f t="shared" si="0"/>
        <v>2035</v>
      </c>
      <c r="R22">
        <f t="shared" si="0"/>
        <v>2036</v>
      </c>
      <c r="S22">
        <f t="shared" si="0"/>
        <v>2037</v>
      </c>
      <c r="T22">
        <f t="shared" si="0"/>
        <v>2038</v>
      </c>
      <c r="U22">
        <f t="shared" si="0"/>
        <v>2039</v>
      </c>
      <c r="V22">
        <f t="shared" si="0"/>
        <v>2040</v>
      </c>
      <c r="W22">
        <f t="shared" si="0"/>
        <v>2041</v>
      </c>
      <c r="X22">
        <f t="shared" si="0"/>
        <v>2042</v>
      </c>
      <c r="Y22">
        <f t="shared" si="0"/>
        <v>2043</v>
      </c>
      <c r="Z22">
        <f t="shared" si="0"/>
        <v>2044</v>
      </c>
      <c r="AA22">
        <f t="shared" si="0"/>
        <v>2045</v>
      </c>
      <c r="AB22">
        <f t="shared" si="0"/>
        <v>2046</v>
      </c>
      <c r="AC22">
        <f t="shared" si="0"/>
        <v>2047</v>
      </c>
      <c r="AD22">
        <f t="shared" si="0"/>
        <v>2048</v>
      </c>
      <c r="AE22">
        <f t="shared" si="0"/>
        <v>2049</v>
      </c>
      <c r="AF22">
        <f t="shared" si="0"/>
        <v>2050</v>
      </c>
    </row>
    <row r="23" spans="1:32" x14ac:dyDescent="0.2">
      <c r="A23" s="1" t="s">
        <v>15</v>
      </c>
      <c r="B23">
        <f t="shared" ref="B23:AF23" si="1">B2</f>
        <v>13.5351</v>
      </c>
      <c r="C23">
        <f t="shared" si="1"/>
        <v>29.6539</v>
      </c>
      <c r="D23">
        <f t="shared" si="1"/>
        <v>18.725200000000001</v>
      </c>
      <c r="E23">
        <f t="shared" si="1"/>
        <v>19.198399999999999</v>
      </c>
      <c r="F23">
        <f t="shared" si="1"/>
        <v>20.029599999999999</v>
      </c>
      <c r="G23">
        <f t="shared" si="1"/>
        <v>22.668700000000001</v>
      </c>
      <c r="H23">
        <f t="shared" si="1"/>
        <v>18.577300000000001</v>
      </c>
      <c r="I23">
        <f t="shared" si="1"/>
        <v>14.095000000000001</v>
      </c>
      <c r="J23">
        <f t="shared" si="1"/>
        <v>8.5186499999999992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  <c r="AF23">
        <f t="shared" si="1"/>
        <v>0</v>
      </c>
    </row>
    <row r="24" spans="1:32" x14ac:dyDescent="0.2">
      <c r="A24" s="1" t="s">
        <v>17</v>
      </c>
      <c r="B24">
        <f t="shared" ref="B24:AF24" si="2">B3+B12</f>
        <v>187.45487</v>
      </c>
      <c r="C24">
        <f t="shared" si="2"/>
        <v>190.17071999999999</v>
      </c>
      <c r="D24">
        <f t="shared" si="2"/>
        <v>177.27301</v>
      </c>
      <c r="E24">
        <f t="shared" si="2"/>
        <v>179.66057999999998</v>
      </c>
      <c r="F24">
        <f t="shared" si="2"/>
        <v>178.79182</v>
      </c>
      <c r="G24">
        <f t="shared" si="2"/>
        <v>179.04282000000001</v>
      </c>
      <c r="H24">
        <f t="shared" si="2"/>
        <v>181.24682000000001</v>
      </c>
      <c r="I24">
        <f t="shared" si="2"/>
        <v>177.53882000000002</v>
      </c>
      <c r="J24">
        <f t="shared" si="2"/>
        <v>158.58082000000002</v>
      </c>
      <c r="K24">
        <f t="shared" si="2"/>
        <v>112.32082</v>
      </c>
      <c r="L24">
        <f t="shared" si="2"/>
        <v>108.08882</v>
      </c>
      <c r="M24">
        <f t="shared" si="2"/>
        <v>107.96928</v>
      </c>
      <c r="N24">
        <f t="shared" si="2"/>
        <v>112.11642999999999</v>
      </c>
      <c r="O24">
        <f t="shared" si="2"/>
        <v>114.85016</v>
      </c>
      <c r="P24">
        <f t="shared" si="2"/>
        <v>118.78016000000001</v>
      </c>
      <c r="Q24">
        <f t="shared" si="2"/>
        <v>120.85016</v>
      </c>
      <c r="R24">
        <f t="shared" si="2"/>
        <v>120.99616</v>
      </c>
      <c r="S24">
        <f t="shared" si="2"/>
        <v>120.72716</v>
      </c>
      <c r="T24">
        <f t="shared" si="2"/>
        <v>120.12316</v>
      </c>
      <c r="U24">
        <f t="shared" si="2"/>
        <v>120.17416</v>
      </c>
      <c r="V24">
        <f t="shared" si="2"/>
        <v>118.57716000000001</v>
      </c>
      <c r="W24">
        <f t="shared" si="2"/>
        <v>115.81216000000001</v>
      </c>
      <c r="X24">
        <f t="shared" si="2"/>
        <v>110.26016</v>
      </c>
      <c r="Y24">
        <f t="shared" si="2"/>
        <v>103.62086000000001</v>
      </c>
      <c r="Z24">
        <f t="shared" si="2"/>
        <v>95.74906</v>
      </c>
      <c r="AA24">
        <f t="shared" si="2"/>
        <v>86.678260000000009</v>
      </c>
      <c r="AB24">
        <f t="shared" si="2"/>
        <v>74.839060000000003</v>
      </c>
      <c r="AC24">
        <f t="shared" si="2"/>
        <v>60.790559999999999</v>
      </c>
      <c r="AD24">
        <f t="shared" si="2"/>
        <v>45.010660000000001</v>
      </c>
      <c r="AE24">
        <f t="shared" si="2"/>
        <v>27.156359999999999</v>
      </c>
      <c r="AF24">
        <f t="shared" si="2"/>
        <v>15.395770000000001</v>
      </c>
    </row>
    <row r="25" spans="1:32" x14ac:dyDescent="0.2">
      <c r="A25" s="1" t="s">
        <v>18</v>
      </c>
      <c r="B25">
        <f>B7+B8+B18</f>
        <v>33.61824</v>
      </c>
      <c r="C25">
        <f t="shared" ref="C25:AF25" si="3">C7+C8+C18</f>
        <v>37.818669999999997</v>
      </c>
      <c r="D25">
        <f t="shared" si="3"/>
        <v>40.874510000000001</v>
      </c>
      <c r="E25">
        <f t="shared" si="3"/>
        <v>47.251000000000005</v>
      </c>
      <c r="F25">
        <f t="shared" si="3"/>
        <v>53.618020000000001</v>
      </c>
      <c r="G25">
        <f t="shared" si="3"/>
        <v>57.65428</v>
      </c>
      <c r="H25">
        <f t="shared" si="3"/>
        <v>66.05904000000001</v>
      </c>
      <c r="I25">
        <f t="shared" si="3"/>
        <v>78.120990000000006</v>
      </c>
      <c r="J25">
        <f t="shared" si="3"/>
        <v>103.44110000000001</v>
      </c>
      <c r="K25">
        <f t="shared" si="3"/>
        <v>133.18369999999999</v>
      </c>
      <c r="L25">
        <f t="shared" si="3"/>
        <v>136.173</v>
      </c>
      <c r="M25">
        <f t="shared" si="3"/>
        <v>138.2313</v>
      </c>
      <c r="N25">
        <f t="shared" si="3"/>
        <v>140.1146</v>
      </c>
      <c r="O25">
        <f t="shared" si="3"/>
        <v>142.14189999999999</v>
      </c>
      <c r="P25">
        <f t="shared" si="3"/>
        <v>144.07569999999998</v>
      </c>
      <c r="Q25">
        <f t="shared" si="3"/>
        <v>148.25070000000002</v>
      </c>
      <c r="R25">
        <f t="shared" si="3"/>
        <v>154.38209999999998</v>
      </c>
      <c r="S25">
        <f t="shared" si="3"/>
        <v>162.34610000000001</v>
      </c>
      <c r="T25">
        <f t="shared" si="3"/>
        <v>170.50990000000002</v>
      </c>
      <c r="U25">
        <f t="shared" si="3"/>
        <v>178.70959999999999</v>
      </c>
      <c r="V25">
        <f t="shared" si="3"/>
        <v>188.71099999999998</v>
      </c>
      <c r="W25">
        <f t="shared" si="3"/>
        <v>200.45249999999999</v>
      </c>
      <c r="X25">
        <f t="shared" si="3"/>
        <v>215.39260000000002</v>
      </c>
      <c r="Y25">
        <f t="shared" si="3"/>
        <v>232.21640000000002</v>
      </c>
      <c r="Z25">
        <f t="shared" si="3"/>
        <v>249.7389</v>
      </c>
      <c r="AA25">
        <f t="shared" si="3"/>
        <v>269.76769999999999</v>
      </c>
      <c r="AB25">
        <f t="shared" si="3"/>
        <v>292.64440000000002</v>
      </c>
      <c r="AC25">
        <f t="shared" si="3"/>
        <v>317.86250000000001</v>
      </c>
      <c r="AD25">
        <f t="shared" si="3"/>
        <v>345.08199999999999</v>
      </c>
      <c r="AE25">
        <f t="shared" si="3"/>
        <v>373.05950000000001</v>
      </c>
      <c r="AF25">
        <f t="shared" si="3"/>
        <v>397.68020000000001</v>
      </c>
    </row>
    <row r="26" spans="1:32" x14ac:dyDescent="0.2">
      <c r="A26" s="1" t="s">
        <v>19</v>
      </c>
      <c r="B26">
        <f t="shared" ref="B26:AF26" si="4">B6+B14</f>
        <v>35.345635999999999</v>
      </c>
      <c r="C26">
        <f t="shared" si="4"/>
        <v>37.741273999999997</v>
      </c>
      <c r="D26">
        <f t="shared" si="4"/>
        <v>39.051769</v>
      </c>
      <c r="E26">
        <f t="shared" si="4"/>
        <v>42.349697999999997</v>
      </c>
      <c r="F26">
        <f t="shared" si="4"/>
        <v>45.299019999999999</v>
      </c>
      <c r="G26">
        <f t="shared" si="4"/>
        <v>47.182539999999996</v>
      </c>
      <c r="H26">
        <f t="shared" si="4"/>
        <v>50.979490000000006</v>
      </c>
      <c r="I26">
        <f t="shared" si="4"/>
        <v>56.362270000000002</v>
      </c>
      <c r="J26">
        <f t="shared" si="4"/>
        <v>67.565439999999995</v>
      </c>
      <c r="K26">
        <f t="shared" si="4"/>
        <v>80.665109999999999</v>
      </c>
      <c r="L26">
        <f t="shared" si="4"/>
        <v>81.385449999999992</v>
      </c>
      <c r="M26">
        <f t="shared" si="4"/>
        <v>81.878100000000003</v>
      </c>
      <c r="N26">
        <f t="shared" si="4"/>
        <v>82.011040000000008</v>
      </c>
      <c r="O26">
        <f t="shared" si="4"/>
        <v>82.165199999999999</v>
      </c>
      <c r="P26">
        <f t="shared" si="4"/>
        <v>82.289410000000004</v>
      </c>
      <c r="Q26">
        <f t="shared" si="4"/>
        <v>82.863939999999999</v>
      </c>
      <c r="R26">
        <f t="shared" si="4"/>
        <v>84.207689999999999</v>
      </c>
      <c r="S26">
        <f t="shared" si="4"/>
        <v>86.229210000000009</v>
      </c>
      <c r="T26">
        <f t="shared" si="4"/>
        <v>88.282730000000001</v>
      </c>
      <c r="U26">
        <f t="shared" si="4"/>
        <v>90.321740000000005</v>
      </c>
      <c r="V26">
        <f t="shared" si="4"/>
        <v>92.863129999999998</v>
      </c>
      <c r="W26">
        <f t="shared" si="4"/>
        <v>96.385259999999988</v>
      </c>
      <c r="X26">
        <f t="shared" si="4"/>
        <v>100.98027</v>
      </c>
      <c r="Y26">
        <f t="shared" si="4"/>
        <v>106.30226999999999</v>
      </c>
      <c r="Z26">
        <f t="shared" si="4"/>
        <v>111.87612</v>
      </c>
      <c r="AA26">
        <f t="shared" si="4"/>
        <v>118.46200999999999</v>
      </c>
      <c r="AB26">
        <f t="shared" si="4"/>
        <v>126.18259</v>
      </c>
      <c r="AC26">
        <f t="shared" si="4"/>
        <v>134.88648000000001</v>
      </c>
      <c r="AD26">
        <f t="shared" si="4"/>
        <v>144.45475999999999</v>
      </c>
      <c r="AE26">
        <f t="shared" si="4"/>
        <v>154.33077</v>
      </c>
      <c r="AF26">
        <f t="shared" si="4"/>
        <v>162.84007</v>
      </c>
    </row>
    <row r="27" spans="1:32" x14ac:dyDescent="0.2">
      <c r="A27" s="1" t="s">
        <v>16</v>
      </c>
      <c r="B27">
        <f t="shared" ref="B27:AF27" si="5">B5</f>
        <v>31.305900000000001</v>
      </c>
      <c r="C27">
        <f t="shared" si="5"/>
        <v>31.305900000000001</v>
      </c>
      <c r="D27">
        <f t="shared" si="5"/>
        <v>31.305900000000001</v>
      </c>
      <c r="E27">
        <f t="shared" si="5"/>
        <v>31.305900000000001</v>
      </c>
      <c r="F27">
        <f t="shared" si="5"/>
        <v>31.305900000000001</v>
      </c>
      <c r="G27">
        <f t="shared" si="5"/>
        <v>31.305900000000001</v>
      </c>
      <c r="H27">
        <f t="shared" si="5"/>
        <v>31.305900000000001</v>
      </c>
      <c r="I27">
        <f t="shared" si="5"/>
        <v>31.305900000000001</v>
      </c>
      <c r="J27">
        <f t="shared" si="5"/>
        <v>31.305900000000001</v>
      </c>
      <c r="K27">
        <f t="shared" si="5"/>
        <v>31.305900000000001</v>
      </c>
      <c r="L27">
        <f t="shared" si="5"/>
        <v>31.305900000000001</v>
      </c>
      <c r="M27">
        <f t="shared" si="5"/>
        <v>31.305900000000001</v>
      </c>
      <c r="N27">
        <f t="shared" si="5"/>
        <v>31.305900000000001</v>
      </c>
      <c r="O27">
        <f t="shared" si="5"/>
        <v>31.305900000000001</v>
      </c>
      <c r="P27">
        <f t="shared" si="5"/>
        <v>31.305900000000001</v>
      </c>
      <c r="Q27">
        <f t="shared" si="5"/>
        <v>31.305900000000001</v>
      </c>
      <c r="R27">
        <f t="shared" si="5"/>
        <v>31.305900000000001</v>
      </c>
      <c r="S27">
        <f t="shared" si="5"/>
        <v>31.305900000000001</v>
      </c>
      <c r="T27">
        <f t="shared" si="5"/>
        <v>31.305900000000001</v>
      </c>
      <c r="U27">
        <f t="shared" si="5"/>
        <v>31.305900000000001</v>
      </c>
      <c r="V27">
        <f t="shared" si="5"/>
        <v>31.305900000000001</v>
      </c>
      <c r="W27">
        <f t="shared" si="5"/>
        <v>31.305900000000001</v>
      </c>
      <c r="X27">
        <f t="shared" si="5"/>
        <v>31.305900000000001</v>
      </c>
      <c r="Y27">
        <f t="shared" si="5"/>
        <v>31.305900000000001</v>
      </c>
      <c r="Z27">
        <f t="shared" si="5"/>
        <v>31.305900000000001</v>
      </c>
      <c r="AA27">
        <f t="shared" si="5"/>
        <v>31.305900000000001</v>
      </c>
      <c r="AB27">
        <f t="shared" si="5"/>
        <v>31.305900000000001</v>
      </c>
      <c r="AC27">
        <f t="shared" si="5"/>
        <v>31.305900000000001</v>
      </c>
      <c r="AD27">
        <f t="shared" si="5"/>
        <v>31.305900000000001</v>
      </c>
      <c r="AE27">
        <f t="shared" si="5"/>
        <v>31.305900000000001</v>
      </c>
      <c r="AF27">
        <f t="shared" si="5"/>
        <v>31.305900000000001</v>
      </c>
    </row>
    <row r="28" spans="1:32" x14ac:dyDescent="0.2">
      <c r="A28" s="1" t="s">
        <v>20</v>
      </c>
      <c r="B28">
        <f t="shared" ref="B28:AF28" si="6">B11+B15+B16</f>
        <v>29.343699999999998</v>
      </c>
      <c r="C28">
        <f t="shared" si="6"/>
        <v>18.671500000000002</v>
      </c>
      <c r="D28">
        <f t="shared" si="6"/>
        <v>48.507899999999999</v>
      </c>
      <c r="E28">
        <f t="shared" si="6"/>
        <v>44.090192609999995</v>
      </c>
      <c r="F28">
        <f t="shared" si="6"/>
        <v>43.3461778</v>
      </c>
      <c r="G28">
        <f t="shared" si="6"/>
        <v>43.677670399999997</v>
      </c>
      <c r="H28">
        <f t="shared" si="6"/>
        <v>39.656555699999998</v>
      </c>
      <c r="I28">
        <f t="shared" si="6"/>
        <v>34.719740899999998</v>
      </c>
      <c r="J28">
        <f t="shared" si="6"/>
        <v>33.895469999999996</v>
      </c>
      <c r="K28">
        <f t="shared" si="6"/>
        <v>55.805700000000002</v>
      </c>
      <c r="L28">
        <f t="shared" si="6"/>
        <v>59.656399999999998</v>
      </c>
      <c r="M28">
        <f t="shared" si="6"/>
        <v>60.728999999999999</v>
      </c>
      <c r="N28">
        <f t="shared" si="6"/>
        <v>62.5839</v>
      </c>
      <c r="O28">
        <f t="shared" si="6"/>
        <v>64.572900000000004</v>
      </c>
      <c r="P28">
        <f t="shared" si="6"/>
        <v>66.075699999999998</v>
      </c>
      <c r="Q28">
        <f t="shared" si="6"/>
        <v>66.663399999999996</v>
      </c>
      <c r="R28">
        <f t="shared" si="6"/>
        <v>67.122100000000003</v>
      </c>
      <c r="S28">
        <f t="shared" si="6"/>
        <v>66.945099999999996</v>
      </c>
      <c r="T28">
        <f t="shared" si="6"/>
        <v>66.643699999999995</v>
      </c>
      <c r="U28">
        <f t="shared" si="6"/>
        <v>66.471100000000007</v>
      </c>
      <c r="V28">
        <f t="shared" si="6"/>
        <v>66.072400000000002</v>
      </c>
      <c r="W28">
        <f t="shared" si="6"/>
        <v>64.998999999999995</v>
      </c>
      <c r="X28">
        <f t="shared" si="6"/>
        <v>62.948299999999996</v>
      </c>
      <c r="Y28">
        <f t="shared" si="6"/>
        <v>60.5655</v>
      </c>
      <c r="Z28">
        <f t="shared" si="6"/>
        <v>58.337200000000003</v>
      </c>
      <c r="AA28">
        <f t="shared" si="6"/>
        <v>55.057000000000002</v>
      </c>
      <c r="AB28">
        <f t="shared" si="6"/>
        <v>51.165799999999997</v>
      </c>
      <c r="AC28">
        <f t="shared" si="6"/>
        <v>46.882199999999997</v>
      </c>
      <c r="AD28">
        <f t="shared" si="6"/>
        <v>42.615880000000004</v>
      </c>
      <c r="AE28">
        <f t="shared" si="6"/>
        <v>39.50873</v>
      </c>
      <c r="AF28">
        <f t="shared" si="6"/>
        <v>37.122230000000002</v>
      </c>
    </row>
    <row r="29" spans="1:32" x14ac:dyDescent="0.2">
      <c r="A29" s="1" t="s">
        <v>21</v>
      </c>
      <c r="B29">
        <f t="shared" ref="B29:AF29" si="7">B4+B9+B10+B13+B17</f>
        <v>23.775679999999998</v>
      </c>
      <c r="C29">
        <f t="shared" si="7"/>
        <v>24.06127</v>
      </c>
      <c r="D29">
        <f t="shared" si="7"/>
        <v>24.135870000000001</v>
      </c>
      <c r="E29">
        <f t="shared" si="7"/>
        <v>25.120498000000001</v>
      </c>
      <c r="F29">
        <f t="shared" si="7"/>
        <v>26.072450000000003</v>
      </c>
      <c r="G29">
        <f t="shared" si="7"/>
        <v>26.538490000000003</v>
      </c>
      <c r="H29">
        <f t="shared" si="7"/>
        <v>27.56503</v>
      </c>
      <c r="I29">
        <f t="shared" si="7"/>
        <v>28.633489999999998</v>
      </c>
      <c r="J29">
        <f t="shared" si="7"/>
        <v>24.379809999999999</v>
      </c>
      <c r="K29">
        <f t="shared" si="7"/>
        <v>26.263820000000003</v>
      </c>
      <c r="L29">
        <f t="shared" si="7"/>
        <v>26.263820000000003</v>
      </c>
      <c r="M29">
        <f t="shared" si="7"/>
        <v>26.263820000000003</v>
      </c>
      <c r="N29">
        <f t="shared" si="7"/>
        <v>26.263820000000003</v>
      </c>
      <c r="O29">
        <f t="shared" si="7"/>
        <v>26.263820000000003</v>
      </c>
      <c r="P29">
        <f t="shared" si="7"/>
        <v>26.263820000000003</v>
      </c>
      <c r="Q29">
        <f t="shared" si="7"/>
        <v>26.263820000000003</v>
      </c>
      <c r="R29">
        <f t="shared" si="7"/>
        <v>26.263820000000003</v>
      </c>
      <c r="S29">
        <f t="shared" si="7"/>
        <v>26.263820000000003</v>
      </c>
      <c r="T29">
        <f t="shared" si="7"/>
        <v>26.263820000000003</v>
      </c>
      <c r="U29">
        <f t="shared" si="7"/>
        <v>26.263820000000003</v>
      </c>
      <c r="V29">
        <f t="shared" si="7"/>
        <v>26.263820000000003</v>
      </c>
      <c r="W29">
        <f t="shared" si="7"/>
        <v>26.263820000000003</v>
      </c>
      <c r="X29">
        <f t="shared" si="7"/>
        <v>26.263820000000003</v>
      </c>
      <c r="Y29">
        <f t="shared" si="7"/>
        <v>26.263820000000003</v>
      </c>
      <c r="Z29">
        <f t="shared" si="7"/>
        <v>26.263820000000003</v>
      </c>
      <c r="AA29">
        <f t="shared" si="7"/>
        <v>26.263820000000003</v>
      </c>
      <c r="AB29">
        <f t="shared" si="7"/>
        <v>26.263820000000003</v>
      </c>
      <c r="AC29">
        <f t="shared" si="7"/>
        <v>26.263820000000003</v>
      </c>
      <c r="AD29">
        <f t="shared" si="7"/>
        <v>26.263820000000003</v>
      </c>
      <c r="AE29">
        <f t="shared" si="7"/>
        <v>26.263820000000003</v>
      </c>
      <c r="AF29">
        <f t="shared" si="7"/>
        <v>24.899892700000002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0C89-B6A1-DE4C-9BBA-AF2A1FF8A748}">
  <dimension ref="A1:B8"/>
  <sheetViews>
    <sheetView workbookViewId="0">
      <selection sqref="A1:B8"/>
    </sheetView>
  </sheetViews>
  <sheetFormatPr baseColWidth="10" defaultRowHeight="16" x14ac:dyDescent="0.2"/>
  <sheetData>
    <row r="1" spans="1:2" x14ac:dyDescent="0.2">
      <c r="A1" t="s">
        <v>42</v>
      </c>
      <c r="B1" t="s">
        <v>45</v>
      </c>
    </row>
    <row r="2" spans="1:2" x14ac:dyDescent="0.2">
      <c r="A2" s="1" t="s">
        <v>15</v>
      </c>
      <c r="B2">
        <f>'EG-CAS'!L23</f>
        <v>0</v>
      </c>
    </row>
    <row r="3" spans="1:2" x14ac:dyDescent="0.2">
      <c r="A3" s="1" t="s">
        <v>17</v>
      </c>
      <c r="B3">
        <f>'EG-CAS'!L24</f>
        <v>108.08882</v>
      </c>
    </row>
    <row r="4" spans="1:2" x14ac:dyDescent="0.2">
      <c r="A4" s="1" t="s">
        <v>18</v>
      </c>
      <c r="B4">
        <f>'EG-CAS'!L25</f>
        <v>136.173</v>
      </c>
    </row>
    <row r="5" spans="1:2" x14ac:dyDescent="0.2">
      <c r="A5" s="1" t="s">
        <v>19</v>
      </c>
      <c r="B5">
        <f>'EG-CAS'!L26</f>
        <v>81.385449999999992</v>
      </c>
    </row>
    <row r="6" spans="1:2" x14ac:dyDescent="0.2">
      <c r="A6" s="1" t="s">
        <v>16</v>
      </c>
      <c r="B6">
        <f>'EG-CAS'!L27</f>
        <v>31.305900000000001</v>
      </c>
    </row>
    <row r="7" spans="1:2" x14ac:dyDescent="0.2">
      <c r="A7" s="1" t="s">
        <v>20</v>
      </c>
      <c r="B7">
        <f>'EG-CAS'!L28</f>
        <v>59.656399999999998</v>
      </c>
    </row>
    <row r="8" spans="1:2" x14ac:dyDescent="0.2">
      <c r="A8" s="1" t="s">
        <v>21</v>
      </c>
      <c r="B8">
        <f>'EG-CAS'!L29</f>
        <v>26.263820000000003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D9AC-FE60-CD4B-A4D8-91E07383C563}">
  <dimension ref="A1:B8"/>
  <sheetViews>
    <sheetView workbookViewId="0">
      <selection sqref="A1:B8"/>
    </sheetView>
  </sheetViews>
  <sheetFormatPr baseColWidth="10" defaultRowHeight="16" x14ac:dyDescent="0.2"/>
  <sheetData>
    <row r="1" spans="1:2" x14ac:dyDescent="0.2">
      <c r="A1" t="s">
        <v>42</v>
      </c>
      <c r="B1" t="s">
        <v>45</v>
      </c>
    </row>
    <row r="2" spans="1:2" x14ac:dyDescent="0.2">
      <c r="A2" s="1" t="s">
        <v>15</v>
      </c>
      <c r="B2">
        <f>'EG-CAS'!AF23</f>
        <v>0</v>
      </c>
    </row>
    <row r="3" spans="1:2" x14ac:dyDescent="0.2">
      <c r="A3" s="1" t="s">
        <v>17</v>
      </c>
      <c r="B3">
        <f>'EG-CAS'!AF24</f>
        <v>15.395770000000001</v>
      </c>
    </row>
    <row r="4" spans="1:2" x14ac:dyDescent="0.2">
      <c r="A4" s="1" t="s">
        <v>18</v>
      </c>
      <c r="B4">
        <f>'EG-CAS'!AF25</f>
        <v>397.68020000000001</v>
      </c>
    </row>
    <row r="5" spans="1:2" x14ac:dyDescent="0.2">
      <c r="A5" s="1" t="s">
        <v>19</v>
      </c>
      <c r="B5">
        <f>'EG-CAS'!AF26</f>
        <v>162.84007</v>
      </c>
    </row>
    <row r="6" spans="1:2" x14ac:dyDescent="0.2">
      <c r="A6" s="1" t="s">
        <v>16</v>
      </c>
      <c r="B6">
        <f>'EG-CAS'!AF27</f>
        <v>31.305900000000001</v>
      </c>
    </row>
    <row r="7" spans="1:2" x14ac:dyDescent="0.2">
      <c r="A7" s="1" t="s">
        <v>20</v>
      </c>
      <c r="B7">
        <f>'EG-CAS'!AF28</f>
        <v>37.122230000000002</v>
      </c>
    </row>
    <row r="8" spans="1:2" x14ac:dyDescent="0.2">
      <c r="A8" s="1" t="s">
        <v>21</v>
      </c>
      <c r="B8">
        <f>'EG-CAS'!AF29</f>
        <v>24.899892700000002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7B72-48E0-C94A-9ADA-3B0A159735F8}">
  <dimension ref="A1:C32"/>
  <sheetViews>
    <sheetView workbookViewId="0">
      <selection activeCell="AC54" sqref="AC54"/>
    </sheetView>
  </sheetViews>
  <sheetFormatPr baseColWidth="10" defaultRowHeight="16" x14ac:dyDescent="0.2"/>
  <sheetData>
    <row r="1" spans="1:3" x14ac:dyDescent="0.2">
      <c r="A1" s="1" t="s">
        <v>0</v>
      </c>
      <c r="B1" t="s">
        <v>15</v>
      </c>
      <c r="C1" t="s">
        <v>22</v>
      </c>
    </row>
    <row r="2" spans="1:3" x14ac:dyDescent="0.2">
      <c r="A2" s="1">
        <v>2020</v>
      </c>
      <c r="B2" s="1">
        <v>5463</v>
      </c>
      <c r="C2" s="1">
        <v>10156</v>
      </c>
    </row>
    <row r="3" spans="1:3" x14ac:dyDescent="0.2">
      <c r="A3" s="1">
        <v>2021</v>
      </c>
      <c r="B3" s="1">
        <v>5463</v>
      </c>
      <c r="C3" s="1">
        <v>9836</v>
      </c>
    </row>
    <row r="4" spans="1:3" x14ac:dyDescent="0.2">
      <c r="A4" s="1">
        <v>2022</v>
      </c>
      <c r="B4" s="1">
        <v>5463</v>
      </c>
      <c r="C4" s="1">
        <v>8946</v>
      </c>
    </row>
    <row r="5" spans="1:3" x14ac:dyDescent="0.2">
      <c r="A5" s="1">
        <v>2023</v>
      </c>
      <c r="B5" s="1">
        <v>5463</v>
      </c>
      <c r="C5" s="1">
        <v>7886</v>
      </c>
    </row>
    <row r="6" spans="1:3" x14ac:dyDescent="0.2">
      <c r="A6" s="1">
        <v>2024</v>
      </c>
      <c r="B6" s="1">
        <v>5463</v>
      </c>
      <c r="C6" s="1">
        <v>6896</v>
      </c>
    </row>
    <row r="7" spans="1:3" x14ac:dyDescent="0.2">
      <c r="A7" s="1">
        <v>2025</v>
      </c>
      <c r="B7" s="1">
        <v>5463</v>
      </c>
      <c r="C7" s="1">
        <v>6896</v>
      </c>
    </row>
    <row r="8" spans="1:3" x14ac:dyDescent="0.2">
      <c r="A8" s="1">
        <v>2026</v>
      </c>
      <c r="B8" s="1">
        <v>5463</v>
      </c>
      <c r="C8" s="1">
        <v>6896</v>
      </c>
    </row>
    <row r="9" spans="1:3" x14ac:dyDescent="0.2">
      <c r="A9" s="1">
        <v>2027</v>
      </c>
      <c r="B9" s="1">
        <v>5463</v>
      </c>
      <c r="C9" s="1">
        <v>6556</v>
      </c>
    </row>
    <row r="10" spans="1:3" x14ac:dyDescent="0.2">
      <c r="A10" s="1">
        <v>2028</v>
      </c>
      <c r="B10" s="1">
        <v>4947</v>
      </c>
      <c r="C10" s="1">
        <v>6556</v>
      </c>
    </row>
    <row r="11" spans="1:3" x14ac:dyDescent="0.2">
      <c r="A11" s="1">
        <v>2029</v>
      </c>
      <c r="B11" s="1">
        <v>4173</v>
      </c>
      <c r="C11" s="1">
        <v>6556</v>
      </c>
    </row>
    <row r="12" spans="1:3" x14ac:dyDescent="0.2">
      <c r="A12" s="1">
        <v>2030</v>
      </c>
      <c r="B12" s="1">
        <v>4173</v>
      </c>
      <c r="C12" s="1">
        <v>6556</v>
      </c>
    </row>
    <row r="13" spans="1:3" x14ac:dyDescent="0.2">
      <c r="A13" s="1">
        <v>2031</v>
      </c>
      <c r="B13" s="1">
        <v>4173</v>
      </c>
      <c r="C13" s="1">
        <v>6556</v>
      </c>
    </row>
    <row r="14" spans="1:3" x14ac:dyDescent="0.2">
      <c r="A14" s="1">
        <v>2032</v>
      </c>
      <c r="B14" s="1">
        <v>3915</v>
      </c>
      <c r="C14" s="1">
        <v>6556</v>
      </c>
    </row>
    <row r="15" spans="1:3" x14ac:dyDescent="0.2">
      <c r="A15" s="1">
        <v>2033</v>
      </c>
      <c r="B15" s="1">
        <v>3915</v>
      </c>
      <c r="C15" s="1">
        <v>6556</v>
      </c>
    </row>
    <row r="16" spans="1:3" x14ac:dyDescent="0.2">
      <c r="A16" s="1">
        <v>2034</v>
      </c>
      <c r="B16" s="1">
        <v>3915</v>
      </c>
      <c r="C16" s="1">
        <v>6556</v>
      </c>
    </row>
    <row r="17" spans="1:3" x14ac:dyDescent="0.2">
      <c r="A17" s="1">
        <v>2035</v>
      </c>
      <c r="B17" s="1">
        <v>3915</v>
      </c>
      <c r="C17" s="1">
        <v>6556</v>
      </c>
    </row>
    <row r="18" spans="1:3" x14ac:dyDescent="0.2">
      <c r="A18" s="1">
        <v>2036</v>
      </c>
      <c r="B18" s="1">
        <v>3657</v>
      </c>
      <c r="C18" s="1">
        <v>6556</v>
      </c>
    </row>
    <row r="19" spans="1:3" x14ac:dyDescent="0.2">
      <c r="A19" s="1">
        <v>2037</v>
      </c>
      <c r="B19" s="1">
        <v>3657</v>
      </c>
      <c r="C19" s="1">
        <v>6556</v>
      </c>
    </row>
    <row r="20" spans="1:3" x14ac:dyDescent="0.2">
      <c r="A20" s="1">
        <v>2038</v>
      </c>
      <c r="B20" s="1">
        <v>3657</v>
      </c>
      <c r="C20" s="1">
        <v>6556</v>
      </c>
    </row>
    <row r="21" spans="1:3" x14ac:dyDescent="0.2">
      <c r="A21" s="1">
        <v>2039</v>
      </c>
      <c r="B21" s="1">
        <v>3399</v>
      </c>
      <c r="C21" s="1">
        <v>6556</v>
      </c>
    </row>
    <row r="22" spans="1:3" x14ac:dyDescent="0.2">
      <c r="A22" s="1">
        <v>2040</v>
      </c>
      <c r="B22" s="1">
        <v>3399</v>
      </c>
      <c r="C22" s="1">
        <v>6556</v>
      </c>
    </row>
    <row r="23" spans="1:3" x14ac:dyDescent="0.2">
      <c r="A23" s="1">
        <v>2041</v>
      </c>
      <c r="B23" s="1">
        <v>3399</v>
      </c>
      <c r="C23" s="1">
        <v>6556</v>
      </c>
    </row>
    <row r="24" spans="1:3" x14ac:dyDescent="0.2">
      <c r="A24" s="1">
        <v>2042</v>
      </c>
      <c r="B24" s="1">
        <v>3399</v>
      </c>
      <c r="C24" s="1">
        <v>6556</v>
      </c>
    </row>
    <row r="25" spans="1:3" x14ac:dyDescent="0.2">
      <c r="A25" s="1">
        <v>2043</v>
      </c>
      <c r="B25" s="1">
        <v>3141</v>
      </c>
      <c r="C25" s="1">
        <v>6556</v>
      </c>
    </row>
    <row r="26" spans="1:3" x14ac:dyDescent="0.2">
      <c r="A26" s="1">
        <v>2044</v>
      </c>
      <c r="B26" s="1">
        <v>3141</v>
      </c>
      <c r="C26" s="1">
        <v>6556</v>
      </c>
    </row>
    <row r="27" spans="1:3" x14ac:dyDescent="0.2">
      <c r="A27" s="1">
        <v>2045</v>
      </c>
      <c r="B27" s="1">
        <v>3141</v>
      </c>
      <c r="C27" s="1">
        <v>6556</v>
      </c>
    </row>
    <row r="28" spans="1:3" x14ac:dyDescent="0.2">
      <c r="A28" s="1">
        <v>2046</v>
      </c>
      <c r="B28" s="1">
        <v>3141</v>
      </c>
      <c r="C28" s="1">
        <v>6556</v>
      </c>
    </row>
    <row r="29" spans="1:3" x14ac:dyDescent="0.2">
      <c r="A29" s="1">
        <v>2047</v>
      </c>
      <c r="B29" s="1">
        <v>2883</v>
      </c>
      <c r="C29" s="1">
        <v>6556</v>
      </c>
    </row>
    <row r="30" spans="1:3" x14ac:dyDescent="0.2">
      <c r="A30" s="1">
        <v>2048</v>
      </c>
      <c r="B30" s="1">
        <v>2883</v>
      </c>
      <c r="C30" s="1">
        <v>6556</v>
      </c>
    </row>
    <row r="31" spans="1:3" x14ac:dyDescent="0.2">
      <c r="A31" s="1">
        <v>2049</v>
      </c>
      <c r="B31" s="1">
        <v>2883</v>
      </c>
      <c r="C31" s="1">
        <v>6556</v>
      </c>
    </row>
    <row r="32" spans="1:3" x14ac:dyDescent="0.2">
      <c r="A32" s="1">
        <v>2050</v>
      </c>
      <c r="B32" s="1">
        <v>2883</v>
      </c>
      <c r="C32" s="1">
        <v>6556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EDCE-3CF1-A34A-8DAD-A4A9EDBD1004}">
  <dimension ref="A1:C32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s="1" t="s">
        <v>0</v>
      </c>
      <c r="B1" t="s">
        <v>15</v>
      </c>
      <c r="C1" t="s">
        <v>22</v>
      </c>
    </row>
    <row r="2" spans="1:3" x14ac:dyDescent="0.2">
      <c r="A2" s="1">
        <v>2020</v>
      </c>
      <c r="B2" s="1">
        <v>5463</v>
      </c>
      <c r="C2" s="1">
        <v>10156</v>
      </c>
    </row>
    <row r="3" spans="1:3" x14ac:dyDescent="0.2">
      <c r="A3" s="1">
        <v>2021</v>
      </c>
      <c r="B3" s="1">
        <v>5463</v>
      </c>
      <c r="C3" s="1">
        <v>9836</v>
      </c>
    </row>
    <row r="4" spans="1:3" x14ac:dyDescent="0.2">
      <c r="A4" s="1">
        <v>2022</v>
      </c>
      <c r="B4" s="1">
        <v>5463</v>
      </c>
      <c r="C4" s="1">
        <v>8946</v>
      </c>
    </row>
    <row r="5" spans="1:3" x14ac:dyDescent="0.2">
      <c r="A5" s="1">
        <v>2023</v>
      </c>
      <c r="B5" s="1">
        <v>5463</v>
      </c>
      <c r="C5" s="1">
        <v>7886</v>
      </c>
    </row>
    <row r="6" spans="1:3" x14ac:dyDescent="0.2">
      <c r="A6" s="1">
        <v>2024</v>
      </c>
      <c r="B6" s="1">
        <v>5463</v>
      </c>
      <c r="C6" s="1">
        <v>6896</v>
      </c>
    </row>
    <row r="7" spans="1:3" x14ac:dyDescent="0.2">
      <c r="A7" s="1">
        <v>2025</v>
      </c>
      <c r="B7" s="1">
        <v>5463</v>
      </c>
      <c r="C7" s="1">
        <v>6896</v>
      </c>
    </row>
    <row r="8" spans="1:3" x14ac:dyDescent="0.2">
      <c r="A8" s="1">
        <v>2026</v>
      </c>
      <c r="B8" s="1">
        <v>5463</v>
      </c>
      <c r="C8" s="1">
        <v>6876</v>
      </c>
    </row>
    <row r="9" spans="1:3" x14ac:dyDescent="0.2">
      <c r="A9" s="1">
        <v>2027</v>
      </c>
      <c r="B9" s="1">
        <v>5463</v>
      </c>
      <c r="C9" s="1">
        <v>6506</v>
      </c>
    </row>
    <row r="10" spans="1:3" x14ac:dyDescent="0.2">
      <c r="A10" s="1">
        <v>2028</v>
      </c>
      <c r="B10" s="1">
        <v>4947</v>
      </c>
      <c r="C10" s="1">
        <v>6446</v>
      </c>
    </row>
    <row r="11" spans="1:3" x14ac:dyDescent="0.2">
      <c r="A11" s="1">
        <v>2029</v>
      </c>
      <c r="B11" s="1">
        <v>4173</v>
      </c>
      <c r="C11" s="1">
        <v>6426</v>
      </c>
    </row>
    <row r="12" spans="1:3" x14ac:dyDescent="0.2">
      <c r="A12" s="1">
        <v>2030</v>
      </c>
      <c r="B12" s="1">
        <v>4173</v>
      </c>
      <c r="C12" s="1">
        <v>6366</v>
      </c>
    </row>
    <row r="13" spans="1:3" x14ac:dyDescent="0.2">
      <c r="A13" s="1">
        <v>2031</v>
      </c>
      <c r="B13" s="1">
        <v>4173</v>
      </c>
      <c r="C13" s="1">
        <v>6336</v>
      </c>
    </row>
    <row r="14" spans="1:3" x14ac:dyDescent="0.2">
      <c r="A14" s="1">
        <v>2032</v>
      </c>
      <c r="B14" s="1">
        <v>3915</v>
      </c>
      <c r="C14" s="1">
        <v>6316</v>
      </c>
    </row>
    <row r="15" spans="1:3" x14ac:dyDescent="0.2">
      <c r="A15" s="1">
        <v>2033</v>
      </c>
      <c r="B15" s="1">
        <v>3915</v>
      </c>
      <c r="C15" s="1">
        <v>6306</v>
      </c>
    </row>
    <row r="16" spans="1:3" x14ac:dyDescent="0.2">
      <c r="A16" s="1">
        <v>2034</v>
      </c>
      <c r="B16" s="1">
        <v>3915</v>
      </c>
      <c r="C16" s="1">
        <v>6246</v>
      </c>
    </row>
    <row r="17" spans="1:3" x14ac:dyDescent="0.2">
      <c r="A17" s="1">
        <v>2035</v>
      </c>
      <c r="B17" s="1">
        <v>3915</v>
      </c>
      <c r="C17" s="1">
        <v>6206</v>
      </c>
    </row>
    <row r="18" spans="1:3" x14ac:dyDescent="0.2">
      <c r="A18" s="1">
        <v>2036</v>
      </c>
      <c r="B18" s="1">
        <v>3657</v>
      </c>
      <c r="C18" s="1">
        <v>6166</v>
      </c>
    </row>
    <row r="19" spans="1:3" x14ac:dyDescent="0.2">
      <c r="A19" s="1">
        <v>2037</v>
      </c>
      <c r="B19" s="1">
        <v>3657</v>
      </c>
      <c r="C19" s="1">
        <v>6146</v>
      </c>
    </row>
    <row r="20" spans="1:3" x14ac:dyDescent="0.2">
      <c r="A20" s="1">
        <v>2038</v>
      </c>
      <c r="B20" s="1">
        <v>3657</v>
      </c>
      <c r="C20" s="1">
        <v>6076</v>
      </c>
    </row>
    <row r="21" spans="1:3" x14ac:dyDescent="0.2">
      <c r="A21" s="1">
        <v>2039</v>
      </c>
      <c r="B21" s="1">
        <v>3399</v>
      </c>
      <c r="C21" s="1">
        <v>6006</v>
      </c>
    </row>
    <row r="22" spans="1:3" x14ac:dyDescent="0.2">
      <c r="A22" s="1">
        <v>2040</v>
      </c>
      <c r="B22" s="1">
        <v>3399</v>
      </c>
      <c r="C22" s="1">
        <v>5926</v>
      </c>
    </row>
    <row r="23" spans="1:3" x14ac:dyDescent="0.2">
      <c r="A23" s="1">
        <v>2041</v>
      </c>
      <c r="B23" s="1">
        <v>3399</v>
      </c>
      <c r="C23" s="1">
        <v>5826</v>
      </c>
    </row>
    <row r="24" spans="1:3" x14ac:dyDescent="0.2">
      <c r="A24" s="1">
        <v>2042</v>
      </c>
      <c r="B24" s="1">
        <v>3399</v>
      </c>
      <c r="C24" s="1">
        <v>5726</v>
      </c>
    </row>
    <row r="25" spans="1:3" x14ac:dyDescent="0.2">
      <c r="A25" s="1">
        <v>2043</v>
      </c>
      <c r="B25" s="1">
        <v>3141</v>
      </c>
      <c r="C25" s="1">
        <v>5596</v>
      </c>
    </row>
    <row r="26" spans="1:3" x14ac:dyDescent="0.2">
      <c r="A26" s="1">
        <v>2044</v>
      </c>
      <c r="B26" s="1">
        <v>3141</v>
      </c>
      <c r="C26" s="1">
        <v>5406</v>
      </c>
    </row>
    <row r="27" spans="1:3" x14ac:dyDescent="0.2">
      <c r="A27" s="1">
        <v>2045</v>
      </c>
      <c r="B27" s="1">
        <v>3141</v>
      </c>
      <c r="C27" s="1">
        <v>5226</v>
      </c>
    </row>
    <row r="28" spans="1:3" x14ac:dyDescent="0.2">
      <c r="A28" s="1">
        <v>2046</v>
      </c>
      <c r="B28" s="1">
        <v>3141</v>
      </c>
      <c r="C28" s="1">
        <v>5066</v>
      </c>
    </row>
    <row r="29" spans="1:3" x14ac:dyDescent="0.2">
      <c r="A29" s="1">
        <v>2047</v>
      </c>
      <c r="B29" s="1">
        <v>2883</v>
      </c>
      <c r="C29" s="1">
        <v>4906</v>
      </c>
    </row>
    <row r="30" spans="1:3" x14ac:dyDescent="0.2">
      <c r="A30" s="1">
        <v>2048</v>
      </c>
      <c r="B30" s="1">
        <v>2883</v>
      </c>
      <c r="C30" s="1">
        <v>4736</v>
      </c>
    </row>
    <row r="31" spans="1:3" x14ac:dyDescent="0.2">
      <c r="A31" s="1">
        <v>2049</v>
      </c>
      <c r="B31" s="1">
        <v>2883</v>
      </c>
      <c r="C31" s="1">
        <v>4556</v>
      </c>
    </row>
    <row r="32" spans="1:3" x14ac:dyDescent="0.2">
      <c r="A32" s="1">
        <v>2050</v>
      </c>
      <c r="B32" s="1">
        <v>2883</v>
      </c>
      <c r="C32" s="1">
        <v>4376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771A-D038-1C42-908A-4E205381ECAA}">
  <dimension ref="A1:C32"/>
  <sheetViews>
    <sheetView workbookViewId="0">
      <selection activeCell="AC54" sqref="AC54"/>
    </sheetView>
  </sheetViews>
  <sheetFormatPr baseColWidth="10" defaultRowHeight="16" x14ac:dyDescent="0.2"/>
  <sheetData>
    <row r="1" spans="1:3" x14ac:dyDescent="0.2">
      <c r="A1" s="1" t="s">
        <v>0</v>
      </c>
      <c r="B1" t="s">
        <v>15</v>
      </c>
      <c r="C1" t="s">
        <v>22</v>
      </c>
    </row>
    <row r="2" spans="1:3" x14ac:dyDescent="0.2">
      <c r="A2" s="1">
        <v>2020</v>
      </c>
      <c r="B2" s="1">
        <v>5463</v>
      </c>
      <c r="C2" s="1">
        <v>10156</v>
      </c>
    </row>
    <row r="3" spans="1:3" x14ac:dyDescent="0.2">
      <c r="A3" s="1">
        <v>2021</v>
      </c>
      <c r="B3" s="1">
        <v>5463</v>
      </c>
      <c r="C3" s="1">
        <v>9836</v>
      </c>
    </row>
    <row r="4" spans="1:3" x14ac:dyDescent="0.2">
      <c r="A4" s="1">
        <v>2022</v>
      </c>
      <c r="B4" s="1">
        <v>5463</v>
      </c>
      <c r="C4" s="1">
        <v>8946</v>
      </c>
    </row>
    <row r="5" spans="1:3" x14ac:dyDescent="0.2">
      <c r="A5" s="1">
        <v>2023</v>
      </c>
      <c r="B5" s="1">
        <v>5463</v>
      </c>
      <c r="C5" s="1">
        <v>7886</v>
      </c>
    </row>
    <row r="6" spans="1:3" x14ac:dyDescent="0.2">
      <c r="A6" s="1">
        <v>2024</v>
      </c>
      <c r="B6" s="1">
        <v>5463</v>
      </c>
      <c r="C6" s="1">
        <v>6896</v>
      </c>
    </row>
    <row r="7" spans="1:3" x14ac:dyDescent="0.2">
      <c r="A7" s="1">
        <v>2025</v>
      </c>
      <c r="B7" s="1">
        <v>5463</v>
      </c>
      <c r="C7" s="1">
        <v>6896</v>
      </c>
    </row>
    <row r="8" spans="1:3" x14ac:dyDescent="0.2">
      <c r="A8" s="1">
        <v>2026</v>
      </c>
      <c r="B8" s="1">
        <v>4947</v>
      </c>
      <c r="C8" s="1">
        <v>6336</v>
      </c>
    </row>
    <row r="9" spans="1:3" x14ac:dyDescent="0.2">
      <c r="A9" s="1">
        <v>2027</v>
      </c>
      <c r="B9" s="1">
        <v>4173</v>
      </c>
      <c r="C9" s="1">
        <v>4986</v>
      </c>
    </row>
    <row r="10" spans="1:3" x14ac:dyDescent="0.2">
      <c r="A10" s="1">
        <v>2028</v>
      </c>
      <c r="B10" s="1">
        <v>2367</v>
      </c>
      <c r="C10" s="1">
        <v>3476</v>
      </c>
    </row>
    <row r="11" spans="1:3" x14ac:dyDescent="0.2">
      <c r="A11" s="1">
        <v>2029</v>
      </c>
      <c r="B11" s="1">
        <v>0</v>
      </c>
      <c r="C11" s="1">
        <v>1296</v>
      </c>
    </row>
    <row r="12" spans="1:3" x14ac:dyDescent="0.2">
      <c r="A12" s="1">
        <v>2030</v>
      </c>
      <c r="B12" s="1">
        <v>0</v>
      </c>
      <c r="C12" s="1">
        <v>0</v>
      </c>
    </row>
    <row r="13" spans="1:3" x14ac:dyDescent="0.2">
      <c r="A13" s="1">
        <v>2031</v>
      </c>
      <c r="B13" s="1">
        <v>0</v>
      </c>
      <c r="C13" s="1">
        <v>0</v>
      </c>
    </row>
    <row r="14" spans="1:3" x14ac:dyDescent="0.2">
      <c r="A14" s="1">
        <v>2032</v>
      </c>
      <c r="B14" s="1">
        <v>0</v>
      </c>
      <c r="C14" s="1">
        <v>0</v>
      </c>
    </row>
    <row r="15" spans="1:3" x14ac:dyDescent="0.2">
      <c r="A15" s="1">
        <v>2033</v>
      </c>
      <c r="B15" s="1">
        <v>0</v>
      </c>
      <c r="C15" s="1">
        <v>0</v>
      </c>
    </row>
    <row r="16" spans="1:3" x14ac:dyDescent="0.2">
      <c r="A16" s="1">
        <v>2034</v>
      </c>
      <c r="B16" s="1">
        <v>0</v>
      </c>
      <c r="C16" s="1">
        <v>0</v>
      </c>
    </row>
    <row r="17" spans="1:3" x14ac:dyDescent="0.2">
      <c r="A17" s="1">
        <v>2035</v>
      </c>
      <c r="B17" s="1">
        <v>0</v>
      </c>
      <c r="C17" s="1">
        <v>0</v>
      </c>
    </row>
    <row r="18" spans="1:3" x14ac:dyDescent="0.2">
      <c r="A18" s="1">
        <v>2036</v>
      </c>
      <c r="B18" s="1">
        <v>0</v>
      </c>
      <c r="C18" s="1">
        <v>0</v>
      </c>
    </row>
    <row r="19" spans="1:3" x14ac:dyDescent="0.2">
      <c r="A19" s="1">
        <v>2037</v>
      </c>
      <c r="B19" s="1">
        <v>0</v>
      </c>
      <c r="C19" s="1">
        <v>0</v>
      </c>
    </row>
    <row r="20" spans="1:3" x14ac:dyDescent="0.2">
      <c r="A20" s="1">
        <v>2038</v>
      </c>
      <c r="B20" s="1">
        <v>0</v>
      </c>
      <c r="C20" s="1">
        <v>0</v>
      </c>
    </row>
    <row r="21" spans="1:3" x14ac:dyDescent="0.2">
      <c r="A21" s="1">
        <v>2039</v>
      </c>
      <c r="B21" s="1">
        <v>0</v>
      </c>
      <c r="C21" s="1">
        <v>0</v>
      </c>
    </row>
    <row r="22" spans="1:3" x14ac:dyDescent="0.2">
      <c r="A22" s="1">
        <v>2040</v>
      </c>
      <c r="B22" s="1">
        <v>0</v>
      </c>
      <c r="C22" s="1">
        <v>0</v>
      </c>
    </row>
    <row r="23" spans="1:3" x14ac:dyDescent="0.2">
      <c r="A23" s="1">
        <v>2041</v>
      </c>
      <c r="B23" s="1">
        <v>0</v>
      </c>
      <c r="C23" s="1">
        <v>0</v>
      </c>
    </row>
    <row r="24" spans="1:3" x14ac:dyDescent="0.2">
      <c r="A24" s="1">
        <v>2042</v>
      </c>
      <c r="B24" s="1">
        <v>0</v>
      </c>
      <c r="C24" s="1">
        <v>0</v>
      </c>
    </row>
    <row r="25" spans="1:3" x14ac:dyDescent="0.2">
      <c r="A25" s="1">
        <v>2043</v>
      </c>
      <c r="B25" s="1">
        <v>0</v>
      </c>
      <c r="C25" s="1">
        <v>0</v>
      </c>
    </row>
    <row r="26" spans="1:3" x14ac:dyDescent="0.2">
      <c r="A26" s="1">
        <v>2044</v>
      </c>
      <c r="B26" s="1">
        <v>0</v>
      </c>
      <c r="C26" s="1">
        <v>0</v>
      </c>
    </row>
    <row r="27" spans="1:3" x14ac:dyDescent="0.2">
      <c r="A27" s="1">
        <v>2045</v>
      </c>
      <c r="B27" s="1">
        <v>0</v>
      </c>
      <c r="C27" s="1">
        <v>0</v>
      </c>
    </row>
    <row r="28" spans="1:3" x14ac:dyDescent="0.2">
      <c r="A28" s="1">
        <v>2046</v>
      </c>
      <c r="B28" s="1">
        <v>0</v>
      </c>
      <c r="C28" s="1">
        <v>0</v>
      </c>
    </row>
    <row r="29" spans="1:3" x14ac:dyDescent="0.2">
      <c r="A29" s="1">
        <v>2047</v>
      </c>
      <c r="B29" s="1">
        <v>0</v>
      </c>
      <c r="C29" s="1">
        <v>0</v>
      </c>
    </row>
    <row r="30" spans="1:3" x14ac:dyDescent="0.2">
      <c r="A30" s="1">
        <v>2048</v>
      </c>
      <c r="B30" s="1">
        <v>0</v>
      </c>
      <c r="C30" s="1">
        <v>0</v>
      </c>
    </row>
    <row r="31" spans="1:3" x14ac:dyDescent="0.2">
      <c r="A31" s="1">
        <v>2049</v>
      </c>
      <c r="B31" s="1">
        <v>0</v>
      </c>
      <c r="C31" s="1">
        <v>0</v>
      </c>
    </row>
    <row r="32" spans="1:3" x14ac:dyDescent="0.2">
      <c r="A32" s="1">
        <v>2050</v>
      </c>
      <c r="B32" s="1">
        <v>0</v>
      </c>
      <c r="C32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5D79-552C-CD48-A7A2-5FBE49D0D582}">
  <dimension ref="A1:AF32"/>
  <sheetViews>
    <sheetView workbookViewId="0">
      <selection activeCell="B3" sqref="B3"/>
    </sheetView>
  </sheetViews>
  <sheetFormatPr baseColWidth="10" defaultRowHeight="16" x14ac:dyDescent="0.2"/>
  <sheetData>
    <row r="1" spans="1:32" x14ac:dyDescent="0.2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s="1" t="s">
        <v>15</v>
      </c>
      <c r="B2" s="1">
        <v>5463</v>
      </c>
      <c r="C2" s="1">
        <v>5463</v>
      </c>
      <c r="D2" s="1">
        <v>5463</v>
      </c>
      <c r="E2" s="1">
        <v>5463</v>
      </c>
      <c r="F2" s="1">
        <v>5463</v>
      </c>
      <c r="G2" s="1">
        <v>5463</v>
      </c>
      <c r="H2" s="1">
        <v>5463</v>
      </c>
      <c r="I2">
        <v>5463</v>
      </c>
      <c r="J2">
        <v>4947</v>
      </c>
      <c r="K2">
        <v>4173</v>
      </c>
      <c r="L2">
        <v>4173</v>
      </c>
      <c r="M2">
        <v>4173</v>
      </c>
      <c r="N2">
        <v>3915</v>
      </c>
      <c r="O2">
        <v>3915</v>
      </c>
      <c r="P2">
        <v>3915</v>
      </c>
      <c r="Q2">
        <v>3915</v>
      </c>
      <c r="R2">
        <v>3657</v>
      </c>
      <c r="S2">
        <v>3657</v>
      </c>
      <c r="T2">
        <v>3657</v>
      </c>
      <c r="U2">
        <v>3399</v>
      </c>
      <c r="V2">
        <v>3399</v>
      </c>
      <c r="W2">
        <v>3399</v>
      </c>
      <c r="X2">
        <v>3399</v>
      </c>
      <c r="Y2">
        <v>3141</v>
      </c>
      <c r="Z2">
        <v>3141</v>
      </c>
      <c r="AA2">
        <v>3141</v>
      </c>
      <c r="AB2">
        <v>3141</v>
      </c>
      <c r="AC2">
        <v>2883</v>
      </c>
      <c r="AD2">
        <v>2883</v>
      </c>
      <c r="AE2">
        <v>2883</v>
      </c>
      <c r="AF2">
        <v>2883</v>
      </c>
    </row>
    <row r="3" spans="1:32" x14ac:dyDescent="0.2">
      <c r="A3" s="1" t="s">
        <v>17</v>
      </c>
      <c r="B3" s="1">
        <v>33653.5</v>
      </c>
      <c r="C3" s="1">
        <v>32891.5</v>
      </c>
      <c r="D3" s="1">
        <v>32637.5</v>
      </c>
      <c r="E3" s="1">
        <v>33053.5</v>
      </c>
      <c r="F3" s="1">
        <v>33873.5</v>
      </c>
      <c r="G3" s="1">
        <v>34335.5</v>
      </c>
      <c r="H3" s="1">
        <v>34797.5</v>
      </c>
      <c r="I3">
        <v>35259.5</v>
      </c>
      <c r="J3">
        <v>35463.5</v>
      </c>
      <c r="K3">
        <v>35925.5</v>
      </c>
      <c r="L3">
        <v>36233.5</v>
      </c>
      <c r="M3">
        <v>36387.5</v>
      </c>
      <c r="N3">
        <v>36541.5</v>
      </c>
      <c r="O3">
        <v>36695.5</v>
      </c>
      <c r="P3">
        <v>36695.5</v>
      </c>
      <c r="Q3">
        <v>36695.5</v>
      </c>
      <c r="R3">
        <v>37003.5</v>
      </c>
      <c r="S3">
        <v>37553.5</v>
      </c>
      <c r="T3">
        <v>38203.5</v>
      </c>
      <c r="U3">
        <v>39157.5</v>
      </c>
      <c r="V3">
        <v>39907.5</v>
      </c>
      <c r="W3">
        <v>40711.5</v>
      </c>
      <c r="X3">
        <v>41411.5</v>
      </c>
      <c r="Y3">
        <v>42311.5</v>
      </c>
      <c r="Z3">
        <v>43165.5</v>
      </c>
      <c r="AA3">
        <v>43865.5</v>
      </c>
      <c r="AB3">
        <v>44615.5</v>
      </c>
      <c r="AC3">
        <v>45619.5</v>
      </c>
      <c r="AD3">
        <v>46419.5</v>
      </c>
      <c r="AE3">
        <v>47273.5</v>
      </c>
      <c r="AF3">
        <v>48073.5</v>
      </c>
    </row>
    <row r="4" spans="1:32" x14ac:dyDescent="0.2">
      <c r="A4" s="1" t="s">
        <v>18</v>
      </c>
      <c r="B4" s="1">
        <v>13334</v>
      </c>
      <c r="C4" s="1">
        <v>14784</v>
      </c>
      <c r="D4" s="1">
        <v>15630</v>
      </c>
      <c r="E4" s="1">
        <v>17770</v>
      </c>
      <c r="F4" s="1">
        <v>19846</v>
      </c>
      <c r="G4" s="1">
        <v>21190</v>
      </c>
      <c r="H4" s="1">
        <v>22764</v>
      </c>
      <c r="I4">
        <v>24698</v>
      </c>
      <c r="J4">
        <v>27780</v>
      </c>
      <c r="K4">
        <v>30724</v>
      </c>
      <c r="L4">
        <v>33226</v>
      </c>
      <c r="M4">
        <v>35446</v>
      </c>
      <c r="N4">
        <v>37596</v>
      </c>
      <c r="O4">
        <v>39324</v>
      </c>
      <c r="P4">
        <v>41460</v>
      </c>
      <c r="Q4">
        <v>43666</v>
      </c>
      <c r="R4">
        <v>46164</v>
      </c>
      <c r="S4">
        <v>48458</v>
      </c>
      <c r="T4">
        <v>50524</v>
      </c>
      <c r="U4">
        <v>52646</v>
      </c>
      <c r="V4">
        <v>54574</v>
      </c>
      <c r="W4">
        <v>56342</v>
      </c>
      <c r="X4">
        <v>58374</v>
      </c>
      <c r="Y4">
        <v>60938</v>
      </c>
      <c r="Z4">
        <v>62820</v>
      </c>
      <c r="AA4">
        <v>64992</v>
      </c>
      <c r="AB4">
        <v>67214</v>
      </c>
      <c r="AC4">
        <v>69606</v>
      </c>
      <c r="AD4">
        <v>71768</v>
      </c>
      <c r="AE4">
        <v>73824</v>
      </c>
      <c r="AF4">
        <v>76142</v>
      </c>
    </row>
    <row r="5" spans="1:32" x14ac:dyDescent="0.2">
      <c r="A5" s="1" t="s">
        <v>19</v>
      </c>
      <c r="B5" s="1">
        <v>11740</v>
      </c>
      <c r="C5" s="1">
        <v>12520</v>
      </c>
      <c r="D5" s="1">
        <v>12940</v>
      </c>
      <c r="E5" s="1">
        <v>13935</v>
      </c>
      <c r="F5" s="1">
        <v>14820</v>
      </c>
      <c r="G5" s="1">
        <v>15365</v>
      </c>
      <c r="H5" s="1">
        <v>15960</v>
      </c>
      <c r="I5">
        <v>16635</v>
      </c>
      <c r="J5">
        <v>17630</v>
      </c>
      <c r="K5">
        <v>18505</v>
      </c>
      <c r="L5">
        <v>19190</v>
      </c>
      <c r="M5">
        <v>19795</v>
      </c>
      <c r="N5">
        <v>20380</v>
      </c>
      <c r="O5">
        <v>20845</v>
      </c>
      <c r="P5">
        <v>21425</v>
      </c>
      <c r="Q5">
        <v>22020</v>
      </c>
      <c r="R5">
        <v>22690</v>
      </c>
      <c r="S5">
        <v>23310</v>
      </c>
      <c r="T5">
        <v>23865</v>
      </c>
      <c r="U5">
        <v>24430</v>
      </c>
      <c r="V5">
        <v>24940</v>
      </c>
      <c r="W5">
        <v>25410</v>
      </c>
      <c r="X5">
        <v>25950</v>
      </c>
      <c r="Y5">
        <v>26635</v>
      </c>
      <c r="Z5">
        <v>27135</v>
      </c>
      <c r="AA5">
        <v>27720</v>
      </c>
      <c r="AB5">
        <v>28320</v>
      </c>
      <c r="AC5">
        <v>28970</v>
      </c>
      <c r="AD5">
        <v>29560</v>
      </c>
      <c r="AE5">
        <v>30125</v>
      </c>
      <c r="AF5">
        <v>30770</v>
      </c>
    </row>
    <row r="6" spans="1:32" x14ac:dyDescent="0.2">
      <c r="A6" s="1" t="s">
        <v>16</v>
      </c>
      <c r="B6" s="1">
        <v>12612</v>
      </c>
      <c r="C6" s="1">
        <v>12612</v>
      </c>
      <c r="D6" s="1">
        <v>12612</v>
      </c>
      <c r="E6" s="1">
        <v>12612</v>
      </c>
      <c r="F6" s="1">
        <v>12612</v>
      </c>
      <c r="G6" s="1">
        <v>12612</v>
      </c>
      <c r="H6" s="1">
        <v>12612</v>
      </c>
      <c r="I6">
        <v>12612</v>
      </c>
      <c r="J6">
        <v>12612</v>
      </c>
      <c r="K6">
        <v>12612</v>
      </c>
      <c r="L6">
        <v>12612</v>
      </c>
      <c r="M6">
        <v>12612</v>
      </c>
      <c r="N6">
        <v>12612</v>
      </c>
      <c r="O6">
        <v>12612</v>
      </c>
      <c r="P6">
        <v>12612</v>
      </c>
      <c r="Q6">
        <v>12612</v>
      </c>
      <c r="R6">
        <v>12612</v>
      </c>
      <c r="S6">
        <v>12612</v>
      </c>
      <c r="T6">
        <v>12612</v>
      </c>
      <c r="U6">
        <v>12612</v>
      </c>
      <c r="V6">
        <v>12612</v>
      </c>
      <c r="W6">
        <v>12612</v>
      </c>
      <c r="X6">
        <v>12612</v>
      </c>
      <c r="Y6">
        <v>12612</v>
      </c>
      <c r="Z6">
        <v>12612</v>
      </c>
      <c r="AA6">
        <v>12612</v>
      </c>
      <c r="AB6">
        <v>12612</v>
      </c>
      <c r="AC6">
        <v>12612</v>
      </c>
      <c r="AD6">
        <v>12612</v>
      </c>
      <c r="AE6">
        <v>12612</v>
      </c>
      <c r="AF6">
        <v>12612</v>
      </c>
    </row>
    <row r="7" spans="1:32" x14ac:dyDescent="0.2">
      <c r="A7" s="1" t="s">
        <v>20</v>
      </c>
      <c r="B7" s="1">
        <v>10156</v>
      </c>
      <c r="C7" s="1">
        <v>9836</v>
      </c>
      <c r="D7" s="1">
        <v>8946</v>
      </c>
      <c r="E7" s="1">
        <v>7887</v>
      </c>
      <c r="F7" s="1">
        <v>6899</v>
      </c>
      <c r="G7" s="1">
        <v>6900</v>
      </c>
      <c r="H7" s="1">
        <v>6901</v>
      </c>
      <c r="I7">
        <v>6562</v>
      </c>
      <c r="J7">
        <v>6563</v>
      </c>
      <c r="K7">
        <v>6564</v>
      </c>
      <c r="L7">
        <v>6565</v>
      </c>
      <c r="M7">
        <v>6565</v>
      </c>
      <c r="N7">
        <v>6565</v>
      </c>
      <c r="O7">
        <v>6565</v>
      </c>
      <c r="P7">
        <v>6565</v>
      </c>
      <c r="Q7">
        <v>6565</v>
      </c>
      <c r="R7">
        <v>6566</v>
      </c>
      <c r="S7">
        <v>6612</v>
      </c>
      <c r="T7">
        <v>6669</v>
      </c>
      <c r="U7">
        <v>6736</v>
      </c>
      <c r="V7">
        <v>6799</v>
      </c>
      <c r="W7">
        <v>6853</v>
      </c>
      <c r="X7">
        <v>6910</v>
      </c>
      <c r="Y7">
        <v>6982</v>
      </c>
      <c r="Z7">
        <v>7038</v>
      </c>
      <c r="AA7">
        <v>7095</v>
      </c>
      <c r="AB7">
        <v>7155</v>
      </c>
      <c r="AC7">
        <v>7221</v>
      </c>
      <c r="AD7">
        <v>7282</v>
      </c>
      <c r="AE7">
        <v>7335</v>
      </c>
      <c r="AF7">
        <v>7396</v>
      </c>
    </row>
    <row r="8" spans="1:32" x14ac:dyDescent="0.2">
      <c r="A8" s="1" t="s">
        <v>21</v>
      </c>
      <c r="B8" s="1">
        <v>3401.5</v>
      </c>
      <c r="C8" s="1">
        <v>3439.5</v>
      </c>
      <c r="D8" s="1">
        <v>3449.5</v>
      </c>
      <c r="E8" s="1">
        <v>3571.5</v>
      </c>
      <c r="F8" s="1">
        <v>3687.5</v>
      </c>
      <c r="G8" s="1">
        <v>3743.5</v>
      </c>
      <c r="H8" s="1">
        <v>3799.5</v>
      </c>
      <c r="I8">
        <v>3855.5</v>
      </c>
      <c r="J8">
        <v>3939.5</v>
      </c>
      <c r="K8">
        <v>4009.5</v>
      </c>
      <c r="L8">
        <v>4051.5</v>
      </c>
      <c r="M8">
        <v>4093.5</v>
      </c>
      <c r="N8">
        <v>4135.5</v>
      </c>
      <c r="O8">
        <v>4163.5</v>
      </c>
      <c r="P8">
        <v>4191.5</v>
      </c>
      <c r="Q8">
        <v>4219.5</v>
      </c>
      <c r="R8">
        <v>4261.5</v>
      </c>
      <c r="S8">
        <v>4289.5</v>
      </c>
      <c r="T8">
        <v>4317.5</v>
      </c>
      <c r="U8">
        <v>4345.5</v>
      </c>
      <c r="V8">
        <v>4373.5</v>
      </c>
      <c r="W8">
        <v>4387.5</v>
      </c>
      <c r="X8">
        <v>4415.5</v>
      </c>
      <c r="Y8">
        <v>4443.5</v>
      </c>
      <c r="Z8">
        <v>4457.5</v>
      </c>
      <c r="AA8">
        <v>4485.5</v>
      </c>
      <c r="AB8">
        <v>4513.5</v>
      </c>
      <c r="AC8">
        <v>4541.5</v>
      </c>
      <c r="AD8">
        <v>4555.5</v>
      </c>
      <c r="AE8">
        <v>4569.5</v>
      </c>
      <c r="AF8">
        <v>4583.5</v>
      </c>
    </row>
    <row r="9" spans="1:32" x14ac:dyDescent="0.2">
      <c r="A9" s="1"/>
      <c r="B9" s="1"/>
      <c r="C9" s="1"/>
      <c r="D9" s="1"/>
      <c r="E9" s="1"/>
      <c r="F9" s="1"/>
      <c r="G9" s="1"/>
      <c r="H9" s="1"/>
    </row>
    <row r="10" spans="1:32" x14ac:dyDescent="0.2">
      <c r="A10" s="1"/>
      <c r="B10" s="1"/>
      <c r="C10" s="1"/>
      <c r="D10" s="1"/>
      <c r="E10" s="1"/>
      <c r="F10" s="1"/>
      <c r="G10" s="1"/>
      <c r="H10" s="1"/>
    </row>
    <row r="11" spans="1:32" x14ac:dyDescent="0.2">
      <c r="A11" s="1"/>
      <c r="B11" s="1"/>
      <c r="C11" s="1"/>
      <c r="D11" s="1"/>
      <c r="E11" s="1"/>
      <c r="F11" s="1"/>
      <c r="G11" s="1"/>
      <c r="H11" s="1"/>
    </row>
    <row r="12" spans="1:32" x14ac:dyDescent="0.2">
      <c r="A12" s="1"/>
      <c r="B12" s="1"/>
      <c r="C12" s="1"/>
      <c r="D12" s="1"/>
      <c r="E12" s="1"/>
      <c r="F12" s="1"/>
      <c r="G12" s="1"/>
      <c r="H12" s="1"/>
    </row>
    <row r="13" spans="1:32" x14ac:dyDescent="0.2">
      <c r="A13" s="1"/>
      <c r="B13" s="1"/>
      <c r="C13" s="1"/>
      <c r="D13" s="1"/>
      <c r="E13" s="1"/>
      <c r="F13" s="1"/>
      <c r="G13" s="1"/>
      <c r="H13" s="1"/>
    </row>
    <row r="14" spans="1:32" x14ac:dyDescent="0.2">
      <c r="A14" s="1"/>
      <c r="B14" s="1"/>
      <c r="C14" s="1"/>
      <c r="D14" s="1"/>
      <c r="E14" s="1"/>
      <c r="F14" s="1"/>
      <c r="G14" s="1"/>
      <c r="H14" s="1"/>
    </row>
    <row r="15" spans="1:32" x14ac:dyDescent="0.2">
      <c r="A15" s="1"/>
      <c r="B15" s="1"/>
      <c r="C15" s="1"/>
      <c r="D15" s="1"/>
      <c r="E15" s="1"/>
      <c r="F15" s="1"/>
      <c r="G15" s="1"/>
      <c r="H15" s="1"/>
    </row>
    <row r="16" spans="1:32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AE3E-531C-2A4F-B914-B7F2F903F652}">
  <dimension ref="A1:B8"/>
  <sheetViews>
    <sheetView workbookViewId="0">
      <selection activeCell="B2" sqref="B2:B8"/>
    </sheetView>
  </sheetViews>
  <sheetFormatPr baseColWidth="10" defaultRowHeight="16" x14ac:dyDescent="0.2"/>
  <sheetData>
    <row r="1" spans="1:2" x14ac:dyDescent="0.2">
      <c r="A1" s="12" t="s">
        <v>42</v>
      </c>
      <c r="B1" s="12" t="s">
        <v>43</v>
      </c>
    </row>
    <row r="2" spans="1:2" x14ac:dyDescent="0.2">
      <c r="A2" s="1" t="s">
        <v>15</v>
      </c>
      <c r="B2" s="1">
        <f>'ECG-BAU'!B2</f>
        <v>5463</v>
      </c>
    </row>
    <row r="3" spans="1:2" x14ac:dyDescent="0.2">
      <c r="A3" s="1" t="s">
        <v>17</v>
      </c>
      <c r="B3" s="1">
        <f>'ECG-BAU'!B3</f>
        <v>33653.5</v>
      </c>
    </row>
    <row r="4" spans="1:2" x14ac:dyDescent="0.2">
      <c r="A4" s="1" t="s">
        <v>18</v>
      </c>
      <c r="B4" s="1">
        <f>'ECG-BAU'!B4</f>
        <v>13334</v>
      </c>
    </row>
    <row r="5" spans="1:2" x14ac:dyDescent="0.2">
      <c r="A5" s="1" t="s">
        <v>19</v>
      </c>
      <c r="B5" s="1">
        <f>'ECG-BAU'!B5</f>
        <v>11740</v>
      </c>
    </row>
    <row r="6" spans="1:2" x14ac:dyDescent="0.2">
      <c r="A6" s="1" t="s">
        <v>16</v>
      </c>
      <c r="B6" s="1">
        <f>'ECG-BAU'!B6</f>
        <v>12612</v>
      </c>
    </row>
    <row r="7" spans="1:2" x14ac:dyDescent="0.2">
      <c r="A7" s="1" t="s">
        <v>20</v>
      </c>
      <c r="B7" s="1">
        <f>'ECG-BAU'!B7</f>
        <v>10156</v>
      </c>
    </row>
    <row r="8" spans="1:2" x14ac:dyDescent="0.2">
      <c r="A8" s="1" t="s">
        <v>21</v>
      </c>
      <c r="B8" s="1">
        <f>'ECG-BAU'!B8</f>
        <v>3401.5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4288-5B6B-024F-A32A-47F79FB2282C}">
  <dimension ref="A1:B8"/>
  <sheetViews>
    <sheetView workbookViewId="0">
      <selection activeCell="A2" sqref="A2:A8"/>
    </sheetView>
  </sheetViews>
  <sheetFormatPr baseColWidth="10" defaultRowHeight="16" x14ac:dyDescent="0.2"/>
  <sheetData>
    <row r="1" spans="1:2" x14ac:dyDescent="0.2">
      <c r="A1" s="12" t="s">
        <v>42</v>
      </c>
      <c r="B1" s="12" t="s">
        <v>43</v>
      </c>
    </row>
    <row r="2" spans="1:2" x14ac:dyDescent="0.2">
      <c r="A2" s="1" t="s">
        <v>15</v>
      </c>
      <c r="B2" s="1">
        <f>'ECG-BAU'!L2</f>
        <v>4173</v>
      </c>
    </row>
    <row r="3" spans="1:2" x14ac:dyDescent="0.2">
      <c r="A3" s="1" t="s">
        <v>17</v>
      </c>
      <c r="B3" s="1">
        <f>'ECG-BAU'!L3</f>
        <v>36233.5</v>
      </c>
    </row>
    <row r="4" spans="1:2" x14ac:dyDescent="0.2">
      <c r="A4" s="1" t="s">
        <v>18</v>
      </c>
      <c r="B4" s="1">
        <f>'ECG-BAU'!L4</f>
        <v>33226</v>
      </c>
    </row>
    <row r="5" spans="1:2" x14ac:dyDescent="0.2">
      <c r="A5" s="1" t="s">
        <v>19</v>
      </c>
      <c r="B5" s="1">
        <f>'ECG-BAU'!L5</f>
        <v>19190</v>
      </c>
    </row>
    <row r="6" spans="1:2" x14ac:dyDescent="0.2">
      <c r="A6" s="1" t="s">
        <v>16</v>
      </c>
      <c r="B6" s="1">
        <f>'ECG-BAU'!L6</f>
        <v>12612</v>
      </c>
    </row>
    <row r="7" spans="1:2" x14ac:dyDescent="0.2">
      <c r="A7" s="1" t="s">
        <v>20</v>
      </c>
      <c r="B7" s="1">
        <f>'ECG-BAU'!L7</f>
        <v>6565</v>
      </c>
    </row>
    <row r="8" spans="1:2" x14ac:dyDescent="0.2">
      <c r="A8" s="1" t="s">
        <v>21</v>
      </c>
      <c r="B8" s="1">
        <f>'ECG-BAU'!L8</f>
        <v>4051.5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98A3-1F3A-ED4C-9A2C-2BC9E27D70E2}">
  <dimension ref="A1:B8"/>
  <sheetViews>
    <sheetView workbookViewId="0">
      <selection activeCell="B2" sqref="B2:B8"/>
    </sheetView>
  </sheetViews>
  <sheetFormatPr baseColWidth="10" defaultRowHeight="16" x14ac:dyDescent="0.2"/>
  <sheetData>
    <row r="1" spans="1:2" x14ac:dyDescent="0.2">
      <c r="A1" s="12" t="s">
        <v>42</v>
      </c>
      <c r="B1" s="12" t="s">
        <v>43</v>
      </c>
    </row>
    <row r="2" spans="1:2" x14ac:dyDescent="0.2">
      <c r="A2" s="1" t="s">
        <v>15</v>
      </c>
      <c r="B2" s="1">
        <f>'ECG-BAU'!AF2</f>
        <v>2883</v>
      </c>
    </row>
    <row r="3" spans="1:2" x14ac:dyDescent="0.2">
      <c r="A3" s="1" t="s">
        <v>17</v>
      </c>
      <c r="B3" s="1">
        <f>'ECG-BAU'!AF3</f>
        <v>48073.5</v>
      </c>
    </row>
    <row r="4" spans="1:2" x14ac:dyDescent="0.2">
      <c r="A4" s="1" t="s">
        <v>18</v>
      </c>
      <c r="B4" s="1">
        <f>'ECG-BAU'!AF4</f>
        <v>76142</v>
      </c>
    </row>
    <row r="5" spans="1:2" x14ac:dyDescent="0.2">
      <c r="A5" s="1" t="s">
        <v>19</v>
      </c>
      <c r="B5" s="1">
        <f>'ECG-BAU'!AF5</f>
        <v>30770</v>
      </c>
    </row>
    <row r="6" spans="1:2" x14ac:dyDescent="0.2">
      <c r="A6" s="1" t="s">
        <v>16</v>
      </c>
      <c r="B6" s="1">
        <f>'ECG-BAU'!AF6</f>
        <v>12612</v>
      </c>
    </row>
    <row r="7" spans="1:2" x14ac:dyDescent="0.2">
      <c r="A7" s="1" t="s">
        <v>20</v>
      </c>
      <c r="B7" s="1">
        <f>'ECG-BAU'!AF7</f>
        <v>7396</v>
      </c>
    </row>
    <row r="8" spans="1:2" x14ac:dyDescent="0.2">
      <c r="A8" s="1" t="s">
        <v>21</v>
      </c>
      <c r="B8" s="1">
        <f>'ECG-BAU'!AF8</f>
        <v>4583.5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8AC3-1311-264B-B132-4CB712086F01}">
  <dimension ref="A1:AF32"/>
  <sheetViews>
    <sheetView workbookViewId="0">
      <selection activeCell="B6" sqref="B6"/>
    </sheetView>
  </sheetViews>
  <sheetFormatPr baseColWidth="10" defaultRowHeight="16" x14ac:dyDescent="0.2"/>
  <sheetData>
    <row r="1" spans="1:32" x14ac:dyDescent="0.2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s="1" t="s">
        <v>15</v>
      </c>
      <c r="B2" s="1">
        <v>5463</v>
      </c>
      <c r="C2" s="1">
        <v>5463</v>
      </c>
      <c r="D2" s="1">
        <v>5463</v>
      </c>
      <c r="E2" s="1">
        <v>5463</v>
      </c>
      <c r="F2" s="1">
        <v>5463</v>
      </c>
      <c r="G2" s="1">
        <v>5463</v>
      </c>
      <c r="H2" s="1">
        <v>5463</v>
      </c>
      <c r="I2" s="1">
        <v>5463</v>
      </c>
      <c r="J2" s="1">
        <v>4947</v>
      </c>
      <c r="K2" s="1">
        <v>4173</v>
      </c>
      <c r="L2" s="1">
        <v>4173</v>
      </c>
      <c r="M2" s="1">
        <v>4173</v>
      </c>
      <c r="N2" s="1">
        <v>3915</v>
      </c>
      <c r="O2" s="1">
        <v>3915</v>
      </c>
      <c r="P2" s="1">
        <v>3915</v>
      </c>
      <c r="Q2" s="1">
        <v>3915</v>
      </c>
      <c r="R2" s="1">
        <v>3657</v>
      </c>
      <c r="S2" s="1">
        <v>3657</v>
      </c>
      <c r="T2" s="1">
        <v>3657</v>
      </c>
      <c r="U2" s="1">
        <v>3399</v>
      </c>
      <c r="V2" s="1">
        <v>3399</v>
      </c>
      <c r="W2" s="1">
        <v>3399</v>
      </c>
      <c r="X2" s="1">
        <v>3399</v>
      </c>
      <c r="Y2" s="1">
        <v>3141</v>
      </c>
      <c r="Z2" s="1">
        <v>3141</v>
      </c>
      <c r="AA2" s="1">
        <v>3141</v>
      </c>
      <c r="AB2" s="1">
        <v>3141</v>
      </c>
      <c r="AC2" s="1">
        <v>2883</v>
      </c>
      <c r="AD2" s="1">
        <v>2883</v>
      </c>
      <c r="AE2" s="1">
        <v>2883</v>
      </c>
      <c r="AF2" s="1">
        <v>2883</v>
      </c>
    </row>
    <row r="3" spans="1:32" x14ac:dyDescent="0.2">
      <c r="A3" s="1" t="s">
        <v>17</v>
      </c>
      <c r="B3" s="1">
        <v>33653.5</v>
      </c>
      <c r="C3" s="1">
        <v>32891.5</v>
      </c>
      <c r="D3" s="1">
        <v>32637.5</v>
      </c>
      <c r="E3" s="1">
        <v>33053.5</v>
      </c>
      <c r="F3" s="1">
        <v>33873.5</v>
      </c>
      <c r="G3" s="1">
        <v>34335.5</v>
      </c>
      <c r="H3" s="1">
        <v>34643.5</v>
      </c>
      <c r="I3" s="1">
        <v>35105.5</v>
      </c>
      <c r="J3" s="1">
        <v>35105.5</v>
      </c>
      <c r="K3" s="1">
        <v>35567.5</v>
      </c>
      <c r="L3" s="1">
        <v>35875.5</v>
      </c>
      <c r="M3" s="1">
        <v>36029.5</v>
      </c>
      <c r="N3" s="1">
        <v>36029.5</v>
      </c>
      <c r="O3" s="1">
        <v>36183.5</v>
      </c>
      <c r="P3" s="1">
        <v>36183.5</v>
      </c>
      <c r="Q3" s="1">
        <v>36183.5</v>
      </c>
      <c r="R3" s="1">
        <v>36337.5</v>
      </c>
      <c r="S3" s="1">
        <v>36537.5</v>
      </c>
      <c r="T3" s="1">
        <v>36987.5</v>
      </c>
      <c r="U3" s="1">
        <v>37741.5</v>
      </c>
      <c r="V3" s="1">
        <v>38241.5</v>
      </c>
      <c r="W3" s="1">
        <v>38745.5</v>
      </c>
      <c r="X3" s="1">
        <v>39245.5</v>
      </c>
      <c r="Y3" s="1">
        <v>40095.5</v>
      </c>
      <c r="Z3" s="1">
        <v>40691.5</v>
      </c>
      <c r="AA3" s="1">
        <v>41137.5</v>
      </c>
      <c r="AB3" s="1">
        <v>41483.5</v>
      </c>
      <c r="AC3" s="1">
        <v>42033.5</v>
      </c>
      <c r="AD3" s="1">
        <v>42379.5</v>
      </c>
      <c r="AE3" s="1">
        <v>42779.5</v>
      </c>
      <c r="AF3" s="1">
        <v>43075.5</v>
      </c>
    </row>
    <row r="4" spans="1:32" x14ac:dyDescent="0.2">
      <c r="A4" s="1" t="s">
        <v>18</v>
      </c>
      <c r="B4" s="1">
        <v>13334</v>
      </c>
      <c r="C4" s="1">
        <v>14784</v>
      </c>
      <c r="D4" s="1">
        <v>15630</v>
      </c>
      <c r="E4" s="1">
        <v>17770</v>
      </c>
      <c r="F4" s="1">
        <v>19846</v>
      </c>
      <c r="G4" s="1">
        <v>21190</v>
      </c>
      <c r="H4" s="1">
        <v>22856</v>
      </c>
      <c r="I4" s="1">
        <v>24910</v>
      </c>
      <c r="J4" s="1">
        <v>28042</v>
      </c>
      <c r="K4" s="1">
        <v>31120</v>
      </c>
      <c r="L4" s="1">
        <v>33656</v>
      </c>
      <c r="M4" s="1">
        <v>35786</v>
      </c>
      <c r="N4" s="1">
        <v>37846</v>
      </c>
      <c r="O4" s="1">
        <v>39660</v>
      </c>
      <c r="P4" s="1">
        <v>41792</v>
      </c>
      <c r="Q4" s="1">
        <v>43890</v>
      </c>
      <c r="R4" s="1">
        <v>46242</v>
      </c>
      <c r="S4" s="1">
        <v>48564</v>
      </c>
      <c r="T4" s="1">
        <v>50792</v>
      </c>
      <c r="U4" s="1">
        <v>53046</v>
      </c>
      <c r="V4" s="1">
        <v>55064</v>
      </c>
      <c r="W4" s="1">
        <v>56980</v>
      </c>
      <c r="X4" s="1">
        <v>59504</v>
      </c>
      <c r="Y4" s="1">
        <v>63024</v>
      </c>
      <c r="Z4" s="1">
        <v>66036</v>
      </c>
      <c r="AA4" s="1">
        <v>68508</v>
      </c>
      <c r="AB4" s="1">
        <v>70998</v>
      </c>
      <c r="AC4" s="1">
        <v>73726</v>
      </c>
      <c r="AD4" s="1">
        <v>76326</v>
      </c>
      <c r="AE4" s="1">
        <v>78806</v>
      </c>
      <c r="AF4" s="1">
        <v>81540</v>
      </c>
    </row>
    <row r="5" spans="1:32" x14ac:dyDescent="0.2">
      <c r="A5" s="1" t="s">
        <v>19</v>
      </c>
      <c r="B5" s="1">
        <v>11740</v>
      </c>
      <c r="C5" s="1">
        <v>12520</v>
      </c>
      <c r="D5" s="1">
        <v>12940</v>
      </c>
      <c r="E5" s="1">
        <v>13935</v>
      </c>
      <c r="F5" s="1">
        <v>14820</v>
      </c>
      <c r="G5" s="1">
        <v>15365</v>
      </c>
      <c r="H5" s="1">
        <v>15990</v>
      </c>
      <c r="I5" s="1">
        <v>16705</v>
      </c>
      <c r="J5" s="1">
        <v>17715</v>
      </c>
      <c r="K5" s="1">
        <v>18630</v>
      </c>
      <c r="L5" s="1">
        <v>19325</v>
      </c>
      <c r="M5" s="1">
        <v>19905</v>
      </c>
      <c r="N5" s="1">
        <v>20465</v>
      </c>
      <c r="O5" s="1">
        <v>20950</v>
      </c>
      <c r="P5" s="1">
        <v>21525</v>
      </c>
      <c r="Q5" s="1">
        <v>22090</v>
      </c>
      <c r="R5" s="1">
        <v>22720</v>
      </c>
      <c r="S5" s="1">
        <v>23340</v>
      </c>
      <c r="T5" s="1">
        <v>23930</v>
      </c>
      <c r="U5" s="1">
        <v>24525</v>
      </c>
      <c r="V5" s="1">
        <v>25060</v>
      </c>
      <c r="W5" s="1">
        <v>25565</v>
      </c>
      <c r="X5" s="1">
        <v>26235</v>
      </c>
      <c r="Y5" s="1">
        <v>27170</v>
      </c>
      <c r="Z5" s="1">
        <v>27975</v>
      </c>
      <c r="AA5" s="1">
        <v>28640</v>
      </c>
      <c r="AB5" s="1">
        <v>29310</v>
      </c>
      <c r="AC5" s="1">
        <v>30050</v>
      </c>
      <c r="AD5" s="1">
        <v>30760</v>
      </c>
      <c r="AE5" s="1">
        <v>31440</v>
      </c>
      <c r="AF5" s="1">
        <v>32195</v>
      </c>
    </row>
    <row r="6" spans="1:32" x14ac:dyDescent="0.2">
      <c r="A6" s="1" t="s">
        <v>16</v>
      </c>
      <c r="B6" s="1">
        <v>12612</v>
      </c>
      <c r="C6" s="1">
        <v>12612</v>
      </c>
      <c r="D6" s="1">
        <v>12612</v>
      </c>
      <c r="E6" s="1">
        <v>12612</v>
      </c>
      <c r="F6" s="1">
        <v>12612</v>
      </c>
      <c r="G6" s="1">
        <v>12612</v>
      </c>
      <c r="H6" s="1">
        <v>12612</v>
      </c>
      <c r="I6" s="1">
        <v>12612</v>
      </c>
      <c r="J6" s="1">
        <v>12612</v>
      </c>
      <c r="K6" s="1">
        <v>12612</v>
      </c>
      <c r="L6" s="1">
        <v>12612</v>
      </c>
      <c r="M6" s="1">
        <v>12612</v>
      </c>
      <c r="N6" s="1">
        <v>12612</v>
      </c>
      <c r="O6" s="1">
        <v>12612</v>
      </c>
      <c r="P6" s="1">
        <v>12612</v>
      </c>
      <c r="Q6" s="1">
        <v>12612</v>
      </c>
      <c r="R6" s="1">
        <v>12612</v>
      </c>
      <c r="S6" s="1">
        <v>12612</v>
      </c>
      <c r="T6" s="1">
        <v>12612</v>
      </c>
      <c r="U6" s="1">
        <v>12612</v>
      </c>
      <c r="V6" s="1">
        <v>12612</v>
      </c>
      <c r="W6" s="1">
        <v>12612</v>
      </c>
      <c r="X6" s="1">
        <v>12612</v>
      </c>
      <c r="Y6" s="1">
        <v>12612</v>
      </c>
      <c r="Z6" s="1">
        <v>12612</v>
      </c>
      <c r="AA6" s="1">
        <v>12612</v>
      </c>
      <c r="AB6" s="1">
        <v>12612</v>
      </c>
      <c r="AC6" s="1">
        <v>12612</v>
      </c>
      <c r="AD6" s="1">
        <v>12612</v>
      </c>
      <c r="AE6" s="1">
        <v>12612</v>
      </c>
      <c r="AF6" s="1">
        <v>12612</v>
      </c>
    </row>
    <row r="7" spans="1:32" x14ac:dyDescent="0.2">
      <c r="A7" s="1" t="s">
        <v>20</v>
      </c>
      <c r="B7" s="1">
        <v>10156</v>
      </c>
      <c r="C7" s="1">
        <v>9836</v>
      </c>
      <c r="D7" s="1">
        <v>8946</v>
      </c>
      <c r="E7" s="1">
        <v>7887</v>
      </c>
      <c r="F7" s="1">
        <v>6899</v>
      </c>
      <c r="G7" s="1">
        <v>6900</v>
      </c>
      <c r="H7" s="1">
        <v>6881</v>
      </c>
      <c r="I7" s="1">
        <v>6512</v>
      </c>
      <c r="J7" s="1">
        <v>6453</v>
      </c>
      <c r="K7" s="1">
        <v>6434</v>
      </c>
      <c r="L7" s="1">
        <v>6374</v>
      </c>
      <c r="M7" s="1">
        <v>6344</v>
      </c>
      <c r="N7" s="1">
        <v>6324</v>
      </c>
      <c r="O7" s="1">
        <v>6314</v>
      </c>
      <c r="P7" s="1">
        <v>6254</v>
      </c>
      <c r="Q7" s="1">
        <v>6214</v>
      </c>
      <c r="R7" s="1">
        <v>6174</v>
      </c>
      <c r="S7" s="1">
        <v>6173</v>
      </c>
      <c r="T7" s="1">
        <v>6144</v>
      </c>
      <c r="U7" s="1">
        <v>6124</v>
      </c>
      <c r="V7" s="1">
        <v>6087</v>
      </c>
      <c r="W7" s="1">
        <v>6019</v>
      </c>
      <c r="X7" s="1">
        <v>5960</v>
      </c>
      <c r="Y7" s="1">
        <v>5898</v>
      </c>
      <c r="Z7" s="1">
        <v>5770</v>
      </c>
      <c r="AA7" s="1">
        <v>5639</v>
      </c>
      <c r="AB7" s="1">
        <v>5519</v>
      </c>
      <c r="AC7" s="1">
        <v>5403</v>
      </c>
      <c r="AD7" s="1">
        <v>5272</v>
      </c>
      <c r="AE7" s="1">
        <v>5122</v>
      </c>
      <c r="AF7" s="1">
        <v>4977</v>
      </c>
    </row>
    <row r="8" spans="1:32" x14ac:dyDescent="0.2">
      <c r="A8" s="1" t="s">
        <v>21</v>
      </c>
      <c r="B8" s="1">
        <v>3401.5</v>
      </c>
      <c r="C8" s="1">
        <v>3439.5</v>
      </c>
      <c r="D8" s="1">
        <v>3449.5</v>
      </c>
      <c r="E8" s="1">
        <v>3571.5</v>
      </c>
      <c r="F8" s="1">
        <v>3687.5</v>
      </c>
      <c r="G8" s="1">
        <v>3743.5</v>
      </c>
      <c r="H8" s="1">
        <v>3795.5</v>
      </c>
      <c r="I8" s="1">
        <v>3851.5</v>
      </c>
      <c r="J8" s="1">
        <v>3921.5</v>
      </c>
      <c r="K8" s="1">
        <v>3991.5</v>
      </c>
      <c r="L8" s="1">
        <v>4033.5</v>
      </c>
      <c r="M8" s="1">
        <v>4061.5</v>
      </c>
      <c r="N8" s="1">
        <v>4089.5</v>
      </c>
      <c r="O8" s="1">
        <v>4117.5</v>
      </c>
      <c r="P8" s="1">
        <v>4145.5</v>
      </c>
      <c r="Q8" s="1">
        <v>4173.5</v>
      </c>
      <c r="R8" s="1">
        <v>4201.5</v>
      </c>
      <c r="S8" s="1">
        <v>4229.5</v>
      </c>
      <c r="T8" s="1">
        <v>4257.5</v>
      </c>
      <c r="U8" s="1">
        <v>4285.5</v>
      </c>
      <c r="V8" s="1">
        <v>4299.5</v>
      </c>
      <c r="W8" s="1">
        <v>4313.5</v>
      </c>
      <c r="X8" s="1">
        <v>4161.5</v>
      </c>
      <c r="Y8" s="1">
        <v>3865.5</v>
      </c>
      <c r="Z8" s="1">
        <v>3479.5</v>
      </c>
      <c r="AA8" s="1">
        <v>3493.5</v>
      </c>
      <c r="AB8" s="1">
        <v>3507.5</v>
      </c>
      <c r="AC8" s="1">
        <v>3521.5</v>
      </c>
      <c r="AD8" s="1">
        <v>3535.5</v>
      </c>
      <c r="AE8" s="1">
        <v>3549.5</v>
      </c>
      <c r="AF8" s="1">
        <v>3563.5</v>
      </c>
    </row>
    <row r="9" spans="1:32" x14ac:dyDescent="0.2">
      <c r="A9" s="1"/>
      <c r="B9" s="1"/>
      <c r="C9" s="1"/>
      <c r="D9" s="1"/>
      <c r="E9" s="1"/>
      <c r="F9" s="1"/>
      <c r="G9" s="1"/>
      <c r="H9" s="1"/>
    </row>
    <row r="10" spans="1:32" x14ac:dyDescent="0.2">
      <c r="A10" s="1"/>
      <c r="B10" s="1"/>
      <c r="C10" s="1"/>
      <c r="D10" s="1"/>
      <c r="E10" s="1"/>
      <c r="F10" s="1"/>
      <c r="G10" s="1"/>
      <c r="H10" s="1"/>
    </row>
    <row r="11" spans="1:32" x14ac:dyDescent="0.2">
      <c r="A11" s="1"/>
      <c r="B11" s="1"/>
      <c r="C11" s="1"/>
      <c r="D11" s="1"/>
      <c r="E11" s="1"/>
      <c r="F11" s="1"/>
      <c r="G11" s="1"/>
      <c r="H11" s="1"/>
    </row>
    <row r="12" spans="1:32" x14ac:dyDescent="0.2">
      <c r="A12" s="1"/>
      <c r="B12" s="1"/>
      <c r="C12" s="1"/>
      <c r="D12" s="1"/>
      <c r="E12" s="1"/>
      <c r="F12" s="1"/>
      <c r="G12" s="1"/>
      <c r="H12" s="1"/>
    </row>
    <row r="13" spans="1:32" x14ac:dyDescent="0.2">
      <c r="A13" s="1"/>
      <c r="B13" s="1"/>
      <c r="C13" s="1"/>
      <c r="D13" s="1"/>
      <c r="E13" s="1"/>
      <c r="F13" s="1"/>
      <c r="G13" s="1"/>
      <c r="H13" s="1"/>
    </row>
    <row r="14" spans="1:32" x14ac:dyDescent="0.2">
      <c r="A14" s="1"/>
      <c r="B14" s="1"/>
      <c r="C14" s="1"/>
      <c r="D14" s="1"/>
      <c r="E14" s="1"/>
      <c r="F14" s="1"/>
      <c r="G14" s="1"/>
      <c r="H14" s="1"/>
    </row>
    <row r="15" spans="1:32" x14ac:dyDescent="0.2">
      <c r="A15" s="1"/>
      <c r="B15" s="1"/>
      <c r="C15" s="1"/>
      <c r="D15" s="1"/>
      <c r="E15" s="1"/>
      <c r="F15" s="1"/>
      <c r="G15" s="1"/>
      <c r="H15" s="1"/>
    </row>
    <row r="16" spans="1:32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B5F-8CB4-9046-803A-7F462DB0EA4E}">
  <dimension ref="A1:B8"/>
  <sheetViews>
    <sheetView workbookViewId="0">
      <selection activeCell="B2" sqref="B2:B8"/>
    </sheetView>
  </sheetViews>
  <sheetFormatPr baseColWidth="10" defaultRowHeight="16" x14ac:dyDescent="0.2"/>
  <sheetData>
    <row r="1" spans="1:2" x14ac:dyDescent="0.2">
      <c r="A1" s="13" t="s">
        <v>42</v>
      </c>
      <c r="B1" s="13" t="s">
        <v>43</v>
      </c>
    </row>
    <row r="2" spans="1:2" x14ac:dyDescent="0.2">
      <c r="A2" s="1" t="s">
        <v>15</v>
      </c>
      <c r="B2" s="1">
        <f>'EGC-Expert'!L2</f>
        <v>4173</v>
      </c>
    </row>
    <row r="3" spans="1:2" x14ac:dyDescent="0.2">
      <c r="A3" s="1" t="s">
        <v>17</v>
      </c>
      <c r="B3" s="1">
        <f>'EGC-Expert'!L3</f>
        <v>35875.5</v>
      </c>
    </row>
    <row r="4" spans="1:2" x14ac:dyDescent="0.2">
      <c r="A4" s="1" t="s">
        <v>18</v>
      </c>
      <c r="B4" s="1">
        <f>'EGC-Expert'!L4</f>
        <v>33656</v>
      </c>
    </row>
    <row r="5" spans="1:2" x14ac:dyDescent="0.2">
      <c r="A5" s="1" t="s">
        <v>19</v>
      </c>
      <c r="B5" s="1">
        <f>'EGC-Expert'!L5</f>
        <v>19325</v>
      </c>
    </row>
    <row r="6" spans="1:2" x14ac:dyDescent="0.2">
      <c r="A6" s="1" t="s">
        <v>16</v>
      </c>
      <c r="B6" s="1">
        <f>'EGC-Expert'!L6</f>
        <v>12612</v>
      </c>
    </row>
    <row r="7" spans="1:2" x14ac:dyDescent="0.2">
      <c r="A7" s="1" t="s">
        <v>20</v>
      </c>
      <c r="B7" s="1">
        <f>'EGC-Expert'!L7</f>
        <v>6374</v>
      </c>
    </row>
    <row r="8" spans="1:2" x14ac:dyDescent="0.2">
      <c r="A8" s="1" t="s">
        <v>21</v>
      </c>
      <c r="B8" s="1">
        <f>'EGC-Expert'!L8</f>
        <v>4033.5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64A2-081E-0B4E-845A-3F20199C58F8}">
  <dimension ref="A1:B8"/>
  <sheetViews>
    <sheetView workbookViewId="0">
      <selection activeCell="J17" sqref="J17"/>
    </sheetView>
  </sheetViews>
  <sheetFormatPr baseColWidth="10" defaultRowHeight="16" x14ac:dyDescent="0.2"/>
  <sheetData>
    <row r="1" spans="1:2" x14ac:dyDescent="0.2">
      <c r="A1" s="13" t="s">
        <v>42</v>
      </c>
      <c r="B1" s="13" t="s">
        <v>43</v>
      </c>
    </row>
    <row r="2" spans="1:2" x14ac:dyDescent="0.2">
      <c r="A2" s="1" t="s">
        <v>15</v>
      </c>
      <c r="B2" s="1">
        <f>'EGC-Expert'!AF2</f>
        <v>2883</v>
      </c>
    </row>
    <row r="3" spans="1:2" x14ac:dyDescent="0.2">
      <c r="A3" s="1" t="s">
        <v>17</v>
      </c>
      <c r="B3" s="1">
        <f>'EGC-Expert'!AF3</f>
        <v>43075.5</v>
      </c>
    </row>
    <row r="4" spans="1:2" x14ac:dyDescent="0.2">
      <c r="A4" s="1" t="s">
        <v>18</v>
      </c>
      <c r="B4" s="1">
        <f>'EGC-Expert'!AF4</f>
        <v>81540</v>
      </c>
    </row>
    <row r="5" spans="1:2" x14ac:dyDescent="0.2">
      <c r="A5" s="1" t="s">
        <v>19</v>
      </c>
      <c r="B5" s="1">
        <f>'EGC-Expert'!AF5</f>
        <v>32195</v>
      </c>
    </row>
    <row r="6" spans="1:2" x14ac:dyDescent="0.2">
      <c r="A6" s="1" t="s">
        <v>16</v>
      </c>
      <c r="B6" s="1">
        <f>'EGC-Expert'!AF6</f>
        <v>12612</v>
      </c>
    </row>
    <row r="7" spans="1:2" x14ac:dyDescent="0.2">
      <c r="A7" s="1" t="s">
        <v>20</v>
      </c>
      <c r="B7" s="1">
        <f>'EGC-Expert'!AF7</f>
        <v>4977</v>
      </c>
    </row>
    <row r="8" spans="1:2" x14ac:dyDescent="0.2">
      <c r="A8" s="1" t="s">
        <v>21</v>
      </c>
      <c r="B8" s="1">
        <f>'EGC-Expert'!AF8</f>
        <v>3563.5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0AC8-E58D-3A4A-BC48-1833C2FF8B29}">
  <dimension ref="A1:AF42"/>
  <sheetViews>
    <sheetView workbookViewId="0">
      <selection activeCell="B11" sqref="B11"/>
    </sheetView>
  </sheetViews>
  <sheetFormatPr baseColWidth="10" defaultRowHeight="16" x14ac:dyDescent="0.2"/>
  <sheetData>
    <row r="1" spans="1:32" x14ac:dyDescent="0.2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s="1" t="s">
        <v>15</v>
      </c>
      <c r="B2" s="1">
        <v>5463</v>
      </c>
      <c r="C2" s="1">
        <v>5463</v>
      </c>
      <c r="D2" s="1">
        <v>5463</v>
      </c>
      <c r="E2" s="1">
        <v>5463</v>
      </c>
      <c r="F2" s="1">
        <v>5463</v>
      </c>
      <c r="G2" s="1">
        <v>5463</v>
      </c>
      <c r="H2" s="1">
        <v>4947</v>
      </c>
      <c r="I2">
        <v>4173</v>
      </c>
      <c r="J2">
        <v>2367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s="1" t="s">
        <v>17</v>
      </c>
      <c r="B3" s="1">
        <v>33653.5</v>
      </c>
      <c r="C3" s="1">
        <v>32891.5</v>
      </c>
      <c r="D3" s="1">
        <v>32637.5</v>
      </c>
      <c r="E3" s="1">
        <v>33053.5</v>
      </c>
      <c r="F3" s="1">
        <v>33873.5</v>
      </c>
      <c r="G3" s="1">
        <v>34335.5</v>
      </c>
      <c r="H3" s="1">
        <v>34643.5</v>
      </c>
      <c r="I3">
        <v>34847.5</v>
      </c>
      <c r="J3">
        <v>34435.5</v>
      </c>
      <c r="K3">
        <v>37381.5</v>
      </c>
      <c r="L3">
        <v>38513.5</v>
      </c>
      <c r="M3">
        <v>38607.5</v>
      </c>
      <c r="N3">
        <v>38587.5</v>
      </c>
      <c r="O3">
        <v>38587.5</v>
      </c>
      <c r="P3">
        <v>38433.5</v>
      </c>
      <c r="Q3">
        <v>38279.5</v>
      </c>
      <c r="R3">
        <v>37971.5</v>
      </c>
      <c r="S3">
        <v>37355.5</v>
      </c>
      <c r="T3">
        <v>36431.5</v>
      </c>
      <c r="U3">
        <v>35507.5</v>
      </c>
      <c r="V3">
        <v>34275.5</v>
      </c>
      <c r="W3">
        <v>32581.5</v>
      </c>
      <c r="X3">
        <v>30425.5</v>
      </c>
      <c r="Y3">
        <v>28115.5</v>
      </c>
      <c r="Z3">
        <v>25805.5</v>
      </c>
      <c r="AA3">
        <v>23341.5</v>
      </c>
      <c r="AB3">
        <v>20261.5</v>
      </c>
      <c r="AC3">
        <v>18105.5</v>
      </c>
      <c r="AD3">
        <v>16719.5</v>
      </c>
      <c r="AE3">
        <v>15641.5</v>
      </c>
      <c r="AF3">
        <v>14409.5</v>
      </c>
    </row>
    <row r="4" spans="1:32" x14ac:dyDescent="0.2">
      <c r="A4" s="1" t="s">
        <v>18</v>
      </c>
      <c r="B4" s="1">
        <v>13334</v>
      </c>
      <c r="C4" s="1">
        <v>14784</v>
      </c>
      <c r="D4" s="1">
        <v>15630</v>
      </c>
      <c r="E4" s="1">
        <v>17770</v>
      </c>
      <c r="F4" s="1">
        <v>19846</v>
      </c>
      <c r="G4" s="1">
        <v>21190</v>
      </c>
      <c r="H4" s="1">
        <v>23804</v>
      </c>
      <c r="I4">
        <v>27652</v>
      </c>
      <c r="J4">
        <v>34666</v>
      </c>
      <c r="K4">
        <v>46462</v>
      </c>
      <c r="L4">
        <v>53692</v>
      </c>
      <c r="M4">
        <v>55932</v>
      </c>
      <c r="N4">
        <v>56648</v>
      </c>
      <c r="O4">
        <v>57614</v>
      </c>
      <c r="P4">
        <v>59506</v>
      </c>
      <c r="Q4">
        <v>61598</v>
      </c>
      <c r="R4">
        <v>64272</v>
      </c>
      <c r="S4">
        <v>67998</v>
      </c>
      <c r="T4">
        <v>72158</v>
      </c>
      <c r="U4">
        <v>76466</v>
      </c>
      <c r="V4">
        <v>81422</v>
      </c>
      <c r="W4">
        <v>87300</v>
      </c>
      <c r="X4">
        <v>94018</v>
      </c>
      <c r="Y4">
        <v>101260</v>
      </c>
      <c r="Z4">
        <v>108384</v>
      </c>
      <c r="AA4">
        <v>115992</v>
      </c>
      <c r="AB4">
        <v>124570</v>
      </c>
      <c r="AC4">
        <v>132030</v>
      </c>
      <c r="AD4">
        <v>138464</v>
      </c>
      <c r="AE4">
        <v>145534</v>
      </c>
      <c r="AF4">
        <v>151984</v>
      </c>
    </row>
    <row r="5" spans="1:32" x14ac:dyDescent="0.2">
      <c r="A5" s="1" t="s">
        <v>19</v>
      </c>
      <c r="B5" s="1">
        <v>11740</v>
      </c>
      <c r="C5" s="1">
        <v>12520</v>
      </c>
      <c r="D5" s="1">
        <v>12940</v>
      </c>
      <c r="E5" s="1">
        <v>13935</v>
      </c>
      <c r="F5" s="1">
        <v>14820</v>
      </c>
      <c r="G5" s="1">
        <v>15365</v>
      </c>
      <c r="H5" s="1">
        <v>16350</v>
      </c>
      <c r="I5">
        <v>17695</v>
      </c>
      <c r="J5">
        <v>19980</v>
      </c>
      <c r="K5">
        <v>23595</v>
      </c>
      <c r="L5">
        <v>25655</v>
      </c>
      <c r="M5">
        <v>26265</v>
      </c>
      <c r="N5">
        <v>26455</v>
      </c>
      <c r="O5">
        <v>26710</v>
      </c>
      <c r="P5">
        <v>27205</v>
      </c>
      <c r="Q5">
        <v>27745</v>
      </c>
      <c r="R5">
        <v>28435</v>
      </c>
      <c r="S5">
        <v>29395</v>
      </c>
      <c r="T5">
        <v>30470</v>
      </c>
      <c r="U5">
        <v>31575</v>
      </c>
      <c r="V5">
        <v>32845</v>
      </c>
      <c r="W5">
        <v>34360</v>
      </c>
      <c r="X5">
        <v>36090</v>
      </c>
      <c r="Y5">
        <v>37960</v>
      </c>
      <c r="Z5">
        <v>39810</v>
      </c>
      <c r="AA5">
        <v>41795</v>
      </c>
      <c r="AB5">
        <v>44045</v>
      </c>
      <c r="AC5">
        <v>46010</v>
      </c>
      <c r="AD5">
        <v>47710</v>
      </c>
      <c r="AE5">
        <v>49595</v>
      </c>
      <c r="AF5">
        <v>51330</v>
      </c>
    </row>
    <row r="6" spans="1:32" x14ac:dyDescent="0.2">
      <c r="A6" s="1" t="s">
        <v>16</v>
      </c>
      <c r="B6" s="1">
        <v>12612</v>
      </c>
      <c r="C6" s="1">
        <v>12612</v>
      </c>
      <c r="D6" s="1">
        <v>12612</v>
      </c>
      <c r="E6" s="1">
        <v>12612</v>
      </c>
      <c r="F6" s="1">
        <v>12612</v>
      </c>
      <c r="G6" s="1">
        <v>12612</v>
      </c>
      <c r="H6" s="1">
        <v>12612</v>
      </c>
      <c r="I6">
        <v>12612</v>
      </c>
      <c r="J6">
        <v>12612</v>
      </c>
      <c r="K6">
        <v>12612</v>
      </c>
      <c r="L6">
        <v>12612</v>
      </c>
      <c r="M6">
        <v>12612</v>
      </c>
      <c r="N6">
        <v>12612</v>
      </c>
      <c r="O6">
        <v>12612</v>
      </c>
      <c r="P6">
        <v>12612</v>
      </c>
      <c r="Q6">
        <v>12612</v>
      </c>
      <c r="R6">
        <v>12612</v>
      </c>
      <c r="S6">
        <v>12612</v>
      </c>
      <c r="T6">
        <v>12612</v>
      </c>
      <c r="U6">
        <v>12612</v>
      </c>
      <c r="V6">
        <v>12612</v>
      </c>
      <c r="W6">
        <v>12612</v>
      </c>
      <c r="X6">
        <v>12612</v>
      </c>
      <c r="Y6">
        <v>12612</v>
      </c>
      <c r="Z6">
        <v>12612</v>
      </c>
      <c r="AA6">
        <v>12612</v>
      </c>
      <c r="AB6">
        <v>12612</v>
      </c>
      <c r="AC6">
        <v>12612</v>
      </c>
      <c r="AD6">
        <v>12612</v>
      </c>
      <c r="AE6">
        <v>12612</v>
      </c>
      <c r="AF6">
        <v>12612</v>
      </c>
    </row>
    <row r="7" spans="1:32" x14ac:dyDescent="0.2">
      <c r="A7" s="1" t="s">
        <v>20</v>
      </c>
      <c r="B7" s="1">
        <v>10156</v>
      </c>
      <c r="C7" s="1">
        <v>9836</v>
      </c>
      <c r="D7" s="1">
        <v>8946</v>
      </c>
      <c r="E7" s="1">
        <v>7887</v>
      </c>
      <c r="F7" s="1">
        <v>6899</v>
      </c>
      <c r="G7" s="1">
        <v>6900</v>
      </c>
      <c r="H7" s="1">
        <v>6337</v>
      </c>
      <c r="I7">
        <v>4987</v>
      </c>
      <c r="J7">
        <v>3479</v>
      </c>
      <c r="K7">
        <v>1537</v>
      </c>
      <c r="L7">
        <v>302</v>
      </c>
      <c r="M7">
        <v>188</v>
      </c>
      <c r="N7">
        <v>63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s="1" t="s">
        <v>21</v>
      </c>
      <c r="B8" s="1">
        <v>3401.5</v>
      </c>
      <c r="C8" s="1">
        <v>3439.5</v>
      </c>
      <c r="D8" s="1">
        <v>3449.5</v>
      </c>
      <c r="E8" s="1">
        <v>3571.5</v>
      </c>
      <c r="F8" s="1">
        <v>3687.5</v>
      </c>
      <c r="G8" s="1">
        <v>3743.5</v>
      </c>
      <c r="H8" s="1">
        <v>3813.5</v>
      </c>
      <c r="I8">
        <v>3901.5</v>
      </c>
      <c r="J8">
        <v>4045.5</v>
      </c>
      <c r="K8">
        <v>3435.5</v>
      </c>
      <c r="L8">
        <v>3357.5</v>
      </c>
      <c r="M8">
        <v>3353.5</v>
      </c>
      <c r="N8">
        <v>3353.5</v>
      </c>
      <c r="O8">
        <v>3353.5</v>
      </c>
      <c r="P8">
        <v>3353.5</v>
      </c>
      <c r="Q8">
        <v>3353.5</v>
      </c>
      <c r="R8">
        <v>3367.5</v>
      </c>
      <c r="S8">
        <v>3381.5</v>
      </c>
      <c r="T8">
        <v>3395.5</v>
      </c>
      <c r="U8">
        <v>3409.5</v>
      </c>
      <c r="V8">
        <v>3423.5</v>
      </c>
      <c r="W8">
        <v>3437.5</v>
      </c>
      <c r="X8">
        <v>3451.5</v>
      </c>
      <c r="Y8">
        <v>3465.5</v>
      </c>
      <c r="Z8">
        <v>3479.5</v>
      </c>
      <c r="AA8">
        <v>3479.5</v>
      </c>
      <c r="AB8">
        <v>3479.5</v>
      </c>
      <c r="AC8">
        <v>3479.5</v>
      </c>
      <c r="AD8">
        <v>3479.5</v>
      </c>
      <c r="AE8">
        <v>2749.5</v>
      </c>
      <c r="AF8">
        <v>2589.5</v>
      </c>
    </row>
    <row r="9" spans="1:32" x14ac:dyDescent="0.2">
      <c r="A9" s="1"/>
      <c r="B9" s="1"/>
      <c r="C9" s="1"/>
      <c r="D9" s="1"/>
      <c r="E9" s="1"/>
      <c r="F9" s="1"/>
      <c r="G9" s="1"/>
      <c r="H9" s="1"/>
    </row>
    <row r="10" spans="1:32" x14ac:dyDescent="0.2">
      <c r="A10" s="1"/>
      <c r="B10" s="1"/>
      <c r="C10" s="1"/>
      <c r="D10" s="1"/>
      <c r="E10" s="1"/>
      <c r="F10" s="1"/>
      <c r="G10" s="1"/>
      <c r="H10" s="1"/>
    </row>
    <row r="11" spans="1:32" x14ac:dyDescent="0.2">
      <c r="A11" s="1" t="s">
        <v>0</v>
      </c>
      <c r="B11" t="s">
        <v>44</v>
      </c>
      <c r="C11" s="1" t="s">
        <v>17</v>
      </c>
      <c r="D11" s="1"/>
      <c r="E11" s="1"/>
      <c r="F11" s="1"/>
      <c r="G11" s="1"/>
      <c r="H11" s="1"/>
    </row>
    <row r="12" spans="1:32" x14ac:dyDescent="0.2">
      <c r="A12" s="1">
        <v>2020</v>
      </c>
      <c r="B12">
        <v>33653.5</v>
      </c>
      <c r="C12" s="1">
        <v>33653.5</v>
      </c>
      <c r="D12" s="14"/>
      <c r="E12" s="1"/>
      <c r="F12" s="1"/>
      <c r="G12" s="1"/>
      <c r="H12" s="1"/>
    </row>
    <row r="13" spans="1:32" x14ac:dyDescent="0.2">
      <c r="A13" s="1">
        <v>2021</v>
      </c>
      <c r="B13">
        <v>32891.5</v>
      </c>
      <c r="C13" s="1">
        <v>32891.5</v>
      </c>
      <c r="D13" s="14"/>
      <c r="E13" s="1"/>
      <c r="F13" s="1"/>
      <c r="G13" s="1"/>
      <c r="H13" s="1"/>
    </row>
    <row r="14" spans="1:32" x14ac:dyDescent="0.2">
      <c r="A14" s="1">
        <v>2022</v>
      </c>
      <c r="B14">
        <v>32637.5</v>
      </c>
      <c r="C14" s="1">
        <v>32637.5</v>
      </c>
      <c r="D14" s="14"/>
      <c r="E14" s="1"/>
      <c r="F14" s="1"/>
      <c r="G14" s="1"/>
      <c r="H14" s="1"/>
    </row>
    <row r="15" spans="1:32" x14ac:dyDescent="0.2">
      <c r="A15" s="1">
        <v>2023</v>
      </c>
      <c r="B15">
        <v>33053.5</v>
      </c>
      <c r="C15" s="1">
        <v>33053.5</v>
      </c>
      <c r="D15" s="14"/>
      <c r="E15" s="1"/>
      <c r="F15" s="1"/>
      <c r="G15" s="1"/>
      <c r="H15" s="1"/>
    </row>
    <row r="16" spans="1:32" x14ac:dyDescent="0.2">
      <c r="A16" s="1">
        <v>2024</v>
      </c>
      <c r="B16">
        <v>33873.5</v>
      </c>
      <c r="C16" s="1">
        <v>33873.5</v>
      </c>
      <c r="D16" s="14"/>
      <c r="E16" s="1"/>
      <c r="F16" s="1"/>
      <c r="G16" s="1"/>
      <c r="H16" s="1"/>
    </row>
    <row r="17" spans="1:8" x14ac:dyDescent="0.2">
      <c r="A17" s="1">
        <v>2025</v>
      </c>
      <c r="B17">
        <v>34335.5</v>
      </c>
      <c r="C17" s="1">
        <v>34335.5</v>
      </c>
      <c r="D17" s="14"/>
      <c r="E17" s="1"/>
      <c r="F17" s="1"/>
      <c r="G17" s="1"/>
      <c r="H17" s="1"/>
    </row>
    <row r="18" spans="1:8" x14ac:dyDescent="0.2">
      <c r="A18" s="1">
        <v>2026</v>
      </c>
      <c r="B18">
        <v>34797.5</v>
      </c>
      <c r="C18" s="1">
        <v>34643.5</v>
      </c>
      <c r="D18" s="14"/>
      <c r="E18" s="1"/>
      <c r="F18" s="1"/>
      <c r="G18" s="1"/>
      <c r="H18" s="1"/>
    </row>
    <row r="19" spans="1:8" x14ac:dyDescent="0.2">
      <c r="A19" s="1">
        <v>2027</v>
      </c>
      <c r="B19">
        <v>35259.5</v>
      </c>
      <c r="C19" s="1">
        <v>34847.5</v>
      </c>
      <c r="D19" s="14"/>
      <c r="E19" s="1"/>
      <c r="F19" s="1"/>
      <c r="G19" s="1"/>
      <c r="H19" s="1"/>
    </row>
    <row r="20" spans="1:8" x14ac:dyDescent="0.2">
      <c r="A20" s="1">
        <v>2028</v>
      </c>
      <c r="B20">
        <v>35463.5</v>
      </c>
      <c r="C20" s="1">
        <v>34435.5</v>
      </c>
      <c r="D20" s="14"/>
      <c r="E20" s="1"/>
      <c r="F20" s="1"/>
      <c r="G20" s="1"/>
      <c r="H20" s="1"/>
    </row>
    <row r="21" spans="1:8" x14ac:dyDescent="0.2">
      <c r="A21" s="1">
        <v>2029</v>
      </c>
      <c r="B21">
        <v>35925.5</v>
      </c>
      <c r="C21" s="1">
        <v>37381.5</v>
      </c>
      <c r="D21" s="14"/>
      <c r="E21" s="1"/>
      <c r="F21" s="1"/>
      <c r="G21" s="1"/>
      <c r="H21" s="1"/>
    </row>
    <row r="22" spans="1:8" x14ac:dyDescent="0.2">
      <c r="A22" s="1">
        <v>2030</v>
      </c>
      <c r="B22">
        <v>36233.5</v>
      </c>
      <c r="C22" s="1">
        <v>38513.5</v>
      </c>
      <c r="D22" s="14"/>
      <c r="E22" s="1"/>
      <c r="F22" s="1"/>
      <c r="G22" s="1"/>
      <c r="H22" s="1"/>
    </row>
    <row r="23" spans="1:8" x14ac:dyDescent="0.2">
      <c r="A23" s="1">
        <v>2031</v>
      </c>
      <c r="B23">
        <v>36387.5</v>
      </c>
      <c r="C23" s="1">
        <v>38607.5</v>
      </c>
      <c r="D23" s="14"/>
      <c r="E23" s="1"/>
      <c r="F23" s="1"/>
      <c r="G23" s="1"/>
      <c r="H23" s="1"/>
    </row>
    <row r="24" spans="1:8" x14ac:dyDescent="0.2">
      <c r="A24" s="1">
        <v>2032</v>
      </c>
      <c r="B24">
        <v>36541.5</v>
      </c>
      <c r="C24" s="1">
        <v>38587.5</v>
      </c>
      <c r="D24" s="14"/>
      <c r="E24" s="1"/>
      <c r="F24" s="1"/>
      <c r="G24" s="1"/>
      <c r="H24" s="1"/>
    </row>
    <row r="25" spans="1:8" x14ac:dyDescent="0.2">
      <c r="A25" s="1">
        <v>2033</v>
      </c>
      <c r="B25">
        <v>36695.5</v>
      </c>
      <c r="C25" s="1">
        <v>38587.5</v>
      </c>
      <c r="D25" s="14"/>
      <c r="E25" s="1"/>
      <c r="F25" s="1"/>
      <c r="G25" s="1"/>
      <c r="H25" s="1"/>
    </row>
    <row r="26" spans="1:8" x14ac:dyDescent="0.2">
      <c r="A26" s="1">
        <v>2034</v>
      </c>
      <c r="B26">
        <v>36695.5</v>
      </c>
      <c r="C26" s="1">
        <v>38433.5</v>
      </c>
      <c r="D26" s="14"/>
      <c r="E26" s="1"/>
      <c r="F26" s="1"/>
      <c r="G26" s="1"/>
      <c r="H26" s="1"/>
    </row>
    <row r="27" spans="1:8" x14ac:dyDescent="0.2">
      <c r="A27" s="1">
        <v>2035</v>
      </c>
      <c r="B27">
        <v>36695.5</v>
      </c>
      <c r="C27" s="1">
        <v>38279.5</v>
      </c>
      <c r="D27" s="14"/>
      <c r="E27" s="1"/>
      <c r="F27" s="1"/>
      <c r="G27" s="1"/>
      <c r="H27" s="1"/>
    </row>
    <row r="28" spans="1:8" x14ac:dyDescent="0.2">
      <c r="A28" s="1">
        <v>2036</v>
      </c>
      <c r="B28">
        <v>37003.5</v>
      </c>
      <c r="C28" s="1">
        <v>37971.5</v>
      </c>
      <c r="D28" s="14"/>
      <c r="E28" s="1"/>
      <c r="F28" s="1"/>
      <c r="G28" s="1"/>
      <c r="H28" s="1"/>
    </row>
    <row r="29" spans="1:8" x14ac:dyDescent="0.2">
      <c r="A29" s="1">
        <v>2037</v>
      </c>
      <c r="B29">
        <v>37553.5</v>
      </c>
      <c r="C29" s="1">
        <v>37355.5</v>
      </c>
      <c r="D29" s="14"/>
      <c r="E29" s="1"/>
      <c r="F29" s="1"/>
      <c r="G29" s="1"/>
      <c r="H29" s="1"/>
    </row>
    <row r="30" spans="1:8" x14ac:dyDescent="0.2">
      <c r="A30" s="1">
        <v>2038</v>
      </c>
      <c r="B30">
        <v>38203.5</v>
      </c>
      <c r="C30" s="1">
        <v>36431.5</v>
      </c>
      <c r="D30" s="14"/>
      <c r="E30" s="1"/>
      <c r="F30" s="1"/>
      <c r="G30" s="1"/>
      <c r="H30" s="1"/>
    </row>
    <row r="31" spans="1:8" x14ac:dyDescent="0.2">
      <c r="A31" s="1">
        <v>2039</v>
      </c>
      <c r="B31">
        <v>39157.5</v>
      </c>
      <c r="C31" s="1">
        <v>35507.5</v>
      </c>
      <c r="D31" s="14"/>
      <c r="E31" s="1"/>
      <c r="F31" s="1"/>
      <c r="G31" s="1"/>
      <c r="H31" s="1"/>
    </row>
    <row r="32" spans="1:8" x14ac:dyDescent="0.2">
      <c r="A32" s="1">
        <v>2040</v>
      </c>
      <c r="B32">
        <v>39907.5</v>
      </c>
      <c r="C32" s="1">
        <v>34275.5</v>
      </c>
      <c r="D32" s="14"/>
      <c r="E32" s="1"/>
      <c r="F32" s="1"/>
      <c r="G32" s="1"/>
      <c r="H32" s="1"/>
    </row>
    <row r="33" spans="1:4" x14ac:dyDescent="0.2">
      <c r="A33" s="1">
        <v>2041</v>
      </c>
      <c r="B33">
        <v>40711.5</v>
      </c>
      <c r="C33" s="1">
        <v>32581.5</v>
      </c>
      <c r="D33" s="14"/>
    </row>
    <row r="34" spans="1:4" x14ac:dyDescent="0.2">
      <c r="A34" s="1">
        <v>2042</v>
      </c>
      <c r="B34">
        <v>41411.5</v>
      </c>
      <c r="C34" s="1">
        <v>30425.5</v>
      </c>
      <c r="D34" s="14"/>
    </row>
    <row r="35" spans="1:4" x14ac:dyDescent="0.2">
      <c r="A35" s="1">
        <v>2043</v>
      </c>
      <c r="B35">
        <v>42311.5</v>
      </c>
      <c r="C35" s="1">
        <v>28115.5</v>
      </c>
      <c r="D35" s="14"/>
    </row>
    <row r="36" spans="1:4" x14ac:dyDescent="0.2">
      <c r="A36" s="1">
        <v>2044</v>
      </c>
      <c r="B36">
        <v>43165.5</v>
      </c>
      <c r="C36" s="1">
        <v>25805.5</v>
      </c>
      <c r="D36" s="14"/>
    </row>
    <row r="37" spans="1:4" x14ac:dyDescent="0.2">
      <c r="A37" s="1">
        <v>2045</v>
      </c>
      <c r="B37">
        <v>43865.5</v>
      </c>
      <c r="C37" s="1">
        <v>23341.5</v>
      </c>
      <c r="D37" s="14"/>
    </row>
    <row r="38" spans="1:4" x14ac:dyDescent="0.2">
      <c r="A38" s="1">
        <v>2046</v>
      </c>
      <c r="B38">
        <v>44615.5</v>
      </c>
      <c r="C38" s="1">
        <v>20261.5</v>
      </c>
      <c r="D38" s="14"/>
    </row>
    <row r="39" spans="1:4" x14ac:dyDescent="0.2">
      <c r="A39" s="1">
        <v>2047</v>
      </c>
      <c r="B39">
        <v>45619.5</v>
      </c>
      <c r="C39" s="1">
        <v>18105.5</v>
      </c>
      <c r="D39" s="14"/>
    </row>
    <row r="40" spans="1:4" x14ac:dyDescent="0.2">
      <c r="A40" s="1">
        <v>2048</v>
      </c>
      <c r="B40">
        <v>46419.5</v>
      </c>
      <c r="C40" s="1">
        <v>16719.5</v>
      </c>
      <c r="D40" s="14"/>
    </row>
    <row r="41" spans="1:4" x14ac:dyDescent="0.2">
      <c r="A41" s="1">
        <v>2049</v>
      </c>
      <c r="B41">
        <v>47273.5</v>
      </c>
      <c r="C41" s="1">
        <v>15641.5</v>
      </c>
      <c r="D41" s="14"/>
    </row>
    <row r="42" spans="1:4" x14ac:dyDescent="0.2">
      <c r="A42" s="1">
        <v>2050</v>
      </c>
      <c r="B42">
        <v>48073.5</v>
      </c>
      <c r="C42" s="1">
        <v>14409.5</v>
      </c>
      <c r="D42" s="1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717B-2D9B-E74C-82A4-75C7504C48BA}">
  <dimension ref="A1:B8"/>
  <sheetViews>
    <sheetView workbookViewId="0">
      <selection activeCell="B2" sqref="B2:B8"/>
    </sheetView>
  </sheetViews>
  <sheetFormatPr baseColWidth="10" defaultRowHeight="16" x14ac:dyDescent="0.2"/>
  <sheetData>
    <row r="1" spans="1:2" x14ac:dyDescent="0.2">
      <c r="A1" s="13" t="s">
        <v>42</v>
      </c>
      <c r="B1" s="13" t="s">
        <v>43</v>
      </c>
    </row>
    <row r="2" spans="1:2" x14ac:dyDescent="0.2">
      <c r="A2" s="1" t="s">
        <v>15</v>
      </c>
      <c r="B2" s="1">
        <f>'EGC-CAS'!L2</f>
        <v>0</v>
      </c>
    </row>
    <row r="3" spans="1:2" x14ac:dyDescent="0.2">
      <c r="A3" s="1" t="s">
        <v>17</v>
      </c>
      <c r="B3" s="1">
        <f>'EGC-CAS'!L3</f>
        <v>38513.5</v>
      </c>
    </row>
    <row r="4" spans="1:2" x14ac:dyDescent="0.2">
      <c r="A4" s="1" t="s">
        <v>18</v>
      </c>
      <c r="B4" s="1">
        <f>'EGC-CAS'!L4</f>
        <v>53692</v>
      </c>
    </row>
    <row r="5" spans="1:2" x14ac:dyDescent="0.2">
      <c r="A5" s="1" t="s">
        <v>19</v>
      </c>
      <c r="B5" s="1">
        <f>'EGC-CAS'!L5</f>
        <v>25655</v>
      </c>
    </row>
    <row r="6" spans="1:2" x14ac:dyDescent="0.2">
      <c r="A6" s="1" t="s">
        <v>16</v>
      </c>
      <c r="B6" s="1">
        <f>'EGC-CAS'!L6</f>
        <v>12612</v>
      </c>
    </row>
    <row r="7" spans="1:2" x14ac:dyDescent="0.2">
      <c r="A7" s="1" t="s">
        <v>20</v>
      </c>
      <c r="B7" s="1">
        <f>'EGC-CAS'!L7</f>
        <v>302</v>
      </c>
    </row>
    <row r="8" spans="1:2" x14ac:dyDescent="0.2">
      <c r="A8" s="1" t="s">
        <v>21</v>
      </c>
      <c r="B8" s="1">
        <f>'EGC-CAS'!L8</f>
        <v>3357.5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71D6-3D07-C340-9B14-B456DF913C78}">
  <dimension ref="A1:B8"/>
  <sheetViews>
    <sheetView workbookViewId="0">
      <selection activeCell="D6" sqref="D6"/>
    </sheetView>
  </sheetViews>
  <sheetFormatPr baseColWidth="10" defaultRowHeight="16" x14ac:dyDescent="0.2"/>
  <sheetData>
    <row r="1" spans="1:2" x14ac:dyDescent="0.2">
      <c r="A1" s="12" t="s">
        <v>42</v>
      </c>
      <c r="B1" s="12" t="s">
        <v>43</v>
      </c>
    </row>
    <row r="2" spans="1:2" x14ac:dyDescent="0.2">
      <c r="A2" s="1" t="s">
        <v>15</v>
      </c>
      <c r="B2" s="1">
        <f>'EGC-CAS'!AF2</f>
        <v>0</v>
      </c>
    </row>
    <row r="3" spans="1:2" x14ac:dyDescent="0.2">
      <c r="A3" s="1" t="s">
        <v>17</v>
      </c>
      <c r="B3" s="1">
        <f>'EGC-CAS'!AF3</f>
        <v>14409.5</v>
      </c>
    </row>
    <row r="4" spans="1:2" x14ac:dyDescent="0.2">
      <c r="A4" s="1" t="s">
        <v>18</v>
      </c>
      <c r="B4" s="1">
        <f>'EGC-CAS'!AF4</f>
        <v>151984</v>
      </c>
    </row>
    <row r="5" spans="1:2" x14ac:dyDescent="0.2">
      <c r="A5" s="1" t="s">
        <v>19</v>
      </c>
      <c r="B5" s="1">
        <f>'EGC-CAS'!AF5</f>
        <v>51330</v>
      </c>
    </row>
    <row r="6" spans="1:2" x14ac:dyDescent="0.2">
      <c r="A6" s="1" t="s">
        <v>16</v>
      </c>
      <c r="B6" s="1">
        <f>'EGC-CAS'!AF6</f>
        <v>12612</v>
      </c>
    </row>
    <row r="7" spans="1:2" x14ac:dyDescent="0.2">
      <c r="A7" s="1" t="s">
        <v>20</v>
      </c>
      <c r="B7" s="1">
        <f>'EGC-CAS'!AF7</f>
        <v>0</v>
      </c>
    </row>
    <row r="8" spans="1:2" x14ac:dyDescent="0.2">
      <c r="A8" s="1" t="s">
        <v>21</v>
      </c>
      <c r="B8" s="1">
        <f>'EGC-CAS'!AF8</f>
        <v>2589.5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674B-0835-FE46-908D-6F53B9917D15}">
  <dimension ref="A1:D32"/>
  <sheetViews>
    <sheetView workbookViewId="0">
      <selection activeCell="H33" sqref="H3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4</v>
      </c>
      <c r="C1" s="1" t="s">
        <v>5</v>
      </c>
      <c r="D1" s="1" t="s">
        <v>23</v>
      </c>
    </row>
    <row r="2" spans="1:4" x14ac:dyDescent="0.2">
      <c r="A2" s="1">
        <v>2020</v>
      </c>
      <c r="B2" s="1">
        <v>0</v>
      </c>
      <c r="C2" s="1">
        <v>0</v>
      </c>
      <c r="D2" s="1">
        <v>0</v>
      </c>
    </row>
    <row r="3" spans="1:4" x14ac:dyDescent="0.2">
      <c r="A3" s="1">
        <v>2021</v>
      </c>
      <c r="B3" s="1">
        <v>0</v>
      </c>
      <c r="C3" s="1">
        <v>0</v>
      </c>
      <c r="D3" s="1">
        <v>0</v>
      </c>
    </row>
    <row r="4" spans="1:4" x14ac:dyDescent="0.2">
      <c r="A4" s="1">
        <v>2022</v>
      </c>
      <c r="B4" s="1">
        <v>0</v>
      </c>
      <c r="C4" s="1">
        <v>0</v>
      </c>
      <c r="D4" s="1">
        <v>0</v>
      </c>
    </row>
    <row r="5" spans="1:4" x14ac:dyDescent="0.2">
      <c r="A5" s="1">
        <v>2023</v>
      </c>
      <c r="B5" s="1">
        <v>0</v>
      </c>
      <c r="C5" s="1">
        <v>0</v>
      </c>
      <c r="D5" s="1">
        <v>0</v>
      </c>
    </row>
    <row r="6" spans="1:4" x14ac:dyDescent="0.2">
      <c r="A6" s="1">
        <v>2024</v>
      </c>
      <c r="B6" s="1">
        <v>0</v>
      </c>
      <c r="C6" s="1">
        <v>0</v>
      </c>
      <c r="D6" s="1">
        <v>0</v>
      </c>
    </row>
    <row r="7" spans="1:4" x14ac:dyDescent="0.2">
      <c r="A7" s="1">
        <v>2025</v>
      </c>
      <c r="B7" s="1">
        <v>0</v>
      </c>
      <c r="C7" s="1">
        <v>0</v>
      </c>
      <c r="D7" s="1">
        <v>0</v>
      </c>
    </row>
    <row r="8" spans="1:4" x14ac:dyDescent="0.2">
      <c r="A8" s="1">
        <v>2026</v>
      </c>
      <c r="B8" s="1">
        <v>0</v>
      </c>
      <c r="C8" s="1">
        <v>0.103657</v>
      </c>
      <c r="D8" s="1">
        <v>0.63980000000000004</v>
      </c>
    </row>
    <row r="9" spans="1:4" x14ac:dyDescent="0.2">
      <c r="A9" s="1">
        <v>2027</v>
      </c>
      <c r="B9" s="1">
        <v>0</v>
      </c>
      <c r="C9" s="1">
        <v>0.36552899999999999</v>
      </c>
      <c r="D9" s="1">
        <v>2.16838</v>
      </c>
    </row>
    <row r="10" spans="1:4" x14ac:dyDescent="0.2">
      <c r="A10" s="1">
        <v>2028</v>
      </c>
      <c r="B10" s="1">
        <v>0</v>
      </c>
      <c r="C10" s="1">
        <v>0.41314200000000001</v>
      </c>
      <c r="D10" s="1">
        <v>2.6633499999999999</v>
      </c>
    </row>
    <row r="11" spans="1:4" x14ac:dyDescent="0.2">
      <c r="A11" s="1">
        <v>2029</v>
      </c>
      <c r="B11" s="1">
        <v>0</v>
      </c>
      <c r="C11" s="1">
        <v>0.50539199999999995</v>
      </c>
      <c r="D11" s="1">
        <v>2.9187799999999999</v>
      </c>
    </row>
    <row r="12" spans="1:4" x14ac:dyDescent="0.2">
      <c r="A12" s="1">
        <v>2030</v>
      </c>
      <c r="B12" s="1">
        <v>0</v>
      </c>
      <c r="C12" s="1">
        <v>0.56242899999999996</v>
      </c>
      <c r="D12" s="1">
        <v>3.5719699999999999</v>
      </c>
    </row>
    <row r="13" spans="1:4" x14ac:dyDescent="0.2">
      <c r="A13" s="1">
        <v>2031</v>
      </c>
      <c r="B13" s="1">
        <v>0</v>
      </c>
      <c r="C13" s="1">
        <v>0.656663</v>
      </c>
      <c r="D13" s="1">
        <v>5.39316</v>
      </c>
    </row>
    <row r="14" spans="1:4" x14ac:dyDescent="0.2">
      <c r="A14" s="1">
        <v>2032</v>
      </c>
      <c r="B14" s="1">
        <v>0</v>
      </c>
      <c r="C14" s="1">
        <v>0.73800100000000002</v>
      </c>
      <c r="D14" s="1">
        <v>6.9272</v>
      </c>
    </row>
    <row r="15" spans="1:4" x14ac:dyDescent="0.2">
      <c r="A15" s="1">
        <v>2033</v>
      </c>
      <c r="B15" s="1">
        <v>0</v>
      </c>
      <c r="C15" s="1">
        <v>0.81090899999999999</v>
      </c>
      <c r="D15" s="1">
        <v>7.8789600000000002</v>
      </c>
    </row>
    <row r="16" spans="1:4" x14ac:dyDescent="0.2">
      <c r="A16" s="1">
        <v>2034</v>
      </c>
      <c r="B16" s="1">
        <v>0</v>
      </c>
      <c r="C16" s="1">
        <v>0.84562700000000002</v>
      </c>
      <c r="D16" s="1">
        <v>8.3426899999999993</v>
      </c>
    </row>
    <row r="17" spans="1:4" x14ac:dyDescent="0.2">
      <c r="A17" s="1">
        <v>2035</v>
      </c>
      <c r="B17" s="1">
        <v>0</v>
      </c>
      <c r="C17" s="1">
        <v>0.93638900000000003</v>
      </c>
      <c r="D17" s="1">
        <v>9.0142299999999995</v>
      </c>
    </row>
    <row r="18" spans="1:4" x14ac:dyDescent="0.2">
      <c r="A18" s="1">
        <v>2036</v>
      </c>
      <c r="B18" s="1">
        <v>0</v>
      </c>
      <c r="C18" s="1">
        <v>1.07328</v>
      </c>
      <c r="D18" s="1">
        <v>11.7798</v>
      </c>
    </row>
    <row r="19" spans="1:4" x14ac:dyDescent="0.2">
      <c r="A19" s="1">
        <v>2037</v>
      </c>
      <c r="B19" s="1">
        <v>0</v>
      </c>
      <c r="C19" s="1">
        <v>1.2037199999999999</v>
      </c>
      <c r="D19" s="1">
        <v>13.2944</v>
      </c>
    </row>
    <row r="20" spans="1:4" x14ac:dyDescent="0.2">
      <c r="A20" s="1">
        <v>2038</v>
      </c>
      <c r="B20" s="1">
        <v>0</v>
      </c>
      <c r="C20" s="1">
        <v>1.2662100000000001</v>
      </c>
      <c r="D20" s="1">
        <v>14.556699999999999</v>
      </c>
    </row>
    <row r="21" spans="1:4" x14ac:dyDescent="0.2">
      <c r="A21" s="1">
        <v>2039</v>
      </c>
      <c r="B21" s="1">
        <v>0</v>
      </c>
      <c r="C21" s="1">
        <v>1.32969</v>
      </c>
      <c r="D21" s="1">
        <v>15.462300000000001</v>
      </c>
    </row>
    <row r="22" spans="1:4" x14ac:dyDescent="0.2">
      <c r="A22" s="1">
        <v>2040</v>
      </c>
      <c r="B22" s="1">
        <v>0</v>
      </c>
      <c r="C22" s="1">
        <v>1.46658</v>
      </c>
      <c r="D22" s="1">
        <v>16.9468</v>
      </c>
    </row>
    <row r="23" spans="1:4" x14ac:dyDescent="0.2">
      <c r="A23" s="1">
        <v>2041</v>
      </c>
      <c r="B23" s="1">
        <v>0</v>
      </c>
      <c r="C23" s="1">
        <v>1.6486000000000001</v>
      </c>
      <c r="D23" s="1">
        <v>18.661300000000001</v>
      </c>
    </row>
    <row r="24" spans="1:4" x14ac:dyDescent="0.2">
      <c r="A24" s="1">
        <v>2042</v>
      </c>
      <c r="B24" s="1">
        <v>0</v>
      </c>
      <c r="C24" s="1">
        <v>1.80433</v>
      </c>
      <c r="D24" s="1">
        <v>20.007899999999999</v>
      </c>
    </row>
    <row r="25" spans="1:4" x14ac:dyDescent="0.2">
      <c r="A25" s="1">
        <v>2043</v>
      </c>
      <c r="B25" s="1">
        <v>0</v>
      </c>
      <c r="C25" s="1">
        <v>1.9308099999999999</v>
      </c>
      <c r="D25" s="1">
        <v>21.1828</v>
      </c>
    </row>
    <row r="26" spans="1:4" x14ac:dyDescent="0.2">
      <c r="A26" s="1">
        <v>2044</v>
      </c>
      <c r="B26" s="1">
        <v>0</v>
      </c>
      <c r="C26" s="1">
        <v>2.0513300000000001</v>
      </c>
      <c r="D26" s="1">
        <v>22.480799999999999</v>
      </c>
    </row>
    <row r="27" spans="1:4" x14ac:dyDescent="0.2">
      <c r="A27" s="1">
        <v>2045</v>
      </c>
      <c r="B27" s="1">
        <v>0</v>
      </c>
      <c r="C27" s="1">
        <v>2.3464299999999998</v>
      </c>
      <c r="D27" s="1">
        <v>23.382899999999999</v>
      </c>
    </row>
    <row r="28" spans="1:4" x14ac:dyDescent="0.2">
      <c r="A28" s="1">
        <v>2046</v>
      </c>
      <c r="B28" s="1">
        <v>0</v>
      </c>
      <c r="C28" s="1">
        <v>2.6474799999999998</v>
      </c>
      <c r="D28" s="1">
        <v>26.551200000000001</v>
      </c>
    </row>
    <row r="29" spans="1:4" x14ac:dyDescent="0.2">
      <c r="A29" s="1">
        <v>2047</v>
      </c>
      <c r="B29" s="1">
        <v>0</v>
      </c>
      <c r="C29" s="1">
        <v>2.88951</v>
      </c>
      <c r="D29" s="1">
        <v>27.860099999999999</v>
      </c>
    </row>
    <row r="30" spans="1:4" x14ac:dyDescent="0.2">
      <c r="A30" s="1">
        <v>2048</v>
      </c>
      <c r="B30" s="1">
        <v>0</v>
      </c>
      <c r="C30" s="1">
        <v>3.1325400000000001</v>
      </c>
      <c r="D30" s="1">
        <v>29.078199999999999</v>
      </c>
    </row>
    <row r="31" spans="1:4" x14ac:dyDescent="0.2">
      <c r="A31" s="1">
        <v>2049</v>
      </c>
      <c r="B31" s="1">
        <v>0</v>
      </c>
      <c r="C31" s="1">
        <v>3.4578899999999999</v>
      </c>
      <c r="D31" s="1">
        <v>30.793199999999999</v>
      </c>
    </row>
    <row r="32" spans="1:4" x14ac:dyDescent="0.2">
      <c r="A32" s="1">
        <v>2050</v>
      </c>
      <c r="B32" s="1">
        <v>0</v>
      </c>
      <c r="C32" s="1">
        <v>3.80904</v>
      </c>
      <c r="D32" s="1">
        <v>32.418500000000002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E8FE-0178-8943-A7DD-D631786799D3}">
  <dimension ref="A1:H32"/>
  <sheetViews>
    <sheetView workbookViewId="0">
      <selection sqref="A1:D32"/>
    </sheetView>
  </sheetViews>
  <sheetFormatPr baseColWidth="10" defaultRowHeight="16" x14ac:dyDescent="0.2"/>
  <cols>
    <col min="5" max="5" width="11.1640625" bestFit="1" customWidth="1"/>
  </cols>
  <sheetData>
    <row r="1" spans="1:8" x14ac:dyDescent="0.2">
      <c r="A1" s="1" t="s">
        <v>0</v>
      </c>
      <c r="B1" s="1" t="s">
        <v>4</v>
      </c>
      <c r="C1" s="1" t="s">
        <v>5</v>
      </c>
      <c r="D1" s="1" t="s">
        <v>23</v>
      </c>
      <c r="E1" s="1"/>
    </row>
    <row r="2" spans="1:8" x14ac:dyDescent="0.2">
      <c r="A2" s="1">
        <v>2020</v>
      </c>
      <c r="B2" s="1">
        <v>0</v>
      </c>
      <c r="C2" s="1">
        <v>0</v>
      </c>
      <c r="D2" s="1">
        <v>0</v>
      </c>
      <c r="E2" s="3"/>
      <c r="F2" s="3"/>
      <c r="G2" s="3"/>
      <c r="H2" s="3"/>
    </row>
    <row r="3" spans="1:8" x14ac:dyDescent="0.2">
      <c r="A3" s="1">
        <v>2021</v>
      </c>
      <c r="B3" s="1">
        <v>0</v>
      </c>
      <c r="C3" s="1">
        <v>0</v>
      </c>
      <c r="D3" s="1">
        <v>0</v>
      </c>
      <c r="E3" s="1"/>
      <c r="F3" s="3"/>
      <c r="G3" s="3"/>
      <c r="H3" s="3"/>
    </row>
    <row r="4" spans="1:8" x14ac:dyDescent="0.2">
      <c r="A4" s="1">
        <v>2022</v>
      </c>
      <c r="B4" s="1">
        <v>0</v>
      </c>
      <c r="C4" s="1">
        <v>0</v>
      </c>
      <c r="D4" s="1">
        <v>0</v>
      </c>
      <c r="E4" s="1"/>
      <c r="F4" s="3"/>
      <c r="G4" s="3"/>
      <c r="H4" s="3"/>
    </row>
    <row r="5" spans="1:8" x14ac:dyDescent="0.2">
      <c r="A5" s="1">
        <v>2023</v>
      </c>
      <c r="B5" s="1">
        <v>0</v>
      </c>
      <c r="C5" s="1">
        <v>0</v>
      </c>
      <c r="D5" s="1">
        <v>0</v>
      </c>
      <c r="E5" s="1"/>
      <c r="F5" s="3"/>
      <c r="G5" s="3"/>
      <c r="H5" s="3"/>
    </row>
    <row r="6" spans="1:8" x14ac:dyDescent="0.2">
      <c r="A6" s="1">
        <v>2024</v>
      </c>
      <c r="B6" s="1">
        <v>0</v>
      </c>
      <c r="C6" s="1">
        <v>0</v>
      </c>
      <c r="D6" s="1">
        <v>0</v>
      </c>
      <c r="E6" s="1"/>
      <c r="F6" s="3"/>
      <c r="G6" s="3"/>
      <c r="H6" s="3"/>
    </row>
    <row r="7" spans="1:8" x14ac:dyDescent="0.2">
      <c r="A7" s="1">
        <v>2025</v>
      </c>
      <c r="B7" s="1">
        <v>0</v>
      </c>
      <c r="C7" s="1">
        <v>0</v>
      </c>
      <c r="D7" s="1">
        <v>0</v>
      </c>
      <c r="E7" s="1"/>
      <c r="F7" s="3"/>
      <c r="G7" s="3"/>
      <c r="H7" s="3"/>
    </row>
    <row r="8" spans="1:8" x14ac:dyDescent="0.2">
      <c r="A8" s="1">
        <v>2026</v>
      </c>
      <c r="B8" s="1">
        <v>0</v>
      </c>
      <c r="C8" s="1">
        <v>-1.11352E-2</v>
      </c>
      <c r="D8" s="1">
        <v>-0.30510399999999999</v>
      </c>
      <c r="E8" s="1"/>
      <c r="F8" s="3"/>
      <c r="G8" s="3"/>
      <c r="H8" s="3"/>
    </row>
    <row r="9" spans="1:8" x14ac:dyDescent="0.2">
      <c r="A9" s="1">
        <v>2027</v>
      </c>
      <c r="B9" s="1">
        <v>0</v>
      </c>
      <c r="C9" s="1">
        <v>-2.8506099999999999E-2</v>
      </c>
      <c r="D9" s="1">
        <v>-0.89126000000000005</v>
      </c>
      <c r="E9" s="1"/>
      <c r="F9" s="3"/>
      <c r="G9" s="3"/>
      <c r="H9" s="3"/>
    </row>
    <row r="10" spans="1:8" x14ac:dyDescent="0.2">
      <c r="A10" s="1">
        <v>2028</v>
      </c>
      <c r="B10" s="1">
        <v>0</v>
      </c>
      <c r="C10" s="1">
        <v>-6.3247800000000007E-2</v>
      </c>
      <c r="D10" s="1">
        <v>-1.7727200000000001</v>
      </c>
      <c r="E10" s="1"/>
      <c r="F10" s="3"/>
      <c r="G10" s="3"/>
      <c r="H10" s="3"/>
    </row>
    <row r="11" spans="1:8" x14ac:dyDescent="0.2">
      <c r="A11" s="1">
        <v>2029</v>
      </c>
      <c r="B11" s="1">
        <v>0</v>
      </c>
      <c r="C11" s="1">
        <v>-0.106007</v>
      </c>
      <c r="D11" s="1">
        <v>-2.9539399999999998</v>
      </c>
      <c r="E11" s="1"/>
      <c r="F11" s="3"/>
      <c r="G11" s="3"/>
      <c r="H11" s="3"/>
    </row>
    <row r="12" spans="1:8" x14ac:dyDescent="0.2">
      <c r="A12" s="1">
        <v>2030</v>
      </c>
      <c r="B12" s="1">
        <v>0</v>
      </c>
      <c r="C12" s="1">
        <v>-0.16079199999999999</v>
      </c>
      <c r="D12" s="1">
        <v>-4.4081900000000003</v>
      </c>
      <c r="E12" s="1"/>
      <c r="F12" s="3"/>
      <c r="G12" s="3"/>
      <c r="H12" s="3"/>
    </row>
    <row r="13" spans="1:8" x14ac:dyDescent="0.2">
      <c r="A13" s="1">
        <v>2031</v>
      </c>
      <c r="B13" s="1">
        <v>0</v>
      </c>
      <c r="C13" s="1">
        <v>-0.22181300000000001</v>
      </c>
      <c r="D13" s="1">
        <v>-6.1862599999999999</v>
      </c>
      <c r="E13" s="1"/>
      <c r="F13" s="3"/>
      <c r="G13" s="3"/>
      <c r="H13" s="3"/>
    </row>
    <row r="14" spans="1:8" x14ac:dyDescent="0.2">
      <c r="A14" s="1">
        <v>2032</v>
      </c>
      <c r="B14" s="1">
        <v>0</v>
      </c>
      <c r="C14" s="1">
        <v>-0.292632</v>
      </c>
      <c r="D14" s="1">
        <v>-8.3937000000000008</v>
      </c>
      <c r="E14" s="1"/>
      <c r="F14" s="3"/>
      <c r="G14" s="3"/>
      <c r="H14" s="3"/>
    </row>
    <row r="15" spans="1:8" x14ac:dyDescent="0.2">
      <c r="A15" s="1">
        <v>2033</v>
      </c>
      <c r="B15" s="1">
        <v>0</v>
      </c>
      <c r="C15" s="1">
        <v>-0.36924200000000001</v>
      </c>
      <c r="D15" s="1">
        <v>-10.9757</v>
      </c>
      <c r="E15" s="1"/>
      <c r="F15" s="3"/>
      <c r="G15" s="3"/>
      <c r="H15" s="3"/>
    </row>
    <row r="16" spans="1:8" x14ac:dyDescent="0.2">
      <c r="A16" s="1">
        <v>2034</v>
      </c>
      <c r="B16" s="1">
        <v>0</v>
      </c>
      <c r="C16" s="1">
        <v>-0.45387</v>
      </c>
      <c r="D16" s="1">
        <v>-13.9078</v>
      </c>
      <c r="E16" s="1"/>
      <c r="F16" s="3"/>
      <c r="G16" s="3"/>
      <c r="H16" s="3"/>
    </row>
    <row r="17" spans="1:8" x14ac:dyDescent="0.2">
      <c r="A17" s="1">
        <v>2035</v>
      </c>
      <c r="B17" s="1">
        <v>0</v>
      </c>
      <c r="C17" s="1">
        <v>-0.54428699999999997</v>
      </c>
      <c r="D17" s="1">
        <v>-17.249300000000002</v>
      </c>
      <c r="E17" s="1"/>
      <c r="F17" s="3"/>
      <c r="G17" s="3"/>
      <c r="H17" s="3"/>
    </row>
    <row r="18" spans="1:8" x14ac:dyDescent="0.2">
      <c r="A18" s="1">
        <v>2036</v>
      </c>
      <c r="B18" s="1">
        <v>0</v>
      </c>
      <c r="C18" s="1">
        <v>-0.65163099999999996</v>
      </c>
      <c r="D18" s="1">
        <v>-21.0517</v>
      </c>
      <c r="E18" s="1"/>
      <c r="F18" s="3"/>
      <c r="G18" s="3"/>
      <c r="H18" s="3"/>
    </row>
    <row r="19" spans="1:8" x14ac:dyDescent="0.2">
      <c r="A19" s="1">
        <v>2037</v>
      </c>
      <c r="B19" s="1">
        <v>0</v>
      </c>
      <c r="C19" s="1">
        <v>-0.773227</v>
      </c>
      <c r="D19" s="1">
        <v>-25.2029</v>
      </c>
      <c r="E19" s="1"/>
      <c r="F19" s="3"/>
      <c r="G19" s="3"/>
      <c r="H19" s="3"/>
    </row>
    <row r="20" spans="1:8" x14ac:dyDescent="0.2">
      <c r="A20" s="1">
        <v>2038</v>
      </c>
      <c r="B20" s="1">
        <v>0</v>
      </c>
      <c r="C20" s="1">
        <v>-0.91085799999999995</v>
      </c>
      <c r="D20" s="1">
        <v>-29.754100000000001</v>
      </c>
      <c r="E20" s="1"/>
      <c r="F20" s="3"/>
      <c r="G20" s="3"/>
      <c r="H20" s="3"/>
    </row>
    <row r="21" spans="1:8" x14ac:dyDescent="0.2">
      <c r="A21" s="1">
        <v>2039</v>
      </c>
      <c r="B21" s="1">
        <v>0</v>
      </c>
      <c r="C21" s="1">
        <v>-1.0645199999999999</v>
      </c>
      <c r="D21" s="1">
        <v>-34.664700000000003</v>
      </c>
      <c r="E21" s="1"/>
      <c r="F21" s="3"/>
      <c r="G21" s="3"/>
      <c r="H21" s="3"/>
    </row>
    <row r="22" spans="1:8" x14ac:dyDescent="0.2">
      <c r="A22" s="1">
        <v>2040</v>
      </c>
      <c r="B22" s="1">
        <v>0</v>
      </c>
      <c r="C22" s="1">
        <v>-1.23333</v>
      </c>
      <c r="D22" s="1">
        <v>-39.894199999999998</v>
      </c>
      <c r="E22" s="1"/>
      <c r="F22" s="3"/>
      <c r="G22" s="3"/>
      <c r="H22" s="3"/>
    </row>
    <row r="23" spans="1:8" x14ac:dyDescent="0.2">
      <c r="A23" s="1">
        <v>2041</v>
      </c>
      <c r="B23" s="1">
        <v>0</v>
      </c>
      <c r="C23" s="1">
        <v>-1.4301999999999999</v>
      </c>
      <c r="D23" s="1">
        <v>-45.4925</v>
      </c>
      <c r="E23" s="1"/>
      <c r="F23" s="3"/>
      <c r="G23" s="3"/>
      <c r="H23" s="3"/>
    </row>
    <row r="24" spans="1:8" x14ac:dyDescent="0.2">
      <c r="A24" s="1">
        <v>2042</v>
      </c>
      <c r="B24" s="1">
        <v>0</v>
      </c>
      <c r="C24" s="1">
        <v>-1.6587000000000001</v>
      </c>
      <c r="D24" s="1">
        <v>-51.430300000000003</v>
      </c>
      <c r="E24" s="1"/>
      <c r="F24" s="3"/>
      <c r="G24" s="3"/>
      <c r="H24" s="3"/>
    </row>
    <row r="25" spans="1:8" x14ac:dyDescent="0.2">
      <c r="A25" s="1">
        <v>2043</v>
      </c>
      <c r="B25" s="1">
        <v>0</v>
      </c>
      <c r="C25" s="1">
        <v>-1.9094599999999999</v>
      </c>
      <c r="D25" s="1">
        <v>-57.677100000000003</v>
      </c>
      <c r="E25" s="1"/>
      <c r="F25" s="3"/>
      <c r="G25" s="3"/>
      <c r="H25" s="3"/>
    </row>
    <row r="26" spans="1:8" x14ac:dyDescent="0.2">
      <c r="A26" s="1">
        <v>2044</v>
      </c>
      <c r="B26" s="1">
        <v>0</v>
      </c>
      <c r="C26" s="1">
        <v>-2.1865000000000001</v>
      </c>
      <c r="D26" s="1">
        <v>-64.183599999999998</v>
      </c>
      <c r="E26" s="1"/>
      <c r="F26" s="3"/>
      <c r="G26" s="3"/>
      <c r="H26" s="3"/>
    </row>
    <row r="27" spans="1:8" x14ac:dyDescent="0.2">
      <c r="A27" s="1">
        <v>2045</v>
      </c>
      <c r="B27" s="1">
        <v>0</v>
      </c>
      <c r="C27" s="1">
        <v>-2.4933900000000002</v>
      </c>
      <c r="D27" s="1">
        <v>-70.9191</v>
      </c>
      <c r="E27" s="1"/>
      <c r="F27" s="3"/>
      <c r="G27" s="3"/>
      <c r="H27" s="3"/>
    </row>
    <row r="28" spans="1:8" x14ac:dyDescent="0.2">
      <c r="A28" s="1">
        <v>2046</v>
      </c>
      <c r="B28" s="1">
        <v>0</v>
      </c>
      <c r="C28" s="1">
        <v>-2.8149700000000002</v>
      </c>
      <c r="D28" s="1">
        <v>-77.894099999999995</v>
      </c>
      <c r="E28" s="1"/>
      <c r="F28" s="3"/>
      <c r="G28" s="3"/>
      <c r="H28" s="3"/>
    </row>
    <row r="29" spans="1:8" x14ac:dyDescent="0.2">
      <c r="A29" s="1">
        <v>2047</v>
      </c>
      <c r="B29" s="1">
        <v>0</v>
      </c>
      <c r="C29" s="1">
        <v>-3.1855500000000001</v>
      </c>
      <c r="D29" s="1">
        <v>-85.135599999999997</v>
      </c>
      <c r="E29" s="1"/>
      <c r="F29" s="3"/>
      <c r="G29" s="3"/>
      <c r="H29" s="3"/>
    </row>
    <row r="30" spans="1:8" x14ac:dyDescent="0.2">
      <c r="A30" s="1">
        <v>2048</v>
      </c>
      <c r="B30" s="1">
        <v>0</v>
      </c>
      <c r="C30" s="1">
        <v>-3.61537</v>
      </c>
      <c r="D30" s="1">
        <v>-92.598799999999997</v>
      </c>
      <c r="E30" s="1"/>
      <c r="F30" s="3"/>
      <c r="G30" s="3"/>
      <c r="H30" s="3"/>
    </row>
    <row r="31" spans="1:8" x14ac:dyDescent="0.2">
      <c r="A31" s="1">
        <v>2049</v>
      </c>
      <c r="B31" s="1">
        <v>0</v>
      </c>
      <c r="C31" s="1">
        <v>-4.10398</v>
      </c>
      <c r="D31" s="1">
        <v>-100.197</v>
      </c>
      <c r="E31" s="1"/>
      <c r="F31" s="3"/>
      <c r="G31" s="3"/>
      <c r="H31" s="3"/>
    </row>
    <row r="32" spans="1:8" x14ac:dyDescent="0.2">
      <c r="A32" s="1">
        <v>2050</v>
      </c>
      <c r="B32" s="1">
        <v>0</v>
      </c>
      <c r="C32" s="1">
        <v>-4.6554000000000002</v>
      </c>
      <c r="D32" s="1">
        <v>-107.9</v>
      </c>
      <c r="E32" s="1"/>
      <c r="F32" s="3"/>
      <c r="G32" s="3"/>
      <c r="H32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1302-56D8-4845-8CE9-DA67176B0F02}">
  <dimension ref="A1:D32"/>
  <sheetViews>
    <sheetView workbookViewId="0">
      <selection activeCell="F6" sqref="F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4</v>
      </c>
      <c r="C1" s="1" t="s">
        <v>2</v>
      </c>
      <c r="D1" s="1" t="s">
        <v>3</v>
      </c>
    </row>
    <row r="2" spans="1:4" x14ac:dyDescent="0.2">
      <c r="A2" s="1">
        <v>2020</v>
      </c>
      <c r="B2" s="1">
        <v>0</v>
      </c>
      <c r="C2" s="1">
        <v>0</v>
      </c>
      <c r="D2" s="1">
        <v>0</v>
      </c>
    </row>
    <row r="3" spans="1:4" x14ac:dyDescent="0.2">
      <c r="A3" s="1">
        <v>2021</v>
      </c>
      <c r="B3" s="1">
        <v>0</v>
      </c>
      <c r="C3" s="1">
        <v>0</v>
      </c>
      <c r="D3" s="1">
        <v>0</v>
      </c>
    </row>
    <row r="4" spans="1:4" x14ac:dyDescent="0.2">
      <c r="A4" s="1">
        <v>2022</v>
      </c>
      <c r="B4" s="1">
        <v>0</v>
      </c>
      <c r="C4" s="1">
        <v>0</v>
      </c>
      <c r="D4" s="1">
        <v>0</v>
      </c>
    </row>
    <row r="5" spans="1:4" x14ac:dyDescent="0.2">
      <c r="A5" s="1">
        <v>2023</v>
      </c>
      <c r="B5" s="1">
        <v>0</v>
      </c>
      <c r="C5" s="1">
        <v>0</v>
      </c>
      <c r="D5" s="1">
        <v>0</v>
      </c>
    </row>
    <row r="6" spans="1:4" x14ac:dyDescent="0.2">
      <c r="A6" s="1">
        <v>2024</v>
      </c>
      <c r="B6" s="1">
        <v>0</v>
      </c>
      <c r="C6" s="1">
        <v>0</v>
      </c>
      <c r="D6" s="1">
        <v>0</v>
      </c>
    </row>
    <row r="7" spans="1:4" x14ac:dyDescent="0.2">
      <c r="A7" s="1">
        <v>2025</v>
      </c>
      <c r="B7" s="1">
        <v>0</v>
      </c>
      <c r="C7" s="1">
        <v>0</v>
      </c>
      <c r="D7" s="1">
        <v>0</v>
      </c>
    </row>
    <row r="8" spans="1:4" x14ac:dyDescent="0.2">
      <c r="A8" s="1">
        <v>2026</v>
      </c>
      <c r="B8" s="1">
        <v>0</v>
      </c>
      <c r="C8" s="1">
        <v>3665</v>
      </c>
      <c r="D8" s="1">
        <v>11238</v>
      </c>
    </row>
    <row r="9" spans="1:4" x14ac:dyDescent="0.2">
      <c r="A9" s="1">
        <v>2027</v>
      </c>
      <c r="B9" s="1">
        <v>0</v>
      </c>
      <c r="C9" s="1">
        <v>5960</v>
      </c>
      <c r="D9" s="1">
        <v>29863</v>
      </c>
    </row>
    <row r="10" spans="1:4" x14ac:dyDescent="0.2">
      <c r="A10" s="1">
        <v>2028</v>
      </c>
      <c r="B10" s="1">
        <v>0</v>
      </c>
      <c r="C10" s="1">
        <v>8943</v>
      </c>
      <c r="D10" s="1">
        <v>41096</v>
      </c>
    </row>
    <row r="11" spans="1:4" x14ac:dyDescent="0.2">
      <c r="A11" s="1">
        <v>2029</v>
      </c>
      <c r="B11" s="1">
        <v>0</v>
      </c>
      <c r="C11" s="1">
        <v>11388</v>
      </c>
      <c r="D11" s="1">
        <v>45198</v>
      </c>
    </row>
    <row r="12" spans="1:4" x14ac:dyDescent="0.2">
      <c r="A12" s="1">
        <v>2030</v>
      </c>
      <c r="B12" s="1">
        <v>0</v>
      </c>
      <c r="C12" s="1">
        <v>15542</v>
      </c>
      <c r="D12" s="1">
        <v>87487</v>
      </c>
    </row>
    <row r="13" spans="1:4" x14ac:dyDescent="0.2">
      <c r="A13" s="1">
        <v>2031</v>
      </c>
      <c r="B13" s="1">
        <v>0</v>
      </c>
      <c r="C13" s="1">
        <v>18638</v>
      </c>
      <c r="D13" s="1">
        <v>127339</v>
      </c>
    </row>
    <row r="14" spans="1:4" x14ac:dyDescent="0.2">
      <c r="A14" s="1">
        <v>2032</v>
      </c>
      <c r="B14" s="1">
        <v>0</v>
      </c>
      <c r="C14" s="1">
        <v>22220</v>
      </c>
      <c r="D14" s="1">
        <v>163524</v>
      </c>
    </row>
    <row r="15" spans="1:4" x14ac:dyDescent="0.2">
      <c r="A15" s="1">
        <v>2033</v>
      </c>
      <c r="B15" s="1">
        <v>0</v>
      </c>
      <c r="C15" s="1">
        <v>25322</v>
      </c>
      <c r="D15" s="1">
        <v>193092</v>
      </c>
    </row>
    <row r="16" spans="1:4" x14ac:dyDescent="0.2">
      <c r="A16" s="1">
        <v>2034</v>
      </c>
      <c r="B16" s="1">
        <v>0</v>
      </c>
      <c r="C16" s="1">
        <v>29795</v>
      </c>
      <c r="D16" s="1">
        <v>221974</v>
      </c>
    </row>
    <row r="17" spans="1:4" x14ac:dyDescent="0.2">
      <c r="A17" s="1">
        <v>2035</v>
      </c>
      <c r="B17" s="1">
        <v>0</v>
      </c>
      <c r="C17" s="1">
        <v>34623</v>
      </c>
      <c r="D17" s="1">
        <v>255936</v>
      </c>
    </row>
    <row r="18" spans="1:4" x14ac:dyDescent="0.2">
      <c r="A18" s="1">
        <v>2036</v>
      </c>
      <c r="B18" s="1">
        <v>0</v>
      </c>
      <c r="C18" s="1">
        <v>40982</v>
      </c>
      <c r="D18" s="1">
        <v>341794</v>
      </c>
    </row>
    <row r="19" spans="1:4" x14ac:dyDescent="0.2">
      <c r="A19" s="1">
        <v>2037</v>
      </c>
      <c r="B19" s="1">
        <v>0</v>
      </c>
      <c r="C19" s="1">
        <v>47197</v>
      </c>
      <c r="D19" s="1">
        <v>398577</v>
      </c>
    </row>
    <row r="20" spans="1:4" x14ac:dyDescent="0.2">
      <c r="A20" s="1">
        <v>2038</v>
      </c>
      <c r="B20" s="1">
        <v>0</v>
      </c>
      <c r="C20" s="1">
        <v>53764</v>
      </c>
      <c r="D20" s="1">
        <v>451554</v>
      </c>
    </row>
    <row r="21" spans="1:4" x14ac:dyDescent="0.2">
      <c r="A21" s="1">
        <v>2039</v>
      </c>
      <c r="B21" s="1">
        <v>0</v>
      </c>
      <c r="C21" s="1">
        <v>61063</v>
      </c>
      <c r="D21" s="1">
        <v>506936</v>
      </c>
    </row>
    <row r="22" spans="1:4" x14ac:dyDescent="0.2">
      <c r="A22" s="1">
        <v>2040</v>
      </c>
      <c r="B22" s="1">
        <v>0</v>
      </c>
      <c r="C22" s="1">
        <v>69048</v>
      </c>
      <c r="D22" s="1">
        <v>561618</v>
      </c>
    </row>
    <row r="23" spans="1:4" x14ac:dyDescent="0.2">
      <c r="A23" s="1">
        <v>2041</v>
      </c>
      <c r="B23" s="1">
        <v>0</v>
      </c>
      <c r="C23" s="1">
        <v>78672</v>
      </c>
      <c r="D23" s="1">
        <v>631519</v>
      </c>
    </row>
    <row r="24" spans="1:4" x14ac:dyDescent="0.2">
      <c r="A24" s="1">
        <v>2042</v>
      </c>
      <c r="B24" s="1">
        <v>0</v>
      </c>
      <c r="C24" s="1">
        <v>87801</v>
      </c>
      <c r="D24" s="1">
        <v>699119</v>
      </c>
    </row>
    <row r="25" spans="1:4" x14ac:dyDescent="0.2">
      <c r="A25" s="1">
        <v>2043</v>
      </c>
      <c r="B25" s="1">
        <v>0</v>
      </c>
      <c r="C25" s="1">
        <v>96680</v>
      </c>
      <c r="D25" s="1">
        <v>769064</v>
      </c>
    </row>
    <row r="26" spans="1:4" x14ac:dyDescent="0.2">
      <c r="A26" s="1">
        <v>2044</v>
      </c>
      <c r="B26" s="1">
        <v>0</v>
      </c>
      <c r="C26" s="1">
        <v>106206</v>
      </c>
      <c r="D26" s="1">
        <v>835704</v>
      </c>
    </row>
    <row r="27" spans="1:4" x14ac:dyDescent="0.2">
      <c r="A27" s="1">
        <v>2045</v>
      </c>
      <c r="B27" s="1">
        <v>0</v>
      </c>
      <c r="C27" s="1">
        <v>120103</v>
      </c>
      <c r="D27" s="1">
        <v>900075</v>
      </c>
    </row>
    <row r="28" spans="1:4" x14ac:dyDescent="0.2">
      <c r="A28" s="1">
        <v>2046</v>
      </c>
      <c r="B28" s="1">
        <v>0</v>
      </c>
      <c r="C28" s="1">
        <v>134579</v>
      </c>
      <c r="D28" s="1">
        <v>993460</v>
      </c>
    </row>
    <row r="29" spans="1:4" x14ac:dyDescent="0.2">
      <c r="A29" s="1">
        <v>2047</v>
      </c>
      <c r="B29" s="1">
        <v>0</v>
      </c>
      <c r="C29" s="1">
        <v>148706</v>
      </c>
      <c r="D29" s="3">
        <v>1075140</v>
      </c>
    </row>
    <row r="30" spans="1:4" x14ac:dyDescent="0.2">
      <c r="A30" s="1">
        <v>2048</v>
      </c>
      <c r="B30" s="1">
        <v>0</v>
      </c>
      <c r="C30" s="1">
        <v>164298</v>
      </c>
      <c r="D30" s="3">
        <v>1157620</v>
      </c>
    </row>
    <row r="31" spans="1:4" x14ac:dyDescent="0.2">
      <c r="A31" s="1">
        <v>2049</v>
      </c>
      <c r="B31" s="1">
        <v>0</v>
      </c>
      <c r="C31" s="1">
        <v>181331</v>
      </c>
      <c r="D31" s="3">
        <v>1241990</v>
      </c>
    </row>
    <row r="32" spans="1:4" x14ac:dyDescent="0.2">
      <c r="A32" s="1">
        <v>2050</v>
      </c>
      <c r="B32" s="1">
        <v>0</v>
      </c>
      <c r="C32" s="1">
        <v>198992</v>
      </c>
      <c r="D32" s="3">
        <v>1325060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D210-0643-584C-B5B0-52A8B26DE4C7}">
  <dimension ref="A1:BP32"/>
  <sheetViews>
    <sheetView workbookViewId="0">
      <selection activeCell="AV1" sqref="AV1:AX1"/>
    </sheetView>
  </sheetViews>
  <sheetFormatPr baseColWidth="10" defaultRowHeight="16" x14ac:dyDescent="0.2"/>
  <sheetData>
    <row r="1" spans="1:68" s="12" customFormat="1" x14ac:dyDescent="0.2">
      <c r="A1" s="13" t="str">
        <f>GDP!A1</f>
        <v>Time (Year)</v>
      </c>
      <c r="B1" s="13" t="s">
        <v>113</v>
      </c>
      <c r="C1" s="13" t="s">
        <v>114</v>
      </c>
      <c r="D1" s="13" t="s">
        <v>115</v>
      </c>
      <c r="E1" s="13" t="s">
        <v>116</v>
      </c>
      <c r="F1" s="13" t="s">
        <v>117</v>
      </c>
      <c r="G1" s="13" t="s">
        <v>118</v>
      </c>
      <c r="H1" s="13" t="s">
        <v>119</v>
      </c>
      <c r="I1" s="13" t="s">
        <v>120</v>
      </c>
      <c r="J1" s="13" t="s">
        <v>121</v>
      </c>
      <c r="K1" s="13" t="s">
        <v>122</v>
      </c>
      <c r="L1" s="13" t="s">
        <v>123</v>
      </c>
      <c r="M1" s="13" t="s">
        <v>124</v>
      </c>
      <c r="N1" s="13" t="s">
        <v>125</v>
      </c>
      <c r="O1" s="13" t="s">
        <v>126</v>
      </c>
      <c r="P1" s="13" t="s">
        <v>127</v>
      </c>
      <c r="Q1" s="13" t="s">
        <v>128</v>
      </c>
      <c r="R1" s="13" t="s">
        <v>129</v>
      </c>
      <c r="S1" s="13" t="s">
        <v>130</v>
      </c>
      <c r="T1" s="13" t="s">
        <v>131</v>
      </c>
      <c r="U1" s="13" t="s">
        <v>132</v>
      </c>
      <c r="V1" s="13" t="s">
        <v>133</v>
      </c>
      <c r="W1" s="13" t="s">
        <v>134</v>
      </c>
      <c r="X1" s="13" t="s">
        <v>135</v>
      </c>
      <c r="Y1" s="13" t="s">
        <v>136</v>
      </c>
      <c r="Z1" s="13" t="s">
        <v>137</v>
      </c>
      <c r="AA1" s="13" t="s">
        <v>138</v>
      </c>
      <c r="AB1" s="13" t="s">
        <v>139</v>
      </c>
      <c r="AC1" s="13" t="s">
        <v>140</v>
      </c>
      <c r="AD1" s="13" t="s">
        <v>141</v>
      </c>
      <c r="AE1" s="13" t="s">
        <v>142</v>
      </c>
      <c r="AF1" s="13" t="s">
        <v>143</v>
      </c>
      <c r="AG1" s="13" t="s">
        <v>144</v>
      </c>
      <c r="AH1" s="13" t="s">
        <v>145</v>
      </c>
      <c r="AI1" s="13" t="s">
        <v>42</v>
      </c>
      <c r="AJ1" s="13" t="s">
        <v>146</v>
      </c>
      <c r="AK1" s="13" t="s">
        <v>147</v>
      </c>
      <c r="AL1" s="13" t="s">
        <v>148</v>
      </c>
      <c r="AM1" s="13" t="s">
        <v>149</v>
      </c>
      <c r="AN1" s="13" t="s">
        <v>150</v>
      </c>
      <c r="AO1" s="13" t="s">
        <v>151</v>
      </c>
      <c r="AP1" s="13" t="s">
        <v>153</v>
      </c>
      <c r="AQ1" s="13" t="s">
        <v>154</v>
      </c>
      <c r="AR1" s="13" t="s">
        <v>155</v>
      </c>
      <c r="AS1" s="13" t="s">
        <v>156</v>
      </c>
      <c r="AT1" s="13" t="s">
        <v>157</v>
      </c>
      <c r="AU1" s="13" t="s">
        <v>158</v>
      </c>
      <c r="AV1" s="13" t="s">
        <v>159</v>
      </c>
      <c r="AW1" s="13" t="s">
        <v>160</v>
      </c>
      <c r="AX1" s="13" t="s">
        <v>161</v>
      </c>
      <c r="AY1" s="13" t="s">
        <v>162</v>
      </c>
      <c r="AZ1" s="13" t="s">
        <v>163</v>
      </c>
      <c r="BA1" s="13" t="s">
        <v>164</v>
      </c>
      <c r="BB1" s="13" t="s">
        <v>165</v>
      </c>
      <c r="BC1" s="13" t="s">
        <v>166</v>
      </c>
      <c r="BD1" s="13" t="s">
        <v>167</v>
      </c>
      <c r="BE1" s="13" t="s">
        <v>168</v>
      </c>
      <c r="BF1" s="13" t="s">
        <v>169</v>
      </c>
      <c r="BG1" s="13" t="s">
        <v>170</v>
      </c>
      <c r="BH1" s="13" t="s">
        <v>171</v>
      </c>
      <c r="BI1" s="13" t="s">
        <v>172</v>
      </c>
      <c r="BJ1" s="13" t="s">
        <v>173</v>
      </c>
      <c r="BK1" s="13" t="s">
        <v>174</v>
      </c>
      <c r="BL1" s="13" t="s">
        <v>175</v>
      </c>
      <c r="BM1" s="13" t="s">
        <v>176</v>
      </c>
      <c r="BN1" s="13" t="s">
        <v>177</v>
      </c>
      <c r="BO1" s="13" t="s">
        <v>178</v>
      </c>
      <c r="BP1" s="13" t="s">
        <v>179</v>
      </c>
    </row>
    <row r="2" spans="1:68" x14ac:dyDescent="0.2">
      <c r="A2" s="1">
        <f>GDP!A2</f>
        <v>2020</v>
      </c>
      <c r="B2" s="1">
        <f>'CO2e Emissions'!B2</f>
        <v>551.29200000000003</v>
      </c>
      <c r="C2" s="1">
        <f>'CO2e Emissions'!C2</f>
        <v>551.29200000000003</v>
      </c>
      <c r="D2" s="1">
        <f>'CO2e Emissions'!D2</f>
        <v>551.29200000000003</v>
      </c>
      <c r="E2" s="1">
        <f>'CO2e Emissions (LULUCF excl)'!B2</f>
        <v>533.67600000000004</v>
      </c>
      <c r="F2" s="1">
        <f>'CO2e Emissions (LULUCF excl)'!C2</f>
        <v>533.67600000000004</v>
      </c>
      <c r="G2" s="1">
        <f>'CO2e Emissions (LULUCF excl)'!D2</f>
        <v>533.67600000000004</v>
      </c>
      <c r="H2" s="1">
        <f>'CO2e Emissions by Sector-BAU'!B2</f>
        <v>149.83799999999999</v>
      </c>
      <c r="I2" s="1">
        <f>'CO2e Emissions by Sector-BAU'!C2</f>
        <v>109.61199999999999</v>
      </c>
      <c r="J2" s="1">
        <f>'CO2e Emissions by Sector-BAU'!D2</f>
        <v>16.5474</v>
      </c>
      <c r="K2" s="1">
        <f>'CO2e Emissions by Sector-BAU'!E2</f>
        <v>4.1658600000000003</v>
      </c>
      <c r="L2" s="1">
        <f>'CO2e Emissions by Sector-BAU'!F2</f>
        <v>124.17</v>
      </c>
      <c r="M2" s="1">
        <f>'CO2e Emissions by Sector-BAU'!G2</f>
        <v>0</v>
      </c>
      <c r="N2" s="1">
        <f>'CO2e Emissions by Sector-BAU'!H2</f>
        <v>17.6158</v>
      </c>
      <c r="O2" s="1">
        <f>'CO2e Emissions by Sector-BAU'!I2</f>
        <v>79.9983</v>
      </c>
      <c r="P2" s="1">
        <f>'CO2e Emissions by Sector-BAU'!J2</f>
        <v>49.344499999999996</v>
      </c>
      <c r="Q2" s="1">
        <f>'CO2e Emissions by Sector-Expert'!B2</f>
        <v>151.84</v>
      </c>
      <c r="R2" s="1">
        <f>'CO2e Emissions by Sector-Expert'!C2</f>
        <v>109.596</v>
      </c>
      <c r="S2" s="1">
        <f>'CO2e Emissions by Sector-Expert'!D2</f>
        <v>16.5471</v>
      </c>
      <c r="T2" s="1">
        <f>'CO2e Emissions by Sector-Expert'!E2</f>
        <v>4.1660399999999997</v>
      </c>
      <c r="U2" s="1">
        <f>'CO2e Emissions by Sector-Expert'!F2</f>
        <v>124.17</v>
      </c>
      <c r="V2" s="1">
        <f>'CO2e Emissions by Sector-Expert'!G2</f>
        <v>0</v>
      </c>
      <c r="W2" s="1">
        <f>'CO2e Emissions by Sector-Expert'!H2</f>
        <v>17.637</v>
      </c>
      <c r="X2" s="1">
        <f>'CO2e Emissions by Sector-Expert'!I2</f>
        <v>79.985799999999998</v>
      </c>
      <c r="Y2" s="1">
        <f>'CO2e Emissions by Sector-Expert'!J2</f>
        <v>49.355699999999999</v>
      </c>
      <c r="Z2" s="1">
        <f>'CO2e Emissions by Sector-CAS'!B2</f>
        <v>149.83799999999999</v>
      </c>
      <c r="AA2" s="1">
        <f>'CO2e Emissions by Sector-CAS'!C2</f>
        <v>109.61199999999999</v>
      </c>
      <c r="AB2" s="1">
        <f>'CO2e Emissions by Sector-CAS'!D2</f>
        <v>16.5474</v>
      </c>
      <c r="AC2" s="1">
        <f>'CO2e Emissions by Sector-CAS'!E2</f>
        <v>4.1658600000000003</v>
      </c>
      <c r="AD2" s="1">
        <f>'CO2e Emissions by Sector-CAS'!F2</f>
        <v>124.17</v>
      </c>
      <c r="AE2" s="1">
        <f>'CO2e Emissions by Sector-CAS'!G2</f>
        <v>0</v>
      </c>
      <c r="AF2" s="1">
        <f>'CO2e Emissions by Sector-CAS'!H2</f>
        <v>17.6158</v>
      </c>
      <c r="AG2" s="1">
        <f>'CO2e Emissions by Sector-CAS'!I2</f>
        <v>79.9983</v>
      </c>
      <c r="AH2" s="1">
        <f>'CO2e Emissions by Sector-CAS'!J2</f>
        <v>49.344499999999996</v>
      </c>
      <c r="AI2" s="13" t="str">
        <f>'EG-BAU'!A23</f>
        <v>Coal</v>
      </c>
      <c r="AJ2" s="1">
        <f>'EG-BAU-2030'!B2</f>
        <v>18.657499999999999</v>
      </c>
      <c r="AK2" s="1">
        <f>'EG-BAU-2050'!B2</f>
        <v>12.687200000000001</v>
      </c>
      <c r="AL2" s="1">
        <f>'EG-Expert-2030'!B2</f>
        <v>18.282800000000002</v>
      </c>
      <c r="AM2" s="1">
        <f>'EG-Expert-2050'!B2</f>
        <v>9.8270499999999998</v>
      </c>
      <c r="AN2" s="1">
        <f>'EG-CAS-2030'!B2</f>
        <v>0</v>
      </c>
      <c r="AO2" s="1">
        <f>'EG-CAS-2050'!B2</f>
        <v>0</v>
      </c>
      <c r="AP2" s="1">
        <f>GDP!B2</f>
        <v>0</v>
      </c>
      <c r="AQ2" s="1">
        <f>GDP!C2</f>
        <v>0</v>
      </c>
      <c r="AR2" s="1">
        <f>GDP!D2</f>
        <v>0</v>
      </c>
      <c r="AS2" s="1">
        <f>Jobs!B2</f>
        <v>0</v>
      </c>
      <c r="AT2" s="1">
        <f>Jobs!C2</f>
        <v>0</v>
      </c>
      <c r="AU2" s="1">
        <f>Jobs!D2</f>
        <v>0</v>
      </c>
      <c r="AV2" s="1">
        <f>Debt!B2</f>
        <v>0</v>
      </c>
      <c r="AW2" s="1">
        <f>Debt!C2</f>
        <v>0</v>
      </c>
      <c r="AX2" s="1">
        <f>Debt!D2</f>
        <v>0</v>
      </c>
      <c r="AY2" s="1">
        <f>'GCF-Expert'!B2</f>
        <v>0</v>
      </c>
      <c r="AZ2" s="1">
        <f>'GCF-Expert'!C2</f>
        <v>0</v>
      </c>
      <c r="BA2" s="1">
        <f>'GCF-Expert'!D2</f>
        <v>0</v>
      </c>
      <c r="BB2" s="1">
        <f>'GCF-Expert'!E2</f>
        <v>0</v>
      </c>
      <c r="BC2" s="1">
        <f>'GCF-Expert'!F2</f>
        <v>0</v>
      </c>
      <c r="BD2" s="1">
        <f>'GCF-Expert'!G2</f>
        <v>0</v>
      </c>
      <c r="BE2" s="1">
        <f>'GCF-Expert'!H2</f>
        <v>0</v>
      </c>
      <c r="BF2" s="1">
        <f>'GCF-Expert'!I2</f>
        <v>0</v>
      </c>
      <c r="BG2" s="1">
        <f>'GCF-Expert'!J2</f>
        <v>0</v>
      </c>
      <c r="BH2" s="1">
        <f>'GCF-CAS'!B2</f>
        <v>0</v>
      </c>
      <c r="BI2" s="1">
        <f>'GCF-CAS'!C2</f>
        <v>0</v>
      </c>
      <c r="BJ2" s="1">
        <f>'GCF-CAS'!D2</f>
        <v>0</v>
      </c>
      <c r="BK2" s="1">
        <f>'GCF-CAS'!E2</f>
        <v>0</v>
      </c>
      <c r="BL2" s="1">
        <f>'GCF-CAS'!F2</f>
        <v>0</v>
      </c>
      <c r="BM2" s="1">
        <f>'GCF-CAS'!G2</f>
        <v>0</v>
      </c>
      <c r="BN2" s="1">
        <f>'GCF-CAS'!H2</f>
        <v>0</v>
      </c>
      <c r="BO2" s="1">
        <f>'GCF-CAS'!I2</f>
        <v>0</v>
      </c>
      <c r="BP2" s="1">
        <f>'GCF-CAS'!J2</f>
        <v>0</v>
      </c>
    </row>
    <row r="3" spans="1:68" x14ac:dyDescent="0.2">
      <c r="A3" s="1">
        <f>GDP!A3</f>
        <v>2021</v>
      </c>
      <c r="B3" s="1">
        <f>'CO2e Emissions'!B3</f>
        <v>571.18600000000004</v>
      </c>
      <c r="C3" s="1">
        <f>'CO2e Emissions'!C3</f>
        <v>571.18600000000004</v>
      </c>
      <c r="D3" s="1">
        <f>'CO2e Emissions'!D3</f>
        <v>571.18600000000004</v>
      </c>
      <c r="E3" s="1">
        <f>'CO2e Emissions (LULUCF excl)'!B3</f>
        <v>553.66700000000003</v>
      </c>
      <c r="F3" s="1">
        <f>'CO2e Emissions (LULUCF excl)'!C3</f>
        <v>553.66700000000003</v>
      </c>
      <c r="G3" s="1">
        <f>'CO2e Emissions (LULUCF excl)'!D3</f>
        <v>553.66700000000003</v>
      </c>
      <c r="H3" s="1">
        <f>'CO2e Emissions by Sector-BAU'!B3</f>
        <v>153.60499999999999</v>
      </c>
      <c r="I3" s="1">
        <f>'CO2e Emissions by Sector-BAU'!C3</f>
        <v>118.194</v>
      </c>
      <c r="J3" s="1">
        <f>'CO2e Emissions by Sector-BAU'!D3</f>
        <v>16.546900000000001</v>
      </c>
      <c r="K3" s="1">
        <f>'CO2e Emissions by Sector-BAU'!E3</f>
        <v>4.18492</v>
      </c>
      <c r="L3" s="1">
        <f>'CO2e Emissions by Sector-BAU'!F3</f>
        <v>130.483</v>
      </c>
      <c r="M3" s="1">
        <f>'CO2e Emissions by Sector-BAU'!G3</f>
        <v>5.2299999999999999E-6</v>
      </c>
      <c r="N3" s="1">
        <f>'CO2e Emissions by Sector-BAU'!H3</f>
        <v>17.519300000000001</v>
      </c>
      <c r="O3" s="1">
        <f>'CO2e Emissions by Sector-BAU'!I3</f>
        <v>80.494</v>
      </c>
      <c r="P3" s="1">
        <f>'CO2e Emissions by Sector-BAU'!J3</f>
        <v>50.158700000000003</v>
      </c>
      <c r="Q3" s="1">
        <f>'CO2e Emissions by Sector-Expert'!B3</f>
        <v>155.69399999999999</v>
      </c>
      <c r="R3" s="1">
        <f>'CO2e Emissions by Sector-Expert'!C3</f>
        <v>118.146</v>
      </c>
      <c r="S3" s="1">
        <f>'CO2e Emissions by Sector-Expert'!D3</f>
        <v>16.549700000000001</v>
      </c>
      <c r="T3" s="1">
        <f>'CO2e Emissions by Sector-Expert'!E3</f>
        <v>4.1850500000000004</v>
      </c>
      <c r="U3" s="1">
        <f>'CO2e Emissions by Sector-Expert'!F3</f>
        <v>130.49100000000001</v>
      </c>
      <c r="V3" s="1">
        <f>'CO2e Emissions by Sector-Expert'!G3</f>
        <v>5.2299999999999999E-6</v>
      </c>
      <c r="W3" s="1">
        <f>'CO2e Emissions by Sector-Expert'!H3</f>
        <v>17.485099999999999</v>
      </c>
      <c r="X3" s="1">
        <f>'CO2e Emissions by Sector-Expert'!I3</f>
        <v>80.4863</v>
      </c>
      <c r="Y3" s="1">
        <f>'CO2e Emissions by Sector-Expert'!J3</f>
        <v>50.171999999999997</v>
      </c>
      <c r="Z3" s="1">
        <f>'CO2e Emissions by Sector-CAS'!B3</f>
        <v>153.60499999999999</v>
      </c>
      <c r="AA3" s="1">
        <f>'CO2e Emissions by Sector-CAS'!C3</f>
        <v>118.194</v>
      </c>
      <c r="AB3" s="1">
        <f>'CO2e Emissions by Sector-CAS'!D3</f>
        <v>16.546900000000001</v>
      </c>
      <c r="AC3" s="1">
        <f>'CO2e Emissions by Sector-CAS'!E3</f>
        <v>4.18492</v>
      </c>
      <c r="AD3" s="1">
        <f>'CO2e Emissions by Sector-CAS'!F3</f>
        <v>130.483</v>
      </c>
      <c r="AE3" s="1">
        <f>'CO2e Emissions by Sector-CAS'!G3</f>
        <v>5.2299999999999999E-6</v>
      </c>
      <c r="AF3" s="1">
        <f>'CO2e Emissions by Sector-CAS'!H3</f>
        <v>17.519300000000001</v>
      </c>
      <c r="AG3" s="1">
        <f>'CO2e Emissions by Sector-CAS'!I3</f>
        <v>80.494</v>
      </c>
      <c r="AH3" s="1">
        <f>'CO2e Emissions by Sector-CAS'!J3</f>
        <v>50.158700000000003</v>
      </c>
      <c r="AI3" s="13" t="str">
        <f>'EG-BAU'!A24</f>
        <v>Natural Gas</v>
      </c>
      <c r="AJ3" s="1">
        <f>'EG-BAU-2030'!B3</f>
        <v>189.89606000000001</v>
      </c>
      <c r="AK3" s="1">
        <f>'EG-BAU-2050'!B3</f>
        <v>224.93630000000002</v>
      </c>
      <c r="AL3" s="1">
        <f>'EG-Expert-2030'!B3</f>
        <v>187.12882000000002</v>
      </c>
      <c r="AM3" s="1">
        <f>'EG-Expert-2050'!B3</f>
        <v>202.37190000000001</v>
      </c>
      <c r="AN3" s="1">
        <f>'EG-CAS-2030'!B3</f>
        <v>108.08882</v>
      </c>
      <c r="AO3" s="1">
        <f>'EG-CAS-2050'!B3</f>
        <v>15.395770000000001</v>
      </c>
      <c r="AP3" s="1">
        <f>GDP!B3</f>
        <v>0</v>
      </c>
      <c r="AQ3" s="1">
        <f>GDP!C3</f>
        <v>0</v>
      </c>
      <c r="AR3" s="1">
        <f>GDP!D3</f>
        <v>0</v>
      </c>
      <c r="AS3" s="1">
        <f>Jobs!B3</f>
        <v>0</v>
      </c>
      <c r="AT3" s="1">
        <f>Jobs!C3</f>
        <v>0</v>
      </c>
      <c r="AU3" s="1">
        <f>Jobs!D3</f>
        <v>0</v>
      </c>
      <c r="AV3" s="1">
        <f>Debt!B3</f>
        <v>0</v>
      </c>
      <c r="AW3" s="1">
        <f>Debt!C3</f>
        <v>0</v>
      </c>
      <c r="AX3" s="1">
        <f>Debt!D3</f>
        <v>0</v>
      </c>
      <c r="AY3" s="1">
        <f>'GCF-Expert'!B3</f>
        <v>0</v>
      </c>
      <c r="AZ3" s="1">
        <f>'GCF-Expert'!C3</f>
        <v>0</v>
      </c>
      <c r="BA3" s="1">
        <f>'GCF-Expert'!D3</f>
        <v>0</v>
      </c>
      <c r="BB3" s="1">
        <f>'GCF-Expert'!E3</f>
        <v>0</v>
      </c>
      <c r="BC3" s="1">
        <f>'GCF-Expert'!F3</f>
        <v>0</v>
      </c>
      <c r="BD3" s="1">
        <f>'GCF-Expert'!G3</f>
        <v>0</v>
      </c>
      <c r="BE3" s="1">
        <f>'GCF-Expert'!H3</f>
        <v>0</v>
      </c>
      <c r="BF3" s="1">
        <f>'GCF-Expert'!I3</f>
        <v>0</v>
      </c>
      <c r="BG3" s="1">
        <f>'GCF-Expert'!J3</f>
        <v>0</v>
      </c>
      <c r="BH3" s="1">
        <f>'GCF-CAS'!B3</f>
        <v>0</v>
      </c>
      <c r="BI3" s="1">
        <f>'GCF-CAS'!C3</f>
        <v>0</v>
      </c>
      <c r="BJ3" s="1">
        <f>'GCF-CAS'!D3</f>
        <v>0</v>
      </c>
      <c r="BK3" s="1">
        <f>'GCF-CAS'!E3</f>
        <v>0</v>
      </c>
      <c r="BL3" s="1">
        <f>'GCF-CAS'!F3</f>
        <v>0</v>
      </c>
      <c r="BM3" s="1">
        <f>'GCF-CAS'!G3</f>
        <v>0</v>
      </c>
      <c r="BN3" s="1">
        <f>'GCF-CAS'!H3</f>
        <v>0</v>
      </c>
      <c r="BO3" s="1">
        <f>'GCF-CAS'!I3</f>
        <v>0</v>
      </c>
      <c r="BP3" s="1">
        <f>'GCF-CAS'!J3</f>
        <v>0</v>
      </c>
    </row>
    <row r="4" spans="1:68" x14ac:dyDescent="0.2">
      <c r="A4" s="1">
        <f>GDP!A4</f>
        <v>2022</v>
      </c>
      <c r="B4" s="1">
        <f>'CO2e Emissions'!B4</f>
        <v>587.30200000000002</v>
      </c>
      <c r="C4" s="1">
        <f>'CO2e Emissions'!C4</f>
        <v>587.30200000000002</v>
      </c>
      <c r="D4" s="1">
        <f>'CO2e Emissions'!D4</f>
        <v>587.30200000000002</v>
      </c>
      <c r="E4" s="1">
        <f>'CO2e Emissions (LULUCF excl)'!B4</f>
        <v>569.98</v>
      </c>
      <c r="F4" s="1">
        <f>'CO2e Emissions (LULUCF excl)'!C4</f>
        <v>569.98</v>
      </c>
      <c r="G4" s="1">
        <f>'CO2e Emissions (LULUCF excl)'!D4</f>
        <v>569.98</v>
      </c>
      <c r="H4" s="1">
        <f>'CO2e Emissions by Sector-BAU'!B4</f>
        <v>157.84399999999999</v>
      </c>
      <c r="I4" s="1">
        <f>'CO2e Emissions by Sector-BAU'!C4</f>
        <v>126.295</v>
      </c>
      <c r="J4" s="1">
        <f>'CO2e Emissions by Sector-BAU'!D4</f>
        <v>16.532800000000002</v>
      </c>
      <c r="K4" s="1">
        <f>'CO2e Emissions by Sector-BAU'!E4</f>
        <v>4.1991399999999999</v>
      </c>
      <c r="L4" s="1">
        <f>'CO2e Emissions by Sector-BAU'!F4</f>
        <v>133.136</v>
      </c>
      <c r="M4" s="1">
        <f>'CO2e Emissions by Sector-BAU'!G4</f>
        <v>1.0417999999999999E-5</v>
      </c>
      <c r="N4" s="1">
        <f>'CO2e Emissions by Sector-BAU'!H4</f>
        <v>17.322299999999998</v>
      </c>
      <c r="O4" s="1">
        <f>'CO2e Emissions by Sector-BAU'!I4</f>
        <v>80.972499999999997</v>
      </c>
      <c r="P4" s="1">
        <f>'CO2e Emissions by Sector-BAU'!J4</f>
        <v>51.000799999999998</v>
      </c>
      <c r="Q4" s="1">
        <f>'CO2e Emissions by Sector-Expert'!B4</f>
        <v>160.041</v>
      </c>
      <c r="R4" s="1">
        <f>'CO2e Emissions by Sector-Expert'!C4</f>
        <v>126.30500000000001</v>
      </c>
      <c r="S4" s="1">
        <f>'CO2e Emissions by Sector-Expert'!D4</f>
        <v>16.5303</v>
      </c>
      <c r="T4" s="1">
        <f>'CO2e Emissions by Sector-Expert'!E4</f>
        <v>4.1993</v>
      </c>
      <c r="U4" s="1">
        <f>'CO2e Emissions by Sector-Expert'!F4</f>
        <v>133.137</v>
      </c>
      <c r="V4" s="1">
        <f>'CO2e Emissions by Sector-Expert'!G4</f>
        <v>1.0417999999999999E-5</v>
      </c>
      <c r="W4" s="1">
        <f>'CO2e Emissions by Sector-Expert'!H4</f>
        <v>17.333200000000001</v>
      </c>
      <c r="X4" s="1">
        <f>'CO2e Emissions by Sector-Expert'!I4</f>
        <v>80.968100000000007</v>
      </c>
      <c r="Y4" s="1">
        <f>'CO2e Emissions by Sector-Expert'!J4</f>
        <v>50.988599999999998</v>
      </c>
      <c r="Z4" s="1">
        <f>'CO2e Emissions by Sector-CAS'!B4</f>
        <v>157.84399999999999</v>
      </c>
      <c r="AA4" s="1">
        <f>'CO2e Emissions by Sector-CAS'!C4</f>
        <v>126.295</v>
      </c>
      <c r="AB4" s="1">
        <f>'CO2e Emissions by Sector-CAS'!D4</f>
        <v>16.532800000000002</v>
      </c>
      <c r="AC4" s="1">
        <f>'CO2e Emissions by Sector-CAS'!E4</f>
        <v>4.1991399999999999</v>
      </c>
      <c r="AD4" s="1">
        <f>'CO2e Emissions by Sector-CAS'!F4</f>
        <v>133.136</v>
      </c>
      <c r="AE4" s="1">
        <f>'CO2e Emissions by Sector-CAS'!G4</f>
        <v>1.0417999999999999E-5</v>
      </c>
      <c r="AF4" s="1">
        <f>'CO2e Emissions by Sector-CAS'!H4</f>
        <v>17.322299999999998</v>
      </c>
      <c r="AG4" s="1">
        <f>'CO2e Emissions by Sector-CAS'!I4</f>
        <v>80.972499999999997</v>
      </c>
      <c r="AH4" s="1">
        <f>'CO2e Emissions by Sector-CAS'!J4</f>
        <v>51.000799999999998</v>
      </c>
      <c r="AI4" s="13" t="str">
        <f>'EG-BAU'!A25</f>
        <v>Solar</v>
      </c>
      <c r="AJ4" s="1">
        <f>'EG-BAU-2030'!B4</f>
        <v>93.244299999999996</v>
      </c>
      <c r="AK4" s="1">
        <f>'EG-BAU-2050'!B4</f>
        <v>227.43199999999999</v>
      </c>
      <c r="AL4" s="1">
        <f>'EG-Expert-2030'!B4</f>
        <v>94.417400000000001</v>
      </c>
      <c r="AM4" s="1">
        <f>'EG-Expert-2050'!B4</f>
        <v>242.07599999999999</v>
      </c>
      <c r="AN4" s="1">
        <f>'EG-CAS-2030'!B4</f>
        <v>136.173</v>
      </c>
      <c r="AO4" s="1">
        <f>'EG-CAS-2050'!B4</f>
        <v>397.68020000000001</v>
      </c>
      <c r="AP4" s="1">
        <f>GDP!B4</f>
        <v>0</v>
      </c>
      <c r="AQ4" s="1">
        <f>GDP!C4</f>
        <v>0</v>
      </c>
      <c r="AR4" s="1">
        <f>GDP!D4</f>
        <v>0</v>
      </c>
      <c r="AS4" s="1">
        <f>Jobs!B4</f>
        <v>0</v>
      </c>
      <c r="AT4" s="1">
        <f>Jobs!C4</f>
        <v>0</v>
      </c>
      <c r="AU4" s="1">
        <f>Jobs!D4</f>
        <v>0</v>
      </c>
      <c r="AV4" s="1">
        <f>Debt!B4</f>
        <v>0</v>
      </c>
      <c r="AW4" s="1">
        <f>Debt!C4</f>
        <v>0</v>
      </c>
      <c r="AX4" s="1">
        <f>Debt!D4</f>
        <v>0</v>
      </c>
      <c r="AY4" s="1">
        <f>'GCF-Expert'!B4</f>
        <v>0</v>
      </c>
      <c r="AZ4" s="1">
        <f>'GCF-Expert'!C4</f>
        <v>0</v>
      </c>
      <c r="BA4" s="1">
        <f>'GCF-Expert'!D4</f>
        <v>0</v>
      </c>
      <c r="BB4" s="1">
        <f>'GCF-Expert'!E4</f>
        <v>0</v>
      </c>
      <c r="BC4" s="1">
        <f>'GCF-Expert'!F4</f>
        <v>0</v>
      </c>
      <c r="BD4" s="1">
        <f>'GCF-Expert'!G4</f>
        <v>0</v>
      </c>
      <c r="BE4" s="1">
        <f>'GCF-Expert'!H4</f>
        <v>0</v>
      </c>
      <c r="BF4" s="1">
        <f>'GCF-Expert'!I4</f>
        <v>0</v>
      </c>
      <c r="BG4" s="1">
        <f>'GCF-Expert'!J4</f>
        <v>0</v>
      </c>
      <c r="BH4" s="1">
        <f>'GCF-CAS'!B4</f>
        <v>0</v>
      </c>
      <c r="BI4" s="1">
        <f>'GCF-CAS'!C4</f>
        <v>0</v>
      </c>
      <c r="BJ4" s="1">
        <f>'GCF-CAS'!D4</f>
        <v>0</v>
      </c>
      <c r="BK4" s="1">
        <f>'GCF-CAS'!E4</f>
        <v>0</v>
      </c>
      <c r="BL4" s="1">
        <f>'GCF-CAS'!F4</f>
        <v>0</v>
      </c>
      <c r="BM4" s="1">
        <f>'GCF-CAS'!G4</f>
        <v>0</v>
      </c>
      <c r="BN4" s="1">
        <f>'GCF-CAS'!H4</f>
        <v>0</v>
      </c>
      <c r="BO4" s="1">
        <f>'GCF-CAS'!I4</f>
        <v>0</v>
      </c>
      <c r="BP4" s="1">
        <f>'GCF-CAS'!J4</f>
        <v>0</v>
      </c>
    </row>
    <row r="5" spans="1:68" x14ac:dyDescent="0.2">
      <c r="A5" s="1">
        <f>GDP!A5</f>
        <v>2023</v>
      </c>
      <c r="B5" s="1">
        <f>'CO2e Emissions'!B5</f>
        <v>594.024</v>
      </c>
      <c r="C5" s="1">
        <f>'CO2e Emissions'!C5</f>
        <v>594.024</v>
      </c>
      <c r="D5" s="1">
        <f>'CO2e Emissions'!D5</f>
        <v>594.024</v>
      </c>
      <c r="E5" s="1">
        <f>'CO2e Emissions (LULUCF excl)'!B5</f>
        <v>576.79899999999998</v>
      </c>
      <c r="F5" s="1">
        <f>'CO2e Emissions (LULUCF excl)'!C5</f>
        <v>576.79899999999998</v>
      </c>
      <c r="G5" s="1">
        <f>'CO2e Emissions (LULUCF excl)'!D5</f>
        <v>576.79899999999998</v>
      </c>
      <c r="H5" s="1">
        <f>'CO2e Emissions by Sector-BAU'!B5</f>
        <v>162.54300000000001</v>
      </c>
      <c r="I5" s="1">
        <f>'CO2e Emissions by Sector-BAU'!C5</f>
        <v>124.52</v>
      </c>
      <c r="J5" s="1">
        <f>'CO2e Emissions by Sector-BAU'!D5</f>
        <v>16.506</v>
      </c>
      <c r="K5" s="1">
        <f>'CO2e Emissions by Sector-BAU'!E5</f>
        <v>4.20967</v>
      </c>
      <c r="L5" s="1">
        <f>'CO2e Emissions by Sector-BAU'!F5</f>
        <v>135.75700000000001</v>
      </c>
      <c r="M5" s="1">
        <f>'CO2e Emissions by Sector-BAU'!G5</f>
        <v>1.5707999999999999E-5</v>
      </c>
      <c r="N5" s="1">
        <f>'CO2e Emissions by Sector-BAU'!H5</f>
        <v>17.2256</v>
      </c>
      <c r="O5" s="1">
        <f>'CO2e Emissions by Sector-BAU'!I5</f>
        <v>81.448700000000002</v>
      </c>
      <c r="P5" s="1">
        <f>'CO2e Emissions by Sector-BAU'!J5</f>
        <v>51.814999999999998</v>
      </c>
      <c r="Q5" s="1">
        <f>'CO2e Emissions by Sector-Expert'!B5</f>
        <v>164.875</v>
      </c>
      <c r="R5" s="1">
        <f>'CO2e Emissions by Sector-Expert'!C5</f>
        <v>124.48699999999999</v>
      </c>
      <c r="S5" s="1">
        <f>'CO2e Emissions by Sector-Expert'!D5</f>
        <v>16.505500000000001</v>
      </c>
      <c r="T5" s="1">
        <f>'CO2e Emissions by Sector-Expert'!E5</f>
        <v>4.20939</v>
      </c>
      <c r="U5" s="1">
        <f>'CO2e Emissions by Sector-Expert'!F5</f>
        <v>135.73599999999999</v>
      </c>
      <c r="V5" s="1">
        <f>'CO2e Emissions by Sector-Expert'!G5</f>
        <v>1.5707999999999999E-5</v>
      </c>
      <c r="W5" s="1">
        <f>'CO2e Emissions by Sector-Expert'!H5</f>
        <v>17.1813</v>
      </c>
      <c r="X5" s="1">
        <f>'CO2e Emissions by Sector-Expert'!I5</f>
        <v>81.449100000000001</v>
      </c>
      <c r="Y5" s="1">
        <f>'CO2e Emissions by Sector-Expert'!J5</f>
        <v>51.805199999999999</v>
      </c>
      <c r="Z5" s="1">
        <f>'CO2e Emissions by Sector-CAS'!B5</f>
        <v>162.54300000000001</v>
      </c>
      <c r="AA5" s="1">
        <f>'CO2e Emissions by Sector-CAS'!C5</f>
        <v>124.52</v>
      </c>
      <c r="AB5" s="1">
        <f>'CO2e Emissions by Sector-CAS'!D5</f>
        <v>16.506</v>
      </c>
      <c r="AC5" s="1">
        <f>'CO2e Emissions by Sector-CAS'!E5</f>
        <v>4.20967</v>
      </c>
      <c r="AD5" s="1">
        <f>'CO2e Emissions by Sector-CAS'!F5</f>
        <v>135.75700000000001</v>
      </c>
      <c r="AE5" s="1">
        <f>'CO2e Emissions by Sector-CAS'!G5</f>
        <v>1.5707999999999999E-5</v>
      </c>
      <c r="AF5" s="1">
        <f>'CO2e Emissions by Sector-CAS'!H5</f>
        <v>17.2256</v>
      </c>
      <c r="AG5" s="1">
        <f>'CO2e Emissions by Sector-CAS'!I5</f>
        <v>81.448700000000002</v>
      </c>
      <c r="AH5" s="1">
        <f>'CO2e Emissions by Sector-CAS'!J5</f>
        <v>51.814999999999998</v>
      </c>
      <c r="AI5" s="13" t="str">
        <f>'EG-BAU'!A26</f>
        <v>Wind</v>
      </c>
      <c r="AJ5" s="1">
        <f>'EG-BAU-2030'!B5</f>
        <v>60.861730000000001</v>
      </c>
      <c r="AK5" s="1">
        <f>'EG-BAU-2050'!B5</f>
        <v>102.4973</v>
      </c>
      <c r="AL5" s="1">
        <f>'EG-Expert-2030'!B5</f>
        <v>61.341420000000006</v>
      </c>
      <c r="AM5" s="1">
        <f>'EG-Expert-2050'!B5</f>
        <v>107.45493999999999</v>
      </c>
      <c r="AN5" s="1">
        <f>'EG-CAS-2030'!B5</f>
        <v>81.385449999999992</v>
      </c>
      <c r="AO5" s="1">
        <f>'EG-CAS-2050'!B5</f>
        <v>162.84007</v>
      </c>
      <c r="AP5" s="1">
        <f>GDP!B5</f>
        <v>0</v>
      </c>
      <c r="AQ5" s="1">
        <f>GDP!C5</f>
        <v>0</v>
      </c>
      <c r="AR5" s="1">
        <f>GDP!D5</f>
        <v>0</v>
      </c>
      <c r="AS5" s="1">
        <f>Jobs!B5</f>
        <v>0</v>
      </c>
      <c r="AT5" s="1">
        <f>Jobs!C5</f>
        <v>0</v>
      </c>
      <c r="AU5" s="1">
        <f>Jobs!D5</f>
        <v>0</v>
      </c>
      <c r="AV5" s="1">
        <f>Debt!B5</f>
        <v>0</v>
      </c>
      <c r="AW5" s="1">
        <f>Debt!C5</f>
        <v>0</v>
      </c>
      <c r="AX5" s="1">
        <f>Debt!D5</f>
        <v>0</v>
      </c>
      <c r="AY5" s="1">
        <f>'GCF-Expert'!B5</f>
        <v>0</v>
      </c>
      <c r="AZ5" s="1">
        <f>'GCF-Expert'!C5</f>
        <v>0</v>
      </c>
      <c r="BA5" s="1">
        <f>'GCF-Expert'!D5</f>
        <v>0</v>
      </c>
      <c r="BB5" s="1">
        <f>'GCF-Expert'!E5</f>
        <v>0</v>
      </c>
      <c r="BC5" s="1">
        <f>'GCF-Expert'!F5</f>
        <v>0</v>
      </c>
      <c r="BD5" s="1">
        <f>'GCF-Expert'!G5</f>
        <v>0</v>
      </c>
      <c r="BE5" s="1">
        <f>'GCF-Expert'!H5</f>
        <v>0</v>
      </c>
      <c r="BF5" s="1">
        <f>'GCF-Expert'!I5</f>
        <v>0</v>
      </c>
      <c r="BG5" s="1">
        <f>'GCF-Expert'!J5</f>
        <v>0</v>
      </c>
      <c r="BH5" s="1">
        <f>'GCF-CAS'!B5</f>
        <v>0</v>
      </c>
      <c r="BI5" s="1">
        <f>'GCF-CAS'!C5</f>
        <v>0</v>
      </c>
      <c r="BJ5" s="1">
        <f>'GCF-CAS'!D5</f>
        <v>0</v>
      </c>
      <c r="BK5" s="1">
        <f>'GCF-CAS'!E5</f>
        <v>0</v>
      </c>
      <c r="BL5" s="1">
        <f>'GCF-CAS'!F5</f>
        <v>0</v>
      </c>
      <c r="BM5" s="1">
        <f>'GCF-CAS'!G5</f>
        <v>0</v>
      </c>
      <c r="BN5" s="1">
        <f>'GCF-CAS'!H5</f>
        <v>0</v>
      </c>
      <c r="BO5" s="1">
        <f>'GCF-CAS'!I5</f>
        <v>0</v>
      </c>
      <c r="BP5" s="1">
        <f>'GCF-CAS'!J5</f>
        <v>0</v>
      </c>
    </row>
    <row r="6" spans="1:68" x14ac:dyDescent="0.2">
      <c r="A6" s="1">
        <f>GDP!A6</f>
        <v>2024</v>
      </c>
      <c r="B6" s="1">
        <f>'CO2e Emissions'!B6</f>
        <v>602.923</v>
      </c>
      <c r="C6" s="1">
        <f>'CO2e Emissions'!C6</f>
        <v>602.923</v>
      </c>
      <c r="D6" s="1">
        <f>'CO2e Emissions'!D6</f>
        <v>602.923</v>
      </c>
      <c r="E6" s="1">
        <f>'CO2e Emissions (LULUCF excl)'!B6</f>
        <v>585.89400000000001</v>
      </c>
      <c r="F6" s="1">
        <f>'CO2e Emissions (LULUCF excl)'!C6</f>
        <v>585.89400000000001</v>
      </c>
      <c r="G6" s="1">
        <f>'CO2e Emissions (LULUCF excl)'!D6</f>
        <v>585.89400000000001</v>
      </c>
      <c r="H6" s="1">
        <f>'CO2e Emissions by Sector-BAU'!B6</f>
        <v>167.322</v>
      </c>
      <c r="I6" s="1">
        <f>'CO2e Emissions by Sector-BAU'!C6</f>
        <v>124.958</v>
      </c>
      <c r="J6" s="1">
        <f>'CO2e Emissions by Sector-BAU'!D6</f>
        <v>16.4862</v>
      </c>
      <c r="K6" s="1">
        <f>'CO2e Emissions by Sector-BAU'!E6</f>
        <v>4.2210700000000001</v>
      </c>
      <c r="L6" s="1">
        <f>'CO2e Emissions by Sector-BAU'!F6</f>
        <v>138.35300000000001</v>
      </c>
      <c r="M6" s="1">
        <f>'CO2e Emissions by Sector-BAU'!G6</f>
        <v>2.0934E-5</v>
      </c>
      <c r="N6" s="1">
        <f>'CO2e Emissions by Sector-BAU'!H6</f>
        <v>17.029199999999999</v>
      </c>
      <c r="O6" s="1">
        <f>'CO2e Emissions by Sector-BAU'!I6</f>
        <v>81.924599999999998</v>
      </c>
      <c r="P6" s="1">
        <f>'CO2e Emissions by Sector-BAU'!J6</f>
        <v>52.628999999999998</v>
      </c>
      <c r="Q6" s="1">
        <f>'CO2e Emissions by Sector-Expert'!B6</f>
        <v>169.809</v>
      </c>
      <c r="R6" s="1">
        <f>'CO2e Emissions by Sector-Expert'!C6</f>
        <v>124.90900000000001</v>
      </c>
      <c r="S6" s="1">
        <f>'CO2e Emissions by Sector-Expert'!D6</f>
        <v>16.4831</v>
      </c>
      <c r="T6" s="1">
        <f>'CO2e Emissions by Sector-Expert'!E6</f>
        <v>4.2212699999999996</v>
      </c>
      <c r="U6" s="1">
        <f>'CO2e Emissions by Sector-Expert'!F6</f>
        <v>138.33799999999999</v>
      </c>
      <c r="V6" s="1">
        <f>'CO2e Emissions by Sector-Expert'!G6</f>
        <v>2.0934E-5</v>
      </c>
      <c r="W6" s="1">
        <f>'CO2e Emissions by Sector-Expert'!H6</f>
        <v>17.029399999999999</v>
      </c>
      <c r="X6" s="1">
        <f>'CO2e Emissions by Sector-Expert'!I6</f>
        <v>81.9298</v>
      </c>
      <c r="Y6" s="1">
        <f>'CO2e Emissions by Sector-Expert'!J6</f>
        <v>52.621699999999997</v>
      </c>
      <c r="Z6" s="1">
        <f>'CO2e Emissions by Sector-CAS'!B6</f>
        <v>167.322</v>
      </c>
      <c r="AA6" s="1">
        <f>'CO2e Emissions by Sector-CAS'!C6</f>
        <v>124.958</v>
      </c>
      <c r="AB6" s="1">
        <f>'CO2e Emissions by Sector-CAS'!D6</f>
        <v>16.4862</v>
      </c>
      <c r="AC6" s="1">
        <f>'CO2e Emissions by Sector-CAS'!E6</f>
        <v>4.2210700000000001</v>
      </c>
      <c r="AD6" s="1">
        <f>'CO2e Emissions by Sector-CAS'!F6</f>
        <v>138.35300000000001</v>
      </c>
      <c r="AE6" s="1">
        <f>'CO2e Emissions by Sector-CAS'!G6</f>
        <v>2.0934E-5</v>
      </c>
      <c r="AF6" s="1">
        <f>'CO2e Emissions by Sector-CAS'!H6</f>
        <v>17.029199999999999</v>
      </c>
      <c r="AG6" s="1">
        <f>'CO2e Emissions by Sector-CAS'!I6</f>
        <v>81.924599999999998</v>
      </c>
      <c r="AH6" s="1">
        <f>'CO2e Emissions by Sector-CAS'!J6</f>
        <v>52.628999999999998</v>
      </c>
      <c r="AI6" s="13" t="str">
        <f>'EG-BAU'!A27</f>
        <v>Hydro</v>
      </c>
      <c r="AJ6" s="1">
        <f>'EG-BAU-2030'!B6</f>
        <v>31.305900000000001</v>
      </c>
      <c r="AK6" s="1">
        <f>'EG-BAU-2050'!B6</f>
        <v>31.305900000000001</v>
      </c>
      <c r="AL6" s="1">
        <f>'EG-Expert-2030'!B6</f>
        <v>31.305900000000001</v>
      </c>
      <c r="AM6" s="1">
        <f>'EG-Expert-2050'!B6</f>
        <v>31.305900000000001</v>
      </c>
      <c r="AN6" s="1">
        <f>'EG-CAS-2030'!B6</f>
        <v>31.305900000000001</v>
      </c>
      <c r="AO6" s="1">
        <f>'EG-CAS-2050'!B6</f>
        <v>31.305900000000001</v>
      </c>
      <c r="AP6" s="1">
        <f>GDP!B6</f>
        <v>0</v>
      </c>
      <c r="AQ6" s="1">
        <f>GDP!C6</f>
        <v>0</v>
      </c>
      <c r="AR6" s="1">
        <f>GDP!D6</f>
        <v>0</v>
      </c>
      <c r="AS6" s="1">
        <f>Jobs!B6</f>
        <v>0</v>
      </c>
      <c r="AT6" s="1">
        <f>Jobs!C6</f>
        <v>0</v>
      </c>
      <c r="AU6" s="1">
        <f>Jobs!D6</f>
        <v>0</v>
      </c>
      <c r="AV6" s="1">
        <f>Debt!B6</f>
        <v>0</v>
      </c>
      <c r="AW6" s="1">
        <f>Debt!C6</f>
        <v>0</v>
      </c>
      <c r="AX6" s="1">
        <f>Debt!D6</f>
        <v>0</v>
      </c>
      <c r="AY6" s="1">
        <f>'GCF-Expert'!B6</f>
        <v>0</v>
      </c>
      <c r="AZ6" s="1">
        <f>'GCF-Expert'!C6</f>
        <v>0</v>
      </c>
      <c r="BA6" s="1">
        <f>'GCF-Expert'!D6</f>
        <v>0</v>
      </c>
      <c r="BB6" s="1">
        <f>'GCF-Expert'!E6</f>
        <v>0</v>
      </c>
      <c r="BC6" s="1">
        <f>'GCF-Expert'!F6</f>
        <v>0</v>
      </c>
      <c r="BD6" s="1">
        <f>'GCF-Expert'!G6</f>
        <v>0</v>
      </c>
      <c r="BE6" s="1">
        <f>'GCF-Expert'!H6</f>
        <v>0</v>
      </c>
      <c r="BF6" s="1">
        <f>'GCF-Expert'!I6</f>
        <v>0</v>
      </c>
      <c r="BG6" s="1">
        <f>'GCF-Expert'!J6</f>
        <v>0</v>
      </c>
      <c r="BH6" s="1">
        <f>'GCF-CAS'!B6</f>
        <v>0</v>
      </c>
      <c r="BI6" s="1">
        <f>'GCF-CAS'!C6</f>
        <v>0</v>
      </c>
      <c r="BJ6" s="1">
        <f>'GCF-CAS'!D6</f>
        <v>0</v>
      </c>
      <c r="BK6" s="1">
        <f>'GCF-CAS'!E6</f>
        <v>0</v>
      </c>
      <c r="BL6" s="1">
        <f>'GCF-CAS'!F6</f>
        <v>0</v>
      </c>
      <c r="BM6" s="1">
        <f>'GCF-CAS'!G6</f>
        <v>0</v>
      </c>
      <c r="BN6" s="1">
        <f>'GCF-CAS'!H6</f>
        <v>0</v>
      </c>
      <c r="BO6" s="1">
        <f>'GCF-CAS'!I6</f>
        <v>0</v>
      </c>
      <c r="BP6" s="1">
        <f>'GCF-CAS'!J6</f>
        <v>0</v>
      </c>
    </row>
    <row r="7" spans="1:68" x14ac:dyDescent="0.2">
      <c r="A7" s="1">
        <f>GDP!A7</f>
        <v>2025</v>
      </c>
      <c r="B7" s="1">
        <f>'CO2e Emissions'!B7</f>
        <v>614.923</v>
      </c>
      <c r="C7" s="1">
        <f>'CO2e Emissions'!C7</f>
        <v>614.923</v>
      </c>
      <c r="D7" s="1">
        <f>'CO2e Emissions'!D7</f>
        <v>614.923</v>
      </c>
      <c r="E7" s="1">
        <f>'CO2e Emissions (LULUCF excl)'!B7</f>
        <v>598.09100000000001</v>
      </c>
      <c r="F7" s="1">
        <f>'CO2e Emissions (LULUCF excl)'!C7</f>
        <v>598.09100000000001</v>
      </c>
      <c r="G7" s="1">
        <f>'CO2e Emissions (LULUCF excl)'!D7</f>
        <v>598.09100000000001</v>
      </c>
      <c r="H7" s="1">
        <f>'CO2e Emissions by Sector-BAU'!B7</f>
        <v>172.32</v>
      </c>
      <c r="I7" s="1">
        <f>'CO2e Emissions by Sector-BAU'!C7</f>
        <v>128.29300000000001</v>
      </c>
      <c r="J7" s="1">
        <f>'CO2e Emissions by Sector-BAU'!D7</f>
        <v>16.468299999999999</v>
      </c>
      <c r="K7" s="1">
        <f>'CO2e Emissions by Sector-BAU'!E7</f>
        <v>4.2316000000000003</v>
      </c>
      <c r="L7" s="1">
        <f>'CO2e Emissions by Sector-BAU'!F7</f>
        <v>140.93299999999999</v>
      </c>
      <c r="M7" s="1">
        <f>'CO2e Emissions by Sector-BAU'!G7</f>
        <v>4.2048000000000001E-5</v>
      </c>
      <c r="N7" s="1">
        <f>'CO2e Emissions by Sector-BAU'!H7</f>
        <v>16.8325</v>
      </c>
      <c r="O7" s="1">
        <f>'CO2e Emissions by Sector-BAU'!I7</f>
        <v>82.402500000000003</v>
      </c>
      <c r="P7" s="1">
        <f>'CO2e Emissions by Sector-BAU'!J7</f>
        <v>53.442999999999998</v>
      </c>
      <c r="Q7" s="1">
        <f>'CO2e Emissions by Sector-Expert'!B7</f>
        <v>174.96600000000001</v>
      </c>
      <c r="R7" s="1">
        <f>'CO2e Emissions by Sector-Expert'!C7</f>
        <v>128.22499999999999</v>
      </c>
      <c r="S7" s="1">
        <f>'CO2e Emissions by Sector-Expert'!D7</f>
        <v>16.468399999999999</v>
      </c>
      <c r="T7" s="1">
        <f>'CO2e Emissions by Sector-Expert'!E7</f>
        <v>4.2313700000000001</v>
      </c>
      <c r="U7" s="1">
        <f>'CO2e Emissions by Sector-Expert'!F7</f>
        <v>140.935</v>
      </c>
      <c r="V7" s="1">
        <f>'CO2e Emissions by Sector-Expert'!G7</f>
        <v>4.2048000000000001E-5</v>
      </c>
      <c r="W7" s="1">
        <f>'CO2e Emissions by Sector-Expert'!H7</f>
        <v>16.877600000000001</v>
      </c>
      <c r="X7" s="1">
        <f>'CO2e Emissions by Sector-Expert'!I7</f>
        <v>82.411100000000005</v>
      </c>
      <c r="Y7" s="1">
        <f>'CO2e Emissions by Sector-Expert'!J7</f>
        <v>53.437899999999999</v>
      </c>
      <c r="Z7" s="1">
        <f>'CO2e Emissions by Sector-CAS'!B7</f>
        <v>172.32</v>
      </c>
      <c r="AA7" s="1">
        <f>'CO2e Emissions by Sector-CAS'!C7</f>
        <v>128.29300000000001</v>
      </c>
      <c r="AB7" s="1">
        <f>'CO2e Emissions by Sector-CAS'!D7</f>
        <v>16.468299999999999</v>
      </c>
      <c r="AC7" s="1">
        <f>'CO2e Emissions by Sector-CAS'!E7</f>
        <v>4.2316000000000003</v>
      </c>
      <c r="AD7" s="1">
        <f>'CO2e Emissions by Sector-CAS'!F7</f>
        <v>140.93299999999999</v>
      </c>
      <c r="AE7" s="1">
        <f>'CO2e Emissions by Sector-CAS'!G7</f>
        <v>4.1097999999999999E-5</v>
      </c>
      <c r="AF7" s="1">
        <f>'CO2e Emissions by Sector-CAS'!H7</f>
        <v>16.8325</v>
      </c>
      <c r="AG7" s="1">
        <f>'CO2e Emissions by Sector-CAS'!I7</f>
        <v>82.402500000000003</v>
      </c>
      <c r="AH7" s="1">
        <f>'CO2e Emissions by Sector-CAS'!J7</f>
        <v>53.442999999999998</v>
      </c>
      <c r="AI7" s="13" t="str">
        <f>'EG-BAU'!A28</f>
        <v>Oil</v>
      </c>
      <c r="AJ7" s="1">
        <f>'EG-BAU-2030'!B7</f>
        <v>39.2093335</v>
      </c>
      <c r="AK7" s="1">
        <f>'EG-BAU-2050'!B7</f>
        <v>40.16619</v>
      </c>
      <c r="AL7" s="1">
        <f>'EG-Expert-2030'!B7</f>
        <v>39.157040899999998</v>
      </c>
      <c r="AM7" s="1">
        <f>'EG-Expert-2050'!B7</f>
        <v>35.894439999999996</v>
      </c>
      <c r="AN7" s="1">
        <f>'EG-CAS-2030'!B7</f>
        <v>59.656399999999998</v>
      </c>
      <c r="AO7" s="1">
        <f>'EG-CAS-2050'!B7</f>
        <v>37.122230000000002</v>
      </c>
      <c r="AP7" s="1">
        <f>GDP!B7</f>
        <v>0</v>
      </c>
      <c r="AQ7" s="1">
        <f>GDP!C7</f>
        <v>0</v>
      </c>
      <c r="AR7" s="1">
        <f>GDP!D7</f>
        <v>0</v>
      </c>
      <c r="AS7" s="1">
        <f>Jobs!B7</f>
        <v>0</v>
      </c>
      <c r="AT7" s="1">
        <f>Jobs!C7</f>
        <v>0</v>
      </c>
      <c r="AU7" s="1">
        <f>Jobs!D7</f>
        <v>0</v>
      </c>
      <c r="AV7" s="1">
        <f>Debt!B7</f>
        <v>0</v>
      </c>
      <c r="AW7" s="1">
        <f>Debt!C7</f>
        <v>0</v>
      </c>
      <c r="AX7" s="1">
        <f>Debt!D7</f>
        <v>0</v>
      </c>
      <c r="AY7" s="1">
        <f>'GCF-Expert'!B7</f>
        <v>0</v>
      </c>
      <c r="AZ7" s="1">
        <f>'GCF-Expert'!C7</f>
        <v>0</v>
      </c>
      <c r="BA7" s="1">
        <f>'GCF-Expert'!D7</f>
        <v>0</v>
      </c>
      <c r="BB7" s="1">
        <f>'GCF-Expert'!E7</f>
        <v>0</v>
      </c>
      <c r="BC7" s="1">
        <f>'GCF-Expert'!F7</f>
        <v>0</v>
      </c>
      <c r="BD7" s="1">
        <f>'GCF-Expert'!G7</f>
        <v>0</v>
      </c>
      <c r="BE7" s="1">
        <f>'GCF-Expert'!H7</f>
        <v>0</v>
      </c>
      <c r="BF7" s="1">
        <f>'GCF-Expert'!I7</f>
        <v>0</v>
      </c>
      <c r="BG7" s="1">
        <f>'GCF-Expert'!J7</f>
        <v>0</v>
      </c>
      <c r="BH7" s="1">
        <f>'GCF-CAS'!B7</f>
        <v>0</v>
      </c>
      <c r="BI7" s="1">
        <f>'GCF-CAS'!C7</f>
        <v>0</v>
      </c>
      <c r="BJ7" s="1">
        <f>'GCF-CAS'!D7</f>
        <v>0</v>
      </c>
      <c r="BK7" s="1">
        <f>'GCF-CAS'!E7</f>
        <v>0</v>
      </c>
      <c r="BL7" s="1">
        <f>'GCF-CAS'!F7</f>
        <v>0</v>
      </c>
      <c r="BM7" s="1">
        <f>'GCF-CAS'!G7</f>
        <v>0</v>
      </c>
      <c r="BN7" s="1">
        <f>'GCF-CAS'!H7</f>
        <v>0</v>
      </c>
      <c r="BO7" s="1">
        <f>'GCF-CAS'!I7</f>
        <v>0</v>
      </c>
      <c r="BP7" s="1">
        <f>'GCF-CAS'!J7</f>
        <v>0</v>
      </c>
    </row>
    <row r="8" spans="1:68" x14ac:dyDescent="0.2">
      <c r="A8" s="1">
        <f>GDP!A8</f>
        <v>2026</v>
      </c>
      <c r="B8" s="1">
        <f>'CO2e Emissions'!B8</f>
        <v>624.39700000000005</v>
      </c>
      <c r="C8" s="1">
        <f>'CO2e Emissions'!C8</f>
        <v>623.94100000000003</v>
      </c>
      <c r="D8" s="1">
        <f>'CO2e Emissions'!D8</f>
        <v>610.11500000000001</v>
      </c>
      <c r="E8" s="1">
        <f>'CO2e Emissions (LULUCF excl)'!B8</f>
        <v>607.67200000000003</v>
      </c>
      <c r="F8" s="1">
        <f>'CO2e Emissions (LULUCF excl)'!C8</f>
        <v>607.31100000000004</v>
      </c>
      <c r="G8" s="1">
        <f>'CO2e Emissions (LULUCF excl)'!D8</f>
        <v>593.83299999999997</v>
      </c>
      <c r="H8" s="1">
        <f>'CO2e Emissions by Sector-BAU'!B8</f>
        <v>177.392</v>
      </c>
      <c r="I8" s="1">
        <f>'CO2e Emissions by Sector-BAU'!C8</f>
        <v>126.825</v>
      </c>
      <c r="J8" s="1">
        <f>'CO2e Emissions by Sector-BAU'!D8</f>
        <v>16.454799999999999</v>
      </c>
      <c r="K8" s="1">
        <f>'CO2e Emissions by Sector-BAU'!E8</f>
        <v>4.2436199999999999</v>
      </c>
      <c r="L8" s="1">
        <f>'CO2e Emissions by Sector-BAU'!F8</f>
        <v>142.916</v>
      </c>
      <c r="M8" s="1">
        <f>'CO2e Emissions by Sector-BAU'!G8</f>
        <v>6.3239999999999998E-5</v>
      </c>
      <c r="N8" s="1">
        <f>'CO2e Emissions by Sector-BAU'!H8</f>
        <v>16.735700000000001</v>
      </c>
      <c r="O8" s="1">
        <f>'CO2e Emissions by Sector-BAU'!I8</f>
        <v>82.824200000000005</v>
      </c>
      <c r="P8" s="1">
        <f>'CO2e Emissions by Sector-BAU'!J8</f>
        <v>54.225999999999999</v>
      </c>
      <c r="Q8" s="1">
        <f>'CO2e Emissions by Sector-Expert'!B8</f>
        <v>180.166</v>
      </c>
      <c r="R8" s="1">
        <f>'CO2e Emissions by Sector-Expert'!C8</f>
        <v>126.595</v>
      </c>
      <c r="S8" s="1">
        <f>'CO2e Emissions by Sector-Expert'!D8</f>
        <v>16.455500000000001</v>
      </c>
      <c r="T8" s="1">
        <f>'CO2e Emissions by Sector-Expert'!E8</f>
        <v>4.2421600000000002</v>
      </c>
      <c r="U8" s="1">
        <f>'CO2e Emissions by Sector-Expert'!F8</f>
        <v>142.77799999999999</v>
      </c>
      <c r="V8" s="1">
        <f>'CO2e Emissions by Sector-Expert'!G8</f>
        <v>7.2350700000000004E-2</v>
      </c>
      <c r="W8" s="1">
        <f>'CO2e Emissions by Sector-Expert'!H8</f>
        <v>16.63</v>
      </c>
      <c r="X8" s="1">
        <f>'CO2e Emissions by Sector-Expert'!I8</f>
        <v>82.786500000000004</v>
      </c>
      <c r="Y8" s="1">
        <f>'CO2e Emissions by Sector-Expert'!J8</f>
        <v>54.214799999999997</v>
      </c>
      <c r="Z8" s="1">
        <f>'CO2e Emissions by Sector-CAS'!B8</f>
        <v>174.76300000000001</v>
      </c>
      <c r="AA8" s="1">
        <f>'CO2e Emissions by Sector-CAS'!C8</f>
        <v>122.76300000000001</v>
      </c>
      <c r="AB8" s="1">
        <f>'CO2e Emissions by Sector-CAS'!D8</f>
        <v>16.348500000000001</v>
      </c>
      <c r="AC8" s="1">
        <f>'CO2e Emissions by Sector-CAS'!E8</f>
        <v>4.2136899999999997</v>
      </c>
      <c r="AD8" s="1">
        <f>'CO2e Emissions by Sector-CAS'!F8</f>
        <v>140.821</v>
      </c>
      <c r="AE8" s="1">
        <f>'CO2e Emissions by Sector-CAS'!G8</f>
        <v>0.28670400000000001</v>
      </c>
      <c r="AF8" s="1">
        <f>'CO2e Emissions by Sector-CAS'!H8</f>
        <v>16.281500000000001</v>
      </c>
      <c r="AG8" s="1">
        <f>'CO2e Emissions by Sector-CAS'!I8</f>
        <v>82.050700000000006</v>
      </c>
      <c r="AH8" s="1">
        <f>'CO2e Emissions by Sector-CAS'!J8</f>
        <v>53.1661</v>
      </c>
      <c r="AI8" s="13" t="str">
        <f>'EG-BAU'!A29</f>
        <v>Other</v>
      </c>
      <c r="AJ8" s="1">
        <f>'EG-BAU-2030'!B8</f>
        <v>29.101660000000003</v>
      </c>
      <c r="AK8" s="1">
        <f>'EG-BAU-2050'!B8</f>
        <v>33.528970000000001</v>
      </c>
      <c r="AL8" s="1">
        <f>'EG-Expert-2030'!B8</f>
        <v>28.943250000000003</v>
      </c>
      <c r="AM8" s="1">
        <f>'EG-Expert-2050'!B8</f>
        <v>25.715442700000001</v>
      </c>
      <c r="AN8" s="1">
        <f>'EG-CAS-2030'!B8</f>
        <v>26.263820000000003</v>
      </c>
      <c r="AO8" s="1">
        <f>'EG-CAS-2050'!B8</f>
        <v>24.899892700000002</v>
      </c>
      <c r="AP8" s="1">
        <f>GDP!B8</f>
        <v>0</v>
      </c>
      <c r="AQ8" s="1">
        <f>GDP!C8</f>
        <v>0.103657</v>
      </c>
      <c r="AR8" s="1">
        <f>GDP!D8</f>
        <v>0.63980000000000004</v>
      </c>
      <c r="AS8" s="1">
        <f>Jobs!B8</f>
        <v>0</v>
      </c>
      <c r="AT8" s="1">
        <f>Jobs!C8</f>
        <v>3665</v>
      </c>
      <c r="AU8" s="1">
        <f>Jobs!D8</f>
        <v>11238</v>
      </c>
      <c r="AV8" s="1">
        <f>Debt!B8</f>
        <v>0</v>
      </c>
      <c r="AW8" s="1">
        <f>Debt!C8</f>
        <v>-1.11352E-2</v>
      </c>
      <c r="AX8" s="1">
        <f>Debt!D8</f>
        <v>-0.30510399999999999</v>
      </c>
      <c r="AY8" s="1">
        <f>'GCF-Expert'!B8</f>
        <v>0.122377</v>
      </c>
      <c r="AZ8" s="1">
        <f>'GCF-Expert'!C8</f>
        <v>-2.2556199999999998E-3</v>
      </c>
      <c r="BA8" s="1">
        <f>'GCF-Expert'!D8</f>
        <v>0</v>
      </c>
      <c r="BB8" s="1">
        <f>'GCF-Expert'!E8</f>
        <v>0</v>
      </c>
      <c r="BC8" s="1">
        <f>'GCF-Expert'!F8</f>
        <v>0</v>
      </c>
      <c r="BD8" s="1">
        <f>'GCF-Expert'!G8</f>
        <v>0</v>
      </c>
      <c r="BE8" s="1">
        <f>'GCF-Expert'!H8</f>
        <v>3.7457499999999998E-4</v>
      </c>
      <c r="BF8" s="1">
        <f>'GCF-Expert'!I8</f>
        <v>0</v>
      </c>
      <c r="BG8" s="1">
        <f>'GCF-Expert'!J8</f>
        <v>-1.048E-2</v>
      </c>
      <c r="BH8" s="1">
        <f>'GCF-CAS'!B8</f>
        <v>1.3837200000000001</v>
      </c>
      <c r="BI8" s="1">
        <f>'GCF-CAS'!C8</f>
        <v>-0.212177</v>
      </c>
      <c r="BJ8" s="1">
        <f>'GCF-CAS'!D8</f>
        <v>0</v>
      </c>
      <c r="BK8" s="1">
        <f>'GCF-CAS'!E8</f>
        <v>0</v>
      </c>
      <c r="BL8" s="1">
        <f>'GCF-CAS'!F8</f>
        <v>0</v>
      </c>
      <c r="BM8" s="1">
        <f>'GCF-CAS'!G8</f>
        <v>0</v>
      </c>
      <c r="BN8" s="1">
        <f>'GCF-CAS'!H8</f>
        <v>0.21424699999999999</v>
      </c>
      <c r="BO8" s="1">
        <f>'GCF-CAS'!I8</f>
        <v>0</v>
      </c>
      <c r="BP8" s="1">
        <f>'GCF-CAS'!J8</f>
        <v>-3.3090899999999999E-2</v>
      </c>
    </row>
    <row r="9" spans="1:68" x14ac:dyDescent="0.2">
      <c r="A9" s="1">
        <f>GDP!A9</f>
        <v>2027</v>
      </c>
      <c r="B9" s="1">
        <f>'CO2e Emissions'!B9</f>
        <v>631.59199999999998</v>
      </c>
      <c r="C9" s="1">
        <f>'CO2e Emissions'!C9</f>
        <v>630.13499999999999</v>
      </c>
      <c r="D9" s="1">
        <f>'CO2e Emissions'!D9</f>
        <v>600.57500000000005</v>
      </c>
      <c r="E9" s="1">
        <f>'CO2e Emissions (LULUCF excl)'!B9</f>
        <v>615.01900000000001</v>
      </c>
      <c r="F9" s="1">
        <f>'CO2e Emissions (LULUCF excl)'!C9</f>
        <v>613.84799999999996</v>
      </c>
      <c r="G9" s="1">
        <f>'CO2e Emissions (LULUCF excl)'!D9</f>
        <v>585.23299999999995</v>
      </c>
      <c r="H9" s="1">
        <f>'CO2e Emissions by Sector-BAU'!B9</f>
        <v>182.71600000000001</v>
      </c>
      <c r="I9" s="1">
        <f>'CO2e Emissions by Sector-BAU'!C9</f>
        <v>125.095</v>
      </c>
      <c r="J9" s="1">
        <f>'CO2e Emissions by Sector-BAU'!D9</f>
        <v>16.447299999999998</v>
      </c>
      <c r="K9" s="1">
        <f>'CO2e Emissions by Sector-BAU'!E9</f>
        <v>4.2542999999999997</v>
      </c>
      <c r="L9" s="1">
        <f>'CO2e Emissions by Sector-BAU'!F9</f>
        <v>145.43600000000001</v>
      </c>
      <c r="M9" s="1">
        <f>'CO2e Emissions by Sector-BAU'!G9</f>
        <v>1.00598E-4</v>
      </c>
      <c r="N9" s="1">
        <f>'CO2e Emissions by Sector-BAU'!H9</f>
        <v>16.539000000000001</v>
      </c>
      <c r="O9" s="1">
        <f>'CO2e Emissions by Sector-BAU'!I9</f>
        <v>83.217799999999997</v>
      </c>
      <c r="P9" s="1">
        <f>'CO2e Emissions by Sector-BAU'!J9</f>
        <v>54.980899999999998</v>
      </c>
      <c r="Q9" s="1">
        <f>'CO2e Emissions by Sector-Expert'!B9</f>
        <v>185.50800000000001</v>
      </c>
      <c r="R9" s="1">
        <f>'CO2e Emissions by Sector-Expert'!C9</f>
        <v>124.239</v>
      </c>
      <c r="S9" s="1">
        <f>'CO2e Emissions by Sector-Expert'!D9</f>
        <v>16.439499999999999</v>
      </c>
      <c r="T9" s="1">
        <f>'CO2e Emissions by Sector-Expert'!E9</f>
        <v>4.2508699999999999</v>
      </c>
      <c r="U9" s="1">
        <f>'CO2e Emissions by Sector-Expert'!F9</f>
        <v>145.11000000000001</v>
      </c>
      <c r="V9" s="1">
        <f>'CO2e Emissions by Sector-Expert'!G9</f>
        <v>0.14701500000000001</v>
      </c>
      <c r="W9" s="1">
        <f>'CO2e Emissions by Sector-Expert'!H9</f>
        <v>16.286799999999999</v>
      </c>
      <c r="X9" s="1">
        <f>'CO2e Emissions by Sector-Expert'!I9</f>
        <v>83.162099999999995</v>
      </c>
      <c r="Y9" s="1">
        <f>'CO2e Emissions by Sector-Expert'!J9</f>
        <v>54.993299999999998</v>
      </c>
      <c r="Z9" s="1">
        <f>'CO2e Emissions by Sector-CAS'!B9</f>
        <v>176.85499999999999</v>
      </c>
      <c r="AA9" s="1">
        <f>'CO2e Emissions by Sector-CAS'!C9</f>
        <v>113.992</v>
      </c>
      <c r="AB9" s="1">
        <f>'CO2e Emissions by Sector-CAS'!D9</f>
        <v>16.151599999999998</v>
      </c>
      <c r="AC9" s="1">
        <f>'CO2e Emissions by Sector-CAS'!E9</f>
        <v>4.1743300000000003</v>
      </c>
      <c r="AD9" s="1">
        <f>'CO2e Emissions by Sector-CAS'!F9</f>
        <v>140.28800000000001</v>
      </c>
      <c r="AE9" s="1">
        <f>'CO2e Emissions by Sector-CAS'!G9</f>
        <v>0.61358100000000004</v>
      </c>
      <c r="AF9" s="1">
        <f>'CO2e Emissions by Sector-CAS'!H9</f>
        <v>15.342000000000001</v>
      </c>
      <c r="AG9" s="1">
        <f>'CO2e Emissions by Sector-CAS'!I9</f>
        <v>81.722700000000003</v>
      </c>
      <c r="AH9" s="1">
        <f>'CO2e Emissions by Sector-CAS'!J9</f>
        <v>52.813699999999997</v>
      </c>
      <c r="AI9" s="1"/>
      <c r="AJ9" s="1"/>
      <c r="AK9" s="1"/>
      <c r="AL9" s="1"/>
      <c r="AM9" s="1"/>
      <c r="AN9" s="1"/>
      <c r="AO9" s="1"/>
      <c r="AP9" s="1">
        <f>GDP!B9</f>
        <v>0</v>
      </c>
      <c r="AQ9" s="1">
        <f>GDP!C9</f>
        <v>0.36552899999999999</v>
      </c>
      <c r="AR9" s="1">
        <f>GDP!D9</f>
        <v>2.16838</v>
      </c>
      <c r="AS9" s="1">
        <f>Jobs!B9</f>
        <v>0</v>
      </c>
      <c r="AT9" s="1">
        <f>Jobs!C9</f>
        <v>5960</v>
      </c>
      <c r="AU9" s="1">
        <f>Jobs!D9</f>
        <v>29863</v>
      </c>
      <c r="AV9" s="1">
        <f>Debt!B9</f>
        <v>0</v>
      </c>
      <c r="AW9" s="1">
        <f>Debt!C9</f>
        <v>-2.8506099999999999E-2</v>
      </c>
      <c r="AX9" s="1">
        <f>Debt!D9</f>
        <v>-0.89126000000000005</v>
      </c>
      <c r="AY9" s="1">
        <f>'GCF-Expert'!B9</f>
        <v>0.24651200000000001</v>
      </c>
      <c r="AZ9" s="1">
        <f>'GCF-Expert'!C9</f>
        <v>-2.1866E-2</v>
      </c>
      <c r="BA9" s="1">
        <f>'GCF-Expert'!D9</f>
        <v>0</v>
      </c>
      <c r="BB9" s="1">
        <f>'GCF-Expert'!E9</f>
        <v>0</v>
      </c>
      <c r="BC9" s="1">
        <f>'GCF-Expert'!F9</f>
        <v>0</v>
      </c>
      <c r="BD9" s="1">
        <f>'GCF-Expert'!G9</f>
        <v>0</v>
      </c>
      <c r="BE9" s="1">
        <f>'GCF-Expert'!H9</f>
        <v>1.54327E-3</v>
      </c>
      <c r="BF9" s="1">
        <f>'GCF-Expert'!I9</f>
        <v>7.6877300000000005E-4</v>
      </c>
      <c r="BG9" s="1">
        <f>'GCF-Expert'!J9</f>
        <v>-2.2021599999999999E-2</v>
      </c>
      <c r="BH9" s="1">
        <f>'GCF-CAS'!B9</f>
        <v>2.7220900000000001</v>
      </c>
      <c r="BI9" s="1">
        <f>'GCF-CAS'!C9</f>
        <v>-0.54646799999999995</v>
      </c>
      <c r="BJ9" s="1">
        <f>'GCF-CAS'!D9</f>
        <v>0</v>
      </c>
      <c r="BK9" s="1">
        <f>'GCF-CAS'!E9</f>
        <v>0</v>
      </c>
      <c r="BL9" s="1">
        <f>'GCF-CAS'!F9</f>
        <v>0</v>
      </c>
      <c r="BM9" s="1">
        <f>'GCF-CAS'!G9</f>
        <v>0</v>
      </c>
      <c r="BN9" s="1">
        <f>'GCF-CAS'!H9</f>
        <v>0.45635799999999999</v>
      </c>
      <c r="BO9" s="1">
        <f>'GCF-CAS'!I9</f>
        <v>2.10644E-2</v>
      </c>
      <c r="BP9" s="1">
        <f>'GCF-CAS'!J9</f>
        <v>-8.3751400000000004E-2</v>
      </c>
    </row>
    <row r="10" spans="1:68" x14ac:dyDescent="0.2">
      <c r="A10" s="1">
        <f>GDP!A10</f>
        <v>2028</v>
      </c>
      <c r="B10" s="1">
        <f>'CO2e Emissions'!B10</f>
        <v>639.76</v>
      </c>
      <c r="C10" s="1">
        <f>'CO2e Emissions'!C10</f>
        <v>637.55499999999995</v>
      </c>
      <c r="D10" s="1">
        <f>'CO2e Emissions'!D10</f>
        <v>569.32899999999995</v>
      </c>
      <c r="E10" s="1">
        <f>'CO2e Emissions (LULUCF excl)'!B10</f>
        <v>623.33799999999997</v>
      </c>
      <c r="F10" s="1">
        <f>'CO2e Emissions (LULUCF excl)'!C10</f>
        <v>621.70699999999999</v>
      </c>
      <c r="G10" s="1">
        <f>'CO2e Emissions (LULUCF excl)'!D10</f>
        <v>555.11500000000001</v>
      </c>
      <c r="H10" s="1">
        <f>'CO2e Emissions by Sector-BAU'!B10</f>
        <v>188.315</v>
      </c>
      <c r="I10" s="1">
        <f>'CO2e Emissions by Sector-BAU'!C10</f>
        <v>124.49299999999999</v>
      </c>
      <c r="J10" s="1">
        <f>'CO2e Emissions by Sector-BAU'!D10</f>
        <v>16.436599999999999</v>
      </c>
      <c r="K10" s="1">
        <f>'CO2e Emissions by Sector-BAU'!E10</f>
        <v>4.2663200000000003</v>
      </c>
      <c r="L10" s="1">
        <f>'CO2e Emissions by Sector-BAU'!F10</f>
        <v>147.30099999999999</v>
      </c>
      <c r="M10" s="1">
        <f>'CO2e Emissions by Sector-BAU'!G10</f>
        <v>1.4940999999999999E-4</v>
      </c>
      <c r="N10" s="1">
        <f>'CO2e Emissions by Sector-BAU'!H10</f>
        <v>16.442599999999999</v>
      </c>
      <c r="O10" s="1">
        <f>'CO2e Emissions by Sector-BAU'!I10</f>
        <v>83.612899999999996</v>
      </c>
      <c r="P10" s="1">
        <f>'CO2e Emissions by Sector-BAU'!J10</f>
        <v>55.763399999999997</v>
      </c>
      <c r="Q10" s="1">
        <f>'CO2e Emissions by Sector-Expert'!B10</f>
        <v>191.148</v>
      </c>
      <c r="R10" s="1">
        <f>'CO2e Emissions by Sector-Expert'!C10</f>
        <v>123.607</v>
      </c>
      <c r="S10" s="1">
        <f>'CO2e Emissions by Sector-Expert'!D10</f>
        <v>16.432300000000001</v>
      </c>
      <c r="T10" s="1">
        <f>'CO2e Emissions by Sector-Expert'!E10</f>
        <v>4.2625799999999998</v>
      </c>
      <c r="U10" s="1">
        <f>'CO2e Emissions by Sector-Expert'!F10</f>
        <v>146.72800000000001</v>
      </c>
      <c r="V10" s="1">
        <f>'CO2e Emissions by Sector-Expert'!G10</f>
        <v>0.224075</v>
      </c>
      <c r="W10" s="1">
        <f>'CO2e Emissions by Sector-Expert'!H10</f>
        <v>15.847899999999999</v>
      </c>
      <c r="X10" s="1">
        <f>'CO2e Emissions by Sector-Expert'!I10</f>
        <v>83.538399999999996</v>
      </c>
      <c r="Y10" s="1">
        <f>'CO2e Emissions by Sector-Expert'!J10</f>
        <v>55.769799999999996</v>
      </c>
      <c r="Z10" s="1">
        <f>'CO2e Emissions by Sector-CAS'!B10</f>
        <v>178.61799999999999</v>
      </c>
      <c r="AA10" s="1">
        <f>'CO2e Emissions by Sector-CAS'!C10</f>
        <v>102.621</v>
      </c>
      <c r="AB10" s="1">
        <f>'CO2e Emissions by Sector-CAS'!D10</f>
        <v>15.9564</v>
      </c>
      <c r="AC10" s="1">
        <f>'CO2e Emissions by Sector-CAS'!E10</f>
        <v>4.1379000000000001</v>
      </c>
      <c r="AD10" s="1">
        <f>'CO2e Emissions by Sector-CAS'!F10</f>
        <v>124.122</v>
      </c>
      <c r="AE10" s="1">
        <f>'CO2e Emissions by Sector-CAS'!G10</f>
        <v>0.91054299999999999</v>
      </c>
      <c r="AF10" s="1">
        <f>'CO2e Emissions by Sector-CAS'!H10</f>
        <v>14.2141</v>
      </c>
      <c r="AG10" s="1">
        <f>'CO2e Emissions by Sector-CAS'!I10</f>
        <v>81.319900000000004</v>
      </c>
      <c r="AH10" s="1">
        <f>'CO2e Emissions by Sector-CAS'!J10</f>
        <v>49.9559</v>
      </c>
      <c r="AI10" s="1"/>
      <c r="AJ10" s="1"/>
      <c r="AK10" s="1"/>
      <c r="AL10" s="1"/>
      <c r="AM10" s="1"/>
      <c r="AN10" s="1"/>
      <c r="AO10" s="1"/>
      <c r="AP10" s="1">
        <f>GDP!B10</f>
        <v>0</v>
      </c>
      <c r="AQ10" s="1">
        <f>GDP!C10</f>
        <v>0.41314200000000001</v>
      </c>
      <c r="AR10" s="1">
        <f>GDP!D10</f>
        <v>2.6633499999999999</v>
      </c>
      <c r="AS10" s="1">
        <f>Jobs!B10</f>
        <v>0</v>
      </c>
      <c r="AT10" s="1">
        <f>Jobs!C10</f>
        <v>8943</v>
      </c>
      <c r="AU10" s="1">
        <f>Jobs!D10</f>
        <v>41096</v>
      </c>
      <c r="AV10" s="1">
        <f>Debt!B10</f>
        <v>0</v>
      </c>
      <c r="AW10" s="1">
        <f>Debt!C10</f>
        <v>-6.3247800000000007E-2</v>
      </c>
      <c r="AX10" s="1">
        <f>Debt!D10</f>
        <v>-1.7727200000000001</v>
      </c>
      <c r="AY10" s="1">
        <f>'GCF-Expert'!B10</f>
        <v>0.37339800000000001</v>
      </c>
      <c r="AZ10" s="1">
        <f>'GCF-Expert'!C10</f>
        <v>-2.7076599999999999E-2</v>
      </c>
      <c r="BA10" s="1">
        <f>'GCF-Expert'!D10</f>
        <v>0</v>
      </c>
      <c r="BB10" s="1">
        <f>'GCF-Expert'!E10</f>
        <v>0</v>
      </c>
      <c r="BC10" s="1">
        <f>'GCF-Expert'!F10</f>
        <v>0</v>
      </c>
      <c r="BD10" s="1">
        <f>'GCF-Expert'!G10</f>
        <v>0</v>
      </c>
      <c r="BE10" s="1">
        <f>'GCF-Expert'!H10</f>
        <v>4.3470200000000001E-3</v>
      </c>
      <c r="BF10" s="1">
        <f>'GCF-Expert'!I10</f>
        <v>1.9680600000000002E-3</v>
      </c>
      <c r="BG10" s="1">
        <f>'GCF-Expert'!J10</f>
        <v>-2.0882100000000001E-2</v>
      </c>
      <c r="BH10" s="1">
        <f>'GCF-CAS'!B10</f>
        <v>3.8041900000000002</v>
      </c>
      <c r="BI10" s="1">
        <f>'GCF-CAS'!C10</f>
        <v>-0.98338400000000004</v>
      </c>
      <c r="BJ10" s="1">
        <f>'GCF-CAS'!D10</f>
        <v>0</v>
      </c>
      <c r="BK10" s="1">
        <f>'GCF-CAS'!E10</f>
        <v>0</v>
      </c>
      <c r="BL10" s="1">
        <f>'GCF-CAS'!F10</f>
        <v>0</v>
      </c>
      <c r="BM10" s="1">
        <f>'GCF-CAS'!G10</f>
        <v>0</v>
      </c>
      <c r="BN10" s="1">
        <f>'GCF-CAS'!H10</f>
        <v>0.76821799999999996</v>
      </c>
      <c r="BO10" s="1">
        <f>'GCF-CAS'!I10</f>
        <v>6.15326E-2</v>
      </c>
      <c r="BP10" s="1">
        <f>'GCF-CAS'!J10</f>
        <v>-0.102529</v>
      </c>
    </row>
    <row r="11" spans="1:68" x14ac:dyDescent="0.2">
      <c r="A11" s="1">
        <f>GDP!A11</f>
        <v>2029</v>
      </c>
      <c r="B11" s="1">
        <f>'CO2e Emissions'!B11</f>
        <v>648.69100000000003</v>
      </c>
      <c r="C11" s="1">
        <f>'CO2e Emissions'!C11</f>
        <v>645.22500000000002</v>
      </c>
      <c r="D11" s="1">
        <f>'CO2e Emissions'!D11</f>
        <v>553.22</v>
      </c>
      <c r="E11" s="1">
        <f>'CO2e Emissions (LULUCF excl)'!B11</f>
        <v>632.42100000000005</v>
      </c>
      <c r="F11" s="1">
        <f>'CO2e Emissions (LULUCF excl)'!C11</f>
        <v>629.91200000000003</v>
      </c>
      <c r="G11" s="1">
        <f>'CO2e Emissions (LULUCF excl)'!D11</f>
        <v>540.52300000000002</v>
      </c>
      <c r="H11" s="1">
        <f>'CO2e Emissions by Sector-BAU'!B11</f>
        <v>194.22200000000001</v>
      </c>
      <c r="I11" s="1">
        <f>'CO2e Emissions by Sector-BAU'!C11</f>
        <v>124.45</v>
      </c>
      <c r="J11" s="1">
        <f>'CO2e Emissions by Sector-BAU'!D11</f>
        <v>16.442499999999999</v>
      </c>
      <c r="K11" s="1">
        <f>'CO2e Emissions by Sector-BAU'!E11</f>
        <v>4.2776199999999998</v>
      </c>
      <c r="L11" s="1">
        <f>'CO2e Emissions by Sector-BAU'!F11</f>
        <v>149.20099999999999</v>
      </c>
      <c r="M11" s="1">
        <f>'CO2e Emissions by Sector-BAU'!G11</f>
        <v>2.26214E-4</v>
      </c>
      <c r="N11" s="1">
        <f>'CO2e Emissions by Sector-BAU'!H11</f>
        <v>16.2456</v>
      </c>
      <c r="O11" s="1">
        <f>'CO2e Emissions by Sector-BAU'!I11</f>
        <v>84.034000000000006</v>
      </c>
      <c r="P11" s="1">
        <f>'CO2e Emissions by Sector-BAU'!J11</f>
        <v>56.5458</v>
      </c>
      <c r="Q11" s="1">
        <f>'CO2e Emissions by Sector-Expert'!B11</f>
        <v>197.00899999999999</v>
      </c>
      <c r="R11" s="1">
        <f>'CO2e Emissions by Sector-Expert'!C11</f>
        <v>123.056</v>
      </c>
      <c r="S11" s="1">
        <f>'CO2e Emissions by Sector-Expert'!D11</f>
        <v>16.429600000000001</v>
      </c>
      <c r="T11" s="1">
        <f>'CO2e Emissions by Sector-Expert'!E11</f>
        <v>4.2719100000000001</v>
      </c>
      <c r="U11" s="1">
        <f>'CO2e Emissions by Sector-Expert'!F11</f>
        <v>148.38300000000001</v>
      </c>
      <c r="V11" s="1">
        <f>'CO2e Emissions by Sector-Expert'!G11</f>
        <v>0.30327100000000001</v>
      </c>
      <c r="W11" s="1">
        <f>'CO2e Emissions by Sector-Expert'!H11</f>
        <v>15.3133</v>
      </c>
      <c r="X11" s="1">
        <f>'CO2e Emissions by Sector-Expert'!I11</f>
        <v>83.915899999999993</v>
      </c>
      <c r="Y11" s="1">
        <f>'CO2e Emissions by Sector-Expert'!J11</f>
        <v>56.548699999999997</v>
      </c>
      <c r="Z11" s="1">
        <f>'CO2e Emissions by Sector-CAS'!B11</f>
        <v>180.119</v>
      </c>
      <c r="AA11" s="1">
        <f>'CO2e Emissions by Sector-CAS'!C11</f>
        <v>89.312600000000003</v>
      </c>
      <c r="AB11" s="1">
        <f>'CO2e Emissions by Sector-CAS'!D11</f>
        <v>15.723599999999999</v>
      </c>
      <c r="AC11" s="1">
        <f>'CO2e Emissions by Sector-CAS'!E11</f>
        <v>4.0859500000000004</v>
      </c>
      <c r="AD11" s="1">
        <f>'CO2e Emissions by Sector-CAS'!F11</f>
        <v>124.22</v>
      </c>
      <c r="AE11" s="1">
        <f>'CO2e Emissions by Sector-CAS'!G11</f>
        <v>1.2223299999999999</v>
      </c>
      <c r="AF11" s="1">
        <f>'CO2e Emissions by Sector-CAS'!H11</f>
        <v>12.6973</v>
      </c>
      <c r="AG11" s="1">
        <f>'CO2e Emissions by Sector-CAS'!I11</f>
        <v>81.038899999999998</v>
      </c>
      <c r="AH11" s="1">
        <f>'CO2e Emissions by Sector-CAS'!J11</f>
        <v>49.466000000000001</v>
      </c>
      <c r="AI11" s="1"/>
      <c r="AJ11" s="1"/>
      <c r="AK11" s="1"/>
      <c r="AL11" s="1"/>
      <c r="AM11" s="1"/>
      <c r="AN11" s="1"/>
      <c r="AO11" s="1"/>
      <c r="AP11" s="1">
        <f>GDP!B11</f>
        <v>0</v>
      </c>
      <c r="AQ11" s="1">
        <f>GDP!C11</f>
        <v>0.50539199999999995</v>
      </c>
      <c r="AR11" s="1">
        <f>GDP!D11</f>
        <v>2.9187799999999999</v>
      </c>
      <c r="AS11" s="1">
        <f>Jobs!B11</f>
        <v>0</v>
      </c>
      <c r="AT11" s="1">
        <f>Jobs!C11</f>
        <v>11388</v>
      </c>
      <c r="AU11" s="1">
        <f>Jobs!D11</f>
        <v>45198</v>
      </c>
      <c r="AV11" s="1">
        <f>Debt!B11</f>
        <v>0</v>
      </c>
      <c r="AW11" s="1">
        <f>Debt!C11</f>
        <v>-0.106007</v>
      </c>
      <c r="AX11" s="1">
        <f>Debt!D11</f>
        <v>-2.9539399999999998</v>
      </c>
      <c r="AY11" s="1">
        <f>'GCF-Expert'!B11</f>
        <v>0.50423300000000004</v>
      </c>
      <c r="AZ11" s="1">
        <f>'GCF-Expert'!C11</f>
        <v>-5.16046E-2</v>
      </c>
      <c r="BA11" s="1">
        <f>'GCF-Expert'!D11</f>
        <v>0</v>
      </c>
      <c r="BB11" s="1">
        <f>'GCF-Expert'!E11</f>
        <v>0</v>
      </c>
      <c r="BC11" s="1">
        <f>'GCF-Expert'!F11</f>
        <v>0</v>
      </c>
      <c r="BD11" s="1">
        <f>'GCF-Expert'!G11</f>
        <v>0</v>
      </c>
      <c r="BE11" s="1">
        <f>'GCF-Expert'!H11</f>
        <v>8.2246699999999999E-3</v>
      </c>
      <c r="BF11" s="1">
        <f>'GCF-Expert'!I11</f>
        <v>4.3666299999999998E-3</v>
      </c>
      <c r="BG11" s="1">
        <f>'GCF-Expert'!J11</f>
        <v>-3.3462499999999999E-2</v>
      </c>
      <c r="BH11" s="1">
        <f>'GCF-CAS'!B11</f>
        <v>4.9687799999999998</v>
      </c>
      <c r="BI11" s="1">
        <f>'GCF-CAS'!C11</f>
        <v>-1.4822900000000001</v>
      </c>
      <c r="BJ11" s="1">
        <f>'GCF-CAS'!D11</f>
        <v>0</v>
      </c>
      <c r="BK11" s="1">
        <f>'GCF-CAS'!E11</f>
        <v>0</v>
      </c>
      <c r="BL11" s="1">
        <f>'GCF-CAS'!F11</f>
        <v>0</v>
      </c>
      <c r="BM11" s="1">
        <f>'GCF-CAS'!G11</f>
        <v>0</v>
      </c>
      <c r="BN11" s="1">
        <f>'GCF-CAS'!H11</f>
        <v>1.11408</v>
      </c>
      <c r="BO11" s="1">
        <f>'GCF-CAS'!I11</f>
        <v>0.122389</v>
      </c>
      <c r="BP11" s="1">
        <f>'GCF-CAS'!J11</f>
        <v>-0.17929200000000001</v>
      </c>
    </row>
    <row r="12" spans="1:68" x14ac:dyDescent="0.2">
      <c r="A12" s="1">
        <f>GDP!A12</f>
        <v>2030</v>
      </c>
      <c r="B12" s="1">
        <f>'CO2e Emissions'!B12</f>
        <v>659.61800000000005</v>
      </c>
      <c r="C12" s="1">
        <f>'CO2e Emissions'!C12</f>
        <v>654.99</v>
      </c>
      <c r="D12" s="1">
        <f>'CO2e Emissions'!D12</f>
        <v>543.00099999999998</v>
      </c>
      <c r="E12" s="1">
        <f>'CO2e Emissions (LULUCF excl)'!B12</f>
        <v>643.5</v>
      </c>
      <c r="F12" s="1">
        <f>'CO2e Emissions (LULUCF excl)'!C12</f>
        <v>640.30700000000002</v>
      </c>
      <c r="G12" s="1">
        <f>'CO2e Emissions (LULUCF excl)'!D12</f>
        <v>532.22400000000005</v>
      </c>
      <c r="H12" s="1">
        <f>'CO2e Emissions by Sector-BAU'!B12</f>
        <v>200.13399999999999</v>
      </c>
      <c r="I12" s="1">
        <f>'CO2e Emissions by Sector-BAU'!C12</f>
        <v>126.496</v>
      </c>
      <c r="J12" s="1">
        <f>'CO2e Emissions by Sector-BAU'!D12</f>
        <v>16.434699999999999</v>
      </c>
      <c r="K12" s="1">
        <f>'CO2e Emissions by Sector-BAU'!E12</f>
        <v>4.2889200000000001</v>
      </c>
      <c r="L12" s="1">
        <f>'CO2e Emissions by Sector-BAU'!F12</f>
        <v>151.107</v>
      </c>
      <c r="M12" s="1">
        <f>'CO2e Emissions by Sector-BAU'!G12</f>
        <v>3.35664E-4</v>
      </c>
      <c r="N12" s="1">
        <f>'CO2e Emissions by Sector-BAU'!H12</f>
        <v>16.149100000000001</v>
      </c>
      <c r="O12" s="1">
        <f>'CO2e Emissions by Sector-BAU'!I12</f>
        <v>84.428700000000006</v>
      </c>
      <c r="P12" s="1">
        <f>'CO2e Emissions by Sector-BAU'!J12</f>
        <v>57.328200000000002</v>
      </c>
      <c r="Q12" s="1">
        <f>'CO2e Emissions by Sector-Expert'!B12</f>
        <v>202.84700000000001</v>
      </c>
      <c r="R12" s="1">
        <f>'CO2e Emissions by Sector-Expert'!C12</f>
        <v>124.726</v>
      </c>
      <c r="S12" s="1">
        <f>'CO2e Emissions by Sector-Expert'!D12</f>
        <v>16.421299999999999</v>
      </c>
      <c r="T12" s="1">
        <f>'CO2e Emissions by Sector-Expert'!E12</f>
        <v>4.2828099999999996</v>
      </c>
      <c r="U12" s="1">
        <f>'CO2e Emissions by Sector-Expert'!F12</f>
        <v>150.03</v>
      </c>
      <c r="V12" s="1">
        <f>'CO2e Emissions by Sector-Expert'!G12</f>
        <v>0.38523099999999999</v>
      </c>
      <c r="W12" s="1">
        <f>'CO2e Emissions by Sector-Expert'!H12</f>
        <v>14.6831</v>
      </c>
      <c r="X12" s="1">
        <f>'CO2e Emissions by Sector-Expert'!I12</f>
        <v>84.2958</v>
      </c>
      <c r="Y12" s="1">
        <f>'CO2e Emissions by Sector-Expert'!J12</f>
        <v>57.325600000000001</v>
      </c>
      <c r="Z12" s="1">
        <f>'CO2e Emissions by Sector-CAS'!B12</f>
        <v>181.13900000000001</v>
      </c>
      <c r="AA12" s="1">
        <f>'CO2e Emissions by Sector-CAS'!C12</f>
        <v>81.590400000000002</v>
      </c>
      <c r="AB12" s="1">
        <f>'CO2e Emissions by Sector-CAS'!D12</f>
        <v>15.476699999999999</v>
      </c>
      <c r="AC12" s="1">
        <f>'CO2e Emissions by Sector-CAS'!E12</f>
        <v>4.0331700000000001</v>
      </c>
      <c r="AD12" s="1">
        <f>'CO2e Emissions by Sector-CAS'!F12</f>
        <v>122.879</v>
      </c>
      <c r="AE12" s="1">
        <f>'CO2e Emissions by Sector-CAS'!G12</f>
        <v>1.52112</v>
      </c>
      <c r="AF12" s="1">
        <f>'CO2e Emissions by Sector-CAS'!H12</f>
        <v>10.9924</v>
      </c>
      <c r="AG12" s="1">
        <f>'CO2e Emissions by Sector-CAS'!I12</f>
        <v>80.7333</v>
      </c>
      <c r="AH12" s="1">
        <f>'CO2e Emissions by Sector-CAS'!J12</f>
        <v>48.911799999999999</v>
      </c>
      <c r="AI12" s="1"/>
      <c r="AJ12" s="1"/>
      <c r="AK12" s="1"/>
      <c r="AL12" s="1"/>
      <c r="AM12" s="1"/>
      <c r="AN12" s="1"/>
      <c r="AO12" s="1"/>
      <c r="AP12" s="1">
        <f>GDP!B12</f>
        <v>0</v>
      </c>
      <c r="AQ12" s="1">
        <f>GDP!C12</f>
        <v>0.56242899999999996</v>
      </c>
      <c r="AR12" s="1">
        <f>GDP!D12</f>
        <v>3.5719699999999999</v>
      </c>
      <c r="AS12" s="1">
        <f>Jobs!B12</f>
        <v>0</v>
      </c>
      <c r="AT12" s="1">
        <f>Jobs!C12</f>
        <v>15542</v>
      </c>
      <c r="AU12" s="1">
        <f>Jobs!D12</f>
        <v>87487</v>
      </c>
      <c r="AV12" s="1">
        <f>Debt!B12</f>
        <v>0</v>
      </c>
      <c r="AW12" s="1">
        <f>Debt!C12</f>
        <v>-0.16079199999999999</v>
      </c>
      <c r="AX12" s="1">
        <f>Debt!D12</f>
        <v>-4.4081900000000003</v>
      </c>
      <c r="AY12" s="1">
        <f>'GCF-Expert'!B12</f>
        <v>0.64031099999999996</v>
      </c>
      <c r="AZ12" s="1">
        <f>'GCF-Expert'!C12</f>
        <v>-7.02768E-2</v>
      </c>
      <c r="BA12" s="1">
        <f>'GCF-Expert'!D12</f>
        <v>0</v>
      </c>
      <c r="BB12" s="1">
        <f>'GCF-Expert'!E12</f>
        <v>0</v>
      </c>
      <c r="BC12" s="1">
        <f>'GCF-Expert'!F12</f>
        <v>0</v>
      </c>
      <c r="BD12" s="1">
        <f>'GCF-Expert'!G12</f>
        <v>0</v>
      </c>
      <c r="BE12" s="1">
        <f>'GCF-Expert'!H12</f>
        <v>1.30708E-2</v>
      </c>
      <c r="BF12" s="1">
        <f>'GCF-Expert'!I12</f>
        <v>7.3187199999999999E-3</v>
      </c>
      <c r="BG12" s="1">
        <f>'GCF-Expert'!J12</f>
        <v>-4.4630499999999997E-2</v>
      </c>
      <c r="BH12" s="1">
        <f>'GCF-CAS'!B12</f>
        <v>6.12988</v>
      </c>
      <c r="BI12" s="1">
        <f>'GCF-CAS'!C12</f>
        <v>-2.0027400000000002</v>
      </c>
      <c r="BJ12" s="1">
        <f>'GCF-CAS'!D12</f>
        <v>0</v>
      </c>
      <c r="BK12" s="1">
        <f>'GCF-CAS'!E12</f>
        <v>0</v>
      </c>
      <c r="BL12" s="1">
        <f>'GCF-CAS'!F12</f>
        <v>0</v>
      </c>
      <c r="BM12" s="1">
        <f>'GCF-CAS'!G12</f>
        <v>0</v>
      </c>
      <c r="BN12" s="1">
        <f>'GCF-CAS'!H12</f>
        <v>1.44475</v>
      </c>
      <c r="BO12" s="1">
        <f>'GCF-CAS'!I12</f>
        <v>0.20394000000000001</v>
      </c>
      <c r="BP12" s="1">
        <f>'GCF-CAS'!J12</f>
        <v>-0.26658799999999999</v>
      </c>
    </row>
    <row r="13" spans="1:68" x14ac:dyDescent="0.2">
      <c r="A13" s="1">
        <f>GDP!A13</f>
        <v>2031</v>
      </c>
      <c r="B13" s="1">
        <f>'CO2e Emissions'!B13</f>
        <v>668.66899999999998</v>
      </c>
      <c r="C13" s="1">
        <f>'CO2e Emissions'!C13</f>
        <v>662.726</v>
      </c>
      <c r="D13" s="1">
        <f>'CO2e Emissions'!D13</f>
        <v>535.76</v>
      </c>
      <c r="E13" s="1">
        <f>'CO2e Emissions (LULUCF excl)'!B13</f>
        <v>652.70299999999997</v>
      </c>
      <c r="F13" s="1">
        <f>'CO2e Emissions (LULUCF excl)'!C13</f>
        <v>648.76900000000001</v>
      </c>
      <c r="G13" s="1">
        <f>'CO2e Emissions (LULUCF excl)'!D13</f>
        <v>526.86099999999999</v>
      </c>
      <c r="H13" s="1">
        <f>'CO2e Emissions by Sector-BAU'!B13</f>
        <v>206.04499999999999</v>
      </c>
      <c r="I13" s="1">
        <f>'CO2e Emissions by Sector-BAU'!C13</f>
        <v>127.32299999999999</v>
      </c>
      <c r="J13" s="1">
        <f>'CO2e Emissions by Sector-BAU'!D13</f>
        <v>16.3948</v>
      </c>
      <c r="K13" s="1">
        <f>'CO2e Emissions by Sector-BAU'!E13</f>
        <v>4.2875300000000003</v>
      </c>
      <c r="L13" s="1">
        <f>'CO2e Emissions by Sector-BAU'!F13</f>
        <v>152.245</v>
      </c>
      <c r="M13" s="1">
        <f>'CO2e Emissions by Sector-BAU'!G13</f>
        <v>4.8409199999999999E-4</v>
      </c>
      <c r="N13" s="1">
        <f>'CO2e Emissions by Sector-BAU'!H13</f>
        <v>15.952400000000001</v>
      </c>
      <c r="O13" s="1">
        <f>'CO2e Emissions by Sector-BAU'!I13</f>
        <v>84.7136</v>
      </c>
      <c r="P13" s="1">
        <f>'CO2e Emissions by Sector-BAU'!J13</f>
        <v>58.051600000000001</v>
      </c>
      <c r="Q13" s="1">
        <f>'CO2e Emissions by Sector-Expert'!B13</f>
        <v>208.631</v>
      </c>
      <c r="R13" s="1">
        <f>'CO2e Emissions by Sector-Expert'!C13</f>
        <v>125.45099999999999</v>
      </c>
      <c r="S13" s="1">
        <f>'CO2e Emissions by Sector-Expert'!D13</f>
        <v>16.380800000000001</v>
      </c>
      <c r="T13" s="1">
        <f>'CO2e Emissions by Sector-Expert'!E13</f>
        <v>4.2801299999999998</v>
      </c>
      <c r="U13" s="1">
        <f>'CO2e Emissions by Sector-Expert'!F13</f>
        <v>150.94999999999999</v>
      </c>
      <c r="V13" s="1">
        <f>'CO2e Emissions by Sector-Expert'!G13</f>
        <v>0.46714899999999998</v>
      </c>
      <c r="W13" s="1">
        <f>'CO2e Emissions by Sector-Expert'!H13</f>
        <v>13.9572</v>
      </c>
      <c r="X13" s="1">
        <f>'CO2e Emissions by Sector-Expert'!I13</f>
        <v>84.552000000000007</v>
      </c>
      <c r="Y13" s="1">
        <f>'CO2e Emissions by Sector-Expert'!J13</f>
        <v>58.066099999999999</v>
      </c>
      <c r="Z13" s="1">
        <f>'CO2e Emissions by Sector-CAS'!B13</f>
        <v>181.65</v>
      </c>
      <c r="AA13" s="1">
        <f>'CO2e Emissions by Sector-CAS'!C13</f>
        <v>78.335400000000007</v>
      </c>
      <c r="AB13" s="1">
        <f>'CO2e Emissions by Sector-CAS'!D13</f>
        <v>15.194599999999999</v>
      </c>
      <c r="AC13" s="1">
        <f>'CO2e Emissions by Sector-CAS'!E13</f>
        <v>3.9647199999999998</v>
      </c>
      <c r="AD13" s="1">
        <f>'CO2e Emissions by Sector-CAS'!F13</f>
        <v>120.629</v>
      </c>
      <c r="AE13" s="1">
        <f>'CO2e Emissions by Sector-CAS'!G13</f>
        <v>1.80989</v>
      </c>
      <c r="AF13" s="1">
        <f>'CO2e Emissions by Sector-CAS'!H13</f>
        <v>8.8986400000000003</v>
      </c>
      <c r="AG13" s="1">
        <f>'CO2e Emissions by Sector-CAS'!I13</f>
        <v>80.330299999999994</v>
      </c>
      <c r="AH13" s="1">
        <f>'CO2e Emissions by Sector-CAS'!J13</f>
        <v>48.403199999999998</v>
      </c>
      <c r="AI13" s="1"/>
      <c r="AJ13" s="1"/>
      <c r="AK13" s="1"/>
      <c r="AL13" s="1"/>
      <c r="AM13" s="1"/>
      <c r="AN13" s="1"/>
      <c r="AO13" s="1"/>
      <c r="AP13" s="1">
        <f>GDP!B13</f>
        <v>0</v>
      </c>
      <c r="AQ13" s="1">
        <f>GDP!C13</f>
        <v>0.656663</v>
      </c>
      <c r="AR13" s="1">
        <f>GDP!D13</f>
        <v>5.39316</v>
      </c>
      <c r="AS13" s="1">
        <f>Jobs!B13</f>
        <v>0</v>
      </c>
      <c r="AT13" s="1">
        <f>Jobs!C13</f>
        <v>18638</v>
      </c>
      <c r="AU13" s="1">
        <f>Jobs!D13</f>
        <v>127339</v>
      </c>
      <c r="AV13" s="1">
        <f>Debt!B13</f>
        <v>0</v>
      </c>
      <c r="AW13" s="1">
        <f>Debt!C13</f>
        <v>-0.22181300000000001</v>
      </c>
      <c r="AX13" s="1">
        <f>Debt!D13</f>
        <v>-6.1862599999999999</v>
      </c>
      <c r="AY13" s="1">
        <f>'GCF-Expert'!B13</f>
        <v>0.74924500000000005</v>
      </c>
      <c r="AZ13" s="1">
        <f>'GCF-Expert'!C13</f>
        <v>-8.9826199999999995E-2</v>
      </c>
      <c r="BA13" s="1">
        <f>'GCF-Expert'!D13</f>
        <v>0</v>
      </c>
      <c r="BB13" s="1">
        <f>'GCF-Expert'!E13</f>
        <v>0</v>
      </c>
      <c r="BC13" s="1">
        <f>'GCF-Expert'!F13</f>
        <v>0</v>
      </c>
      <c r="BD13" s="1">
        <f>'GCF-Expert'!G13</f>
        <v>0</v>
      </c>
      <c r="BE13" s="1">
        <f>'GCF-Expert'!H13</f>
        <v>1.8113500000000001E-2</v>
      </c>
      <c r="BF13" s="1">
        <f>'GCF-Expert'!I13</f>
        <v>1.1101099999999999E-2</v>
      </c>
      <c r="BG13" s="1">
        <f>'GCF-Expert'!J13</f>
        <v>-6.2313599999999997E-2</v>
      </c>
      <c r="BH13" s="1">
        <f>'GCF-CAS'!B13</f>
        <v>7.0329800000000002</v>
      </c>
      <c r="BI13" s="1">
        <f>'GCF-CAS'!C13</f>
        <v>-2.40367</v>
      </c>
      <c r="BJ13" s="1">
        <f>'GCF-CAS'!D13</f>
        <v>0</v>
      </c>
      <c r="BK13" s="1">
        <f>'GCF-CAS'!E13</f>
        <v>0</v>
      </c>
      <c r="BL13" s="1">
        <f>'GCF-CAS'!F13</f>
        <v>0</v>
      </c>
      <c r="BM13" s="1">
        <f>'GCF-CAS'!G13</f>
        <v>0</v>
      </c>
      <c r="BN13" s="1">
        <f>'GCF-CAS'!H13</f>
        <v>1.8325400000000001</v>
      </c>
      <c r="BO13" s="1">
        <f>'GCF-CAS'!I13</f>
        <v>0.304342</v>
      </c>
      <c r="BP13" s="1">
        <f>'GCF-CAS'!J13</f>
        <v>-0.39586300000000002</v>
      </c>
    </row>
    <row r="14" spans="1:68" x14ac:dyDescent="0.2">
      <c r="A14" s="1">
        <f>GDP!A14</f>
        <v>2032</v>
      </c>
      <c r="B14" s="1">
        <f>'CO2e Emissions'!B14</f>
        <v>676.8</v>
      </c>
      <c r="C14" s="1">
        <f>'CO2e Emissions'!C14</f>
        <v>669.68299999999999</v>
      </c>
      <c r="D14" s="1">
        <f>'CO2e Emissions'!D14</f>
        <v>530.88</v>
      </c>
      <c r="E14" s="1">
        <f>'CO2e Emissions (LULUCF excl)'!B14</f>
        <v>660.98599999999999</v>
      </c>
      <c r="F14" s="1">
        <f>'CO2e Emissions (LULUCF excl)'!C14</f>
        <v>656.54700000000003</v>
      </c>
      <c r="G14" s="1">
        <f>'CO2e Emissions (LULUCF excl)'!D14</f>
        <v>524.26400000000001</v>
      </c>
      <c r="H14" s="1">
        <f>'CO2e Emissions by Sector-BAU'!B14</f>
        <v>211.87299999999999</v>
      </c>
      <c r="I14" s="1">
        <f>'CO2e Emissions by Sector-BAU'!C14</f>
        <v>127.491</v>
      </c>
      <c r="J14" s="1">
        <f>'CO2e Emissions by Sector-BAU'!D14</f>
        <v>16.4177</v>
      </c>
      <c r="K14" s="1">
        <f>'CO2e Emissions by Sector-BAU'!E14</f>
        <v>4.3518800000000004</v>
      </c>
      <c r="L14" s="1">
        <f>'CO2e Emissions by Sector-BAU'!F14</f>
        <v>153.392</v>
      </c>
      <c r="M14" s="1">
        <f>'CO2e Emissions by Sector-BAU'!G14</f>
        <v>6.7671599999999995E-4</v>
      </c>
      <c r="N14" s="1">
        <f>'CO2e Emissions by Sector-BAU'!H14</f>
        <v>15.855399999999999</v>
      </c>
      <c r="O14" s="1">
        <f>'CO2e Emissions by Sector-BAU'!I14</f>
        <v>84.999499999999998</v>
      </c>
      <c r="P14" s="1">
        <f>'CO2e Emissions by Sector-BAU'!J14</f>
        <v>58.802599999999998</v>
      </c>
      <c r="Q14" s="1">
        <f>'CO2e Emissions by Sector-Expert'!B14</f>
        <v>214.292</v>
      </c>
      <c r="R14" s="1">
        <f>'CO2e Emissions by Sector-Expert'!C14</f>
        <v>125.41500000000001</v>
      </c>
      <c r="S14" s="1">
        <f>'CO2e Emissions by Sector-Expert'!D14</f>
        <v>16.399999999999999</v>
      </c>
      <c r="T14" s="1">
        <f>'CO2e Emissions by Sector-Expert'!E14</f>
        <v>4.3437000000000001</v>
      </c>
      <c r="U14" s="1">
        <f>'CO2e Emissions by Sector-Expert'!F14</f>
        <v>151.946</v>
      </c>
      <c r="V14" s="1">
        <f>'CO2e Emissions by Sector-Expert'!G14</f>
        <v>0.551485</v>
      </c>
      <c r="W14" s="1">
        <f>'CO2e Emissions by Sector-Expert'!H14</f>
        <v>13.1356</v>
      </c>
      <c r="X14" s="1">
        <f>'CO2e Emissions by Sector-Expert'!I14</f>
        <v>84.802800000000005</v>
      </c>
      <c r="Y14" s="1">
        <f>'CO2e Emissions by Sector-Expert'!J14</f>
        <v>58.805300000000003</v>
      </c>
      <c r="Z14" s="1">
        <f>'CO2e Emissions by Sector-CAS'!B14</f>
        <v>181.63200000000001</v>
      </c>
      <c r="AA14" s="1">
        <f>'CO2e Emissions by Sector-CAS'!C14</f>
        <v>77.509299999999996</v>
      </c>
      <c r="AB14" s="1">
        <f>'CO2e Emissions by Sector-CAS'!D14</f>
        <v>14.9565</v>
      </c>
      <c r="AC14" s="1">
        <f>'CO2e Emissions by Sector-CAS'!E14</f>
        <v>3.9485000000000001</v>
      </c>
      <c r="AD14" s="1">
        <f>'CO2e Emissions by Sector-CAS'!F14</f>
        <v>119.182</v>
      </c>
      <c r="AE14" s="1">
        <f>'CO2e Emissions by Sector-CAS'!G14</f>
        <v>2.09836</v>
      </c>
      <c r="AF14" s="1">
        <f>'CO2e Emissions by Sector-CAS'!H14</f>
        <v>6.6161000000000003</v>
      </c>
      <c r="AG14" s="1">
        <f>'CO2e Emissions by Sector-CAS'!I14</f>
        <v>79.914100000000005</v>
      </c>
      <c r="AH14" s="1">
        <f>'CO2e Emissions by Sector-CAS'!J14</f>
        <v>47.880499999999998</v>
      </c>
      <c r="AI14" s="1"/>
      <c r="AJ14" s="1"/>
      <c r="AK14" s="1"/>
      <c r="AL14" s="1"/>
      <c r="AM14" s="1"/>
      <c r="AN14" s="1"/>
      <c r="AO14" s="1"/>
      <c r="AP14" s="1">
        <f>GDP!B14</f>
        <v>0</v>
      </c>
      <c r="AQ14" s="1">
        <f>GDP!C14</f>
        <v>0.73800100000000002</v>
      </c>
      <c r="AR14" s="1">
        <f>GDP!D14</f>
        <v>6.9272</v>
      </c>
      <c r="AS14" s="1">
        <f>Jobs!B14</f>
        <v>0</v>
      </c>
      <c r="AT14" s="1">
        <f>Jobs!C14</f>
        <v>22220</v>
      </c>
      <c r="AU14" s="1">
        <f>Jobs!D14</f>
        <v>163524</v>
      </c>
      <c r="AV14" s="1">
        <f>Debt!B14</f>
        <v>0</v>
      </c>
      <c r="AW14" s="1">
        <f>Debt!C14</f>
        <v>-0.292632</v>
      </c>
      <c r="AX14" s="1">
        <f>Debt!D14</f>
        <v>-8.3937000000000008</v>
      </c>
      <c r="AY14" s="1">
        <f>'GCF-Expert'!B14</f>
        <v>0.86226100000000006</v>
      </c>
      <c r="AZ14" s="1">
        <f>'GCF-Expert'!C14</f>
        <v>-0.106012</v>
      </c>
      <c r="BA14" s="1">
        <f>'GCF-Expert'!D14</f>
        <v>0</v>
      </c>
      <c r="BB14" s="1">
        <f>'GCF-Expert'!E14</f>
        <v>0</v>
      </c>
      <c r="BC14" s="1">
        <f>'GCF-Expert'!F14</f>
        <v>0</v>
      </c>
      <c r="BD14" s="1">
        <f>'GCF-Expert'!G14</f>
        <v>0</v>
      </c>
      <c r="BE14" s="1">
        <f>'GCF-Expert'!H14</f>
        <v>2.5898600000000001E-2</v>
      </c>
      <c r="BF14" s="1">
        <f>'GCF-Expert'!I14</f>
        <v>1.5313999999999999E-2</v>
      </c>
      <c r="BG14" s="1">
        <f>'GCF-Expert'!J14</f>
        <v>-8.1924899999999995E-2</v>
      </c>
      <c r="BH14" s="1">
        <f>'GCF-CAS'!B14</f>
        <v>7.9631600000000002</v>
      </c>
      <c r="BI14" s="1">
        <f>'GCF-CAS'!C14</f>
        <v>-2.74207</v>
      </c>
      <c r="BJ14" s="1">
        <f>'GCF-CAS'!D14</f>
        <v>0</v>
      </c>
      <c r="BK14" s="1">
        <f>'GCF-CAS'!E14</f>
        <v>0</v>
      </c>
      <c r="BL14" s="1">
        <f>'GCF-CAS'!F14</f>
        <v>0</v>
      </c>
      <c r="BM14" s="1">
        <f>'GCF-CAS'!G14</f>
        <v>0</v>
      </c>
      <c r="BN14" s="1">
        <f>'GCF-CAS'!H14</f>
        <v>2.2919800000000001</v>
      </c>
      <c r="BO14" s="1">
        <f>'GCF-CAS'!I14</f>
        <v>0.42709900000000001</v>
      </c>
      <c r="BP14" s="1">
        <f>'GCF-CAS'!J14</f>
        <v>-0.49645400000000001</v>
      </c>
    </row>
    <row r="15" spans="1:68" x14ac:dyDescent="0.2">
      <c r="A15" s="1">
        <f>GDP!A15</f>
        <v>2033</v>
      </c>
      <c r="B15" s="1">
        <f>'CO2e Emissions'!B15</f>
        <v>686.69600000000003</v>
      </c>
      <c r="C15" s="1">
        <f>'CO2e Emissions'!C15</f>
        <v>677.72699999999998</v>
      </c>
      <c r="D15" s="1">
        <f>'CO2e Emissions'!D15</f>
        <v>513.48900000000003</v>
      </c>
      <c r="E15" s="1">
        <f>'CO2e Emissions (LULUCF excl)'!B15</f>
        <v>671.03399999999999</v>
      </c>
      <c r="F15" s="1">
        <f>'CO2e Emissions (LULUCF excl)'!C15</f>
        <v>665.50900000000001</v>
      </c>
      <c r="G15" s="1">
        <f>'CO2e Emissions (LULUCF excl)'!D15</f>
        <v>509.54399999999998</v>
      </c>
      <c r="H15" s="1">
        <f>'CO2e Emissions by Sector-BAU'!B15</f>
        <v>217.75200000000001</v>
      </c>
      <c r="I15" s="1">
        <f>'CO2e Emissions by Sector-BAU'!C15</f>
        <v>129.25299999999999</v>
      </c>
      <c r="J15" s="1">
        <f>'CO2e Emissions by Sector-BAU'!D15</f>
        <v>16.436499999999999</v>
      </c>
      <c r="K15" s="1">
        <f>'CO2e Emissions by Sector-BAU'!E15</f>
        <v>4.4170100000000003</v>
      </c>
      <c r="L15" s="1">
        <f>'CO2e Emissions by Sector-BAU'!F15</f>
        <v>154.541</v>
      </c>
      <c r="M15" s="1">
        <f>'CO2e Emissions by Sector-BAU'!G15</f>
        <v>9.1257199999999995E-4</v>
      </c>
      <c r="N15" s="1">
        <f>'CO2e Emissions by Sector-BAU'!H15</f>
        <v>15.659000000000001</v>
      </c>
      <c r="O15" s="1">
        <f>'CO2e Emissions by Sector-BAU'!I15</f>
        <v>85.284999999999997</v>
      </c>
      <c r="P15" s="1">
        <f>'CO2e Emissions by Sector-BAU'!J15</f>
        <v>59.525399999999998</v>
      </c>
      <c r="Q15" s="1">
        <f>'CO2e Emissions by Sector-Expert'!B15</f>
        <v>219.92400000000001</v>
      </c>
      <c r="R15" s="1">
        <f>'CO2e Emissions by Sector-Expert'!C15</f>
        <v>126.62</v>
      </c>
      <c r="S15" s="1">
        <f>'CO2e Emissions by Sector-Expert'!D15</f>
        <v>16.418800000000001</v>
      </c>
      <c r="T15" s="1">
        <f>'CO2e Emissions by Sector-Expert'!E15</f>
        <v>4.4077099999999998</v>
      </c>
      <c r="U15" s="1">
        <f>'CO2e Emissions by Sector-Expert'!F15</f>
        <v>152.91</v>
      </c>
      <c r="V15" s="1">
        <f>'CO2e Emissions by Sector-Expert'!G15</f>
        <v>0.63700599999999996</v>
      </c>
      <c r="W15" s="1">
        <f>'CO2e Emissions by Sector-Expert'!H15</f>
        <v>12.218400000000001</v>
      </c>
      <c r="X15" s="1">
        <f>'CO2e Emissions by Sector-Expert'!I15</f>
        <v>85.0548</v>
      </c>
      <c r="Y15" s="1">
        <f>'CO2e Emissions by Sector-Expert'!J15</f>
        <v>59.544499999999999</v>
      </c>
      <c r="Z15" s="1">
        <f>'CO2e Emissions by Sector-CAS'!B15</f>
        <v>181.244</v>
      </c>
      <c r="AA15" s="1">
        <f>'CO2e Emissions by Sector-CAS'!C15</f>
        <v>77.706400000000002</v>
      </c>
      <c r="AB15" s="1">
        <f>'CO2e Emissions by Sector-CAS'!D15</f>
        <v>14.722099999999999</v>
      </c>
      <c r="AC15" s="1">
        <f>'CO2e Emissions by Sector-CAS'!E15</f>
        <v>3.9283800000000002</v>
      </c>
      <c r="AD15" s="1">
        <f>'CO2e Emissions by Sector-CAS'!F15</f>
        <v>106.557</v>
      </c>
      <c r="AE15" s="1">
        <f>'CO2e Emissions by Sector-CAS'!G15</f>
        <v>2.3811300000000002</v>
      </c>
      <c r="AF15" s="1">
        <f>'CO2e Emissions by Sector-CAS'!H15</f>
        <v>3.94556</v>
      </c>
      <c r="AG15" s="1">
        <f>'CO2e Emissions by Sector-CAS'!I15</f>
        <v>79.486000000000004</v>
      </c>
      <c r="AH15" s="1">
        <f>'CO2e Emissions by Sector-CAS'!J15</f>
        <v>45.884700000000002</v>
      </c>
      <c r="AI15" s="1"/>
      <c r="AJ15" s="1"/>
      <c r="AK15" s="1"/>
      <c r="AL15" s="1"/>
      <c r="AM15" s="1"/>
      <c r="AN15" s="1"/>
      <c r="AO15" s="1"/>
      <c r="AP15" s="1">
        <f>GDP!B15</f>
        <v>0</v>
      </c>
      <c r="AQ15" s="1">
        <f>GDP!C15</f>
        <v>0.81090899999999999</v>
      </c>
      <c r="AR15" s="1">
        <f>GDP!D15</f>
        <v>7.8789600000000002</v>
      </c>
      <c r="AS15" s="1">
        <f>Jobs!B15</f>
        <v>0</v>
      </c>
      <c r="AT15" s="1">
        <f>Jobs!C15</f>
        <v>25322</v>
      </c>
      <c r="AU15" s="1">
        <f>Jobs!D15</f>
        <v>193092</v>
      </c>
      <c r="AV15" s="1">
        <f>Debt!B15</f>
        <v>0</v>
      </c>
      <c r="AW15" s="1">
        <f>Debt!C15</f>
        <v>-0.36924200000000001</v>
      </c>
      <c r="AX15" s="1">
        <f>Debt!D15</f>
        <v>-10.9757</v>
      </c>
      <c r="AY15" s="1">
        <f>'GCF-Expert'!B15</f>
        <v>0.97698099999999999</v>
      </c>
      <c r="AZ15" s="1">
        <f>'GCF-Expert'!C15</f>
        <v>-0.138957</v>
      </c>
      <c r="BA15" s="1">
        <f>'GCF-Expert'!D15</f>
        <v>0</v>
      </c>
      <c r="BB15" s="1">
        <f>'GCF-Expert'!E15</f>
        <v>0</v>
      </c>
      <c r="BC15" s="1">
        <f>'GCF-Expert'!F15</f>
        <v>0</v>
      </c>
      <c r="BD15" s="1">
        <f>'GCF-Expert'!G15</f>
        <v>0</v>
      </c>
      <c r="BE15" s="1">
        <f>'GCF-Expert'!H15</f>
        <v>3.5208299999999998E-2</v>
      </c>
      <c r="BF15" s="1">
        <f>'GCF-Expert'!I15</f>
        <v>2.02033E-2</v>
      </c>
      <c r="BG15" s="1">
        <f>'GCF-Expert'!J15</f>
        <v>-0.102758</v>
      </c>
      <c r="BH15" s="1">
        <f>'GCF-CAS'!B15</f>
        <v>8.6286100000000001</v>
      </c>
      <c r="BI15" s="1">
        <f>'GCF-CAS'!C15</f>
        <v>-3.08195</v>
      </c>
      <c r="BJ15" s="1">
        <f>'GCF-CAS'!D15</f>
        <v>0</v>
      </c>
      <c r="BK15" s="1">
        <f>'GCF-CAS'!E15</f>
        <v>0</v>
      </c>
      <c r="BL15" s="1">
        <f>'GCF-CAS'!F15</f>
        <v>0</v>
      </c>
      <c r="BM15" s="1">
        <f>'GCF-CAS'!G15</f>
        <v>0</v>
      </c>
      <c r="BN15" s="1">
        <f>'GCF-CAS'!H15</f>
        <v>2.72878</v>
      </c>
      <c r="BO15" s="1">
        <f>'GCF-CAS'!I15</f>
        <v>0.57950100000000004</v>
      </c>
      <c r="BP15" s="1">
        <f>'GCF-CAS'!J15</f>
        <v>-0.593665</v>
      </c>
    </row>
    <row r="16" spans="1:68" x14ac:dyDescent="0.2">
      <c r="A16" s="1">
        <f>GDP!A16</f>
        <v>2034</v>
      </c>
      <c r="B16" s="1">
        <f>'CO2e Emissions'!B16</f>
        <v>695.22</v>
      </c>
      <c r="C16" s="1">
        <f>'CO2e Emissions'!C16</f>
        <v>684.47699999999998</v>
      </c>
      <c r="D16" s="1">
        <f>'CO2e Emissions'!D16</f>
        <v>507.35</v>
      </c>
      <c r="E16" s="1">
        <f>'CO2e Emissions (LULUCF excl)'!B16</f>
        <v>679.70899999999995</v>
      </c>
      <c r="F16" s="1">
        <f>'CO2e Emissions (LULUCF excl)'!C16</f>
        <v>673.27200000000005</v>
      </c>
      <c r="G16" s="1">
        <f>'CO2e Emissions (LULUCF excl)'!D16</f>
        <v>506.36399999999998</v>
      </c>
      <c r="H16" s="1">
        <f>'CO2e Emissions by Sector-BAU'!B16</f>
        <v>223.68199999999999</v>
      </c>
      <c r="I16" s="1">
        <f>'CO2e Emissions by Sector-BAU'!C16</f>
        <v>129.69900000000001</v>
      </c>
      <c r="J16" s="1">
        <f>'CO2e Emissions by Sector-BAU'!D16</f>
        <v>16.456</v>
      </c>
      <c r="K16" s="1">
        <f>'CO2e Emissions by Sector-BAU'!E16</f>
        <v>4.4840299999999997</v>
      </c>
      <c r="L16" s="1">
        <f>'CO2e Emissions by Sector-BAU'!F16</f>
        <v>155.685</v>
      </c>
      <c r="M16" s="1">
        <f>'CO2e Emissions by Sector-BAU'!G16</f>
        <v>1.21451E-3</v>
      </c>
      <c r="N16" s="1">
        <f>'CO2e Emissions by Sector-BAU'!H16</f>
        <v>15.462199999999999</v>
      </c>
      <c r="O16" s="1">
        <f>'CO2e Emissions by Sector-BAU'!I16</f>
        <v>85.571100000000001</v>
      </c>
      <c r="P16" s="1">
        <f>'CO2e Emissions by Sector-BAU'!J16</f>
        <v>60.276299999999999</v>
      </c>
      <c r="Q16" s="1">
        <f>'CO2e Emissions by Sector-Expert'!B16</f>
        <v>225.571</v>
      </c>
      <c r="R16" s="1">
        <f>'CO2e Emissions by Sector-Expert'!C16</f>
        <v>126.655</v>
      </c>
      <c r="S16" s="1">
        <f>'CO2e Emissions by Sector-Expert'!D16</f>
        <v>16.4405</v>
      </c>
      <c r="T16" s="1">
        <f>'CO2e Emissions by Sector-Expert'!E16</f>
        <v>4.4729700000000001</v>
      </c>
      <c r="U16" s="1">
        <f>'CO2e Emissions by Sector-Expert'!F16</f>
        <v>153.82300000000001</v>
      </c>
      <c r="V16" s="1">
        <f>'CO2e Emissions by Sector-Expert'!G16</f>
        <v>0.72540300000000002</v>
      </c>
      <c r="W16" s="1">
        <f>'CO2e Emissions by Sector-Expert'!H16</f>
        <v>11.205500000000001</v>
      </c>
      <c r="X16" s="1">
        <f>'CO2e Emissions by Sector-Expert'!I16</f>
        <v>85.308499999999995</v>
      </c>
      <c r="Y16" s="1">
        <f>'CO2e Emissions by Sector-Expert'!J16</f>
        <v>60.283200000000001</v>
      </c>
      <c r="Z16" s="1">
        <f>'CO2e Emissions by Sector-CAS'!B16</f>
        <v>180.51400000000001</v>
      </c>
      <c r="AA16" s="1">
        <f>'CO2e Emissions by Sector-CAS'!C16</f>
        <v>76.650599999999997</v>
      </c>
      <c r="AB16" s="1">
        <f>'CO2e Emissions by Sector-CAS'!D16</f>
        <v>14.3405</v>
      </c>
      <c r="AC16" s="1">
        <f>'CO2e Emissions by Sector-CAS'!E16</f>
        <v>3.8723900000000002</v>
      </c>
      <c r="AD16" s="1">
        <f>'CO2e Emissions by Sector-CAS'!F16</f>
        <v>105.887</v>
      </c>
      <c r="AE16" s="1">
        <f>'CO2e Emissions by Sector-CAS'!G16</f>
        <v>2.6607099999999999</v>
      </c>
      <c r="AF16" s="1">
        <f>'CO2e Emissions by Sector-CAS'!H16</f>
        <v>0.98620300000000005</v>
      </c>
      <c r="AG16" s="1">
        <f>'CO2e Emissions by Sector-CAS'!I16</f>
        <v>79.045199999999994</v>
      </c>
      <c r="AH16" s="1">
        <f>'CO2e Emissions by Sector-CAS'!J16</f>
        <v>45.356499999999997</v>
      </c>
      <c r="AI16" s="1"/>
      <c r="AJ16" s="1"/>
      <c r="AK16" s="1"/>
      <c r="AL16" s="1"/>
      <c r="AM16" s="1"/>
      <c r="AN16" s="1"/>
      <c r="AO16" s="1"/>
      <c r="AP16" s="1">
        <f>GDP!B16</f>
        <v>0</v>
      </c>
      <c r="AQ16" s="1">
        <f>GDP!C16</f>
        <v>0.84562700000000002</v>
      </c>
      <c r="AR16" s="1">
        <f>GDP!D16</f>
        <v>8.3426899999999993</v>
      </c>
      <c r="AS16" s="1">
        <f>Jobs!B16</f>
        <v>0</v>
      </c>
      <c r="AT16" s="1">
        <f>Jobs!C16</f>
        <v>29795</v>
      </c>
      <c r="AU16" s="1">
        <f>Jobs!D16</f>
        <v>221974</v>
      </c>
      <c r="AV16" s="1">
        <f>Debt!B16</f>
        <v>0</v>
      </c>
      <c r="AW16" s="1">
        <f>Debt!C16</f>
        <v>-0.45387</v>
      </c>
      <c r="AX16" s="1">
        <f>Debt!D16</f>
        <v>-13.9078</v>
      </c>
      <c r="AY16" s="1">
        <f>'GCF-Expert'!B16</f>
        <v>1.09276</v>
      </c>
      <c r="AZ16" s="1">
        <f>'GCF-Expert'!C16</f>
        <v>-0.16733200000000001</v>
      </c>
      <c r="BA16" s="1">
        <f>'GCF-Expert'!D16</f>
        <v>0</v>
      </c>
      <c r="BB16" s="1">
        <f>'GCF-Expert'!E16</f>
        <v>0</v>
      </c>
      <c r="BC16" s="1">
        <f>'GCF-Expert'!F16</f>
        <v>0</v>
      </c>
      <c r="BD16" s="1">
        <f>'GCF-Expert'!G16</f>
        <v>0</v>
      </c>
      <c r="BE16" s="1">
        <f>'GCF-Expert'!H16</f>
        <v>4.4830200000000001E-2</v>
      </c>
      <c r="BF16" s="1">
        <f>'GCF-Expert'!I16</f>
        <v>2.5492500000000001E-2</v>
      </c>
      <c r="BG16" s="1">
        <f>'GCF-Expert'!J16</f>
        <v>-0.122889</v>
      </c>
      <c r="BH16" s="1">
        <f>'GCF-CAS'!B16</f>
        <v>9.5081500000000005</v>
      </c>
      <c r="BI16" s="1">
        <f>'GCF-CAS'!C16</f>
        <v>-3.4653100000000001</v>
      </c>
      <c r="BJ16" s="1">
        <f>'GCF-CAS'!D16</f>
        <v>0</v>
      </c>
      <c r="BK16" s="1">
        <f>'GCF-CAS'!E16</f>
        <v>0</v>
      </c>
      <c r="BL16" s="1">
        <f>'GCF-CAS'!F16</f>
        <v>0</v>
      </c>
      <c r="BM16" s="1">
        <f>'GCF-CAS'!G16</f>
        <v>0</v>
      </c>
      <c r="BN16" s="1">
        <f>'GCF-CAS'!H16</f>
        <v>3.1730399999999999</v>
      </c>
      <c r="BO16" s="1">
        <f>'GCF-CAS'!I16</f>
        <v>0.75776399999999999</v>
      </c>
      <c r="BP16" s="1">
        <f>'GCF-CAS'!J16</f>
        <v>-0.82182500000000003</v>
      </c>
    </row>
    <row r="17" spans="1:68" x14ac:dyDescent="0.2">
      <c r="A17" s="1">
        <f>GDP!A17</f>
        <v>2035</v>
      </c>
      <c r="B17" s="1">
        <f>'CO2e Emissions'!B17</f>
        <v>704.08299999999997</v>
      </c>
      <c r="C17" s="1">
        <f>'CO2e Emissions'!C17</f>
        <v>691.50099999999998</v>
      </c>
      <c r="D17" s="1">
        <f>'CO2e Emissions'!D17</f>
        <v>500.18700000000001</v>
      </c>
      <c r="E17" s="1">
        <f>'CO2e Emissions (LULUCF excl)'!B17</f>
        <v>688.72500000000002</v>
      </c>
      <c r="F17" s="1">
        <f>'CO2e Emissions (LULUCF excl)'!C17</f>
        <v>681.404</v>
      </c>
      <c r="G17" s="1">
        <f>'CO2e Emissions (LULUCF excl)'!D17</f>
        <v>502.34899999999999</v>
      </c>
      <c r="H17" s="1">
        <f>'CO2e Emissions by Sector-BAU'!B17</f>
        <v>229.78399999999999</v>
      </c>
      <c r="I17" s="1">
        <f>'CO2e Emissions by Sector-BAU'!C17</f>
        <v>129.815</v>
      </c>
      <c r="J17" s="1">
        <f>'CO2e Emissions by Sector-BAU'!D17</f>
        <v>16.4831</v>
      </c>
      <c r="K17" s="1">
        <f>'CO2e Emissions by Sector-BAU'!E17</f>
        <v>4.5512499999999996</v>
      </c>
      <c r="L17" s="1">
        <f>'CO2e Emissions by Sector-BAU'!F17</f>
        <v>157.25800000000001</v>
      </c>
      <c r="M17" s="1">
        <f>'CO2e Emissions by Sector-BAU'!G17</f>
        <v>1.57734E-3</v>
      </c>
      <c r="N17" s="1">
        <f>'CO2e Emissions by Sector-BAU'!H17</f>
        <v>15.365500000000001</v>
      </c>
      <c r="O17" s="1">
        <f>'CO2e Emissions by Sector-BAU'!I17</f>
        <v>85.855400000000003</v>
      </c>
      <c r="P17" s="1">
        <f>'CO2e Emissions by Sector-BAU'!J17</f>
        <v>60.998600000000003</v>
      </c>
      <c r="Q17" s="1">
        <f>'CO2e Emissions by Sector-Expert'!B17</f>
        <v>231.33699999999999</v>
      </c>
      <c r="R17" s="1">
        <f>'CO2e Emissions by Sector-Expert'!C17</f>
        <v>126.535</v>
      </c>
      <c r="S17" s="1">
        <f>'CO2e Emissions by Sector-Expert'!D17</f>
        <v>16.4617</v>
      </c>
      <c r="T17" s="1">
        <f>'CO2e Emissions by Sector-Expert'!E17</f>
        <v>4.5385400000000002</v>
      </c>
      <c r="U17" s="1">
        <f>'CO2e Emissions by Sector-Expert'!F17</f>
        <v>155.13499999999999</v>
      </c>
      <c r="V17" s="1">
        <f>'CO2e Emissions by Sector-Expert'!G17</f>
        <v>0.81647599999999998</v>
      </c>
      <c r="W17" s="1">
        <f>'CO2e Emissions by Sector-Expert'!H17</f>
        <v>10.0969</v>
      </c>
      <c r="X17" s="1">
        <f>'CO2e Emissions by Sector-Expert'!I17</f>
        <v>85.563299999999998</v>
      </c>
      <c r="Y17" s="1">
        <f>'CO2e Emissions by Sector-Expert'!J17</f>
        <v>61.022500000000001</v>
      </c>
      <c r="Z17" s="1">
        <f>'CO2e Emissions by Sector-CAS'!B17</f>
        <v>179.48599999999999</v>
      </c>
      <c r="AA17" s="1">
        <f>'CO2e Emissions by Sector-CAS'!C17</f>
        <v>75.347099999999998</v>
      </c>
      <c r="AB17" s="1">
        <f>'CO2e Emissions by Sector-CAS'!D17</f>
        <v>13.9168</v>
      </c>
      <c r="AC17" s="1">
        <f>'CO2e Emissions by Sector-CAS'!E17</f>
        <v>3.7966700000000002</v>
      </c>
      <c r="AD17" s="1">
        <f>'CO2e Emissions by Sector-CAS'!F17</f>
        <v>105.22199999999999</v>
      </c>
      <c r="AE17" s="1">
        <f>'CO2e Emissions by Sector-CAS'!G17</f>
        <v>3.06026</v>
      </c>
      <c r="AF17" s="1">
        <f>'CO2e Emissions by Sector-CAS'!H17</f>
        <v>-2.1617199999999999</v>
      </c>
      <c r="AG17" s="1">
        <f>'CO2e Emissions by Sector-CAS'!I17</f>
        <v>78.624700000000004</v>
      </c>
      <c r="AH17" s="1">
        <f>'CO2e Emissions by Sector-CAS'!J17</f>
        <v>44.770699999999998</v>
      </c>
      <c r="AI17" s="1"/>
      <c r="AJ17" s="1"/>
      <c r="AK17" s="1"/>
      <c r="AL17" s="1"/>
      <c r="AM17" s="1"/>
      <c r="AN17" s="1"/>
      <c r="AO17" s="1"/>
      <c r="AP17" s="1">
        <f>GDP!B17</f>
        <v>0</v>
      </c>
      <c r="AQ17" s="1">
        <f>GDP!C17</f>
        <v>0.93638900000000003</v>
      </c>
      <c r="AR17" s="1">
        <f>GDP!D17</f>
        <v>9.0142299999999995</v>
      </c>
      <c r="AS17" s="1">
        <f>Jobs!B17</f>
        <v>0</v>
      </c>
      <c r="AT17" s="1">
        <f>Jobs!C17</f>
        <v>34623</v>
      </c>
      <c r="AU17" s="1">
        <f>Jobs!D17</f>
        <v>255936</v>
      </c>
      <c r="AV17" s="1">
        <f>Debt!B17</f>
        <v>0</v>
      </c>
      <c r="AW17" s="1">
        <f>Debt!C17</f>
        <v>-0.54428699999999997</v>
      </c>
      <c r="AX17" s="1">
        <f>Debt!D17</f>
        <v>-17.249300000000002</v>
      </c>
      <c r="AY17" s="1">
        <f>'GCF-Expert'!B17</f>
        <v>1.2119500000000001</v>
      </c>
      <c r="AZ17" s="1">
        <f>'GCF-Expert'!C17</f>
        <v>-0.19853100000000001</v>
      </c>
      <c r="BA17" s="1">
        <f>'GCF-Expert'!D17</f>
        <v>0</v>
      </c>
      <c r="BB17" s="1">
        <f>'GCF-Expert'!E17</f>
        <v>0</v>
      </c>
      <c r="BC17" s="1">
        <f>'GCF-Expert'!F17</f>
        <v>0</v>
      </c>
      <c r="BD17" s="1">
        <f>'GCF-Expert'!G17</f>
        <v>0</v>
      </c>
      <c r="BE17" s="1">
        <f>'GCF-Expert'!H17</f>
        <v>5.6573600000000002E-2</v>
      </c>
      <c r="BF17" s="1">
        <f>'GCF-Expert'!I17</f>
        <v>3.1335200000000001E-2</v>
      </c>
      <c r="BG17" s="1">
        <f>'GCF-Expert'!J17</f>
        <v>-0.15365500000000001</v>
      </c>
      <c r="BH17" s="1">
        <f>'GCF-CAS'!B17</f>
        <v>10.359400000000001</v>
      </c>
      <c r="BI17" s="1">
        <f>'GCF-CAS'!C17</f>
        <v>-3.8361299999999998</v>
      </c>
      <c r="BJ17" s="1">
        <f>'GCF-CAS'!D17</f>
        <v>0</v>
      </c>
      <c r="BK17" s="1">
        <f>'GCF-CAS'!E17</f>
        <v>0</v>
      </c>
      <c r="BL17" s="1">
        <f>'GCF-CAS'!F17</f>
        <v>0</v>
      </c>
      <c r="BM17" s="1">
        <f>'GCF-CAS'!G17</f>
        <v>0</v>
      </c>
      <c r="BN17" s="1">
        <f>'GCF-CAS'!H17</f>
        <v>3.6741899999999998</v>
      </c>
      <c r="BO17" s="1">
        <f>'GCF-CAS'!I17</f>
        <v>0.96019699999999997</v>
      </c>
      <c r="BP17" s="1">
        <f>'GCF-CAS'!J17</f>
        <v>-1.0461100000000001</v>
      </c>
    </row>
    <row r="18" spans="1:68" x14ac:dyDescent="0.2">
      <c r="A18" s="1">
        <f>GDP!A18</f>
        <v>2036</v>
      </c>
      <c r="B18" s="1">
        <f>'CO2e Emissions'!B18</f>
        <v>712.75099999999998</v>
      </c>
      <c r="C18" s="1">
        <f>'CO2e Emissions'!C18</f>
        <v>698.36</v>
      </c>
      <c r="D18" s="1">
        <f>'CO2e Emissions'!D18</f>
        <v>489.22699999999998</v>
      </c>
      <c r="E18" s="1">
        <f>'CO2e Emissions (LULUCF excl)'!B18</f>
        <v>697.54399999999998</v>
      </c>
      <c r="F18" s="1">
        <f>'CO2e Emissions (LULUCF excl)'!C18</f>
        <v>689.46699999999998</v>
      </c>
      <c r="G18" s="1">
        <f>'CO2e Emissions (LULUCF excl)'!D18</f>
        <v>494.92500000000001</v>
      </c>
      <c r="H18" s="1">
        <f>'CO2e Emissions by Sector-BAU'!B18</f>
        <v>235.916</v>
      </c>
      <c r="I18" s="1">
        <f>'CO2e Emissions by Sector-BAU'!C18</f>
        <v>128.81100000000001</v>
      </c>
      <c r="J18" s="1">
        <f>'CO2e Emissions by Sector-BAU'!D18</f>
        <v>16.504799999999999</v>
      </c>
      <c r="K18" s="1">
        <f>'CO2e Emissions by Sector-BAU'!E18</f>
        <v>4.6192000000000002</v>
      </c>
      <c r="L18" s="1">
        <f>'CO2e Emissions by Sector-BAU'!F18</f>
        <v>159.48599999999999</v>
      </c>
      <c r="M18" s="1">
        <f>'CO2e Emissions by Sector-BAU'!G18</f>
        <v>2.0056200000000001E-3</v>
      </c>
      <c r="N18" s="1">
        <f>'CO2e Emissions by Sector-BAU'!H18</f>
        <v>15.168799999999999</v>
      </c>
      <c r="O18" s="1">
        <f>'CO2e Emissions by Sector-BAU'!I18</f>
        <v>86.085899999999995</v>
      </c>
      <c r="P18" s="1">
        <f>'CO2e Emissions by Sector-BAU'!J18</f>
        <v>61.718200000000003</v>
      </c>
      <c r="Q18" s="1">
        <f>'CO2e Emissions by Sector-Expert'!B18</f>
        <v>237.09399999999999</v>
      </c>
      <c r="R18" s="1">
        <f>'CO2e Emissions by Sector-Expert'!C18</f>
        <v>125.74</v>
      </c>
      <c r="S18" s="1">
        <f>'CO2e Emissions by Sector-Expert'!D18</f>
        <v>16.4849</v>
      </c>
      <c r="T18" s="1">
        <f>'CO2e Emissions by Sector-Expert'!E18</f>
        <v>4.6049800000000003</v>
      </c>
      <c r="U18" s="1">
        <f>'CO2e Emissions by Sector-Expert'!F18</f>
        <v>157.13800000000001</v>
      </c>
      <c r="V18" s="1">
        <f>'CO2e Emissions by Sector-Expert'!G18</f>
        <v>0.909964</v>
      </c>
      <c r="W18" s="1">
        <f>'CO2e Emissions by Sector-Expert'!H18</f>
        <v>8.8926400000000001</v>
      </c>
      <c r="X18" s="1">
        <f>'CO2e Emissions by Sector-Expert'!I18</f>
        <v>85.759</v>
      </c>
      <c r="Y18" s="1">
        <f>'CO2e Emissions by Sector-Expert'!J18</f>
        <v>61.735599999999998</v>
      </c>
      <c r="Z18" s="1">
        <f>'CO2e Emissions by Sector-CAS'!B18</f>
        <v>177.98599999999999</v>
      </c>
      <c r="AA18" s="1">
        <f>'CO2e Emissions by Sector-CAS'!C18</f>
        <v>73.605999999999995</v>
      </c>
      <c r="AB18" s="1">
        <f>'CO2e Emissions by Sector-CAS'!D18</f>
        <v>13.4331</v>
      </c>
      <c r="AC18" s="1">
        <f>'CO2e Emissions by Sector-CAS'!E18</f>
        <v>3.6972100000000001</v>
      </c>
      <c r="AD18" s="1">
        <f>'CO2e Emissions by Sector-CAS'!F18</f>
        <v>102.685</v>
      </c>
      <c r="AE18" s="1">
        <f>'CO2e Emissions by Sector-CAS'!G18</f>
        <v>3.35182</v>
      </c>
      <c r="AF18" s="1">
        <f>'CO2e Emissions by Sector-CAS'!H18</f>
        <v>-5.6981700000000002</v>
      </c>
      <c r="AG18" s="1">
        <f>'CO2e Emissions by Sector-CAS'!I18</f>
        <v>78.176500000000004</v>
      </c>
      <c r="AH18" s="1">
        <f>'CO2e Emissions by Sector-CAS'!J18</f>
        <v>44.164099999999998</v>
      </c>
      <c r="AI18" s="1"/>
      <c r="AJ18" s="1"/>
      <c r="AK18" s="1"/>
      <c r="AL18" s="1"/>
      <c r="AM18" s="1"/>
      <c r="AN18" s="1"/>
      <c r="AO18" s="1"/>
      <c r="AP18" s="1">
        <f>GDP!B18</f>
        <v>0</v>
      </c>
      <c r="AQ18" s="1">
        <f>GDP!C18</f>
        <v>1.07328</v>
      </c>
      <c r="AR18" s="1">
        <f>GDP!D18</f>
        <v>11.7798</v>
      </c>
      <c r="AS18" s="1">
        <f>Jobs!B18</f>
        <v>0</v>
      </c>
      <c r="AT18" s="1">
        <f>Jobs!C18</f>
        <v>40982</v>
      </c>
      <c r="AU18" s="1">
        <f>Jobs!D18</f>
        <v>341794</v>
      </c>
      <c r="AV18" s="1">
        <f>Debt!B18</f>
        <v>0</v>
      </c>
      <c r="AW18" s="1">
        <f>Debt!C18</f>
        <v>-0.65163099999999996</v>
      </c>
      <c r="AX18" s="1">
        <f>Debt!D18</f>
        <v>-21.0517</v>
      </c>
      <c r="AY18" s="1">
        <f>'GCF-Expert'!B18</f>
        <v>1.3988799999999999</v>
      </c>
      <c r="AZ18" s="1">
        <f>'GCF-Expert'!C18</f>
        <v>-0.22720399999999999</v>
      </c>
      <c r="BA18" s="1">
        <f>'GCF-Expert'!D18</f>
        <v>0</v>
      </c>
      <c r="BB18" s="1">
        <f>'GCF-Expert'!E18</f>
        <v>0</v>
      </c>
      <c r="BC18" s="1">
        <f>'GCF-Expert'!F18</f>
        <v>0</v>
      </c>
      <c r="BD18" s="1">
        <f>'GCF-Expert'!G18</f>
        <v>0</v>
      </c>
      <c r="BE18" s="1">
        <f>'GCF-Expert'!H18</f>
        <v>7.0664299999999999E-2</v>
      </c>
      <c r="BF18" s="1">
        <f>'GCF-Expert'!I18</f>
        <v>3.7577600000000003E-2</v>
      </c>
      <c r="BG18" s="1">
        <f>'GCF-Expert'!J18</f>
        <v>-0.186163</v>
      </c>
      <c r="BH18" s="1">
        <f>'GCF-CAS'!B18</f>
        <v>11.683999999999999</v>
      </c>
      <c r="BI18" s="1">
        <f>'GCF-CAS'!C18</f>
        <v>-4.2785700000000002</v>
      </c>
      <c r="BJ18" s="1">
        <f>'GCF-CAS'!D18</f>
        <v>0</v>
      </c>
      <c r="BK18" s="1">
        <f>'GCF-CAS'!E18</f>
        <v>0</v>
      </c>
      <c r="BL18" s="1">
        <f>'GCF-CAS'!F18</f>
        <v>0</v>
      </c>
      <c r="BM18" s="1">
        <f>'GCF-CAS'!G18</f>
        <v>0</v>
      </c>
      <c r="BN18" s="1">
        <f>'GCF-CAS'!H18</f>
        <v>4.2089600000000003</v>
      </c>
      <c r="BO18" s="1">
        <f>'GCF-CAS'!I18</f>
        <v>1.19089</v>
      </c>
      <c r="BP18" s="1">
        <f>'GCF-CAS'!J18</f>
        <v>-1.3212200000000001</v>
      </c>
    </row>
    <row r="19" spans="1:68" x14ac:dyDescent="0.2">
      <c r="A19" s="1">
        <f>GDP!A19</f>
        <v>2037</v>
      </c>
      <c r="B19" s="1">
        <f>'CO2e Emissions'!B19</f>
        <v>721.95100000000002</v>
      </c>
      <c r="C19" s="1">
        <f>'CO2e Emissions'!C19</f>
        <v>705.11300000000006</v>
      </c>
      <c r="D19" s="1">
        <f>'CO2e Emissions'!D19</f>
        <v>476.99900000000002</v>
      </c>
      <c r="E19" s="1">
        <f>'CO2e Emissions (LULUCF excl)'!B19</f>
        <v>706.89700000000005</v>
      </c>
      <c r="F19" s="1">
        <f>'CO2e Emissions (LULUCF excl)'!C19</f>
        <v>697.52</v>
      </c>
      <c r="G19" s="1">
        <f>'CO2e Emissions (LULUCF excl)'!D19</f>
        <v>486.42200000000003</v>
      </c>
      <c r="H19" s="1">
        <f>'CO2e Emissions by Sector-BAU'!B19</f>
        <v>241.75800000000001</v>
      </c>
      <c r="I19" s="1">
        <f>'CO2e Emissions by Sector-BAU'!C19</f>
        <v>129.32300000000001</v>
      </c>
      <c r="J19" s="1">
        <f>'CO2e Emissions by Sector-BAU'!D19</f>
        <v>16.533899999999999</v>
      </c>
      <c r="K19" s="1">
        <f>'CO2e Emissions by Sector-BAU'!E19</f>
        <v>4.6885399999999997</v>
      </c>
      <c r="L19" s="1">
        <f>'CO2e Emissions by Sector-BAU'!F19</f>
        <v>161.70599999999999</v>
      </c>
      <c r="M19" s="1">
        <f>'CO2e Emissions by Sector-BAU'!G19</f>
        <v>2.5380099999999998E-3</v>
      </c>
      <c r="N19" s="1">
        <f>'CO2e Emissions by Sector-BAU'!H19</f>
        <v>15.0724</v>
      </c>
      <c r="O19" s="1">
        <f>'CO2e Emissions by Sector-BAU'!I19</f>
        <v>86.315100000000001</v>
      </c>
      <c r="P19" s="1">
        <f>'CO2e Emissions by Sector-BAU'!J19</f>
        <v>62.4375</v>
      </c>
      <c r="Q19" s="1">
        <f>'CO2e Emissions by Sector-Expert'!B19</f>
        <v>242.44</v>
      </c>
      <c r="R19" s="1">
        <f>'CO2e Emissions by Sector-Expert'!C19</f>
        <v>125.363</v>
      </c>
      <c r="S19" s="1">
        <f>'CO2e Emissions by Sector-Expert'!D19</f>
        <v>16.509</v>
      </c>
      <c r="T19" s="1">
        <f>'CO2e Emissions by Sector-Expert'!E19</f>
        <v>4.6722299999999999</v>
      </c>
      <c r="U19" s="1">
        <f>'CO2e Emissions by Sector-Expert'!F19</f>
        <v>159.125</v>
      </c>
      <c r="V19" s="1">
        <f>'CO2e Emissions by Sector-Expert'!G19</f>
        <v>1.00526</v>
      </c>
      <c r="W19" s="1">
        <f>'CO2e Emissions by Sector-Expert'!H19</f>
        <v>7.5927300000000004</v>
      </c>
      <c r="X19" s="1">
        <f>'CO2e Emissions by Sector-Expert'!I19</f>
        <v>85.955799999999996</v>
      </c>
      <c r="Y19" s="1">
        <f>'CO2e Emissions by Sector-Expert'!J19</f>
        <v>62.449399999999997</v>
      </c>
      <c r="Z19" s="1">
        <f>'CO2e Emissions by Sector-CAS'!B19</f>
        <v>175.50200000000001</v>
      </c>
      <c r="AA19" s="1">
        <f>'CO2e Emissions by Sector-CAS'!C19</f>
        <v>71.994399999999999</v>
      </c>
      <c r="AB19" s="1">
        <f>'CO2e Emissions by Sector-CAS'!D19</f>
        <v>12.8939</v>
      </c>
      <c r="AC19" s="1">
        <f>'CO2e Emissions by Sector-CAS'!E19</f>
        <v>3.57585</v>
      </c>
      <c r="AD19" s="1">
        <f>'CO2e Emissions by Sector-CAS'!F19</f>
        <v>100.048</v>
      </c>
      <c r="AE19" s="1">
        <f>'CO2e Emissions by Sector-CAS'!G19</f>
        <v>3.6699000000000002</v>
      </c>
      <c r="AF19" s="1">
        <f>'CO2e Emissions by Sector-CAS'!H19</f>
        <v>-9.4229000000000003</v>
      </c>
      <c r="AG19" s="1">
        <f>'CO2e Emissions by Sector-CAS'!I19</f>
        <v>77.745999999999995</v>
      </c>
      <c r="AH19" s="1">
        <f>'CO2e Emissions by Sector-CAS'!J19</f>
        <v>43.532699999999998</v>
      </c>
      <c r="AI19" s="1"/>
      <c r="AJ19" s="1"/>
      <c r="AK19" s="1"/>
      <c r="AL19" s="1"/>
      <c r="AM19" s="1"/>
      <c r="AN19" s="1"/>
      <c r="AO19" s="1"/>
      <c r="AP19" s="1">
        <f>GDP!B19</f>
        <v>0</v>
      </c>
      <c r="AQ19" s="1">
        <f>GDP!C19</f>
        <v>1.2037199999999999</v>
      </c>
      <c r="AR19" s="1">
        <f>GDP!D19</f>
        <v>13.2944</v>
      </c>
      <c r="AS19" s="1">
        <f>Jobs!B19</f>
        <v>0</v>
      </c>
      <c r="AT19" s="1">
        <f>Jobs!C19</f>
        <v>47197</v>
      </c>
      <c r="AU19" s="1">
        <f>Jobs!D19</f>
        <v>398577</v>
      </c>
      <c r="AV19" s="1">
        <f>Debt!B19</f>
        <v>0</v>
      </c>
      <c r="AW19" s="1">
        <f>Debt!C19</f>
        <v>-0.773227</v>
      </c>
      <c r="AX19" s="1">
        <f>Debt!D19</f>
        <v>-25.2029</v>
      </c>
      <c r="AY19" s="1">
        <f>'GCF-Expert'!B19</f>
        <v>1.5893999999999999</v>
      </c>
      <c r="AZ19" s="1">
        <f>'GCF-Expert'!C19</f>
        <v>-0.27679799999999999</v>
      </c>
      <c r="BA19" s="1">
        <f>'GCF-Expert'!D19</f>
        <v>0</v>
      </c>
      <c r="BB19" s="1">
        <f>'GCF-Expert'!E19</f>
        <v>0</v>
      </c>
      <c r="BC19" s="1">
        <f>'GCF-Expert'!F19</f>
        <v>0</v>
      </c>
      <c r="BD19" s="1">
        <f>'GCF-Expert'!G19</f>
        <v>0</v>
      </c>
      <c r="BE19" s="1">
        <f>'GCF-Expert'!H19</f>
        <v>8.7987499999999996E-2</v>
      </c>
      <c r="BF19" s="1">
        <f>'GCF-Expert'!I19</f>
        <v>4.4988599999999997E-2</v>
      </c>
      <c r="BG19" s="1">
        <f>'GCF-Expert'!J19</f>
        <v>-0.217859</v>
      </c>
      <c r="BH19" s="1">
        <f>'GCF-CAS'!B19</f>
        <v>12.920999999999999</v>
      </c>
      <c r="BI19" s="1">
        <f>'GCF-CAS'!C19</f>
        <v>-4.7645099999999996</v>
      </c>
      <c r="BJ19" s="1">
        <f>'GCF-CAS'!D19</f>
        <v>0</v>
      </c>
      <c r="BK19" s="1">
        <f>'GCF-CAS'!E19</f>
        <v>0</v>
      </c>
      <c r="BL19" s="1">
        <f>'GCF-CAS'!F19</f>
        <v>0</v>
      </c>
      <c r="BM19" s="1">
        <f>'GCF-CAS'!G19</f>
        <v>0</v>
      </c>
      <c r="BN19" s="1">
        <f>'GCF-CAS'!H19</f>
        <v>4.6463200000000002</v>
      </c>
      <c r="BO19" s="1">
        <f>'GCF-CAS'!I19</f>
        <v>1.4534100000000001</v>
      </c>
      <c r="BP19" s="1">
        <f>'GCF-CAS'!J19</f>
        <v>-1.56504</v>
      </c>
    </row>
    <row r="20" spans="1:68" x14ac:dyDescent="0.2">
      <c r="A20" s="1">
        <f>GDP!A20</f>
        <v>2038</v>
      </c>
      <c r="B20" s="1">
        <f>'CO2e Emissions'!B20</f>
        <v>731.22299999999996</v>
      </c>
      <c r="C20" s="1">
        <f>'CO2e Emissions'!C20</f>
        <v>711.70799999999997</v>
      </c>
      <c r="D20" s="1">
        <f>'CO2e Emissions'!D20</f>
        <v>460.87099999999998</v>
      </c>
      <c r="E20" s="1">
        <f>'CO2e Emissions (LULUCF excl)'!B20</f>
        <v>716.32</v>
      </c>
      <c r="F20" s="1">
        <f>'CO2e Emissions (LULUCF excl)'!C20</f>
        <v>705.51</v>
      </c>
      <c r="G20" s="1">
        <f>'CO2e Emissions (LULUCF excl)'!D20</f>
        <v>474.40800000000002</v>
      </c>
      <c r="H20" s="1">
        <f>'CO2e Emissions by Sector-BAU'!B20</f>
        <v>247.809</v>
      </c>
      <c r="I20" s="1">
        <f>'CO2e Emissions by Sector-BAU'!C20</f>
        <v>129.4</v>
      </c>
      <c r="J20" s="1">
        <f>'CO2e Emissions by Sector-BAU'!D20</f>
        <v>16.564399999999999</v>
      </c>
      <c r="K20" s="1">
        <f>'CO2e Emissions by Sector-BAU'!E20</f>
        <v>4.7585899999999999</v>
      </c>
      <c r="L20" s="1">
        <f>'CO2e Emissions by Sector-BAU'!F20</f>
        <v>163.93700000000001</v>
      </c>
      <c r="M20" s="1">
        <f>'CO2e Emissions by Sector-BAU'!G20</f>
        <v>3.1449500000000001E-3</v>
      </c>
      <c r="N20" s="1">
        <f>'CO2e Emissions by Sector-BAU'!H20</f>
        <v>14.875400000000001</v>
      </c>
      <c r="O20" s="1">
        <f>'CO2e Emissions by Sector-BAU'!I20</f>
        <v>86.518900000000002</v>
      </c>
      <c r="P20" s="1">
        <f>'CO2e Emissions by Sector-BAU'!J20</f>
        <v>63.156500000000001</v>
      </c>
      <c r="Q20" s="1">
        <f>'CO2e Emissions by Sector-Expert'!B20</f>
        <v>247.92</v>
      </c>
      <c r="R20" s="1">
        <f>'CO2e Emissions by Sector-Expert'!C20</f>
        <v>124.828</v>
      </c>
      <c r="S20" s="1">
        <f>'CO2e Emissions by Sector-Expert'!D20</f>
        <v>16.535399999999999</v>
      </c>
      <c r="T20" s="1">
        <f>'CO2e Emissions by Sector-Expert'!E20</f>
        <v>4.74057</v>
      </c>
      <c r="U20" s="1">
        <f>'CO2e Emissions by Sector-Expert'!F20</f>
        <v>161.06700000000001</v>
      </c>
      <c r="V20" s="1">
        <f>'CO2e Emissions by Sector-Expert'!G20</f>
        <v>1.1035299999999999</v>
      </c>
      <c r="W20" s="1">
        <f>'CO2e Emissions by Sector-Expert'!H20</f>
        <v>6.1971499999999997</v>
      </c>
      <c r="X20" s="1">
        <f>'CO2e Emissions by Sector-Expert'!I20</f>
        <v>86.152299999999997</v>
      </c>
      <c r="Y20" s="1">
        <f>'CO2e Emissions by Sector-Expert'!J20</f>
        <v>63.162999999999997</v>
      </c>
      <c r="Z20" s="1">
        <f>'CO2e Emissions by Sector-CAS'!B20</f>
        <v>172.68</v>
      </c>
      <c r="AA20" s="1">
        <f>'CO2e Emissions by Sector-CAS'!C20</f>
        <v>69.385800000000003</v>
      </c>
      <c r="AB20" s="1">
        <f>'CO2e Emissions by Sector-CAS'!D20</f>
        <v>12.2682</v>
      </c>
      <c r="AC20" s="1">
        <f>'CO2e Emissions by Sector-CAS'!E20</f>
        <v>3.43391</v>
      </c>
      <c r="AD20" s="1">
        <f>'CO2e Emissions by Sector-CAS'!F20</f>
        <v>95.6541</v>
      </c>
      <c r="AE20" s="1">
        <f>'CO2e Emissions by Sector-CAS'!G20</f>
        <v>3.9746199999999998</v>
      </c>
      <c r="AF20" s="1">
        <f>'CO2e Emissions by Sector-CAS'!H20</f>
        <v>-13.5367</v>
      </c>
      <c r="AG20" s="1">
        <f>'CO2e Emissions by Sector-CAS'!I20</f>
        <v>77.236599999999996</v>
      </c>
      <c r="AH20" s="1">
        <f>'CO2e Emissions by Sector-CAS'!J20</f>
        <v>42.688299999999998</v>
      </c>
      <c r="AI20" s="1"/>
      <c r="AJ20" s="1"/>
      <c r="AK20" s="1"/>
      <c r="AL20" s="1"/>
      <c r="AM20" s="1"/>
      <c r="AN20" s="1"/>
      <c r="AO20" s="1"/>
      <c r="AP20" s="1">
        <f>GDP!B20</f>
        <v>0</v>
      </c>
      <c r="AQ20" s="1">
        <f>GDP!C20</f>
        <v>1.2662100000000001</v>
      </c>
      <c r="AR20" s="1">
        <f>GDP!D20</f>
        <v>14.556699999999999</v>
      </c>
      <c r="AS20" s="1">
        <f>Jobs!B20</f>
        <v>0</v>
      </c>
      <c r="AT20" s="1">
        <f>Jobs!C20</f>
        <v>53764</v>
      </c>
      <c r="AU20" s="1">
        <f>Jobs!D20</f>
        <v>451554</v>
      </c>
      <c r="AV20" s="1">
        <f>Debt!B20</f>
        <v>0</v>
      </c>
      <c r="AW20" s="1">
        <f>Debt!C20</f>
        <v>-0.91085799999999995</v>
      </c>
      <c r="AX20" s="1">
        <f>Debt!D20</f>
        <v>-29.754100000000001</v>
      </c>
      <c r="AY20" s="1">
        <f>'GCF-Expert'!B20</f>
        <v>1.7823599999999999</v>
      </c>
      <c r="AZ20" s="1">
        <f>'GCF-Expert'!C20</f>
        <v>-0.32717000000000002</v>
      </c>
      <c r="BA20" s="1">
        <f>'GCF-Expert'!D20</f>
        <v>0</v>
      </c>
      <c r="BB20" s="1">
        <f>'GCF-Expert'!E20</f>
        <v>0</v>
      </c>
      <c r="BC20" s="1">
        <f>'GCF-Expert'!F20</f>
        <v>0</v>
      </c>
      <c r="BD20" s="1">
        <f>'GCF-Expert'!G20</f>
        <v>0</v>
      </c>
      <c r="BE20" s="1">
        <f>'GCF-Expert'!H20</f>
        <v>0.108043</v>
      </c>
      <c r="BF20" s="1">
        <f>'GCF-Expert'!I20</f>
        <v>5.3383600000000003E-2</v>
      </c>
      <c r="BG20" s="1">
        <f>'GCF-Expert'!J20</f>
        <v>-0.25210900000000003</v>
      </c>
      <c r="BH20" s="1">
        <f>'GCF-CAS'!B20</f>
        <v>13.999000000000001</v>
      </c>
      <c r="BI20" s="1">
        <f>'GCF-CAS'!C20</f>
        <v>-5.3103499999999997</v>
      </c>
      <c r="BJ20" s="1">
        <f>'GCF-CAS'!D20</f>
        <v>0</v>
      </c>
      <c r="BK20" s="1">
        <f>'GCF-CAS'!E20</f>
        <v>0</v>
      </c>
      <c r="BL20" s="1">
        <f>'GCF-CAS'!F20</f>
        <v>0</v>
      </c>
      <c r="BM20" s="1">
        <f>'GCF-CAS'!G20</f>
        <v>0</v>
      </c>
      <c r="BN20" s="1">
        <f>'GCF-CAS'!H20</f>
        <v>5.2051999999999996</v>
      </c>
      <c r="BO20" s="1">
        <f>'GCF-CAS'!I20</f>
        <v>1.7400100000000001</v>
      </c>
      <c r="BP20" s="1">
        <f>'GCF-CAS'!J20</f>
        <v>-1.90032</v>
      </c>
    </row>
    <row r="21" spans="1:68" x14ac:dyDescent="0.2">
      <c r="A21" s="1">
        <f>GDP!A21</f>
        <v>2039</v>
      </c>
      <c r="B21" s="1">
        <f>'CO2e Emissions'!B21</f>
        <v>740.25400000000002</v>
      </c>
      <c r="C21" s="1">
        <f>'CO2e Emissions'!C21</f>
        <v>717.89099999999996</v>
      </c>
      <c r="D21" s="1">
        <f>'CO2e Emissions'!D21</f>
        <v>445.53800000000001</v>
      </c>
      <c r="E21" s="1">
        <f>'CO2e Emissions (LULUCF excl)'!B21</f>
        <v>725.50300000000004</v>
      </c>
      <c r="F21" s="1">
        <f>'CO2e Emissions (LULUCF excl)'!C21</f>
        <v>713.18499999999995</v>
      </c>
      <c r="G21" s="1">
        <f>'CO2e Emissions (LULUCF excl)'!D21</f>
        <v>463.37700000000001</v>
      </c>
      <c r="H21" s="1">
        <f>'CO2e Emissions by Sector-BAU'!B21</f>
        <v>253.97399999999999</v>
      </c>
      <c r="I21" s="1">
        <f>'CO2e Emissions by Sector-BAU'!C21</f>
        <v>129.21</v>
      </c>
      <c r="J21" s="1">
        <f>'CO2e Emissions by Sector-BAU'!D21</f>
        <v>16.590299999999999</v>
      </c>
      <c r="K21" s="1">
        <f>'CO2e Emissions by Sector-BAU'!E21</f>
        <v>4.8306500000000003</v>
      </c>
      <c r="L21" s="1">
        <f>'CO2e Emissions by Sector-BAU'!F21</f>
        <v>166.18700000000001</v>
      </c>
      <c r="M21" s="1">
        <f>'CO2e Emissions by Sector-BAU'!G21</f>
        <v>3.8298500000000001E-3</v>
      </c>
      <c r="N21" s="1">
        <f>'CO2e Emissions by Sector-BAU'!H21</f>
        <v>14.778600000000001</v>
      </c>
      <c r="O21" s="1">
        <f>'CO2e Emissions by Sector-BAU'!I21</f>
        <v>86.748199999999997</v>
      </c>
      <c r="P21" s="1">
        <f>'CO2e Emissions by Sector-BAU'!J21</f>
        <v>63.875500000000002</v>
      </c>
      <c r="Q21" s="1">
        <f>'CO2e Emissions by Sector-Expert'!B21</f>
        <v>253.464</v>
      </c>
      <c r="R21" s="1">
        <f>'CO2e Emissions by Sector-Expert'!C21</f>
        <v>123.92400000000001</v>
      </c>
      <c r="S21" s="1">
        <f>'CO2e Emissions by Sector-Expert'!D21</f>
        <v>16.5627</v>
      </c>
      <c r="T21" s="1">
        <f>'CO2e Emissions by Sector-Expert'!E21</f>
        <v>4.8097300000000001</v>
      </c>
      <c r="U21" s="1">
        <f>'CO2e Emissions by Sector-Expert'!F21</f>
        <v>162.99299999999999</v>
      </c>
      <c r="V21" s="1">
        <f>'CO2e Emissions by Sector-Expert'!G21</f>
        <v>1.20333</v>
      </c>
      <c r="W21" s="1">
        <f>'CO2e Emissions by Sector-Expert'!H21</f>
        <v>4.7058999999999997</v>
      </c>
      <c r="X21" s="1">
        <f>'CO2e Emissions by Sector-Expert'!I21</f>
        <v>86.347499999999997</v>
      </c>
      <c r="Y21" s="1">
        <f>'CO2e Emissions by Sector-Expert'!J21</f>
        <v>63.876899999999999</v>
      </c>
      <c r="Z21" s="1">
        <f>'CO2e Emissions by Sector-CAS'!B21</f>
        <v>169.375</v>
      </c>
      <c r="AA21" s="1">
        <f>'CO2e Emissions by Sector-CAS'!C21</f>
        <v>66.5702</v>
      </c>
      <c r="AB21" s="1">
        <f>'CO2e Emissions by Sector-CAS'!D21</f>
        <v>11.657999999999999</v>
      </c>
      <c r="AC21" s="1">
        <f>'CO2e Emissions by Sector-CAS'!E21</f>
        <v>3.2972199999999998</v>
      </c>
      <c r="AD21" s="1">
        <f>'CO2e Emissions by Sector-CAS'!F21</f>
        <v>92.506500000000003</v>
      </c>
      <c r="AE21" s="1">
        <f>'CO2e Emissions by Sector-CAS'!G21</f>
        <v>4.2857099999999999</v>
      </c>
      <c r="AF21" s="1">
        <f>'CO2e Emissions by Sector-CAS'!H21</f>
        <v>-17.838799999999999</v>
      </c>
      <c r="AG21" s="1">
        <f>'CO2e Emissions by Sector-CAS'!I21</f>
        <v>76.851900000000001</v>
      </c>
      <c r="AH21" s="1">
        <f>'CO2e Emissions by Sector-CAS'!J21</f>
        <v>42.103400000000001</v>
      </c>
      <c r="AI21" s="1"/>
      <c r="AJ21" s="1"/>
      <c r="AK21" s="1"/>
      <c r="AL21" s="1"/>
      <c r="AM21" s="1"/>
      <c r="AN21" s="1"/>
      <c r="AO21" s="1"/>
      <c r="AP21" s="1">
        <f>GDP!B21</f>
        <v>0</v>
      </c>
      <c r="AQ21" s="1">
        <f>GDP!C21</f>
        <v>1.32969</v>
      </c>
      <c r="AR21" s="1">
        <f>GDP!D21</f>
        <v>15.462300000000001</v>
      </c>
      <c r="AS21" s="1">
        <f>Jobs!B21</f>
        <v>0</v>
      </c>
      <c r="AT21" s="1">
        <f>Jobs!C21</f>
        <v>61063</v>
      </c>
      <c r="AU21" s="1">
        <f>Jobs!D21</f>
        <v>506936</v>
      </c>
      <c r="AV21" s="1">
        <f>Debt!B21</f>
        <v>0</v>
      </c>
      <c r="AW21" s="1">
        <f>Debt!C21</f>
        <v>-1.0645199999999999</v>
      </c>
      <c r="AX21" s="1">
        <f>Debt!D21</f>
        <v>-34.664700000000003</v>
      </c>
      <c r="AY21" s="1">
        <f>'GCF-Expert'!B21</f>
        <v>1.97858</v>
      </c>
      <c r="AZ21" s="1">
        <f>'GCF-Expert'!C21</f>
        <v>-0.38231300000000001</v>
      </c>
      <c r="BA21" s="1">
        <f>'GCF-Expert'!D21</f>
        <v>0</v>
      </c>
      <c r="BB21" s="1">
        <f>'GCF-Expert'!E21</f>
        <v>0</v>
      </c>
      <c r="BC21" s="1">
        <f>'GCF-Expert'!F21</f>
        <v>0</v>
      </c>
      <c r="BD21" s="1">
        <f>'GCF-Expert'!G21</f>
        <v>0</v>
      </c>
      <c r="BE21" s="1">
        <f>'GCF-Expert'!H21</f>
        <v>0.129886</v>
      </c>
      <c r="BF21" s="1">
        <f>'GCF-Expert'!I21</f>
        <v>6.28856E-2</v>
      </c>
      <c r="BG21" s="1">
        <f>'GCF-Expert'!J21</f>
        <v>-0.28788399999999997</v>
      </c>
      <c r="BH21" s="1">
        <f>'GCF-CAS'!B21</f>
        <v>15.046099999999999</v>
      </c>
      <c r="BI21" s="1">
        <f>'GCF-CAS'!C21</f>
        <v>-5.8719700000000001</v>
      </c>
      <c r="BJ21" s="1">
        <f>'GCF-CAS'!D21</f>
        <v>0</v>
      </c>
      <c r="BK21" s="1">
        <f>'GCF-CAS'!E21</f>
        <v>0</v>
      </c>
      <c r="BL21" s="1">
        <f>'GCF-CAS'!F21</f>
        <v>0</v>
      </c>
      <c r="BM21" s="1">
        <f>'GCF-CAS'!G21</f>
        <v>0</v>
      </c>
      <c r="BN21" s="1">
        <f>'GCF-CAS'!H21</f>
        <v>5.7489999999999997</v>
      </c>
      <c r="BO21" s="1">
        <f>'GCF-CAS'!I21</f>
        <v>2.0542199999999999</v>
      </c>
      <c r="BP21" s="1">
        <f>'GCF-CAS'!J21</f>
        <v>-2.2852600000000001</v>
      </c>
    </row>
    <row r="22" spans="1:68" x14ac:dyDescent="0.2">
      <c r="A22" s="1">
        <f>GDP!A22</f>
        <v>2040</v>
      </c>
      <c r="B22" s="1">
        <f>'CO2e Emissions'!B22</f>
        <v>751.04</v>
      </c>
      <c r="C22" s="1">
        <f>'CO2e Emissions'!C22</f>
        <v>725.54700000000003</v>
      </c>
      <c r="D22" s="1">
        <f>'CO2e Emissions'!D22</f>
        <v>428.86399999999998</v>
      </c>
      <c r="E22" s="1">
        <f>'CO2e Emissions (LULUCF excl)'!B22</f>
        <v>736.44100000000003</v>
      </c>
      <c r="F22" s="1">
        <f>'CO2e Emissions (LULUCF excl)'!C22</f>
        <v>722.42700000000002</v>
      </c>
      <c r="G22" s="1">
        <f>'CO2e Emissions (LULUCF excl)'!D22</f>
        <v>451.39299999999997</v>
      </c>
      <c r="H22" s="1">
        <f>'CO2e Emissions by Sector-BAU'!B22</f>
        <v>260.42899999999997</v>
      </c>
      <c r="I22" s="1">
        <f>'CO2e Emissions by Sector-BAU'!C22</f>
        <v>130.09800000000001</v>
      </c>
      <c r="J22" s="1">
        <f>'CO2e Emissions by Sector-BAU'!D22</f>
        <v>16.624199999999998</v>
      </c>
      <c r="K22" s="1">
        <f>'CO2e Emissions by Sector-BAU'!E22</f>
        <v>4.9028099999999997</v>
      </c>
      <c r="L22" s="1">
        <f>'CO2e Emissions by Sector-BAU'!F22</f>
        <v>168.46600000000001</v>
      </c>
      <c r="M22" s="1">
        <f>'CO2e Emissions by Sector-BAU'!G22</f>
        <v>4.6132100000000004E-3</v>
      </c>
      <c r="N22" s="1">
        <f>'CO2e Emissions by Sector-BAU'!H22</f>
        <v>14.5822</v>
      </c>
      <c r="O22" s="1">
        <f>'CO2e Emissions by Sector-BAU'!I22</f>
        <v>86.979399999999998</v>
      </c>
      <c r="P22" s="1">
        <f>'CO2e Emissions by Sector-BAU'!J22</f>
        <v>64.566000000000003</v>
      </c>
      <c r="Q22" s="1">
        <f>'CO2e Emissions by Sector-Expert'!B22</f>
        <v>259.24400000000003</v>
      </c>
      <c r="R22" s="1">
        <f>'CO2e Emissions by Sector-Expert'!C22</f>
        <v>124.321</v>
      </c>
      <c r="S22" s="1">
        <f>'CO2e Emissions by Sector-Expert'!D22</f>
        <v>16.5913</v>
      </c>
      <c r="T22" s="1">
        <f>'CO2e Emissions by Sector-Expert'!E22</f>
        <v>4.8798599999999999</v>
      </c>
      <c r="U22" s="1">
        <f>'CO2e Emissions by Sector-Expert'!F22</f>
        <v>164.946</v>
      </c>
      <c r="V22" s="1">
        <f>'CO2e Emissions by Sector-Expert'!G22</f>
        <v>1.3072299999999999</v>
      </c>
      <c r="W22" s="1">
        <f>'CO2e Emissions by Sector-Expert'!H22</f>
        <v>3.1189900000000002</v>
      </c>
      <c r="X22" s="1">
        <f>'CO2e Emissions by Sector-Expert'!I22</f>
        <v>86.543700000000001</v>
      </c>
      <c r="Y22" s="1">
        <f>'CO2e Emissions by Sector-Expert'!J22</f>
        <v>64.590599999999995</v>
      </c>
      <c r="Z22" s="1">
        <f>'CO2e Emissions by Sector-CAS'!B22</f>
        <v>165.739</v>
      </c>
      <c r="AA22" s="1">
        <f>'CO2e Emissions by Sector-CAS'!C22</f>
        <v>63.032800000000002</v>
      </c>
      <c r="AB22" s="1">
        <f>'CO2e Emissions by Sector-CAS'!D22</f>
        <v>11.0578</v>
      </c>
      <c r="AC22" s="1">
        <f>'CO2e Emissions by Sector-CAS'!E22</f>
        <v>3.1548600000000002</v>
      </c>
      <c r="AD22" s="1">
        <f>'CO2e Emissions by Sector-CAS'!F22</f>
        <v>89.299499999999995</v>
      </c>
      <c r="AE22" s="1">
        <f>'CO2e Emissions by Sector-CAS'!G22</f>
        <v>4.6032000000000002</v>
      </c>
      <c r="AF22" s="1">
        <f>'CO2e Emissions by Sector-CAS'!H22</f>
        <v>-22.529199999999999</v>
      </c>
      <c r="AG22" s="1">
        <f>'CO2e Emissions by Sector-CAS'!I22</f>
        <v>76.463200000000001</v>
      </c>
      <c r="AH22" s="1">
        <f>'CO2e Emissions by Sector-CAS'!J22</f>
        <v>41.442399999999999</v>
      </c>
      <c r="AI22" s="1"/>
      <c r="AJ22" s="1"/>
      <c r="AK22" s="1"/>
      <c r="AL22" s="1"/>
      <c r="AM22" s="1"/>
      <c r="AN22" s="1"/>
      <c r="AO22" s="1"/>
      <c r="AP22" s="1">
        <f>GDP!B22</f>
        <v>0</v>
      </c>
      <c r="AQ22" s="1">
        <f>GDP!C22</f>
        <v>1.46658</v>
      </c>
      <c r="AR22" s="1">
        <f>GDP!D22</f>
        <v>16.9468</v>
      </c>
      <c r="AS22" s="1">
        <f>Jobs!B22</f>
        <v>0</v>
      </c>
      <c r="AT22" s="1">
        <f>Jobs!C22</f>
        <v>69048</v>
      </c>
      <c r="AU22" s="1">
        <f>Jobs!D22</f>
        <v>561618</v>
      </c>
      <c r="AV22" s="1">
        <f>Debt!B22</f>
        <v>0</v>
      </c>
      <c r="AW22" s="1">
        <f>Debt!C22</f>
        <v>-1.23333</v>
      </c>
      <c r="AX22" s="1">
        <f>Debt!D22</f>
        <v>-39.894199999999998</v>
      </c>
      <c r="AY22" s="1">
        <f>'GCF-Expert'!B22</f>
        <v>2.1836099999999998</v>
      </c>
      <c r="AZ22" s="1">
        <f>'GCF-Expert'!C22</f>
        <v>-0.44171300000000002</v>
      </c>
      <c r="BA22" s="1">
        <f>'GCF-Expert'!D22</f>
        <v>0</v>
      </c>
      <c r="BB22" s="1">
        <f>'GCF-Expert'!E22</f>
        <v>0</v>
      </c>
      <c r="BC22" s="1">
        <f>'GCF-Expert'!F22</f>
        <v>0</v>
      </c>
      <c r="BD22" s="1">
        <f>'GCF-Expert'!G22</f>
        <v>0</v>
      </c>
      <c r="BE22" s="1">
        <f>'GCF-Expert'!H22</f>
        <v>0.153783</v>
      </c>
      <c r="BF22" s="1">
        <f>'GCF-Expert'!I22</f>
        <v>7.3494699999999996E-2</v>
      </c>
      <c r="BG22" s="1">
        <f>'GCF-Expert'!J22</f>
        <v>-0.33197900000000002</v>
      </c>
      <c r="BH22" s="1">
        <f>'GCF-CAS'!B22</f>
        <v>15.988</v>
      </c>
      <c r="BI22" s="1">
        <f>'GCF-CAS'!C22</f>
        <v>-6.5057600000000004</v>
      </c>
      <c r="BJ22" s="1">
        <f>'GCF-CAS'!D22</f>
        <v>0</v>
      </c>
      <c r="BK22" s="1">
        <f>'GCF-CAS'!E22</f>
        <v>0</v>
      </c>
      <c r="BL22" s="1">
        <f>'GCF-CAS'!F22</f>
        <v>0</v>
      </c>
      <c r="BM22" s="1">
        <f>'GCF-CAS'!G22</f>
        <v>0</v>
      </c>
      <c r="BN22" s="1">
        <f>'GCF-CAS'!H22</f>
        <v>6.2970100000000002</v>
      </c>
      <c r="BO22" s="1">
        <f>'GCF-CAS'!I22</f>
        <v>2.3932500000000001</v>
      </c>
      <c r="BP22" s="1">
        <f>'GCF-CAS'!J22</f>
        <v>-2.69157</v>
      </c>
    </row>
    <row r="23" spans="1:68" x14ac:dyDescent="0.2">
      <c r="A23" s="1">
        <f>GDP!A23</f>
        <v>2041</v>
      </c>
      <c r="B23" s="1">
        <f>'CO2e Emissions'!B23</f>
        <v>762.51599999999996</v>
      </c>
      <c r="C23" s="1">
        <f>'CO2e Emissions'!C23</f>
        <v>733.62</v>
      </c>
      <c r="D23" s="1">
        <f>'CO2e Emissions'!D23</f>
        <v>408.71899999999999</v>
      </c>
      <c r="E23" s="1">
        <f>'CO2e Emissions (LULUCF excl)'!B23</f>
        <v>748.06799999999998</v>
      </c>
      <c r="F23" s="1">
        <f>'CO2e Emissions (LULUCF excl)'!C23</f>
        <v>732.18299999999999</v>
      </c>
      <c r="G23" s="1">
        <f>'CO2e Emissions (LULUCF excl)'!D23</f>
        <v>436.12799999999999</v>
      </c>
      <c r="H23" s="1">
        <f>'CO2e Emissions by Sector-BAU'!B23</f>
        <v>267.09300000000002</v>
      </c>
      <c r="I23" s="1">
        <f>'CO2e Emissions by Sector-BAU'!C23</f>
        <v>131.74700000000001</v>
      </c>
      <c r="J23" s="1">
        <f>'CO2e Emissions by Sector-BAU'!D23</f>
        <v>16.658300000000001</v>
      </c>
      <c r="K23" s="1">
        <f>'CO2e Emissions by Sector-BAU'!E23</f>
        <v>4.9757400000000001</v>
      </c>
      <c r="L23" s="1">
        <f>'CO2e Emissions by Sector-BAU'!F23</f>
        <v>170.90899999999999</v>
      </c>
      <c r="M23" s="1">
        <f>'CO2e Emissions by Sector-BAU'!G23</f>
        <v>5.4713399999999999E-3</v>
      </c>
      <c r="N23" s="1">
        <f>'CO2e Emissions by Sector-BAU'!H23</f>
        <v>14.485200000000001</v>
      </c>
      <c r="O23" s="1">
        <f>'CO2e Emissions by Sector-BAU'!I23</f>
        <v>87.126599999999996</v>
      </c>
      <c r="P23" s="1">
        <f>'CO2e Emissions by Sector-BAU'!J23</f>
        <v>65.253200000000007</v>
      </c>
      <c r="Q23" s="1">
        <f>'CO2e Emissions by Sector-Expert'!B23</f>
        <v>265.12099999999998</v>
      </c>
      <c r="R23" s="1">
        <f>'CO2e Emissions by Sector-Expert'!C23</f>
        <v>125.063</v>
      </c>
      <c r="S23" s="1">
        <f>'CO2e Emissions by Sector-Expert'!D23</f>
        <v>16.6204</v>
      </c>
      <c r="T23" s="1">
        <f>'CO2e Emissions by Sector-Expert'!E23</f>
        <v>4.9502699999999997</v>
      </c>
      <c r="U23" s="1">
        <f>'CO2e Emissions by Sector-Expert'!F23</f>
        <v>167.078</v>
      </c>
      <c r="V23" s="1">
        <f>'CO2e Emissions by Sector-Expert'!G23</f>
        <v>1.4097299999999999</v>
      </c>
      <c r="W23" s="1">
        <f>'CO2e Emissions by Sector-Expert'!H23</f>
        <v>1.43641</v>
      </c>
      <c r="X23" s="1">
        <f>'CO2e Emissions by Sector-Expert'!I23</f>
        <v>86.651799999999994</v>
      </c>
      <c r="Y23" s="1">
        <f>'CO2e Emissions by Sector-Expert'!J23</f>
        <v>65.283600000000007</v>
      </c>
      <c r="Z23" s="1">
        <f>'CO2e Emissions by Sector-CAS'!B23</f>
        <v>161.56399999999999</v>
      </c>
      <c r="AA23" s="1">
        <f>'CO2e Emissions by Sector-CAS'!C23</f>
        <v>59.097799999999999</v>
      </c>
      <c r="AB23" s="1">
        <f>'CO2e Emissions by Sector-CAS'!D23</f>
        <v>10.4474</v>
      </c>
      <c r="AC23" s="1">
        <f>'CO2e Emissions by Sector-CAS'!E23</f>
        <v>3.0001199999999999</v>
      </c>
      <c r="AD23" s="1">
        <f>'CO2e Emissions by Sector-CAS'!F23</f>
        <v>85.008499999999998</v>
      </c>
      <c r="AE23" s="1">
        <f>'CO2e Emissions by Sector-CAS'!G23</f>
        <v>4.9202899999999996</v>
      </c>
      <c r="AF23" s="1">
        <f>'CO2e Emissions by Sector-CAS'!H23</f>
        <v>-27.4087</v>
      </c>
      <c r="AG23" s="1">
        <f>'CO2e Emissions by Sector-CAS'!I23</f>
        <v>75.867400000000004</v>
      </c>
      <c r="AH23" s="1">
        <f>'CO2e Emissions by Sector-CAS'!J23</f>
        <v>39.643000000000001</v>
      </c>
      <c r="AI23" s="1"/>
      <c r="AJ23" s="1"/>
      <c r="AK23" s="1"/>
      <c r="AL23" s="1"/>
      <c r="AM23" s="1"/>
      <c r="AN23" s="1"/>
      <c r="AO23" s="1"/>
      <c r="AP23" s="1">
        <f>GDP!B23</f>
        <v>0</v>
      </c>
      <c r="AQ23" s="1">
        <f>GDP!C23</f>
        <v>1.6486000000000001</v>
      </c>
      <c r="AR23" s="1">
        <f>GDP!D23</f>
        <v>18.661300000000001</v>
      </c>
      <c r="AS23" s="1">
        <f>Jobs!B23</f>
        <v>0</v>
      </c>
      <c r="AT23" s="1">
        <f>Jobs!C23</f>
        <v>78672</v>
      </c>
      <c r="AU23" s="1">
        <f>Jobs!D23</f>
        <v>631519</v>
      </c>
      <c r="AV23" s="1">
        <f>Debt!B23</f>
        <v>0</v>
      </c>
      <c r="AW23" s="1">
        <f>Debt!C23</f>
        <v>-1.4301999999999999</v>
      </c>
      <c r="AX23" s="1">
        <f>Debt!D23</f>
        <v>-45.4925</v>
      </c>
      <c r="AY23" s="1">
        <f>'GCF-Expert'!B23</f>
        <v>2.5033300000000001</v>
      </c>
      <c r="AZ23" s="1">
        <f>'GCF-Expert'!C23</f>
        <v>-0.51159399999999999</v>
      </c>
      <c r="BA23" s="1">
        <f>'GCF-Expert'!D23</f>
        <v>0</v>
      </c>
      <c r="BB23" s="1">
        <f>'GCF-Expert'!E23</f>
        <v>0</v>
      </c>
      <c r="BC23" s="1">
        <f>'GCF-Expert'!F23</f>
        <v>0</v>
      </c>
      <c r="BD23" s="1">
        <f>'GCF-Expert'!G23</f>
        <v>0</v>
      </c>
      <c r="BE23" s="1">
        <f>'GCF-Expert'!H23</f>
        <v>0.18135699999999999</v>
      </c>
      <c r="BF23" s="1">
        <f>'GCF-Expert'!I23</f>
        <v>8.5149299999999997E-2</v>
      </c>
      <c r="BG23" s="1">
        <f>'GCF-Expert'!J23</f>
        <v>-0.37931900000000002</v>
      </c>
      <c r="BH23" s="1">
        <f>'GCF-CAS'!B23</f>
        <v>17.4773</v>
      </c>
      <c r="BI23" s="1">
        <f>'GCF-CAS'!C23</f>
        <v>-7.2268499999999998</v>
      </c>
      <c r="BJ23" s="1">
        <f>'GCF-CAS'!D23</f>
        <v>0</v>
      </c>
      <c r="BK23" s="1">
        <f>'GCF-CAS'!E23</f>
        <v>0</v>
      </c>
      <c r="BL23" s="1">
        <f>'GCF-CAS'!F23</f>
        <v>0</v>
      </c>
      <c r="BM23" s="1">
        <f>'GCF-CAS'!G23</f>
        <v>0</v>
      </c>
      <c r="BN23" s="1">
        <f>'GCF-CAS'!H23</f>
        <v>6.883</v>
      </c>
      <c r="BO23" s="1">
        <f>'GCF-CAS'!I23</f>
        <v>2.7543000000000002</v>
      </c>
      <c r="BP23" s="1">
        <f>'GCF-CAS'!J23</f>
        <v>-3.18093</v>
      </c>
    </row>
    <row r="24" spans="1:68" x14ac:dyDescent="0.2">
      <c r="A24" s="1">
        <f>GDP!A24</f>
        <v>2042</v>
      </c>
      <c r="B24" s="1">
        <f>'CO2e Emissions'!B24</f>
        <v>773.88</v>
      </c>
      <c r="C24" s="1">
        <f>'CO2e Emissions'!C24</f>
        <v>741.47</v>
      </c>
      <c r="D24" s="1">
        <f>'CO2e Emissions'!D24</f>
        <v>388.07499999999999</v>
      </c>
      <c r="E24" s="1">
        <f>'CO2e Emissions (LULUCF excl)'!B24</f>
        <v>759.58500000000004</v>
      </c>
      <c r="F24" s="1">
        <f>'CO2e Emissions (LULUCF excl)'!C24</f>
        <v>741.81200000000001</v>
      </c>
      <c r="G24" s="1">
        <f>'CO2e Emissions (LULUCF excl)'!D24</f>
        <v>420.75099999999998</v>
      </c>
      <c r="H24" s="1">
        <f>'CO2e Emissions by Sector-BAU'!B24</f>
        <v>273.95699999999999</v>
      </c>
      <c r="I24" s="1">
        <f>'CO2e Emissions by Sector-BAU'!C24</f>
        <v>133.096</v>
      </c>
      <c r="J24" s="1">
        <f>'CO2e Emissions by Sector-BAU'!D24</f>
        <v>16.688199999999998</v>
      </c>
      <c r="K24" s="1">
        <f>'CO2e Emissions by Sector-BAU'!E24</f>
        <v>5.0506700000000002</v>
      </c>
      <c r="L24" s="1">
        <f>'CO2e Emissions by Sector-BAU'!F24</f>
        <v>173.37299999999999</v>
      </c>
      <c r="M24" s="1">
        <f>'CO2e Emissions by Sector-BAU'!G24</f>
        <v>6.4022799999999998E-3</v>
      </c>
      <c r="N24" s="1">
        <f>'CO2e Emissions by Sector-BAU'!H24</f>
        <v>14.2887</v>
      </c>
      <c r="O24" s="1">
        <f>'CO2e Emissions by Sector-BAU'!I24</f>
        <v>87.246499999999997</v>
      </c>
      <c r="P24" s="1">
        <f>'CO2e Emissions by Sector-BAU'!J24</f>
        <v>65.969499999999996</v>
      </c>
      <c r="Q24" s="1">
        <f>'CO2e Emissions by Sector-Expert'!B24</f>
        <v>271.10199999999998</v>
      </c>
      <c r="R24" s="1">
        <f>'CO2e Emissions by Sector-Expert'!C24</f>
        <v>125.56</v>
      </c>
      <c r="S24" s="1">
        <f>'CO2e Emissions by Sector-Expert'!D24</f>
        <v>16.6511</v>
      </c>
      <c r="T24" s="1">
        <f>'CO2e Emissions by Sector-Expert'!E24</f>
        <v>5.0216599999999998</v>
      </c>
      <c r="U24" s="1">
        <f>'CO2e Emissions by Sector-Expert'!F24</f>
        <v>169.214</v>
      </c>
      <c r="V24" s="1">
        <f>'CO2e Emissions by Sector-Expert'!G24</f>
        <v>1.5161199999999999</v>
      </c>
      <c r="W24" s="1">
        <f>'CO2e Emissions by Sector-Expert'!H24</f>
        <v>-0.34184900000000001</v>
      </c>
      <c r="X24" s="1">
        <f>'CO2e Emissions by Sector-Expert'!I24</f>
        <v>86.760199999999998</v>
      </c>
      <c r="Y24" s="1">
        <f>'CO2e Emissions by Sector-Expert'!J24</f>
        <v>65.977699999999999</v>
      </c>
      <c r="Z24" s="1">
        <f>'CO2e Emissions by Sector-CAS'!B24</f>
        <v>156.94800000000001</v>
      </c>
      <c r="AA24" s="1">
        <f>'CO2e Emissions by Sector-CAS'!C24</f>
        <v>54.244500000000002</v>
      </c>
      <c r="AB24" s="1">
        <f>'CO2e Emissions by Sector-CAS'!D24</f>
        <v>9.8330699999999993</v>
      </c>
      <c r="AC24" s="1">
        <f>'CO2e Emissions by Sector-CAS'!E24</f>
        <v>2.8392599999999999</v>
      </c>
      <c r="AD24" s="1">
        <f>'CO2e Emissions by Sector-CAS'!F24</f>
        <v>80.544600000000003</v>
      </c>
      <c r="AE24" s="1">
        <f>'CO2e Emissions by Sector-CAS'!G24</f>
        <v>5.2472300000000001</v>
      </c>
      <c r="AF24" s="1">
        <f>'CO2e Emissions by Sector-CAS'!H24</f>
        <v>-32.676099999999998</v>
      </c>
      <c r="AG24" s="1">
        <f>'CO2e Emissions by Sector-CAS'!I24</f>
        <v>75.416700000000006</v>
      </c>
      <c r="AH24" s="1">
        <f>'CO2e Emissions by Sector-CAS'!J24</f>
        <v>39.038800000000002</v>
      </c>
      <c r="AI24" s="1"/>
      <c r="AJ24" s="1"/>
      <c r="AK24" s="1"/>
      <c r="AL24" s="1"/>
      <c r="AM24" s="1"/>
      <c r="AN24" s="1"/>
      <c r="AO24" s="1"/>
      <c r="AP24" s="1">
        <f>GDP!B24</f>
        <v>0</v>
      </c>
      <c r="AQ24" s="1">
        <f>GDP!C24</f>
        <v>1.80433</v>
      </c>
      <c r="AR24" s="1">
        <f>GDP!D24</f>
        <v>20.007899999999999</v>
      </c>
      <c r="AS24" s="1">
        <f>Jobs!B24</f>
        <v>0</v>
      </c>
      <c r="AT24" s="1">
        <f>Jobs!C24</f>
        <v>87801</v>
      </c>
      <c r="AU24" s="1">
        <f>Jobs!D24</f>
        <v>699119</v>
      </c>
      <c r="AV24" s="1">
        <f>Debt!B24</f>
        <v>0</v>
      </c>
      <c r="AW24" s="1">
        <f>Debt!C24</f>
        <v>-1.6587000000000001</v>
      </c>
      <c r="AX24" s="1">
        <f>Debt!D24</f>
        <v>-51.430300000000003</v>
      </c>
      <c r="AY24" s="1">
        <f>'GCF-Expert'!B24</f>
        <v>2.83053</v>
      </c>
      <c r="AZ24" s="1">
        <f>'GCF-Expert'!C24</f>
        <v>-0.58703000000000005</v>
      </c>
      <c r="BA24" s="1">
        <f>'GCF-Expert'!D24</f>
        <v>0</v>
      </c>
      <c r="BB24" s="1">
        <f>'GCF-Expert'!E24</f>
        <v>0</v>
      </c>
      <c r="BC24" s="1">
        <f>'GCF-Expert'!F24</f>
        <v>0</v>
      </c>
      <c r="BD24" s="1">
        <f>'GCF-Expert'!G24</f>
        <v>0</v>
      </c>
      <c r="BE24" s="1">
        <f>'GCF-Expert'!H24</f>
        <v>0.21088299999999999</v>
      </c>
      <c r="BF24" s="1">
        <f>'GCF-Expert'!I24</f>
        <v>9.8741200000000001E-2</v>
      </c>
      <c r="BG24" s="1">
        <f>'GCF-Expert'!J24</f>
        <v>-0.42029300000000003</v>
      </c>
      <c r="BH24" s="1">
        <f>'GCF-CAS'!B24</f>
        <v>18.794599999999999</v>
      </c>
      <c r="BI24" s="1">
        <f>'GCF-CAS'!C24</f>
        <v>-7.97919</v>
      </c>
      <c r="BJ24" s="1">
        <f>'GCF-CAS'!D24</f>
        <v>0</v>
      </c>
      <c r="BK24" s="1">
        <f>'GCF-CAS'!E24</f>
        <v>0</v>
      </c>
      <c r="BL24" s="1">
        <f>'GCF-CAS'!F24</f>
        <v>0</v>
      </c>
      <c r="BM24" s="1">
        <f>'GCF-CAS'!G24</f>
        <v>0</v>
      </c>
      <c r="BN24" s="1">
        <f>'GCF-CAS'!H24</f>
        <v>7.48142</v>
      </c>
      <c r="BO24" s="1">
        <f>'GCF-CAS'!I24</f>
        <v>3.1408100000000001</v>
      </c>
      <c r="BP24" s="1">
        <f>'GCF-CAS'!J24</f>
        <v>-3.6996099999999998</v>
      </c>
    </row>
    <row r="25" spans="1:68" x14ac:dyDescent="0.2">
      <c r="A25" s="1">
        <f>GDP!A25</f>
        <v>2043</v>
      </c>
      <c r="B25" s="1">
        <f>'CO2e Emissions'!B25</f>
        <v>784.27200000000005</v>
      </c>
      <c r="C25" s="1">
        <f>'CO2e Emissions'!C25</f>
        <v>747.904</v>
      </c>
      <c r="D25" s="1">
        <f>'CO2e Emissions'!D25</f>
        <v>366.45800000000003</v>
      </c>
      <c r="E25" s="1">
        <f>'CO2e Emissions (LULUCF excl)'!B25</f>
        <v>770.12900000000002</v>
      </c>
      <c r="F25" s="1">
        <f>'CO2e Emissions (LULUCF excl)'!C25</f>
        <v>750.12</v>
      </c>
      <c r="G25" s="1">
        <f>'CO2e Emissions (LULUCF excl)'!D25</f>
        <v>404.59</v>
      </c>
      <c r="H25" s="1">
        <f>'CO2e Emissions by Sector-BAU'!B25</f>
        <v>281.18200000000002</v>
      </c>
      <c r="I25" s="1">
        <f>'CO2e Emissions by Sector-BAU'!C25</f>
        <v>132.93299999999999</v>
      </c>
      <c r="J25" s="1">
        <f>'CO2e Emissions by Sector-BAU'!D25</f>
        <v>16.726199999999999</v>
      </c>
      <c r="K25" s="1">
        <f>'CO2e Emissions by Sector-BAU'!E25</f>
        <v>5.1263199999999998</v>
      </c>
      <c r="L25" s="1">
        <f>'CO2e Emissions by Sector-BAU'!F25</f>
        <v>175.851</v>
      </c>
      <c r="M25" s="1">
        <f>'CO2e Emissions by Sector-BAU'!G25</f>
        <v>7.4164599999999997E-3</v>
      </c>
      <c r="N25" s="1">
        <f>'CO2e Emissions by Sector-BAU'!H25</f>
        <v>14.192</v>
      </c>
      <c r="O25" s="1">
        <f>'CO2e Emissions by Sector-BAU'!I25</f>
        <v>87.393100000000004</v>
      </c>
      <c r="P25" s="1">
        <f>'CO2e Emissions by Sector-BAU'!J25</f>
        <v>66.656400000000005</v>
      </c>
      <c r="Q25" s="1">
        <f>'CO2e Emissions by Sector-Expert'!B25</f>
        <v>277.42700000000002</v>
      </c>
      <c r="R25" s="1">
        <f>'CO2e Emissions by Sector-Expert'!C25</f>
        <v>124.376</v>
      </c>
      <c r="S25" s="1">
        <f>'CO2e Emissions by Sector-Expert'!D25</f>
        <v>16.682099999999998</v>
      </c>
      <c r="T25" s="1">
        <f>'CO2e Emissions by Sector-Expert'!E25</f>
        <v>5.09354</v>
      </c>
      <c r="U25" s="1">
        <f>'CO2e Emissions by Sector-Expert'!F25</f>
        <v>171.364</v>
      </c>
      <c r="V25" s="1">
        <f>'CO2e Emissions by Sector-Expert'!G25</f>
        <v>1.62808</v>
      </c>
      <c r="W25" s="1">
        <f>'CO2e Emissions by Sector-Expert'!H25</f>
        <v>-2.21577</v>
      </c>
      <c r="X25" s="1">
        <f>'CO2e Emissions by Sector-Expert'!I25</f>
        <v>86.865099999999998</v>
      </c>
      <c r="Y25" s="1">
        <f>'CO2e Emissions by Sector-Expert'!J25</f>
        <v>66.671499999999995</v>
      </c>
      <c r="Z25" s="1">
        <f>'CO2e Emissions by Sector-CAS'!B25</f>
        <v>152.21299999999999</v>
      </c>
      <c r="AA25" s="1">
        <f>'CO2e Emissions by Sector-CAS'!C25</f>
        <v>49.010300000000001</v>
      </c>
      <c r="AB25" s="1">
        <f>'CO2e Emissions by Sector-CAS'!D25</f>
        <v>9.2247000000000003</v>
      </c>
      <c r="AC25" s="1">
        <f>'CO2e Emissions by Sector-CAS'!E25</f>
        <v>2.6718700000000002</v>
      </c>
      <c r="AD25" s="1">
        <f>'CO2e Emissions by Sector-CAS'!F25</f>
        <v>75.864400000000003</v>
      </c>
      <c r="AE25" s="1">
        <f>'CO2e Emissions by Sector-CAS'!G25</f>
        <v>5.5754900000000003</v>
      </c>
      <c r="AF25" s="1">
        <f>'CO2e Emissions by Sector-CAS'!H25</f>
        <v>-38.132399999999997</v>
      </c>
      <c r="AG25" s="1">
        <f>'CO2e Emissions by Sector-CAS'!I25</f>
        <v>74.970200000000006</v>
      </c>
      <c r="AH25" s="1">
        <f>'CO2e Emissions by Sector-CAS'!J25</f>
        <v>38.383200000000002</v>
      </c>
      <c r="AI25" s="1"/>
      <c r="AJ25" s="1"/>
      <c r="AK25" s="1"/>
      <c r="AL25" s="1"/>
      <c r="AM25" s="1"/>
      <c r="AN25" s="1"/>
      <c r="AO25" s="1"/>
      <c r="AP25" s="1">
        <f>GDP!B25</f>
        <v>0</v>
      </c>
      <c r="AQ25" s="1">
        <f>GDP!C25</f>
        <v>1.9308099999999999</v>
      </c>
      <c r="AR25" s="1">
        <f>GDP!D25</f>
        <v>21.1828</v>
      </c>
      <c r="AS25" s="1">
        <f>Jobs!B25</f>
        <v>0</v>
      </c>
      <c r="AT25" s="1">
        <f>Jobs!C25</f>
        <v>96680</v>
      </c>
      <c r="AU25" s="1">
        <f>Jobs!D25</f>
        <v>769064</v>
      </c>
      <c r="AV25" s="1">
        <f>Debt!B25</f>
        <v>0</v>
      </c>
      <c r="AW25" s="1">
        <f>Debt!C25</f>
        <v>-1.9094599999999999</v>
      </c>
      <c r="AX25" s="1">
        <f>Debt!D25</f>
        <v>-57.677100000000003</v>
      </c>
      <c r="AY25" s="1">
        <f>'GCF-Expert'!B25</f>
        <v>3.1600299999999999</v>
      </c>
      <c r="AZ25" s="1">
        <f>'GCF-Expert'!C25</f>
        <v>-0.67893000000000003</v>
      </c>
      <c r="BA25" s="1">
        <f>'GCF-Expert'!D25</f>
        <v>0</v>
      </c>
      <c r="BB25" s="1">
        <f>'GCF-Expert'!E25</f>
        <v>0</v>
      </c>
      <c r="BC25" s="1">
        <f>'GCF-Expert'!F25</f>
        <v>0</v>
      </c>
      <c r="BD25" s="1">
        <f>'GCF-Expert'!G25</f>
        <v>0</v>
      </c>
      <c r="BE25" s="1">
        <f>'GCF-Expert'!H25</f>
        <v>0.24107400000000001</v>
      </c>
      <c r="BF25" s="1">
        <f>'GCF-Expert'!I25</f>
        <v>0.11451600000000001</v>
      </c>
      <c r="BG25" s="1">
        <f>'GCF-Expert'!J25</f>
        <v>-0.47649200000000003</v>
      </c>
      <c r="BH25" s="1">
        <f>'GCF-CAS'!B25</f>
        <v>19.905799999999999</v>
      </c>
      <c r="BI25" s="1">
        <f>'GCF-CAS'!C25</f>
        <v>-8.7814800000000002</v>
      </c>
      <c r="BJ25" s="1">
        <f>'GCF-CAS'!D25</f>
        <v>0</v>
      </c>
      <c r="BK25" s="1">
        <f>'GCF-CAS'!E25</f>
        <v>0</v>
      </c>
      <c r="BL25" s="1">
        <f>'GCF-CAS'!F25</f>
        <v>0</v>
      </c>
      <c r="BM25" s="1">
        <f>'GCF-CAS'!G25</f>
        <v>0</v>
      </c>
      <c r="BN25" s="1">
        <f>'GCF-CAS'!H25</f>
        <v>8.1038099999999993</v>
      </c>
      <c r="BO25" s="1">
        <f>'GCF-CAS'!I25</f>
        <v>3.5507499999999999</v>
      </c>
      <c r="BP25" s="1">
        <f>'GCF-CAS'!J25</f>
        <v>-4.2531800000000004</v>
      </c>
    </row>
    <row r="26" spans="1:68" x14ac:dyDescent="0.2">
      <c r="A26" s="1">
        <f>GDP!A26</f>
        <v>2044</v>
      </c>
      <c r="B26" s="1">
        <f>'CO2e Emissions'!B26</f>
        <v>797.16399999999999</v>
      </c>
      <c r="C26" s="1">
        <f>'CO2e Emissions'!C26</f>
        <v>756.74599999999998</v>
      </c>
      <c r="D26" s="1">
        <f>'CO2e Emissions'!D26</f>
        <v>343.50200000000001</v>
      </c>
      <c r="E26" s="1">
        <f>'CO2e Emissions (LULUCF excl)'!B26</f>
        <v>783.17200000000003</v>
      </c>
      <c r="F26" s="1">
        <f>'CO2e Emissions (LULUCF excl)'!C26</f>
        <v>760.93100000000004</v>
      </c>
      <c r="G26" s="1">
        <f>'CO2e Emissions (LULUCF excl)'!D26</f>
        <v>387.47899999999998</v>
      </c>
      <c r="H26" s="1">
        <f>'CO2e Emissions by Sector-BAU'!B26</f>
        <v>288.798</v>
      </c>
      <c r="I26" s="1">
        <f>'CO2e Emissions by Sector-BAU'!C26</f>
        <v>134.99700000000001</v>
      </c>
      <c r="J26" s="1">
        <f>'CO2e Emissions by Sector-BAU'!D26</f>
        <v>16.7639</v>
      </c>
      <c r="K26" s="1">
        <f>'CO2e Emissions by Sector-BAU'!E26</f>
        <v>5.2034099999999999</v>
      </c>
      <c r="L26" s="1">
        <f>'CO2e Emissions by Sector-BAU'!F26</f>
        <v>178.30799999999999</v>
      </c>
      <c r="M26" s="1">
        <f>'CO2e Emissions by Sector-BAU'!G26</f>
        <v>8.5004E-3</v>
      </c>
      <c r="N26" s="1">
        <f>'CO2e Emissions by Sector-BAU'!H26</f>
        <v>13.9953</v>
      </c>
      <c r="O26" s="1">
        <f>'CO2e Emissions by Sector-BAU'!I26</f>
        <v>87.513300000000001</v>
      </c>
      <c r="P26" s="1">
        <f>'CO2e Emissions by Sector-BAU'!J26</f>
        <v>67.343400000000003</v>
      </c>
      <c r="Q26" s="1">
        <f>'CO2e Emissions by Sector-Expert'!B26</f>
        <v>284.10899999999998</v>
      </c>
      <c r="R26" s="1">
        <f>'CO2e Emissions by Sector-Expert'!C26</f>
        <v>125.42700000000001</v>
      </c>
      <c r="S26" s="1">
        <f>'CO2e Emissions by Sector-Expert'!D26</f>
        <v>16.714700000000001</v>
      </c>
      <c r="T26" s="1">
        <f>'CO2e Emissions by Sector-Expert'!E26</f>
        <v>5.1665799999999997</v>
      </c>
      <c r="U26" s="1">
        <f>'CO2e Emissions by Sector-Expert'!F26</f>
        <v>173.43100000000001</v>
      </c>
      <c r="V26" s="1">
        <f>'CO2e Emissions by Sector-Expert'!G26</f>
        <v>1.7376199999999999</v>
      </c>
      <c r="W26" s="1">
        <f>'CO2e Emissions by Sector-Expert'!H26</f>
        <v>-4.1853600000000002</v>
      </c>
      <c r="X26" s="1">
        <f>'CO2e Emissions by Sector-Expert'!I26</f>
        <v>86.966800000000006</v>
      </c>
      <c r="Y26" s="1">
        <f>'CO2e Emissions by Sector-Expert'!J26</f>
        <v>67.364900000000006</v>
      </c>
      <c r="Z26" s="1">
        <f>'CO2e Emissions by Sector-CAS'!B26</f>
        <v>147.35900000000001</v>
      </c>
      <c r="AA26" s="1">
        <f>'CO2e Emissions by Sector-CAS'!C26</f>
        <v>44.203699999999998</v>
      </c>
      <c r="AB26" s="1">
        <f>'CO2e Emissions by Sector-CAS'!D26</f>
        <v>8.6179900000000007</v>
      </c>
      <c r="AC26" s="1">
        <f>'CO2e Emissions by Sector-CAS'!E26</f>
        <v>2.5002399999999998</v>
      </c>
      <c r="AD26" s="1">
        <f>'CO2e Emissions by Sector-CAS'!F26</f>
        <v>70.866299999999995</v>
      </c>
      <c r="AE26" s="1">
        <f>'CO2e Emissions by Sector-CAS'!G26</f>
        <v>5.89513</v>
      </c>
      <c r="AF26" s="1">
        <f>'CO2e Emissions by Sector-CAS'!H26</f>
        <v>-43.9773</v>
      </c>
      <c r="AG26" s="1">
        <f>'CO2e Emissions by Sector-CAS'!I26</f>
        <v>74.232900000000001</v>
      </c>
      <c r="AH26" s="1">
        <f>'CO2e Emissions by Sector-CAS'!J26</f>
        <v>37.108400000000003</v>
      </c>
      <c r="AI26" s="1"/>
      <c r="AJ26" s="1"/>
      <c r="AK26" s="1"/>
      <c r="AL26" s="1"/>
      <c r="AM26" s="1"/>
      <c r="AN26" s="1"/>
      <c r="AO26" s="1"/>
      <c r="AP26" s="1">
        <f>GDP!B26</f>
        <v>0</v>
      </c>
      <c r="AQ26" s="1">
        <f>GDP!C26</f>
        <v>2.0513300000000001</v>
      </c>
      <c r="AR26" s="1">
        <f>GDP!D26</f>
        <v>22.480799999999999</v>
      </c>
      <c r="AS26" s="1">
        <f>Jobs!B26</f>
        <v>0</v>
      </c>
      <c r="AT26" s="1">
        <f>Jobs!C26</f>
        <v>106206</v>
      </c>
      <c r="AU26" s="1">
        <f>Jobs!D26</f>
        <v>835704</v>
      </c>
      <c r="AV26" s="1">
        <f>Debt!B26</f>
        <v>0</v>
      </c>
      <c r="AW26" s="1">
        <f>Debt!C26</f>
        <v>-2.1865000000000001</v>
      </c>
      <c r="AX26" s="1">
        <f>Debt!D26</f>
        <v>-64.183599999999998</v>
      </c>
      <c r="AY26" s="1">
        <f>'GCF-Expert'!B26</f>
        <v>3.5061399999999998</v>
      </c>
      <c r="AZ26" s="1">
        <f>'GCF-Expert'!C26</f>
        <v>-0.77393100000000004</v>
      </c>
      <c r="BA26" s="1">
        <f>'GCF-Expert'!D26</f>
        <v>0</v>
      </c>
      <c r="BB26" s="1">
        <f>'GCF-Expert'!E26</f>
        <v>0</v>
      </c>
      <c r="BC26" s="1">
        <f>'GCF-Expert'!F26</f>
        <v>0</v>
      </c>
      <c r="BD26" s="1">
        <f>'GCF-Expert'!G26</f>
        <v>0</v>
      </c>
      <c r="BE26" s="1">
        <f>'GCF-Expert'!H26</f>
        <v>0.27285100000000001</v>
      </c>
      <c r="BF26" s="1">
        <f>'GCF-Expert'!I26</f>
        <v>0.131829</v>
      </c>
      <c r="BG26" s="1">
        <f>'GCF-Expert'!J26</f>
        <v>-0.52699799999999997</v>
      </c>
      <c r="BH26" s="1">
        <f>'GCF-CAS'!B26</f>
        <v>20.774699999999999</v>
      </c>
      <c r="BI26" s="1">
        <f>'GCF-CAS'!C26</f>
        <v>-9.6333199999999994</v>
      </c>
      <c r="BJ26" s="1">
        <f>'GCF-CAS'!D26</f>
        <v>0</v>
      </c>
      <c r="BK26" s="1">
        <f>'GCF-CAS'!E26</f>
        <v>0</v>
      </c>
      <c r="BL26" s="1">
        <f>'GCF-CAS'!F26</f>
        <v>0</v>
      </c>
      <c r="BM26" s="1">
        <f>'GCF-CAS'!G26</f>
        <v>0</v>
      </c>
      <c r="BN26" s="1">
        <f>'GCF-CAS'!H26</f>
        <v>8.7409999999999997</v>
      </c>
      <c r="BO26" s="1">
        <f>'GCF-CAS'!I26</f>
        <v>3.98203</v>
      </c>
      <c r="BP26" s="1">
        <f>'GCF-CAS'!J26</f>
        <v>-4.8601000000000001</v>
      </c>
    </row>
    <row r="27" spans="1:68" x14ac:dyDescent="0.2">
      <c r="A27" s="1">
        <f>GDP!A27</f>
        <v>2045</v>
      </c>
      <c r="B27" s="1">
        <f>'CO2e Emissions'!B27</f>
        <v>809.54899999999998</v>
      </c>
      <c r="C27" s="1">
        <f>'CO2e Emissions'!C27</f>
        <v>764.59699999999998</v>
      </c>
      <c r="D27" s="1">
        <f>'CO2e Emissions'!D27</f>
        <v>320.61</v>
      </c>
      <c r="E27" s="1">
        <f>'CO2e Emissions (LULUCF excl)'!B27</f>
        <v>795.70899999999995</v>
      </c>
      <c r="F27" s="1">
        <f>'CO2e Emissions (LULUCF excl)'!C27</f>
        <v>770.84799999999996</v>
      </c>
      <c r="G27" s="1">
        <f>'CO2e Emissions (LULUCF excl)'!D27</f>
        <v>370.72</v>
      </c>
      <c r="H27" s="1">
        <f>'CO2e Emissions by Sector-BAU'!B27</f>
        <v>296.85599999999999</v>
      </c>
      <c r="I27" s="1">
        <f>'CO2e Emissions by Sector-BAU'!C27</f>
        <v>135.75200000000001</v>
      </c>
      <c r="J27" s="1">
        <f>'CO2e Emissions by Sector-BAU'!D27</f>
        <v>16.804600000000001</v>
      </c>
      <c r="K27" s="1">
        <f>'CO2e Emissions by Sector-BAU'!E27</f>
        <v>5.2812700000000001</v>
      </c>
      <c r="L27" s="1">
        <f>'CO2e Emissions by Sector-BAU'!F27</f>
        <v>180.791</v>
      </c>
      <c r="M27" s="1">
        <f>'CO2e Emissions by Sector-BAU'!G27</f>
        <v>9.6644899999999995E-3</v>
      </c>
      <c r="N27" s="1">
        <f>'CO2e Emissions by Sector-BAU'!H27</f>
        <v>13.7986</v>
      </c>
      <c r="O27" s="1">
        <f>'CO2e Emissions by Sector-BAU'!I27</f>
        <v>87.66</v>
      </c>
      <c r="P27" s="1">
        <f>'CO2e Emissions by Sector-BAU'!J27</f>
        <v>68.0304</v>
      </c>
      <c r="Q27" s="1">
        <f>'CO2e Emissions by Sector-Expert'!B27</f>
        <v>291.16000000000003</v>
      </c>
      <c r="R27" s="1">
        <f>'CO2e Emissions by Sector-Expert'!C27</f>
        <v>125.20399999999999</v>
      </c>
      <c r="S27" s="1">
        <f>'CO2e Emissions by Sector-Expert'!D27</f>
        <v>16.748100000000001</v>
      </c>
      <c r="T27" s="1">
        <f>'CO2e Emissions by Sector-Expert'!E27</f>
        <v>5.2402699999999998</v>
      </c>
      <c r="U27" s="1">
        <f>'CO2e Emissions by Sector-Expert'!F27</f>
        <v>175.501</v>
      </c>
      <c r="V27" s="1">
        <f>'CO2e Emissions by Sector-Expert'!G27</f>
        <v>1.8537300000000001</v>
      </c>
      <c r="W27" s="1">
        <f>'CO2e Emissions by Sector-Expert'!H27</f>
        <v>-6.25061</v>
      </c>
      <c r="X27" s="1">
        <f>'CO2e Emissions by Sector-Expert'!I27</f>
        <v>87.066000000000003</v>
      </c>
      <c r="Y27" s="1">
        <f>'CO2e Emissions by Sector-Expert'!J27</f>
        <v>68.058300000000003</v>
      </c>
      <c r="Z27" s="1">
        <f>'CO2e Emissions by Sector-CAS'!B27</f>
        <v>142.416</v>
      </c>
      <c r="AA27" s="1">
        <f>'CO2e Emissions by Sector-CAS'!C27</f>
        <v>38.560899999999997</v>
      </c>
      <c r="AB27" s="1">
        <f>'CO2e Emissions by Sector-CAS'!D27</f>
        <v>8.0101499999999994</v>
      </c>
      <c r="AC27" s="1">
        <f>'CO2e Emissions by Sector-CAS'!E27</f>
        <v>2.3248899999999999</v>
      </c>
      <c r="AD27" s="1">
        <f>'CO2e Emissions by Sector-CAS'!F27</f>
        <v>65.9435</v>
      </c>
      <c r="AE27" s="1">
        <f>'CO2e Emissions by Sector-CAS'!G27</f>
        <v>6.2328999999999999</v>
      </c>
      <c r="AF27" s="1">
        <f>'CO2e Emissions by Sector-CAS'!H27</f>
        <v>-50.110599999999998</v>
      </c>
      <c r="AG27" s="1">
        <f>'CO2e Emissions by Sector-CAS'!I27</f>
        <v>74.009500000000003</v>
      </c>
      <c r="AH27" s="1">
        <f>'CO2e Emissions by Sector-CAS'!J27</f>
        <v>36.492699999999999</v>
      </c>
      <c r="AI27" s="1"/>
      <c r="AJ27" s="1"/>
      <c r="AK27" s="1"/>
      <c r="AL27" s="1"/>
      <c r="AM27" s="1"/>
      <c r="AN27" s="1"/>
      <c r="AO27" s="1"/>
      <c r="AP27" s="1">
        <f>GDP!B27</f>
        <v>0</v>
      </c>
      <c r="AQ27" s="1">
        <f>GDP!C27</f>
        <v>2.3464299999999998</v>
      </c>
      <c r="AR27" s="1">
        <f>GDP!D27</f>
        <v>23.382899999999999</v>
      </c>
      <c r="AS27" s="1">
        <f>Jobs!B27</f>
        <v>0</v>
      </c>
      <c r="AT27" s="1">
        <f>Jobs!C27</f>
        <v>120103</v>
      </c>
      <c r="AU27" s="1">
        <f>Jobs!D27</f>
        <v>900075</v>
      </c>
      <c r="AV27" s="1">
        <f>Debt!B27</f>
        <v>0</v>
      </c>
      <c r="AW27" s="1">
        <f>Debt!C27</f>
        <v>-2.4933900000000002</v>
      </c>
      <c r="AX27" s="1">
        <f>Debt!D27</f>
        <v>-70.9191</v>
      </c>
      <c r="AY27" s="1">
        <f>'GCF-Expert'!B27</f>
        <v>3.8570000000000002</v>
      </c>
      <c r="AZ27" s="1">
        <f>'GCF-Expert'!C27</f>
        <v>-0.86656299999999997</v>
      </c>
      <c r="BA27" s="1">
        <f>'GCF-Expert'!D27</f>
        <v>0</v>
      </c>
      <c r="BB27" s="1">
        <f>'GCF-Expert'!E27</f>
        <v>0</v>
      </c>
      <c r="BC27" s="1">
        <f>'GCF-Expert'!F27</f>
        <v>0</v>
      </c>
      <c r="BD27" s="1">
        <f>'GCF-Expert'!G27</f>
        <v>0</v>
      </c>
      <c r="BE27" s="1">
        <f>'GCF-Expert'!H27</f>
        <v>0.307861</v>
      </c>
      <c r="BF27" s="1">
        <f>'GCF-Expert'!I27</f>
        <v>0.15095600000000001</v>
      </c>
      <c r="BG27" s="1">
        <f>'GCF-Expert'!J27</f>
        <v>-0.58144700000000005</v>
      </c>
      <c r="BH27" s="1">
        <f>'GCF-CAS'!B27</f>
        <v>21.498999999999999</v>
      </c>
      <c r="BI27" s="1">
        <f>'GCF-CAS'!C27</f>
        <v>-10.4893</v>
      </c>
      <c r="BJ27" s="1">
        <f>'GCF-CAS'!D27</f>
        <v>0</v>
      </c>
      <c r="BK27" s="1">
        <f>'GCF-CAS'!E27</f>
        <v>0</v>
      </c>
      <c r="BL27" s="1">
        <f>'GCF-CAS'!F27</f>
        <v>0</v>
      </c>
      <c r="BM27" s="1">
        <f>'GCF-CAS'!G27</f>
        <v>0</v>
      </c>
      <c r="BN27" s="1">
        <f>'GCF-CAS'!H27</f>
        <v>9.3636099999999995</v>
      </c>
      <c r="BO27" s="1">
        <f>'GCF-CAS'!I27</f>
        <v>4.4312399999999998</v>
      </c>
      <c r="BP27" s="1">
        <f>'GCF-CAS'!J27</f>
        <v>-5.4563300000000003</v>
      </c>
    </row>
    <row r="28" spans="1:68" x14ac:dyDescent="0.2">
      <c r="A28" s="1">
        <f>GDP!A28</f>
        <v>2046</v>
      </c>
      <c r="B28" s="1">
        <f>'CO2e Emissions'!B28</f>
        <v>822.31899999999996</v>
      </c>
      <c r="C28" s="1">
        <f>'CO2e Emissions'!C28</f>
        <v>735.64700000000005</v>
      </c>
      <c r="D28" s="1">
        <f>'CO2e Emissions'!D28</f>
        <v>296.64299999999997</v>
      </c>
      <c r="E28" s="1">
        <f>'CO2e Emissions (LULUCF excl)'!B28</f>
        <v>808.63099999999997</v>
      </c>
      <c r="F28" s="1">
        <f>'CO2e Emissions (LULUCF excl)'!C28</f>
        <v>744.05799999999999</v>
      </c>
      <c r="G28" s="1">
        <f>'CO2e Emissions (LULUCF excl)'!D28</f>
        <v>353.07600000000002</v>
      </c>
      <c r="H28" s="1">
        <f>'CO2e Emissions by Sector-BAU'!B28</f>
        <v>305.26600000000002</v>
      </c>
      <c r="I28" s="1">
        <f>'CO2e Emissions by Sector-BAU'!C28</f>
        <v>136.958</v>
      </c>
      <c r="J28" s="1">
        <f>'CO2e Emissions by Sector-BAU'!D28</f>
        <v>16.845700000000001</v>
      </c>
      <c r="K28" s="1">
        <f>'CO2e Emissions by Sector-BAU'!E28</f>
        <v>5.3610800000000003</v>
      </c>
      <c r="L28" s="1">
        <f>'CO2e Emissions by Sector-BAU'!F28</f>
        <v>183.268</v>
      </c>
      <c r="M28" s="1">
        <f>'CO2e Emissions by Sector-BAU'!G28</f>
        <v>1.0889599999999999E-2</v>
      </c>
      <c r="N28" s="1">
        <f>'CO2e Emissions by Sector-BAU'!H28</f>
        <v>13.7019</v>
      </c>
      <c r="O28" s="1">
        <f>'CO2e Emissions by Sector-BAU'!I28</f>
        <v>87.752200000000002</v>
      </c>
      <c r="P28" s="1">
        <f>'CO2e Emissions by Sector-BAU'!J28</f>
        <v>68.686300000000003</v>
      </c>
      <c r="Q28" s="1">
        <f>'CO2e Emissions by Sector-Expert'!B28</f>
        <v>298.48</v>
      </c>
      <c r="R28" s="1">
        <f>'CO2e Emissions by Sector-Expert'!C28</f>
        <v>125.04900000000001</v>
      </c>
      <c r="S28" s="1">
        <f>'CO2e Emissions by Sector-Expert'!D28</f>
        <v>16.7851</v>
      </c>
      <c r="T28" s="1">
        <f>'CO2e Emissions by Sector-Expert'!E28</f>
        <v>5.3150000000000004</v>
      </c>
      <c r="U28" s="1">
        <f>'CO2e Emissions by Sector-Expert'!F28</f>
        <v>144.971</v>
      </c>
      <c r="V28" s="1">
        <f>'CO2e Emissions by Sector-Expert'!G28</f>
        <v>1.9692799999999999</v>
      </c>
      <c r="W28" s="1">
        <f>'CO2e Emissions by Sector-Expert'!H28</f>
        <v>-8.4115400000000005</v>
      </c>
      <c r="X28" s="1">
        <f>'CO2e Emissions by Sector-Expert'!I28</f>
        <v>87.052300000000002</v>
      </c>
      <c r="Y28" s="1">
        <f>'CO2e Emissions by Sector-Expert'!J28</f>
        <v>64.417599999999993</v>
      </c>
      <c r="Z28" s="1">
        <f>'CO2e Emissions by Sector-CAS'!B28</f>
        <v>137.17099999999999</v>
      </c>
      <c r="AA28" s="1">
        <f>'CO2e Emissions by Sector-CAS'!C28</f>
        <v>33.366</v>
      </c>
      <c r="AB28" s="1">
        <f>'CO2e Emissions by Sector-CAS'!D28</f>
        <v>7.4010499999999997</v>
      </c>
      <c r="AC28" s="1">
        <f>'CO2e Emissions by Sector-CAS'!E28</f>
        <v>2.1438899999999999</v>
      </c>
      <c r="AD28" s="1">
        <f>'CO2e Emissions by Sector-CAS'!F28</f>
        <v>61.607300000000002</v>
      </c>
      <c r="AE28" s="1">
        <f>'CO2e Emissions by Sector-CAS'!G28</f>
        <v>6.5615399999999999</v>
      </c>
      <c r="AF28" s="1">
        <f>'CO2e Emissions by Sector-CAS'!H28</f>
        <v>-56.432600000000001</v>
      </c>
      <c r="AG28" s="1">
        <f>'CO2e Emissions by Sector-CAS'!I28</f>
        <v>72.458799999999997</v>
      </c>
      <c r="AH28" s="1">
        <f>'CO2e Emissions by Sector-CAS'!J28</f>
        <v>35.39</v>
      </c>
      <c r="AI28" s="1"/>
      <c r="AJ28" s="1"/>
      <c r="AK28" s="1"/>
      <c r="AL28" s="1"/>
      <c r="AM28" s="1"/>
      <c r="AN28" s="1"/>
      <c r="AO28" s="1"/>
      <c r="AP28" s="1">
        <f>GDP!B28</f>
        <v>0</v>
      </c>
      <c r="AQ28" s="1">
        <f>GDP!C28</f>
        <v>2.6474799999999998</v>
      </c>
      <c r="AR28" s="1">
        <f>GDP!D28</f>
        <v>26.551200000000001</v>
      </c>
      <c r="AS28" s="1">
        <f>Jobs!B28</f>
        <v>0</v>
      </c>
      <c r="AT28" s="1">
        <f>Jobs!C28</f>
        <v>134579</v>
      </c>
      <c r="AU28" s="1">
        <f>Jobs!D28</f>
        <v>993460</v>
      </c>
      <c r="AV28" s="1">
        <f>Debt!B28</f>
        <v>0</v>
      </c>
      <c r="AW28" s="1">
        <f>Debt!C28</f>
        <v>-2.8149700000000002</v>
      </c>
      <c r="AX28" s="1">
        <f>Debt!D28</f>
        <v>-77.894099999999995</v>
      </c>
      <c r="AY28" s="1">
        <f>'GCF-Expert'!B28</f>
        <v>4.0459399999999999</v>
      </c>
      <c r="AZ28" s="1">
        <f>'GCF-Expert'!C28</f>
        <v>-0.96443000000000001</v>
      </c>
      <c r="BA28" s="1">
        <f>'GCF-Expert'!D28</f>
        <v>0</v>
      </c>
      <c r="BB28" s="1">
        <f>'GCF-Expert'!E28</f>
        <v>0</v>
      </c>
      <c r="BC28" s="1">
        <f>'GCF-Expert'!F28</f>
        <v>0</v>
      </c>
      <c r="BD28" s="1">
        <f>'GCF-Expert'!G28</f>
        <v>0</v>
      </c>
      <c r="BE28" s="1">
        <f>'GCF-Expert'!H28</f>
        <v>0.34711599999999998</v>
      </c>
      <c r="BF28" s="1">
        <f>'GCF-Expert'!I28</f>
        <v>0.17214399999999999</v>
      </c>
      <c r="BG28" s="1">
        <f>'GCF-Expert'!J28</f>
        <v>-0.628583</v>
      </c>
      <c r="BH28" s="1">
        <f>'GCF-CAS'!B28</f>
        <v>22.899000000000001</v>
      </c>
      <c r="BI28" s="1">
        <f>'GCF-CAS'!C28</f>
        <v>-11.3802</v>
      </c>
      <c r="BJ28" s="1">
        <f>'GCF-CAS'!D28</f>
        <v>0</v>
      </c>
      <c r="BK28" s="1">
        <f>'GCF-CAS'!E28</f>
        <v>0</v>
      </c>
      <c r="BL28" s="1">
        <f>'GCF-CAS'!F28</f>
        <v>0</v>
      </c>
      <c r="BM28" s="1">
        <f>'GCF-CAS'!G28</f>
        <v>0</v>
      </c>
      <c r="BN28" s="1">
        <f>'GCF-CAS'!H28</f>
        <v>9.97485</v>
      </c>
      <c r="BO28" s="1">
        <f>'GCF-CAS'!I28</f>
        <v>4.8962500000000002</v>
      </c>
      <c r="BP28" s="1">
        <f>'GCF-CAS'!J28</f>
        <v>-6.2058200000000001</v>
      </c>
    </row>
    <row r="29" spans="1:68" x14ac:dyDescent="0.2">
      <c r="A29" s="1">
        <f>GDP!A29</f>
        <v>2047</v>
      </c>
      <c r="B29" s="1">
        <f>'CO2e Emissions'!B29</f>
        <v>834.62699999999995</v>
      </c>
      <c r="C29" s="1">
        <f>'CO2e Emissions'!C29</f>
        <v>742.26300000000003</v>
      </c>
      <c r="D29" s="1">
        <f>'CO2e Emissions'!D29</f>
        <v>274.28300000000002</v>
      </c>
      <c r="E29" s="1">
        <f>'CO2e Emissions (LULUCF excl)'!B29</f>
        <v>821.09100000000001</v>
      </c>
      <c r="F29" s="1">
        <f>'CO2e Emissions (LULUCF excl)'!C29</f>
        <v>752.93100000000004</v>
      </c>
      <c r="G29" s="1">
        <f>'CO2e Emissions (LULUCF excl)'!D29</f>
        <v>337.42599999999999</v>
      </c>
      <c r="H29" s="1">
        <f>'CO2e Emissions by Sector-BAU'!B29</f>
        <v>313.82499999999999</v>
      </c>
      <c r="I29" s="1">
        <f>'CO2e Emissions by Sector-BAU'!C29</f>
        <v>137.54599999999999</v>
      </c>
      <c r="J29" s="1">
        <f>'CO2e Emissions by Sector-BAU'!D29</f>
        <v>16.889199999999999</v>
      </c>
      <c r="K29" s="1">
        <f>'CO2e Emissions by Sector-BAU'!E29</f>
        <v>5.4410999999999996</v>
      </c>
      <c r="L29" s="1">
        <f>'CO2e Emissions by Sector-BAU'!F29</f>
        <v>185.77</v>
      </c>
      <c r="M29" s="1">
        <f>'CO2e Emissions by Sector-BAU'!G29</f>
        <v>1.21779E-2</v>
      </c>
      <c r="N29" s="1">
        <f>'CO2e Emissions by Sector-BAU'!H29</f>
        <v>13.505100000000001</v>
      </c>
      <c r="O29" s="1">
        <f>'CO2e Emissions by Sector-BAU'!I29</f>
        <v>87.872600000000006</v>
      </c>
      <c r="P29" s="1">
        <f>'CO2e Emissions by Sector-BAU'!J29</f>
        <v>69.369399999999999</v>
      </c>
      <c r="Q29" s="1">
        <f>'CO2e Emissions by Sector-Expert'!B29</f>
        <v>305.84100000000001</v>
      </c>
      <c r="R29" s="1">
        <f>'CO2e Emissions by Sector-Expert'!C29</f>
        <v>124.232</v>
      </c>
      <c r="S29" s="1">
        <f>'CO2e Emissions by Sector-Expert'!D29</f>
        <v>16.8169</v>
      </c>
      <c r="T29" s="1">
        <f>'CO2e Emissions by Sector-Expert'!E29</f>
        <v>5.3885399999999999</v>
      </c>
      <c r="U29" s="1">
        <f>'CO2e Emissions by Sector-Expert'!F29</f>
        <v>146.398</v>
      </c>
      <c r="V29" s="1">
        <f>'CO2e Emissions by Sector-Expert'!G29</f>
        <v>2.08731</v>
      </c>
      <c r="W29" s="1">
        <f>'CO2e Emissions by Sector-Expert'!H29</f>
        <v>-10.668100000000001</v>
      </c>
      <c r="X29" s="1">
        <f>'CO2e Emissions by Sector-Expert'!I29</f>
        <v>87.120599999999996</v>
      </c>
      <c r="Y29" s="1">
        <f>'CO2e Emissions by Sector-Expert'!J29</f>
        <v>65.022599999999997</v>
      </c>
      <c r="Z29" s="1">
        <f>'CO2e Emissions by Sector-CAS'!B29</f>
        <v>131.696</v>
      </c>
      <c r="AA29" s="1">
        <f>'CO2e Emissions by Sector-CAS'!C29</f>
        <v>28.2727</v>
      </c>
      <c r="AB29" s="1">
        <f>'CO2e Emissions by Sector-CAS'!D29</f>
        <v>6.78505</v>
      </c>
      <c r="AC29" s="1">
        <f>'CO2e Emissions by Sector-CAS'!E29</f>
        <v>1.958</v>
      </c>
      <c r="AD29" s="1">
        <f>'CO2e Emissions by Sector-CAS'!F29</f>
        <v>56.912999999999997</v>
      </c>
      <c r="AE29" s="1">
        <f>'CO2e Emissions by Sector-CAS'!G29</f>
        <v>6.8975900000000001</v>
      </c>
      <c r="AF29" s="1">
        <f>'CO2e Emissions by Sector-CAS'!H29</f>
        <v>-63.143099999999997</v>
      </c>
      <c r="AG29" s="1">
        <f>'CO2e Emissions by Sector-CAS'!I29</f>
        <v>71.961600000000004</v>
      </c>
      <c r="AH29" s="1">
        <f>'CO2e Emissions by Sector-CAS'!J29</f>
        <v>34.7395</v>
      </c>
      <c r="AI29" s="1"/>
      <c r="AJ29" s="1"/>
      <c r="AK29" s="1"/>
      <c r="AL29" s="1"/>
      <c r="AM29" s="1"/>
      <c r="AN29" s="1"/>
      <c r="AO29" s="1"/>
      <c r="AP29" s="1">
        <f>GDP!B29</f>
        <v>0</v>
      </c>
      <c r="AQ29" s="1">
        <f>GDP!C29</f>
        <v>2.88951</v>
      </c>
      <c r="AR29" s="1">
        <f>GDP!D29</f>
        <v>27.860099999999999</v>
      </c>
      <c r="AS29" s="1">
        <f>Jobs!B29</f>
        <v>0</v>
      </c>
      <c r="AT29" s="1">
        <f>Jobs!C29</f>
        <v>148706</v>
      </c>
      <c r="AU29" s="1">
        <f>Jobs!D29</f>
        <v>1075140</v>
      </c>
      <c r="AV29" s="1">
        <f>Debt!B29</f>
        <v>0</v>
      </c>
      <c r="AW29" s="1">
        <f>Debt!C29</f>
        <v>-3.1855500000000001</v>
      </c>
      <c r="AX29" s="1">
        <f>Debt!D29</f>
        <v>-85.135599999999997</v>
      </c>
      <c r="AY29" s="1">
        <f>'GCF-Expert'!B29</f>
        <v>4.5684699999999996</v>
      </c>
      <c r="AZ29" s="1">
        <f>'GCF-Expert'!C29</f>
        <v>-1.0740000000000001</v>
      </c>
      <c r="BA29" s="1">
        <f>'GCF-Expert'!D29</f>
        <v>0</v>
      </c>
      <c r="BB29" s="1">
        <f>'GCF-Expert'!E29</f>
        <v>0</v>
      </c>
      <c r="BC29" s="1">
        <f>'GCF-Expert'!F29</f>
        <v>0</v>
      </c>
      <c r="BD29" s="1">
        <f>'GCF-Expert'!G29</f>
        <v>0</v>
      </c>
      <c r="BE29" s="1">
        <f>'GCF-Expert'!H29</f>
        <v>0.39068199999999997</v>
      </c>
      <c r="BF29" s="1">
        <f>'GCF-Expert'!I29</f>
        <v>0.19434599999999999</v>
      </c>
      <c r="BG29" s="1">
        <f>'GCF-Expert'!J29</f>
        <v>-0.699214</v>
      </c>
      <c r="BH29" s="1">
        <f>'GCF-CAS'!B29</f>
        <v>24.147400000000001</v>
      </c>
      <c r="BI29" s="1">
        <f>'GCF-CAS'!C29</f>
        <v>-12.292400000000001</v>
      </c>
      <c r="BJ29" s="1">
        <f>'GCF-CAS'!D29</f>
        <v>0</v>
      </c>
      <c r="BK29" s="1">
        <f>'GCF-CAS'!E29</f>
        <v>0</v>
      </c>
      <c r="BL29" s="1">
        <f>'GCF-CAS'!F29</f>
        <v>0</v>
      </c>
      <c r="BM29" s="1">
        <f>'GCF-CAS'!G29</f>
        <v>0</v>
      </c>
      <c r="BN29" s="1">
        <f>'GCF-CAS'!H29</f>
        <v>10.635</v>
      </c>
      <c r="BO29" s="1">
        <f>'GCF-CAS'!I29</f>
        <v>5.3778100000000002</v>
      </c>
      <c r="BP29" s="1">
        <f>'GCF-CAS'!J29</f>
        <v>-6.94313</v>
      </c>
    </row>
    <row r="30" spans="1:68" x14ac:dyDescent="0.2">
      <c r="A30" s="1">
        <f>GDP!A30</f>
        <v>2048</v>
      </c>
      <c r="B30" s="1">
        <f>'CO2e Emissions'!B30</f>
        <v>848.11</v>
      </c>
      <c r="C30" s="1">
        <f>'CO2e Emissions'!C30</f>
        <v>749.8</v>
      </c>
      <c r="D30" s="1">
        <f>'CO2e Emissions'!D30</f>
        <v>252.86600000000001</v>
      </c>
      <c r="E30" s="1">
        <f>'CO2e Emissions (LULUCF excl)'!B30</f>
        <v>834.726</v>
      </c>
      <c r="F30" s="1">
        <f>'CO2e Emissions (LULUCF excl)'!C30</f>
        <v>762.82100000000003</v>
      </c>
      <c r="G30" s="1">
        <f>'CO2e Emissions (LULUCF excl)'!D30</f>
        <v>322.90899999999999</v>
      </c>
      <c r="H30" s="1">
        <f>'CO2e Emissions by Sector-BAU'!B30</f>
        <v>323.23700000000002</v>
      </c>
      <c r="I30" s="1">
        <f>'CO2e Emissions by Sector-BAU'!C30</f>
        <v>138.25299999999999</v>
      </c>
      <c r="J30" s="1">
        <f>'CO2e Emissions by Sector-BAU'!D30</f>
        <v>16.933</v>
      </c>
      <c r="K30" s="1">
        <f>'CO2e Emissions by Sector-BAU'!E30</f>
        <v>5.5224000000000002</v>
      </c>
      <c r="L30" s="1">
        <f>'CO2e Emissions by Sector-BAU'!F30</f>
        <v>188.255</v>
      </c>
      <c r="M30" s="1">
        <f>'CO2e Emissions by Sector-BAU'!G30</f>
        <v>1.35222E-2</v>
      </c>
      <c r="N30" s="1">
        <f>'CO2e Emissions by Sector-BAU'!H30</f>
        <v>13.4084</v>
      </c>
      <c r="O30" s="1">
        <f>'CO2e Emissions by Sector-BAU'!I30</f>
        <v>87.964600000000004</v>
      </c>
      <c r="P30" s="1">
        <f>'CO2e Emissions by Sector-BAU'!J30</f>
        <v>70.024600000000007</v>
      </c>
      <c r="Q30" s="1">
        <f>'CO2e Emissions by Sector-Expert'!B30</f>
        <v>313.99799999999999</v>
      </c>
      <c r="R30" s="1">
        <f>'CO2e Emissions by Sector-Expert'!C30</f>
        <v>123.63200000000001</v>
      </c>
      <c r="S30" s="1">
        <f>'CO2e Emissions by Sector-Expert'!D30</f>
        <v>16.857399999999998</v>
      </c>
      <c r="T30" s="1">
        <f>'CO2e Emissions by Sector-Expert'!E30</f>
        <v>5.4652799999999999</v>
      </c>
      <c r="U30" s="1">
        <f>'CO2e Emissions by Sector-Expert'!F30</f>
        <v>147.816</v>
      </c>
      <c r="V30" s="1">
        <f>'CO2e Emissions by Sector-Expert'!G30</f>
        <v>2.2095600000000002</v>
      </c>
      <c r="W30" s="1">
        <f>'CO2e Emissions by Sector-Expert'!H30</f>
        <v>-13.0204</v>
      </c>
      <c r="X30" s="1">
        <f>'CO2e Emissions by Sector-Expert'!I30</f>
        <v>87.187600000000003</v>
      </c>
      <c r="Y30" s="1">
        <f>'CO2e Emissions by Sector-Expert'!J30</f>
        <v>65.633300000000006</v>
      </c>
      <c r="Z30" s="1">
        <f>'CO2e Emissions by Sector-CAS'!B30</f>
        <v>126.239</v>
      </c>
      <c r="AA30" s="1">
        <f>'CO2e Emissions by Sector-CAS'!C30</f>
        <v>24.5931</v>
      </c>
      <c r="AB30" s="1">
        <f>'CO2e Emissions by Sector-CAS'!D30</f>
        <v>6.1866300000000001</v>
      </c>
      <c r="AC30" s="1">
        <f>'CO2e Emissions by Sector-CAS'!E30</f>
        <v>1.77485</v>
      </c>
      <c r="AD30" s="1">
        <f>'CO2e Emissions by Sector-CAS'!F30</f>
        <v>52.229599999999998</v>
      </c>
      <c r="AE30" s="1">
        <f>'CO2e Emissions by Sector-CAS'!G30</f>
        <v>7.23698</v>
      </c>
      <c r="AF30" s="1">
        <f>'CO2e Emissions by Sector-CAS'!H30</f>
        <v>-70.042100000000005</v>
      </c>
      <c r="AG30" s="1">
        <f>'CO2e Emissions by Sector-CAS'!I30</f>
        <v>71.533000000000001</v>
      </c>
      <c r="AH30" s="1">
        <f>'CO2e Emissions by Sector-CAS'!J30</f>
        <v>34.191800000000001</v>
      </c>
      <c r="AI30" s="1"/>
      <c r="AJ30" s="1"/>
      <c r="AK30" s="1"/>
      <c r="AL30" s="1"/>
      <c r="AM30" s="1"/>
      <c r="AN30" s="1"/>
      <c r="AO30" s="1"/>
      <c r="AP30" s="1">
        <f>GDP!B30</f>
        <v>0</v>
      </c>
      <c r="AQ30" s="1">
        <f>GDP!C30</f>
        <v>3.1325400000000001</v>
      </c>
      <c r="AR30" s="1">
        <f>GDP!D30</f>
        <v>29.078199999999999</v>
      </c>
      <c r="AS30" s="1">
        <f>Jobs!B30</f>
        <v>0</v>
      </c>
      <c r="AT30" s="1">
        <f>Jobs!C30</f>
        <v>164298</v>
      </c>
      <c r="AU30" s="1">
        <f>Jobs!D30</f>
        <v>1157620</v>
      </c>
      <c r="AV30" s="1">
        <f>Debt!B30</f>
        <v>0</v>
      </c>
      <c r="AW30" s="1">
        <f>Debt!C30</f>
        <v>-3.61537</v>
      </c>
      <c r="AX30" s="1">
        <f>Debt!D30</f>
        <v>-92.598799999999997</v>
      </c>
      <c r="AY30" s="1">
        <f>'GCF-Expert'!B30</f>
        <v>5.1083499999999997</v>
      </c>
      <c r="AZ30" s="1">
        <f>'GCF-Expert'!C30</f>
        <v>-1.1823699999999999</v>
      </c>
      <c r="BA30" s="1">
        <f>'GCF-Expert'!D30</f>
        <v>0</v>
      </c>
      <c r="BB30" s="1">
        <f>'GCF-Expert'!E30</f>
        <v>0</v>
      </c>
      <c r="BC30" s="1">
        <f>'GCF-Expert'!F30</f>
        <v>0</v>
      </c>
      <c r="BD30" s="1">
        <f>'GCF-Expert'!G30</f>
        <v>0</v>
      </c>
      <c r="BE30" s="1">
        <f>'GCF-Expert'!H30</f>
        <v>0.43729099999999999</v>
      </c>
      <c r="BF30" s="1">
        <f>'GCF-Expert'!I30</f>
        <v>0.21992999999999999</v>
      </c>
      <c r="BG30" s="1">
        <f>'GCF-Expert'!J30</f>
        <v>-0.75478599999999996</v>
      </c>
      <c r="BH30" s="1">
        <f>'GCF-CAS'!B30</f>
        <v>25.3064</v>
      </c>
      <c r="BI30" s="1">
        <f>'GCF-CAS'!C30</f>
        <v>-13.154</v>
      </c>
      <c r="BJ30" s="1">
        <f>'GCF-CAS'!D30</f>
        <v>0</v>
      </c>
      <c r="BK30" s="1">
        <f>'GCF-CAS'!E30</f>
        <v>0</v>
      </c>
      <c r="BL30" s="1">
        <f>'GCF-CAS'!F30</f>
        <v>0</v>
      </c>
      <c r="BM30" s="1">
        <f>'GCF-CAS'!G30</f>
        <v>0</v>
      </c>
      <c r="BN30" s="1">
        <f>'GCF-CAS'!H30</f>
        <v>11.2994</v>
      </c>
      <c r="BO30" s="1">
        <f>'GCF-CAS'!I30</f>
        <v>5.8777600000000003</v>
      </c>
      <c r="BP30" s="1">
        <f>'GCF-CAS'!J30</f>
        <v>-7.8437999999999999</v>
      </c>
    </row>
    <row r="31" spans="1:68" x14ac:dyDescent="0.2">
      <c r="A31" s="1">
        <f>GDP!A31</f>
        <v>2049</v>
      </c>
      <c r="B31" s="1">
        <f>'CO2e Emissions'!B31</f>
        <v>862.43700000000001</v>
      </c>
      <c r="C31" s="1">
        <f>'CO2e Emissions'!C31</f>
        <v>757.99199999999996</v>
      </c>
      <c r="D31" s="1">
        <f>'CO2e Emissions'!D31</f>
        <v>231.63300000000001</v>
      </c>
      <c r="E31" s="1">
        <f>'CO2e Emissions (LULUCF excl)'!B31</f>
        <v>849.20399999999995</v>
      </c>
      <c r="F31" s="1">
        <f>'CO2e Emissions (LULUCF excl)'!C31</f>
        <v>773.46</v>
      </c>
      <c r="G31" s="1">
        <f>'CO2e Emissions (LULUCF excl)'!D31</f>
        <v>308.96199999999999</v>
      </c>
      <c r="H31" s="1">
        <f>'CO2e Emissions by Sector-BAU'!B31</f>
        <v>333.23899999999998</v>
      </c>
      <c r="I31" s="1">
        <f>'CO2e Emissions by Sector-BAU'!C31</f>
        <v>138.98699999999999</v>
      </c>
      <c r="J31" s="1">
        <f>'CO2e Emissions by Sector-BAU'!D31</f>
        <v>16.9787</v>
      </c>
      <c r="K31" s="1">
        <f>'CO2e Emissions by Sector-BAU'!E31</f>
        <v>5.6051900000000003</v>
      </c>
      <c r="L31" s="1">
        <f>'CO2e Emissions by Sector-BAU'!F31</f>
        <v>190.74199999999999</v>
      </c>
      <c r="M31" s="1">
        <f>'CO2e Emissions by Sector-BAU'!G31</f>
        <v>1.49187E-2</v>
      </c>
      <c r="N31" s="1">
        <f>'CO2e Emissions by Sector-BAU'!H31</f>
        <v>13.212</v>
      </c>
      <c r="O31" s="1">
        <f>'CO2e Emissions by Sector-BAU'!I31</f>
        <v>88.056200000000004</v>
      </c>
      <c r="P31" s="1">
        <f>'CO2e Emissions by Sector-BAU'!J31</f>
        <v>70.707800000000006</v>
      </c>
      <c r="Q31" s="1">
        <f>'CO2e Emissions by Sector-Expert'!B31</f>
        <v>322.66899999999998</v>
      </c>
      <c r="R31" s="1">
        <f>'CO2e Emissions by Sector-Expert'!C31</f>
        <v>123.262</v>
      </c>
      <c r="S31" s="1">
        <f>'CO2e Emissions by Sector-Expert'!D31</f>
        <v>16.8964</v>
      </c>
      <c r="T31" s="1">
        <f>'CO2e Emissions by Sector-Expert'!E31</f>
        <v>5.5420199999999999</v>
      </c>
      <c r="U31" s="1">
        <f>'CO2e Emissions by Sector-Expert'!F31</f>
        <v>149.227</v>
      </c>
      <c r="V31" s="1">
        <f>'CO2e Emissions by Sector-Expert'!G31</f>
        <v>2.33575</v>
      </c>
      <c r="W31" s="1">
        <f>'CO2e Emissions by Sector-Expert'!H31</f>
        <v>-15.468299999999999</v>
      </c>
      <c r="X31" s="1">
        <f>'CO2e Emissions by Sector-Expert'!I31</f>
        <v>87.254300000000001</v>
      </c>
      <c r="Y31" s="1">
        <f>'CO2e Emissions by Sector-Expert'!J31</f>
        <v>66.244900000000001</v>
      </c>
      <c r="Z31" s="1">
        <f>'CO2e Emissions by Sector-CAS'!B31</f>
        <v>120.63200000000001</v>
      </c>
      <c r="AA31" s="1">
        <f>'CO2e Emissions by Sector-CAS'!C31</f>
        <v>21.773800000000001</v>
      </c>
      <c r="AB31" s="1">
        <f>'CO2e Emissions by Sector-CAS'!D31</f>
        <v>5.5860000000000003</v>
      </c>
      <c r="AC31" s="1">
        <f>'CO2e Emissions by Sector-CAS'!E31</f>
        <v>1.58917</v>
      </c>
      <c r="AD31" s="1">
        <f>'CO2e Emissions by Sector-CAS'!F31</f>
        <v>47.926699999999997</v>
      </c>
      <c r="AE31" s="1">
        <f>'CO2e Emissions by Sector-CAS'!G31</f>
        <v>7.5897800000000002</v>
      </c>
      <c r="AF31" s="1">
        <f>'CO2e Emissions by Sector-CAS'!H31</f>
        <v>-77.329400000000007</v>
      </c>
      <c r="AG31" s="1">
        <f>'CO2e Emissions by Sector-CAS'!I31</f>
        <v>71.075199999999995</v>
      </c>
      <c r="AH31" s="1">
        <f>'CO2e Emissions by Sector-CAS'!J31</f>
        <v>33.675199999999997</v>
      </c>
      <c r="AI31" s="1"/>
      <c r="AJ31" s="1"/>
      <c r="AK31" s="1"/>
      <c r="AL31" s="1"/>
      <c r="AM31" s="1"/>
      <c r="AN31" s="1"/>
      <c r="AO31" s="1"/>
      <c r="AP31" s="1">
        <f>GDP!B31</f>
        <v>0</v>
      </c>
      <c r="AQ31" s="1">
        <f>GDP!C31</f>
        <v>3.4578899999999999</v>
      </c>
      <c r="AR31" s="1">
        <f>GDP!D31</f>
        <v>30.793199999999999</v>
      </c>
      <c r="AS31" s="1">
        <f>Jobs!B31</f>
        <v>0</v>
      </c>
      <c r="AT31" s="1">
        <f>Jobs!C31</f>
        <v>181331</v>
      </c>
      <c r="AU31" s="1">
        <f>Jobs!D31</f>
        <v>1241990</v>
      </c>
      <c r="AV31" s="1">
        <f>Debt!B31</f>
        <v>0</v>
      </c>
      <c r="AW31" s="1">
        <f>Debt!C31</f>
        <v>-4.10398</v>
      </c>
      <c r="AX31" s="1">
        <f>Debt!D31</f>
        <v>-100.197</v>
      </c>
      <c r="AY31" s="1">
        <f>'GCF-Expert'!B31</f>
        <v>5.6676000000000002</v>
      </c>
      <c r="AZ31" s="1">
        <f>'GCF-Expert'!C31</f>
        <v>-1.2994600000000001</v>
      </c>
      <c r="BA31" s="1">
        <f>'GCF-Expert'!D31</f>
        <v>0</v>
      </c>
      <c r="BB31" s="1">
        <f>'GCF-Expert'!E31</f>
        <v>0</v>
      </c>
      <c r="BC31" s="1">
        <f>'GCF-Expert'!F31</f>
        <v>0</v>
      </c>
      <c r="BD31" s="1">
        <f>'GCF-Expert'!G31</f>
        <v>0</v>
      </c>
      <c r="BE31" s="1">
        <f>'GCF-Expert'!H31</f>
        <v>0.485981</v>
      </c>
      <c r="BF31" s="1">
        <f>'GCF-Expert'!I31</f>
        <v>0.24960499999999999</v>
      </c>
      <c r="BG31" s="1">
        <f>'GCF-Expert'!J31</f>
        <v>-0.81718299999999999</v>
      </c>
      <c r="BH31" s="1">
        <f>'GCF-CAS'!B31</f>
        <v>26.3232</v>
      </c>
      <c r="BI31" s="1">
        <f>'GCF-CAS'!C31</f>
        <v>-14.0624</v>
      </c>
      <c r="BJ31" s="1">
        <f>'GCF-CAS'!D31</f>
        <v>0</v>
      </c>
      <c r="BK31" s="1">
        <f>'GCF-CAS'!E31</f>
        <v>0</v>
      </c>
      <c r="BL31" s="1">
        <f>'GCF-CAS'!F31</f>
        <v>0</v>
      </c>
      <c r="BM31" s="1">
        <f>'GCF-CAS'!G31</f>
        <v>0</v>
      </c>
      <c r="BN31" s="1">
        <f>'GCF-CAS'!H31</f>
        <v>11.9564</v>
      </c>
      <c r="BO31" s="1">
        <f>'GCF-CAS'!I31</f>
        <v>6.3930199999999999</v>
      </c>
      <c r="BP31" s="1">
        <f>'GCF-CAS'!J31</f>
        <v>-8.8836999999999993</v>
      </c>
    </row>
    <row r="32" spans="1:68" x14ac:dyDescent="0.2">
      <c r="A32" s="1">
        <f>GDP!A32</f>
        <v>2050</v>
      </c>
      <c r="B32" s="1">
        <f>'CO2e Emissions'!B32</f>
        <v>878.09400000000005</v>
      </c>
      <c r="C32" s="1">
        <f>'CO2e Emissions'!C32</f>
        <v>767.13499999999999</v>
      </c>
      <c r="D32" s="1">
        <f>'CO2e Emissions'!D32</f>
        <v>199.88499999999999</v>
      </c>
      <c r="E32" s="1">
        <f>'CO2e Emissions (LULUCF excl)'!B32</f>
        <v>865.01400000000001</v>
      </c>
      <c r="F32" s="1">
        <f>'CO2e Emissions (LULUCF excl)'!C32</f>
        <v>785.14700000000005</v>
      </c>
      <c r="G32" s="1">
        <f>'CO2e Emissions (LULUCF excl)'!D32</f>
        <v>284.09100000000001</v>
      </c>
      <c r="H32" s="1">
        <f>'CO2e Emissions by Sector-BAU'!B32</f>
        <v>343.92599999999999</v>
      </c>
      <c r="I32" s="1">
        <f>'CO2e Emissions by Sector-BAU'!C32</f>
        <v>140.91900000000001</v>
      </c>
      <c r="J32" s="1">
        <f>'CO2e Emissions by Sector-BAU'!D32</f>
        <v>17.027100000000001</v>
      </c>
      <c r="K32" s="1">
        <f>'CO2e Emissions by Sector-BAU'!E32</f>
        <v>5.6899800000000003</v>
      </c>
      <c r="L32" s="1">
        <f>'CO2e Emissions by Sector-BAU'!F32</f>
        <v>193.22800000000001</v>
      </c>
      <c r="M32" s="1">
        <f>'CO2e Emissions by Sector-BAU'!G32</f>
        <v>1.6369399999999999E-2</v>
      </c>
      <c r="N32" s="1">
        <f>'CO2e Emissions by Sector-BAU'!H32</f>
        <v>13.115</v>
      </c>
      <c r="O32" s="1">
        <f>'CO2e Emissions by Sector-BAU'!I32</f>
        <v>88.203299999999999</v>
      </c>
      <c r="P32" s="1">
        <f>'CO2e Emissions by Sector-BAU'!J32</f>
        <v>71.363699999999994</v>
      </c>
      <c r="Q32" s="1">
        <f>'CO2e Emissions by Sector-Expert'!B32</f>
        <v>331.94299999999998</v>
      </c>
      <c r="R32" s="1">
        <f>'CO2e Emissions by Sector-Expert'!C32</f>
        <v>123.358</v>
      </c>
      <c r="S32" s="1">
        <f>'CO2e Emissions by Sector-Expert'!D32</f>
        <v>16.938400000000001</v>
      </c>
      <c r="T32" s="1">
        <f>'CO2e Emissions by Sector-Expert'!E32</f>
        <v>5.6203200000000004</v>
      </c>
      <c r="U32" s="1">
        <f>'CO2e Emissions by Sector-Expert'!F32</f>
        <v>150.62100000000001</v>
      </c>
      <c r="V32" s="1">
        <f>'CO2e Emissions by Sector-Expert'!G32</f>
        <v>2.46149</v>
      </c>
      <c r="W32" s="1">
        <f>'CO2e Emissions by Sector-Expert'!H32</f>
        <v>-18.011900000000001</v>
      </c>
      <c r="X32" s="1">
        <f>'CO2e Emissions by Sector-Expert'!I32</f>
        <v>87.320999999999998</v>
      </c>
      <c r="Y32" s="1">
        <f>'CO2e Emissions by Sector-Expert'!J32</f>
        <v>66.856399999999994</v>
      </c>
      <c r="Z32" s="1">
        <f>'CO2e Emissions by Sector-CAS'!B32</f>
        <v>114.92</v>
      </c>
      <c r="AA32" s="1">
        <f>'CO2e Emissions by Sector-CAS'!C32</f>
        <v>19.5245</v>
      </c>
      <c r="AB32" s="1">
        <f>'CO2e Emissions by Sector-CAS'!D32</f>
        <v>4.9922399999999998</v>
      </c>
      <c r="AC32" s="1">
        <f>'CO2e Emissions by Sector-CAS'!E32</f>
        <v>1.4034599999999999</v>
      </c>
      <c r="AD32" s="1">
        <f>'CO2e Emissions by Sector-CAS'!F32</f>
        <v>43.720399999999998</v>
      </c>
      <c r="AE32" s="1">
        <f>'CO2e Emissions by Sector-CAS'!G32</f>
        <v>7.95181</v>
      </c>
      <c r="AF32" s="1">
        <f>'CO2e Emissions by Sector-CAS'!H32</f>
        <v>-84.805800000000005</v>
      </c>
      <c r="AG32" s="1">
        <f>'CO2e Emissions by Sector-CAS'!I32</f>
        <v>70.676699999999997</v>
      </c>
      <c r="AH32" s="1">
        <f>'CO2e Emissions by Sector-CAS'!J32</f>
        <v>33.188800000000001</v>
      </c>
      <c r="AI32" s="1"/>
      <c r="AJ32" s="1"/>
      <c r="AK32" s="1"/>
      <c r="AL32" s="1"/>
      <c r="AM32" s="1"/>
      <c r="AN32" s="1"/>
      <c r="AO32" s="1"/>
      <c r="AP32" s="1">
        <f>GDP!B32</f>
        <v>0</v>
      </c>
      <c r="AQ32" s="1">
        <f>GDP!C32</f>
        <v>3.80904</v>
      </c>
      <c r="AR32" s="1">
        <f>GDP!D32</f>
        <v>32.418500000000002</v>
      </c>
      <c r="AS32" s="1">
        <f>Jobs!B32</f>
        <v>0</v>
      </c>
      <c r="AT32" s="1">
        <f>Jobs!C32</f>
        <v>198992</v>
      </c>
      <c r="AU32" s="1">
        <f>Jobs!D32</f>
        <v>1325060</v>
      </c>
      <c r="AV32" s="1">
        <f>Debt!B32</f>
        <v>0</v>
      </c>
      <c r="AW32" s="1">
        <f>Debt!C32</f>
        <v>-4.6554000000000002</v>
      </c>
      <c r="AX32" s="1">
        <f>Debt!D32</f>
        <v>-107.9</v>
      </c>
      <c r="AY32" s="1">
        <f>'GCF-Expert'!B32</f>
        <v>6.2474299999999996</v>
      </c>
      <c r="AZ32" s="1">
        <f>'GCF-Expert'!C32</f>
        <v>-1.4320200000000001</v>
      </c>
      <c r="BA32" s="1">
        <f>'GCF-Expert'!D32</f>
        <v>0</v>
      </c>
      <c r="BB32" s="1">
        <f>'GCF-Expert'!E32</f>
        <v>0</v>
      </c>
      <c r="BC32" s="1">
        <f>'GCF-Expert'!F32</f>
        <v>0</v>
      </c>
      <c r="BD32" s="1">
        <f>'GCF-Expert'!G32</f>
        <v>0</v>
      </c>
      <c r="BE32" s="1">
        <f>'GCF-Expert'!H32</f>
        <v>0.54029099999999997</v>
      </c>
      <c r="BF32" s="1">
        <f>'GCF-Expert'!I32</f>
        <v>0.28333900000000001</v>
      </c>
      <c r="BG32" s="1">
        <f>'GCF-Expert'!J32</f>
        <v>-0.87680499999999995</v>
      </c>
      <c r="BH32" s="1">
        <f>'GCF-CAS'!B32</f>
        <v>27.081600000000002</v>
      </c>
      <c r="BI32" s="1">
        <f>'GCF-CAS'!C32</f>
        <v>-15.0609</v>
      </c>
      <c r="BJ32" s="1">
        <f>'GCF-CAS'!D32</f>
        <v>0</v>
      </c>
      <c r="BK32" s="1">
        <f>'GCF-CAS'!E32</f>
        <v>0</v>
      </c>
      <c r="BL32" s="1">
        <f>'GCF-CAS'!F32</f>
        <v>0</v>
      </c>
      <c r="BM32" s="1">
        <f>'GCF-CAS'!G32</f>
        <v>0</v>
      </c>
      <c r="BN32" s="1">
        <f>'GCF-CAS'!H32</f>
        <v>12.654400000000001</v>
      </c>
      <c r="BO32" s="1">
        <f>'GCF-CAS'!I32</f>
        <v>6.9175700000000004</v>
      </c>
      <c r="BP32" s="1">
        <f>'GCF-CAS'!J32</f>
        <v>-9.9474400000000003</v>
      </c>
    </row>
  </sheetData>
  <phoneticPr fontId="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457D-3695-A44E-8688-BF3F326FA4D4}">
  <dimension ref="A1:J32"/>
  <sheetViews>
    <sheetView workbookViewId="0">
      <selection activeCell="B1" sqref="B1:J1"/>
    </sheetView>
  </sheetViews>
  <sheetFormatPr baseColWidth="10" defaultRowHeight="16" x14ac:dyDescent="0.2"/>
  <sheetData>
    <row r="1" spans="1:10" s="24" customFormat="1" x14ac:dyDescent="0.2">
      <c r="A1" s="24" t="s">
        <v>0</v>
      </c>
      <c r="B1" s="24" t="s">
        <v>24</v>
      </c>
      <c r="C1" s="24" t="s">
        <v>25</v>
      </c>
      <c r="D1" s="24" t="s">
        <v>26</v>
      </c>
      <c r="E1" s="24" t="s">
        <v>27</v>
      </c>
      <c r="F1" s="24" t="s">
        <v>28</v>
      </c>
      <c r="G1" s="24" t="s">
        <v>29</v>
      </c>
      <c r="H1" s="24" t="s">
        <v>30</v>
      </c>
      <c r="I1" s="24" t="s">
        <v>31</v>
      </c>
      <c r="J1" s="24" t="s">
        <v>32</v>
      </c>
    </row>
    <row r="2" spans="1:10" x14ac:dyDescent="0.2">
      <c r="A2" s="1">
        <v>2020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1">
        <v>2021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1">
        <v>2022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1">
        <v>2023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1">
        <v>2024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1">
        <v>2025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1">
        <v>2026</v>
      </c>
      <c r="B8" s="1">
        <v>0.122377</v>
      </c>
      <c r="C8" s="1">
        <v>-2.2556199999999998E-3</v>
      </c>
      <c r="D8" s="1">
        <v>0</v>
      </c>
      <c r="E8" s="1">
        <v>0</v>
      </c>
      <c r="F8" s="1">
        <v>0</v>
      </c>
      <c r="G8" s="1">
        <v>0</v>
      </c>
      <c r="H8" s="1">
        <v>3.7457499999999998E-4</v>
      </c>
      <c r="I8" s="1">
        <v>0</v>
      </c>
      <c r="J8" s="1">
        <v>-1.048E-2</v>
      </c>
    </row>
    <row r="9" spans="1:10" x14ac:dyDescent="0.2">
      <c r="A9" s="1">
        <v>2027</v>
      </c>
      <c r="B9" s="1">
        <v>0.24651200000000001</v>
      </c>
      <c r="C9" s="1">
        <v>-2.1866E-2</v>
      </c>
      <c r="D9" s="1">
        <v>0</v>
      </c>
      <c r="E9" s="1">
        <v>0</v>
      </c>
      <c r="F9" s="1">
        <v>0</v>
      </c>
      <c r="G9" s="1">
        <v>0</v>
      </c>
      <c r="H9" s="1">
        <v>1.54327E-3</v>
      </c>
      <c r="I9" s="1">
        <v>7.6877300000000005E-4</v>
      </c>
      <c r="J9" s="1">
        <v>-2.2021599999999999E-2</v>
      </c>
    </row>
    <row r="10" spans="1:10" x14ac:dyDescent="0.2">
      <c r="A10" s="1">
        <v>2028</v>
      </c>
      <c r="B10" s="1">
        <v>0.37339800000000001</v>
      </c>
      <c r="C10" s="1">
        <v>-2.7076599999999999E-2</v>
      </c>
      <c r="D10" s="1">
        <v>0</v>
      </c>
      <c r="E10" s="1">
        <v>0</v>
      </c>
      <c r="F10" s="1">
        <v>0</v>
      </c>
      <c r="G10" s="1">
        <v>0</v>
      </c>
      <c r="H10" s="1">
        <v>4.3470200000000001E-3</v>
      </c>
      <c r="I10" s="1">
        <v>1.9680600000000002E-3</v>
      </c>
      <c r="J10" s="1">
        <v>-2.0882100000000001E-2</v>
      </c>
    </row>
    <row r="11" spans="1:10" x14ac:dyDescent="0.2">
      <c r="A11" s="1">
        <v>2029</v>
      </c>
      <c r="B11" s="1">
        <v>0.50423300000000004</v>
      </c>
      <c r="C11" s="1">
        <v>-5.16046E-2</v>
      </c>
      <c r="D11" s="1">
        <v>0</v>
      </c>
      <c r="E11" s="1">
        <v>0</v>
      </c>
      <c r="F11" s="1">
        <v>0</v>
      </c>
      <c r="G11" s="1">
        <v>0</v>
      </c>
      <c r="H11" s="1">
        <v>8.2246699999999999E-3</v>
      </c>
      <c r="I11" s="1">
        <v>4.3666299999999998E-3</v>
      </c>
      <c r="J11" s="1">
        <v>-3.3462499999999999E-2</v>
      </c>
    </row>
    <row r="12" spans="1:10" x14ac:dyDescent="0.2">
      <c r="A12" s="1">
        <v>2030</v>
      </c>
      <c r="B12" s="1">
        <v>0.64031099999999996</v>
      </c>
      <c r="C12" s="1">
        <v>-7.02768E-2</v>
      </c>
      <c r="D12" s="1">
        <v>0</v>
      </c>
      <c r="E12" s="1">
        <v>0</v>
      </c>
      <c r="F12" s="1">
        <v>0</v>
      </c>
      <c r="G12" s="1">
        <v>0</v>
      </c>
      <c r="H12" s="1">
        <v>1.30708E-2</v>
      </c>
      <c r="I12" s="1">
        <v>7.3187199999999999E-3</v>
      </c>
      <c r="J12" s="1">
        <v>-4.4630499999999997E-2</v>
      </c>
    </row>
    <row r="13" spans="1:10" x14ac:dyDescent="0.2">
      <c r="A13" s="1">
        <v>2031</v>
      </c>
      <c r="B13" s="1">
        <v>0.74924500000000005</v>
      </c>
      <c r="C13" s="1">
        <v>-8.9826199999999995E-2</v>
      </c>
      <c r="D13" s="1">
        <v>0</v>
      </c>
      <c r="E13" s="1">
        <v>0</v>
      </c>
      <c r="F13" s="1">
        <v>0</v>
      </c>
      <c r="G13" s="1">
        <v>0</v>
      </c>
      <c r="H13" s="1">
        <v>1.8113500000000001E-2</v>
      </c>
      <c r="I13" s="1">
        <v>1.1101099999999999E-2</v>
      </c>
      <c r="J13" s="1">
        <v>-6.2313599999999997E-2</v>
      </c>
    </row>
    <row r="14" spans="1:10" x14ac:dyDescent="0.2">
      <c r="A14" s="1">
        <v>2032</v>
      </c>
      <c r="B14" s="1">
        <v>0.86226100000000006</v>
      </c>
      <c r="C14" s="1">
        <v>-0.106012</v>
      </c>
      <c r="D14" s="1">
        <v>0</v>
      </c>
      <c r="E14" s="1">
        <v>0</v>
      </c>
      <c r="F14" s="1">
        <v>0</v>
      </c>
      <c r="G14" s="1">
        <v>0</v>
      </c>
      <c r="H14" s="1">
        <v>2.5898600000000001E-2</v>
      </c>
      <c r="I14" s="1">
        <v>1.5313999999999999E-2</v>
      </c>
      <c r="J14" s="1">
        <v>-8.1924899999999995E-2</v>
      </c>
    </row>
    <row r="15" spans="1:10" x14ac:dyDescent="0.2">
      <c r="A15" s="1">
        <v>2033</v>
      </c>
      <c r="B15" s="1">
        <v>0.97698099999999999</v>
      </c>
      <c r="C15" s="1">
        <v>-0.138957</v>
      </c>
      <c r="D15" s="1">
        <v>0</v>
      </c>
      <c r="E15" s="1">
        <v>0</v>
      </c>
      <c r="F15" s="1">
        <v>0</v>
      </c>
      <c r="G15" s="1">
        <v>0</v>
      </c>
      <c r="H15" s="1">
        <v>3.5208299999999998E-2</v>
      </c>
      <c r="I15" s="1">
        <v>2.02033E-2</v>
      </c>
      <c r="J15" s="1">
        <v>-0.102758</v>
      </c>
    </row>
    <row r="16" spans="1:10" x14ac:dyDescent="0.2">
      <c r="A16" s="1">
        <v>2034</v>
      </c>
      <c r="B16" s="1">
        <v>1.09276</v>
      </c>
      <c r="C16" s="1">
        <v>-0.16733200000000001</v>
      </c>
      <c r="D16" s="1">
        <v>0</v>
      </c>
      <c r="E16" s="1">
        <v>0</v>
      </c>
      <c r="F16" s="1">
        <v>0</v>
      </c>
      <c r="G16" s="1">
        <v>0</v>
      </c>
      <c r="H16" s="1">
        <v>4.4830200000000001E-2</v>
      </c>
      <c r="I16" s="1">
        <v>2.5492500000000001E-2</v>
      </c>
      <c r="J16" s="1">
        <v>-0.122889</v>
      </c>
    </row>
    <row r="17" spans="1:10" x14ac:dyDescent="0.2">
      <c r="A17" s="1">
        <v>2035</v>
      </c>
      <c r="B17" s="1">
        <v>1.2119500000000001</v>
      </c>
      <c r="C17" s="1">
        <v>-0.19853100000000001</v>
      </c>
      <c r="D17" s="1">
        <v>0</v>
      </c>
      <c r="E17" s="1">
        <v>0</v>
      </c>
      <c r="F17" s="1">
        <v>0</v>
      </c>
      <c r="G17" s="1">
        <v>0</v>
      </c>
      <c r="H17" s="1">
        <v>5.6573600000000002E-2</v>
      </c>
      <c r="I17" s="1">
        <v>3.1335200000000001E-2</v>
      </c>
      <c r="J17" s="1">
        <v>-0.15365500000000001</v>
      </c>
    </row>
    <row r="18" spans="1:10" x14ac:dyDescent="0.2">
      <c r="A18" s="1">
        <v>2036</v>
      </c>
      <c r="B18" s="1">
        <v>1.3988799999999999</v>
      </c>
      <c r="C18" s="1">
        <v>-0.22720399999999999</v>
      </c>
      <c r="D18" s="1">
        <v>0</v>
      </c>
      <c r="E18" s="1">
        <v>0</v>
      </c>
      <c r="F18" s="1">
        <v>0</v>
      </c>
      <c r="G18" s="1">
        <v>0</v>
      </c>
      <c r="H18" s="1">
        <v>7.0664299999999999E-2</v>
      </c>
      <c r="I18" s="1">
        <v>3.7577600000000003E-2</v>
      </c>
      <c r="J18" s="1">
        <v>-0.186163</v>
      </c>
    </row>
    <row r="19" spans="1:10" x14ac:dyDescent="0.2">
      <c r="A19" s="1">
        <v>2037</v>
      </c>
      <c r="B19" s="1">
        <v>1.5893999999999999</v>
      </c>
      <c r="C19" s="1">
        <v>-0.27679799999999999</v>
      </c>
      <c r="D19" s="1">
        <v>0</v>
      </c>
      <c r="E19" s="1">
        <v>0</v>
      </c>
      <c r="F19" s="1">
        <v>0</v>
      </c>
      <c r="G19" s="1">
        <v>0</v>
      </c>
      <c r="H19" s="1">
        <v>8.7987499999999996E-2</v>
      </c>
      <c r="I19" s="1">
        <v>4.4988599999999997E-2</v>
      </c>
      <c r="J19" s="1">
        <v>-0.217859</v>
      </c>
    </row>
    <row r="20" spans="1:10" x14ac:dyDescent="0.2">
      <c r="A20" s="1">
        <v>2038</v>
      </c>
      <c r="B20" s="1">
        <v>1.7823599999999999</v>
      </c>
      <c r="C20" s="1">
        <v>-0.32717000000000002</v>
      </c>
      <c r="D20" s="1">
        <v>0</v>
      </c>
      <c r="E20" s="1">
        <v>0</v>
      </c>
      <c r="F20" s="1">
        <v>0</v>
      </c>
      <c r="G20" s="1">
        <v>0</v>
      </c>
      <c r="H20" s="1">
        <v>0.108043</v>
      </c>
      <c r="I20" s="1">
        <v>5.3383600000000003E-2</v>
      </c>
      <c r="J20" s="1">
        <v>-0.25210900000000003</v>
      </c>
    </row>
    <row r="21" spans="1:10" x14ac:dyDescent="0.2">
      <c r="A21" s="1">
        <v>2039</v>
      </c>
      <c r="B21" s="1">
        <v>1.97858</v>
      </c>
      <c r="C21" s="1">
        <v>-0.38231300000000001</v>
      </c>
      <c r="D21" s="1">
        <v>0</v>
      </c>
      <c r="E21" s="1">
        <v>0</v>
      </c>
      <c r="F21" s="1">
        <v>0</v>
      </c>
      <c r="G21" s="1">
        <v>0</v>
      </c>
      <c r="H21" s="1">
        <v>0.129886</v>
      </c>
      <c r="I21" s="1">
        <v>6.28856E-2</v>
      </c>
      <c r="J21" s="1">
        <v>-0.28788399999999997</v>
      </c>
    </row>
    <row r="22" spans="1:10" x14ac:dyDescent="0.2">
      <c r="A22" s="1">
        <v>2040</v>
      </c>
      <c r="B22" s="1">
        <v>2.1836099999999998</v>
      </c>
      <c r="C22" s="1">
        <v>-0.44171300000000002</v>
      </c>
      <c r="D22" s="1">
        <v>0</v>
      </c>
      <c r="E22" s="1">
        <v>0</v>
      </c>
      <c r="F22" s="1">
        <v>0</v>
      </c>
      <c r="G22" s="1">
        <v>0</v>
      </c>
      <c r="H22" s="1">
        <v>0.153783</v>
      </c>
      <c r="I22" s="1">
        <v>7.3494699999999996E-2</v>
      </c>
      <c r="J22" s="1">
        <v>-0.33197900000000002</v>
      </c>
    </row>
    <row r="23" spans="1:10" x14ac:dyDescent="0.2">
      <c r="A23" s="1">
        <v>2041</v>
      </c>
      <c r="B23" s="1">
        <v>2.5033300000000001</v>
      </c>
      <c r="C23" s="1">
        <v>-0.51159399999999999</v>
      </c>
      <c r="D23" s="1">
        <v>0</v>
      </c>
      <c r="E23" s="1">
        <v>0</v>
      </c>
      <c r="F23" s="1">
        <v>0</v>
      </c>
      <c r="G23" s="1">
        <v>0</v>
      </c>
      <c r="H23" s="1">
        <v>0.18135699999999999</v>
      </c>
      <c r="I23" s="1">
        <v>8.5149299999999997E-2</v>
      </c>
      <c r="J23" s="1">
        <v>-0.37931900000000002</v>
      </c>
    </row>
    <row r="24" spans="1:10" x14ac:dyDescent="0.2">
      <c r="A24" s="1">
        <v>2042</v>
      </c>
      <c r="B24" s="1">
        <v>2.83053</v>
      </c>
      <c r="C24" s="1">
        <v>-0.58703000000000005</v>
      </c>
      <c r="D24" s="1">
        <v>0</v>
      </c>
      <c r="E24" s="1">
        <v>0</v>
      </c>
      <c r="F24" s="1">
        <v>0</v>
      </c>
      <c r="G24" s="1">
        <v>0</v>
      </c>
      <c r="H24" s="1">
        <v>0.21088299999999999</v>
      </c>
      <c r="I24" s="1">
        <v>9.8741200000000001E-2</v>
      </c>
      <c r="J24" s="1">
        <v>-0.42029300000000003</v>
      </c>
    </row>
    <row r="25" spans="1:10" x14ac:dyDescent="0.2">
      <c r="A25" s="1">
        <v>2043</v>
      </c>
      <c r="B25" s="1">
        <v>3.1600299999999999</v>
      </c>
      <c r="C25" s="1">
        <v>-0.67893000000000003</v>
      </c>
      <c r="D25" s="1">
        <v>0</v>
      </c>
      <c r="E25" s="1">
        <v>0</v>
      </c>
      <c r="F25" s="1">
        <v>0</v>
      </c>
      <c r="G25" s="1">
        <v>0</v>
      </c>
      <c r="H25" s="1">
        <v>0.24107400000000001</v>
      </c>
      <c r="I25" s="1">
        <v>0.11451600000000001</v>
      </c>
      <c r="J25" s="1">
        <v>-0.47649200000000003</v>
      </c>
    </row>
    <row r="26" spans="1:10" x14ac:dyDescent="0.2">
      <c r="A26" s="1">
        <v>2044</v>
      </c>
      <c r="B26" s="1">
        <v>3.5061399999999998</v>
      </c>
      <c r="C26" s="1">
        <v>-0.77393100000000004</v>
      </c>
      <c r="D26" s="1">
        <v>0</v>
      </c>
      <c r="E26" s="1">
        <v>0</v>
      </c>
      <c r="F26" s="1">
        <v>0</v>
      </c>
      <c r="G26" s="1">
        <v>0</v>
      </c>
      <c r="H26" s="1">
        <v>0.27285100000000001</v>
      </c>
      <c r="I26" s="1">
        <v>0.131829</v>
      </c>
      <c r="J26" s="1">
        <v>-0.52699799999999997</v>
      </c>
    </row>
    <row r="27" spans="1:10" x14ac:dyDescent="0.2">
      <c r="A27" s="1">
        <v>2045</v>
      </c>
      <c r="B27" s="1">
        <v>3.8570000000000002</v>
      </c>
      <c r="C27" s="1">
        <v>-0.86656299999999997</v>
      </c>
      <c r="D27" s="1">
        <v>0</v>
      </c>
      <c r="E27" s="1">
        <v>0</v>
      </c>
      <c r="F27" s="1">
        <v>0</v>
      </c>
      <c r="G27" s="1">
        <v>0</v>
      </c>
      <c r="H27" s="1">
        <v>0.307861</v>
      </c>
      <c r="I27" s="1">
        <v>0.15095600000000001</v>
      </c>
      <c r="J27" s="1">
        <v>-0.58144700000000005</v>
      </c>
    </row>
    <row r="28" spans="1:10" x14ac:dyDescent="0.2">
      <c r="A28" s="1">
        <v>2046</v>
      </c>
      <c r="B28" s="1">
        <v>4.0459399999999999</v>
      </c>
      <c r="C28" s="1">
        <v>-0.96443000000000001</v>
      </c>
      <c r="D28" s="1">
        <v>0</v>
      </c>
      <c r="E28" s="1">
        <v>0</v>
      </c>
      <c r="F28" s="1">
        <v>0</v>
      </c>
      <c r="G28" s="1">
        <v>0</v>
      </c>
      <c r="H28" s="1">
        <v>0.34711599999999998</v>
      </c>
      <c r="I28" s="1">
        <v>0.17214399999999999</v>
      </c>
      <c r="J28" s="1">
        <v>-0.628583</v>
      </c>
    </row>
    <row r="29" spans="1:10" x14ac:dyDescent="0.2">
      <c r="A29" s="1">
        <v>2047</v>
      </c>
      <c r="B29" s="1">
        <v>4.5684699999999996</v>
      </c>
      <c r="C29" s="1">
        <v>-1.0740000000000001</v>
      </c>
      <c r="D29" s="1">
        <v>0</v>
      </c>
      <c r="E29" s="1">
        <v>0</v>
      </c>
      <c r="F29" s="1">
        <v>0</v>
      </c>
      <c r="G29" s="1">
        <v>0</v>
      </c>
      <c r="H29" s="1">
        <v>0.39068199999999997</v>
      </c>
      <c r="I29" s="1">
        <v>0.19434599999999999</v>
      </c>
      <c r="J29" s="1">
        <v>-0.699214</v>
      </c>
    </row>
    <row r="30" spans="1:10" x14ac:dyDescent="0.2">
      <c r="A30" s="1">
        <v>2048</v>
      </c>
      <c r="B30" s="1">
        <v>5.1083499999999997</v>
      </c>
      <c r="C30" s="1">
        <v>-1.1823699999999999</v>
      </c>
      <c r="D30" s="1">
        <v>0</v>
      </c>
      <c r="E30" s="1">
        <v>0</v>
      </c>
      <c r="F30" s="1">
        <v>0</v>
      </c>
      <c r="G30" s="1">
        <v>0</v>
      </c>
      <c r="H30" s="1">
        <v>0.43729099999999999</v>
      </c>
      <c r="I30" s="1">
        <v>0.21992999999999999</v>
      </c>
      <c r="J30" s="1">
        <v>-0.75478599999999996</v>
      </c>
    </row>
    <row r="31" spans="1:10" x14ac:dyDescent="0.2">
      <c r="A31" s="1">
        <v>2049</v>
      </c>
      <c r="B31" s="1">
        <v>5.6676000000000002</v>
      </c>
      <c r="C31" s="1">
        <v>-1.2994600000000001</v>
      </c>
      <c r="D31" s="1">
        <v>0</v>
      </c>
      <c r="E31" s="1">
        <v>0</v>
      </c>
      <c r="F31" s="1">
        <v>0</v>
      </c>
      <c r="G31" s="1">
        <v>0</v>
      </c>
      <c r="H31" s="1">
        <v>0.485981</v>
      </c>
      <c r="I31" s="1">
        <v>0.24960499999999999</v>
      </c>
      <c r="J31" s="1">
        <v>-0.81718299999999999</v>
      </c>
    </row>
    <row r="32" spans="1:10" x14ac:dyDescent="0.2">
      <c r="A32" s="1">
        <v>2050</v>
      </c>
      <c r="B32" s="1">
        <v>6.2474299999999996</v>
      </c>
      <c r="C32" s="1">
        <v>-1.4320200000000001</v>
      </c>
      <c r="D32" s="1">
        <v>0</v>
      </c>
      <c r="E32" s="1">
        <v>0</v>
      </c>
      <c r="F32" s="1">
        <v>0</v>
      </c>
      <c r="G32" s="1">
        <v>0</v>
      </c>
      <c r="H32" s="1">
        <v>0.54029099999999997</v>
      </c>
      <c r="I32" s="1">
        <v>0.28333900000000001</v>
      </c>
      <c r="J32" s="1">
        <v>-0.87680499999999995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B5A2-5A2F-4946-B4D0-ED9054C763C9}">
  <dimension ref="A1:J32"/>
  <sheetViews>
    <sheetView workbookViewId="0">
      <selection sqref="A1:J32"/>
    </sheetView>
  </sheetViews>
  <sheetFormatPr baseColWidth="10" defaultRowHeight="16" x14ac:dyDescent="0.2"/>
  <sheetData>
    <row r="1" spans="1:10" x14ac:dyDescent="0.2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 x14ac:dyDescent="0.2">
      <c r="A2" s="1">
        <v>2020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1">
        <v>2021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1">
        <v>2022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1">
        <v>2023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1">
        <v>2024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1">
        <v>2025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1">
        <v>2026</v>
      </c>
      <c r="B8" s="1">
        <v>1.3837200000000001</v>
      </c>
      <c r="C8" s="1">
        <v>-0.212177</v>
      </c>
      <c r="D8" s="1">
        <v>0</v>
      </c>
      <c r="E8" s="1">
        <v>0</v>
      </c>
      <c r="F8" s="1">
        <v>0</v>
      </c>
      <c r="G8" s="1">
        <v>0</v>
      </c>
      <c r="H8" s="1">
        <v>0.21424699999999999</v>
      </c>
      <c r="I8" s="1">
        <v>0</v>
      </c>
      <c r="J8" s="1">
        <v>-3.3090899999999999E-2</v>
      </c>
    </row>
    <row r="9" spans="1:10" x14ac:dyDescent="0.2">
      <c r="A9" s="1">
        <v>2027</v>
      </c>
      <c r="B9" s="1">
        <v>2.7220900000000001</v>
      </c>
      <c r="C9" s="1">
        <v>-0.54646799999999995</v>
      </c>
      <c r="D9" s="1">
        <v>0</v>
      </c>
      <c r="E9" s="1">
        <v>0</v>
      </c>
      <c r="F9" s="1">
        <v>0</v>
      </c>
      <c r="G9" s="1">
        <v>0</v>
      </c>
      <c r="H9" s="1">
        <v>0.45635799999999999</v>
      </c>
      <c r="I9" s="1">
        <v>2.10644E-2</v>
      </c>
      <c r="J9" s="1">
        <v>-8.3751400000000004E-2</v>
      </c>
    </row>
    <row r="10" spans="1:10" x14ac:dyDescent="0.2">
      <c r="A10" s="1">
        <v>2028</v>
      </c>
      <c r="B10" s="1">
        <v>3.8041900000000002</v>
      </c>
      <c r="C10" s="1">
        <v>-0.98338400000000004</v>
      </c>
      <c r="D10" s="1">
        <v>0</v>
      </c>
      <c r="E10" s="1">
        <v>0</v>
      </c>
      <c r="F10" s="1">
        <v>0</v>
      </c>
      <c r="G10" s="1">
        <v>0</v>
      </c>
      <c r="H10" s="1">
        <v>0.76821799999999996</v>
      </c>
      <c r="I10" s="1">
        <v>6.15326E-2</v>
      </c>
      <c r="J10" s="1">
        <v>-0.102529</v>
      </c>
    </row>
    <row r="11" spans="1:10" x14ac:dyDescent="0.2">
      <c r="A11" s="1">
        <v>2029</v>
      </c>
      <c r="B11" s="1">
        <v>4.9687799999999998</v>
      </c>
      <c r="C11" s="1">
        <v>-1.4822900000000001</v>
      </c>
      <c r="D11" s="1">
        <v>0</v>
      </c>
      <c r="E11" s="1">
        <v>0</v>
      </c>
      <c r="F11" s="1">
        <v>0</v>
      </c>
      <c r="G11" s="1">
        <v>0</v>
      </c>
      <c r="H11" s="1">
        <v>1.11408</v>
      </c>
      <c r="I11" s="1">
        <v>0.122389</v>
      </c>
      <c r="J11" s="1">
        <v>-0.17929200000000001</v>
      </c>
    </row>
    <row r="12" spans="1:10" x14ac:dyDescent="0.2">
      <c r="A12" s="1">
        <v>2030</v>
      </c>
      <c r="B12" s="1">
        <v>6.12988</v>
      </c>
      <c r="C12" s="1">
        <v>-2.0027400000000002</v>
      </c>
      <c r="D12" s="1">
        <v>0</v>
      </c>
      <c r="E12" s="1">
        <v>0</v>
      </c>
      <c r="F12" s="1">
        <v>0</v>
      </c>
      <c r="G12" s="1">
        <v>0</v>
      </c>
      <c r="H12" s="1">
        <v>1.44475</v>
      </c>
      <c r="I12" s="1">
        <v>0.20394000000000001</v>
      </c>
      <c r="J12" s="1">
        <v>-0.26658799999999999</v>
      </c>
    </row>
    <row r="13" spans="1:10" x14ac:dyDescent="0.2">
      <c r="A13" s="1">
        <v>2031</v>
      </c>
      <c r="B13" s="1">
        <v>7.0329800000000002</v>
      </c>
      <c r="C13" s="1">
        <v>-2.40367</v>
      </c>
      <c r="D13" s="1">
        <v>0</v>
      </c>
      <c r="E13" s="1">
        <v>0</v>
      </c>
      <c r="F13" s="1">
        <v>0</v>
      </c>
      <c r="G13" s="1">
        <v>0</v>
      </c>
      <c r="H13" s="1">
        <v>1.8325400000000001</v>
      </c>
      <c r="I13" s="1">
        <v>0.304342</v>
      </c>
      <c r="J13" s="1">
        <v>-0.39586300000000002</v>
      </c>
    </row>
    <row r="14" spans="1:10" x14ac:dyDescent="0.2">
      <c r="A14" s="1">
        <v>2032</v>
      </c>
      <c r="B14" s="1">
        <v>7.9631600000000002</v>
      </c>
      <c r="C14" s="1">
        <v>-2.74207</v>
      </c>
      <c r="D14" s="1">
        <v>0</v>
      </c>
      <c r="E14" s="1">
        <v>0</v>
      </c>
      <c r="F14" s="1">
        <v>0</v>
      </c>
      <c r="G14" s="1">
        <v>0</v>
      </c>
      <c r="H14" s="1">
        <v>2.2919800000000001</v>
      </c>
      <c r="I14" s="1">
        <v>0.42709900000000001</v>
      </c>
      <c r="J14" s="1">
        <v>-0.49645400000000001</v>
      </c>
    </row>
    <row r="15" spans="1:10" x14ac:dyDescent="0.2">
      <c r="A15" s="1">
        <v>2033</v>
      </c>
      <c r="B15" s="1">
        <v>8.6286100000000001</v>
      </c>
      <c r="C15" s="1">
        <v>-3.08195</v>
      </c>
      <c r="D15" s="1">
        <v>0</v>
      </c>
      <c r="E15" s="1">
        <v>0</v>
      </c>
      <c r="F15" s="1">
        <v>0</v>
      </c>
      <c r="G15" s="1">
        <v>0</v>
      </c>
      <c r="H15" s="1">
        <v>2.72878</v>
      </c>
      <c r="I15" s="1">
        <v>0.57950100000000004</v>
      </c>
      <c r="J15" s="1">
        <v>-0.593665</v>
      </c>
    </row>
    <row r="16" spans="1:10" x14ac:dyDescent="0.2">
      <c r="A16" s="1">
        <v>2034</v>
      </c>
      <c r="B16" s="1">
        <v>9.5081500000000005</v>
      </c>
      <c r="C16" s="1">
        <v>-3.4653100000000001</v>
      </c>
      <c r="D16" s="1">
        <v>0</v>
      </c>
      <c r="E16" s="1">
        <v>0</v>
      </c>
      <c r="F16" s="1">
        <v>0</v>
      </c>
      <c r="G16" s="1">
        <v>0</v>
      </c>
      <c r="H16" s="1">
        <v>3.1730399999999999</v>
      </c>
      <c r="I16" s="1">
        <v>0.75776399999999999</v>
      </c>
      <c r="J16" s="1">
        <v>-0.82182500000000003</v>
      </c>
    </row>
    <row r="17" spans="1:10" x14ac:dyDescent="0.2">
      <c r="A17" s="1">
        <v>2035</v>
      </c>
      <c r="B17" s="1">
        <v>10.359400000000001</v>
      </c>
      <c r="C17" s="1">
        <v>-3.8361299999999998</v>
      </c>
      <c r="D17" s="1">
        <v>0</v>
      </c>
      <c r="E17" s="1">
        <v>0</v>
      </c>
      <c r="F17" s="1">
        <v>0</v>
      </c>
      <c r="G17" s="1">
        <v>0</v>
      </c>
      <c r="H17" s="1">
        <v>3.6741899999999998</v>
      </c>
      <c r="I17" s="1">
        <v>0.96019699999999997</v>
      </c>
      <c r="J17" s="1">
        <v>-1.0461100000000001</v>
      </c>
    </row>
    <row r="18" spans="1:10" x14ac:dyDescent="0.2">
      <c r="A18" s="1">
        <v>2036</v>
      </c>
      <c r="B18" s="1">
        <v>11.683999999999999</v>
      </c>
      <c r="C18" s="1">
        <v>-4.2785700000000002</v>
      </c>
      <c r="D18" s="1">
        <v>0</v>
      </c>
      <c r="E18" s="1">
        <v>0</v>
      </c>
      <c r="F18" s="1">
        <v>0</v>
      </c>
      <c r="G18" s="1">
        <v>0</v>
      </c>
      <c r="H18" s="1">
        <v>4.2089600000000003</v>
      </c>
      <c r="I18" s="1">
        <v>1.19089</v>
      </c>
      <c r="J18" s="1">
        <v>-1.3212200000000001</v>
      </c>
    </row>
    <row r="19" spans="1:10" x14ac:dyDescent="0.2">
      <c r="A19" s="1">
        <v>2037</v>
      </c>
      <c r="B19" s="1">
        <v>12.920999999999999</v>
      </c>
      <c r="C19" s="1">
        <v>-4.7645099999999996</v>
      </c>
      <c r="D19" s="1">
        <v>0</v>
      </c>
      <c r="E19" s="1">
        <v>0</v>
      </c>
      <c r="F19" s="1">
        <v>0</v>
      </c>
      <c r="G19" s="1">
        <v>0</v>
      </c>
      <c r="H19" s="1">
        <v>4.6463200000000002</v>
      </c>
      <c r="I19" s="1">
        <v>1.4534100000000001</v>
      </c>
      <c r="J19" s="1">
        <v>-1.56504</v>
      </c>
    </row>
    <row r="20" spans="1:10" x14ac:dyDescent="0.2">
      <c r="A20" s="1">
        <v>2038</v>
      </c>
      <c r="B20" s="1">
        <v>13.999000000000001</v>
      </c>
      <c r="C20" s="1">
        <v>-5.3103499999999997</v>
      </c>
      <c r="D20" s="1">
        <v>0</v>
      </c>
      <c r="E20" s="1">
        <v>0</v>
      </c>
      <c r="F20" s="1">
        <v>0</v>
      </c>
      <c r="G20" s="1">
        <v>0</v>
      </c>
      <c r="H20" s="1">
        <v>5.2051999999999996</v>
      </c>
      <c r="I20" s="1">
        <v>1.7400100000000001</v>
      </c>
      <c r="J20" s="1">
        <v>-1.90032</v>
      </c>
    </row>
    <row r="21" spans="1:10" x14ac:dyDescent="0.2">
      <c r="A21" s="1">
        <v>2039</v>
      </c>
      <c r="B21" s="1">
        <v>15.046099999999999</v>
      </c>
      <c r="C21" s="1">
        <v>-5.8719700000000001</v>
      </c>
      <c r="D21" s="1">
        <v>0</v>
      </c>
      <c r="E21" s="1">
        <v>0</v>
      </c>
      <c r="F21" s="1">
        <v>0</v>
      </c>
      <c r="G21" s="1">
        <v>0</v>
      </c>
      <c r="H21" s="1">
        <v>5.7489999999999997</v>
      </c>
      <c r="I21" s="1">
        <v>2.0542199999999999</v>
      </c>
      <c r="J21" s="1">
        <v>-2.2852600000000001</v>
      </c>
    </row>
    <row r="22" spans="1:10" x14ac:dyDescent="0.2">
      <c r="A22" s="1">
        <v>2040</v>
      </c>
      <c r="B22" s="1">
        <v>15.988</v>
      </c>
      <c r="C22" s="1">
        <v>-6.5057600000000004</v>
      </c>
      <c r="D22" s="1">
        <v>0</v>
      </c>
      <c r="E22" s="1">
        <v>0</v>
      </c>
      <c r="F22" s="1">
        <v>0</v>
      </c>
      <c r="G22" s="1">
        <v>0</v>
      </c>
      <c r="H22" s="1">
        <v>6.2970100000000002</v>
      </c>
      <c r="I22" s="1">
        <v>2.3932500000000001</v>
      </c>
      <c r="J22" s="1">
        <v>-2.69157</v>
      </c>
    </row>
    <row r="23" spans="1:10" x14ac:dyDescent="0.2">
      <c r="A23" s="1">
        <v>2041</v>
      </c>
      <c r="B23" s="1">
        <v>17.4773</v>
      </c>
      <c r="C23" s="1">
        <v>-7.2268499999999998</v>
      </c>
      <c r="D23" s="1">
        <v>0</v>
      </c>
      <c r="E23" s="1">
        <v>0</v>
      </c>
      <c r="F23" s="1">
        <v>0</v>
      </c>
      <c r="G23" s="1">
        <v>0</v>
      </c>
      <c r="H23" s="1">
        <v>6.883</v>
      </c>
      <c r="I23" s="1">
        <v>2.7543000000000002</v>
      </c>
      <c r="J23" s="1">
        <v>-3.18093</v>
      </c>
    </row>
    <row r="24" spans="1:10" x14ac:dyDescent="0.2">
      <c r="A24" s="1">
        <v>2042</v>
      </c>
      <c r="B24" s="1">
        <v>18.794599999999999</v>
      </c>
      <c r="C24" s="1">
        <v>-7.97919</v>
      </c>
      <c r="D24" s="1">
        <v>0</v>
      </c>
      <c r="E24" s="1">
        <v>0</v>
      </c>
      <c r="F24" s="1">
        <v>0</v>
      </c>
      <c r="G24" s="1">
        <v>0</v>
      </c>
      <c r="H24" s="1">
        <v>7.48142</v>
      </c>
      <c r="I24" s="1">
        <v>3.1408100000000001</v>
      </c>
      <c r="J24" s="1">
        <v>-3.6996099999999998</v>
      </c>
    </row>
    <row r="25" spans="1:10" x14ac:dyDescent="0.2">
      <c r="A25" s="1">
        <v>2043</v>
      </c>
      <c r="B25" s="1">
        <v>19.905799999999999</v>
      </c>
      <c r="C25" s="1">
        <v>-8.7814800000000002</v>
      </c>
      <c r="D25" s="1">
        <v>0</v>
      </c>
      <c r="E25" s="1">
        <v>0</v>
      </c>
      <c r="F25" s="1">
        <v>0</v>
      </c>
      <c r="G25" s="1">
        <v>0</v>
      </c>
      <c r="H25" s="1">
        <v>8.1038099999999993</v>
      </c>
      <c r="I25" s="1">
        <v>3.5507499999999999</v>
      </c>
      <c r="J25" s="1">
        <v>-4.2531800000000004</v>
      </c>
    </row>
    <row r="26" spans="1:10" x14ac:dyDescent="0.2">
      <c r="A26" s="1">
        <v>2044</v>
      </c>
      <c r="B26" s="1">
        <v>20.774699999999999</v>
      </c>
      <c r="C26" s="1">
        <v>-9.6333199999999994</v>
      </c>
      <c r="D26" s="1">
        <v>0</v>
      </c>
      <c r="E26" s="1">
        <v>0</v>
      </c>
      <c r="F26" s="1">
        <v>0</v>
      </c>
      <c r="G26" s="1">
        <v>0</v>
      </c>
      <c r="H26" s="1">
        <v>8.7409999999999997</v>
      </c>
      <c r="I26" s="1">
        <v>3.98203</v>
      </c>
      <c r="J26" s="1">
        <v>-4.8601000000000001</v>
      </c>
    </row>
    <row r="27" spans="1:10" x14ac:dyDescent="0.2">
      <c r="A27" s="1">
        <v>2045</v>
      </c>
      <c r="B27" s="1">
        <v>21.498999999999999</v>
      </c>
      <c r="C27" s="1">
        <v>-10.4893</v>
      </c>
      <c r="D27" s="1">
        <v>0</v>
      </c>
      <c r="E27" s="1">
        <v>0</v>
      </c>
      <c r="F27" s="1">
        <v>0</v>
      </c>
      <c r="G27" s="1">
        <v>0</v>
      </c>
      <c r="H27" s="1">
        <v>9.3636099999999995</v>
      </c>
      <c r="I27" s="1">
        <v>4.4312399999999998</v>
      </c>
      <c r="J27" s="1">
        <v>-5.4563300000000003</v>
      </c>
    </row>
    <row r="28" spans="1:10" x14ac:dyDescent="0.2">
      <c r="A28" s="1">
        <v>2046</v>
      </c>
      <c r="B28" s="1">
        <v>22.899000000000001</v>
      </c>
      <c r="C28" s="1">
        <v>-11.3802</v>
      </c>
      <c r="D28" s="1">
        <v>0</v>
      </c>
      <c r="E28" s="1">
        <v>0</v>
      </c>
      <c r="F28" s="1">
        <v>0</v>
      </c>
      <c r="G28" s="1">
        <v>0</v>
      </c>
      <c r="H28" s="1">
        <v>9.97485</v>
      </c>
      <c r="I28" s="1">
        <v>4.8962500000000002</v>
      </c>
      <c r="J28" s="1">
        <v>-6.2058200000000001</v>
      </c>
    </row>
    <row r="29" spans="1:10" x14ac:dyDescent="0.2">
      <c r="A29" s="1">
        <v>2047</v>
      </c>
      <c r="B29" s="1">
        <v>24.147400000000001</v>
      </c>
      <c r="C29" s="1">
        <v>-12.292400000000001</v>
      </c>
      <c r="D29" s="1">
        <v>0</v>
      </c>
      <c r="E29" s="1">
        <v>0</v>
      </c>
      <c r="F29" s="1">
        <v>0</v>
      </c>
      <c r="G29" s="1">
        <v>0</v>
      </c>
      <c r="H29" s="1">
        <v>10.635</v>
      </c>
      <c r="I29" s="1">
        <v>5.3778100000000002</v>
      </c>
      <c r="J29" s="1">
        <v>-6.94313</v>
      </c>
    </row>
    <row r="30" spans="1:10" x14ac:dyDescent="0.2">
      <c r="A30" s="1">
        <v>2048</v>
      </c>
      <c r="B30" s="1">
        <v>25.3064</v>
      </c>
      <c r="C30" s="1">
        <v>-13.154</v>
      </c>
      <c r="D30" s="1">
        <v>0</v>
      </c>
      <c r="E30" s="1">
        <v>0</v>
      </c>
      <c r="F30" s="1">
        <v>0</v>
      </c>
      <c r="G30" s="1">
        <v>0</v>
      </c>
      <c r="H30" s="1">
        <v>11.2994</v>
      </c>
      <c r="I30" s="1">
        <v>5.8777600000000003</v>
      </c>
      <c r="J30" s="1">
        <v>-7.8437999999999999</v>
      </c>
    </row>
    <row r="31" spans="1:10" x14ac:dyDescent="0.2">
      <c r="A31" s="1">
        <v>2049</v>
      </c>
      <c r="B31" s="1">
        <v>26.3232</v>
      </c>
      <c r="C31" s="1">
        <v>-14.0624</v>
      </c>
      <c r="D31" s="1">
        <v>0</v>
      </c>
      <c r="E31" s="1">
        <v>0</v>
      </c>
      <c r="F31" s="1">
        <v>0</v>
      </c>
      <c r="G31" s="1">
        <v>0</v>
      </c>
      <c r="H31" s="1">
        <v>11.9564</v>
      </c>
      <c r="I31" s="1">
        <v>6.3930199999999999</v>
      </c>
      <c r="J31" s="1">
        <v>-8.8836999999999993</v>
      </c>
    </row>
    <row r="32" spans="1:10" x14ac:dyDescent="0.2">
      <c r="A32" s="1">
        <v>2050</v>
      </c>
      <c r="B32" s="1">
        <v>27.081600000000002</v>
      </c>
      <c r="C32" s="1">
        <v>-15.0609</v>
      </c>
      <c r="D32" s="1">
        <v>0</v>
      </c>
      <c r="E32" s="1">
        <v>0</v>
      </c>
      <c r="F32" s="1">
        <v>0</v>
      </c>
      <c r="G32" s="1">
        <v>0</v>
      </c>
      <c r="H32" s="1">
        <v>12.654400000000001</v>
      </c>
      <c r="I32" s="1">
        <v>6.9175700000000004</v>
      </c>
      <c r="J32" s="1">
        <v>-9.9474400000000003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A260-7E7D-5945-B663-E9AE61102ED0}">
  <dimension ref="A1:F32"/>
  <sheetViews>
    <sheetView workbookViewId="0">
      <selection activeCell="B12" sqref="B12"/>
    </sheetView>
  </sheetViews>
  <sheetFormatPr baseColWidth="10" defaultRowHeight="16" x14ac:dyDescent="0.2"/>
  <cols>
    <col min="4" max="4" width="14.1640625" bestFit="1" customWidth="1"/>
  </cols>
  <sheetData>
    <row r="1" spans="1:6" x14ac:dyDescent="0.2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6" x14ac:dyDescent="0.2">
      <c r="A2" s="1">
        <v>2020</v>
      </c>
      <c r="B2" s="1">
        <v>0</v>
      </c>
      <c r="C2" s="1">
        <v>0</v>
      </c>
      <c r="D2">
        <v>0</v>
      </c>
      <c r="E2">
        <v>0</v>
      </c>
      <c r="F2" s="3"/>
    </row>
    <row r="3" spans="1:6" x14ac:dyDescent="0.2">
      <c r="A3" s="1">
        <v>2021</v>
      </c>
      <c r="B3" s="1">
        <v>0</v>
      </c>
      <c r="C3" s="1">
        <v>0</v>
      </c>
      <c r="D3">
        <v>0</v>
      </c>
      <c r="E3">
        <v>0</v>
      </c>
      <c r="F3" s="3"/>
    </row>
    <row r="4" spans="1:6" x14ac:dyDescent="0.2">
      <c r="A4" s="1">
        <v>2022</v>
      </c>
      <c r="B4" s="1">
        <v>0</v>
      </c>
      <c r="C4" s="1">
        <v>0</v>
      </c>
      <c r="D4">
        <v>0</v>
      </c>
      <c r="E4">
        <v>0</v>
      </c>
      <c r="F4" s="3"/>
    </row>
    <row r="5" spans="1:6" x14ac:dyDescent="0.2">
      <c r="A5" s="1">
        <v>2023</v>
      </c>
      <c r="B5" s="1">
        <v>0</v>
      </c>
      <c r="C5" s="1">
        <v>0</v>
      </c>
      <c r="D5">
        <v>0</v>
      </c>
      <c r="E5">
        <v>0</v>
      </c>
      <c r="F5" s="3"/>
    </row>
    <row r="6" spans="1:6" x14ac:dyDescent="0.2">
      <c r="A6" s="1">
        <v>2024</v>
      </c>
      <c r="B6" s="1">
        <v>0</v>
      </c>
      <c r="C6" s="1">
        <v>0</v>
      </c>
      <c r="D6">
        <v>0</v>
      </c>
      <c r="E6">
        <v>0</v>
      </c>
      <c r="F6" s="3"/>
    </row>
    <row r="7" spans="1:6" x14ac:dyDescent="0.2">
      <c r="A7" s="1">
        <v>2025</v>
      </c>
      <c r="B7" s="1">
        <v>0</v>
      </c>
      <c r="C7" s="1">
        <v>0</v>
      </c>
      <c r="D7">
        <v>0</v>
      </c>
      <c r="E7">
        <v>0</v>
      </c>
      <c r="F7" s="3"/>
    </row>
    <row r="8" spans="1:6" x14ac:dyDescent="0.2">
      <c r="A8" s="1">
        <v>2026</v>
      </c>
      <c r="B8" s="1">
        <v>0.32336599999999999</v>
      </c>
      <c r="C8" s="1">
        <v>2.7169799999999999E-3</v>
      </c>
      <c r="D8">
        <v>0</v>
      </c>
      <c r="E8">
        <v>0</v>
      </c>
      <c r="F8" s="3"/>
    </row>
    <row r="9" spans="1:6" x14ac:dyDescent="0.2">
      <c r="A9" s="1">
        <v>2027</v>
      </c>
      <c r="B9" s="1">
        <v>0.37547799999999998</v>
      </c>
      <c r="C9" s="1">
        <v>4.1422899999999999E-3</v>
      </c>
      <c r="D9">
        <v>0</v>
      </c>
      <c r="E9">
        <v>0</v>
      </c>
      <c r="F9" s="3"/>
    </row>
    <row r="10" spans="1:6" x14ac:dyDescent="0.2">
      <c r="A10" s="1">
        <v>2028</v>
      </c>
      <c r="B10" s="1">
        <v>0.46188699999999999</v>
      </c>
      <c r="C10" s="1">
        <v>4.8104000000000003E-3</v>
      </c>
      <c r="D10">
        <v>0</v>
      </c>
      <c r="E10">
        <v>0</v>
      </c>
      <c r="F10" s="3"/>
    </row>
    <row r="11" spans="1:6" x14ac:dyDescent="0.2">
      <c r="A11" s="1">
        <v>2029</v>
      </c>
      <c r="B11" s="1">
        <v>0.49172900000000003</v>
      </c>
      <c r="C11" s="1">
        <v>2.27158E-3</v>
      </c>
      <c r="D11">
        <v>0</v>
      </c>
      <c r="E11">
        <v>0</v>
      </c>
      <c r="F11" s="3"/>
    </row>
    <row r="12" spans="1:6" x14ac:dyDescent="0.2">
      <c r="A12" s="1">
        <v>2030</v>
      </c>
      <c r="B12" s="1">
        <v>0.58348299999999997</v>
      </c>
      <c r="C12" s="1">
        <v>1.8707100000000001E-2</v>
      </c>
      <c r="D12">
        <v>0</v>
      </c>
      <c r="E12">
        <v>0</v>
      </c>
      <c r="F12" s="3"/>
    </row>
    <row r="13" spans="1:6" x14ac:dyDescent="0.2">
      <c r="A13" s="1">
        <v>2031</v>
      </c>
      <c r="B13" s="1">
        <v>0.64628600000000003</v>
      </c>
      <c r="C13" s="1">
        <v>5.2112600000000002E-2</v>
      </c>
      <c r="D13">
        <v>0</v>
      </c>
      <c r="E13">
        <v>0</v>
      </c>
      <c r="F13" s="3"/>
    </row>
    <row r="14" spans="1:6" x14ac:dyDescent="0.2">
      <c r="A14" s="1">
        <v>2032</v>
      </c>
      <c r="B14" s="1">
        <v>0.68637199999999998</v>
      </c>
      <c r="C14" s="1">
        <v>9.8434999999999995E-2</v>
      </c>
      <c r="D14">
        <v>0</v>
      </c>
      <c r="E14">
        <v>0</v>
      </c>
      <c r="F14" s="3"/>
    </row>
    <row r="15" spans="1:6" x14ac:dyDescent="0.2">
      <c r="A15" s="1">
        <v>2033</v>
      </c>
      <c r="B15" s="1">
        <v>0.70552499999999996</v>
      </c>
      <c r="C15" s="1">
        <v>0.16168299999999999</v>
      </c>
      <c r="D15">
        <v>0</v>
      </c>
      <c r="E15">
        <v>0</v>
      </c>
      <c r="F15" s="3"/>
    </row>
    <row r="16" spans="1:6" x14ac:dyDescent="0.2">
      <c r="A16" s="1">
        <v>2034</v>
      </c>
      <c r="B16" s="1">
        <v>0.79059800000000002</v>
      </c>
      <c r="C16" s="1">
        <v>0.236511</v>
      </c>
      <c r="D16">
        <v>0</v>
      </c>
      <c r="E16">
        <v>0</v>
      </c>
      <c r="F16" s="3"/>
    </row>
    <row r="17" spans="1:6" x14ac:dyDescent="0.2">
      <c r="A17" s="1">
        <v>2035</v>
      </c>
      <c r="B17" s="1">
        <v>0.87344299999999997</v>
      </c>
      <c r="C17" s="1">
        <v>0.318911</v>
      </c>
      <c r="D17">
        <v>0</v>
      </c>
      <c r="E17">
        <v>0</v>
      </c>
      <c r="F17" s="3"/>
    </row>
    <row r="18" spans="1:6" x14ac:dyDescent="0.2">
      <c r="A18" s="1">
        <v>2036</v>
      </c>
      <c r="B18" s="1">
        <v>0.92466499999999996</v>
      </c>
      <c r="C18" s="1">
        <v>0.401312</v>
      </c>
      <c r="D18">
        <v>0</v>
      </c>
      <c r="E18">
        <v>0</v>
      </c>
      <c r="F18" s="3"/>
    </row>
    <row r="19" spans="1:6" x14ac:dyDescent="0.2">
      <c r="A19" s="1">
        <v>2037</v>
      </c>
      <c r="B19" s="1">
        <v>0.95584400000000003</v>
      </c>
      <c r="C19" s="1">
        <v>0.49885600000000002</v>
      </c>
      <c r="D19">
        <v>0</v>
      </c>
      <c r="E19">
        <v>0</v>
      </c>
      <c r="F19" s="3"/>
    </row>
    <row r="20" spans="1:6" x14ac:dyDescent="0.2">
      <c r="A20" s="1">
        <v>2038</v>
      </c>
      <c r="B20" s="1">
        <v>1.0008300000000001</v>
      </c>
      <c r="C20" s="1">
        <v>0.61287999999999998</v>
      </c>
      <c r="D20">
        <v>0</v>
      </c>
      <c r="E20">
        <v>0</v>
      </c>
      <c r="F20" s="3"/>
    </row>
    <row r="21" spans="1:6" x14ac:dyDescent="0.2">
      <c r="A21" s="1">
        <v>2039</v>
      </c>
      <c r="B21" s="1">
        <v>1.1046100000000001</v>
      </c>
      <c r="C21" s="1">
        <v>0.73447600000000002</v>
      </c>
      <c r="D21">
        <v>0</v>
      </c>
      <c r="E21">
        <v>0</v>
      </c>
      <c r="F21" s="3"/>
    </row>
    <row r="22" spans="1:6" x14ac:dyDescent="0.2">
      <c r="A22" s="1">
        <v>2040</v>
      </c>
      <c r="B22" s="1">
        <v>1.20705</v>
      </c>
      <c r="C22" s="1">
        <v>0.86720799999999998</v>
      </c>
      <c r="D22">
        <v>0</v>
      </c>
      <c r="E22">
        <v>0</v>
      </c>
      <c r="F22" s="3"/>
    </row>
    <row r="23" spans="1:6" x14ac:dyDescent="0.2">
      <c r="A23" s="1">
        <v>2041</v>
      </c>
      <c r="B23" s="1">
        <v>1.3037099999999999</v>
      </c>
      <c r="C23" s="1">
        <v>1.0039499999999999</v>
      </c>
      <c r="D23">
        <v>0</v>
      </c>
      <c r="E23">
        <v>0</v>
      </c>
      <c r="F23" s="3"/>
    </row>
    <row r="24" spans="1:6" x14ac:dyDescent="0.2">
      <c r="A24" s="1">
        <v>2042</v>
      </c>
      <c r="B24" s="1">
        <v>1.4199600000000001</v>
      </c>
      <c r="C24" s="1">
        <v>1.14514</v>
      </c>
      <c r="D24">
        <v>0</v>
      </c>
      <c r="E24">
        <v>0</v>
      </c>
      <c r="F24" s="3"/>
    </row>
    <row r="25" spans="1:6" x14ac:dyDescent="0.2">
      <c r="A25" s="1">
        <v>2043</v>
      </c>
      <c r="B25" s="1">
        <v>1.6119300000000001</v>
      </c>
      <c r="C25" s="1">
        <v>1.2787599999999999</v>
      </c>
      <c r="D25">
        <v>0</v>
      </c>
      <c r="E25">
        <v>0</v>
      </c>
      <c r="F25" s="3"/>
    </row>
    <row r="26" spans="1:6" x14ac:dyDescent="0.2">
      <c r="A26" s="1">
        <v>2044</v>
      </c>
      <c r="B26" s="1">
        <v>1.9157</v>
      </c>
      <c r="C26" s="1">
        <v>1.4056999999999999</v>
      </c>
      <c r="D26">
        <v>0</v>
      </c>
      <c r="E26">
        <v>0</v>
      </c>
      <c r="F26" s="3"/>
    </row>
    <row r="27" spans="1:6" x14ac:dyDescent="0.2">
      <c r="A27" s="1">
        <v>2045</v>
      </c>
      <c r="B27" s="1">
        <v>2.22214</v>
      </c>
      <c r="C27" s="1">
        <v>1.53888</v>
      </c>
      <c r="D27">
        <v>0</v>
      </c>
      <c r="E27">
        <v>0</v>
      </c>
      <c r="F27" s="3"/>
    </row>
    <row r="28" spans="1:6" x14ac:dyDescent="0.2">
      <c r="A28" s="1">
        <v>2046</v>
      </c>
      <c r="B28" s="1">
        <v>2.4925000000000002</v>
      </c>
      <c r="C28" s="1">
        <v>1.91391</v>
      </c>
      <c r="D28">
        <v>0</v>
      </c>
      <c r="E28">
        <v>0</v>
      </c>
      <c r="F28" s="3"/>
    </row>
    <row r="29" spans="1:6" x14ac:dyDescent="0.2">
      <c r="A29" s="1">
        <v>2047</v>
      </c>
      <c r="B29" s="1">
        <v>2.60608</v>
      </c>
      <c r="C29" s="1">
        <v>2.1196899999999999</v>
      </c>
      <c r="D29">
        <v>0</v>
      </c>
      <c r="E29">
        <v>0</v>
      </c>
      <c r="F29" s="3"/>
    </row>
    <row r="30" spans="1:6" x14ac:dyDescent="0.2">
      <c r="A30" s="1">
        <v>2048</v>
      </c>
      <c r="B30" s="1">
        <v>2.7325699999999999</v>
      </c>
      <c r="C30" s="1">
        <v>2.3379400000000001</v>
      </c>
      <c r="D30">
        <v>0</v>
      </c>
      <c r="E30">
        <v>0</v>
      </c>
      <c r="F30" s="3"/>
    </row>
    <row r="31" spans="1:6" x14ac:dyDescent="0.2">
      <c r="A31" s="1">
        <v>2049</v>
      </c>
      <c r="B31" s="1">
        <v>2.9116300000000002</v>
      </c>
      <c r="C31" s="1">
        <v>2.5708899999999999</v>
      </c>
      <c r="D31">
        <v>0</v>
      </c>
      <c r="E31">
        <v>0</v>
      </c>
      <c r="F31" s="3"/>
    </row>
    <row r="32" spans="1:6" x14ac:dyDescent="0.2">
      <c r="A32" s="1">
        <v>2050</v>
      </c>
      <c r="B32" s="1">
        <v>3.0911300000000002</v>
      </c>
      <c r="C32" s="1">
        <v>2.8131900000000001</v>
      </c>
      <c r="D32">
        <v>0</v>
      </c>
      <c r="E32">
        <v>0</v>
      </c>
      <c r="F32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80C3-B98F-894C-ADC2-7733A8820CE3}">
  <dimension ref="A1:F32"/>
  <sheetViews>
    <sheetView workbookViewId="0">
      <selection sqref="A1:C32"/>
    </sheetView>
  </sheetViews>
  <sheetFormatPr baseColWidth="10" defaultRowHeight="16" x14ac:dyDescent="0.2"/>
  <cols>
    <col min="4" max="4" width="11.1640625" bestFit="1" customWidth="1"/>
  </cols>
  <sheetData>
    <row r="1" spans="1:6" x14ac:dyDescent="0.2">
      <c r="A1" s="1" t="s">
        <v>0</v>
      </c>
      <c r="B1" s="1" t="s">
        <v>97</v>
      </c>
      <c r="C1" s="1" t="s">
        <v>98</v>
      </c>
      <c r="D1" s="1" t="s">
        <v>101</v>
      </c>
      <c r="E1" s="1" t="s">
        <v>102</v>
      </c>
    </row>
    <row r="2" spans="1:6" x14ac:dyDescent="0.2">
      <c r="A2" s="1">
        <v>2020</v>
      </c>
      <c r="B2" s="1">
        <v>0</v>
      </c>
      <c r="C2" s="1">
        <v>0</v>
      </c>
      <c r="D2">
        <v>0</v>
      </c>
      <c r="E2">
        <v>0</v>
      </c>
      <c r="F2" s="3"/>
    </row>
    <row r="3" spans="1:6" x14ac:dyDescent="0.2">
      <c r="A3" s="1">
        <v>2021</v>
      </c>
      <c r="B3" s="1">
        <v>0</v>
      </c>
      <c r="C3" s="1">
        <v>0</v>
      </c>
      <c r="D3">
        <v>0</v>
      </c>
      <c r="E3">
        <v>0</v>
      </c>
      <c r="F3" s="3"/>
    </row>
    <row r="4" spans="1:6" x14ac:dyDescent="0.2">
      <c r="A4" s="1">
        <v>2022</v>
      </c>
      <c r="B4" s="1">
        <v>0</v>
      </c>
      <c r="C4" s="1">
        <v>0</v>
      </c>
      <c r="D4">
        <v>0</v>
      </c>
      <c r="E4">
        <v>0</v>
      </c>
      <c r="F4" s="3"/>
    </row>
    <row r="5" spans="1:6" x14ac:dyDescent="0.2">
      <c r="A5" s="1">
        <v>2023</v>
      </c>
      <c r="B5" s="1">
        <v>0</v>
      </c>
      <c r="C5" s="1">
        <v>0</v>
      </c>
      <c r="D5">
        <v>0</v>
      </c>
      <c r="E5">
        <v>0</v>
      </c>
      <c r="F5" s="3"/>
    </row>
    <row r="6" spans="1:6" x14ac:dyDescent="0.2">
      <c r="A6" s="1">
        <v>2024</v>
      </c>
      <c r="B6" s="1">
        <v>0</v>
      </c>
      <c r="C6" s="1">
        <v>0</v>
      </c>
      <c r="D6">
        <v>0</v>
      </c>
      <c r="E6">
        <v>0</v>
      </c>
      <c r="F6" s="3"/>
    </row>
    <row r="7" spans="1:6" x14ac:dyDescent="0.2">
      <c r="A7" s="1">
        <v>2025</v>
      </c>
      <c r="B7" s="1">
        <v>0</v>
      </c>
      <c r="C7" s="1">
        <v>0</v>
      </c>
      <c r="D7">
        <v>0</v>
      </c>
      <c r="E7">
        <v>0</v>
      </c>
      <c r="F7" s="3"/>
    </row>
    <row r="8" spans="1:6" x14ac:dyDescent="0.2">
      <c r="A8" s="1">
        <v>2026</v>
      </c>
      <c r="B8" s="1">
        <v>0.96875999999999995</v>
      </c>
      <c r="C8" s="1">
        <v>-0.28906900000000002</v>
      </c>
      <c r="D8">
        <v>0</v>
      </c>
      <c r="E8">
        <v>0</v>
      </c>
      <c r="F8" s="3"/>
    </row>
    <row r="9" spans="1:6" x14ac:dyDescent="0.2">
      <c r="A9" s="1">
        <v>2027</v>
      </c>
      <c r="B9" s="1">
        <v>1.4872099999999999</v>
      </c>
      <c r="C9" s="1">
        <v>-0.62668800000000002</v>
      </c>
      <c r="D9">
        <v>0</v>
      </c>
      <c r="E9">
        <v>0</v>
      </c>
      <c r="F9" s="3"/>
    </row>
    <row r="10" spans="1:6" x14ac:dyDescent="0.2">
      <c r="A10" s="1">
        <v>2028</v>
      </c>
      <c r="B10" s="1">
        <v>2.15889</v>
      </c>
      <c r="C10" s="1">
        <v>-0.909076</v>
      </c>
      <c r="D10">
        <v>0</v>
      </c>
      <c r="E10">
        <v>0</v>
      </c>
      <c r="F10" s="3"/>
    </row>
    <row r="11" spans="1:6" x14ac:dyDescent="0.2">
      <c r="A11" s="1">
        <v>2029</v>
      </c>
      <c r="B11" s="1">
        <v>2.79894</v>
      </c>
      <c r="C11" s="1">
        <v>-1.32108</v>
      </c>
      <c r="D11">
        <v>0</v>
      </c>
      <c r="E11">
        <v>0</v>
      </c>
      <c r="F11" s="3"/>
    </row>
    <row r="12" spans="1:6" x14ac:dyDescent="0.2">
      <c r="A12" s="1">
        <v>2030</v>
      </c>
      <c r="B12" s="1">
        <v>4.6536099999999996</v>
      </c>
      <c r="C12" s="1">
        <v>-2.1094499999999998</v>
      </c>
      <c r="D12">
        <v>0</v>
      </c>
      <c r="E12">
        <v>0</v>
      </c>
      <c r="F12" s="3"/>
    </row>
    <row r="13" spans="1:6" x14ac:dyDescent="0.2">
      <c r="A13" s="1">
        <v>2031</v>
      </c>
      <c r="B13" s="1">
        <v>5.0126099999999996</v>
      </c>
      <c r="C13" s="1">
        <v>-2.76152</v>
      </c>
      <c r="D13">
        <v>0</v>
      </c>
      <c r="E13">
        <v>0</v>
      </c>
      <c r="F13" s="3"/>
    </row>
    <row r="14" spans="1:6" x14ac:dyDescent="0.2">
      <c r="A14" s="1">
        <v>2032</v>
      </c>
      <c r="B14" s="1">
        <v>3.9129</v>
      </c>
      <c r="C14" s="1">
        <v>-3.4323100000000002</v>
      </c>
      <c r="D14">
        <v>0</v>
      </c>
      <c r="E14">
        <v>0</v>
      </c>
      <c r="F14" s="3"/>
    </row>
    <row r="15" spans="1:6" x14ac:dyDescent="0.2">
      <c r="A15" s="1">
        <v>2033</v>
      </c>
      <c r="B15" s="1">
        <v>2.7503899999999999</v>
      </c>
      <c r="C15" s="1">
        <v>-4.0901699999999996</v>
      </c>
      <c r="D15">
        <v>0</v>
      </c>
      <c r="E15">
        <v>0</v>
      </c>
      <c r="F15" s="3"/>
    </row>
    <row r="16" spans="1:6" x14ac:dyDescent="0.2">
      <c r="A16" s="1">
        <v>2034</v>
      </c>
      <c r="B16" s="1">
        <v>1.8569</v>
      </c>
      <c r="C16" s="1">
        <v>-4.85093</v>
      </c>
      <c r="D16">
        <v>0</v>
      </c>
      <c r="E16">
        <v>0</v>
      </c>
      <c r="F16" s="3"/>
    </row>
    <row r="17" spans="1:6" x14ac:dyDescent="0.2">
      <c r="A17" s="1">
        <v>2035</v>
      </c>
      <c r="B17" s="1">
        <v>1.03468</v>
      </c>
      <c r="C17" s="1">
        <v>-5.7283799999999996</v>
      </c>
      <c r="D17">
        <v>0</v>
      </c>
      <c r="E17">
        <v>0</v>
      </c>
      <c r="F17" s="3"/>
    </row>
    <row r="18" spans="1:6" x14ac:dyDescent="0.2">
      <c r="A18" s="1">
        <v>2036</v>
      </c>
      <c r="B18" s="1">
        <v>1.46628</v>
      </c>
      <c r="C18" s="1">
        <v>-6.8035899999999998</v>
      </c>
      <c r="D18">
        <v>0</v>
      </c>
      <c r="E18">
        <v>0</v>
      </c>
      <c r="F18" s="3"/>
    </row>
    <row r="19" spans="1:6" x14ac:dyDescent="0.2">
      <c r="A19" s="1">
        <v>2037</v>
      </c>
      <c r="B19" s="1">
        <v>2.00433E-2</v>
      </c>
      <c r="C19" s="1">
        <v>-7.8084300000000004</v>
      </c>
      <c r="D19">
        <v>0</v>
      </c>
      <c r="E19">
        <v>0</v>
      </c>
      <c r="F19" s="3"/>
    </row>
    <row r="20" spans="1:6" x14ac:dyDescent="0.2">
      <c r="A20" s="1">
        <v>2038</v>
      </c>
      <c r="B20" s="1">
        <v>-1.25248</v>
      </c>
      <c r="C20" s="1">
        <v>-8.9593600000000002</v>
      </c>
      <c r="D20">
        <v>0</v>
      </c>
      <c r="E20">
        <v>0</v>
      </c>
      <c r="F20" s="3"/>
    </row>
    <row r="21" spans="1:6" x14ac:dyDescent="0.2">
      <c r="A21" s="1">
        <v>2039</v>
      </c>
      <c r="B21" s="1">
        <v>-2.4154399999999998</v>
      </c>
      <c r="C21" s="1">
        <v>-10.3775</v>
      </c>
      <c r="D21">
        <v>0</v>
      </c>
      <c r="E21">
        <v>0</v>
      </c>
      <c r="F21" s="3"/>
    </row>
    <row r="22" spans="1:6" x14ac:dyDescent="0.2">
      <c r="A22" s="1">
        <v>2040</v>
      </c>
      <c r="B22" s="1">
        <v>-3.8857300000000001</v>
      </c>
      <c r="C22" s="1">
        <v>-11.8109</v>
      </c>
      <c r="D22">
        <v>0</v>
      </c>
      <c r="E22">
        <v>0</v>
      </c>
      <c r="F22" s="3"/>
    </row>
    <row r="23" spans="1:6" x14ac:dyDescent="0.2">
      <c r="A23" s="1">
        <v>2041</v>
      </c>
      <c r="B23" s="1">
        <v>-5.12575</v>
      </c>
      <c r="C23" s="1">
        <v>-13.519</v>
      </c>
      <c r="D23">
        <v>0</v>
      </c>
      <c r="E23">
        <v>0</v>
      </c>
      <c r="F23" s="3"/>
    </row>
    <row r="24" spans="1:6" x14ac:dyDescent="0.2">
      <c r="A24" s="1">
        <v>2042</v>
      </c>
      <c r="B24" s="1">
        <v>-6.6053899999999999</v>
      </c>
      <c r="C24" s="1">
        <v>-15.4979</v>
      </c>
      <c r="D24">
        <v>0</v>
      </c>
      <c r="E24">
        <v>0</v>
      </c>
      <c r="F24" s="3"/>
    </row>
    <row r="25" spans="1:6" x14ac:dyDescent="0.2">
      <c r="A25" s="1">
        <v>2043</v>
      </c>
      <c r="B25" s="1">
        <v>-8.3059499999999993</v>
      </c>
      <c r="C25" s="1">
        <v>-17.656400000000001</v>
      </c>
      <c r="D25">
        <v>0</v>
      </c>
      <c r="E25">
        <v>0</v>
      </c>
      <c r="F25" s="3"/>
    </row>
    <row r="26" spans="1:6" x14ac:dyDescent="0.2">
      <c r="A26" s="1">
        <v>2044</v>
      </c>
      <c r="B26" s="1">
        <v>-10.08</v>
      </c>
      <c r="C26" s="1">
        <v>-19.833100000000002</v>
      </c>
      <c r="D26">
        <v>0</v>
      </c>
      <c r="E26">
        <v>0</v>
      </c>
      <c r="F26" s="3"/>
    </row>
    <row r="27" spans="1:6" x14ac:dyDescent="0.2">
      <c r="A27" s="1">
        <v>2045</v>
      </c>
      <c r="B27" s="1">
        <v>-12.343999999999999</v>
      </c>
      <c r="C27" s="1">
        <v>-22.315799999999999</v>
      </c>
      <c r="D27">
        <v>0</v>
      </c>
      <c r="E27">
        <v>0</v>
      </c>
      <c r="F27" s="3"/>
    </row>
    <row r="28" spans="1:6" x14ac:dyDescent="0.2">
      <c r="A28" s="1">
        <v>2046</v>
      </c>
      <c r="B28" s="1">
        <v>-12.430899999999999</v>
      </c>
      <c r="C28" s="1">
        <v>-25.173999999999999</v>
      </c>
      <c r="D28">
        <v>0</v>
      </c>
      <c r="E28">
        <v>0</v>
      </c>
      <c r="F28" s="3"/>
    </row>
    <row r="29" spans="1:6" x14ac:dyDescent="0.2">
      <c r="A29" s="1">
        <v>2047</v>
      </c>
      <c r="B29" s="1">
        <v>-15.297499999999999</v>
      </c>
      <c r="C29" s="1">
        <v>-28.284199999999998</v>
      </c>
      <c r="D29">
        <v>0</v>
      </c>
      <c r="E29">
        <v>0</v>
      </c>
      <c r="F29" s="3"/>
    </row>
    <row r="30" spans="1:6" x14ac:dyDescent="0.2">
      <c r="A30" s="1">
        <v>2048</v>
      </c>
      <c r="B30" s="1">
        <v>-18.761900000000001</v>
      </c>
      <c r="C30" s="1">
        <v>-31.561499999999999</v>
      </c>
      <c r="D30">
        <v>0</v>
      </c>
      <c r="E30">
        <v>0</v>
      </c>
      <c r="F30" s="3"/>
    </row>
    <row r="31" spans="1:6" x14ac:dyDescent="0.2">
      <c r="A31" s="1">
        <v>2049</v>
      </c>
      <c r="B31" s="1">
        <v>-22.393699999999999</v>
      </c>
      <c r="C31" s="1">
        <v>-35.058900000000001</v>
      </c>
      <c r="D31">
        <v>0</v>
      </c>
      <c r="E31">
        <v>0</v>
      </c>
      <c r="F31" s="3"/>
    </row>
    <row r="32" spans="1:6" x14ac:dyDescent="0.2">
      <c r="A32" s="1">
        <v>2050</v>
      </c>
      <c r="B32" s="1">
        <v>-26.5627</v>
      </c>
      <c r="C32" s="1">
        <v>-38.842599999999997</v>
      </c>
      <c r="D32">
        <v>0</v>
      </c>
      <c r="E32">
        <v>0</v>
      </c>
      <c r="F32" s="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B13F-C1DF-F740-A5B3-758E30F50FF3}">
  <dimension ref="A1:AE53"/>
  <sheetViews>
    <sheetView workbookViewId="0">
      <selection activeCell="F12" sqref="F12"/>
    </sheetView>
  </sheetViews>
  <sheetFormatPr baseColWidth="10" defaultRowHeight="16" x14ac:dyDescent="0.2"/>
  <cols>
    <col min="1" max="1" width="14.1640625" bestFit="1" customWidth="1"/>
    <col min="2" max="2" width="11.83203125" bestFit="1" customWidth="1"/>
    <col min="3" max="5" width="11" bestFit="1" customWidth="1"/>
    <col min="6" max="6" width="11.83203125" bestFit="1" customWidth="1"/>
  </cols>
  <sheetData>
    <row r="1" spans="1:6" ht="102" x14ac:dyDescent="0.2">
      <c r="A1" s="17" t="s">
        <v>0</v>
      </c>
      <c r="B1" s="17" t="s">
        <v>106</v>
      </c>
      <c r="C1" s="18" t="s">
        <v>107</v>
      </c>
      <c r="D1" s="19" t="s">
        <v>108</v>
      </c>
      <c r="E1" s="20" t="s">
        <v>109</v>
      </c>
      <c r="F1" s="21" t="s">
        <v>110</v>
      </c>
    </row>
    <row r="2" spans="1:6" x14ac:dyDescent="0.2">
      <c r="A2" s="1">
        <v>2020</v>
      </c>
      <c r="B2">
        <v>0</v>
      </c>
      <c r="C2">
        <v>0</v>
      </c>
      <c r="D2">
        <v>0</v>
      </c>
      <c r="E2">
        <v>0</v>
      </c>
      <c r="F2">
        <f>SUM(B2:E2)</f>
        <v>0</v>
      </c>
    </row>
    <row r="3" spans="1:6" x14ac:dyDescent="0.2">
      <c r="A3" s="1">
        <v>2021</v>
      </c>
      <c r="B3">
        <v>0</v>
      </c>
      <c r="C3">
        <v>0</v>
      </c>
      <c r="D3">
        <v>0</v>
      </c>
      <c r="E3">
        <v>0</v>
      </c>
      <c r="F3">
        <f t="shared" ref="F3:F32" si="0">SUM(B3:E3)</f>
        <v>0</v>
      </c>
    </row>
    <row r="4" spans="1:6" x14ac:dyDescent="0.2">
      <c r="A4" s="1">
        <v>2022</v>
      </c>
      <c r="B4">
        <v>0</v>
      </c>
      <c r="C4">
        <v>0</v>
      </c>
      <c r="D4">
        <v>0</v>
      </c>
      <c r="E4">
        <v>0</v>
      </c>
      <c r="F4">
        <f t="shared" si="0"/>
        <v>0</v>
      </c>
    </row>
    <row r="5" spans="1:6" x14ac:dyDescent="0.2">
      <c r="A5" s="1">
        <v>2023</v>
      </c>
      <c r="B5">
        <v>0</v>
      </c>
      <c r="C5">
        <v>0</v>
      </c>
      <c r="D5">
        <v>0</v>
      </c>
      <c r="E5">
        <v>0</v>
      </c>
      <c r="F5">
        <f t="shared" si="0"/>
        <v>0</v>
      </c>
    </row>
    <row r="6" spans="1:6" x14ac:dyDescent="0.2">
      <c r="A6" s="1">
        <v>2024</v>
      </c>
      <c r="B6">
        <v>0</v>
      </c>
      <c r="C6">
        <v>0</v>
      </c>
      <c r="D6">
        <v>0</v>
      </c>
      <c r="E6">
        <v>0</v>
      </c>
      <c r="F6">
        <f t="shared" si="0"/>
        <v>0</v>
      </c>
    </row>
    <row r="7" spans="1:6" x14ac:dyDescent="0.2">
      <c r="A7" s="1">
        <v>2025</v>
      </c>
      <c r="B7">
        <v>0</v>
      </c>
      <c r="C7">
        <v>0</v>
      </c>
      <c r="D7">
        <v>0</v>
      </c>
      <c r="E7">
        <v>0</v>
      </c>
      <c r="F7">
        <f t="shared" si="0"/>
        <v>0</v>
      </c>
    </row>
    <row r="8" spans="1:6" x14ac:dyDescent="0.2">
      <c r="A8" s="1">
        <v>2026</v>
      </c>
      <c r="B8">
        <v>2.3801599999999999E-2</v>
      </c>
      <c r="C8">
        <v>-2.2326099999999999E-3</v>
      </c>
      <c r="D8">
        <v>2.0400000000000001E-2</v>
      </c>
      <c r="E8">
        <v>-3.0349499999999998E-3</v>
      </c>
      <c r="F8">
        <f t="shared" si="0"/>
        <v>3.8934039999999996E-2</v>
      </c>
    </row>
    <row r="9" spans="1:6" x14ac:dyDescent="0.2">
      <c r="A9" s="1">
        <v>2027</v>
      </c>
      <c r="B9">
        <v>7.7575199999999997E-2</v>
      </c>
      <c r="C9">
        <v>-9.0594600000000001E-3</v>
      </c>
      <c r="D9">
        <v>7.6399999999999996E-2</v>
      </c>
      <c r="E9">
        <v>-1.01165E-3</v>
      </c>
      <c r="F9">
        <f t="shared" si="0"/>
        <v>0.14390408999999998</v>
      </c>
    </row>
    <row r="10" spans="1:6" x14ac:dyDescent="0.2">
      <c r="A10" s="1">
        <v>2028</v>
      </c>
      <c r="B10">
        <v>0.119811</v>
      </c>
      <c r="C10">
        <v>-9.9657800000000005E-3</v>
      </c>
      <c r="D10">
        <v>0.1124</v>
      </c>
      <c r="E10">
        <v>-7.0815599999999998E-3</v>
      </c>
      <c r="F10">
        <f t="shared" si="0"/>
        <v>0.21516366000000001</v>
      </c>
    </row>
    <row r="11" spans="1:6" x14ac:dyDescent="0.2">
      <c r="A11" s="1">
        <v>2029</v>
      </c>
      <c r="B11">
        <v>0.188333</v>
      </c>
      <c r="C11">
        <v>-9.6334999999999997E-3</v>
      </c>
      <c r="D11">
        <v>0.182</v>
      </c>
      <c r="E11">
        <v>-6.0698999999999996E-3</v>
      </c>
      <c r="F11">
        <f t="shared" si="0"/>
        <v>0.35462959999999999</v>
      </c>
    </row>
    <row r="12" spans="1:6" x14ac:dyDescent="0.2">
      <c r="A12" s="1">
        <v>2030</v>
      </c>
      <c r="B12">
        <v>0.25661</v>
      </c>
      <c r="C12">
        <v>-4.9894700000000002E-3</v>
      </c>
      <c r="D12">
        <v>0.2472</v>
      </c>
      <c r="E12">
        <v>-9.1048599999999993E-3</v>
      </c>
      <c r="F12">
        <f t="shared" si="0"/>
        <v>0.48971567000000005</v>
      </c>
    </row>
    <row r="13" spans="1:6" x14ac:dyDescent="0.2">
      <c r="A13" s="1">
        <v>2031</v>
      </c>
      <c r="B13">
        <v>0.33610099999999998</v>
      </c>
      <c r="C13">
        <v>1.33124E-3</v>
      </c>
      <c r="D13">
        <v>0.32800000000000001</v>
      </c>
      <c r="E13">
        <v>-8.09321E-3</v>
      </c>
      <c r="F13">
        <f t="shared" si="0"/>
        <v>0.65733903000000005</v>
      </c>
    </row>
    <row r="14" spans="1:6" x14ac:dyDescent="0.2">
      <c r="A14" s="1">
        <v>2032</v>
      </c>
      <c r="B14">
        <v>0.41045900000000002</v>
      </c>
      <c r="C14">
        <v>1.02758E-2</v>
      </c>
      <c r="D14">
        <v>0.3972</v>
      </c>
      <c r="E14">
        <v>-1.31515E-2</v>
      </c>
      <c r="F14">
        <f t="shared" si="0"/>
        <v>0.80478329999999998</v>
      </c>
    </row>
    <row r="15" spans="1:6" x14ac:dyDescent="0.2">
      <c r="A15" s="1">
        <v>2033</v>
      </c>
      <c r="B15">
        <v>0.52718100000000001</v>
      </c>
      <c r="C15">
        <v>2.2520800000000001E-2</v>
      </c>
      <c r="D15">
        <v>0.51600000000000001</v>
      </c>
      <c r="E15">
        <v>-1.11282E-2</v>
      </c>
      <c r="F15">
        <f t="shared" si="0"/>
        <v>1.0545736000000001</v>
      </c>
    </row>
    <row r="16" spans="1:6" x14ac:dyDescent="0.2">
      <c r="A16" s="1">
        <v>2034</v>
      </c>
      <c r="B16">
        <v>0.64332299999999998</v>
      </c>
      <c r="C16">
        <v>4.1005800000000002E-2</v>
      </c>
      <c r="D16">
        <v>0.63080000000000003</v>
      </c>
      <c r="E16">
        <v>-1.2139799999999999E-2</v>
      </c>
      <c r="F16">
        <f t="shared" si="0"/>
        <v>1.3029890000000002</v>
      </c>
    </row>
    <row r="17" spans="1:6" x14ac:dyDescent="0.2">
      <c r="A17" s="1">
        <v>2035</v>
      </c>
      <c r="B17">
        <v>0.76749100000000003</v>
      </c>
      <c r="C17">
        <v>6.1135599999999998E-2</v>
      </c>
      <c r="D17">
        <v>0.752</v>
      </c>
      <c r="E17">
        <v>-1.51748E-2</v>
      </c>
      <c r="F17">
        <f t="shared" si="0"/>
        <v>1.5654517999999999</v>
      </c>
    </row>
    <row r="18" spans="1:6" x14ac:dyDescent="0.2">
      <c r="A18" s="1">
        <v>2036</v>
      </c>
      <c r="B18">
        <v>0.89374200000000004</v>
      </c>
      <c r="C18">
        <v>8.6718199999999995E-2</v>
      </c>
      <c r="D18">
        <v>0.87239999999999995</v>
      </c>
      <c r="E18">
        <v>-2.1244699999999998E-2</v>
      </c>
      <c r="F18">
        <f t="shared" si="0"/>
        <v>1.8316154999999998</v>
      </c>
    </row>
    <row r="19" spans="1:6" x14ac:dyDescent="0.2">
      <c r="A19" s="1">
        <v>2037</v>
      </c>
      <c r="B19">
        <v>1.06443</v>
      </c>
      <c r="C19">
        <v>0.120728</v>
      </c>
      <c r="D19">
        <v>1.04</v>
      </c>
      <c r="E19">
        <v>-2.4279599999999998E-2</v>
      </c>
      <c r="F19">
        <f t="shared" si="0"/>
        <v>2.2008784000000001</v>
      </c>
    </row>
    <row r="20" spans="1:6" x14ac:dyDescent="0.2">
      <c r="A20" s="1">
        <v>2038</v>
      </c>
      <c r="B20">
        <v>1.2552700000000001</v>
      </c>
      <c r="C20">
        <v>0.16728399999999999</v>
      </c>
      <c r="D20">
        <v>1.2287999999999999</v>
      </c>
      <c r="E20">
        <v>-2.6302900000000001E-2</v>
      </c>
      <c r="F20">
        <f t="shared" si="0"/>
        <v>2.6250510999999999</v>
      </c>
    </row>
    <row r="21" spans="1:6" x14ac:dyDescent="0.2">
      <c r="A21" s="1">
        <v>2039</v>
      </c>
      <c r="B21">
        <v>1.4632400000000001</v>
      </c>
      <c r="C21">
        <v>0.22467699999999999</v>
      </c>
      <c r="D21">
        <v>1.4336</v>
      </c>
      <c r="E21">
        <v>-2.93379E-2</v>
      </c>
      <c r="F21">
        <f t="shared" si="0"/>
        <v>3.0921791000000001</v>
      </c>
    </row>
    <row r="22" spans="1:6" x14ac:dyDescent="0.2">
      <c r="A22" s="1">
        <v>2040</v>
      </c>
      <c r="B22">
        <v>1.69634</v>
      </c>
      <c r="C22">
        <v>0.292931</v>
      </c>
      <c r="D22">
        <v>1.6656</v>
      </c>
      <c r="E22">
        <v>-3.0349500000000001E-2</v>
      </c>
      <c r="F22">
        <f t="shared" si="0"/>
        <v>3.6245215000000002</v>
      </c>
    </row>
    <row r="23" spans="1:6" x14ac:dyDescent="0.2">
      <c r="A23" s="1">
        <v>2041</v>
      </c>
      <c r="B23">
        <v>1.9547600000000001</v>
      </c>
      <c r="C23">
        <v>0.376442</v>
      </c>
      <c r="D23">
        <v>1.9232</v>
      </c>
      <c r="E23">
        <v>-3.1361199999999999E-2</v>
      </c>
      <c r="F23">
        <f t="shared" si="0"/>
        <v>4.2230408000000006</v>
      </c>
    </row>
    <row r="24" spans="1:6" x14ac:dyDescent="0.2">
      <c r="A24" s="1">
        <v>2042</v>
      </c>
      <c r="B24">
        <v>2.19252</v>
      </c>
      <c r="C24">
        <v>0.47725899999999999</v>
      </c>
      <c r="D24">
        <v>2.1619999999999999</v>
      </c>
      <c r="E24">
        <v>-3.0349500000000001E-2</v>
      </c>
      <c r="F24">
        <f t="shared" si="0"/>
        <v>4.8014295000000002</v>
      </c>
    </row>
    <row r="25" spans="1:6" x14ac:dyDescent="0.2">
      <c r="A25" s="1">
        <v>2043</v>
      </c>
      <c r="B25">
        <v>2.5005999999999999</v>
      </c>
      <c r="C25">
        <v>0.59660800000000003</v>
      </c>
      <c r="D25">
        <v>2.4771999999999998</v>
      </c>
      <c r="E25">
        <v>-2.3268E-2</v>
      </c>
      <c r="F25">
        <f t="shared" si="0"/>
        <v>5.5511400000000002</v>
      </c>
    </row>
    <row r="26" spans="1:6" x14ac:dyDescent="0.2">
      <c r="A26" s="1">
        <v>2044</v>
      </c>
      <c r="B26">
        <v>2.82389</v>
      </c>
      <c r="C26">
        <v>0.73484499999999997</v>
      </c>
      <c r="D26">
        <v>2.8064</v>
      </c>
      <c r="E26">
        <v>-1.7198100000000001E-2</v>
      </c>
      <c r="F26">
        <f t="shared" si="0"/>
        <v>6.3479369000000005</v>
      </c>
    </row>
    <row r="27" spans="1:6" x14ac:dyDescent="0.2">
      <c r="A27" s="1">
        <v>2045</v>
      </c>
      <c r="B27">
        <v>3.1905000000000001</v>
      </c>
      <c r="C27">
        <v>0.89036499999999996</v>
      </c>
      <c r="D27">
        <v>3.1760000000000002</v>
      </c>
      <c r="E27">
        <v>-1.41631E-2</v>
      </c>
      <c r="F27">
        <f t="shared" si="0"/>
        <v>7.2427019000000001</v>
      </c>
    </row>
    <row r="28" spans="1:6" x14ac:dyDescent="0.2">
      <c r="A28" s="1">
        <v>2046</v>
      </c>
      <c r="B28">
        <v>6.2477900000000002</v>
      </c>
      <c r="C28">
        <v>1.03979</v>
      </c>
      <c r="D28">
        <v>6.2336</v>
      </c>
      <c r="E28">
        <v>-1.41631E-2</v>
      </c>
      <c r="F28">
        <f t="shared" si="0"/>
        <v>13.507016900000002</v>
      </c>
    </row>
    <row r="29" spans="1:6" x14ac:dyDescent="0.2">
      <c r="A29" s="1">
        <v>2047</v>
      </c>
      <c r="B29">
        <v>6.76051</v>
      </c>
      <c r="C29">
        <v>1.21214</v>
      </c>
      <c r="D29">
        <v>6.75</v>
      </c>
      <c r="E29">
        <v>-1.01165E-2</v>
      </c>
      <c r="F29">
        <f t="shared" si="0"/>
        <v>14.712533499999999</v>
      </c>
    </row>
    <row r="30" spans="1:6" x14ac:dyDescent="0.2">
      <c r="A30" s="1">
        <v>2048</v>
      </c>
      <c r="B30">
        <v>7.3047399999999998</v>
      </c>
      <c r="C30">
        <v>1.41143</v>
      </c>
      <c r="D30">
        <v>7.2944000000000004</v>
      </c>
      <c r="E30">
        <v>-1.01165E-2</v>
      </c>
      <c r="F30">
        <f t="shared" si="0"/>
        <v>16.000453500000003</v>
      </c>
    </row>
    <row r="31" spans="1:6" x14ac:dyDescent="0.2">
      <c r="A31" s="1">
        <v>2049</v>
      </c>
      <c r="B31">
        <v>7.8763699999999996</v>
      </c>
      <c r="C31">
        <v>1.6390199999999999</v>
      </c>
      <c r="D31">
        <v>7.8659999999999997</v>
      </c>
      <c r="E31">
        <v>-1.01165E-2</v>
      </c>
      <c r="F31">
        <f t="shared" si="0"/>
        <v>17.371273500000001</v>
      </c>
    </row>
    <row r="32" spans="1:6" x14ac:dyDescent="0.2">
      <c r="A32" s="1">
        <v>2050</v>
      </c>
      <c r="B32">
        <v>8.4907000000000004</v>
      </c>
      <c r="C32">
        <v>1.8989400000000001</v>
      </c>
      <c r="D32">
        <v>8.4835999999999991</v>
      </c>
      <c r="E32">
        <v>-7.0815599999999998E-3</v>
      </c>
      <c r="F32">
        <f t="shared" si="0"/>
        <v>18.86615844</v>
      </c>
    </row>
    <row r="36" spans="1:31" x14ac:dyDescent="0.2">
      <c r="E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 s="2"/>
    </row>
    <row r="38" spans="1:3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41" spans="1:31" x14ac:dyDescent="0.2"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3" spans="1:3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6" spans="1:31" x14ac:dyDescent="0.2"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8" spans="1:3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51" spans="2:31" x14ac:dyDescent="0.2"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3" spans="2:3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</sheetData>
  <pageMargins left="0.7" right="0.7" top="0.75" bottom="0.75" header="0.3" footer="0.3"/>
  <ignoredErrors>
    <ignoredError sqref="F2:F32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A3F7-1D27-BE42-BA85-7205336A4266}">
  <dimension ref="A1:F32"/>
  <sheetViews>
    <sheetView workbookViewId="0">
      <selection sqref="A1:F32"/>
    </sheetView>
  </sheetViews>
  <sheetFormatPr baseColWidth="10" defaultRowHeight="16" x14ac:dyDescent="0.2"/>
  <sheetData>
    <row r="1" spans="1:6" ht="102" x14ac:dyDescent="0.2">
      <c r="A1" s="17" t="s">
        <v>0</v>
      </c>
      <c r="B1" s="17" t="s">
        <v>111</v>
      </c>
      <c r="C1" s="18" t="s">
        <v>107</v>
      </c>
      <c r="D1" s="19" t="s">
        <v>112</v>
      </c>
      <c r="E1" s="20" t="s">
        <v>109</v>
      </c>
      <c r="F1" s="21" t="s">
        <v>110</v>
      </c>
    </row>
    <row r="2" spans="1:6" x14ac:dyDescent="0.2">
      <c r="A2" s="1">
        <v>2020</v>
      </c>
      <c r="B2" s="1">
        <v>0</v>
      </c>
      <c r="C2" s="1">
        <v>0</v>
      </c>
      <c r="D2" s="1">
        <v>0</v>
      </c>
      <c r="E2" s="1">
        <v>0</v>
      </c>
      <c r="F2" s="1">
        <f t="shared" ref="F2:F32" si="0">B2+C2+D2</f>
        <v>0</v>
      </c>
    </row>
    <row r="3" spans="1:6" x14ac:dyDescent="0.2">
      <c r="A3" s="1">
        <v>2021</v>
      </c>
      <c r="B3" s="1">
        <v>0</v>
      </c>
      <c r="C3" s="1">
        <v>0</v>
      </c>
      <c r="D3" s="1">
        <v>0</v>
      </c>
      <c r="E3" s="1">
        <v>0</v>
      </c>
      <c r="F3" s="1">
        <f t="shared" si="0"/>
        <v>0</v>
      </c>
    </row>
    <row r="4" spans="1:6" x14ac:dyDescent="0.2">
      <c r="A4" s="1">
        <v>2022</v>
      </c>
      <c r="B4" s="1">
        <v>0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 x14ac:dyDescent="0.2">
      <c r="A5" s="1">
        <v>2023</v>
      </c>
      <c r="B5" s="1">
        <v>0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 x14ac:dyDescent="0.2">
      <c r="A6" s="1">
        <v>2024</v>
      </c>
      <c r="B6" s="1">
        <v>0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 x14ac:dyDescent="0.2">
      <c r="A7" s="1">
        <v>2025</v>
      </c>
      <c r="B7" s="1">
        <v>0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 x14ac:dyDescent="0.2">
      <c r="A8" s="1">
        <v>2026</v>
      </c>
      <c r="B8" s="1">
        <v>0.56913599999999998</v>
      </c>
      <c r="C8" s="1">
        <v>9.5238600000000007E-2</v>
      </c>
      <c r="D8" s="1">
        <v>0.61240000000000006</v>
      </c>
      <c r="E8" s="1">
        <v>4.3500999999999998E-2</v>
      </c>
      <c r="F8" s="1">
        <f t="shared" si="0"/>
        <v>1.2767746</v>
      </c>
    </row>
    <row r="9" spans="1:6" x14ac:dyDescent="0.2">
      <c r="A9" s="1">
        <v>2027</v>
      </c>
      <c r="B9" s="1">
        <v>1.4221699999999999</v>
      </c>
      <c r="C9" s="1">
        <v>0.216033</v>
      </c>
      <c r="D9" s="1">
        <v>1.5484</v>
      </c>
      <c r="E9" s="1">
        <v>0.12645600000000001</v>
      </c>
      <c r="F9" s="1">
        <f t="shared" si="0"/>
        <v>3.1866029999999999</v>
      </c>
    </row>
    <row r="10" spans="1:6" x14ac:dyDescent="0.2">
      <c r="A10" s="1">
        <v>2028</v>
      </c>
      <c r="B10" s="1">
        <v>3.5170300000000001</v>
      </c>
      <c r="C10" s="1">
        <v>0.36651400000000001</v>
      </c>
      <c r="D10" s="1">
        <v>3.7496</v>
      </c>
      <c r="E10" s="1">
        <v>0.23268</v>
      </c>
      <c r="F10" s="1">
        <f t="shared" si="0"/>
        <v>7.6331439999999997</v>
      </c>
    </row>
    <row r="11" spans="1:6" x14ac:dyDescent="0.2">
      <c r="A11" s="1">
        <v>2029</v>
      </c>
      <c r="B11" s="1">
        <v>4.7526799999999998</v>
      </c>
      <c r="C11" s="1">
        <v>0.56530000000000002</v>
      </c>
      <c r="D11" s="1">
        <v>5.1520000000000001</v>
      </c>
      <c r="E11" s="1">
        <v>0.39960200000000001</v>
      </c>
      <c r="F11" s="1">
        <f t="shared" si="0"/>
        <v>10.46998</v>
      </c>
    </row>
    <row r="12" spans="1:6" x14ac:dyDescent="0.2">
      <c r="A12" s="1">
        <v>2030</v>
      </c>
      <c r="B12" s="1">
        <v>6.0538999999999996</v>
      </c>
      <c r="C12" s="1">
        <v>0.81988300000000003</v>
      </c>
      <c r="D12" s="1">
        <v>6.5960000000000001</v>
      </c>
      <c r="E12" s="1">
        <v>0.54224499999999998</v>
      </c>
      <c r="F12" s="1">
        <f t="shared" si="0"/>
        <v>13.469783</v>
      </c>
    </row>
    <row r="13" spans="1:6" x14ac:dyDescent="0.2">
      <c r="A13" s="1">
        <v>2031</v>
      </c>
      <c r="B13" s="1">
        <v>7.1192299999999999</v>
      </c>
      <c r="C13" s="1">
        <v>1.06308</v>
      </c>
      <c r="D13" s="1">
        <v>7.7704000000000004</v>
      </c>
      <c r="E13" s="1">
        <v>0.65150300000000005</v>
      </c>
      <c r="F13" s="1">
        <f t="shared" si="0"/>
        <v>15.95271</v>
      </c>
    </row>
    <row r="14" spans="1:6" x14ac:dyDescent="0.2">
      <c r="A14" s="1">
        <v>2032</v>
      </c>
      <c r="B14" s="1">
        <v>8.0448799999999991</v>
      </c>
      <c r="C14" s="1">
        <v>1.3651599999999999</v>
      </c>
      <c r="D14" s="1">
        <v>8.7751999999999999</v>
      </c>
      <c r="E14" s="1">
        <v>0.73041199999999995</v>
      </c>
      <c r="F14" s="1">
        <f t="shared" si="0"/>
        <v>18.18524</v>
      </c>
    </row>
    <row r="15" spans="1:6" x14ac:dyDescent="0.2">
      <c r="A15" s="1">
        <v>2033</v>
      </c>
      <c r="B15" s="1">
        <v>9.8187999999999995</v>
      </c>
      <c r="C15" s="1">
        <v>1.6865399999999999</v>
      </c>
      <c r="D15" s="1">
        <v>10.626799999999999</v>
      </c>
      <c r="E15" s="1">
        <v>0.80830900000000006</v>
      </c>
      <c r="F15" s="1">
        <f t="shared" si="0"/>
        <v>22.13214</v>
      </c>
    </row>
    <row r="16" spans="1:6" x14ac:dyDescent="0.2">
      <c r="A16" s="1">
        <v>2034</v>
      </c>
      <c r="B16" s="1">
        <v>10.9</v>
      </c>
      <c r="C16" s="1">
        <v>2.0299</v>
      </c>
      <c r="D16" s="1">
        <v>11.792</v>
      </c>
      <c r="E16" s="1">
        <v>0.89227599999999996</v>
      </c>
      <c r="F16" s="1">
        <f t="shared" si="0"/>
        <v>24.721899999999998</v>
      </c>
    </row>
    <row r="17" spans="1:6" x14ac:dyDescent="0.2">
      <c r="A17" s="1">
        <v>2035</v>
      </c>
      <c r="B17" s="1">
        <v>12.0783</v>
      </c>
      <c r="C17" s="1">
        <v>2.3929800000000001</v>
      </c>
      <c r="D17" s="1">
        <v>13.057600000000001</v>
      </c>
      <c r="E17" s="1">
        <v>0.97927799999999998</v>
      </c>
      <c r="F17" s="1">
        <f t="shared" si="0"/>
        <v>27.528880000000001</v>
      </c>
    </row>
    <row r="18" spans="1:6" x14ac:dyDescent="0.2">
      <c r="A18" s="1">
        <v>2036</v>
      </c>
      <c r="B18" s="1">
        <v>13.466900000000001</v>
      </c>
      <c r="C18" s="1">
        <v>2.81006</v>
      </c>
      <c r="D18" s="1">
        <v>14.534000000000001</v>
      </c>
      <c r="E18" s="1">
        <v>1.0672900000000001</v>
      </c>
      <c r="F18" s="1">
        <f t="shared" si="0"/>
        <v>30.810960000000001</v>
      </c>
    </row>
    <row r="19" spans="1:6" x14ac:dyDescent="0.2">
      <c r="A19" s="1">
        <v>2037</v>
      </c>
      <c r="B19" s="1">
        <v>15.0565</v>
      </c>
      <c r="C19" s="1">
        <v>3.3464700000000001</v>
      </c>
      <c r="D19" s="1">
        <v>16.226800000000001</v>
      </c>
      <c r="E19" s="1">
        <v>1.17048</v>
      </c>
      <c r="F19" s="1">
        <f t="shared" si="0"/>
        <v>34.629770000000001</v>
      </c>
    </row>
    <row r="20" spans="1:6" x14ac:dyDescent="0.2">
      <c r="A20" s="1">
        <v>2038</v>
      </c>
      <c r="B20" s="1">
        <v>16.921700000000001</v>
      </c>
      <c r="C20" s="1">
        <v>3.8629699999999998</v>
      </c>
      <c r="D20" s="1">
        <v>18.202400000000001</v>
      </c>
      <c r="E20" s="1">
        <v>1.2807500000000001</v>
      </c>
      <c r="F20" s="1">
        <f t="shared" si="0"/>
        <v>38.987070000000003</v>
      </c>
    </row>
    <row r="21" spans="1:6" x14ac:dyDescent="0.2">
      <c r="A21" s="1">
        <v>2039</v>
      </c>
      <c r="B21" s="1">
        <v>18.79</v>
      </c>
      <c r="C21" s="1">
        <v>4.4157200000000003</v>
      </c>
      <c r="D21" s="1">
        <v>20.190799999999999</v>
      </c>
      <c r="E21" s="1">
        <v>1.4011400000000001</v>
      </c>
      <c r="F21" s="1">
        <f t="shared" si="0"/>
        <v>43.396519999999995</v>
      </c>
    </row>
    <row r="22" spans="1:6" x14ac:dyDescent="0.2">
      <c r="A22" s="1">
        <v>2040</v>
      </c>
      <c r="B22" s="1">
        <v>20.901</v>
      </c>
      <c r="C22" s="1">
        <v>5.01668</v>
      </c>
      <c r="D22" s="1">
        <v>22.447600000000001</v>
      </c>
      <c r="E22" s="1">
        <v>1.54681</v>
      </c>
      <c r="F22" s="1">
        <f t="shared" si="0"/>
        <v>48.365279999999998</v>
      </c>
    </row>
    <row r="23" spans="1:6" x14ac:dyDescent="0.2">
      <c r="A23" s="1">
        <v>2041</v>
      </c>
      <c r="B23" s="1">
        <v>23.390699999999999</v>
      </c>
      <c r="C23" s="1">
        <v>5.6872800000000003</v>
      </c>
      <c r="D23" s="1">
        <v>25.101199999999999</v>
      </c>
      <c r="E23" s="1">
        <v>1.7107000000000001</v>
      </c>
      <c r="F23" s="1">
        <f t="shared" si="0"/>
        <v>54.179180000000002</v>
      </c>
    </row>
    <row r="24" spans="1:6" x14ac:dyDescent="0.2">
      <c r="A24" s="1">
        <v>2042</v>
      </c>
      <c r="B24" s="1">
        <v>25.561599999999999</v>
      </c>
      <c r="C24" s="1">
        <v>6.4329200000000002</v>
      </c>
      <c r="D24" s="1">
        <v>27.454000000000001</v>
      </c>
      <c r="E24" s="1">
        <v>1.8928</v>
      </c>
      <c r="F24" s="1">
        <f t="shared" si="0"/>
        <v>59.448520000000002</v>
      </c>
    </row>
    <row r="25" spans="1:6" x14ac:dyDescent="0.2">
      <c r="A25" s="1">
        <v>2043</v>
      </c>
      <c r="B25" s="1">
        <v>28.2193</v>
      </c>
      <c r="C25" s="1">
        <v>7.2325999999999997</v>
      </c>
      <c r="D25" s="1">
        <v>30.2912</v>
      </c>
      <c r="E25" s="1">
        <v>2.07186</v>
      </c>
      <c r="F25" s="1">
        <f t="shared" si="0"/>
        <v>65.743099999999998</v>
      </c>
    </row>
    <row r="26" spans="1:6" x14ac:dyDescent="0.2">
      <c r="A26" s="1">
        <v>2044</v>
      </c>
      <c r="B26" s="1">
        <v>31.174800000000001</v>
      </c>
      <c r="C26" s="1">
        <v>8.0572700000000008</v>
      </c>
      <c r="D26" s="1">
        <v>33.463999999999999</v>
      </c>
      <c r="E26" s="1">
        <v>2.2893699999999999</v>
      </c>
      <c r="F26" s="1">
        <f t="shared" si="0"/>
        <v>72.696069999999992</v>
      </c>
    </row>
    <row r="27" spans="1:6" x14ac:dyDescent="0.2">
      <c r="A27" s="1">
        <v>2045</v>
      </c>
      <c r="B27" s="1">
        <v>34.148000000000003</v>
      </c>
      <c r="C27" s="1">
        <v>8.9645899999999994</v>
      </c>
      <c r="D27" s="1">
        <v>36.656799999999997</v>
      </c>
      <c r="E27" s="1">
        <v>2.5088900000000001</v>
      </c>
      <c r="F27" s="1">
        <f t="shared" si="0"/>
        <v>79.769390000000001</v>
      </c>
    </row>
    <row r="28" spans="1:6" x14ac:dyDescent="0.2">
      <c r="A28" s="1">
        <v>2046</v>
      </c>
      <c r="B28" s="1">
        <v>37.349299999999999</v>
      </c>
      <c r="C28" s="1">
        <v>9.7570899999999998</v>
      </c>
      <c r="D28" s="1">
        <v>40.075600000000001</v>
      </c>
      <c r="E28" s="1">
        <v>2.7263999999999999</v>
      </c>
      <c r="F28" s="1">
        <f t="shared" si="0"/>
        <v>87.181989999999999</v>
      </c>
    </row>
    <row r="29" spans="1:6" x14ac:dyDescent="0.2">
      <c r="A29" s="1">
        <v>2047</v>
      </c>
      <c r="B29" s="1">
        <v>40.550899999999999</v>
      </c>
      <c r="C29" s="1">
        <v>10.8627</v>
      </c>
      <c r="D29" s="1">
        <v>43.526000000000003</v>
      </c>
      <c r="E29" s="1">
        <v>2.9752700000000001</v>
      </c>
      <c r="F29" s="1">
        <f t="shared" si="0"/>
        <v>94.939600000000013</v>
      </c>
    </row>
    <row r="30" spans="1:6" x14ac:dyDescent="0.2">
      <c r="A30" s="1">
        <v>2048</v>
      </c>
      <c r="B30" s="1">
        <v>43.798099999999998</v>
      </c>
      <c r="C30" s="1">
        <v>12.0022</v>
      </c>
      <c r="D30" s="1">
        <v>47.006</v>
      </c>
      <c r="E30" s="1">
        <v>3.2079399999999998</v>
      </c>
      <c r="F30" s="1">
        <f t="shared" si="0"/>
        <v>102.80629999999999</v>
      </c>
    </row>
    <row r="31" spans="1:6" x14ac:dyDescent="0.2">
      <c r="A31" s="1">
        <v>2049</v>
      </c>
      <c r="B31" s="1">
        <v>47.110900000000001</v>
      </c>
      <c r="C31" s="1">
        <v>13.191000000000001</v>
      </c>
      <c r="D31" s="1">
        <v>50.563600000000001</v>
      </c>
      <c r="E31" s="1">
        <v>3.4527600000000001</v>
      </c>
      <c r="F31" s="1">
        <f t="shared" si="0"/>
        <v>110.8655</v>
      </c>
    </row>
    <row r="32" spans="1:6" x14ac:dyDescent="0.2">
      <c r="A32" s="1">
        <v>2050</v>
      </c>
      <c r="B32" s="1">
        <v>50.619100000000003</v>
      </c>
      <c r="C32" s="1">
        <v>14.479799999999999</v>
      </c>
      <c r="D32" s="1">
        <v>54.354799999999997</v>
      </c>
      <c r="E32" s="1">
        <v>3.73603</v>
      </c>
      <c r="F32" s="1">
        <f t="shared" si="0"/>
        <v>119.4537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B012-B303-4C4C-92E2-6B1F776EEF25}">
  <dimension ref="A1:C32"/>
  <sheetViews>
    <sheetView workbookViewId="0">
      <selection activeCell="H15" sqref="H1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2</v>
      </c>
      <c r="C1" s="1" t="s">
        <v>23</v>
      </c>
    </row>
    <row r="2" spans="1:3" x14ac:dyDescent="0.2">
      <c r="A2" s="1">
        <v>2020</v>
      </c>
      <c r="B2" s="1">
        <v>0</v>
      </c>
      <c r="C2">
        <f>0</f>
        <v>0</v>
      </c>
    </row>
    <row r="3" spans="1:3" x14ac:dyDescent="0.2">
      <c r="A3" s="1">
        <v>2021</v>
      </c>
      <c r="B3" s="1">
        <v>0</v>
      </c>
      <c r="C3">
        <f>0</f>
        <v>0</v>
      </c>
    </row>
    <row r="4" spans="1:3" x14ac:dyDescent="0.2">
      <c r="A4" s="1">
        <v>2022</v>
      </c>
      <c r="B4" s="1">
        <v>0</v>
      </c>
      <c r="C4">
        <f>0</f>
        <v>0</v>
      </c>
    </row>
    <row r="5" spans="1:3" x14ac:dyDescent="0.2">
      <c r="A5" s="1">
        <v>2023</v>
      </c>
      <c r="B5" s="1">
        <v>0</v>
      </c>
      <c r="C5">
        <f>0</f>
        <v>0</v>
      </c>
    </row>
    <row r="6" spans="1:3" x14ac:dyDescent="0.2">
      <c r="A6" s="1">
        <v>2024</v>
      </c>
      <c r="B6" s="1">
        <v>0</v>
      </c>
      <c r="C6">
        <f>0</f>
        <v>0</v>
      </c>
    </row>
    <row r="7" spans="1:3" x14ac:dyDescent="0.2">
      <c r="A7" s="1">
        <v>2025</v>
      </c>
      <c r="B7" s="1">
        <v>0</v>
      </c>
      <c r="C7">
        <f>0</f>
        <v>0</v>
      </c>
    </row>
    <row r="8" spans="1:3" x14ac:dyDescent="0.2">
      <c r="A8" s="1">
        <v>2026</v>
      </c>
      <c r="B8" s="1">
        <v>0</v>
      </c>
      <c r="C8">
        <v>43</v>
      </c>
    </row>
    <row r="9" spans="1:3" x14ac:dyDescent="0.2">
      <c r="A9" s="1">
        <v>2027</v>
      </c>
      <c r="B9" s="1">
        <v>-3</v>
      </c>
      <c r="C9">
        <v>168</v>
      </c>
    </row>
    <row r="10" spans="1:3" x14ac:dyDescent="0.2">
      <c r="A10" s="1">
        <v>2028</v>
      </c>
      <c r="B10" s="1">
        <v>-4</v>
      </c>
      <c r="C10">
        <v>398</v>
      </c>
    </row>
    <row r="11" spans="1:3" x14ac:dyDescent="0.2">
      <c r="A11" s="1">
        <v>2029</v>
      </c>
      <c r="B11" s="1">
        <v>-11</v>
      </c>
      <c r="C11">
        <v>793</v>
      </c>
    </row>
    <row r="12" spans="1:3" x14ac:dyDescent="0.2">
      <c r="A12" s="1">
        <v>2030</v>
      </c>
      <c r="B12" s="1">
        <v>-17</v>
      </c>
      <c r="C12">
        <v>1329</v>
      </c>
    </row>
    <row r="13" spans="1:3" x14ac:dyDescent="0.2">
      <c r="A13" s="1">
        <v>2031</v>
      </c>
      <c r="B13" s="1">
        <v>-26</v>
      </c>
      <c r="C13">
        <v>1973</v>
      </c>
    </row>
    <row r="14" spans="1:3" x14ac:dyDescent="0.2">
      <c r="A14" s="1">
        <v>2032</v>
      </c>
      <c r="B14" s="1">
        <v>-34</v>
      </c>
      <c r="C14">
        <v>2695</v>
      </c>
    </row>
    <row r="15" spans="1:3" x14ac:dyDescent="0.2">
      <c r="A15" s="1">
        <v>2033</v>
      </c>
      <c r="B15" s="1">
        <v>-47</v>
      </c>
      <c r="C15">
        <v>3494</v>
      </c>
    </row>
    <row r="16" spans="1:3" x14ac:dyDescent="0.2">
      <c r="A16" s="1">
        <v>2034</v>
      </c>
      <c r="B16" s="1">
        <v>-58</v>
      </c>
      <c r="C16">
        <v>4376</v>
      </c>
    </row>
    <row r="17" spans="1:3" x14ac:dyDescent="0.2">
      <c r="A17" s="1">
        <v>2035</v>
      </c>
      <c r="B17" s="1">
        <v>-70</v>
      </c>
      <c r="C17">
        <v>5344</v>
      </c>
    </row>
    <row r="18" spans="1:3" x14ac:dyDescent="0.2">
      <c r="A18" s="1">
        <v>2036</v>
      </c>
      <c r="B18" s="1">
        <v>-85</v>
      </c>
      <c r="C18">
        <v>6399</v>
      </c>
    </row>
    <row r="19" spans="1:3" x14ac:dyDescent="0.2">
      <c r="A19" s="1">
        <v>2037</v>
      </c>
      <c r="B19" s="1">
        <v>-106</v>
      </c>
      <c r="C19">
        <v>7556</v>
      </c>
    </row>
    <row r="20" spans="1:3" x14ac:dyDescent="0.2">
      <c r="A20" s="1">
        <v>2038</v>
      </c>
      <c r="B20" s="1">
        <v>-130</v>
      </c>
      <c r="C20">
        <v>8822</v>
      </c>
    </row>
    <row r="21" spans="1:3" x14ac:dyDescent="0.2">
      <c r="A21" s="1">
        <v>2039</v>
      </c>
      <c r="B21" s="1">
        <v>-156</v>
      </c>
      <c r="C21">
        <v>10207</v>
      </c>
    </row>
    <row r="22" spans="1:3" x14ac:dyDescent="0.2">
      <c r="A22" s="1">
        <v>2040</v>
      </c>
      <c r="B22" s="1">
        <v>-185</v>
      </c>
      <c r="C22">
        <v>11736</v>
      </c>
    </row>
    <row r="23" spans="1:3" x14ac:dyDescent="0.2">
      <c r="A23" s="1">
        <v>2041</v>
      </c>
      <c r="B23" s="1">
        <v>-215</v>
      </c>
      <c r="C23">
        <v>13427</v>
      </c>
    </row>
    <row r="24" spans="1:3" x14ac:dyDescent="0.2">
      <c r="A24" s="1">
        <v>2042</v>
      </c>
      <c r="B24" s="1">
        <v>-246</v>
      </c>
      <c r="C24">
        <v>15298</v>
      </c>
    </row>
    <row r="25" spans="1:3" x14ac:dyDescent="0.2">
      <c r="A25" s="1">
        <v>2043</v>
      </c>
      <c r="B25" s="1">
        <v>-276</v>
      </c>
      <c r="C25">
        <v>17346</v>
      </c>
    </row>
    <row r="26" spans="1:3" x14ac:dyDescent="0.2">
      <c r="A26" s="1">
        <v>2044</v>
      </c>
      <c r="B26" s="1">
        <v>-299</v>
      </c>
      <c r="C26">
        <v>19609</v>
      </c>
    </row>
    <row r="27" spans="1:3" x14ac:dyDescent="0.2">
      <c r="A27" s="1">
        <v>2045</v>
      </c>
      <c r="B27" s="1">
        <v>-316</v>
      </c>
      <c r="C27">
        <v>22089</v>
      </c>
    </row>
    <row r="28" spans="1:3" x14ac:dyDescent="0.2">
      <c r="A28" s="1">
        <v>2046</v>
      </c>
      <c r="B28" s="1">
        <v>-330</v>
      </c>
      <c r="C28">
        <v>24784</v>
      </c>
    </row>
    <row r="29" spans="1:3" x14ac:dyDescent="0.2">
      <c r="A29" s="1">
        <v>2047</v>
      </c>
      <c r="B29" s="1">
        <v>-344</v>
      </c>
      <c r="C29">
        <v>27725</v>
      </c>
    </row>
    <row r="30" spans="1:3" x14ac:dyDescent="0.2">
      <c r="A30" s="1">
        <v>2048</v>
      </c>
      <c r="B30" s="1">
        <v>-353</v>
      </c>
      <c r="C30">
        <v>30999</v>
      </c>
    </row>
    <row r="31" spans="1:3" x14ac:dyDescent="0.2">
      <c r="A31" s="1">
        <v>2049</v>
      </c>
      <c r="B31" s="1">
        <v>-363</v>
      </c>
      <c r="C31">
        <v>35309</v>
      </c>
    </row>
    <row r="32" spans="1:3" x14ac:dyDescent="0.2">
      <c r="A32" s="1">
        <v>2050</v>
      </c>
      <c r="B32" s="1">
        <v>-373</v>
      </c>
      <c r="C32">
        <v>39333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8FEE-2677-7F43-B101-3FEC49910B53}">
  <dimension ref="A1:AF34"/>
  <sheetViews>
    <sheetView workbookViewId="0">
      <selection sqref="A1:G32"/>
    </sheetView>
  </sheetViews>
  <sheetFormatPr baseColWidth="10" defaultRowHeight="16" x14ac:dyDescent="0.2"/>
  <cols>
    <col min="1" max="1" width="12.5" customWidth="1"/>
  </cols>
  <sheetData>
    <row r="1" spans="1:32" ht="119" x14ac:dyDescent="0.2">
      <c r="A1" s="23" t="s">
        <v>0</v>
      </c>
      <c r="B1" s="22" t="s">
        <v>39</v>
      </c>
      <c r="C1" s="8" t="s">
        <v>33</v>
      </c>
      <c r="D1" s="9" t="s">
        <v>36</v>
      </c>
      <c r="E1" s="22" t="s">
        <v>104</v>
      </c>
      <c r="F1" s="9" t="s">
        <v>37</v>
      </c>
      <c r="G1" s="10" t="s">
        <v>38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1">
        <v>2020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1">
        <v>2021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">
      <c r="A4" s="1">
        <v>2022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">
      <c r="A5" s="1">
        <v>2023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K5" s="2"/>
      <c r="L5" s="2"/>
      <c r="M5" s="2"/>
      <c r="N5" s="2"/>
      <c r="O5" s="2"/>
      <c r="P5" s="2"/>
    </row>
    <row r="6" spans="1:32" x14ac:dyDescent="0.2">
      <c r="A6" s="1">
        <v>2024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">
      <c r="A7" s="1">
        <v>2025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">
      <c r="A8" s="1">
        <v>2026</v>
      </c>
      <c r="B8" s="1">
        <v>-9.5999999999999992E-3</v>
      </c>
      <c r="C8" s="1">
        <v>4.0000000000000002E-4</v>
      </c>
      <c r="D8" s="1">
        <v>-4.0000000000000002E-4</v>
      </c>
      <c r="E8" s="1">
        <v>0</v>
      </c>
      <c r="F8" s="1">
        <v>7.6E-3</v>
      </c>
      <c r="G8" s="1">
        <v>-4.0000000000000001E-3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">
      <c r="A9" s="1">
        <v>2027</v>
      </c>
      <c r="B9" s="1">
        <v>-6.0000000000000001E-3</v>
      </c>
      <c r="C9" s="1">
        <v>6.7999999999999996E-3</v>
      </c>
      <c r="D9" s="1">
        <v>-4.4000000000000003E-3</v>
      </c>
      <c r="E9" s="1">
        <v>-2E-3</v>
      </c>
      <c r="F9" s="1">
        <v>1.5599999999999999E-2</v>
      </c>
      <c r="G9" s="1">
        <v>9.6799999999999997E-2</v>
      </c>
      <c r="K9" s="2"/>
      <c r="L9" s="2"/>
      <c r="M9" s="2"/>
      <c r="N9" s="2"/>
      <c r="O9" s="2"/>
      <c r="P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">
      <c r="A10" s="1">
        <v>2028</v>
      </c>
      <c r="B10" s="1">
        <v>-2E-3</v>
      </c>
      <c r="C10" s="1">
        <v>0.01</v>
      </c>
      <c r="D10" s="1">
        <v>-6.0000000000000001E-3</v>
      </c>
      <c r="E10" s="1">
        <v>-6.7999999999999996E-3</v>
      </c>
      <c r="F10" s="1">
        <v>2.4400000000000002E-2</v>
      </c>
      <c r="G10" s="1">
        <v>6.3200000000000006E-2</v>
      </c>
      <c r="K10" s="2"/>
      <c r="L10" s="2"/>
      <c r="M10" s="2"/>
      <c r="N10" s="2"/>
      <c r="O10" s="2"/>
      <c r="P10" s="2"/>
    </row>
    <row r="11" spans="1:32" x14ac:dyDescent="0.2">
      <c r="A11" s="1">
        <v>2029</v>
      </c>
      <c r="B11" s="1">
        <v>2.8000000000000001E-2</v>
      </c>
      <c r="C11" s="1">
        <v>1.6799999999999999E-2</v>
      </c>
      <c r="D11" s="1">
        <v>-1.24E-2</v>
      </c>
      <c r="E11" s="1">
        <v>-1.12E-2</v>
      </c>
      <c r="F11" s="1">
        <v>3.3599999999999998E-2</v>
      </c>
      <c r="G11" s="1">
        <v>0.08</v>
      </c>
      <c r="K11" s="2"/>
      <c r="L11" s="2"/>
      <c r="M11" s="2"/>
      <c r="N11" s="2"/>
      <c r="O11" s="2"/>
      <c r="P11" s="2"/>
    </row>
    <row r="12" spans="1:32" x14ac:dyDescent="0.2">
      <c r="A12" s="1">
        <v>2030</v>
      </c>
      <c r="B12" s="1">
        <v>6.6000000000000003E-2</v>
      </c>
      <c r="C12" s="1">
        <v>2.1999999999999999E-2</v>
      </c>
      <c r="D12" s="1">
        <v>-1.8800000000000001E-2</v>
      </c>
      <c r="E12" s="1">
        <v>-1.6400000000000001E-2</v>
      </c>
      <c r="F12" s="1">
        <v>4.24E-2</v>
      </c>
      <c r="G12" s="1">
        <v>3.44E-2</v>
      </c>
      <c r="K12" s="2"/>
      <c r="L12" s="2"/>
      <c r="M12" s="2"/>
      <c r="N12" s="2"/>
      <c r="O12" s="2"/>
      <c r="P12" s="2"/>
    </row>
    <row r="13" spans="1:32" x14ac:dyDescent="0.2">
      <c r="A13" s="1">
        <v>2031</v>
      </c>
      <c r="B13" s="1">
        <v>9.1200000000000003E-2</v>
      </c>
      <c r="C13" s="1">
        <v>2.9600000000000001E-2</v>
      </c>
      <c r="D13" s="1">
        <v>-2.76E-2</v>
      </c>
      <c r="E13" s="1">
        <v>-2.0400000000000001E-2</v>
      </c>
      <c r="F13" s="1">
        <v>5.1200000000000002E-2</v>
      </c>
      <c r="G13" s="1">
        <v>3.44E-2</v>
      </c>
      <c r="K13" s="2"/>
      <c r="L13" s="2"/>
      <c r="M13" s="2"/>
      <c r="N13" s="2"/>
      <c r="O13" s="2"/>
      <c r="P13" s="2"/>
    </row>
    <row r="14" spans="1:32" x14ac:dyDescent="0.2">
      <c r="A14" s="1">
        <v>2032</v>
      </c>
      <c r="B14" s="1">
        <v>0.1208</v>
      </c>
      <c r="C14" s="1">
        <v>3.56E-2</v>
      </c>
      <c r="D14" s="1">
        <v>-3.5200000000000002E-2</v>
      </c>
      <c r="E14" s="1">
        <v>-2.4799999999999999E-2</v>
      </c>
      <c r="F14" s="1">
        <v>0.06</v>
      </c>
      <c r="G14" s="1">
        <v>2.1999999999999999E-2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">
      <c r="A15" s="1">
        <v>2033</v>
      </c>
      <c r="B15" s="1">
        <v>0.156</v>
      </c>
      <c r="C15" s="1">
        <v>5.04E-2</v>
      </c>
      <c r="D15" s="1">
        <v>-4.7199999999999999E-2</v>
      </c>
      <c r="E15" s="1">
        <v>-2.9600000000000001E-2</v>
      </c>
      <c r="F15" s="1">
        <v>6.9599999999999995E-2</v>
      </c>
      <c r="G15" s="1">
        <v>1.2800000000000001E-2</v>
      </c>
      <c r="K15" s="2"/>
      <c r="L15" s="2"/>
      <c r="M15" s="2"/>
      <c r="N15" s="2"/>
      <c r="O15" s="2"/>
      <c r="P15" s="2"/>
    </row>
    <row r="16" spans="1:32" x14ac:dyDescent="0.2">
      <c r="A16" s="1">
        <v>2034</v>
      </c>
      <c r="B16" s="1">
        <v>0.19359999999999999</v>
      </c>
      <c r="C16" s="1">
        <v>6.3600000000000004E-2</v>
      </c>
      <c r="D16" s="1">
        <v>-5.9200000000000003E-2</v>
      </c>
      <c r="E16" s="1">
        <v>-3.5999999999999997E-2</v>
      </c>
      <c r="F16" s="1">
        <v>7.8E-2</v>
      </c>
      <c r="G16" s="1">
        <v>-4.8800000000000003E-2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">
      <c r="A17" s="1">
        <v>2035</v>
      </c>
      <c r="B17" s="1">
        <v>0.23960000000000001</v>
      </c>
      <c r="C17" s="1">
        <v>7.4800000000000005E-2</v>
      </c>
      <c r="D17" s="1">
        <v>-7.1599999999999997E-2</v>
      </c>
      <c r="E17" s="1">
        <v>-4.48E-2</v>
      </c>
      <c r="F17" s="1">
        <v>8.8400000000000006E-2</v>
      </c>
      <c r="G17" s="1">
        <v>-6.2799999999999995E-2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">
      <c r="A18" s="1">
        <v>2036</v>
      </c>
      <c r="B18" s="1">
        <v>0.2964</v>
      </c>
      <c r="C18" s="1">
        <v>8.8400000000000006E-2</v>
      </c>
      <c r="D18" s="1">
        <v>-8.4000000000000005E-2</v>
      </c>
      <c r="E18" s="1">
        <v>-5.4399999999999997E-2</v>
      </c>
      <c r="F18" s="1">
        <v>9.8000000000000004E-2</v>
      </c>
      <c r="G18" s="1">
        <v>-8.4000000000000005E-2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">
      <c r="A19" s="1">
        <v>2037</v>
      </c>
      <c r="B19" s="1">
        <v>0.35880000000000001</v>
      </c>
      <c r="C19" s="1">
        <v>0.1052</v>
      </c>
      <c r="D19" s="1">
        <v>-0.10199999999999999</v>
      </c>
      <c r="E19" s="1">
        <v>-6.2799999999999995E-2</v>
      </c>
      <c r="F19" s="1">
        <v>0.1096</v>
      </c>
      <c r="G19" s="1">
        <v>-9.6799999999999997E-2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">
      <c r="A20" s="1">
        <v>2038</v>
      </c>
      <c r="B20" s="1">
        <v>0.42280000000000001</v>
      </c>
      <c r="C20" s="1">
        <v>0.13</v>
      </c>
      <c r="D20" s="1">
        <v>-0.12239999999999999</v>
      </c>
      <c r="E20" s="1">
        <v>-7.2800000000000004E-2</v>
      </c>
      <c r="F20" s="1">
        <v>0.1216</v>
      </c>
      <c r="G20" s="1">
        <v>-0.17119999999999999</v>
      </c>
      <c r="K20" s="2"/>
      <c r="L20" s="2"/>
      <c r="M20" s="2"/>
      <c r="N20" s="2"/>
      <c r="O20" s="2"/>
      <c r="P20" s="2"/>
    </row>
    <row r="21" spans="1:32" x14ac:dyDescent="0.2">
      <c r="A21" s="1">
        <v>2039</v>
      </c>
      <c r="B21" s="1">
        <v>0.4924</v>
      </c>
      <c r="C21" s="1">
        <v>0.1452</v>
      </c>
      <c r="D21" s="1">
        <v>-0.14360000000000001</v>
      </c>
      <c r="E21" s="1">
        <v>-8.3599999999999994E-2</v>
      </c>
      <c r="F21" s="1">
        <v>0.1348</v>
      </c>
      <c r="G21" s="1">
        <v>-0.2432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">
      <c r="A22" s="1">
        <v>2040</v>
      </c>
      <c r="B22" s="1">
        <v>0.56920000000000004</v>
      </c>
      <c r="C22" s="1">
        <v>0.18360000000000001</v>
      </c>
      <c r="D22" s="1">
        <v>-0.1668</v>
      </c>
      <c r="E22" s="1">
        <v>-9.4399999999999998E-2</v>
      </c>
      <c r="F22" s="1">
        <v>0.1484</v>
      </c>
      <c r="G22" s="1">
        <v>-0.29559999999999997</v>
      </c>
      <c r="I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">
      <c r="A23" s="1">
        <v>2041</v>
      </c>
      <c r="B23" s="1">
        <v>0.65959999999999996</v>
      </c>
      <c r="C23" s="1">
        <v>0.2172</v>
      </c>
      <c r="D23" s="1">
        <v>-0.19359999999999999</v>
      </c>
      <c r="E23" s="1">
        <v>-0.1056</v>
      </c>
      <c r="F23" s="1">
        <v>0.16439999999999999</v>
      </c>
      <c r="G23" s="1">
        <v>-0.3508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">
      <c r="A24" s="1">
        <v>2042</v>
      </c>
      <c r="B24" s="1">
        <v>0.74439999999999995</v>
      </c>
      <c r="C24" s="1">
        <v>0.25159999999999999</v>
      </c>
      <c r="D24" s="1">
        <v>-0.22120000000000001</v>
      </c>
      <c r="E24" s="1">
        <v>-0.1176</v>
      </c>
      <c r="F24" s="1">
        <v>0.18240000000000001</v>
      </c>
      <c r="G24" s="1">
        <v>-0.43280000000000002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">
      <c r="A25" s="1">
        <v>2043</v>
      </c>
      <c r="B25" s="1">
        <v>0.82520000000000004</v>
      </c>
      <c r="C25" s="1">
        <v>0.29599999999999999</v>
      </c>
      <c r="D25" s="1">
        <v>-0.25159999999999999</v>
      </c>
      <c r="E25" s="1">
        <v>-0.13039999999999999</v>
      </c>
      <c r="F25" s="1">
        <v>0.20039999999999999</v>
      </c>
      <c r="G25" s="1">
        <v>-0.54239999999999999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">
      <c r="A26" s="1">
        <v>2044</v>
      </c>
      <c r="B26" s="1">
        <v>0.9052</v>
      </c>
      <c r="C26" s="1">
        <v>0.35199999999999998</v>
      </c>
      <c r="D26" s="1">
        <v>-0.28079999999999999</v>
      </c>
      <c r="E26" s="1">
        <v>-0.14560000000000001</v>
      </c>
      <c r="F26" s="1">
        <v>0.2208</v>
      </c>
      <c r="G26" s="1">
        <v>-0.67959999999999998</v>
      </c>
      <c r="K26" s="2"/>
      <c r="L26" s="2"/>
      <c r="M26" s="2"/>
      <c r="N26" s="2"/>
      <c r="O26" s="2"/>
      <c r="P26" s="2"/>
      <c r="AC26" s="2"/>
      <c r="AD26" s="2"/>
      <c r="AE26" s="2"/>
      <c r="AF26" s="2"/>
    </row>
    <row r="27" spans="1:32" x14ac:dyDescent="0.2">
      <c r="A27" s="1">
        <v>2045</v>
      </c>
      <c r="B27" s="1">
        <v>1.0244</v>
      </c>
      <c r="C27" s="1">
        <v>0.40799999999999997</v>
      </c>
      <c r="D27" s="1">
        <v>-0.31440000000000001</v>
      </c>
      <c r="E27" s="1">
        <v>-0.1588</v>
      </c>
      <c r="F27" s="1">
        <v>0.2424</v>
      </c>
      <c r="G27" s="1">
        <v>-0.74039999999999995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">
      <c r="A28" s="1">
        <v>2046</v>
      </c>
      <c r="B28" s="1">
        <v>1.1639999999999999</v>
      </c>
      <c r="C28" s="1">
        <v>0.46160000000000001</v>
      </c>
      <c r="D28" s="1">
        <v>-0.35</v>
      </c>
      <c r="E28" s="1">
        <v>-0.17119999999999999</v>
      </c>
      <c r="F28" s="1">
        <v>0.26479999999999998</v>
      </c>
      <c r="G28" s="1">
        <v>-0.78600000000000003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1">
        <v>2047</v>
      </c>
      <c r="B29" s="1">
        <v>1.3064</v>
      </c>
      <c r="C29" s="1">
        <v>0.52159999999999995</v>
      </c>
      <c r="D29" s="1">
        <v>-0.38879999999999998</v>
      </c>
      <c r="E29" s="1">
        <v>-0.18920000000000001</v>
      </c>
      <c r="F29" s="1">
        <v>0.28960000000000002</v>
      </c>
      <c r="G29" s="1">
        <v>-0.8972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">
      <c r="A30" s="1">
        <v>2048</v>
      </c>
      <c r="B30" s="1">
        <v>1.4543999999999999</v>
      </c>
      <c r="C30" s="1">
        <v>0.56440000000000001</v>
      </c>
      <c r="D30" s="1">
        <v>-0.42920000000000003</v>
      </c>
      <c r="E30" s="1">
        <v>-0.2064</v>
      </c>
      <c r="F30" s="1">
        <v>0.31680000000000003</v>
      </c>
      <c r="G30" s="1">
        <v>-1.0316000000000001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">
      <c r="A31" s="1">
        <v>2049</v>
      </c>
      <c r="B31" s="1">
        <v>1.6075999999999999</v>
      </c>
      <c r="C31" s="1">
        <v>0.63480000000000003</v>
      </c>
      <c r="D31" s="1">
        <v>-0.47360000000000002</v>
      </c>
      <c r="E31" s="1">
        <v>-0.22320000000000001</v>
      </c>
      <c r="F31" s="1">
        <v>0.34720000000000001</v>
      </c>
      <c r="G31" s="1">
        <v>-1.1532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1">
        <v>2050</v>
      </c>
      <c r="B32" s="1">
        <v>1.768</v>
      </c>
      <c r="C32" s="1">
        <v>0.71519999999999995</v>
      </c>
      <c r="D32" s="1">
        <v>-0.52159999999999995</v>
      </c>
      <c r="E32" s="1">
        <v>-0.24160000000000001</v>
      </c>
      <c r="F32" s="1">
        <v>0.37880000000000003</v>
      </c>
      <c r="G32" s="1">
        <v>-1.2647999999999999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0:32" x14ac:dyDescent="0.2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0:32" x14ac:dyDescent="0.2"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45E5-9FAB-3C4B-A7E1-9BD05AF3CFBC}">
  <dimension ref="A1:N32"/>
  <sheetViews>
    <sheetView workbookViewId="0">
      <selection sqref="A1:G32"/>
    </sheetView>
  </sheetViews>
  <sheetFormatPr baseColWidth="10" defaultRowHeight="16" x14ac:dyDescent="0.2"/>
  <cols>
    <col min="8" max="8" width="11.1640625" bestFit="1" customWidth="1"/>
  </cols>
  <sheetData>
    <row r="1" spans="1:14" ht="112" x14ac:dyDescent="0.2">
      <c r="A1" s="7" t="s">
        <v>0</v>
      </c>
      <c r="B1" s="8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10" t="s">
        <v>38</v>
      </c>
    </row>
    <row r="2" spans="1:14" x14ac:dyDescent="0.2">
      <c r="A2" s="4">
        <v>2020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6"/>
      <c r="I2" s="2"/>
      <c r="J2" s="2"/>
      <c r="K2" s="2"/>
      <c r="L2" s="2"/>
      <c r="M2" s="2"/>
      <c r="N2" s="2"/>
    </row>
    <row r="3" spans="1:14" x14ac:dyDescent="0.2">
      <c r="A3" s="4">
        <v>2021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I3" s="2"/>
      <c r="J3" s="2"/>
      <c r="K3" s="2"/>
      <c r="L3" s="2"/>
      <c r="M3" s="2"/>
      <c r="N3" s="2"/>
    </row>
    <row r="4" spans="1:14" x14ac:dyDescent="0.2">
      <c r="A4" s="4">
        <v>2022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I4" s="2"/>
      <c r="J4" s="2"/>
      <c r="K4" s="2"/>
      <c r="L4" s="2"/>
      <c r="M4" s="2"/>
      <c r="N4" s="2"/>
    </row>
    <row r="5" spans="1:14" x14ac:dyDescent="0.2">
      <c r="A5" s="4">
        <v>2023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I5" s="2"/>
      <c r="J5" s="2"/>
      <c r="K5" s="2"/>
      <c r="L5" s="2"/>
      <c r="M5" s="2"/>
      <c r="N5" s="2"/>
    </row>
    <row r="6" spans="1:14" x14ac:dyDescent="0.2">
      <c r="A6" s="4">
        <v>2024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I6" s="2"/>
      <c r="J6" s="2"/>
      <c r="K6" s="2"/>
      <c r="L6" s="2"/>
      <c r="M6" s="2"/>
      <c r="N6" s="2"/>
    </row>
    <row r="7" spans="1:14" x14ac:dyDescent="0.2">
      <c r="A7" s="4">
        <v>2025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I7" s="2"/>
      <c r="J7" s="2"/>
      <c r="K7" s="2"/>
      <c r="L7" s="2"/>
      <c r="M7" s="2"/>
      <c r="N7" s="2"/>
    </row>
    <row r="8" spans="1:14" x14ac:dyDescent="0.2">
      <c r="A8" s="4">
        <v>2026</v>
      </c>
      <c r="B8" s="5">
        <v>0.15461900000000001</v>
      </c>
      <c r="C8" s="5">
        <v>0.209204</v>
      </c>
      <c r="D8" s="5">
        <v>0.11065999999999999</v>
      </c>
      <c r="E8" s="5">
        <v>-0.21714600000000001</v>
      </c>
      <c r="F8" s="5">
        <v>-3.75623E-2</v>
      </c>
      <c r="G8" s="5">
        <v>-0.16509099999999999</v>
      </c>
      <c r="I8" s="2"/>
      <c r="J8" s="2"/>
      <c r="K8" s="2"/>
      <c r="L8" s="2"/>
      <c r="M8" s="2"/>
      <c r="N8" s="2"/>
    </row>
    <row r="9" spans="1:14" x14ac:dyDescent="0.2">
      <c r="A9" s="4">
        <v>2027</v>
      </c>
      <c r="B9" s="5">
        <v>0.34718399999999999</v>
      </c>
      <c r="C9" s="5">
        <v>0.58750599999999997</v>
      </c>
      <c r="D9" s="5">
        <v>0.227774</v>
      </c>
      <c r="E9" s="5">
        <v>-0.60034500000000002</v>
      </c>
      <c r="F9" s="5">
        <v>4.60992E-2</v>
      </c>
      <c r="G9" s="5">
        <v>0.14038700000000001</v>
      </c>
      <c r="I9" s="2"/>
      <c r="J9" s="2"/>
      <c r="K9" s="2"/>
      <c r="L9" s="2"/>
      <c r="M9" s="2"/>
      <c r="N9" s="2"/>
    </row>
    <row r="10" spans="1:14" x14ac:dyDescent="0.2">
      <c r="A10" s="4">
        <v>2028</v>
      </c>
      <c r="B10" s="5">
        <v>0.559006</v>
      </c>
      <c r="C10" s="5">
        <v>1.0135000000000001</v>
      </c>
      <c r="D10" s="5">
        <v>0.37670300000000001</v>
      </c>
      <c r="E10" s="5">
        <v>-1.1828099999999999</v>
      </c>
      <c r="F10" s="5">
        <v>5.6343499999999998E-2</v>
      </c>
      <c r="G10" s="5">
        <v>-7.6520099999999994E-2</v>
      </c>
      <c r="I10" s="2"/>
      <c r="J10" s="2"/>
      <c r="K10" s="2"/>
      <c r="L10" s="2"/>
      <c r="M10" s="2"/>
      <c r="N10" s="2"/>
    </row>
    <row r="11" spans="1:14" x14ac:dyDescent="0.2">
      <c r="A11" s="4">
        <v>2029</v>
      </c>
      <c r="B11" s="5">
        <v>0.85804899999999995</v>
      </c>
      <c r="C11" s="5">
        <v>1.50345</v>
      </c>
      <c r="D11" s="5">
        <v>0.56897399999999998</v>
      </c>
      <c r="E11" s="5">
        <v>-1.9492100000000001</v>
      </c>
      <c r="F11" s="5">
        <v>-5.8050900000000002E-2</v>
      </c>
      <c r="G11" s="5">
        <v>-0.36091000000000001</v>
      </c>
      <c r="I11" s="2"/>
      <c r="J11" s="2"/>
      <c r="K11" s="2"/>
      <c r="L11" s="2"/>
      <c r="M11" s="2"/>
      <c r="N11" s="2"/>
    </row>
    <row r="12" spans="1:14" x14ac:dyDescent="0.2">
      <c r="A12" s="4">
        <v>2030</v>
      </c>
      <c r="B12" s="5">
        <v>1.1695500000000001</v>
      </c>
      <c r="C12" s="5">
        <v>2.0942099999999999</v>
      </c>
      <c r="D12" s="5">
        <v>0.84838999999999998</v>
      </c>
      <c r="E12" s="5">
        <v>-2.8229000000000002</v>
      </c>
      <c r="F12" s="5">
        <v>-0.33635399999999999</v>
      </c>
      <c r="G12" s="5">
        <v>-0.97487800000000002</v>
      </c>
      <c r="I12" s="2"/>
      <c r="J12" s="2"/>
      <c r="K12" s="2"/>
      <c r="L12" s="2"/>
      <c r="M12" s="2"/>
      <c r="N12" s="2"/>
    </row>
    <row r="13" spans="1:14" x14ac:dyDescent="0.2">
      <c r="A13" s="4">
        <v>2031</v>
      </c>
      <c r="B13" s="5">
        <v>1.49125</v>
      </c>
      <c r="C13" s="5">
        <v>2.7424200000000001</v>
      </c>
      <c r="D13" s="5">
        <v>1.13195</v>
      </c>
      <c r="E13" s="5">
        <v>-3.7681200000000001</v>
      </c>
      <c r="F13" s="5">
        <v>-0.66758499999999998</v>
      </c>
      <c r="G13" s="5">
        <v>-0.61457099999999998</v>
      </c>
      <c r="I13" s="2"/>
      <c r="J13" s="2"/>
      <c r="K13" s="2"/>
      <c r="L13" s="2"/>
      <c r="M13" s="2"/>
      <c r="N13" s="2"/>
    </row>
    <row r="14" spans="1:14" x14ac:dyDescent="0.2">
      <c r="A14" s="4">
        <v>2032</v>
      </c>
      <c r="B14" s="5">
        <v>1.75291</v>
      </c>
      <c r="C14" s="5">
        <v>3.4535</v>
      </c>
      <c r="D14" s="5">
        <v>1.4547099999999999</v>
      </c>
      <c r="E14" s="5">
        <v>-4.6929100000000004</v>
      </c>
      <c r="F14" s="5">
        <v>-1.11663</v>
      </c>
      <c r="G14" s="5">
        <v>-0.29101700000000003</v>
      </c>
      <c r="I14" s="2"/>
      <c r="J14" s="2"/>
      <c r="K14" s="2"/>
      <c r="L14" s="2"/>
      <c r="M14" s="2"/>
      <c r="N14" s="2"/>
    </row>
    <row r="15" spans="1:14" x14ac:dyDescent="0.2">
      <c r="A15" s="4">
        <v>2033</v>
      </c>
      <c r="B15" s="5">
        <v>2.0899000000000001</v>
      </c>
      <c r="C15" s="5">
        <v>4.2133500000000002</v>
      </c>
      <c r="D15" s="5">
        <v>1.7926800000000001</v>
      </c>
      <c r="E15" s="5">
        <v>-5.6432399999999996</v>
      </c>
      <c r="F15" s="5">
        <v>-1.6851799999999999</v>
      </c>
      <c r="G15" s="5">
        <v>-0.52600100000000005</v>
      </c>
      <c r="I15" s="2"/>
      <c r="J15" s="2"/>
      <c r="K15" s="2"/>
      <c r="L15" s="2"/>
      <c r="M15" s="2"/>
      <c r="N15" s="2"/>
    </row>
    <row r="16" spans="1:14" x14ac:dyDescent="0.2">
      <c r="A16" s="4">
        <v>2034</v>
      </c>
      <c r="B16" s="5">
        <v>2.4076300000000002</v>
      </c>
      <c r="C16" s="5">
        <v>5.0230699999999997</v>
      </c>
      <c r="D16" s="5">
        <v>2.1638500000000001</v>
      </c>
      <c r="E16" s="5">
        <v>-6.6829900000000002</v>
      </c>
      <c r="F16" s="5">
        <v>-2.3749600000000002</v>
      </c>
      <c r="G16" s="5">
        <v>-0.96523800000000004</v>
      </c>
      <c r="I16" s="2"/>
      <c r="J16" s="2"/>
      <c r="K16" s="2"/>
      <c r="L16" s="2"/>
      <c r="M16" s="2"/>
      <c r="N16" s="2"/>
    </row>
    <row r="17" spans="1:14" x14ac:dyDescent="0.2">
      <c r="A17" s="4">
        <v>2035</v>
      </c>
      <c r="B17" s="5">
        <v>2.69875</v>
      </c>
      <c r="C17" s="5">
        <v>5.8739800000000004</v>
      </c>
      <c r="D17" s="5">
        <v>2.5608499999999998</v>
      </c>
      <c r="E17" s="5">
        <v>-7.7840499999999997</v>
      </c>
      <c r="F17" s="5">
        <v>-3.1244999999999998</v>
      </c>
      <c r="G17" s="5">
        <v>-1.36893</v>
      </c>
      <c r="I17" s="2"/>
      <c r="J17" s="2"/>
      <c r="K17" s="2"/>
      <c r="L17" s="2"/>
      <c r="M17" s="2"/>
      <c r="N17" s="2"/>
    </row>
    <row r="18" spans="1:14" x14ac:dyDescent="0.2">
      <c r="A18" s="4">
        <v>2036</v>
      </c>
      <c r="B18" s="5">
        <v>3.0804800000000001</v>
      </c>
      <c r="C18" s="5">
        <v>6.7996800000000004</v>
      </c>
      <c r="D18" s="5">
        <v>3.03023</v>
      </c>
      <c r="E18" s="5">
        <v>-9.0077300000000005</v>
      </c>
      <c r="F18" s="5">
        <v>-3.7989199999999999</v>
      </c>
      <c r="G18" s="5">
        <v>-1.58162</v>
      </c>
      <c r="I18" s="2"/>
      <c r="J18" s="2"/>
      <c r="K18" s="2"/>
      <c r="L18" s="2"/>
      <c r="M18" s="2"/>
      <c r="N18" s="2"/>
    </row>
    <row r="19" spans="1:14" x14ac:dyDescent="0.2">
      <c r="A19" s="4">
        <v>2037</v>
      </c>
      <c r="B19" s="5">
        <v>3.5182799999999999</v>
      </c>
      <c r="C19" s="5">
        <v>7.8673799999999998</v>
      </c>
      <c r="D19" s="5">
        <v>3.6033499999999998</v>
      </c>
      <c r="E19" s="5">
        <v>-10.325900000000001</v>
      </c>
      <c r="F19" s="5">
        <v>-4.5245499999999996</v>
      </c>
      <c r="G19" s="5">
        <v>-1.74068</v>
      </c>
      <c r="I19" s="2"/>
      <c r="J19" s="2"/>
      <c r="K19" s="2"/>
      <c r="L19" s="2"/>
      <c r="M19" s="2"/>
      <c r="N19" s="2"/>
    </row>
    <row r="20" spans="1:14" x14ac:dyDescent="0.2">
      <c r="A20" s="4">
        <v>2038</v>
      </c>
      <c r="B20" s="5">
        <v>4.0948500000000001</v>
      </c>
      <c r="C20" s="5">
        <v>9.0055399999999999</v>
      </c>
      <c r="D20" s="5">
        <v>4.1681800000000004</v>
      </c>
      <c r="E20" s="5">
        <v>-11.866400000000001</v>
      </c>
      <c r="F20" s="5">
        <v>-5.3099499999999997</v>
      </c>
      <c r="G20" s="5">
        <v>-1.87083</v>
      </c>
      <c r="I20" s="2"/>
      <c r="J20" s="2"/>
      <c r="K20" s="2"/>
      <c r="L20" s="2"/>
      <c r="M20" s="2"/>
      <c r="N20" s="2"/>
    </row>
    <row r="21" spans="1:14" x14ac:dyDescent="0.2">
      <c r="A21" s="4">
        <v>2039</v>
      </c>
      <c r="B21" s="5">
        <v>4.3378199999999998</v>
      </c>
      <c r="C21" s="5">
        <v>10.1784</v>
      </c>
      <c r="D21" s="5">
        <v>4.7721900000000002</v>
      </c>
      <c r="E21" s="5">
        <v>-13.5039</v>
      </c>
      <c r="F21" s="5">
        <v>-6.1465699999999996</v>
      </c>
      <c r="G21" s="5">
        <v>-1.9985599999999999</v>
      </c>
      <c r="I21" s="2"/>
      <c r="J21" s="2"/>
      <c r="K21" s="2"/>
      <c r="L21" s="2"/>
      <c r="M21" s="2"/>
      <c r="N21" s="2"/>
    </row>
    <row r="22" spans="1:14" x14ac:dyDescent="0.2">
      <c r="A22" s="4">
        <v>2040</v>
      </c>
      <c r="B22" s="5">
        <v>5.0814599999999999</v>
      </c>
      <c r="C22" s="5">
        <v>11.4314</v>
      </c>
      <c r="D22" s="5">
        <v>5.4329200000000002</v>
      </c>
      <c r="E22" s="5">
        <v>-15.228300000000001</v>
      </c>
      <c r="F22" s="5">
        <v>-7.0736699999999999</v>
      </c>
      <c r="G22" s="5">
        <v>-2.1196700000000002</v>
      </c>
      <c r="I22" s="2"/>
      <c r="J22" s="2"/>
      <c r="K22" s="2"/>
      <c r="L22" s="2"/>
      <c r="M22" s="2"/>
      <c r="N22" s="2"/>
    </row>
    <row r="23" spans="1:14" x14ac:dyDescent="0.2">
      <c r="A23" s="4">
        <v>2041</v>
      </c>
      <c r="B23" s="5">
        <v>5.73278</v>
      </c>
      <c r="C23" s="5">
        <v>12.7788</v>
      </c>
      <c r="D23" s="5">
        <v>6.1665000000000001</v>
      </c>
      <c r="E23" s="5">
        <v>-17.226099999999999</v>
      </c>
      <c r="F23" s="5">
        <v>-8.0912699999999997</v>
      </c>
      <c r="G23" s="5">
        <v>-2.3624800000000001</v>
      </c>
      <c r="I23" s="2"/>
      <c r="J23" s="2"/>
      <c r="K23" s="2"/>
      <c r="L23" s="2"/>
      <c r="M23" s="2"/>
      <c r="N23" s="2"/>
    </row>
    <row r="24" spans="1:14" x14ac:dyDescent="0.2">
      <c r="A24" s="4">
        <v>2042</v>
      </c>
      <c r="B24" s="5">
        <v>6.3337000000000003</v>
      </c>
      <c r="C24" s="5">
        <v>14.2562</v>
      </c>
      <c r="D24" s="5">
        <v>6.9793900000000004</v>
      </c>
      <c r="E24" s="5">
        <v>-19.315799999999999</v>
      </c>
      <c r="F24" s="5">
        <v>-9.2027699999999992</v>
      </c>
      <c r="G24" s="5">
        <v>-2.6818200000000001</v>
      </c>
      <c r="I24" s="2"/>
      <c r="J24" s="2"/>
      <c r="K24" s="2"/>
      <c r="L24" s="2"/>
      <c r="M24" s="2"/>
      <c r="N24" s="2"/>
    </row>
    <row r="25" spans="1:14" x14ac:dyDescent="0.2">
      <c r="A25" s="4">
        <v>2043</v>
      </c>
      <c r="B25" s="5">
        <v>7.08697</v>
      </c>
      <c r="C25" s="5">
        <v>15.8432</v>
      </c>
      <c r="D25" s="5">
        <v>7.8600500000000002</v>
      </c>
      <c r="E25" s="5">
        <v>-21.584299999999999</v>
      </c>
      <c r="F25" s="5">
        <v>-10.442299999999999</v>
      </c>
      <c r="G25" s="5">
        <v>-3.0704500000000001</v>
      </c>
      <c r="I25" s="2"/>
      <c r="J25" s="2"/>
      <c r="K25" s="2"/>
      <c r="L25" s="2"/>
      <c r="M25" s="2"/>
      <c r="N25" s="2"/>
    </row>
    <row r="26" spans="1:14" x14ac:dyDescent="0.2">
      <c r="A26" s="4">
        <v>2044</v>
      </c>
      <c r="B26" s="5">
        <v>7.9699400000000002</v>
      </c>
      <c r="C26" s="5">
        <v>17.476700000000001</v>
      </c>
      <c r="D26" s="5">
        <v>8.77346</v>
      </c>
      <c r="E26" s="5">
        <v>-23.924399999999999</v>
      </c>
      <c r="F26" s="5">
        <v>-11.827</v>
      </c>
      <c r="G26" s="5">
        <v>-3.4675099999999999</v>
      </c>
      <c r="I26" s="2"/>
      <c r="J26" s="2"/>
      <c r="K26" s="2"/>
      <c r="L26" s="2"/>
      <c r="M26" s="2"/>
      <c r="N26" s="2"/>
    </row>
    <row r="27" spans="1:14" x14ac:dyDescent="0.2">
      <c r="A27" s="4">
        <v>2045</v>
      </c>
      <c r="B27" s="5">
        <v>8.8857599999999994</v>
      </c>
      <c r="C27" s="5">
        <v>19.226199999999999</v>
      </c>
      <c r="D27" s="5">
        <v>9.7739999999999991</v>
      </c>
      <c r="E27" s="5">
        <v>-26.361499999999999</v>
      </c>
      <c r="F27" s="5">
        <v>-13.380699999999999</v>
      </c>
      <c r="G27" s="5">
        <v>-4.0995499999999998</v>
      </c>
      <c r="I27" s="2"/>
      <c r="J27" s="2"/>
      <c r="K27" s="2"/>
      <c r="L27" s="2"/>
      <c r="M27" s="2"/>
      <c r="N27" s="2"/>
    </row>
    <row r="28" spans="1:14" x14ac:dyDescent="0.2">
      <c r="A28" s="4">
        <v>2046</v>
      </c>
      <c r="B28" s="5">
        <v>9.9131499999999999</v>
      </c>
      <c r="C28" s="5">
        <v>20.938800000000001</v>
      </c>
      <c r="D28" s="5">
        <v>10.7178</v>
      </c>
      <c r="E28" s="5">
        <v>-28.732299999999999</v>
      </c>
      <c r="F28" s="5">
        <v>-15.1052</v>
      </c>
      <c r="G28" s="5">
        <v>-4.66411</v>
      </c>
      <c r="I28" s="2"/>
      <c r="J28" s="2"/>
      <c r="K28" s="2"/>
      <c r="L28" s="2"/>
      <c r="M28" s="2"/>
      <c r="N28" s="2"/>
    </row>
    <row r="29" spans="1:14" x14ac:dyDescent="0.2">
      <c r="A29" s="4">
        <v>2047</v>
      </c>
      <c r="B29" s="5">
        <v>10.960900000000001</v>
      </c>
      <c r="C29" s="5">
        <v>22.8856</v>
      </c>
      <c r="D29" s="5">
        <v>11.928599999999999</v>
      </c>
      <c r="E29" s="5">
        <v>-31.419799999999999</v>
      </c>
      <c r="F29" s="5">
        <v>-17.015699999999999</v>
      </c>
      <c r="G29" s="5">
        <v>-5.2889299999999997</v>
      </c>
      <c r="I29" s="2"/>
      <c r="J29" s="2"/>
      <c r="K29" s="2"/>
      <c r="L29" s="2"/>
      <c r="M29" s="2"/>
      <c r="N29" s="2"/>
    </row>
    <row r="30" spans="1:14" x14ac:dyDescent="0.2">
      <c r="A30" s="4">
        <v>2048</v>
      </c>
      <c r="B30" s="5">
        <v>11.367599999999999</v>
      </c>
      <c r="C30" s="5">
        <v>25.052499999999998</v>
      </c>
      <c r="D30" s="5">
        <v>13.2012</v>
      </c>
      <c r="E30" s="5">
        <v>-34.153300000000002</v>
      </c>
      <c r="F30" s="5">
        <v>-19.090199999999999</v>
      </c>
      <c r="G30" s="5">
        <v>-5.9089200000000002</v>
      </c>
      <c r="I30" s="2"/>
      <c r="J30" s="2"/>
      <c r="K30" s="2"/>
      <c r="L30" s="2"/>
      <c r="M30" s="2"/>
      <c r="N30" s="2"/>
    </row>
    <row r="31" spans="1:14" x14ac:dyDescent="0.2">
      <c r="A31" s="4">
        <v>2049</v>
      </c>
      <c r="B31" s="5">
        <v>12.484500000000001</v>
      </c>
      <c r="C31" s="5">
        <v>27.314699999999998</v>
      </c>
      <c r="D31" s="5">
        <v>14.532400000000001</v>
      </c>
      <c r="E31" s="5">
        <v>-37.078299999999999</v>
      </c>
      <c r="F31" s="5">
        <v>-21.371300000000002</v>
      </c>
      <c r="G31" s="5">
        <v>-6.0951000000000004</v>
      </c>
      <c r="I31" s="2"/>
      <c r="J31" s="2"/>
      <c r="K31" s="2"/>
      <c r="L31" s="2"/>
      <c r="M31" s="2"/>
      <c r="N31" s="2"/>
    </row>
    <row r="32" spans="1:14" x14ac:dyDescent="0.2">
      <c r="A32" s="4">
        <v>2050</v>
      </c>
      <c r="B32" s="5">
        <v>13.475</v>
      </c>
      <c r="C32" s="5">
        <v>29.693999999999999</v>
      </c>
      <c r="D32" s="5">
        <v>15.979200000000001</v>
      </c>
      <c r="E32" s="5">
        <v>-40.2104</v>
      </c>
      <c r="F32" s="5">
        <v>-23.8538</v>
      </c>
      <c r="G32" s="5">
        <v>-6.3204399999999996</v>
      </c>
      <c r="I32" s="2"/>
      <c r="J32" s="2"/>
      <c r="K32" s="2"/>
      <c r="L32" s="2"/>
      <c r="M32" s="2"/>
      <c r="N32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BA88-7AB7-2443-B917-153B053FBE34}">
  <dimension ref="A1:G32"/>
  <sheetViews>
    <sheetView workbookViewId="0">
      <selection sqref="A1:G32"/>
    </sheetView>
  </sheetViews>
  <sheetFormatPr baseColWidth="10" defaultRowHeight="16" x14ac:dyDescent="0.2"/>
  <cols>
    <col min="1" max="1" width="11.6640625" customWidth="1"/>
  </cols>
  <sheetData>
    <row r="1" spans="1:7" ht="112" x14ac:dyDescent="0.2">
      <c r="A1" s="23" t="s">
        <v>0</v>
      </c>
      <c r="B1" s="11" t="s">
        <v>39</v>
      </c>
      <c r="C1" s="22" t="s">
        <v>103</v>
      </c>
      <c r="D1" s="9" t="s">
        <v>36</v>
      </c>
      <c r="E1" s="10" t="s">
        <v>38</v>
      </c>
      <c r="F1" s="11" t="s">
        <v>40</v>
      </c>
      <c r="G1" s="22" t="s">
        <v>105</v>
      </c>
    </row>
    <row r="2" spans="1:7" x14ac:dyDescent="0.2">
      <c r="A2" s="1">
        <v>2020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2">
      <c r="A3" s="1">
        <v>2021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2">
      <c r="A4" s="1">
        <v>2022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2">
      <c r="A5" s="1">
        <v>2023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2">
      <c r="A6" s="1">
        <v>2024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2">
      <c r="A7" s="1">
        <v>2025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2">
      <c r="A8" s="1">
        <v>2026</v>
      </c>
      <c r="B8" s="1">
        <v>-594</v>
      </c>
      <c r="C8" s="1">
        <v>46</v>
      </c>
      <c r="D8" s="1">
        <v>-3</v>
      </c>
      <c r="E8" s="1">
        <v>-39</v>
      </c>
      <c r="F8" s="1">
        <v>2764</v>
      </c>
      <c r="G8" s="1">
        <v>460</v>
      </c>
    </row>
    <row r="9" spans="1:7" x14ac:dyDescent="0.2">
      <c r="A9" s="1">
        <v>2027</v>
      </c>
      <c r="B9" s="1">
        <v>-868</v>
      </c>
      <c r="C9" s="1">
        <v>-100</v>
      </c>
      <c r="D9" s="1">
        <v>-21</v>
      </c>
      <c r="E9" s="1">
        <v>859</v>
      </c>
      <c r="F9" s="1">
        <v>2974</v>
      </c>
      <c r="G9" s="1">
        <v>945</v>
      </c>
    </row>
    <row r="10" spans="1:7" x14ac:dyDescent="0.2">
      <c r="A10" s="1">
        <v>2028</v>
      </c>
      <c r="B10" s="1">
        <v>-372</v>
      </c>
      <c r="C10" s="1">
        <v>100</v>
      </c>
      <c r="D10" s="1">
        <v>-31</v>
      </c>
      <c r="E10" s="1">
        <v>559</v>
      </c>
      <c r="F10" s="1">
        <v>3532</v>
      </c>
      <c r="G10" s="1">
        <v>1555</v>
      </c>
    </row>
    <row r="11" spans="1:7" x14ac:dyDescent="0.2">
      <c r="A11" s="1">
        <v>2029</v>
      </c>
      <c r="B11" s="1">
        <v>1254</v>
      </c>
      <c r="C11" s="1">
        <v>-224</v>
      </c>
      <c r="D11" s="1">
        <v>-60</v>
      </c>
      <c r="E11" s="1">
        <v>706</v>
      </c>
      <c r="F11" s="1">
        <v>3508</v>
      </c>
      <c r="G11" s="1">
        <v>2037</v>
      </c>
    </row>
    <row r="12" spans="1:7" x14ac:dyDescent="0.2">
      <c r="A12" s="1">
        <v>2030</v>
      </c>
      <c r="B12" s="1">
        <v>3610</v>
      </c>
      <c r="C12" s="1">
        <v>-408</v>
      </c>
      <c r="D12" s="1">
        <v>-89</v>
      </c>
      <c r="E12" s="1">
        <v>301</v>
      </c>
      <c r="F12" s="1">
        <v>4149</v>
      </c>
      <c r="G12" s="1">
        <v>2625</v>
      </c>
    </row>
    <row r="13" spans="1:7" x14ac:dyDescent="0.2">
      <c r="A13" s="1">
        <v>2031</v>
      </c>
      <c r="B13" s="1">
        <v>5472</v>
      </c>
      <c r="C13" s="1">
        <v>-741</v>
      </c>
      <c r="D13" s="1">
        <v>-129</v>
      </c>
      <c r="E13" s="1">
        <v>299</v>
      </c>
      <c r="F13" s="1">
        <v>4429</v>
      </c>
      <c r="G13" s="1">
        <v>3019</v>
      </c>
    </row>
    <row r="14" spans="1:7" x14ac:dyDescent="0.2">
      <c r="A14" s="1">
        <v>2032</v>
      </c>
      <c r="B14" s="1">
        <v>7707</v>
      </c>
      <c r="C14" s="1">
        <v>-736</v>
      </c>
      <c r="D14" s="1">
        <v>-164</v>
      </c>
      <c r="E14" s="1">
        <v>191</v>
      </c>
      <c r="F14" s="1">
        <v>4510</v>
      </c>
      <c r="G14" s="1">
        <v>3383</v>
      </c>
    </row>
    <row r="15" spans="1:7" x14ac:dyDescent="0.2">
      <c r="A15" s="1">
        <v>2033</v>
      </c>
      <c r="B15" s="1">
        <v>10363</v>
      </c>
      <c r="C15" s="1">
        <v>-1183</v>
      </c>
      <c r="D15" s="1">
        <v>-218</v>
      </c>
      <c r="E15" s="1">
        <v>108</v>
      </c>
      <c r="F15" s="1">
        <v>4392</v>
      </c>
      <c r="G15" s="1">
        <v>3750</v>
      </c>
    </row>
    <row r="16" spans="1:7" x14ac:dyDescent="0.2">
      <c r="A16" s="1">
        <v>2034</v>
      </c>
      <c r="B16" s="1">
        <v>13468</v>
      </c>
      <c r="C16" s="1">
        <v>-1382</v>
      </c>
      <c r="D16" s="1">
        <v>-273</v>
      </c>
      <c r="E16" s="1">
        <v>-443</v>
      </c>
      <c r="F16" s="1">
        <v>4864</v>
      </c>
      <c r="G16" s="1">
        <v>4208</v>
      </c>
    </row>
    <row r="17" spans="1:7" x14ac:dyDescent="0.2">
      <c r="A17" s="1">
        <v>2035</v>
      </c>
      <c r="B17" s="1">
        <v>16999</v>
      </c>
      <c r="C17" s="1">
        <v>-1557</v>
      </c>
      <c r="D17" s="1">
        <v>-329</v>
      </c>
      <c r="E17" s="1">
        <v>-570</v>
      </c>
      <c r="F17" s="1">
        <v>5259</v>
      </c>
      <c r="G17" s="1">
        <v>4586</v>
      </c>
    </row>
    <row r="18" spans="1:7" x14ac:dyDescent="0.2">
      <c r="A18" s="1">
        <v>2036</v>
      </c>
      <c r="B18" s="1">
        <v>21034</v>
      </c>
      <c r="C18" s="1">
        <v>-1470</v>
      </c>
      <c r="D18" s="1">
        <v>-386</v>
      </c>
      <c r="E18" s="1">
        <v>-759</v>
      </c>
      <c r="F18" s="1">
        <v>5476</v>
      </c>
      <c r="G18" s="1">
        <v>5227</v>
      </c>
    </row>
    <row r="19" spans="1:7" x14ac:dyDescent="0.2">
      <c r="A19" s="1">
        <v>2037</v>
      </c>
      <c r="B19" s="1">
        <v>25464</v>
      </c>
      <c r="C19" s="1">
        <v>-1455</v>
      </c>
      <c r="D19" s="1">
        <v>-469</v>
      </c>
      <c r="E19" s="1">
        <v>-876</v>
      </c>
      <c r="F19" s="1">
        <v>5357</v>
      </c>
      <c r="G19" s="1">
        <v>5864</v>
      </c>
    </row>
    <row r="20" spans="1:7" x14ac:dyDescent="0.2">
      <c r="A20" s="1">
        <v>2038</v>
      </c>
      <c r="B20" s="1">
        <v>30386</v>
      </c>
      <c r="C20" s="1">
        <v>-1532</v>
      </c>
      <c r="D20" s="1">
        <v>-560</v>
      </c>
      <c r="E20" s="1">
        <v>-1540</v>
      </c>
      <c r="F20" s="1">
        <v>5397</v>
      </c>
      <c r="G20" s="1">
        <v>6543</v>
      </c>
    </row>
    <row r="21" spans="1:7" x14ac:dyDescent="0.2">
      <c r="A21" s="1">
        <v>2039</v>
      </c>
      <c r="B21" s="1">
        <v>35656</v>
      </c>
      <c r="C21" s="1">
        <v>-1616</v>
      </c>
      <c r="D21" s="1">
        <v>-656</v>
      </c>
      <c r="E21" s="1">
        <v>-2180</v>
      </c>
      <c r="F21" s="1">
        <v>5788</v>
      </c>
      <c r="G21" s="1">
        <v>7303</v>
      </c>
    </row>
    <row r="22" spans="1:7" x14ac:dyDescent="0.2">
      <c r="A22" s="1">
        <v>2040</v>
      </c>
      <c r="B22" s="1">
        <v>41340</v>
      </c>
      <c r="C22" s="1">
        <v>-1654</v>
      </c>
      <c r="D22" s="1">
        <v>-761</v>
      </c>
      <c r="E22" s="1">
        <v>-2650</v>
      </c>
      <c r="F22" s="1">
        <v>6119</v>
      </c>
      <c r="G22" s="1">
        <v>8045</v>
      </c>
    </row>
    <row r="23" spans="1:7" x14ac:dyDescent="0.2">
      <c r="A23" s="1">
        <v>2041</v>
      </c>
      <c r="B23" s="1">
        <v>47537</v>
      </c>
      <c r="C23" s="1">
        <v>-1929</v>
      </c>
      <c r="D23" s="1">
        <v>-883</v>
      </c>
      <c r="E23" s="1">
        <v>-3143</v>
      </c>
      <c r="F23" s="1">
        <v>6554</v>
      </c>
      <c r="G23" s="1">
        <v>9250</v>
      </c>
    </row>
    <row r="24" spans="1:7" x14ac:dyDescent="0.2">
      <c r="A24" s="1">
        <v>2042</v>
      </c>
      <c r="B24" s="1">
        <v>53115</v>
      </c>
      <c r="C24" s="1">
        <v>-2339</v>
      </c>
      <c r="D24" s="1">
        <v>-1007</v>
      </c>
      <c r="E24" s="1">
        <v>-3878</v>
      </c>
      <c r="F24" s="1">
        <v>7149</v>
      </c>
      <c r="G24" s="1">
        <v>10558</v>
      </c>
    </row>
    <row r="25" spans="1:7" x14ac:dyDescent="0.2">
      <c r="A25" s="1">
        <v>2043</v>
      </c>
      <c r="B25" s="1">
        <v>58121</v>
      </c>
      <c r="C25" s="1">
        <v>-2634</v>
      </c>
      <c r="D25" s="1">
        <v>-1145</v>
      </c>
      <c r="E25" s="1">
        <v>-4853</v>
      </c>
      <c r="F25" s="1">
        <v>8254</v>
      </c>
      <c r="G25" s="1">
        <v>11905</v>
      </c>
    </row>
    <row r="26" spans="1:7" x14ac:dyDescent="0.2">
      <c r="A26" s="1">
        <v>2044</v>
      </c>
      <c r="B26" s="1">
        <v>62928</v>
      </c>
      <c r="C26" s="1">
        <v>-3025</v>
      </c>
      <c r="D26" s="1">
        <v>-1278</v>
      </c>
      <c r="E26" s="1">
        <v>-6079</v>
      </c>
      <c r="F26" s="1">
        <v>10008</v>
      </c>
      <c r="G26" s="1">
        <v>13519</v>
      </c>
    </row>
    <row r="27" spans="1:7" x14ac:dyDescent="0.2">
      <c r="A27" s="1">
        <v>2045</v>
      </c>
      <c r="B27" s="1">
        <v>70860</v>
      </c>
      <c r="C27" s="1">
        <v>-3226</v>
      </c>
      <c r="D27" s="1">
        <v>-1431</v>
      </c>
      <c r="E27" s="1">
        <v>-6623</v>
      </c>
      <c r="F27" s="1">
        <v>11821</v>
      </c>
      <c r="G27" s="1">
        <v>15119</v>
      </c>
    </row>
    <row r="28" spans="1:7" x14ac:dyDescent="0.2">
      <c r="A28" s="1">
        <v>2046</v>
      </c>
      <c r="B28" s="1">
        <v>79115</v>
      </c>
      <c r="C28" s="1">
        <v>-4476</v>
      </c>
      <c r="D28" s="1">
        <v>-1593</v>
      </c>
      <c r="E28" s="1">
        <v>-7027</v>
      </c>
      <c r="F28" s="1">
        <v>19510</v>
      </c>
      <c r="G28" s="1">
        <v>15793</v>
      </c>
    </row>
    <row r="29" spans="1:7" x14ac:dyDescent="0.2">
      <c r="A29" s="1">
        <v>2047</v>
      </c>
      <c r="B29" s="1">
        <v>87958</v>
      </c>
      <c r="C29" s="1">
        <v>-4516</v>
      </c>
      <c r="D29" s="1">
        <v>-1767</v>
      </c>
      <c r="E29" s="1">
        <v>-8019</v>
      </c>
      <c r="F29" s="1">
        <v>20052</v>
      </c>
      <c r="G29" s="1">
        <v>17765</v>
      </c>
    </row>
    <row r="30" spans="1:7" x14ac:dyDescent="0.2">
      <c r="A30" s="1">
        <v>2048</v>
      </c>
      <c r="B30" s="1">
        <v>97408</v>
      </c>
      <c r="C30" s="1">
        <v>-4768</v>
      </c>
      <c r="D30" s="1">
        <v>-1949</v>
      </c>
      <c r="E30" s="1">
        <v>-9219</v>
      </c>
      <c r="F30" s="1">
        <v>20806</v>
      </c>
      <c r="G30" s="1">
        <v>19949</v>
      </c>
    </row>
    <row r="31" spans="1:7" x14ac:dyDescent="0.2">
      <c r="A31" s="1">
        <v>2049</v>
      </c>
      <c r="B31" s="1">
        <v>107222</v>
      </c>
      <c r="C31" s="1">
        <v>-4899</v>
      </c>
      <c r="D31" s="1">
        <v>-2148</v>
      </c>
      <c r="E31" s="1">
        <v>-10306</v>
      </c>
      <c r="F31" s="1">
        <v>21896</v>
      </c>
      <c r="G31" s="1">
        <v>22240</v>
      </c>
    </row>
    <row r="32" spans="1:7" x14ac:dyDescent="0.2">
      <c r="A32" s="1">
        <v>2050</v>
      </c>
      <c r="B32" s="1">
        <v>117498</v>
      </c>
      <c r="C32" s="1">
        <v>-5279</v>
      </c>
      <c r="D32" s="1">
        <v>-2365</v>
      </c>
      <c r="E32" s="1">
        <v>-11301</v>
      </c>
      <c r="F32" s="1">
        <v>22930</v>
      </c>
      <c r="G32" s="1">
        <v>24677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16E8-C52D-254D-A305-1922286AED74}">
  <dimension ref="A1:G32"/>
  <sheetViews>
    <sheetView tabSelected="1" workbookViewId="0">
      <selection activeCell="B2" sqref="B2"/>
    </sheetView>
  </sheetViews>
  <sheetFormatPr baseColWidth="10" defaultRowHeight="16" x14ac:dyDescent="0.2"/>
  <sheetData>
    <row r="1" spans="1:7" ht="112" x14ac:dyDescent="0.2">
      <c r="A1" s="11" t="s">
        <v>0</v>
      </c>
      <c r="B1" s="11" t="s">
        <v>39</v>
      </c>
      <c r="C1" s="11" t="s">
        <v>40</v>
      </c>
      <c r="D1" s="11" t="s">
        <v>41</v>
      </c>
      <c r="E1" s="9" t="s">
        <v>36</v>
      </c>
      <c r="F1" s="9" t="s">
        <v>37</v>
      </c>
      <c r="G1" s="10" t="s">
        <v>38</v>
      </c>
    </row>
    <row r="2" spans="1:7" x14ac:dyDescent="0.2">
      <c r="A2" s="4">
        <v>2020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">
      <c r="A3" s="4">
        <v>2021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</row>
    <row r="4" spans="1:7" x14ac:dyDescent="0.2">
      <c r="A4" s="4">
        <v>2022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x14ac:dyDescent="0.2">
      <c r="A5" s="4">
        <v>2023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r="6" spans="1:7" x14ac:dyDescent="0.2">
      <c r="A6" s="4">
        <v>2024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</row>
    <row r="7" spans="1:7" x14ac:dyDescent="0.2">
      <c r="A7" s="4">
        <v>2025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2">
      <c r="A8" s="4">
        <v>2026</v>
      </c>
      <c r="B8" s="4">
        <v>-7648</v>
      </c>
      <c r="C8" s="4">
        <v>8923</v>
      </c>
      <c r="D8" s="4">
        <v>2402</v>
      </c>
      <c r="E8" s="4">
        <v>-155</v>
      </c>
      <c r="F8" s="4">
        <v>-151</v>
      </c>
      <c r="G8" s="4">
        <v>-987</v>
      </c>
    </row>
    <row r="9" spans="1:7" x14ac:dyDescent="0.2">
      <c r="A9" s="4">
        <v>2027</v>
      </c>
      <c r="B9" s="4">
        <v>-9674</v>
      </c>
      <c r="C9" s="4">
        <v>12081</v>
      </c>
      <c r="D9" s="4">
        <v>5320</v>
      </c>
      <c r="E9" s="4">
        <v>-432</v>
      </c>
      <c r="F9" s="4">
        <v>185</v>
      </c>
      <c r="G9" s="4">
        <v>811</v>
      </c>
    </row>
    <row r="10" spans="1:7" x14ac:dyDescent="0.2">
      <c r="A10" s="4">
        <v>2028</v>
      </c>
      <c r="B10" s="4">
        <v>-9006</v>
      </c>
      <c r="C10" s="4">
        <v>20194</v>
      </c>
      <c r="D10" s="4">
        <v>9223</v>
      </c>
      <c r="E10" s="4">
        <v>-845</v>
      </c>
      <c r="F10" s="4">
        <v>242</v>
      </c>
      <c r="G10" s="4">
        <v>-484</v>
      </c>
    </row>
    <row r="11" spans="1:7" x14ac:dyDescent="0.2">
      <c r="A11" s="4">
        <v>2029</v>
      </c>
      <c r="B11" s="4">
        <v>-10049</v>
      </c>
      <c r="C11" s="4">
        <v>24946</v>
      </c>
      <c r="D11" s="4">
        <v>14441</v>
      </c>
      <c r="E11" s="4">
        <v>-1385</v>
      </c>
      <c r="F11" s="4">
        <v>-208</v>
      </c>
      <c r="G11" s="4">
        <v>-2174</v>
      </c>
    </row>
    <row r="12" spans="1:7" x14ac:dyDescent="0.2">
      <c r="A12" s="4">
        <v>2030</v>
      </c>
      <c r="B12" s="4">
        <v>-2442</v>
      </c>
      <c r="C12" s="4">
        <v>39668</v>
      </c>
      <c r="D12" s="4">
        <v>21297</v>
      </c>
      <c r="E12" s="4">
        <v>-1993</v>
      </c>
      <c r="F12" s="4">
        <v>-1295</v>
      </c>
      <c r="G12" s="4">
        <v>-5823</v>
      </c>
    </row>
    <row r="13" spans="1:7" x14ac:dyDescent="0.2">
      <c r="A13" s="4">
        <v>2031</v>
      </c>
      <c r="B13" s="4">
        <v>5154</v>
      </c>
      <c r="C13" s="4">
        <v>50168</v>
      </c>
      <c r="D13" s="4">
        <v>28248</v>
      </c>
      <c r="E13" s="4">
        <v>-2661</v>
      </c>
      <c r="F13" s="4">
        <v>-2632</v>
      </c>
      <c r="G13" s="4">
        <v>-3694</v>
      </c>
    </row>
    <row r="14" spans="1:7" x14ac:dyDescent="0.2">
      <c r="A14" s="4">
        <v>2032</v>
      </c>
      <c r="B14" s="4">
        <v>15267</v>
      </c>
      <c r="C14" s="4">
        <v>52597</v>
      </c>
      <c r="D14" s="4">
        <v>36764</v>
      </c>
      <c r="E14" s="4">
        <v>-3316</v>
      </c>
      <c r="F14" s="4">
        <v>-4441</v>
      </c>
      <c r="G14" s="4">
        <v>-1784</v>
      </c>
    </row>
    <row r="15" spans="1:7" x14ac:dyDescent="0.2">
      <c r="A15" s="4">
        <v>2033</v>
      </c>
      <c r="B15" s="4">
        <v>26823</v>
      </c>
      <c r="C15" s="4">
        <v>60159</v>
      </c>
      <c r="D15" s="4">
        <v>46075</v>
      </c>
      <c r="E15" s="4">
        <v>-3992</v>
      </c>
      <c r="F15" s="4">
        <v>-6714</v>
      </c>
      <c r="G15" s="4">
        <v>-3192</v>
      </c>
    </row>
    <row r="16" spans="1:7" x14ac:dyDescent="0.2">
      <c r="A16" s="4">
        <v>2034</v>
      </c>
      <c r="B16" s="4">
        <v>39615</v>
      </c>
      <c r="C16" s="4">
        <v>64294</v>
      </c>
      <c r="D16" s="4">
        <v>56425</v>
      </c>
      <c r="E16" s="4">
        <v>-4721</v>
      </c>
      <c r="F16" s="4">
        <v>-9460</v>
      </c>
      <c r="G16" s="4">
        <v>-5823</v>
      </c>
    </row>
    <row r="17" spans="1:7" x14ac:dyDescent="0.2">
      <c r="A17" s="4">
        <v>2035</v>
      </c>
      <c r="B17" s="4">
        <v>54685</v>
      </c>
      <c r="C17" s="4">
        <v>71894</v>
      </c>
      <c r="D17" s="4">
        <v>67314</v>
      </c>
      <c r="E17" s="4">
        <v>-5508</v>
      </c>
      <c r="F17" s="4">
        <v>-12449</v>
      </c>
      <c r="G17" s="4">
        <v>-8254</v>
      </c>
    </row>
    <row r="18" spans="1:7" x14ac:dyDescent="0.2">
      <c r="A18" s="4">
        <v>2036</v>
      </c>
      <c r="B18" s="4">
        <v>72814</v>
      </c>
      <c r="C18" s="4">
        <v>115057</v>
      </c>
      <c r="D18" s="4">
        <v>79609</v>
      </c>
      <c r="E18" s="4">
        <v>-6380</v>
      </c>
      <c r="F18" s="4">
        <v>-15146</v>
      </c>
      <c r="G18" s="4">
        <v>-9568</v>
      </c>
    </row>
    <row r="19" spans="1:7" x14ac:dyDescent="0.2">
      <c r="A19" s="4">
        <v>2037</v>
      </c>
      <c r="B19" s="4">
        <v>94753</v>
      </c>
      <c r="C19" s="4">
        <v>122100</v>
      </c>
      <c r="D19" s="4">
        <v>95129</v>
      </c>
      <c r="E19" s="4">
        <v>-7310</v>
      </c>
      <c r="F19" s="4">
        <v>-18039</v>
      </c>
      <c r="G19" s="4">
        <v>-10548</v>
      </c>
    </row>
    <row r="20" spans="1:7" x14ac:dyDescent="0.2">
      <c r="A20" s="4">
        <v>2038</v>
      </c>
      <c r="B20" s="4">
        <v>120386</v>
      </c>
      <c r="C20" s="4">
        <v>129551</v>
      </c>
      <c r="D20" s="4">
        <v>110594</v>
      </c>
      <c r="E20" s="4">
        <v>-8393</v>
      </c>
      <c r="F20" s="4">
        <v>-21173</v>
      </c>
      <c r="G20" s="4">
        <v>-11365</v>
      </c>
    </row>
    <row r="21" spans="1:7" x14ac:dyDescent="0.2">
      <c r="A21" s="4">
        <v>2039</v>
      </c>
      <c r="B21" s="4">
        <v>146520</v>
      </c>
      <c r="C21" s="4">
        <v>138835</v>
      </c>
      <c r="D21" s="4">
        <v>127152</v>
      </c>
      <c r="E21" s="4">
        <v>-9550</v>
      </c>
      <c r="F21" s="4">
        <v>-24514</v>
      </c>
      <c r="G21" s="4">
        <v>-12169</v>
      </c>
    </row>
    <row r="22" spans="1:7" x14ac:dyDescent="0.2">
      <c r="A22" s="4">
        <v>2040</v>
      </c>
      <c r="B22" s="4">
        <v>174609</v>
      </c>
      <c r="C22" s="4">
        <v>147851</v>
      </c>
      <c r="D22" s="4">
        <v>145329</v>
      </c>
      <c r="E22" s="4">
        <v>-10745</v>
      </c>
      <c r="F22" s="4">
        <v>-28212</v>
      </c>
      <c r="G22" s="4">
        <v>-12937</v>
      </c>
    </row>
    <row r="23" spans="1:7" x14ac:dyDescent="0.2">
      <c r="A23" s="4">
        <v>2041</v>
      </c>
      <c r="B23" s="4">
        <v>208870</v>
      </c>
      <c r="C23" s="4">
        <v>163737</v>
      </c>
      <c r="D23" s="4">
        <v>165374</v>
      </c>
      <c r="E23" s="4">
        <v>-12147</v>
      </c>
      <c r="F23" s="4">
        <v>-32273</v>
      </c>
      <c r="G23" s="4">
        <v>-14454</v>
      </c>
    </row>
    <row r="24" spans="1:7" x14ac:dyDescent="0.2">
      <c r="A24" s="4">
        <v>2042</v>
      </c>
      <c r="B24" s="4">
        <v>244669</v>
      </c>
      <c r="C24" s="4">
        <v>176576</v>
      </c>
      <c r="D24" s="4">
        <v>187575</v>
      </c>
      <c r="E24" s="4">
        <v>-13597</v>
      </c>
      <c r="F24" s="4">
        <v>-36714</v>
      </c>
      <c r="G24" s="4">
        <v>-16443</v>
      </c>
    </row>
    <row r="25" spans="1:7" x14ac:dyDescent="0.2">
      <c r="A25" s="4">
        <v>2043</v>
      </c>
      <c r="B25" s="4">
        <v>282275</v>
      </c>
      <c r="C25" s="4">
        <v>189388</v>
      </c>
      <c r="D25" s="4">
        <v>211642</v>
      </c>
      <c r="E25" s="4">
        <v>-15154</v>
      </c>
      <c r="F25" s="4">
        <v>-41659</v>
      </c>
      <c r="G25" s="4">
        <v>-18866</v>
      </c>
    </row>
    <row r="26" spans="1:7" x14ac:dyDescent="0.2">
      <c r="A26" s="4">
        <v>2044</v>
      </c>
      <c r="B26" s="4">
        <v>323898</v>
      </c>
      <c r="C26" s="4">
        <v>202657</v>
      </c>
      <c r="D26" s="4">
        <v>236722</v>
      </c>
      <c r="E26" s="4">
        <v>-16733</v>
      </c>
      <c r="F26" s="4">
        <v>-47181</v>
      </c>
      <c r="G26" s="4">
        <v>-21357</v>
      </c>
    </row>
    <row r="27" spans="1:7" x14ac:dyDescent="0.2">
      <c r="A27" s="4">
        <v>2045</v>
      </c>
      <c r="B27" s="4">
        <v>364377</v>
      </c>
      <c r="C27" s="4">
        <v>215838</v>
      </c>
      <c r="D27" s="4">
        <v>264074</v>
      </c>
      <c r="E27" s="4">
        <v>-18373</v>
      </c>
      <c r="F27" s="4">
        <v>-53382</v>
      </c>
      <c r="G27" s="4">
        <v>-25305</v>
      </c>
    </row>
    <row r="28" spans="1:7" x14ac:dyDescent="0.2">
      <c r="A28" s="4">
        <v>2046</v>
      </c>
      <c r="B28" s="4">
        <v>405095</v>
      </c>
      <c r="C28" s="4">
        <v>268828</v>
      </c>
      <c r="D28" s="4">
        <v>289530</v>
      </c>
      <c r="E28" s="4">
        <v>-19951</v>
      </c>
      <c r="F28" s="4">
        <v>-60296</v>
      </c>
      <c r="G28" s="4">
        <v>-28867</v>
      </c>
    </row>
    <row r="29" spans="1:7" x14ac:dyDescent="0.2">
      <c r="A29" s="4">
        <v>2047</v>
      </c>
      <c r="B29" s="4">
        <v>450410</v>
      </c>
      <c r="C29" s="4">
        <v>283138</v>
      </c>
      <c r="D29" s="4">
        <v>322340</v>
      </c>
      <c r="E29" s="4">
        <v>-21736</v>
      </c>
      <c r="F29" s="4">
        <v>-67929</v>
      </c>
      <c r="G29" s="4">
        <v>-32825</v>
      </c>
    </row>
    <row r="30" spans="1:7" x14ac:dyDescent="0.2">
      <c r="A30" s="4">
        <v>2048</v>
      </c>
      <c r="B30" s="4">
        <v>501414</v>
      </c>
      <c r="C30" s="4">
        <v>297607</v>
      </c>
      <c r="D30" s="4">
        <v>356754</v>
      </c>
      <c r="E30" s="4">
        <v>-23532</v>
      </c>
      <c r="F30" s="4">
        <v>-76214</v>
      </c>
      <c r="G30" s="4">
        <v>-36773</v>
      </c>
    </row>
    <row r="31" spans="1:7" x14ac:dyDescent="0.2">
      <c r="A31" s="4">
        <v>2049</v>
      </c>
      <c r="B31" s="4">
        <v>554670</v>
      </c>
      <c r="C31" s="4">
        <v>312493</v>
      </c>
      <c r="D31" s="4">
        <v>392788</v>
      </c>
      <c r="E31" s="4">
        <v>-25452</v>
      </c>
      <c r="F31" s="4">
        <v>-85340</v>
      </c>
      <c r="G31" s="4">
        <v>-38040</v>
      </c>
    </row>
    <row r="32" spans="1:7" x14ac:dyDescent="0.2">
      <c r="A32" s="4">
        <v>2050</v>
      </c>
      <c r="B32" s="4">
        <v>610036</v>
      </c>
      <c r="C32" s="4">
        <v>324345</v>
      </c>
      <c r="D32" s="4">
        <v>432066</v>
      </c>
      <c r="E32" s="4">
        <v>-27463</v>
      </c>
      <c r="F32" s="4">
        <v>-95274</v>
      </c>
      <c r="G32" s="4">
        <v>-39555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About</vt:lpstr>
      <vt:lpstr>CO2e Emissions</vt:lpstr>
      <vt:lpstr>CO2e Emissions (LULUCF excl)</vt:lpstr>
      <vt:lpstr>CO2e Emissions by Sector-BAU</vt:lpstr>
      <vt:lpstr>CO2e Emissions by Sector-Expert</vt:lpstr>
      <vt:lpstr>CO2e Emissions by Sector-CAS</vt:lpstr>
      <vt:lpstr>EG-BAU</vt:lpstr>
      <vt:lpstr>EG-BAU-2030</vt:lpstr>
      <vt:lpstr>EG-BAU-2050</vt:lpstr>
      <vt:lpstr>EG-Expert</vt:lpstr>
      <vt:lpstr>EG-Expert-2030</vt:lpstr>
      <vt:lpstr>EG-Expert-2050</vt:lpstr>
      <vt:lpstr>EG-CAS</vt:lpstr>
      <vt:lpstr>EG-CAS-2030</vt:lpstr>
      <vt:lpstr>EG-CAS-2050</vt:lpstr>
      <vt:lpstr>EGC-PENP-BAU</vt:lpstr>
      <vt:lpstr>EGC-PENP-Expert</vt:lpstr>
      <vt:lpstr>EGC-PENP-CAS</vt:lpstr>
      <vt:lpstr>ECG-BAU</vt:lpstr>
      <vt:lpstr>EGC-BAU-2020</vt:lpstr>
      <vt:lpstr>EGC-BAU-2030</vt:lpstr>
      <vt:lpstr>EGC-BAU-2050</vt:lpstr>
      <vt:lpstr>EGC-Expert</vt:lpstr>
      <vt:lpstr>EGC-Expert-2030</vt:lpstr>
      <vt:lpstr>EGC-Expert-2050</vt:lpstr>
      <vt:lpstr>EGC-CAS</vt:lpstr>
      <vt:lpstr>EGC-CAS-2030</vt:lpstr>
      <vt:lpstr>EGC-CAS-2050</vt:lpstr>
      <vt:lpstr>GDP</vt:lpstr>
      <vt:lpstr>Debt</vt:lpstr>
      <vt:lpstr>Jobs</vt:lpstr>
      <vt:lpstr>EPS Outputs</vt:lpstr>
      <vt:lpstr>GCF-Expert</vt:lpstr>
      <vt:lpstr>GCF-CAS</vt:lpstr>
      <vt:lpstr>Expert</vt:lpstr>
      <vt:lpstr>CAS</vt:lpstr>
      <vt:lpstr>Savings-Expert</vt:lpstr>
      <vt:lpstr>Savings-CAS</vt:lpstr>
      <vt:lpstr>Avoided Deaths</vt:lpstr>
      <vt:lpstr>GDP-Sector-Expert</vt:lpstr>
      <vt:lpstr>GDP-Sector-CAS</vt:lpstr>
      <vt:lpstr>Jobs-Sector-Expert</vt:lpstr>
      <vt:lpstr>Jobs-Sector-CAS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Sy, Saidou Abdoulaye</dc:creator>
  <cp:lastModifiedBy>Sy, Saidou Abdoulaye</cp:lastModifiedBy>
  <dcterms:created xsi:type="dcterms:W3CDTF">2024-11-11T14:26:39Z</dcterms:created>
  <dcterms:modified xsi:type="dcterms:W3CDTF">2025-01-25T19:35:41Z</dcterms:modified>
</cp:coreProperties>
</file>