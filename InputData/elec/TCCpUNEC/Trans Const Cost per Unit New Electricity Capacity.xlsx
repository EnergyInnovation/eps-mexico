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TCCpUNEC\"/>
    </mc:Choice>
  </mc:AlternateContent>
  <xr:revisionPtr revIDLastSave="0" documentId="13_ncr:1_{DAED8641-0A4C-45B8-8497-E2A493D04FC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Net Zero America" sheetId="11" r:id="rId2"/>
    <sheet name="Calculations" sheetId="7" r:id="rId3"/>
    <sheet name="TCCpUNEC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_xlnm.Database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_xlnm.Print_Titles">#N/A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7" i="11"/>
  <c r="C7" i="7"/>
  <c r="C4" i="7"/>
  <c r="C5" i="11"/>
  <c r="D5" i="11"/>
  <c r="E5" i="11"/>
  <c r="B5" i="11"/>
  <c r="C6" i="7" l="1"/>
  <c r="C5" i="7"/>
  <c r="B9" i="7" s="1"/>
</calcChain>
</file>

<file path=xl/sharedStrings.xml><?xml version="1.0" encoding="utf-8"?>
<sst xmlns="http://schemas.openxmlformats.org/spreadsheetml/2006/main" count="63" uniqueCount="53">
  <si>
    <t>TCCpUNEC Transmission Construction Costs per Unit New Electricity Capacity</t>
  </si>
  <si>
    <t>Sources:</t>
  </si>
  <si>
    <t>Weighted Average MW-miles Added by Voltage</t>
  </si>
  <si>
    <t>Princeton</t>
  </si>
  <si>
    <t>Princeton's Net Zero America Study, Annex F: Integrated Tranmission Line Mapping and Costing</t>
  </si>
  <si>
    <t>https://netzeroamerica.princeton.edu/img/NZA%20Annex%20F%20-%20HV%20Transmission.pdf</t>
  </si>
  <si>
    <t>Table 15</t>
  </si>
  <si>
    <t>Costs per MW-mile</t>
  </si>
  <si>
    <t>NREL</t>
  </si>
  <si>
    <t>Regional Energy Deployment System (ReEDS) Model Documentation: Version 2020</t>
  </si>
  <si>
    <t>https://www.nrel.gov/docs/fy21osti/78195.pdf</t>
  </si>
  <si>
    <t>Page 61</t>
  </si>
  <si>
    <t>Note:</t>
  </si>
  <si>
    <t>This file should represent the cost of new bulk transmission, as spur lines</t>
  </si>
  <si>
    <t>are represented elsewhere in the EPS based on the amount of wind and solar added.</t>
  </si>
  <si>
    <t>We use $/MW-mile bulk transmission costs from the ReEDS model, paired with data from</t>
  </si>
  <si>
    <t>the Net Zero America study on average MW-miles per MW new wind and solar and</t>
  </si>
  <si>
    <t>the proportion of total bulk transmissions additions at different voltages.</t>
  </si>
  <si>
    <t>While the Net Zero America study reports transmission per new wind and solar specifically,</t>
  </si>
  <si>
    <t>we use apply our calculated $/MW transmission cost for all new capacity additions in the EPS.</t>
  </si>
  <si>
    <t>We adjust 2015 dollars to 2012 dollars using the following conversion factor:</t>
  </si>
  <si>
    <t>See "cpi.xlsx" in the InputData folder for source information.</t>
  </si>
  <si>
    <t>Capacity</t>
  </si>
  <si>
    <t>E+ base</t>
  </si>
  <si>
    <t>RE+ base</t>
  </si>
  <si>
    <t>RE- base</t>
  </si>
  <si>
    <t>REF base</t>
  </si>
  <si>
    <t>New sited (GW)</t>
  </si>
  <si>
    <t>Transmission build (GW-mi)</t>
  </si>
  <si>
    <t>GW-mi per GW</t>
  </si>
  <si>
    <t>Average MW-mi per MW</t>
  </si>
  <si>
    <t>for E+ base scenario</t>
  </si>
  <si>
    <t>Voltage type</t>
  </si>
  <si>
    <t>Voltage class</t>
  </si>
  <si>
    <t>corridors</t>
  </si>
  <si>
    <t>lines</t>
  </si>
  <si>
    <t>cicuits</t>
  </si>
  <si>
    <t>line MW average</t>
  </si>
  <si>
    <t>GW-km</t>
  </si>
  <si>
    <t>% of total GW-km</t>
  </si>
  <si>
    <t>km</t>
  </si>
  <si>
    <t>HVAC</t>
  </si>
  <si>
    <t>230-kV</t>
  </si>
  <si>
    <t>345-kV</t>
  </si>
  <si>
    <t>345 (2)</t>
  </si>
  <si>
    <t>500-kV</t>
  </si>
  <si>
    <t>765-kV</t>
  </si>
  <si>
    <t>HVDC</t>
  </si>
  <si>
    <t>$/MW-mile</t>
  </si>
  <si>
    <t>230-kV (spur line)</t>
  </si>
  <si>
    <t>Weighted Average $/MW-mile (excluding spur lines)</t>
  </si>
  <si>
    <t>Cost per Unit New Electricity Generation (2012 $ / MW)</t>
  </si>
  <si>
    <t>Transmission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</si>
</sst>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3"/>
    </xf>
    <xf numFmtId="164" fontId="0" fillId="0" borderId="0" xfId="0" applyNumberFormat="1"/>
    <xf numFmtId="0" fontId="0" fillId="2" borderId="0" xfId="0" applyFill="1"/>
  </cellXfs>
  <cellStyles count="10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ipervínculo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/>
  </sheetViews>
  <sheetFormatPr defaultRowHeight="15"/>
  <cols>
    <col min="2" max="2" width="44.5703125" customWidth="1"/>
  </cols>
  <sheetData>
    <row r="1" spans="1:2">
      <c r="A1" s="1" t="s">
        <v>0</v>
      </c>
    </row>
    <row r="3" spans="1:2">
      <c r="A3" s="1" t="s">
        <v>1</v>
      </c>
      <c r="B3" s="8" t="s">
        <v>2</v>
      </c>
    </row>
    <row r="4" spans="1:2">
      <c r="A4" s="1"/>
      <c r="B4" t="s">
        <v>3</v>
      </c>
    </row>
    <row r="5" spans="1:2">
      <c r="A5" s="1"/>
      <c r="B5" s="2">
        <v>2022</v>
      </c>
    </row>
    <row r="6" spans="1:2">
      <c r="A6" s="1"/>
      <c r="B6" t="s">
        <v>4</v>
      </c>
    </row>
    <row r="7" spans="1:2">
      <c r="A7" s="1"/>
      <c r="B7" s="3" t="s">
        <v>5</v>
      </c>
    </row>
    <row r="8" spans="1:2">
      <c r="A8" s="1"/>
      <c r="B8" t="s">
        <v>6</v>
      </c>
    </row>
    <row r="9" spans="1:2">
      <c r="A9" s="1"/>
    </row>
    <row r="10" spans="1:2">
      <c r="A10" s="1"/>
      <c r="B10" s="8" t="s">
        <v>7</v>
      </c>
    </row>
    <row r="11" spans="1:2">
      <c r="A11" s="1"/>
      <c r="B11" t="s">
        <v>8</v>
      </c>
    </row>
    <row r="12" spans="1:2">
      <c r="A12" s="1"/>
      <c r="B12" s="2">
        <v>2021</v>
      </c>
    </row>
    <row r="13" spans="1:2">
      <c r="A13" s="1"/>
      <c r="B13" t="s">
        <v>9</v>
      </c>
    </row>
    <row r="14" spans="1:2">
      <c r="B14" s="3" t="s">
        <v>10</v>
      </c>
    </row>
    <row r="15" spans="1:2">
      <c r="B15" t="s">
        <v>11</v>
      </c>
    </row>
    <row r="17" spans="1:1">
      <c r="A17" s="1" t="s">
        <v>12</v>
      </c>
    </row>
    <row r="18" spans="1:1">
      <c r="A18" t="s">
        <v>13</v>
      </c>
    </row>
    <row r="19" spans="1:1">
      <c r="A19" t="s">
        <v>14</v>
      </c>
    </row>
    <row r="21" spans="1:1">
      <c r="A21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7" spans="1:1">
      <c r="A27" t="s">
        <v>20</v>
      </c>
    </row>
    <row r="28" spans="1:1">
      <c r="A28" s="7">
        <v>0.9686815713640794</v>
      </c>
    </row>
    <row r="29" spans="1:1">
      <c r="A2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22DF-8F90-44F8-B390-9121626408CF}">
  <dimension ref="A1:I17"/>
  <sheetViews>
    <sheetView workbookViewId="0">
      <selection activeCell="A8" sqref="A8"/>
    </sheetView>
  </sheetViews>
  <sheetFormatPr defaultRowHeight="15"/>
  <cols>
    <col min="1" max="1" width="27.5703125" customWidth="1"/>
  </cols>
  <sheetData>
    <row r="1" spans="1:9">
      <c r="A1" t="s">
        <v>22</v>
      </c>
    </row>
    <row r="2" spans="1:9">
      <c r="B2" t="s">
        <v>23</v>
      </c>
      <c r="C2" t="s">
        <v>24</v>
      </c>
      <c r="D2" t="s">
        <v>25</v>
      </c>
      <c r="E2" t="s">
        <v>26</v>
      </c>
    </row>
    <row r="3" spans="1:9">
      <c r="A3" t="s">
        <v>27</v>
      </c>
      <c r="B3">
        <v>3048</v>
      </c>
      <c r="C3">
        <v>5707</v>
      </c>
      <c r="D3">
        <v>1193</v>
      </c>
      <c r="E3">
        <v>441</v>
      </c>
    </row>
    <row r="4" spans="1:9">
      <c r="A4" t="s">
        <v>28</v>
      </c>
      <c r="B4">
        <v>418101</v>
      </c>
      <c r="C4">
        <v>813357</v>
      </c>
      <c r="D4">
        <v>190230</v>
      </c>
      <c r="E4">
        <v>94285</v>
      </c>
    </row>
    <row r="5" spans="1:9">
      <c r="A5" t="s">
        <v>29</v>
      </c>
      <c r="B5">
        <f>B4/B3</f>
        <v>137.17224409448818</v>
      </c>
      <c r="C5">
        <f t="shared" ref="C5:E5" si="0">C4/C3</f>
        <v>142.5191869633783</v>
      </c>
      <c r="D5">
        <f t="shared" si="0"/>
        <v>159.45515507124895</v>
      </c>
      <c r="E5">
        <f t="shared" si="0"/>
        <v>213.79818594104307</v>
      </c>
    </row>
    <row r="7" spans="1:9">
      <c r="A7" t="s">
        <v>30</v>
      </c>
      <c r="B7">
        <f>SUMPRODUCT(B5:E5,B4:E4)/SUM(B4:E4)</f>
        <v>147.60285762990304</v>
      </c>
    </row>
    <row r="9" spans="1:9">
      <c r="A9" t="s">
        <v>5</v>
      </c>
    </row>
    <row r="10" spans="1:9">
      <c r="A10" t="s">
        <v>31</v>
      </c>
    </row>
    <row r="11" spans="1:9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</row>
    <row r="12" spans="1:9">
      <c r="A12" t="s">
        <v>41</v>
      </c>
      <c r="B12" t="s">
        <v>42</v>
      </c>
      <c r="C12">
        <v>40627</v>
      </c>
      <c r="D12">
        <v>40627</v>
      </c>
      <c r="E12">
        <v>40627</v>
      </c>
      <c r="F12">
        <v>75</v>
      </c>
      <c r="G12">
        <v>95439</v>
      </c>
      <c r="H12">
        <v>0.14183890177731476</v>
      </c>
      <c r="I12">
        <v>1272520</v>
      </c>
    </row>
    <row r="13" spans="1:9">
      <c r="A13" t="s">
        <v>41</v>
      </c>
      <c r="B13" t="s">
        <v>43</v>
      </c>
      <c r="C13">
        <v>543</v>
      </c>
      <c r="D13">
        <v>543</v>
      </c>
      <c r="E13">
        <v>527</v>
      </c>
      <c r="F13">
        <v>154</v>
      </c>
      <c r="G13">
        <v>11430</v>
      </c>
      <c r="H13">
        <v>1.698696180088546E-2</v>
      </c>
      <c r="I13">
        <v>74220.779220779223</v>
      </c>
    </row>
    <row r="14" spans="1:9">
      <c r="A14" t="s">
        <v>41</v>
      </c>
      <c r="B14" s="6" t="s">
        <v>44</v>
      </c>
      <c r="C14">
        <v>248</v>
      </c>
      <c r="D14">
        <v>248</v>
      </c>
      <c r="E14">
        <v>496</v>
      </c>
      <c r="F14">
        <v>583</v>
      </c>
      <c r="G14">
        <v>19566</v>
      </c>
      <c r="H14">
        <v>2.9078468468602358E-2</v>
      </c>
      <c r="I14">
        <v>33560.891938250432</v>
      </c>
    </row>
    <row r="15" spans="1:9">
      <c r="A15" t="s">
        <v>41</v>
      </c>
      <c r="B15" t="s">
        <v>45</v>
      </c>
      <c r="C15">
        <v>40</v>
      </c>
      <c r="D15">
        <v>40</v>
      </c>
      <c r="E15">
        <v>40</v>
      </c>
      <c r="F15">
        <v>853</v>
      </c>
      <c r="G15">
        <v>5377</v>
      </c>
      <c r="H15">
        <v>7.9911542960070976E-3</v>
      </c>
      <c r="I15">
        <v>6303.6342321219227</v>
      </c>
    </row>
    <row r="16" spans="1:9">
      <c r="A16" t="s">
        <v>41</v>
      </c>
      <c r="B16" t="s">
        <v>46</v>
      </c>
      <c r="C16">
        <v>631</v>
      </c>
      <c r="D16">
        <v>1242</v>
      </c>
      <c r="E16">
        <v>1242</v>
      </c>
      <c r="F16">
        <v>1653</v>
      </c>
      <c r="G16">
        <v>344824</v>
      </c>
      <c r="H16">
        <v>0.51246825162104359</v>
      </c>
      <c r="I16">
        <v>208604.96067755597</v>
      </c>
    </row>
    <row r="17" spans="1:9">
      <c r="A17" t="s">
        <v>47</v>
      </c>
      <c r="B17">
        <v>500</v>
      </c>
      <c r="C17">
        <v>43</v>
      </c>
      <c r="D17">
        <v>95</v>
      </c>
      <c r="E17">
        <v>95</v>
      </c>
      <c r="F17">
        <v>2181</v>
      </c>
      <c r="G17">
        <v>196233</v>
      </c>
      <c r="H17">
        <v>0.29163626203614673</v>
      </c>
      <c r="I17">
        <v>89973.865199449792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9DC7-8C7E-4973-9E1C-7164590672EF}">
  <dimension ref="A1:C11"/>
  <sheetViews>
    <sheetView workbookViewId="0">
      <selection activeCell="A12" sqref="A12:I20"/>
    </sheetView>
  </sheetViews>
  <sheetFormatPr defaultRowHeight="15"/>
  <cols>
    <col min="1" max="1" width="26.5703125" customWidth="1"/>
    <col min="2" max="2" width="12" bestFit="1" customWidth="1"/>
  </cols>
  <sheetData>
    <row r="1" spans="1:3">
      <c r="A1" t="s">
        <v>10</v>
      </c>
    </row>
    <row r="3" spans="1:3">
      <c r="B3" t="s">
        <v>48</v>
      </c>
      <c r="C3" t="s">
        <v>38</v>
      </c>
    </row>
    <row r="4" spans="1:3">
      <c r="A4" t="s">
        <v>43</v>
      </c>
      <c r="B4">
        <v>2333</v>
      </c>
      <c r="C4">
        <f>'Net Zero America'!G13</f>
        <v>11430</v>
      </c>
    </row>
    <row r="5" spans="1:3">
      <c r="A5" t="s">
        <v>45</v>
      </c>
      <c r="B5">
        <v>1347</v>
      </c>
      <c r="C5">
        <f>'Net Zero America'!G15</f>
        <v>5377</v>
      </c>
    </row>
    <row r="6" spans="1:3">
      <c r="A6" t="s">
        <v>46</v>
      </c>
      <c r="B6">
        <v>1400</v>
      </c>
      <c r="C6">
        <f>'Net Zero America'!G16</f>
        <v>344824</v>
      </c>
    </row>
    <row r="7" spans="1:3">
      <c r="A7" t="s">
        <v>49</v>
      </c>
      <c r="B7">
        <v>3667</v>
      </c>
      <c r="C7">
        <f>'Net Zero America'!G12</f>
        <v>95439</v>
      </c>
    </row>
    <row r="9" spans="1:3" ht="30">
      <c r="A9" s="5" t="s">
        <v>50</v>
      </c>
      <c r="B9">
        <f>SUMPRODUCT(B4:B6,C4:C6)/SUM(C4:C6)</f>
        <v>1428.7011041641895</v>
      </c>
    </row>
    <row r="10" spans="1:3">
      <c r="A10" s="5"/>
    </row>
    <row r="11" spans="1:3">
      <c r="A1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D34" sqref="D34"/>
    </sheetView>
  </sheetViews>
  <sheetFormatPr defaultRowHeight="15"/>
  <cols>
    <col min="1" max="1" width="24.85546875" customWidth="1"/>
    <col min="2" max="2" width="24.5703125" customWidth="1"/>
  </cols>
  <sheetData>
    <row r="1" spans="1:2">
      <c r="B1" t="s">
        <v>51</v>
      </c>
    </row>
    <row r="2" spans="1:2">
      <c r="A2" t="s">
        <v>52</v>
      </c>
      <c r="B2" s="4">
        <f>Calculations!B9*'Net Zero America'!B7*About!A28</f>
        <v>204275.92399056564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2BBDBA-BF4A-4FAC-86F0-474A3294C0D3}"/>
</file>

<file path=customXml/itemProps2.xml><?xml version="1.0" encoding="utf-8"?>
<ds:datastoreItem xmlns:ds="http://schemas.openxmlformats.org/officeDocument/2006/customXml" ds:itemID="{476CA002-E7EE-45DC-AE1E-E4C3DAAB740D}"/>
</file>

<file path=customXml/itemProps3.xml><?xml version="1.0" encoding="utf-8"?>
<ds:datastoreItem xmlns:ds="http://schemas.openxmlformats.org/officeDocument/2006/customXml" ds:itemID="{454CBD77-2768-4845-A9D6-4E88A3412A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2015-07-06T21:06:03Z</dcterms:created>
  <dcterms:modified xsi:type="dcterms:W3CDTF">2024-12-16T14:06:30Z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