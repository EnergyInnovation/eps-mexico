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Mexico\Models\eps-mexico\InputData\elec\BPMCCS\"/>
    </mc:Choice>
  </mc:AlternateContent>
  <xr:revisionPtr revIDLastSave="0" documentId="8_{A26E08B1-53E1-4E4F-935F-BF8184989B83}" xr6:coauthVersionLast="47" xr6:coauthVersionMax="47" xr10:uidLastSave="{00000000-0000-0000-0000-000000000000}"/>
  <bookViews>
    <workbookView xWindow="14280" yWindow="1500" windowWidth="24510" windowHeight="17910" xr2:uid="{7D95EDE5-FBCC-4BA7-83B7-76A2D6E6B9C3}"/>
  </bookViews>
  <sheets>
    <sheet name="About" sheetId="1" r:id="rId1"/>
    <sheet name="Data" sheetId="2" r:id="rId2"/>
    <sheet name="BPMC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</calcChain>
</file>

<file path=xl/sharedStrings.xml><?xml version="1.0" encoding="utf-8"?>
<sst xmlns="http://schemas.openxmlformats.org/spreadsheetml/2006/main" count="345" uniqueCount="49">
  <si>
    <t>BPMCCS BAU Policy Mandated Capacity Construction Schedule</t>
  </si>
  <si>
    <t>Sources:</t>
  </si>
  <si>
    <t>(see BHRaSYC.xlsx)</t>
  </si>
  <si>
    <t>Note:</t>
  </si>
  <si>
    <t>Evolución de la capacidad (MW)</t>
  </si>
  <si>
    <t>Ciclo combinado</t>
  </si>
  <si>
    <t>Termoeléctrica convencional</t>
  </si>
  <si>
    <t>Carboeléctrica</t>
  </si>
  <si>
    <t>Turbogás</t>
  </si>
  <si>
    <t>Combustión Interna</t>
  </si>
  <si>
    <t>Nuclear</t>
  </si>
  <si>
    <t>Hidroeléctrica</t>
  </si>
  <si>
    <t>Eólica</t>
  </si>
  <si>
    <t>Geotérmica</t>
  </si>
  <si>
    <t>Solar</t>
  </si>
  <si>
    <t>Biomasa</t>
  </si>
  <si>
    <t>Evolución de la generación (MWh)</t>
  </si>
  <si>
    <t>Consumo de combustibles (PJ)</t>
  </si>
  <si>
    <t>Regimen térmico, incluye usos propios (GJ/MWh)</t>
  </si>
  <si>
    <t>Capacity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</si>
  <si>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</si>
  <si>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</si>
  <si>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</si>
  <si>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</si>
  <si>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</si>
  <si>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</si>
  <si>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</si>
  <si>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</si>
  <si>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</si>
  <si>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</si>
  <si>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</si>
  <si>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</si>
  <si>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</si>
  <si>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</si>
  <si>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</si>
  <si>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</si>
  <si>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</si>
  <si>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</si>
  <si>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</si>
  <si>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</si>
  <si>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</si>
  <si>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</si>
  <si>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</si>
  <si>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</si>
  <si>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Net additions (adjusted for retirements)</t>
  </si>
  <si>
    <t>Heat rate (GJ/MWh)</t>
  </si>
  <si>
    <t>Heat rate (BTU/MWh)</t>
  </si>
  <si>
    <t/>
  </si>
  <si>
    <t>Mandated Construction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</si>
</sst>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9CAA-2915-4E7F-9515-EE7246868CC7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10" spans="1:2" x14ac:dyDescent="0.25">
      <c r="A1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30D8-EFD0-462C-92DC-731722C899CD}">
  <dimension ref="A1:M152"/>
  <sheetViews>
    <sheetView topLeftCell="A49" workbookViewId="0">
      <selection sqref="A1:XFD1048576"/>
    </sheetView>
  </sheetViews>
  <sheetFormatPr defaultRowHeight="15" x14ac:dyDescent="0.25"/>
  <sheetData>
    <row r="1" spans="1:13" x14ac:dyDescent="0.25">
      <c r="A1" t="s">
        <v>4</v>
      </c>
    </row>
    <row r="2" spans="1:13" x14ac:dyDescent="0.25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  <c r="L2">
        <v>2022</v>
      </c>
      <c r="M2">
        <v>2023</v>
      </c>
    </row>
    <row r="3" spans="1:13" x14ac:dyDescent="0.25">
      <c r="A3" t="s">
        <v>5</v>
      </c>
      <c r="B3">
        <v>18029</v>
      </c>
      <c r="C3">
        <v>22830</v>
      </c>
      <c r="D3">
        <v>23309</v>
      </c>
      <c r="E3">
        <v>24043</v>
      </c>
      <c r="F3">
        <v>27274</v>
      </c>
      <c r="G3">
        <v>28084</v>
      </c>
      <c r="H3">
        <v>30016</v>
      </c>
      <c r="I3">
        <v>31828</v>
      </c>
      <c r="J3">
        <v>31948</v>
      </c>
      <c r="K3">
        <v>33640</v>
      </c>
      <c r="L3">
        <v>34413</v>
      </c>
      <c r="M3">
        <v>35178</v>
      </c>
    </row>
    <row r="4" spans="1:13" x14ac:dyDescent="0.25">
      <c r="A4" t="s">
        <v>6</v>
      </c>
      <c r="B4">
        <v>13765</v>
      </c>
      <c r="C4">
        <v>15246</v>
      </c>
      <c r="D4">
        <v>14614</v>
      </c>
      <c r="E4">
        <v>13881</v>
      </c>
      <c r="F4">
        <v>14217</v>
      </c>
      <c r="G4">
        <v>14383</v>
      </c>
      <c r="H4">
        <v>12503</v>
      </c>
      <c r="I4">
        <v>12584</v>
      </c>
      <c r="J4">
        <v>12399</v>
      </c>
      <c r="K4">
        <v>12399</v>
      </c>
      <c r="L4">
        <v>11343</v>
      </c>
      <c r="M4">
        <v>11300</v>
      </c>
    </row>
    <row r="5" spans="1:13" x14ac:dyDescent="0.25">
      <c r="A5" t="s">
        <v>7</v>
      </c>
      <c r="B5">
        <v>5378</v>
      </c>
      <c r="C5">
        <v>5378</v>
      </c>
      <c r="D5">
        <v>5378</v>
      </c>
      <c r="E5">
        <v>5378</v>
      </c>
      <c r="F5">
        <v>5378</v>
      </c>
      <c r="G5">
        <v>5378</v>
      </c>
      <c r="H5">
        <v>5498</v>
      </c>
      <c r="I5">
        <v>5498</v>
      </c>
      <c r="J5">
        <v>5498</v>
      </c>
      <c r="K5">
        <v>5498</v>
      </c>
      <c r="L5">
        <v>5463</v>
      </c>
      <c r="M5">
        <v>5463</v>
      </c>
    </row>
    <row r="6" spans="1:13" x14ac:dyDescent="0.25">
      <c r="A6" t="s">
        <v>8</v>
      </c>
      <c r="B6">
        <v>2658</v>
      </c>
      <c r="C6">
        <v>3418</v>
      </c>
      <c r="D6">
        <v>3419</v>
      </c>
      <c r="E6">
        <v>4904</v>
      </c>
      <c r="F6">
        <v>5052</v>
      </c>
      <c r="G6">
        <v>5136</v>
      </c>
      <c r="H6">
        <v>5087</v>
      </c>
      <c r="I6">
        <v>5308</v>
      </c>
      <c r="J6">
        <v>4697.5</v>
      </c>
      <c r="K6">
        <v>4896.5</v>
      </c>
      <c r="L6">
        <v>4969</v>
      </c>
      <c r="M6">
        <v>5049</v>
      </c>
    </row>
    <row r="7" spans="1:13" x14ac:dyDescent="0.25">
      <c r="A7" t="s">
        <v>9</v>
      </c>
      <c r="B7">
        <v>1052</v>
      </c>
      <c r="C7">
        <v>1146</v>
      </c>
      <c r="D7">
        <v>1312</v>
      </c>
      <c r="E7">
        <v>1163</v>
      </c>
      <c r="F7">
        <v>1453</v>
      </c>
      <c r="G7">
        <v>1634</v>
      </c>
      <c r="H7">
        <v>2045</v>
      </c>
      <c r="I7">
        <v>2118</v>
      </c>
      <c r="J7">
        <v>1426.25</v>
      </c>
      <c r="K7">
        <v>1277.25</v>
      </c>
      <c r="L7">
        <v>1305</v>
      </c>
      <c r="M7">
        <v>1309.5</v>
      </c>
    </row>
    <row r="8" spans="1:13" x14ac:dyDescent="0.25">
      <c r="A8" t="s">
        <v>10</v>
      </c>
      <c r="B8">
        <v>1610</v>
      </c>
      <c r="C8">
        <v>1400</v>
      </c>
      <c r="D8">
        <v>1400</v>
      </c>
      <c r="E8">
        <v>1510</v>
      </c>
      <c r="F8">
        <v>1608</v>
      </c>
      <c r="G8">
        <v>1608</v>
      </c>
      <c r="H8">
        <v>1634</v>
      </c>
      <c r="I8">
        <v>1634</v>
      </c>
      <c r="J8">
        <v>1634</v>
      </c>
      <c r="K8">
        <v>1634</v>
      </c>
      <c r="L8">
        <v>1608</v>
      </c>
      <c r="M8">
        <v>1608</v>
      </c>
    </row>
    <row r="9" spans="1:13" x14ac:dyDescent="0.25">
      <c r="A9" t="s">
        <v>11</v>
      </c>
      <c r="B9">
        <v>11498</v>
      </c>
      <c r="C9">
        <v>11679</v>
      </c>
      <c r="D9">
        <v>12429</v>
      </c>
      <c r="E9">
        <v>12489</v>
      </c>
      <c r="F9">
        <v>12589</v>
      </c>
      <c r="G9">
        <v>12642</v>
      </c>
      <c r="H9">
        <v>12641</v>
      </c>
      <c r="I9">
        <v>12641</v>
      </c>
      <c r="J9">
        <v>12641</v>
      </c>
      <c r="K9">
        <v>12643</v>
      </c>
      <c r="L9">
        <v>12613</v>
      </c>
      <c r="M9">
        <v>12612</v>
      </c>
    </row>
    <row r="10" spans="1:13" x14ac:dyDescent="0.25">
      <c r="A10" t="s">
        <v>12</v>
      </c>
      <c r="B10">
        <v>1158</v>
      </c>
      <c r="C10">
        <v>1611</v>
      </c>
      <c r="D10">
        <v>2036</v>
      </c>
      <c r="E10">
        <v>2805</v>
      </c>
      <c r="F10">
        <v>3735</v>
      </c>
      <c r="G10">
        <v>4199</v>
      </c>
      <c r="H10">
        <v>4855</v>
      </c>
      <c r="I10">
        <v>6040</v>
      </c>
      <c r="J10">
        <v>6454</v>
      </c>
      <c r="K10">
        <v>6454</v>
      </c>
      <c r="L10">
        <v>6921</v>
      </c>
      <c r="M10">
        <v>7055</v>
      </c>
    </row>
    <row r="11" spans="1:13" x14ac:dyDescent="0.25">
      <c r="A11" t="s">
        <v>13</v>
      </c>
      <c r="B11">
        <v>812</v>
      </c>
      <c r="C11">
        <v>823</v>
      </c>
      <c r="D11">
        <v>813</v>
      </c>
      <c r="E11">
        <v>926</v>
      </c>
      <c r="F11">
        <v>909</v>
      </c>
      <c r="G11">
        <v>926</v>
      </c>
      <c r="H11">
        <v>926</v>
      </c>
      <c r="I11">
        <v>951</v>
      </c>
      <c r="J11">
        <v>951</v>
      </c>
      <c r="K11">
        <v>976</v>
      </c>
      <c r="L11">
        <v>976</v>
      </c>
      <c r="M11">
        <v>976</v>
      </c>
    </row>
    <row r="12" spans="1:13" x14ac:dyDescent="0.25">
      <c r="A12" t="s">
        <v>14</v>
      </c>
      <c r="B12">
        <v>6</v>
      </c>
      <c r="C12">
        <v>46</v>
      </c>
      <c r="D12">
        <v>56</v>
      </c>
      <c r="E12">
        <v>56</v>
      </c>
      <c r="F12">
        <v>145</v>
      </c>
      <c r="G12">
        <v>214</v>
      </c>
      <c r="H12">
        <v>1946</v>
      </c>
      <c r="I12">
        <v>4598</v>
      </c>
      <c r="J12">
        <v>5630</v>
      </c>
      <c r="K12">
        <v>5955</v>
      </c>
      <c r="L12">
        <v>6535</v>
      </c>
      <c r="M12">
        <v>7469</v>
      </c>
    </row>
    <row r="13" spans="1:13" x14ac:dyDescent="0.25">
      <c r="A13" t="s">
        <v>15</v>
      </c>
      <c r="B13">
        <v>492</v>
      </c>
      <c r="C13">
        <v>554</v>
      </c>
      <c r="D13">
        <v>685</v>
      </c>
      <c r="E13">
        <v>760</v>
      </c>
      <c r="F13">
        <v>889</v>
      </c>
      <c r="G13">
        <v>1007</v>
      </c>
      <c r="H13">
        <v>1082</v>
      </c>
      <c r="I13">
        <v>1016</v>
      </c>
      <c r="J13">
        <v>954.25</v>
      </c>
      <c r="K13">
        <v>1016.485</v>
      </c>
      <c r="L13">
        <v>1047.316</v>
      </c>
      <c r="M13">
        <v>1050.194</v>
      </c>
    </row>
    <row r="14" spans="1:13" x14ac:dyDescent="0.25">
      <c r="B14">
        <v>56458</v>
      </c>
      <c r="C14">
        <v>64131</v>
      </c>
      <c r="D14">
        <v>65451</v>
      </c>
      <c r="E14">
        <v>67915</v>
      </c>
      <c r="F14">
        <v>73249</v>
      </c>
      <c r="G14">
        <v>75211</v>
      </c>
      <c r="H14">
        <v>78233</v>
      </c>
      <c r="I14">
        <v>84216</v>
      </c>
      <c r="J14">
        <v>84233</v>
      </c>
      <c r="K14">
        <v>86389.235000000001</v>
      </c>
      <c r="L14">
        <v>87193.316000000006</v>
      </c>
      <c r="M14">
        <v>89069.694000000003</v>
      </c>
    </row>
    <row r="16" spans="1:13" x14ac:dyDescent="0.25">
      <c r="A16" t="s">
        <v>16</v>
      </c>
    </row>
    <row r="17" spans="1:13" x14ac:dyDescent="0.25">
      <c r="B17">
        <v>2012</v>
      </c>
      <c r="C17">
        <v>2013</v>
      </c>
      <c r="D17">
        <v>2014</v>
      </c>
      <c r="E17">
        <v>2015</v>
      </c>
      <c r="F17">
        <v>2016</v>
      </c>
      <c r="G17">
        <v>2017</v>
      </c>
      <c r="H17">
        <v>2018</v>
      </c>
      <c r="I17">
        <v>2019</v>
      </c>
      <c r="J17">
        <v>2020</v>
      </c>
      <c r="K17">
        <v>2021</v>
      </c>
      <c r="L17">
        <v>2022</v>
      </c>
      <c r="M17">
        <v>2023</v>
      </c>
    </row>
    <row r="18" spans="1:13" x14ac:dyDescent="0.25">
      <c r="A18" t="s">
        <v>5</v>
      </c>
      <c r="B18">
        <v>129331590</v>
      </c>
      <c r="C18">
        <v>139162757</v>
      </c>
      <c r="D18">
        <v>145335722</v>
      </c>
      <c r="E18">
        <v>151463563</v>
      </c>
      <c r="F18">
        <v>152587411</v>
      </c>
      <c r="G18">
        <v>154128126</v>
      </c>
      <c r="H18">
        <v>159082959</v>
      </c>
      <c r="I18">
        <v>171368943</v>
      </c>
      <c r="J18">
        <v>181382154</v>
      </c>
      <c r="K18">
        <v>184444135</v>
      </c>
      <c r="L18">
        <v>193994868</v>
      </c>
      <c r="M18">
        <v>203605022</v>
      </c>
    </row>
    <row r="19" spans="1:13" x14ac:dyDescent="0.25">
      <c r="A19" t="s">
        <v>6</v>
      </c>
      <c r="B19">
        <v>59561147</v>
      </c>
      <c r="C19">
        <v>55036664</v>
      </c>
      <c r="D19">
        <v>40410894</v>
      </c>
      <c r="E19">
        <v>42474410</v>
      </c>
      <c r="F19">
        <v>42023428</v>
      </c>
      <c r="G19">
        <v>43947148</v>
      </c>
      <c r="H19">
        <v>40010763</v>
      </c>
      <c r="I19">
        <v>38661529</v>
      </c>
      <c r="J19">
        <v>23095298</v>
      </c>
      <c r="K19">
        <v>23495780</v>
      </c>
      <c r="L19">
        <v>21116986</v>
      </c>
      <c r="M19">
        <v>31182145</v>
      </c>
    </row>
    <row r="20" spans="1:13" x14ac:dyDescent="0.25">
      <c r="A20" t="s">
        <v>7</v>
      </c>
      <c r="B20">
        <v>35018872</v>
      </c>
      <c r="C20">
        <v>34641891</v>
      </c>
      <c r="D20">
        <v>34066857</v>
      </c>
      <c r="E20">
        <v>34056857</v>
      </c>
      <c r="F20">
        <v>34532398</v>
      </c>
      <c r="G20">
        <v>28663360</v>
      </c>
      <c r="H20">
        <v>27344983</v>
      </c>
      <c r="I20">
        <v>21609445</v>
      </c>
      <c r="J20">
        <v>12500718</v>
      </c>
      <c r="K20">
        <v>8703941</v>
      </c>
      <c r="L20">
        <v>14191640</v>
      </c>
      <c r="M20">
        <v>14237878</v>
      </c>
    </row>
    <row r="21" spans="1:13" x14ac:dyDescent="0.25">
      <c r="A21" t="s">
        <v>8</v>
      </c>
      <c r="B21">
        <v>7624532</v>
      </c>
      <c r="C21">
        <v>7088706</v>
      </c>
      <c r="D21">
        <v>9249223</v>
      </c>
      <c r="E21">
        <v>11806728</v>
      </c>
      <c r="F21">
        <v>12719487</v>
      </c>
      <c r="G21">
        <v>14687034</v>
      </c>
      <c r="H21">
        <v>14392288</v>
      </c>
      <c r="I21">
        <v>16352558</v>
      </c>
      <c r="J21">
        <v>14087648</v>
      </c>
      <c r="K21">
        <v>15875312</v>
      </c>
      <c r="L21">
        <v>15486778</v>
      </c>
      <c r="M21">
        <v>17849573</v>
      </c>
    </row>
    <row r="22" spans="1:13" x14ac:dyDescent="0.25">
      <c r="A22" t="s">
        <v>9</v>
      </c>
      <c r="B22">
        <v>2000855</v>
      </c>
      <c r="C22">
        <v>2152886</v>
      </c>
      <c r="D22">
        <v>2339164</v>
      </c>
      <c r="E22">
        <v>2687125</v>
      </c>
      <c r="F22">
        <v>3169777</v>
      </c>
      <c r="G22">
        <v>2333057</v>
      </c>
      <c r="H22">
        <v>2565641</v>
      </c>
      <c r="I22">
        <v>3170220</v>
      </c>
      <c r="J22">
        <v>2871416</v>
      </c>
      <c r="K22">
        <v>2057546</v>
      </c>
      <c r="L22">
        <v>1843740</v>
      </c>
      <c r="M22">
        <v>3636195</v>
      </c>
    </row>
    <row r="23" spans="1:13" x14ac:dyDescent="0.25">
      <c r="A23" t="s">
        <v>10</v>
      </c>
      <c r="B23">
        <v>8192869</v>
      </c>
      <c r="C23">
        <v>11389115</v>
      </c>
      <c r="D23">
        <v>9807663</v>
      </c>
      <c r="E23">
        <v>11734761</v>
      </c>
      <c r="F23">
        <v>10667410</v>
      </c>
      <c r="G23">
        <v>10571136</v>
      </c>
      <c r="H23">
        <v>13198780</v>
      </c>
      <c r="I23">
        <v>10879189</v>
      </c>
      <c r="J23">
        <v>10844159</v>
      </c>
      <c r="K23">
        <v>11604710</v>
      </c>
      <c r="L23">
        <v>10538743</v>
      </c>
      <c r="M23">
        <v>12043391</v>
      </c>
    </row>
    <row r="24" spans="1:13" x14ac:dyDescent="0.25">
      <c r="A24" t="s">
        <v>15</v>
      </c>
      <c r="B24">
        <v>1231312</v>
      </c>
      <c r="C24">
        <v>1086854</v>
      </c>
      <c r="D24">
        <v>1406020</v>
      </c>
      <c r="E24">
        <v>1388420</v>
      </c>
      <c r="F24">
        <v>1485058</v>
      </c>
      <c r="G24">
        <v>1884844</v>
      </c>
      <c r="H24">
        <v>1989116</v>
      </c>
      <c r="I24">
        <v>1861586</v>
      </c>
      <c r="J24">
        <v>2216007</v>
      </c>
      <c r="K24">
        <v>1531996</v>
      </c>
      <c r="L24">
        <v>1627355</v>
      </c>
      <c r="M24">
        <v>1628955</v>
      </c>
    </row>
    <row r="26" spans="1:13" x14ac:dyDescent="0.25">
      <c r="A26" t="s">
        <v>17</v>
      </c>
    </row>
    <row r="27" spans="1:13" x14ac:dyDescent="0.25">
      <c r="B27">
        <v>2012</v>
      </c>
      <c r="C27">
        <v>2013</v>
      </c>
      <c r="D27">
        <v>2014</v>
      </c>
      <c r="E27">
        <v>2015</v>
      </c>
      <c r="F27">
        <v>2016</v>
      </c>
      <c r="G27">
        <v>2017</v>
      </c>
      <c r="H27">
        <v>2018</v>
      </c>
      <c r="I27">
        <v>2019</v>
      </c>
      <c r="J27">
        <v>2020</v>
      </c>
      <c r="K27">
        <v>2021</v>
      </c>
      <c r="L27">
        <v>2022</v>
      </c>
      <c r="M27">
        <v>2023</v>
      </c>
    </row>
    <row r="28" spans="1:13" x14ac:dyDescent="0.25">
      <c r="A28" t="s">
        <v>5</v>
      </c>
      <c r="B28">
        <v>1009.23</v>
      </c>
      <c r="C28">
        <v>1108.0999999999999</v>
      </c>
      <c r="D28">
        <v>1131.19</v>
      </c>
      <c r="E28">
        <v>1275.2</v>
      </c>
      <c r="F28">
        <v>1416.37</v>
      </c>
      <c r="G28">
        <v>1383.12</v>
      </c>
      <c r="H28">
        <v>1488.74</v>
      </c>
      <c r="I28">
        <v>1445.94</v>
      </c>
      <c r="J28">
        <v>1496.7</v>
      </c>
      <c r="K28">
        <v>1531.81</v>
      </c>
      <c r="L28">
        <v>1883.9484999999997</v>
      </c>
      <c r="M28">
        <v>2018.2409999999998</v>
      </c>
    </row>
    <row r="29" spans="1:13" x14ac:dyDescent="0.25">
      <c r="A29" t="s">
        <v>6</v>
      </c>
      <c r="B29">
        <v>641.84999999999991</v>
      </c>
      <c r="C29">
        <v>581.1400000000001</v>
      </c>
      <c r="D29">
        <v>416.81</v>
      </c>
      <c r="E29">
        <v>425.87</v>
      </c>
      <c r="F29">
        <v>475.39000000000004</v>
      </c>
      <c r="G29">
        <v>507.01</v>
      </c>
      <c r="H29">
        <v>472.15999999999997</v>
      </c>
      <c r="I29">
        <v>439.97999999999996</v>
      </c>
      <c r="J29">
        <v>322.55</v>
      </c>
      <c r="K29">
        <v>331.56</v>
      </c>
      <c r="L29">
        <v>322.15025000000003</v>
      </c>
      <c r="M29">
        <v>434.06674999999996</v>
      </c>
    </row>
    <row r="30" spans="1:13" x14ac:dyDescent="0.25">
      <c r="A30" t="s">
        <v>7</v>
      </c>
      <c r="B30">
        <v>351.49</v>
      </c>
      <c r="C30">
        <v>332.87</v>
      </c>
      <c r="D30">
        <v>353.1</v>
      </c>
      <c r="E30">
        <v>356.11</v>
      </c>
      <c r="F30">
        <v>372.85</v>
      </c>
      <c r="G30">
        <v>316.58999999999997</v>
      </c>
      <c r="H30">
        <v>315.70999999999998</v>
      </c>
      <c r="I30">
        <v>306.73</v>
      </c>
      <c r="J30">
        <v>164.1</v>
      </c>
      <c r="K30">
        <v>99.04</v>
      </c>
      <c r="L30">
        <v>145.06</v>
      </c>
      <c r="M30">
        <v>169.12</v>
      </c>
    </row>
    <row r="31" spans="1:13" x14ac:dyDescent="0.25">
      <c r="A31" t="s">
        <v>8</v>
      </c>
      <c r="B31">
        <v>79.259999999999991</v>
      </c>
      <c r="C31">
        <v>73.64</v>
      </c>
      <c r="D31">
        <v>89.949999999999989</v>
      </c>
      <c r="E31">
        <v>106.35000000000001</v>
      </c>
      <c r="F31">
        <v>143.81</v>
      </c>
      <c r="G31">
        <v>170.28</v>
      </c>
      <c r="H31">
        <v>170.51</v>
      </c>
      <c r="I31">
        <v>179.14</v>
      </c>
      <c r="J31">
        <v>158.38</v>
      </c>
      <c r="K31">
        <v>166.35</v>
      </c>
      <c r="L31">
        <v>164.82049999999998</v>
      </c>
      <c r="M31">
        <v>203.07074999999998</v>
      </c>
    </row>
    <row r="32" spans="1:13" x14ac:dyDescent="0.25">
      <c r="A32" t="s">
        <v>9</v>
      </c>
      <c r="B32">
        <v>24.18</v>
      </c>
      <c r="C32">
        <v>26.049999999999997</v>
      </c>
      <c r="D32">
        <v>26.53</v>
      </c>
      <c r="E32">
        <v>27.98</v>
      </c>
      <c r="F32">
        <v>41.47</v>
      </c>
      <c r="G32">
        <v>31.36</v>
      </c>
      <c r="H32">
        <v>35.239999999999995</v>
      </c>
      <c r="I32">
        <v>40.400000000000006</v>
      </c>
      <c r="J32">
        <v>34.75</v>
      </c>
      <c r="K32">
        <v>28.79</v>
      </c>
      <c r="L32">
        <v>30.564099999999996</v>
      </c>
      <c r="M32">
        <v>50.875799999999998</v>
      </c>
    </row>
    <row r="33" spans="1:13" x14ac:dyDescent="0.25">
      <c r="A33" t="s">
        <v>10</v>
      </c>
      <c r="B33">
        <v>91.32</v>
      </c>
      <c r="C33">
        <v>122.6</v>
      </c>
      <c r="D33">
        <v>100.6</v>
      </c>
      <c r="E33">
        <v>120.41</v>
      </c>
      <c r="F33">
        <v>109.95</v>
      </c>
      <c r="G33">
        <v>113.22</v>
      </c>
      <c r="H33">
        <v>156</v>
      </c>
      <c r="I33">
        <v>124.82</v>
      </c>
      <c r="J33">
        <v>125.62</v>
      </c>
      <c r="K33">
        <v>124.99</v>
      </c>
      <c r="L33">
        <v>152.77000000000001</v>
      </c>
      <c r="M33">
        <v>175.7</v>
      </c>
    </row>
    <row r="34" spans="1:13" x14ac:dyDescent="0.25">
      <c r="A34" t="s">
        <v>15</v>
      </c>
      <c r="B34">
        <v>52.97</v>
      </c>
      <c r="C34">
        <v>58.57</v>
      </c>
      <c r="D34">
        <v>68.150000000000006</v>
      </c>
      <c r="E34">
        <v>68.41</v>
      </c>
      <c r="F34">
        <v>70.41</v>
      </c>
      <c r="G34">
        <v>65.459999999999994</v>
      </c>
      <c r="H34">
        <v>64.61</v>
      </c>
      <c r="I34">
        <v>75.569999999999993</v>
      </c>
      <c r="J34">
        <v>87.82</v>
      </c>
      <c r="K34">
        <v>55.56</v>
      </c>
      <c r="L34">
        <v>48.13</v>
      </c>
      <c r="M34">
        <v>46.37</v>
      </c>
    </row>
    <row r="36" spans="1:13" x14ac:dyDescent="0.25">
      <c r="A36" t="s">
        <v>18</v>
      </c>
    </row>
    <row r="37" spans="1:13" x14ac:dyDescent="0.25">
      <c r="B37">
        <v>2012</v>
      </c>
      <c r="C37">
        <v>2013</v>
      </c>
      <c r="D37">
        <v>2014</v>
      </c>
      <c r="E37">
        <v>2015</v>
      </c>
      <c r="F37">
        <v>2016</v>
      </c>
      <c r="G37">
        <v>2017</v>
      </c>
      <c r="H37">
        <v>2018</v>
      </c>
      <c r="I37">
        <v>2019</v>
      </c>
      <c r="J37">
        <v>2020</v>
      </c>
      <c r="K37">
        <v>2021</v>
      </c>
      <c r="L37">
        <v>2022</v>
      </c>
      <c r="M37">
        <v>2023</v>
      </c>
    </row>
    <row r="38" spans="1:13" x14ac:dyDescent="0.25">
      <c r="A38" t="s">
        <v>5</v>
      </c>
      <c r="B38">
        <v>7.8034299276766026</v>
      </c>
      <c r="C38">
        <v>7.9626189067237281</v>
      </c>
      <c r="D38">
        <v>7.78328950676008</v>
      </c>
      <c r="E38">
        <v>8.4191866000141573</v>
      </c>
      <c r="F38">
        <v>9.2823516089410543</v>
      </c>
      <c r="G38">
        <v>8.9738325891278272</v>
      </c>
      <c r="H38">
        <v>9.3582619367797903</v>
      </c>
      <c r="I38">
        <v>8.4375848662379855</v>
      </c>
      <c r="J38">
        <v>8.2516386920843399</v>
      </c>
      <c r="K38">
        <v>8.3050079093054379</v>
      </c>
      <c r="L38">
        <v>9.7113316420308582</v>
      </c>
      <c r="M38">
        <v>9.9125305465206051</v>
      </c>
    </row>
    <row r="39" spans="1:13" x14ac:dyDescent="0.25">
      <c r="A39" t="s">
        <v>6</v>
      </c>
      <c r="B39">
        <v>10.776320341849694</v>
      </c>
      <c r="C39">
        <v>10.559142901539238</v>
      </c>
      <c r="D39">
        <v>10.314297921743577</v>
      </c>
      <c r="E39">
        <v>10.026507725475176</v>
      </c>
      <c r="F39">
        <v>11.312499303959687</v>
      </c>
      <c r="G39">
        <v>11.53681235469478</v>
      </c>
      <c r="H39">
        <v>11.800824693095706</v>
      </c>
      <c r="I39">
        <v>11.38030521245034</v>
      </c>
      <c r="J39">
        <v>13.966046248894473</v>
      </c>
      <c r="K39">
        <v>14.111470229973213</v>
      </c>
      <c r="L39">
        <v>15.255503318513354</v>
      </c>
      <c r="M39">
        <v>13.920362117487427</v>
      </c>
    </row>
    <row r="40" spans="1:13" x14ac:dyDescent="0.25">
      <c r="A40" t="s">
        <v>7</v>
      </c>
      <c r="B40">
        <v>10.03715939222714</v>
      </c>
      <c r="C40">
        <v>9.6088865356686224</v>
      </c>
      <c r="D40">
        <v>10.364912736152913</v>
      </c>
      <c r="E40">
        <v>10.456337764814881</v>
      </c>
      <c r="F40">
        <v>10.797107110835455</v>
      </c>
      <c r="G40">
        <v>11.045111250041865</v>
      </c>
      <c r="H40">
        <v>11.545445100477846</v>
      </c>
      <c r="I40">
        <v>14.194256261556001</v>
      </c>
      <c r="J40">
        <v>13.127245970991426</v>
      </c>
      <c r="K40">
        <v>11.378753601385856</v>
      </c>
      <c r="L40">
        <v>10.221510692210343</v>
      </c>
      <c r="M40">
        <v>11.878174542582821</v>
      </c>
    </row>
    <row r="41" spans="1:13" x14ac:dyDescent="0.25">
      <c r="A41" t="s">
        <v>8</v>
      </c>
      <c r="B41">
        <v>10.395392136855087</v>
      </c>
      <c r="C41">
        <v>10.38835578736091</v>
      </c>
      <c r="D41">
        <v>9.7251412361881631</v>
      </c>
      <c r="E41">
        <v>9.0075760193679404</v>
      </c>
      <c r="F41">
        <v>11.306273594210207</v>
      </c>
      <c r="G41">
        <v>11.593899762198413</v>
      </c>
      <c r="H41">
        <v>11.847317118723582</v>
      </c>
      <c r="I41">
        <v>10.954861007066905</v>
      </c>
      <c r="J41">
        <v>11.242472838617205</v>
      </c>
      <c r="K41">
        <v>10.478534217154284</v>
      </c>
      <c r="L41">
        <v>10.642659176750643</v>
      </c>
      <c r="M41">
        <v>11.376784755579305</v>
      </c>
    </row>
    <row r="42" spans="1:13" x14ac:dyDescent="0.25">
      <c r="A42" t="s">
        <v>9</v>
      </c>
      <c r="B42">
        <v>12.084833733578895</v>
      </c>
      <c r="C42">
        <v>12.100036880726615</v>
      </c>
      <c r="D42">
        <v>11.341658814858642</v>
      </c>
      <c r="E42">
        <v>10.412615713820534</v>
      </c>
      <c r="F42">
        <v>13.082939273015105</v>
      </c>
      <c r="G42">
        <v>13.441591868522714</v>
      </c>
      <c r="H42">
        <v>13.735358922000387</v>
      </c>
      <c r="I42">
        <v>12.743595081729346</v>
      </c>
      <c r="J42">
        <v>12.102043033820248</v>
      </c>
      <c r="K42">
        <v>13.992396767800086</v>
      </c>
      <c r="L42">
        <v>16.577228893444843</v>
      </c>
      <c r="M42">
        <v>13.991493855527549</v>
      </c>
    </row>
    <row r="43" spans="1:13" x14ac:dyDescent="0.25">
      <c r="A43" t="s">
        <v>10</v>
      </c>
      <c r="B43">
        <v>11.14627855028562</v>
      </c>
      <c r="C43">
        <v>10.764664330810602</v>
      </c>
      <c r="D43">
        <v>10.257285553143495</v>
      </c>
      <c r="E43">
        <v>10.260967394223027</v>
      </c>
      <c r="F43">
        <v>10.307094224371239</v>
      </c>
      <c r="G43">
        <v>10.710296414689964</v>
      </c>
      <c r="H43">
        <v>11.819274205646281</v>
      </c>
      <c r="I43">
        <v>11.473281694067452</v>
      </c>
      <c r="J43">
        <v>11.584116389293074</v>
      </c>
      <c r="K43">
        <v>10.770626754136897</v>
      </c>
      <c r="L43">
        <v>14.496036197106241</v>
      </c>
      <c r="M43">
        <v>14.588914368054644</v>
      </c>
    </row>
    <row r="44" spans="1:13" x14ac:dyDescent="0.25">
      <c r="A44" t="s">
        <v>15</v>
      </c>
      <c r="B44">
        <v>43.019153553282997</v>
      </c>
      <c r="C44">
        <v>53.88948285602298</v>
      </c>
      <c r="D44">
        <v>48.470149784498091</v>
      </c>
      <c r="E44">
        <v>49.271834171216199</v>
      </c>
      <c r="F44">
        <v>47.412289621011432</v>
      </c>
      <c r="G44">
        <v>34.729664630070175</v>
      </c>
      <c r="H44">
        <v>32.481765769316617</v>
      </c>
      <c r="I44">
        <v>40.59441787808889</v>
      </c>
      <c r="J44">
        <v>39.629838714408393</v>
      </c>
      <c r="K44">
        <v>36.26641322823297</v>
      </c>
      <c r="L44">
        <v>29.575599669402191</v>
      </c>
      <c r="M44">
        <v>28.466102501296842</v>
      </c>
    </row>
    <row r="46" spans="1:13" x14ac:dyDescent="0.25">
      <c r="A46" t="s">
        <v>19</v>
      </c>
    </row>
    <row r="47" spans="1:13" x14ac:dyDescent="0.25">
      <c r="B47">
        <v>2012</v>
      </c>
      <c r="C47">
        <v>2013</v>
      </c>
      <c r="D47">
        <v>2014</v>
      </c>
      <c r="E47">
        <v>2015</v>
      </c>
      <c r="F47">
        <v>2016</v>
      </c>
      <c r="G47">
        <v>2017</v>
      </c>
      <c r="H47">
        <v>2018</v>
      </c>
      <c r="I47">
        <v>2019</v>
      </c>
      <c r="J47">
        <v>2020</v>
      </c>
      <c r="K47">
        <v>2021</v>
      </c>
      <c r="L47">
        <v>2022</v>
      </c>
      <c r="M47">
        <v>2023</v>
      </c>
    </row>
    <row r="48" spans="1:13" x14ac:dyDescent="0.25">
      <c r="A48" t="s">
        <v>20</v>
      </c>
      <c r="B48">
        <v>5378</v>
      </c>
      <c r="C48">
        <v>5378</v>
      </c>
      <c r="D48">
        <v>5378</v>
      </c>
      <c r="E48">
        <v>5378</v>
      </c>
      <c r="F48">
        <v>5378</v>
      </c>
      <c r="G48">
        <v>5378</v>
      </c>
      <c r="H48">
        <v>5498</v>
      </c>
      <c r="I48">
        <v>5498</v>
      </c>
      <c r="J48">
        <v>5498</v>
      </c>
      <c r="K48">
        <v>5498</v>
      </c>
      <c r="L48">
        <v>5463</v>
      </c>
      <c r="M48">
        <v>5463</v>
      </c>
    </row>
    <row r="49" spans="1:13" x14ac:dyDescent="0.25">
      <c r="A49" t="s">
        <v>21</v>
      </c>
      <c r="B49">
        <v>1052</v>
      </c>
      <c r="C49">
        <v>1146</v>
      </c>
      <c r="D49">
        <v>1312</v>
      </c>
      <c r="E49">
        <v>1163</v>
      </c>
      <c r="F49">
        <v>1453</v>
      </c>
      <c r="G49">
        <v>1634</v>
      </c>
      <c r="H49">
        <v>2045</v>
      </c>
      <c r="I49">
        <v>2118</v>
      </c>
      <c r="J49">
        <v>1426.25</v>
      </c>
      <c r="K49">
        <v>1277.25</v>
      </c>
      <c r="L49">
        <v>1305</v>
      </c>
      <c r="M49">
        <v>1309.5</v>
      </c>
    </row>
    <row r="50" spans="1:13" x14ac:dyDescent="0.25">
      <c r="A50" t="s">
        <v>22</v>
      </c>
      <c r="B50">
        <v>18029</v>
      </c>
      <c r="C50">
        <v>22830</v>
      </c>
      <c r="D50">
        <v>23309</v>
      </c>
      <c r="E50">
        <v>24043</v>
      </c>
      <c r="F50">
        <v>27274</v>
      </c>
      <c r="G50">
        <v>28084</v>
      </c>
      <c r="H50">
        <v>30016</v>
      </c>
      <c r="I50">
        <v>31828</v>
      </c>
      <c r="J50">
        <v>31948</v>
      </c>
      <c r="K50">
        <v>33640</v>
      </c>
      <c r="L50">
        <v>34413</v>
      </c>
      <c r="M50">
        <v>35178</v>
      </c>
    </row>
    <row r="51" spans="1:13" x14ac:dyDescent="0.25">
      <c r="A51" t="s">
        <v>23</v>
      </c>
      <c r="B51">
        <v>1610</v>
      </c>
      <c r="C51">
        <v>1400</v>
      </c>
      <c r="D51">
        <v>1400</v>
      </c>
      <c r="E51">
        <v>1510</v>
      </c>
      <c r="F51">
        <v>1608</v>
      </c>
      <c r="G51">
        <v>1608</v>
      </c>
      <c r="H51">
        <v>1634</v>
      </c>
      <c r="I51">
        <v>1634</v>
      </c>
      <c r="J51">
        <v>1634</v>
      </c>
      <c r="K51">
        <v>1634</v>
      </c>
      <c r="L51">
        <v>1608</v>
      </c>
      <c r="M51">
        <v>1608</v>
      </c>
    </row>
    <row r="52" spans="1:13" x14ac:dyDescent="0.25">
      <c r="A52" t="s">
        <v>24</v>
      </c>
      <c r="B52">
        <v>11498</v>
      </c>
      <c r="C52">
        <v>11679</v>
      </c>
      <c r="D52">
        <v>12429</v>
      </c>
      <c r="E52">
        <v>12489</v>
      </c>
      <c r="F52">
        <v>12589</v>
      </c>
      <c r="G52">
        <v>12642</v>
      </c>
      <c r="H52">
        <v>12641</v>
      </c>
      <c r="I52">
        <v>12641</v>
      </c>
      <c r="J52">
        <v>12641</v>
      </c>
      <c r="K52">
        <v>12643</v>
      </c>
      <c r="L52">
        <v>12613</v>
      </c>
      <c r="M52">
        <v>12612</v>
      </c>
    </row>
    <row r="53" spans="1:13" x14ac:dyDescent="0.25">
      <c r="A53" t="s">
        <v>25</v>
      </c>
      <c r="B53">
        <v>1158</v>
      </c>
      <c r="C53">
        <v>1611</v>
      </c>
      <c r="D53">
        <v>2036</v>
      </c>
      <c r="E53">
        <v>2805</v>
      </c>
      <c r="F53">
        <v>3735</v>
      </c>
      <c r="G53">
        <v>4199</v>
      </c>
      <c r="H53">
        <v>4855</v>
      </c>
      <c r="I53">
        <v>6040</v>
      </c>
      <c r="J53">
        <v>6454</v>
      </c>
      <c r="K53">
        <v>6454</v>
      </c>
      <c r="L53">
        <v>6921</v>
      </c>
      <c r="M53">
        <v>7055</v>
      </c>
    </row>
    <row r="54" spans="1:13" x14ac:dyDescent="0.25">
      <c r="A54" t="s">
        <v>26</v>
      </c>
      <c r="B54">
        <v>6</v>
      </c>
      <c r="C54">
        <v>46</v>
      </c>
      <c r="D54">
        <v>56</v>
      </c>
      <c r="E54">
        <v>56</v>
      </c>
      <c r="F54">
        <v>145</v>
      </c>
      <c r="G54">
        <v>214</v>
      </c>
      <c r="H54">
        <v>1946</v>
      </c>
      <c r="I54">
        <v>4598</v>
      </c>
      <c r="J54">
        <v>5630</v>
      </c>
      <c r="K54">
        <v>5955</v>
      </c>
      <c r="L54">
        <v>6535</v>
      </c>
      <c r="M54">
        <v>7469</v>
      </c>
    </row>
    <row r="55" spans="1:13" x14ac:dyDescent="0.25">
      <c r="A55" t="s">
        <v>27</v>
      </c>
    </row>
    <row r="56" spans="1:13" x14ac:dyDescent="0.25">
      <c r="A56" t="s">
        <v>28</v>
      </c>
      <c r="B56">
        <v>492</v>
      </c>
      <c r="C56">
        <v>554</v>
      </c>
      <c r="D56">
        <v>685</v>
      </c>
      <c r="E56">
        <v>760</v>
      </c>
      <c r="F56">
        <v>889</v>
      </c>
      <c r="G56">
        <v>1007</v>
      </c>
      <c r="H56">
        <v>1082</v>
      </c>
      <c r="I56">
        <v>1016</v>
      </c>
      <c r="J56">
        <v>954.25</v>
      </c>
      <c r="K56">
        <v>1016.485</v>
      </c>
      <c r="L56">
        <v>1047.316</v>
      </c>
      <c r="M56">
        <v>1050.194</v>
      </c>
    </row>
    <row r="57" spans="1:13" x14ac:dyDescent="0.25">
      <c r="A57" t="s">
        <v>29</v>
      </c>
      <c r="B57">
        <v>812</v>
      </c>
      <c r="C57">
        <v>823</v>
      </c>
      <c r="D57">
        <v>813</v>
      </c>
      <c r="E57">
        <v>926</v>
      </c>
      <c r="F57">
        <v>909</v>
      </c>
      <c r="G57">
        <v>926</v>
      </c>
      <c r="H57">
        <v>926</v>
      </c>
      <c r="I57">
        <v>951</v>
      </c>
      <c r="J57">
        <v>951</v>
      </c>
      <c r="K57">
        <v>976</v>
      </c>
      <c r="L57">
        <v>976</v>
      </c>
      <c r="M57">
        <v>976</v>
      </c>
    </row>
    <row r="58" spans="1:13" x14ac:dyDescent="0.25">
      <c r="A58" t="s">
        <v>30</v>
      </c>
    </row>
    <row r="59" spans="1:13" x14ac:dyDescent="0.25">
      <c r="A59" t="s">
        <v>31</v>
      </c>
      <c r="B59">
        <v>2658</v>
      </c>
      <c r="C59">
        <v>3418</v>
      </c>
      <c r="D59">
        <v>3419</v>
      </c>
      <c r="E59">
        <v>4904</v>
      </c>
      <c r="F59">
        <v>5052</v>
      </c>
      <c r="G59">
        <v>5136</v>
      </c>
      <c r="H59">
        <v>5087</v>
      </c>
      <c r="I59">
        <v>5308</v>
      </c>
      <c r="J59">
        <v>4697.5</v>
      </c>
      <c r="K59">
        <v>4896.5</v>
      </c>
      <c r="L59">
        <v>4969</v>
      </c>
      <c r="M59">
        <v>5049</v>
      </c>
    </row>
    <row r="60" spans="1:13" x14ac:dyDescent="0.25">
      <c r="A60" t="s">
        <v>32</v>
      </c>
    </row>
    <row r="61" spans="1:13" x14ac:dyDescent="0.25">
      <c r="A61" t="s">
        <v>33</v>
      </c>
    </row>
    <row r="62" spans="1:13" x14ac:dyDescent="0.25">
      <c r="A62" t="s">
        <v>34</v>
      </c>
    </row>
    <row r="63" spans="1:13" x14ac:dyDescent="0.25">
      <c r="A63" t="s">
        <v>35</v>
      </c>
      <c r="B63">
        <v>13765</v>
      </c>
      <c r="C63">
        <v>15246</v>
      </c>
      <c r="D63">
        <v>14614</v>
      </c>
      <c r="E63">
        <v>13881</v>
      </c>
      <c r="F63">
        <v>14217</v>
      </c>
      <c r="G63">
        <v>14383</v>
      </c>
      <c r="H63">
        <v>12503</v>
      </c>
      <c r="I63">
        <v>12584</v>
      </c>
      <c r="J63">
        <v>12399</v>
      </c>
      <c r="K63">
        <v>12399</v>
      </c>
      <c r="L63">
        <v>11343</v>
      </c>
      <c r="M63">
        <v>11300</v>
      </c>
    </row>
    <row r="64" spans="1:13" x14ac:dyDescent="0.25">
      <c r="A64" t="s">
        <v>36</v>
      </c>
    </row>
    <row r="65" spans="1:13" x14ac:dyDescent="0.25">
      <c r="A65" t="s">
        <v>37</v>
      </c>
    </row>
    <row r="66" spans="1:13" x14ac:dyDescent="0.25">
      <c r="A66" t="s">
        <v>38</v>
      </c>
    </row>
    <row r="67" spans="1:13" x14ac:dyDescent="0.25">
      <c r="A67" t="s">
        <v>39</v>
      </c>
    </row>
    <row r="68" spans="1:13" x14ac:dyDescent="0.25">
      <c r="A68" t="s">
        <v>40</v>
      </c>
    </row>
    <row r="69" spans="1:13" x14ac:dyDescent="0.25">
      <c r="A69" t="s">
        <v>41</v>
      </c>
    </row>
    <row r="70" spans="1:13" x14ac:dyDescent="0.25">
      <c r="A70" t="s">
        <v>42</v>
      </c>
    </row>
    <row r="71" spans="1:13" x14ac:dyDescent="0.25">
      <c r="A71" t="s">
        <v>43</v>
      </c>
    </row>
    <row r="73" spans="1:13" x14ac:dyDescent="0.25">
      <c r="A73" t="s">
        <v>44</v>
      </c>
    </row>
    <row r="74" spans="1:13" x14ac:dyDescent="0.25">
      <c r="B74">
        <v>2012</v>
      </c>
      <c r="C74">
        <v>2013</v>
      </c>
      <c r="D74">
        <v>2014</v>
      </c>
      <c r="E74">
        <v>2015</v>
      </c>
      <c r="F74">
        <v>2016</v>
      </c>
      <c r="G74">
        <v>2017</v>
      </c>
      <c r="H74">
        <v>2018</v>
      </c>
      <c r="I74">
        <v>2019</v>
      </c>
      <c r="J74">
        <v>2020</v>
      </c>
      <c r="K74">
        <v>2021</v>
      </c>
      <c r="L74">
        <v>2022</v>
      </c>
      <c r="M74">
        <v>2023</v>
      </c>
    </row>
    <row r="75" spans="1:13" x14ac:dyDescent="0.25">
      <c r="A75" t="s">
        <v>20</v>
      </c>
      <c r="B75">
        <v>5378</v>
      </c>
      <c r="C75">
        <v>0</v>
      </c>
      <c r="D75">
        <v>0</v>
      </c>
      <c r="E75">
        <v>0</v>
      </c>
      <c r="F75">
        <v>0</v>
      </c>
      <c r="G75">
        <v>0</v>
      </c>
      <c r="H75">
        <v>120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21</v>
      </c>
      <c r="B76">
        <v>62.25</v>
      </c>
      <c r="C76">
        <v>94</v>
      </c>
      <c r="D76">
        <v>166</v>
      </c>
      <c r="E76">
        <v>0</v>
      </c>
      <c r="F76">
        <v>290</v>
      </c>
      <c r="G76">
        <v>181</v>
      </c>
      <c r="H76">
        <v>411</v>
      </c>
      <c r="I76">
        <v>73</v>
      </c>
      <c r="J76">
        <v>0</v>
      </c>
      <c r="K76">
        <v>0</v>
      </c>
      <c r="L76">
        <v>27.75</v>
      </c>
      <c r="M76">
        <v>4.5</v>
      </c>
    </row>
    <row r="77" spans="1:13" x14ac:dyDescent="0.25">
      <c r="A77" t="s">
        <v>22</v>
      </c>
      <c r="B77">
        <v>18029</v>
      </c>
      <c r="C77">
        <v>4801</v>
      </c>
      <c r="D77">
        <v>479</v>
      </c>
      <c r="E77">
        <v>734</v>
      </c>
      <c r="F77">
        <v>3231</v>
      </c>
      <c r="G77">
        <v>810</v>
      </c>
      <c r="H77">
        <v>1932</v>
      </c>
      <c r="I77">
        <v>1812</v>
      </c>
      <c r="J77">
        <v>120</v>
      </c>
      <c r="K77">
        <v>1692</v>
      </c>
      <c r="L77">
        <v>773</v>
      </c>
      <c r="M77">
        <v>765</v>
      </c>
    </row>
    <row r="78" spans="1:13" x14ac:dyDescent="0.25">
      <c r="A78" t="s">
        <v>23</v>
      </c>
      <c r="B78">
        <v>1400</v>
      </c>
      <c r="C78">
        <v>0</v>
      </c>
      <c r="D78">
        <v>0</v>
      </c>
      <c r="E78">
        <v>110</v>
      </c>
      <c r="F78">
        <v>98</v>
      </c>
      <c r="G78">
        <v>0</v>
      </c>
      <c r="H78">
        <v>26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t="s">
        <v>24</v>
      </c>
      <c r="B79">
        <v>11497</v>
      </c>
      <c r="C79">
        <v>181</v>
      </c>
      <c r="D79">
        <v>750</v>
      </c>
      <c r="E79">
        <v>60</v>
      </c>
      <c r="F79">
        <v>100</v>
      </c>
      <c r="G79">
        <v>53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</row>
    <row r="80" spans="1:13" x14ac:dyDescent="0.25">
      <c r="A80" t="s">
        <v>25</v>
      </c>
      <c r="B80">
        <v>1158</v>
      </c>
      <c r="C80">
        <v>453</v>
      </c>
      <c r="D80">
        <v>425</v>
      </c>
      <c r="E80">
        <v>769</v>
      </c>
      <c r="F80">
        <v>930</v>
      </c>
      <c r="G80">
        <v>464</v>
      </c>
      <c r="H80">
        <v>656</v>
      </c>
      <c r="I80">
        <v>1185</v>
      </c>
      <c r="J80">
        <v>414</v>
      </c>
      <c r="K80">
        <v>0</v>
      </c>
      <c r="L80">
        <v>467</v>
      </c>
      <c r="M80">
        <v>134</v>
      </c>
    </row>
    <row r="81" spans="1:13" x14ac:dyDescent="0.25">
      <c r="A81" t="s">
        <v>26</v>
      </c>
      <c r="B81">
        <v>6</v>
      </c>
      <c r="C81">
        <v>40</v>
      </c>
      <c r="D81">
        <v>10</v>
      </c>
      <c r="E81">
        <v>0</v>
      </c>
      <c r="F81">
        <v>89</v>
      </c>
      <c r="G81">
        <v>69</v>
      </c>
      <c r="H81">
        <v>1732</v>
      </c>
      <c r="I81">
        <v>2652</v>
      </c>
      <c r="J81">
        <v>1032</v>
      </c>
      <c r="K81">
        <v>325</v>
      </c>
      <c r="L81">
        <v>580</v>
      </c>
      <c r="M81">
        <v>934</v>
      </c>
    </row>
    <row r="82" spans="1:13" x14ac:dyDescent="0.25">
      <c r="A82" t="s">
        <v>27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t="s">
        <v>28</v>
      </c>
      <c r="B83">
        <v>364.25</v>
      </c>
      <c r="C83">
        <v>62</v>
      </c>
      <c r="D83">
        <v>131</v>
      </c>
      <c r="E83">
        <v>75</v>
      </c>
      <c r="F83">
        <v>129</v>
      </c>
      <c r="G83">
        <v>118</v>
      </c>
      <c r="H83">
        <v>75</v>
      </c>
      <c r="I83">
        <v>0</v>
      </c>
      <c r="J83">
        <v>0</v>
      </c>
      <c r="K83">
        <v>62.235000000000014</v>
      </c>
      <c r="L83">
        <v>30.831000000000017</v>
      </c>
      <c r="M83">
        <v>2.8779999999999291</v>
      </c>
    </row>
    <row r="84" spans="1:13" x14ac:dyDescent="0.25">
      <c r="A84" t="s">
        <v>29</v>
      </c>
      <c r="B84">
        <v>785</v>
      </c>
      <c r="C84">
        <v>11</v>
      </c>
      <c r="D84">
        <v>0</v>
      </c>
      <c r="E84">
        <v>113</v>
      </c>
      <c r="F84">
        <v>0</v>
      </c>
      <c r="G84">
        <v>17</v>
      </c>
      <c r="H84">
        <v>0</v>
      </c>
      <c r="I84">
        <v>25</v>
      </c>
      <c r="J84">
        <v>0</v>
      </c>
      <c r="K84">
        <v>25</v>
      </c>
      <c r="L84">
        <v>0</v>
      </c>
      <c r="M84">
        <v>0</v>
      </c>
    </row>
    <row r="85" spans="1:13" x14ac:dyDescent="0.25">
      <c r="A85" t="s">
        <v>30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t="s">
        <v>31</v>
      </c>
      <c r="B86">
        <v>1998.5</v>
      </c>
      <c r="C86">
        <v>760</v>
      </c>
      <c r="D86">
        <v>1</v>
      </c>
      <c r="E86">
        <v>1485</v>
      </c>
      <c r="F86">
        <v>148</v>
      </c>
      <c r="G86">
        <v>84</v>
      </c>
      <c r="H86">
        <v>0</v>
      </c>
      <c r="I86">
        <v>221</v>
      </c>
      <c r="J86">
        <v>0</v>
      </c>
      <c r="K86">
        <v>199</v>
      </c>
      <c r="L86">
        <v>72.5</v>
      </c>
      <c r="M86">
        <v>80</v>
      </c>
    </row>
    <row r="87" spans="1:13" x14ac:dyDescent="0.25">
      <c r="A87" t="s">
        <v>32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t="s">
        <v>33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t="s">
        <v>34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">
        <v>35</v>
      </c>
      <c r="B90">
        <v>10335</v>
      </c>
      <c r="C90">
        <v>1481</v>
      </c>
      <c r="D90">
        <v>0</v>
      </c>
      <c r="E90">
        <v>0</v>
      </c>
      <c r="F90">
        <v>336</v>
      </c>
      <c r="G90">
        <v>166</v>
      </c>
      <c r="H90">
        <v>0</v>
      </c>
      <c r="I90">
        <v>81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">
        <v>36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t="s">
        <v>37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38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39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40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">
        <v>41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t="s">
        <v>43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101" spans="1:13" x14ac:dyDescent="0.25">
      <c r="A101" t="s">
        <v>45</v>
      </c>
    </row>
    <row r="102" spans="1:13" x14ac:dyDescent="0.25">
      <c r="B102">
        <v>2012</v>
      </c>
      <c r="C102">
        <v>2013</v>
      </c>
      <c r="D102">
        <v>2014</v>
      </c>
      <c r="E102">
        <v>2015</v>
      </c>
      <c r="F102">
        <v>2016</v>
      </c>
      <c r="G102">
        <v>2017</v>
      </c>
      <c r="H102">
        <v>2018</v>
      </c>
      <c r="I102">
        <v>2019</v>
      </c>
      <c r="J102">
        <v>2020</v>
      </c>
      <c r="K102">
        <v>2021</v>
      </c>
      <c r="L102">
        <v>2022</v>
      </c>
      <c r="M102">
        <v>2023</v>
      </c>
    </row>
    <row r="103" spans="1:13" x14ac:dyDescent="0.25">
      <c r="A103" t="s">
        <v>20</v>
      </c>
      <c r="B103">
        <v>10.03715939222714</v>
      </c>
      <c r="C103">
        <v>9.6088865356686224</v>
      </c>
      <c r="D103">
        <v>10.364912736152913</v>
      </c>
      <c r="E103">
        <v>10.456337764814881</v>
      </c>
      <c r="F103">
        <v>10.797107110835455</v>
      </c>
      <c r="G103">
        <v>11.045111250041865</v>
      </c>
      <c r="H103">
        <v>11.545445100477846</v>
      </c>
      <c r="I103">
        <v>14.194256261556001</v>
      </c>
      <c r="J103">
        <v>13.127245970991426</v>
      </c>
      <c r="K103">
        <v>11.378753601385856</v>
      </c>
      <c r="L103">
        <v>10.221510692210343</v>
      </c>
      <c r="M103">
        <v>11.878174542582821</v>
      </c>
    </row>
    <row r="104" spans="1:13" x14ac:dyDescent="0.25">
      <c r="A104" t="s">
        <v>21</v>
      </c>
      <c r="B104">
        <v>12.084833733578895</v>
      </c>
      <c r="C104">
        <v>12.100036880726615</v>
      </c>
      <c r="D104">
        <v>11.341658814858642</v>
      </c>
      <c r="E104">
        <v>10.412615713820534</v>
      </c>
      <c r="F104">
        <v>13.082939273015105</v>
      </c>
      <c r="G104">
        <v>13.441591868522714</v>
      </c>
      <c r="H104">
        <v>13.735358922000387</v>
      </c>
      <c r="I104">
        <v>12.743595081729346</v>
      </c>
      <c r="J104">
        <v>12.102043033820248</v>
      </c>
      <c r="K104">
        <v>13.992396767800086</v>
      </c>
      <c r="L104">
        <v>16.577228893444843</v>
      </c>
      <c r="M104">
        <v>13.991493855527549</v>
      </c>
    </row>
    <row r="105" spans="1:13" x14ac:dyDescent="0.25">
      <c r="A105" t="s">
        <v>22</v>
      </c>
      <c r="B105">
        <v>7.8034299276766026</v>
      </c>
      <c r="C105">
        <v>7.9626189067237281</v>
      </c>
      <c r="D105">
        <v>7.78328950676008</v>
      </c>
      <c r="E105">
        <v>8.4191866000141573</v>
      </c>
      <c r="F105">
        <v>9.2823516089410543</v>
      </c>
      <c r="G105">
        <v>8.9738325891278272</v>
      </c>
      <c r="H105">
        <v>9.3582619367797903</v>
      </c>
      <c r="I105">
        <v>8.4375848662379855</v>
      </c>
      <c r="J105">
        <v>8.2516386920843399</v>
      </c>
      <c r="K105">
        <v>8.3050079093054379</v>
      </c>
      <c r="L105">
        <v>9.7113316420308582</v>
      </c>
      <c r="M105">
        <v>9.9125305465206051</v>
      </c>
    </row>
    <row r="106" spans="1:13" x14ac:dyDescent="0.25">
      <c r="A106" t="s">
        <v>23</v>
      </c>
      <c r="B106">
        <v>11.14627855028562</v>
      </c>
      <c r="C106">
        <v>10.764664330810602</v>
      </c>
      <c r="D106">
        <v>10.257285553143495</v>
      </c>
      <c r="E106">
        <v>10.260967394223027</v>
      </c>
      <c r="F106">
        <v>10.307094224371239</v>
      </c>
      <c r="G106">
        <v>10.710296414689964</v>
      </c>
      <c r="H106">
        <v>11.819274205646281</v>
      </c>
      <c r="I106">
        <v>11.473281694067452</v>
      </c>
      <c r="J106">
        <v>11.584116389293074</v>
      </c>
      <c r="K106">
        <v>10.770626754136897</v>
      </c>
      <c r="L106">
        <v>14.496036197106241</v>
      </c>
      <c r="M106">
        <v>14.588914368054644</v>
      </c>
    </row>
    <row r="107" spans="1:13" x14ac:dyDescent="0.25">
      <c r="A107" t="s">
        <v>24</v>
      </c>
    </row>
    <row r="108" spans="1:13" x14ac:dyDescent="0.25">
      <c r="A108" t="s">
        <v>25</v>
      </c>
    </row>
    <row r="109" spans="1:13" x14ac:dyDescent="0.25">
      <c r="A109" t="s">
        <v>26</v>
      </c>
    </row>
    <row r="110" spans="1:13" x14ac:dyDescent="0.25">
      <c r="A110" t="s">
        <v>27</v>
      </c>
    </row>
    <row r="111" spans="1:13" x14ac:dyDescent="0.25">
      <c r="A111" t="s">
        <v>28</v>
      </c>
      <c r="B111">
        <v>43.019153553282997</v>
      </c>
      <c r="C111">
        <v>53.88948285602298</v>
      </c>
      <c r="D111">
        <v>48.470149784498091</v>
      </c>
      <c r="E111">
        <v>49.271834171216199</v>
      </c>
      <c r="F111">
        <v>47.412289621011432</v>
      </c>
      <c r="G111">
        <v>34.729664630070175</v>
      </c>
      <c r="H111">
        <v>32.481765769316617</v>
      </c>
      <c r="I111">
        <v>40.59441787808889</v>
      </c>
      <c r="J111">
        <v>39.629838714408393</v>
      </c>
      <c r="K111">
        <v>36.26641322823297</v>
      </c>
      <c r="L111">
        <v>29.575599669402191</v>
      </c>
      <c r="M111">
        <v>28.466102501296842</v>
      </c>
    </row>
    <row r="112" spans="1:13" x14ac:dyDescent="0.25">
      <c r="A112" t="s">
        <v>29</v>
      </c>
    </row>
    <row r="113" spans="1:13" x14ac:dyDescent="0.25">
      <c r="A113" t="s">
        <v>30</v>
      </c>
    </row>
    <row r="114" spans="1:13" x14ac:dyDescent="0.25">
      <c r="A114" t="s">
        <v>31</v>
      </c>
      <c r="B114">
        <v>10.395392136855087</v>
      </c>
      <c r="C114">
        <v>10.38835578736091</v>
      </c>
      <c r="D114">
        <v>9.7251412361881631</v>
      </c>
      <c r="E114">
        <v>9.0075760193679404</v>
      </c>
      <c r="F114">
        <v>11.306273594210207</v>
      </c>
      <c r="G114">
        <v>11.593899762198413</v>
      </c>
      <c r="H114">
        <v>11.847317118723582</v>
      </c>
      <c r="I114">
        <v>10.954861007066905</v>
      </c>
      <c r="J114">
        <v>11.242472838617205</v>
      </c>
      <c r="K114">
        <v>10.478534217154284</v>
      </c>
      <c r="L114">
        <v>10.642659176750643</v>
      </c>
      <c r="M114">
        <v>11.376784755579305</v>
      </c>
    </row>
    <row r="115" spans="1:13" x14ac:dyDescent="0.25">
      <c r="A115" t="s">
        <v>32</v>
      </c>
    </row>
    <row r="116" spans="1:13" x14ac:dyDescent="0.25">
      <c r="A116" t="s">
        <v>33</v>
      </c>
    </row>
    <row r="117" spans="1:13" x14ac:dyDescent="0.25">
      <c r="A117" t="s">
        <v>34</v>
      </c>
    </row>
    <row r="118" spans="1:13" x14ac:dyDescent="0.25">
      <c r="A118" t="s">
        <v>35</v>
      </c>
      <c r="B118">
        <v>10.776320341849694</v>
      </c>
      <c r="C118">
        <v>10.559142901539238</v>
      </c>
      <c r="D118">
        <v>10.314297921743577</v>
      </c>
      <c r="E118">
        <v>10.026507725475176</v>
      </c>
      <c r="F118">
        <v>11.312499303959687</v>
      </c>
      <c r="G118">
        <v>11.53681235469478</v>
      </c>
      <c r="H118">
        <v>11.800824693095706</v>
      </c>
      <c r="I118">
        <v>11.38030521245034</v>
      </c>
      <c r="J118">
        <v>13.966046248894473</v>
      </c>
      <c r="K118">
        <v>14.111470229973213</v>
      </c>
      <c r="L118">
        <v>15.255503318513354</v>
      </c>
      <c r="M118">
        <v>13.920362117487427</v>
      </c>
    </row>
    <row r="119" spans="1:13" x14ac:dyDescent="0.25">
      <c r="A119" t="s">
        <v>36</v>
      </c>
    </row>
    <row r="120" spans="1:13" x14ac:dyDescent="0.25">
      <c r="A120" t="s">
        <v>37</v>
      </c>
    </row>
    <row r="121" spans="1:13" x14ac:dyDescent="0.25">
      <c r="A121" t="s">
        <v>38</v>
      </c>
    </row>
    <row r="122" spans="1:13" x14ac:dyDescent="0.25">
      <c r="A122" t="s">
        <v>39</v>
      </c>
    </row>
    <row r="123" spans="1:13" x14ac:dyDescent="0.25">
      <c r="A123" t="s">
        <v>40</v>
      </c>
    </row>
    <row r="124" spans="1:13" x14ac:dyDescent="0.25">
      <c r="A124" t="s">
        <v>41</v>
      </c>
    </row>
    <row r="125" spans="1:13" x14ac:dyDescent="0.25">
      <c r="A125" t="s">
        <v>42</v>
      </c>
    </row>
    <row r="126" spans="1:13" x14ac:dyDescent="0.25">
      <c r="A126" t="s">
        <v>43</v>
      </c>
    </row>
    <row r="127" spans="1:13" x14ac:dyDescent="0.25">
      <c r="A127" t="s">
        <v>46</v>
      </c>
    </row>
    <row r="128" spans="1:13" x14ac:dyDescent="0.25">
      <c r="B128">
        <v>2012</v>
      </c>
      <c r="C128">
        <v>2013</v>
      </c>
      <c r="D128">
        <v>2014</v>
      </c>
      <c r="E128">
        <v>2015</v>
      </c>
      <c r="F128">
        <v>2016</v>
      </c>
      <c r="G128">
        <v>2017</v>
      </c>
      <c r="H128">
        <v>2018</v>
      </c>
      <c r="I128">
        <v>2019</v>
      </c>
      <c r="J128">
        <v>2020</v>
      </c>
      <c r="K128">
        <v>2021</v>
      </c>
      <c r="L128">
        <v>2022</v>
      </c>
      <c r="M128">
        <v>2023</v>
      </c>
    </row>
    <row r="129" spans="1:13" x14ac:dyDescent="0.25">
      <c r="A129" t="s">
        <v>20</v>
      </c>
      <c r="B129">
        <v>9513893.5475894753</v>
      </c>
      <c r="C129">
        <v>9107947.7807248812</v>
      </c>
      <c r="D129">
        <v>9824560.171693407</v>
      </c>
      <c r="E129">
        <v>9911218.9519603495</v>
      </c>
      <c r="F129">
        <v>10234223.016719157</v>
      </c>
      <c r="G129">
        <v>10469297.990381382</v>
      </c>
      <c r="H129">
        <v>10943548.005279996</v>
      </c>
      <c r="I129">
        <v>13454269.05985246</v>
      </c>
      <c r="J129">
        <v>12442885.069430307</v>
      </c>
      <c r="K129">
        <v>10785546.611092968</v>
      </c>
      <c r="L129">
        <v>9688634.0867063645</v>
      </c>
      <c r="M129">
        <v>11258931.309323866</v>
      </c>
    </row>
    <row r="130" spans="1:13" x14ac:dyDescent="0.25">
      <c r="A130" t="s">
        <v>21</v>
      </c>
      <c r="B130">
        <v>11454816.765251786</v>
      </c>
      <c r="C130">
        <v>11469227.328828543</v>
      </c>
      <c r="D130">
        <v>10750385.681949632</v>
      </c>
      <c r="E130">
        <v>9869776.2566132341</v>
      </c>
      <c r="F130">
        <v>12400888.206421601</v>
      </c>
      <c r="G130">
        <v>12740843.215691302</v>
      </c>
      <c r="H130">
        <v>13019295.35193415</v>
      </c>
      <c r="I130">
        <v>12079234.999002606</v>
      </c>
      <c r="J130">
        <v>11471128.895419961</v>
      </c>
      <c r="K130">
        <v>13262933.079211233</v>
      </c>
      <c r="L130">
        <v>15713010.508570157</v>
      </c>
      <c r="M130">
        <v>13262077.238339525</v>
      </c>
    </row>
    <row r="131" spans="1:13" x14ac:dyDescent="0.25">
      <c r="A131" t="s">
        <v>22</v>
      </c>
      <c r="B131">
        <v>7396614.7927751234</v>
      </c>
      <c r="C131">
        <v>7547504.7947588172</v>
      </c>
      <c r="D131">
        <v>7377524.3496411992</v>
      </c>
      <c r="E131">
        <v>7980270.3075390011</v>
      </c>
      <c r="F131">
        <v>8798436.0542436019</v>
      </c>
      <c r="G131">
        <v>8506001.0138891824</v>
      </c>
      <c r="H131">
        <v>8870388.9594430197</v>
      </c>
      <c r="I131">
        <v>7997709.4194902638</v>
      </c>
      <c r="J131">
        <v>7821457.1515578339</v>
      </c>
      <c r="K131">
        <v>7872044.0787469065</v>
      </c>
      <c r="L131">
        <v>9205052.1305030249</v>
      </c>
      <c r="M131">
        <v>9395761.9602870792</v>
      </c>
    </row>
    <row r="132" spans="1:13" x14ac:dyDescent="0.25">
      <c r="A132" t="s">
        <v>23</v>
      </c>
      <c r="B132">
        <v>10565191.149730977</v>
      </c>
      <c r="C132">
        <v>10203471.571665555</v>
      </c>
      <c r="D132">
        <v>9722543.9017543755</v>
      </c>
      <c r="E132">
        <v>9726033.7979213055</v>
      </c>
      <c r="F132">
        <v>9769755.9044027142</v>
      </c>
      <c r="G132">
        <v>10151938.01060877</v>
      </c>
      <c r="H132">
        <v>11203101.615519725</v>
      </c>
      <c r="I132">
        <v>10875146.683771482</v>
      </c>
      <c r="J132">
        <v>10980203.249135252</v>
      </c>
      <c r="K132">
        <v>10209123.156799888</v>
      </c>
      <c r="L132">
        <v>13740316.343693225</v>
      </c>
      <c r="M132">
        <v>13828352.509780437</v>
      </c>
    </row>
    <row r="133" spans="1:13" x14ac:dyDescent="0.25">
      <c r="A133" t="s">
        <v>24</v>
      </c>
      <c r="B133" t="s">
        <v>47</v>
      </c>
      <c r="C133" t="s">
        <v>47</v>
      </c>
      <c r="D133" t="s">
        <v>47</v>
      </c>
      <c r="E133" t="s">
        <v>47</v>
      </c>
      <c r="F133" t="s">
        <v>47</v>
      </c>
      <c r="G133" t="s">
        <v>47</v>
      </c>
      <c r="H133" t="s">
        <v>47</v>
      </c>
      <c r="I133" t="s">
        <v>47</v>
      </c>
      <c r="J133" t="s">
        <v>47</v>
      </c>
      <c r="K133" t="s">
        <v>47</v>
      </c>
      <c r="L133" t="s">
        <v>47</v>
      </c>
      <c r="M133" t="s">
        <v>47</v>
      </c>
    </row>
    <row r="134" spans="1:13" x14ac:dyDescent="0.25">
      <c r="A134" t="s">
        <v>25</v>
      </c>
      <c r="B134" t="s">
        <v>47</v>
      </c>
      <c r="C134" t="s">
        <v>47</v>
      </c>
      <c r="D134" t="s">
        <v>47</v>
      </c>
      <c r="E134" t="s">
        <v>47</v>
      </c>
      <c r="F134" t="s">
        <v>47</v>
      </c>
      <c r="G134" t="s">
        <v>47</v>
      </c>
      <c r="H134" t="s">
        <v>47</v>
      </c>
      <c r="I134" t="s">
        <v>47</v>
      </c>
      <c r="J134" t="s">
        <v>47</v>
      </c>
      <c r="K134" t="s">
        <v>47</v>
      </c>
      <c r="L134" t="s">
        <v>47</v>
      </c>
      <c r="M134" t="s">
        <v>47</v>
      </c>
    </row>
    <row r="135" spans="1:13" x14ac:dyDescent="0.25">
      <c r="A135" t="s">
        <v>26</v>
      </c>
      <c r="B135" t="s">
        <v>47</v>
      </c>
      <c r="C135" t="s">
        <v>47</v>
      </c>
      <c r="D135" t="s">
        <v>47</v>
      </c>
      <c r="E135" t="s">
        <v>47</v>
      </c>
      <c r="F135" t="s">
        <v>47</v>
      </c>
      <c r="G135" t="s">
        <v>47</v>
      </c>
      <c r="H135" t="s">
        <v>47</v>
      </c>
      <c r="I135" t="s">
        <v>47</v>
      </c>
      <c r="J135" t="s">
        <v>47</v>
      </c>
      <c r="K135" t="s">
        <v>47</v>
      </c>
      <c r="L135" t="s">
        <v>47</v>
      </c>
      <c r="M135" t="s">
        <v>47</v>
      </c>
    </row>
    <row r="136" spans="1:13" x14ac:dyDescent="0.25">
      <c r="A136" t="s">
        <v>27</v>
      </c>
      <c r="B136" t="s">
        <v>47</v>
      </c>
      <c r="C136" t="s">
        <v>47</v>
      </c>
      <c r="D136" t="s">
        <v>47</v>
      </c>
      <c r="E136" t="s">
        <v>47</v>
      </c>
      <c r="F136" t="s">
        <v>47</v>
      </c>
      <c r="G136" t="s">
        <v>47</v>
      </c>
      <c r="H136" t="s">
        <v>47</v>
      </c>
      <c r="I136" t="s">
        <v>47</v>
      </c>
      <c r="J136" t="s">
        <v>47</v>
      </c>
      <c r="K136" t="s">
        <v>47</v>
      </c>
      <c r="L136" t="s">
        <v>47</v>
      </c>
      <c r="M136" t="s">
        <v>47</v>
      </c>
    </row>
    <row r="137" spans="1:13" x14ac:dyDescent="0.25">
      <c r="A137" t="s">
        <v>28</v>
      </c>
      <c r="B137">
        <v>40776441.96128732</v>
      </c>
      <c r="C137">
        <v>51080069.887491159</v>
      </c>
      <c r="D137">
        <v>45943262.158668347</v>
      </c>
      <c r="E137">
        <v>46703152.443952359</v>
      </c>
      <c r="F137">
        <v>44940551.273012631</v>
      </c>
      <c r="G137">
        <v>32919107.819473967</v>
      </c>
      <c r="H137">
        <v>30788398.359632302</v>
      </c>
      <c r="I137">
        <v>38478114.696234241</v>
      </c>
      <c r="J137">
        <v>37563821.804902278</v>
      </c>
      <c r="K137">
        <v>34375741.315167025</v>
      </c>
      <c r="L137">
        <v>28033739.015713669</v>
      </c>
      <c r="M137">
        <v>26982083.110270876</v>
      </c>
    </row>
    <row r="138" spans="1:13" x14ac:dyDescent="0.25">
      <c r="A138" t="s">
        <v>29</v>
      </c>
      <c r="B138" t="s">
        <v>47</v>
      </c>
      <c r="C138" t="s">
        <v>47</v>
      </c>
      <c r="D138" t="s">
        <v>47</v>
      </c>
      <c r="E138" t="s">
        <v>47</v>
      </c>
      <c r="F138" t="s">
        <v>47</v>
      </c>
      <c r="G138" t="s">
        <v>47</v>
      </c>
      <c r="H138" t="s">
        <v>47</v>
      </c>
      <c r="I138" t="s">
        <v>47</v>
      </c>
      <c r="J138" t="s">
        <v>47</v>
      </c>
      <c r="K138" t="s">
        <v>47</v>
      </c>
      <c r="L138" t="s">
        <v>47</v>
      </c>
      <c r="M138" t="s">
        <v>47</v>
      </c>
    </row>
    <row r="139" spans="1:13" x14ac:dyDescent="0.25">
      <c r="A139" t="s">
        <v>30</v>
      </c>
      <c r="B139" t="s">
        <v>47</v>
      </c>
      <c r="C139" t="s">
        <v>47</v>
      </c>
      <c r="D139" t="s">
        <v>47</v>
      </c>
      <c r="E139" t="s">
        <v>47</v>
      </c>
      <c r="F139" t="s">
        <v>47</v>
      </c>
      <c r="G139" t="s">
        <v>47</v>
      </c>
      <c r="H139" t="s">
        <v>47</v>
      </c>
      <c r="I139" t="s">
        <v>47</v>
      </c>
      <c r="J139" t="s">
        <v>47</v>
      </c>
      <c r="K139" t="s">
        <v>47</v>
      </c>
      <c r="L139" t="s">
        <v>47</v>
      </c>
      <c r="M139" t="s">
        <v>47</v>
      </c>
    </row>
    <row r="140" spans="1:13" x14ac:dyDescent="0.25">
      <c r="A140" t="s">
        <v>31</v>
      </c>
      <c r="B140">
        <v>9853450.5940074492</v>
      </c>
      <c r="C140">
        <v>9846781.0695498548</v>
      </c>
      <c r="D140">
        <v>9218141.7909949906</v>
      </c>
      <c r="E140">
        <v>8537985.3025399689</v>
      </c>
      <c r="F140">
        <v>10716845.194123179</v>
      </c>
      <c r="G140">
        <v>10989476.586811831</v>
      </c>
      <c r="H140">
        <v>11229682.571281807</v>
      </c>
      <c r="I140">
        <v>10383752.750861445</v>
      </c>
      <c r="J140">
        <v>10656370.55451173</v>
      </c>
      <c r="K140">
        <v>9932258.2397148851</v>
      </c>
      <c r="L140">
        <v>10087826.895455413</v>
      </c>
      <c r="M140">
        <v>10783680.406852987</v>
      </c>
    </row>
    <row r="141" spans="1:13" x14ac:dyDescent="0.25">
      <c r="A141" t="s">
        <v>32</v>
      </c>
      <c r="B141" t="s">
        <v>47</v>
      </c>
      <c r="C141" t="s">
        <v>47</v>
      </c>
      <c r="D141" t="s">
        <v>47</v>
      </c>
      <c r="E141" t="s">
        <v>47</v>
      </c>
      <c r="F141" t="s">
        <v>47</v>
      </c>
      <c r="G141" t="s">
        <v>47</v>
      </c>
      <c r="H141" t="s">
        <v>47</v>
      </c>
      <c r="I141" t="s">
        <v>47</v>
      </c>
      <c r="J141" t="s">
        <v>47</v>
      </c>
      <c r="K141" t="s">
        <v>47</v>
      </c>
      <c r="L141" t="s">
        <v>47</v>
      </c>
      <c r="M141" t="s">
        <v>47</v>
      </c>
    </row>
    <row r="142" spans="1:13" x14ac:dyDescent="0.25">
      <c r="A142" t="s">
        <v>33</v>
      </c>
      <c r="B142" t="s">
        <v>47</v>
      </c>
      <c r="C142" t="s">
        <v>47</v>
      </c>
      <c r="D142" t="s">
        <v>47</v>
      </c>
      <c r="E142" t="s">
        <v>47</v>
      </c>
      <c r="F142" t="s">
        <v>47</v>
      </c>
      <c r="G142" t="s">
        <v>47</v>
      </c>
      <c r="H142" t="s">
        <v>47</v>
      </c>
      <c r="I142" t="s">
        <v>47</v>
      </c>
      <c r="J142" t="s">
        <v>47</v>
      </c>
      <c r="K142" t="s">
        <v>47</v>
      </c>
      <c r="L142" t="s">
        <v>47</v>
      </c>
      <c r="M142" t="s">
        <v>47</v>
      </c>
    </row>
    <row r="143" spans="1:13" x14ac:dyDescent="0.25">
      <c r="A143" t="s">
        <v>34</v>
      </c>
      <c r="B143" t="s">
        <v>47</v>
      </c>
      <c r="C143" t="s">
        <v>47</v>
      </c>
      <c r="D143" t="s">
        <v>47</v>
      </c>
      <c r="E143" t="s">
        <v>47</v>
      </c>
      <c r="F143" t="s">
        <v>47</v>
      </c>
      <c r="G143" t="s">
        <v>47</v>
      </c>
      <c r="H143" t="s">
        <v>47</v>
      </c>
      <c r="I143" t="s">
        <v>47</v>
      </c>
      <c r="J143" t="s">
        <v>47</v>
      </c>
      <c r="K143" t="s">
        <v>47</v>
      </c>
      <c r="L143" t="s">
        <v>47</v>
      </c>
      <c r="M143" t="s">
        <v>47</v>
      </c>
    </row>
    <row r="144" spans="1:13" x14ac:dyDescent="0.25">
      <c r="A144" t="s">
        <v>35</v>
      </c>
      <c r="B144">
        <v>10214519.921490639</v>
      </c>
      <c r="C144">
        <v>10008664.562687457</v>
      </c>
      <c r="D144">
        <v>9776584.0524146464</v>
      </c>
      <c r="E144">
        <v>9503797.1827094797</v>
      </c>
      <c r="F144">
        <v>10722746.339805949</v>
      </c>
      <c r="G144">
        <v>10935365.309240805</v>
      </c>
      <c r="H144">
        <v>11185613.928859392</v>
      </c>
      <c r="I144">
        <v>10787017.332232079</v>
      </c>
      <c r="J144">
        <v>13237956.288269179</v>
      </c>
      <c r="K144">
        <v>13375798.901022865</v>
      </c>
      <c r="L144">
        <v>14460190.270529233</v>
      </c>
      <c r="M144">
        <v>13194653.801376591</v>
      </c>
    </row>
    <row r="145" spans="1:13" x14ac:dyDescent="0.25">
      <c r="A145" t="s">
        <v>36</v>
      </c>
      <c r="B145" t="s">
        <v>47</v>
      </c>
      <c r="C145" t="s">
        <v>47</v>
      </c>
      <c r="D145" t="s">
        <v>47</v>
      </c>
      <c r="E145" t="s">
        <v>47</v>
      </c>
      <c r="F145" t="s">
        <v>47</v>
      </c>
      <c r="G145" t="s">
        <v>47</v>
      </c>
      <c r="H145" t="s">
        <v>47</v>
      </c>
      <c r="I145" t="s">
        <v>47</v>
      </c>
      <c r="J145" t="s">
        <v>47</v>
      </c>
      <c r="K145" t="s">
        <v>47</v>
      </c>
      <c r="L145" t="s">
        <v>47</v>
      </c>
      <c r="M145" t="s">
        <v>47</v>
      </c>
    </row>
    <row r="146" spans="1:13" x14ac:dyDescent="0.25">
      <c r="A146" t="s">
        <v>37</v>
      </c>
      <c r="B146" t="s">
        <v>47</v>
      </c>
      <c r="C146" t="s">
        <v>47</v>
      </c>
      <c r="D146" t="s">
        <v>47</v>
      </c>
      <c r="E146" t="s">
        <v>47</v>
      </c>
      <c r="F146" t="s">
        <v>47</v>
      </c>
      <c r="G146" t="s">
        <v>47</v>
      </c>
      <c r="H146" t="s">
        <v>47</v>
      </c>
      <c r="I146" t="s">
        <v>47</v>
      </c>
      <c r="J146" t="s">
        <v>47</v>
      </c>
      <c r="K146" t="s">
        <v>47</v>
      </c>
      <c r="L146" t="s">
        <v>47</v>
      </c>
      <c r="M146" t="s">
        <v>47</v>
      </c>
    </row>
    <row r="147" spans="1:13" x14ac:dyDescent="0.25">
      <c r="A147" t="s">
        <v>38</v>
      </c>
      <c r="B147" t="s">
        <v>47</v>
      </c>
      <c r="C147" t="s">
        <v>47</v>
      </c>
      <c r="D147" t="s">
        <v>47</v>
      </c>
      <c r="E147" t="s">
        <v>47</v>
      </c>
      <c r="F147" t="s">
        <v>47</v>
      </c>
      <c r="G147" t="s">
        <v>47</v>
      </c>
      <c r="H147" t="s">
        <v>47</v>
      </c>
      <c r="I147" t="s">
        <v>47</v>
      </c>
      <c r="J147" t="s">
        <v>47</v>
      </c>
      <c r="K147" t="s">
        <v>47</v>
      </c>
      <c r="L147" t="s">
        <v>47</v>
      </c>
      <c r="M147" t="s">
        <v>47</v>
      </c>
    </row>
    <row r="148" spans="1:13" x14ac:dyDescent="0.25">
      <c r="A148" t="s">
        <v>39</v>
      </c>
      <c r="B148" t="s">
        <v>47</v>
      </c>
      <c r="C148" t="s">
        <v>47</v>
      </c>
      <c r="D148" t="s">
        <v>47</v>
      </c>
      <c r="E148" t="s">
        <v>47</v>
      </c>
      <c r="F148" t="s">
        <v>47</v>
      </c>
      <c r="G148" t="s">
        <v>47</v>
      </c>
      <c r="H148" t="s">
        <v>47</v>
      </c>
      <c r="I148" t="s">
        <v>47</v>
      </c>
      <c r="J148" t="s">
        <v>47</v>
      </c>
      <c r="K148" t="s">
        <v>47</v>
      </c>
      <c r="L148" t="s">
        <v>47</v>
      </c>
      <c r="M148" t="s">
        <v>47</v>
      </c>
    </row>
    <row r="149" spans="1:13" x14ac:dyDescent="0.25">
      <c r="A149" t="s">
        <v>40</v>
      </c>
      <c r="B149" t="s">
        <v>47</v>
      </c>
      <c r="C149" t="s">
        <v>47</v>
      </c>
      <c r="D149" t="s">
        <v>47</v>
      </c>
      <c r="E149" t="s">
        <v>47</v>
      </c>
      <c r="F149" t="s">
        <v>47</v>
      </c>
      <c r="G149" t="s">
        <v>47</v>
      </c>
      <c r="H149" t="s">
        <v>47</v>
      </c>
      <c r="I149" t="s">
        <v>47</v>
      </c>
      <c r="J149" t="s">
        <v>47</v>
      </c>
      <c r="K149" t="s">
        <v>47</v>
      </c>
      <c r="L149" t="s">
        <v>47</v>
      </c>
      <c r="M149" t="s">
        <v>47</v>
      </c>
    </row>
    <row r="150" spans="1:13" x14ac:dyDescent="0.25">
      <c r="A150" t="s">
        <v>41</v>
      </c>
      <c r="B150" t="s">
        <v>47</v>
      </c>
      <c r="C150" t="s">
        <v>47</v>
      </c>
      <c r="D150" t="s">
        <v>47</v>
      </c>
      <c r="E150" t="s">
        <v>47</v>
      </c>
      <c r="F150" t="s">
        <v>47</v>
      </c>
      <c r="G150" t="s">
        <v>47</v>
      </c>
      <c r="H150" t="s">
        <v>47</v>
      </c>
      <c r="I150" t="s">
        <v>47</v>
      </c>
      <c r="J150" t="s">
        <v>47</v>
      </c>
      <c r="K150" t="s">
        <v>47</v>
      </c>
      <c r="L150" t="s">
        <v>47</v>
      </c>
      <c r="M150" t="s">
        <v>47</v>
      </c>
    </row>
    <row r="151" spans="1:13" x14ac:dyDescent="0.25">
      <c r="A151" t="s">
        <v>42</v>
      </c>
      <c r="B151">
        <v>9853450.5940074492</v>
      </c>
      <c r="C151">
        <v>9846781.0695498548</v>
      </c>
      <c r="D151">
        <v>9218141.7909949906</v>
      </c>
      <c r="E151">
        <v>8537985.3025399689</v>
      </c>
      <c r="F151">
        <v>10716845.194123179</v>
      </c>
      <c r="G151">
        <v>10989476.586811831</v>
      </c>
      <c r="H151">
        <v>11229682.571281807</v>
      </c>
      <c r="I151">
        <v>10383752.750861445</v>
      </c>
      <c r="J151">
        <v>10656370.55451173</v>
      </c>
      <c r="K151">
        <v>9932258.2397148851</v>
      </c>
      <c r="L151">
        <v>10087826.895455413</v>
      </c>
      <c r="M151">
        <v>10783680.406852987</v>
      </c>
    </row>
    <row r="152" spans="1:13" x14ac:dyDescent="0.25">
      <c r="A152" t="s">
        <v>43</v>
      </c>
      <c r="B152">
        <v>7396614.7927751234</v>
      </c>
      <c r="C152">
        <v>7547504.7947588172</v>
      </c>
      <c r="D152">
        <v>7377524.3496411992</v>
      </c>
      <c r="E152">
        <v>7980270.3075390011</v>
      </c>
      <c r="F152">
        <v>8798436.0542436019</v>
      </c>
      <c r="G152">
        <v>8506001.0138891824</v>
      </c>
      <c r="H152">
        <v>8870388.9594430197</v>
      </c>
      <c r="I152">
        <v>7997709.4194902638</v>
      </c>
      <c r="J152">
        <v>7821457.1515578339</v>
      </c>
      <c r="K152">
        <v>7872044.0787469065</v>
      </c>
      <c r="L152">
        <v>9205052.1305030249</v>
      </c>
      <c r="M152">
        <v>9395761.9602870792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252D-EC53-49A2-99EA-0A902072AC2D}">
  <sheetPr>
    <tabColor rgb="FF002060"/>
  </sheetPr>
  <dimension ref="A1:AZ25"/>
  <sheetViews>
    <sheetView workbookViewId="0">
      <selection activeCell="C2" sqref="C2:E25"/>
    </sheetView>
  </sheetViews>
  <sheetFormatPr defaultRowHeight="15" x14ac:dyDescent="0.25"/>
  <sheetData>
    <row r="1" spans="1:52" x14ac:dyDescent="0.25">
      <c r="A1" t="s">
        <v>48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20</v>
      </c>
      <c r="B2">
        <v>0</v>
      </c>
      <c r="C2">
        <f>Data!K75</f>
        <v>0</v>
      </c>
      <c r="D2">
        <f>Data!L75</f>
        <v>0</v>
      </c>
      <c r="E2">
        <f>Data!M75</f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21</v>
      </c>
      <c r="B3">
        <v>0</v>
      </c>
      <c r="C3">
        <f>Data!K76</f>
        <v>0</v>
      </c>
      <c r="D3">
        <f>Data!L76</f>
        <v>27.75</v>
      </c>
      <c r="E3">
        <f>Data!M76</f>
        <v>4.5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22</v>
      </c>
      <c r="B4">
        <v>0</v>
      </c>
      <c r="C4">
        <f>Data!K77</f>
        <v>1692</v>
      </c>
      <c r="D4">
        <f>Data!L77</f>
        <v>773</v>
      </c>
      <c r="E4">
        <f>Data!M77</f>
        <v>765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23</v>
      </c>
      <c r="B5">
        <v>0</v>
      </c>
      <c r="C5">
        <f>Data!K78</f>
        <v>0</v>
      </c>
      <c r="D5">
        <f>Data!L78</f>
        <v>0</v>
      </c>
      <c r="E5">
        <f>Data!M78</f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24</v>
      </c>
      <c r="B6">
        <v>0</v>
      </c>
      <c r="C6">
        <f>Data!K79</f>
        <v>2</v>
      </c>
      <c r="D6">
        <f>Data!L79</f>
        <v>0</v>
      </c>
      <c r="E6">
        <f>Data!M79</f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25</v>
      </c>
      <c r="B7">
        <v>0</v>
      </c>
      <c r="C7">
        <f>Data!K80</f>
        <v>0</v>
      </c>
      <c r="D7">
        <f>Data!L80</f>
        <v>467</v>
      </c>
      <c r="E7">
        <f>Data!M80</f>
        <v>134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26</v>
      </c>
      <c r="B8">
        <v>0</v>
      </c>
      <c r="C8">
        <f>Data!K81</f>
        <v>325</v>
      </c>
      <c r="D8">
        <f>Data!L81</f>
        <v>580</v>
      </c>
      <c r="E8">
        <f>Data!M81</f>
        <v>934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t="s">
        <v>27</v>
      </c>
      <c r="B9">
        <v>0</v>
      </c>
      <c r="C9">
        <f>Data!K82</f>
        <v>0</v>
      </c>
      <c r="D9">
        <f>Data!L82</f>
        <v>0</v>
      </c>
      <c r="E9">
        <f>Data!M82</f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t="s">
        <v>28</v>
      </c>
      <c r="B10">
        <v>0</v>
      </c>
      <c r="C10">
        <f>Data!K83</f>
        <v>62.235000000000014</v>
      </c>
      <c r="D10">
        <f>Data!L83</f>
        <v>30.831000000000017</v>
      </c>
      <c r="E10">
        <f>Data!M83</f>
        <v>2.8779999999999291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29</v>
      </c>
      <c r="B11">
        <v>0</v>
      </c>
      <c r="C11">
        <f>Data!K84</f>
        <v>25</v>
      </c>
      <c r="D11">
        <f>Data!L84</f>
        <v>0</v>
      </c>
      <c r="E11">
        <f>Data!M84</f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30</v>
      </c>
      <c r="B12">
        <v>0</v>
      </c>
      <c r="C12">
        <f>Data!K85</f>
        <v>0</v>
      </c>
      <c r="D12">
        <f>Data!L85</f>
        <v>0</v>
      </c>
      <c r="E12">
        <f>Data!M85</f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t="s">
        <v>31</v>
      </c>
      <c r="B13">
        <v>0</v>
      </c>
      <c r="C13">
        <f>Data!K86</f>
        <v>199</v>
      </c>
      <c r="D13">
        <f>Data!L86</f>
        <v>72.5</v>
      </c>
      <c r="E13">
        <f>Data!M86</f>
        <v>80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32</v>
      </c>
      <c r="B14">
        <v>0</v>
      </c>
      <c r="C14">
        <f>Data!K87</f>
        <v>0</v>
      </c>
      <c r="D14">
        <f>Data!L87</f>
        <v>0</v>
      </c>
      <c r="E14">
        <f>Data!M87</f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33</v>
      </c>
      <c r="B15">
        <v>0</v>
      </c>
      <c r="C15">
        <f>Data!K88</f>
        <v>0</v>
      </c>
      <c r="D15">
        <f>Data!L88</f>
        <v>0</v>
      </c>
      <c r="E15">
        <f>Data!M88</f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t="s">
        <v>34</v>
      </c>
      <c r="B16">
        <v>0</v>
      </c>
      <c r="C16">
        <f>Data!K89</f>
        <v>0</v>
      </c>
      <c r="D16">
        <f>Data!L89</f>
        <v>0</v>
      </c>
      <c r="E16">
        <f>Data!M89</f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35</v>
      </c>
      <c r="B17">
        <v>0</v>
      </c>
      <c r="C17">
        <f>Data!K90</f>
        <v>0</v>
      </c>
      <c r="D17">
        <f>Data!L90</f>
        <v>0</v>
      </c>
      <c r="E17">
        <f>Data!M90</f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36</v>
      </c>
      <c r="B18">
        <v>0</v>
      </c>
      <c r="C18">
        <f>Data!K91</f>
        <v>0</v>
      </c>
      <c r="D18">
        <f>Data!L91</f>
        <v>0</v>
      </c>
      <c r="E18">
        <f>Data!M91</f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t="s">
        <v>37</v>
      </c>
      <c r="B19">
        <v>0</v>
      </c>
      <c r="C19">
        <f>Data!K92</f>
        <v>0</v>
      </c>
      <c r="D19">
        <f>Data!L92</f>
        <v>0</v>
      </c>
      <c r="E19">
        <f>Data!M92</f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38</v>
      </c>
      <c r="B20">
        <v>0</v>
      </c>
      <c r="C20">
        <f>Data!K93</f>
        <v>0</v>
      </c>
      <c r="D20">
        <f>Data!L93</f>
        <v>0</v>
      </c>
      <c r="E20">
        <f>Data!M93</f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39</v>
      </c>
      <c r="B21">
        <v>0</v>
      </c>
      <c r="C21">
        <f>Data!K94</f>
        <v>0</v>
      </c>
      <c r="D21">
        <f>Data!L94</f>
        <v>0</v>
      </c>
      <c r="E21">
        <f>Data!M94</f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t="s">
        <v>40</v>
      </c>
      <c r="B22">
        <v>0</v>
      </c>
      <c r="C22">
        <f>Data!K95</f>
        <v>0</v>
      </c>
      <c r="D22">
        <f>Data!L95</f>
        <v>0</v>
      </c>
      <c r="E22">
        <f>Data!M95</f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t="s">
        <v>41</v>
      </c>
      <c r="B23">
        <v>0</v>
      </c>
      <c r="C23">
        <f>Data!K96</f>
        <v>0</v>
      </c>
      <c r="D23">
        <f>Data!L96</f>
        <v>0</v>
      </c>
      <c r="E23">
        <f>Data!M96</f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t="s">
        <v>42</v>
      </c>
      <c r="B24">
        <v>0</v>
      </c>
      <c r="C24">
        <f>Data!K97</f>
        <v>0</v>
      </c>
      <c r="D24">
        <f>Data!L97</f>
        <v>0</v>
      </c>
      <c r="E24">
        <f>Data!M97</f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t="s">
        <v>43</v>
      </c>
      <c r="B25">
        <v>0</v>
      </c>
      <c r="C25">
        <f>Data!K98</f>
        <v>0</v>
      </c>
      <c r="D25">
        <f>Data!L98</f>
        <v>0</v>
      </c>
      <c r="E25">
        <f>Data!M98</f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BPMCCS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2025-10-06T14:01:58Z</dcterms:created>
  <dcterms:modified xsi:type="dcterms:W3CDTF">2025-10-06T14:03:29Z</dcterms:modified>
</cp:coreProperties>
</file>