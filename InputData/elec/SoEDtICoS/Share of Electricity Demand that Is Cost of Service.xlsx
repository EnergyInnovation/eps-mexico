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chel Goldstein\Desktop\EPS Models\Mexico EPS\InputData\elec\SoEDtICoS\"/>
    </mc:Choice>
  </mc:AlternateContent>
  <xr:revisionPtr revIDLastSave="0" documentId="13_ncr:1_{066FDBAA-B051-45A0-9238-2A09D44B7340}" xr6:coauthVersionLast="47" xr6:coauthVersionMax="47" xr10:uidLastSave="{00000000-0000-0000-0000-000000000000}"/>
  <bookViews>
    <workbookView xWindow="696" yWindow="372" windowWidth="19536" windowHeight="13104" activeTab="4" xr2:uid="{E07B5A2F-491A-4974-9CCC-AE919D973516}"/>
  </bookViews>
  <sheets>
    <sheet name="About" sheetId="4" r:id="rId1"/>
    <sheet name="NEMS Net Load" sheetId="21" r:id="rId2"/>
    <sheet name="IPM Load" sheetId="19" r:id="rId3"/>
    <sheet name="Cost-of-Service Shares" sheetId="20" r:id="rId4"/>
    <sheet name="SoEDtICo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5" i="20" l="1" a="1"/>
  <c r="AZ5" i="20" s="1"/>
  <c r="AT3" i="20" a="1"/>
  <c r="AT3" i="20" s="1"/>
  <c r="AU3" i="20" a="1"/>
  <c r="AU3" i="20" s="1"/>
  <c r="AV3" i="20" a="1"/>
  <c r="AV3" i="20"/>
  <c r="AW3" i="20" a="1"/>
  <c r="AW3" i="20"/>
  <c r="AX3" i="20" a="1"/>
  <c r="AX3" i="20" s="1"/>
  <c r="AY3" i="20" a="1"/>
  <c r="AY3" i="20"/>
  <c r="AZ3" i="20" a="1"/>
  <c r="AZ3" i="20"/>
  <c r="BA3" i="20" a="1"/>
  <c r="BA3" i="20" s="1"/>
  <c r="BB3" i="20" a="1"/>
  <c r="BB3" i="20" s="1"/>
  <c r="BC3" i="20" a="1"/>
  <c r="BC3" i="20"/>
  <c r="BD3" i="20" a="1"/>
  <c r="BD3" i="20" s="1"/>
  <c r="BE3" i="20" a="1"/>
  <c r="BE3" i="20" s="1"/>
  <c r="BF3" i="20" a="1"/>
  <c r="BF3" i="20"/>
  <c r="BG3" i="20" a="1"/>
  <c r="BG3" i="20"/>
  <c r="BH3" i="20" a="1"/>
  <c r="BH3" i="20" s="1"/>
  <c r="BI3" i="20" a="1"/>
  <c r="BI3" i="20"/>
  <c r="BJ3" i="20" a="1"/>
  <c r="BJ3" i="20"/>
  <c r="BK3" i="20" a="1"/>
  <c r="BK3" i="20" s="1"/>
  <c r="BL3" i="20" a="1"/>
  <c r="BL3" i="20" s="1"/>
  <c r="BM3" i="20" a="1"/>
  <c r="BM3" i="20"/>
  <c r="BN3" i="20" a="1"/>
  <c r="BN3" i="20" s="1"/>
  <c r="BO3" i="20" a="1"/>
  <c r="BO3" i="20" s="1"/>
  <c r="BP3" i="20" a="1"/>
  <c r="BP3" i="20"/>
  <c r="BQ3" i="20" a="1"/>
  <c r="BQ3" i="20"/>
  <c r="BR3" i="20" a="1"/>
  <c r="BR3" i="20" s="1"/>
  <c r="BS3" i="20" a="1"/>
  <c r="BS3" i="20"/>
  <c r="BT3" i="20" a="1"/>
  <c r="BT3" i="20"/>
  <c r="BU3" i="20" a="1"/>
  <c r="BU3" i="20" s="1"/>
  <c r="BV3" i="20" a="1"/>
  <c r="BV3" i="20" s="1"/>
  <c r="AT4" i="20" a="1"/>
  <c r="AT4" i="20"/>
  <c r="AU4" i="20" a="1"/>
  <c r="AU4" i="20" s="1"/>
  <c r="AV4" i="20" a="1"/>
  <c r="AV4" i="20" s="1"/>
  <c r="AW4" i="20" a="1"/>
  <c r="AW4" i="20"/>
  <c r="AX4" i="20" a="1"/>
  <c r="AX4" i="20"/>
  <c r="AY4" i="20" a="1"/>
  <c r="AY4" i="20" s="1"/>
  <c r="AZ4" i="20" a="1"/>
  <c r="AZ4" i="20"/>
  <c r="BA4" i="20" a="1"/>
  <c r="BA4" i="20"/>
  <c r="BB4" i="20" a="1"/>
  <c r="BB4" i="20" s="1"/>
  <c r="BC4" i="20" a="1"/>
  <c r="BC4" i="20" s="1"/>
  <c r="BD4" i="20" a="1"/>
  <c r="BD4" i="20"/>
  <c r="BE4" i="20" a="1"/>
  <c r="BE4" i="20" s="1"/>
  <c r="BF4" i="20" a="1"/>
  <c r="BF4" i="20" s="1"/>
  <c r="BG4" i="20" a="1"/>
  <c r="BG4" i="20"/>
  <c r="BH4" i="20" a="1"/>
  <c r="BH4" i="20"/>
  <c r="BI4" i="20" a="1"/>
  <c r="BI4" i="20" s="1"/>
  <c r="BJ4" i="20" a="1"/>
  <c r="BJ4" i="20"/>
  <c r="BK4" i="20" a="1"/>
  <c r="BK4" i="20"/>
  <c r="BL4" i="20" a="1"/>
  <c r="BL4" i="20" s="1"/>
  <c r="BM4" i="20" a="1"/>
  <c r="BM4" i="20" s="1"/>
  <c r="BN4" i="20" a="1"/>
  <c r="BN4" i="20"/>
  <c r="BO4" i="20" a="1"/>
  <c r="BO4" i="20" s="1"/>
  <c r="BP4" i="20" a="1"/>
  <c r="BP4" i="20" s="1"/>
  <c r="BQ4" i="20" a="1"/>
  <c r="BQ4" i="20"/>
  <c r="BR4" i="20" a="1"/>
  <c r="BR4" i="20"/>
  <c r="BS4" i="20" a="1"/>
  <c r="BS4" i="20" s="1"/>
  <c r="BT4" i="20" a="1"/>
  <c r="BT4" i="20"/>
  <c r="BU4" i="20" a="1"/>
  <c r="BU4" i="20"/>
  <c r="BV4" i="20" a="1"/>
  <c r="BV4" i="20" s="1"/>
  <c r="AT5" i="20" a="1"/>
  <c r="AT5" i="20" s="1"/>
  <c r="AU5" i="20" a="1"/>
  <c r="AU5" i="20"/>
  <c r="AV5" i="20" a="1"/>
  <c r="AV5" i="20" s="1"/>
  <c r="AW5" i="20" a="1"/>
  <c r="AW5" i="20" s="1"/>
  <c r="AX5" i="20" a="1"/>
  <c r="AX5" i="20"/>
  <c r="AY5" i="20" a="1"/>
  <c r="AY5" i="20"/>
  <c r="BA5" i="20" a="1"/>
  <c r="BA5" i="20"/>
  <c r="BB5" i="20" a="1"/>
  <c r="BB5" i="20"/>
  <c r="BC5" i="20" a="1"/>
  <c r="BC5" i="20" s="1"/>
  <c r="BD5" i="20" a="1"/>
  <c r="BD5" i="20" s="1"/>
  <c r="BE5" i="20" a="1"/>
  <c r="BE5" i="20"/>
  <c r="BF5" i="20" a="1"/>
  <c r="BF5" i="20" s="1"/>
  <c r="BG5" i="20" a="1"/>
  <c r="BG5" i="20" s="1"/>
  <c r="BH5" i="20" a="1"/>
  <c r="BH5" i="20"/>
  <c r="BI5" i="20" a="1"/>
  <c r="BI5" i="20"/>
  <c r="BJ5" i="20" a="1"/>
  <c r="BJ5" i="20" s="1"/>
  <c r="BK5" i="20" a="1"/>
  <c r="BK5" i="20"/>
  <c r="BL5" i="20" a="1"/>
  <c r="BL5" i="20"/>
  <c r="BM5" i="20" a="1"/>
  <c r="BM5" i="20" s="1"/>
  <c r="BN5" i="20" a="1"/>
  <c r="BN5" i="20" s="1"/>
  <c r="BO5" i="20" a="1"/>
  <c r="BO5" i="20"/>
  <c r="BP5" i="20" a="1"/>
  <c r="BP5" i="20" s="1"/>
  <c r="BQ5" i="20" a="1"/>
  <c r="BQ5" i="20" s="1"/>
  <c r="BR5" i="20" a="1"/>
  <c r="BR5" i="20"/>
  <c r="BS5" i="20" a="1"/>
  <c r="BS5" i="20"/>
  <c r="BT5" i="20" a="1"/>
  <c r="BT5" i="20" s="1"/>
  <c r="BU5" i="20" a="1"/>
  <c r="BU5" i="20"/>
  <c r="BV5" i="20" a="1"/>
  <c r="BV5" i="20"/>
  <c r="AT6" i="20" a="1"/>
  <c r="AT6" i="20" s="1"/>
  <c r="AU6" i="20" a="1"/>
  <c r="AU6" i="20" s="1"/>
  <c r="AV6" i="20" a="1"/>
  <c r="AV6" i="20"/>
  <c r="AW6" i="20" a="1"/>
  <c r="AW6" i="20" s="1"/>
  <c r="AX6" i="20" a="1"/>
  <c r="AX6" i="20" s="1"/>
  <c r="AY6" i="20" a="1"/>
  <c r="AY6" i="20"/>
  <c r="AZ6" i="20" a="1"/>
  <c r="AZ6" i="20"/>
  <c r="BA6" i="20" a="1"/>
  <c r="BA6" i="20" s="1"/>
  <c r="BB6" i="20" a="1"/>
  <c r="BB6" i="20"/>
  <c r="BC6" i="20" a="1"/>
  <c r="BC6" i="20"/>
  <c r="BD6" i="20" a="1"/>
  <c r="BD6" i="20" s="1"/>
  <c r="BE6" i="20" a="1"/>
  <c r="BE6" i="20" s="1"/>
  <c r="BF6" i="20" a="1"/>
  <c r="BF6" i="20"/>
  <c r="BG6" i="20" a="1"/>
  <c r="BG6" i="20" s="1"/>
  <c r="BH6" i="20" a="1"/>
  <c r="BH6" i="20" s="1"/>
  <c r="BI6" i="20" a="1"/>
  <c r="BI6" i="20"/>
  <c r="BJ6" i="20" a="1"/>
  <c r="BJ6" i="20"/>
  <c r="BK6" i="20" a="1"/>
  <c r="BK6" i="20" s="1"/>
  <c r="BL6" i="20" a="1"/>
  <c r="BL6" i="20"/>
  <c r="BM6" i="20" a="1"/>
  <c r="BM6" i="20"/>
  <c r="BN6" i="20" a="1"/>
  <c r="BN6" i="20" s="1"/>
  <c r="BO6" i="20" a="1"/>
  <c r="BO6" i="20" s="1"/>
  <c r="BP6" i="20" a="1"/>
  <c r="BP6" i="20"/>
  <c r="BQ6" i="20" a="1"/>
  <c r="BQ6" i="20" s="1"/>
  <c r="BR6" i="20" a="1"/>
  <c r="BR6" i="20" s="1"/>
  <c r="BS6" i="20" a="1"/>
  <c r="BS6" i="20"/>
  <c r="BT6" i="20" a="1"/>
  <c r="BT6" i="20"/>
  <c r="BU6" i="20" a="1"/>
  <c r="BU6" i="20" s="1"/>
  <c r="BV6" i="20" a="1"/>
  <c r="BV6" i="20"/>
  <c r="AT7" i="20" a="1"/>
  <c r="AT7" i="20"/>
  <c r="AU7" i="20" a="1"/>
  <c r="AU7" i="20" s="1"/>
  <c r="AV7" i="20" a="1"/>
  <c r="AV7" i="20" s="1"/>
  <c r="AW7" i="20" a="1"/>
  <c r="AW7" i="20"/>
  <c r="AX7" i="20" a="1"/>
  <c r="AX7" i="20" s="1"/>
  <c r="AY7" i="20" a="1"/>
  <c r="AY7" i="20" s="1"/>
  <c r="AZ7" i="20" a="1"/>
  <c r="AZ7" i="20"/>
  <c r="BA7" i="20" a="1"/>
  <c r="BA7" i="20"/>
  <c r="BB7" i="20" a="1"/>
  <c r="BB7" i="20" s="1"/>
  <c r="BC7" i="20" a="1"/>
  <c r="BC7" i="20"/>
  <c r="BD7" i="20" a="1"/>
  <c r="BD7" i="20"/>
  <c r="BE7" i="20" a="1"/>
  <c r="BE7" i="20" s="1"/>
  <c r="BF7" i="20" a="1"/>
  <c r="BF7" i="20" s="1"/>
  <c r="BG7" i="20" a="1"/>
  <c r="BG7" i="20"/>
  <c r="BH7" i="20" a="1"/>
  <c r="BH7" i="20" s="1"/>
  <c r="BI7" i="20" a="1"/>
  <c r="BI7" i="20" s="1"/>
  <c r="BJ7" i="20" a="1"/>
  <c r="BJ7" i="20"/>
  <c r="BK7" i="20" a="1"/>
  <c r="BK7" i="20"/>
  <c r="BL7" i="20" a="1"/>
  <c r="BL7" i="20" s="1"/>
  <c r="BM7" i="20" a="1"/>
  <c r="BM7" i="20"/>
  <c r="BN7" i="20" a="1"/>
  <c r="BN7" i="20"/>
  <c r="BO7" i="20" a="1"/>
  <c r="BO7" i="20" s="1"/>
  <c r="BP7" i="20" a="1"/>
  <c r="BP7" i="20" s="1"/>
  <c r="BQ7" i="20" a="1"/>
  <c r="BQ7" i="20"/>
  <c r="BR7" i="20" a="1"/>
  <c r="BR7" i="20" s="1"/>
  <c r="BS7" i="20" a="1"/>
  <c r="BS7" i="20" s="1"/>
  <c r="BT7" i="20" a="1"/>
  <c r="BT7" i="20"/>
  <c r="BU7" i="20" a="1"/>
  <c r="BU7" i="20"/>
  <c r="BV7" i="20" a="1"/>
  <c r="BV7" i="20" s="1"/>
  <c r="AT8" i="20" a="1"/>
  <c r="AT8" i="20"/>
  <c r="AU8" i="20" a="1"/>
  <c r="AU8" i="20"/>
  <c r="AV8" i="20" a="1"/>
  <c r="AV8" i="20" s="1"/>
  <c r="AW8" i="20" a="1"/>
  <c r="AW8" i="20" s="1"/>
  <c r="AX8" i="20" a="1"/>
  <c r="AX8" i="20"/>
  <c r="AY8" i="20" a="1"/>
  <c r="AY8" i="20" s="1"/>
  <c r="AZ8" i="20" a="1"/>
  <c r="AZ8" i="20" s="1"/>
  <c r="BA8" i="20" a="1"/>
  <c r="BA8" i="20"/>
  <c r="BB8" i="20" a="1"/>
  <c r="BB8" i="20"/>
  <c r="BC8" i="20" a="1"/>
  <c r="BC8" i="20" s="1"/>
  <c r="BD8" i="20" a="1"/>
  <c r="BD8" i="20"/>
  <c r="BE8" i="20" a="1"/>
  <c r="BE8" i="20"/>
  <c r="BF8" i="20" a="1"/>
  <c r="BF8" i="20" s="1"/>
  <c r="BG8" i="20" a="1"/>
  <c r="BG8" i="20" s="1"/>
  <c r="BH8" i="20" a="1"/>
  <c r="BH8" i="20"/>
  <c r="BI8" i="20" a="1"/>
  <c r="BI8" i="20" s="1"/>
  <c r="BJ8" i="20" a="1"/>
  <c r="BJ8" i="20" s="1"/>
  <c r="BK8" i="20" a="1"/>
  <c r="BK8" i="20"/>
  <c r="BL8" i="20" a="1"/>
  <c r="BL8" i="20"/>
  <c r="BM8" i="20" a="1"/>
  <c r="BM8" i="20" s="1"/>
  <c r="BN8" i="20" a="1"/>
  <c r="BN8" i="20"/>
  <c r="BO8" i="20" a="1"/>
  <c r="BO8" i="20"/>
  <c r="BP8" i="20" a="1"/>
  <c r="BP8" i="20" s="1"/>
  <c r="BQ8" i="20" a="1"/>
  <c r="BQ8" i="20" s="1"/>
  <c r="BR8" i="20" a="1"/>
  <c r="BR8" i="20"/>
  <c r="BS8" i="20" a="1"/>
  <c r="BS8" i="20" s="1"/>
  <c r="BT8" i="20" a="1"/>
  <c r="BT8" i="20" s="1"/>
  <c r="BU8" i="20" a="1"/>
  <c r="BU8" i="20"/>
  <c r="BV8" i="20" a="1"/>
  <c r="BV8" i="20"/>
  <c r="AT9" i="20" a="1"/>
  <c r="AT9" i="20" s="1"/>
  <c r="AU9" i="20" a="1"/>
  <c r="AU9" i="20"/>
  <c r="AV9" i="20" a="1"/>
  <c r="AV9" i="20"/>
  <c r="AW9" i="20" a="1"/>
  <c r="AW9" i="20" s="1"/>
  <c r="AX9" i="20" a="1"/>
  <c r="AX9" i="20" s="1"/>
  <c r="AY9" i="20" a="1"/>
  <c r="AY9" i="20"/>
  <c r="AZ9" i="20" a="1"/>
  <c r="AZ9" i="20" s="1"/>
  <c r="BA9" i="20" a="1"/>
  <c r="BA9" i="20" s="1"/>
  <c r="BB9" i="20" a="1"/>
  <c r="BB9" i="20"/>
  <c r="BC9" i="20" a="1"/>
  <c r="BC9" i="20"/>
  <c r="BD9" i="20" a="1"/>
  <c r="BD9" i="20" s="1"/>
  <c r="BE9" i="20" a="1"/>
  <c r="BE9" i="20"/>
  <c r="BF9" i="20" a="1"/>
  <c r="BF9" i="20"/>
  <c r="BG9" i="20" a="1"/>
  <c r="BG9" i="20" s="1"/>
  <c r="BH9" i="20" a="1"/>
  <c r="BH9" i="20" s="1"/>
  <c r="BI9" i="20" a="1"/>
  <c r="BI9" i="20"/>
  <c r="BJ9" i="20" a="1"/>
  <c r="BJ9" i="20" s="1"/>
  <c r="BK9" i="20" a="1"/>
  <c r="BK9" i="20" s="1"/>
  <c r="BL9" i="20" a="1"/>
  <c r="BL9" i="20"/>
  <c r="BM9" i="20" a="1"/>
  <c r="BM9" i="20"/>
  <c r="BN9" i="20" a="1"/>
  <c r="BN9" i="20" s="1"/>
  <c r="BO9" i="20" a="1"/>
  <c r="BO9" i="20"/>
  <c r="BP9" i="20" a="1"/>
  <c r="BP9" i="20"/>
  <c r="BQ9" i="20" a="1"/>
  <c r="BQ9" i="20" s="1"/>
  <c r="BR9" i="20" a="1"/>
  <c r="BR9" i="20" s="1"/>
  <c r="BS9" i="20" a="1"/>
  <c r="BS9" i="20"/>
  <c r="BT9" i="20" a="1"/>
  <c r="BT9" i="20" s="1"/>
  <c r="BU9" i="20" a="1"/>
  <c r="BU9" i="20" s="1"/>
  <c r="BV9" i="20" a="1"/>
  <c r="BV9" i="20"/>
  <c r="AT10" i="20" a="1"/>
  <c r="AT10" i="20"/>
  <c r="AU10" i="20" a="1"/>
  <c r="AU10" i="20" s="1"/>
  <c r="AV10" i="20" a="1"/>
  <c r="AV10" i="20"/>
  <c r="AW10" i="20" a="1"/>
  <c r="AW10" i="20"/>
  <c r="AX10" i="20" a="1"/>
  <c r="AX10" i="20" s="1"/>
  <c r="AY10" i="20" a="1"/>
  <c r="AY10" i="20" s="1"/>
  <c r="AZ10" i="20" a="1"/>
  <c r="AZ10" i="20"/>
  <c r="BA10" i="20" a="1"/>
  <c r="BA10" i="20" s="1"/>
  <c r="BB10" i="20" a="1"/>
  <c r="BB10" i="20" s="1"/>
  <c r="BC10" i="20" a="1"/>
  <c r="BC10" i="20"/>
  <c r="BD10" i="20" a="1"/>
  <c r="BD10" i="20"/>
  <c r="BE10" i="20" a="1"/>
  <c r="BE10" i="20" s="1"/>
  <c r="BF10" i="20" a="1"/>
  <c r="BF10" i="20"/>
  <c r="BG10" i="20" a="1"/>
  <c r="BG10" i="20"/>
  <c r="BH10" i="20" a="1"/>
  <c r="BH10" i="20" s="1"/>
  <c r="BI10" i="20" a="1"/>
  <c r="BI10" i="20" s="1"/>
  <c r="BJ10" i="20" a="1"/>
  <c r="BJ10" i="20"/>
  <c r="BK10" i="20" a="1"/>
  <c r="BK10" i="20" s="1"/>
  <c r="BL10" i="20" a="1"/>
  <c r="BL10" i="20" s="1"/>
  <c r="BM10" i="20" a="1"/>
  <c r="BM10" i="20"/>
  <c r="BN10" i="20" a="1"/>
  <c r="BN10" i="20"/>
  <c r="BO10" i="20" a="1"/>
  <c r="BO10" i="20" s="1"/>
  <c r="BP10" i="20" a="1"/>
  <c r="BP10" i="20"/>
  <c r="BQ10" i="20" a="1"/>
  <c r="BQ10" i="20"/>
  <c r="BR10" i="20" a="1"/>
  <c r="BR10" i="20" s="1"/>
  <c r="BS10" i="20" a="1"/>
  <c r="BS10" i="20" s="1"/>
  <c r="BT10" i="20" a="1"/>
  <c r="BT10" i="20"/>
  <c r="BU10" i="20" a="1"/>
  <c r="BU10" i="20" s="1"/>
  <c r="BV10" i="20" a="1"/>
  <c r="BV10" i="20" s="1"/>
  <c r="AT11" i="20" a="1"/>
  <c r="AT11" i="20"/>
  <c r="AU11" i="20" a="1"/>
  <c r="AU11" i="20"/>
  <c r="AV11" i="20" a="1"/>
  <c r="AV11" i="20" s="1"/>
  <c r="AW11" i="20" a="1"/>
  <c r="AW11" i="20"/>
  <c r="AX11" i="20" a="1"/>
  <c r="AX11" i="20"/>
  <c r="AY11" i="20" a="1"/>
  <c r="AY11" i="20" s="1"/>
  <c r="AZ11" i="20" a="1"/>
  <c r="AZ11" i="20" s="1"/>
  <c r="BA11" i="20" a="1"/>
  <c r="BA11" i="20"/>
  <c r="BB11" i="20" a="1"/>
  <c r="BB11" i="20" s="1"/>
  <c r="BC11" i="20" a="1"/>
  <c r="BC11" i="20" s="1"/>
  <c r="BD11" i="20" a="1"/>
  <c r="BD11" i="20"/>
  <c r="BE11" i="20" a="1"/>
  <c r="BE11" i="20"/>
  <c r="BF11" i="20" a="1"/>
  <c r="BF11" i="20" s="1"/>
  <c r="BG11" i="20" a="1"/>
  <c r="BG11" i="20"/>
  <c r="BH11" i="20" a="1"/>
  <c r="BH11" i="20"/>
  <c r="BI11" i="20" a="1"/>
  <c r="BI11" i="20" s="1"/>
  <c r="BJ11" i="20" a="1"/>
  <c r="BJ11" i="20" s="1"/>
  <c r="BK11" i="20" a="1"/>
  <c r="BK11" i="20"/>
  <c r="BL11" i="20" a="1"/>
  <c r="BL11" i="20" s="1"/>
  <c r="BM11" i="20" a="1"/>
  <c r="BM11" i="20" s="1"/>
  <c r="BN11" i="20" a="1"/>
  <c r="BN11" i="20"/>
  <c r="BO11" i="20" a="1"/>
  <c r="BO11" i="20"/>
  <c r="BP11" i="20" a="1"/>
  <c r="BP11" i="20" s="1"/>
  <c r="BQ11" i="20" a="1"/>
  <c r="BQ11" i="20"/>
  <c r="BR11" i="20" a="1"/>
  <c r="BR11" i="20"/>
  <c r="BS11" i="20" a="1"/>
  <c r="BS11" i="20" s="1"/>
  <c r="BT11" i="20" a="1"/>
  <c r="BT11" i="20" s="1"/>
  <c r="BU11" i="20" a="1"/>
  <c r="BU11" i="20"/>
  <c r="BV11" i="20" a="1"/>
  <c r="BV11" i="20" s="1"/>
  <c r="AT12" i="20" a="1"/>
  <c r="AT12" i="20" s="1"/>
  <c r="AU12" i="20" a="1"/>
  <c r="AU12" i="20"/>
  <c r="AV12" i="20" a="1"/>
  <c r="AV12" i="20"/>
  <c r="AW12" i="20" a="1"/>
  <c r="AW12" i="20" s="1"/>
  <c r="AX12" i="20" a="1"/>
  <c r="AX12" i="20"/>
  <c r="AY12" i="20" a="1"/>
  <c r="AY12" i="20"/>
  <c r="AZ12" i="20" a="1"/>
  <c r="AZ12" i="20" s="1"/>
  <c r="BA12" i="20" a="1"/>
  <c r="BA12" i="20" s="1"/>
  <c r="BB12" i="20" a="1"/>
  <c r="BB12" i="20"/>
  <c r="BC12" i="20" a="1"/>
  <c r="BC12" i="20" s="1"/>
  <c r="BD12" i="20" a="1"/>
  <c r="BD12" i="20" s="1"/>
  <c r="BE12" i="20" a="1"/>
  <c r="BE12" i="20"/>
  <c r="BF12" i="20" a="1"/>
  <c r="BF12" i="20"/>
  <c r="BG12" i="20" a="1"/>
  <c r="BG12" i="20" s="1"/>
  <c r="BH12" i="20" a="1"/>
  <c r="BH12" i="20"/>
  <c r="BI12" i="20" a="1"/>
  <c r="BI12" i="20"/>
  <c r="BJ12" i="20" a="1"/>
  <c r="BJ12" i="20" s="1"/>
  <c r="BK12" i="20" a="1"/>
  <c r="BK12" i="20" s="1"/>
  <c r="BL12" i="20" a="1"/>
  <c r="BL12" i="20"/>
  <c r="BM12" i="20" a="1"/>
  <c r="BM12" i="20" s="1"/>
  <c r="BN12" i="20" a="1"/>
  <c r="BN12" i="20" s="1"/>
  <c r="BO12" i="20" a="1"/>
  <c r="BO12" i="20"/>
  <c r="BP12" i="20" a="1"/>
  <c r="BP12" i="20"/>
  <c r="BQ12" i="20" a="1"/>
  <c r="BQ12" i="20" s="1"/>
  <c r="BR12" i="20" a="1"/>
  <c r="BR12" i="20"/>
  <c r="BS12" i="20" a="1"/>
  <c r="BS12" i="20"/>
  <c r="BT12" i="20" a="1"/>
  <c r="BT12" i="20" s="1"/>
  <c r="BU12" i="20" a="1"/>
  <c r="BU12" i="20" s="1"/>
  <c r="BV12" i="20" a="1"/>
  <c r="BV12" i="20"/>
  <c r="AT13" i="20" a="1"/>
  <c r="AT13" i="20" s="1"/>
  <c r="AU13" i="20" a="1"/>
  <c r="AU13" i="20" s="1"/>
  <c r="AV13" i="20" a="1"/>
  <c r="AV13" i="20"/>
  <c r="AW13" i="20" a="1"/>
  <c r="AW13" i="20"/>
  <c r="AX13" i="20" a="1"/>
  <c r="AX13" i="20" s="1"/>
  <c r="AY13" i="20" a="1"/>
  <c r="AY13" i="20"/>
  <c r="AZ13" i="20" a="1"/>
  <c r="AZ13" i="20"/>
  <c r="BA13" i="20" a="1"/>
  <c r="BA13" i="20" s="1"/>
  <c r="BB13" i="20" a="1"/>
  <c r="BB13" i="20" s="1"/>
  <c r="BC13" i="20" a="1"/>
  <c r="BC13" i="20"/>
  <c r="BD13" i="20" a="1"/>
  <c r="BD13" i="20" s="1"/>
  <c r="BE13" i="20" a="1"/>
  <c r="BE13" i="20" s="1"/>
  <c r="BF13" i="20" a="1"/>
  <c r="BF13" i="20"/>
  <c r="BG13" i="20" a="1"/>
  <c r="BG13" i="20"/>
  <c r="BH13" i="20" a="1"/>
  <c r="BH13" i="20" s="1"/>
  <c r="BI13" i="20" a="1"/>
  <c r="BI13" i="20"/>
  <c r="BJ13" i="20" a="1"/>
  <c r="BJ13" i="20"/>
  <c r="BK13" i="20" a="1"/>
  <c r="BK13" i="20" s="1"/>
  <c r="BL13" i="20" a="1"/>
  <c r="BL13" i="20" s="1"/>
  <c r="BM13" i="20" a="1"/>
  <c r="BM13" i="20"/>
  <c r="BN13" i="20" a="1"/>
  <c r="BN13" i="20" s="1"/>
  <c r="BO13" i="20" a="1"/>
  <c r="BO13" i="20" s="1"/>
  <c r="BP13" i="20" a="1"/>
  <c r="BP13" i="20"/>
  <c r="BQ13" i="20" a="1"/>
  <c r="BQ13" i="20"/>
  <c r="BR13" i="20" a="1"/>
  <c r="BR13" i="20" s="1"/>
  <c r="BS13" i="20" a="1"/>
  <c r="BS13" i="20"/>
  <c r="BT13" i="20" a="1"/>
  <c r="BT13" i="20"/>
  <c r="BU13" i="20" a="1"/>
  <c r="BU13" i="20" s="1"/>
  <c r="BV13" i="20" a="1"/>
  <c r="BV13" i="20" s="1"/>
  <c r="AT14" i="20" a="1"/>
  <c r="AT14" i="20"/>
  <c r="AU14" i="20" a="1"/>
  <c r="AU14" i="20" s="1"/>
  <c r="AV14" i="20" a="1"/>
  <c r="AV14" i="20" s="1"/>
  <c r="AW14" i="20" a="1"/>
  <c r="AW14" i="20"/>
  <c r="AX14" i="20" a="1"/>
  <c r="AX14" i="20"/>
  <c r="AY14" i="20" a="1"/>
  <c r="AY14" i="20" s="1"/>
  <c r="AZ14" i="20" a="1"/>
  <c r="AZ14" i="20"/>
  <c r="BA14" i="20" a="1"/>
  <c r="BA14" i="20"/>
  <c r="BB14" i="20" a="1"/>
  <c r="BB14" i="20" s="1"/>
  <c r="BC14" i="20" a="1"/>
  <c r="BC14" i="20" s="1"/>
  <c r="BD14" i="20" a="1"/>
  <c r="BD14" i="20"/>
  <c r="BE14" i="20" a="1"/>
  <c r="BE14" i="20" s="1"/>
  <c r="BF14" i="20" a="1"/>
  <c r="BF14" i="20" s="1"/>
  <c r="BG14" i="20" a="1"/>
  <c r="BG14" i="20"/>
  <c r="BH14" i="20" a="1"/>
  <c r="BH14" i="20"/>
  <c r="BI14" i="20" a="1"/>
  <c r="BI14" i="20" s="1"/>
  <c r="BJ14" i="20" a="1"/>
  <c r="BJ14" i="20"/>
  <c r="BK14" i="20" a="1"/>
  <c r="BK14" i="20"/>
  <c r="BL14" i="20" a="1"/>
  <c r="BL14" i="20" s="1"/>
  <c r="BM14" i="20" a="1"/>
  <c r="BM14" i="20" s="1"/>
  <c r="BN14" i="20" a="1"/>
  <c r="BN14" i="20"/>
  <c r="BO14" i="20" a="1"/>
  <c r="BO14" i="20" s="1"/>
  <c r="BP14" i="20" a="1"/>
  <c r="BP14" i="20" s="1"/>
  <c r="BQ14" i="20" a="1"/>
  <c r="BQ14" i="20"/>
  <c r="BR14" i="20" a="1"/>
  <c r="BR14" i="20"/>
  <c r="BS14" i="20" a="1"/>
  <c r="BS14" i="20" s="1"/>
  <c r="BT14" i="20" a="1"/>
  <c r="BT14" i="20"/>
  <c r="BU14" i="20" a="1"/>
  <c r="BU14" i="20"/>
  <c r="BV14" i="20" a="1"/>
  <c r="BV14" i="20" s="1"/>
  <c r="AT15" i="20" a="1"/>
  <c r="AT15" i="20" s="1"/>
  <c r="AU15" i="20" a="1"/>
  <c r="AU15" i="20"/>
  <c r="AV15" i="20" a="1"/>
  <c r="AV15" i="20" s="1"/>
  <c r="AW15" i="20" a="1"/>
  <c r="AW15" i="20" s="1"/>
  <c r="AX15" i="20" a="1"/>
  <c r="AX15" i="20"/>
  <c r="AY15" i="20" a="1"/>
  <c r="AY15" i="20"/>
  <c r="AZ15" i="20" a="1"/>
  <c r="AZ15" i="20" s="1"/>
  <c r="BA15" i="20" a="1"/>
  <c r="BA15" i="20"/>
  <c r="BB15" i="20" a="1"/>
  <c r="BB15" i="20"/>
  <c r="BC15" i="20" a="1"/>
  <c r="BC15" i="20" s="1"/>
  <c r="BD15" i="20" a="1"/>
  <c r="BD15" i="20" s="1"/>
  <c r="BE15" i="20" a="1"/>
  <c r="BE15" i="20"/>
  <c r="BF15" i="20" a="1"/>
  <c r="BF15" i="20" s="1"/>
  <c r="BG15" i="20" a="1"/>
  <c r="BG15" i="20" s="1"/>
  <c r="BH15" i="20" a="1"/>
  <c r="BH15" i="20"/>
  <c r="BI15" i="20" a="1"/>
  <c r="BI15" i="20"/>
  <c r="BJ15" i="20" a="1"/>
  <c r="BJ15" i="20" s="1"/>
  <c r="BK15" i="20" a="1"/>
  <c r="BK15" i="20"/>
  <c r="BL15" i="20" a="1"/>
  <c r="BL15" i="20"/>
  <c r="BM15" i="20" a="1"/>
  <c r="BM15" i="20" s="1"/>
  <c r="BN15" i="20" a="1"/>
  <c r="BN15" i="20" s="1"/>
  <c r="BO15" i="20" a="1"/>
  <c r="BO15" i="20"/>
  <c r="BP15" i="20" a="1"/>
  <c r="BP15" i="20" s="1"/>
  <c r="BQ15" i="20" a="1"/>
  <c r="BQ15" i="20" s="1"/>
  <c r="BR15" i="20" a="1"/>
  <c r="BR15" i="20"/>
  <c r="BS15" i="20" a="1"/>
  <c r="BS15" i="20"/>
  <c r="BT15" i="20" a="1"/>
  <c r="BT15" i="20" s="1"/>
  <c r="BU15" i="20" a="1"/>
  <c r="BU15" i="20"/>
  <c r="BV15" i="20" a="1"/>
  <c r="BV15" i="20"/>
  <c r="AT16" i="20" a="1"/>
  <c r="AT16" i="20" s="1"/>
  <c r="AU16" i="20" a="1"/>
  <c r="AU16" i="20" s="1"/>
  <c r="AV16" i="20" a="1"/>
  <c r="AV16" i="20"/>
  <c r="AW16" i="20" a="1"/>
  <c r="AW16" i="20" s="1"/>
  <c r="AX16" i="20" a="1"/>
  <c r="AX16" i="20" s="1"/>
  <c r="AY16" i="20" a="1"/>
  <c r="AY16" i="20"/>
  <c r="AZ16" i="20" a="1"/>
  <c r="AZ16" i="20"/>
  <c r="BA16" i="20" a="1"/>
  <c r="BA16" i="20" s="1"/>
  <c r="BB16" i="20" a="1"/>
  <c r="BB16" i="20"/>
  <c r="BC16" i="20" a="1"/>
  <c r="BC16" i="20"/>
  <c r="BD16" i="20" a="1"/>
  <c r="BD16" i="20" s="1"/>
  <c r="BE16" i="20" a="1"/>
  <c r="BE16" i="20" s="1"/>
  <c r="BF16" i="20" a="1"/>
  <c r="BF16" i="20"/>
  <c r="BG16" i="20" a="1"/>
  <c r="BG16" i="20" s="1"/>
  <c r="BH16" i="20" a="1"/>
  <c r="BH16" i="20" s="1"/>
  <c r="BI16" i="20" a="1"/>
  <c r="BI16" i="20"/>
  <c r="BJ16" i="20" a="1"/>
  <c r="BJ16" i="20"/>
  <c r="BK16" i="20" a="1"/>
  <c r="BK16" i="20" s="1"/>
  <c r="BL16" i="20" a="1"/>
  <c r="BL16" i="20"/>
  <c r="BM16" i="20" a="1"/>
  <c r="BM16" i="20"/>
  <c r="BN16" i="20" a="1"/>
  <c r="BN16" i="20" s="1"/>
  <c r="BO16" i="20" a="1"/>
  <c r="BO16" i="20" s="1"/>
  <c r="BP16" i="20" a="1"/>
  <c r="BP16" i="20"/>
  <c r="BQ16" i="20" a="1"/>
  <c r="BQ16" i="20" s="1"/>
  <c r="BR16" i="20" a="1"/>
  <c r="BR16" i="20" s="1"/>
  <c r="BS16" i="20" a="1"/>
  <c r="BS16" i="20"/>
  <c r="BT16" i="20" a="1"/>
  <c r="BT16" i="20"/>
  <c r="BU16" i="20" a="1"/>
  <c r="BU16" i="20" s="1"/>
  <c r="BV16" i="20" a="1"/>
  <c r="BV16" i="20"/>
  <c r="AT17" i="20" a="1"/>
  <c r="AT17" i="20"/>
  <c r="AU17" i="20" a="1"/>
  <c r="AU17" i="20" s="1"/>
  <c r="AV17" i="20" a="1"/>
  <c r="AV17" i="20" s="1"/>
  <c r="AW17" i="20" a="1"/>
  <c r="AW17" i="20"/>
  <c r="AX17" i="20" a="1"/>
  <c r="AX17" i="20" s="1"/>
  <c r="AY17" i="20" a="1"/>
  <c r="AY17" i="20" s="1"/>
  <c r="AZ17" i="20" a="1"/>
  <c r="AZ17" i="20"/>
  <c r="BA17" i="20" a="1"/>
  <c r="BA17" i="20"/>
  <c r="BB17" i="20" a="1"/>
  <c r="BB17" i="20" s="1"/>
  <c r="BC17" i="20" a="1"/>
  <c r="BC17" i="20"/>
  <c r="BD17" i="20" a="1"/>
  <c r="BD17" i="20"/>
  <c r="BE17" i="20" a="1"/>
  <c r="BE17" i="20" s="1"/>
  <c r="BF17" i="20" a="1"/>
  <c r="BF17" i="20" s="1"/>
  <c r="BG17" i="20" a="1"/>
  <c r="BG17" i="20"/>
  <c r="BH17" i="20" a="1"/>
  <c r="BH17" i="20" s="1"/>
  <c r="BI17" i="20" a="1"/>
  <c r="BI17" i="20" s="1"/>
  <c r="BJ17" i="20" a="1"/>
  <c r="BJ17" i="20"/>
  <c r="BK17" i="20" a="1"/>
  <c r="BK17" i="20"/>
  <c r="BL17" i="20" a="1"/>
  <c r="BL17" i="20" s="1"/>
  <c r="BM17" i="20" a="1"/>
  <c r="BM17" i="20"/>
  <c r="BN17" i="20" a="1"/>
  <c r="BN17" i="20"/>
  <c r="BO17" i="20" a="1"/>
  <c r="BO17" i="20" s="1"/>
  <c r="BP17" i="20" a="1"/>
  <c r="BP17" i="20" s="1"/>
  <c r="BQ17" i="20" a="1"/>
  <c r="BQ17" i="20"/>
  <c r="BR17" i="20" a="1"/>
  <c r="BR17" i="20" s="1"/>
  <c r="BS17" i="20" a="1"/>
  <c r="BS17" i="20" s="1"/>
  <c r="BT17" i="20" a="1"/>
  <c r="BT17" i="20"/>
  <c r="BU17" i="20" a="1"/>
  <c r="BU17" i="20"/>
  <c r="BV17" i="20" a="1"/>
  <c r="BV17" i="20" s="1"/>
  <c r="AT18" i="20" a="1"/>
  <c r="AT18" i="20"/>
  <c r="AU18" i="20" a="1"/>
  <c r="AU18" i="20"/>
  <c r="AV18" i="20" a="1"/>
  <c r="AV18" i="20" s="1"/>
  <c r="AW18" i="20" a="1"/>
  <c r="AW18" i="20" s="1"/>
  <c r="AX18" i="20" a="1"/>
  <c r="AX18" i="20"/>
  <c r="AY18" i="20" a="1"/>
  <c r="AY18" i="20" s="1"/>
  <c r="AZ18" i="20" a="1"/>
  <c r="AZ18" i="20" s="1"/>
  <c r="BA18" i="20" a="1"/>
  <c r="BA18" i="20"/>
  <c r="BB18" i="20" a="1"/>
  <c r="BB18" i="20"/>
  <c r="BC18" i="20" a="1"/>
  <c r="BC18" i="20" s="1"/>
  <c r="BD18" i="20" a="1"/>
  <c r="BD18" i="20"/>
  <c r="BE18" i="20" a="1"/>
  <c r="BE18" i="20"/>
  <c r="BF18" i="20" a="1"/>
  <c r="BF18" i="20" s="1"/>
  <c r="BG18" i="20" a="1"/>
  <c r="BG18" i="20" s="1"/>
  <c r="BH18" i="20" a="1"/>
  <c r="BH18" i="20"/>
  <c r="BI18" i="20" a="1"/>
  <c r="BI18" i="20" s="1"/>
  <c r="BJ18" i="20" a="1"/>
  <c r="BJ18" i="20" s="1"/>
  <c r="BK18" i="20" a="1"/>
  <c r="BK18" i="20"/>
  <c r="BL18" i="20" a="1"/>
  <c r="BL18" i="20"/>
  <c r="BM18" i="20" a="1"/>
  <c r="BM18" i="20" s="1"/>
  <c r="BN18" i="20" a="1"/>
  <c r="BN18" i="20"/>
  <c r="BO18" i="20" a="1"/>
  <c r="BO18" i="20"/>
  <c r="BP18" i="20" a="1"/>
  <c r="BP18" i="20" s="1"/>
  <c r="BQ18" i="20" a="1"/>
  <c r="BQ18" i="20" s="1"/>
  <c r="BR18" i="20" a="1"/>
  <c r="BR18" i="20"/>
  <c r="BS18" i="20" a="1"/>
  <c r="BS18" i="20" s="1"/>
  <c r="BT18" i="20" a="1"/>
  <c r="BT18" i="20" s="1"/>
  <c r="BU18" i="20" a="1"/>
  <c r="BU18" i="20"/>
  <c r="BV18" i="20" a="1"/>
  <c r="BV18" i="20"/>
  <c r="AT19" i="20" a="1"/>
  <c r="AT19" i="20" s="1"/>
  <c r="AU19" i="20" a="1"/>
  <c r="AU19" i="20"/>
  <c r="AV19" i="20" a="1"/>
  <c r="AV19" i="20"/>
  <c r="AW19" i="20" a="1"/>
  <c r="AW19" i="20" s="1"/>
  <c r="AX19" i="20" a="1"/>
  <c r="AX19" i="20" s="1"/>
  <c r="AY19" i="20" a="1"/>
  <c r="AY19" i="20"/>
  <c r="AZ19" i="20" a="1"/>
  <c r="AZ19" i="20" s="1"/>
  <c r="BA19" i="20" a="1"/>
  <c r="BA19" i="20" s="1"/>
  <c r="BB19" i="20" a="1"/>
  <c r="BB19" i="20"/>
  <c r="BC19" i="20" a="1"/>
  <c r="BC19" i="20"/>
  <c r="BD19" i="20" a="1"/>
  <c r="BD19" i="20" s="1"/>
  <c r="BE19" i="20" a="1"/>
  <c r="BE19" i="20"/>
  <c r="BF19" i="20" a="1"/>
  <c r="BF19" i="20"/>
  <c r="BG19" i="20" a="1"/>
  <c r="BG19" i="20" s="1"/>
  <c r="BH19" i="20" a="1"/>
  <c r="BH19" i="20" s="1"/>
  <c r="BI19" i="20" a="1"/>
  <c r="BI19" i="20"/>
  <c r="BJ19" i="20" a="1"/>
  <c r="BJ19" i="20" s="1"/>
  <c r="BK19" i="20" a="1"/>
  <c r="BK19" i="20" s="1"/>
  <c r="BL19" i="20" a="1"/>
  <c r="BL19" i="20"/>
  <c r="BM19" i="20" a="1"/>
  <c r="BM19" i="20"/>
  <c r="BN19" i="20" a="1"/>
  <c r="BN19" i="20" s="1"/>
  <c r="BO19" i="20" a="1"/>
  <c r="BO19" i="20"/>
  <c r="BP19" i="20" a="1"/>
  <c r="BP19" i="20"/>
  <c r="BQ19" i="20" a="1"/>
  <c r="BQ19" i="20" s="1"/>
  <c r="BR19" i="20" a="1"/>
  <c r="BR19" i="20" s="1"/>
  <c r="BS19" i="20" a="1"/>
  <c r="BS19" i="20"/>
  <c r="BT19" i="20" a="1"/>
  <c r="BT19" i="20" s="1"/>
  <c r="BU19" i="20" a="1"/>
  <c r="BU19" i="20" s="1"/>
  <c r="BV19" i="20" a="1"/>
  <c r="BV19" i="20"/>
  <c r="AT20" i="20" a="1"/>
  <c r="AT20" i="20"/>
  <c r="AU20" i="20" a="1"/>
  <c r="AU20" i="20" s="1"/>
  <c r="AV20" i="20" a="1"/>
  <c r="AV20" i="20"/>
  <c r="AW20" i="20" a="1"/>
  <c r="AW20" i="20"/>
  <c r="AX20" i="20" a="1"/>
  <c r="AX20" i="20" s="1"/>
  <c r="AY20" i="20" a="1"/>
  <c r="AY20" i="20" s="1"/>
  <c r="AZ20" i="20" a="1"/>
  <c r="AZ20" i="20"/>
  <c r="BA20" i="20" a="1"/>
  <c r="BA20" i="20" s="1"/>
  <c r="BB20" i="20" a="1"/>
  <c r="BB20" i="20" s="1"/>
  <c r="BC20" i="20" a="1"/>
  <c r="BC20" i="20"/>
  <c r="BD20" i="20" a="1"/>
  <c r="BD20" i="20"/>
  <c r="BE20" i="20" a="1"/>
  <c r="BE20" i="20" s="1"/>
  <c r="BF20" i="20" a="1"/>
  <c r="BF20" i="20"/>
  <c r="BG20" i="20" a="1"/>
  <c r="BG20" i="20"/>
  <c r="BH20" i="20" a="1"/>
  <c r="BH20" i="20" s="1"/>
  <c r="BI20" i="20" a="1"/>
  <c r="BI20" i="20" s="1"/>
  <c r="BJ20" i="20" a="1"/>
  <c r="BJ20" i="20"/>
  <c r="BK20" i="20" a="1"/>
  <c r="BK20" i="20" s="1"/>
  <c r="BL20" i="20" a="1"/>
  <c r="BL20" i="20" s="1"/>
  <c r="BM20" i="20" a="1"/>
  <c r="BM20" i="20"/>
  <c r="BN20" i="20" a="1"/>
  <c r="BN20" i="20"/>
  <c r="BO20" i="20" a="1"/>
  <c r="BO20" i="20" s="1"/>
  <c r="BP20" i="20" a="1"/>
  <c r="BP20" i="20"/>
  <c r="BQ20" i="20" a="1"/>
  <c r="BQ20" i="20"/>
  <c r="BR20" i="20" a="1"/>
  <c r="BR20" i="20" s="1"/>
  <c r="BS20" i="20" a="1"/>
  <c r="BS20" i="20" s="1"/>
  <c r="BT20" i="20" a="1"/>
  <c r="BT20" i="20"/>
  <c r="BU20" i="20" a="1"/>
  <c r="BU20" i="20" s="1"/>
  <c r="BV20" i="20" a="1"/>
  <c r="BV20" i="20" s="1"/>
  <c r="AT21" i="20" a="1"/>
  <c r="AT21" i="20"/>
  <c r="AU21" i="20" a="1"/>
  <c r="AU21" i="20"/>
  <c r="AV21" i="20" a="1"/>
  <c r="AV21" i="20" s="1"/>
  <c r="AW21" i="20" a="1"/>
  <c r="AW21" i="20"/>
  <c r="AX21" i="20" a="1"/>
  <c r="AX21" i="20"/>
  <c r="AY21" i="20" a="1"/>
  <c r="AY21" i="20" s="1"/>
  <c r="AZ21" i="20" a="1"/>
  <c r="AZ21" i="20" s="1"/>
  <c r="BA21" i="20" a="1"/>
  <c r="BA21" i="20"/>
  <c r="BB21" i="20" a="1"/>
  <c r="BB21" i="20" s="1"/>
  <c r="BC21" i="20" a="1"/>
  <c r="BC21" i="20" s="1"/>
  <c r="BD21" i="20" a="1"/>
  <c r="BD21" i="20"/>
  <c r="BE21" i="20" a="1"/>
  <c r="BE21" i="20"/>
  <c r="BF21" i="20" a="1"/>
  <c r="BF21" i="20" s="1"/>
  <c r="BG21" i="20" a="1"/>
  <c r="BG21" i="20"/>
  <c r="BH21" i="20" a="1"/>
  <c r="BH21" i="20"/>
  <c r="BI21" i="20" a="1"/>
  <c r="BI21" i="20" s="1"/>
  <c r="BJ21" i="20" a="1"/>
  <c r="BJ21" i="20" s="1"/>
  <c r="BK21" i="20" a="1"/>
  <c r="BK21" i="20"/>
  <c r="BL21" i="20" a="1"/>
  <c r="BL21" i="20" s="1"/>
  <c r="BM21" i="20" a="1"/>
  <c r="BM21" i="20" s="1"/>
  <c r="BN21" i="20" a="1"/>
  <c r="BN21" i="20"/>
  <c r="BO21" i="20" a="1"/>
  <c r="BO21" i="20"/>
  <c r="BP21" i="20" a="1"/>
  <c r="BP21" i="20" s="1"/>
  <c r="BQ21" i="20" a="1"/>
  <c r="BQ21" i="20"/>
  <c r="BR21" i="20" a="1"/>
  <c r="BR21" i="20"/>
  <c r="BS21" i="20" a="1"/>
  <c r="BS21" i="20" s="1"/>
  <c r="BT21" i="20" a="1"/>
  <c r="BT21" i="20" s="1"/>
  <c r="BU21" i="20" a="1"/>
  <c r="BU21" i="20"/>
  <c r="BV21" i="20" a="1"/>
  <c r="BV21" i="20" s="1"/>
  <c r="AT22" i="20" a="1"/>
  <c r="AT22" i="20" s="1"/>
  <c r="AU22" i="20" a="1"/>
  <c r="AU22" i="20"/>
  <c r="AV22" i="20" a="1"/>
  <c r="AV22" i="20"/>
  <c r="AW22" i="20" a="1"/>
  <c r="AW22" i="20" s="1"/>
  <c r="AX22" i="20" a="1"/>
  <c r="AX22" i="20"/>
  <c r="AY22" i="20" a="1"/>
  <c r="AY22" i="20"/>
  <c r="AZ22" i="20" a="1"/>
  <c r="AZ22" i="20" s="1"/>
  <c r="BA22" i="20" a="1"/>
  <c r="BA22" i="20" s="1"/>
  <c r="BB22" i="20" a="1"/>
  <c r="BB22" i="20"/>
  <c r="BC22" i="20" a="1"/>
  <c r="BC22" i="20" s="1"/>
  <c r="BD22" i="20" a="1"/>
  <c r="BD22" i="20" s="1"/>
  <c r="BE22" i="20" a="1"/>
  <c r="BE22" i="20"/>
  <c r="BF22" i="20" a="1"/>
  <c r="BF22" i="20"/>
  <c r="BG22" i="20" a="1"/>
  <c r="BG22" i="20" s="1"/>
  <c r="BH22" i="20" a="1"/>
  <c r="BH22" i="20"/>
  <c r="BI22" i="20" a="1"/>
  <c r="BI22" i="20"/>
  <c r="BJ22" i="20" a="1"/>
  <c r="BJ22" i="20" s="1"/>
  <c r="BK22" i="20" a="1"/>
  <c r="BK22" i="20" s="1"/>
  <c r="BL22" i="20" a="1"/>
  <c r="BL22" i="20"/>
  <c r="BM22" i="20" a="1"/>
  <c r="BM22" i="20" s="1"/>
  <c r="BN22" i="20" a="1"/>
  <c r="BN22" i="20" s="1"/>
  <c r="BO22" i="20" a="1"/>
  <c r="BO22" i="20"/>
  <c r="BP22" i="20" a="1"/>
  <c r="BP22" i="20"/>
  <c r="BQ22" i="20" a="1"/>
  <c r="BQ22" i="20" s="1"/>
  <c r="BR22" i="20" a="1"/>
  <c r="BR22" i="20"/>
  <c r="BS22" i="20" a="1"/>
  <c r="BS22" i="20"/>
  <c r="BT22" i="20" a="1"/>
  <c r="BT22" i="20" s="1"/>
  <c r="BU22" i="20" a="1"/>
  <c r="BU22" i="20" s="1"/>
  <c r="BV22" i="20" a="1"/>
  <c r="BV22" i="20"/>
  <c r="AT23" i="20" a="1"/>
  <c r="AT23" i="20" s="1"/>
  <c r="AU23" i="20" a="1"/>
  <c r="AU23" i="20" s="1"/>
  <c r="AV23" i="20" a="1"/>
  <c r="AV23" i="20"/>
  <c r="AW23" i="20" a="1"/>
  <c r="AW23" i="20"/>
  <c r="AX23" i="20" a="1"/>
  <c r="AX23" i="20" s="1"/>
  <c r="AY23" i="20" a="1"/>
  <c r="AY23" i="20"/>
  <c r="AZ23" i="20" a="1"/>
  <c r="AZ23" i="20"/>
  <c r="BA23" i="20" a="1"/>
  <c r="BA23" i="20" s="1"/>
  <c r="BB23" i="20" a="1"/>
  <c r="BB23" i="20" s="1"/>
  <c r="BC23" i="20" a="1"/>
  <c r="BC23" i="20"/>
  <c r="BD23" i="20" a="1"/>
  <c r="BD23" i="20" s="1"/>
  <c r="BE23" i="20" a="1"/>
  <c r="BE23" i="20" s="1"/>
  <c r="BF23" i="20" a="1"/>
  <c r="BF23" i="20"/>
  <c r="BG23" i="20" a="1"/>
  <c r="BG23" i="20"/>
  <c r="BH23" i="20" a="1"/>
  <c r="BH23" i="20" s="1"/>
  <c r="BI23" i="20" a="1"/>
  <c r="BI23" i="20"/>
  <c r="BJ23" i="20" a="1"/>
  <c r="BJ23" i="20"/>
  <c r="BK23" i="20" a="1"/>
  <c r="BK23" i="20" s="1"/>
  <c r="BL23" i="20" a="1"/>
  <c r="BL23" i="20" s="1"/>
  <c r="BM23" i="20" a="1"/>
  <c r="BM23" i="20"/>
  <c r="BN23" i="20" a="1"/>
  <c r="BN23" i="20" s="1"/>
  <c r="BO23" i="20" a="1"/>
  <c r="BO23" i="20" s="1"/>
  <c r="BP23" i="20" a="1"/>
  <c r="BP23" i="20"/>
  <c r="BQ23" i="20" a="1"/>
  <c r="BQ23" i="20"/>
  <c r="BR23" i="20" a="1"/>
  <c r="BR23" i="20" s="1"/>
  <c r="BS23" i="20" a="1"/>
  <c r="BS23" i="20"/>
  <c r="BT23" i="20" a="1"/>
  <c r="BT23" i="20"/>
  <c r="BU23" i="20" a="1"/>
  <c r="BU23" i="20" s="1"/>
  <c r="BV23" i="20" a="1"/>
  <c r="BV23" i="20" s="1"/>
  <c r="AT24" i="20" a="1"/>
  <c r="AT24" i="20"/>
  <c r="AU24" i="20" a="1"/>
  <c r="AU24" i="20" s="1"/>
  <c r="AV24" i="20" a="1"/>
  <c r="AV24" i="20" s="1"/>
  <c r="AW24" i="20" a="1"/>
  <c r="AW24" i="20"/>
  <c r="AX24" i="20" a="1"/>
  <c r="AX24" i="20"/>
  <c r="AY24" i="20" a="1"/>
  <c r="AY24" i="20" s="1"/>
  <c r="AZ24" i="20" a="1"/>
  <c r="AZ24" i="20"/>
  <c r="BA24" i="20" a="1"/>
  <c r="BA24" i="20"/>
  <c r="BB24" i="20" a="1"/>
  <c r="BB24" i="20" s="1"/>
  <c r="BC24" i="20" a="1"/>
  <c r="BC24" i="20" s="1"/>
  <c r="BD24" i="20" a="1"/>
  <c r="BD24" i="20"/>
  <c r="BE24" i="20" a="1"/>
  <c r="BE24" i="20" s="1"/>
  <c r="BF24" i="20" a="1"/>
  <c r="BF24" i="20" s="1"/>
  <c r="BG24" i="20" a="1"/>
  <c r="BG24" i="20"/>
  <c r="BH24" i="20" a="1"/>
  <c r="BH24" i="20"/>
  <c r="BI24" i="20" a="1"/>
  <c r="BI24" i="20" s="1"/>
  <c r="BJ24" i="20" a="1"/>
  <c r="BJ24" i="20"/>
  <c r="BK24" i="20" a="1"/>
  <c r="BK24" i="20"/>
  <c r="BL24" i="20" a="1"/>
  <c r="BL24" i="20" s="1"/>
  <c r="BM24" i="20" a="1"/>
  <c r="BM24" i="20" s="1"/>
  <c r="BN24" i="20" a="1"/>
  <c r="BN24" i="20"/>
  <c r="BO24" i="20" a="1"/>
  <c r="BO24" i="20" s="1"/>
  <c r="BP24" i="20" a="1"/>
  <c r="BP24" i="20" s="1"/>
  <c r="BQ24" i="20" a="1"/>
  <c r="BQ24" i="20"/>
  <c r="BR24" i="20" a="1"/>
  <c r="BR24" i="20"/>
  <c r="BS24" i="20" a="1"/>
  <c r="BS24" i="20" s="1"/>
  <c r="BT24" i="20" a="1"/>
  <c r="BT24" i="20"/>
  <c r="BU24" i="20" a="1"/>
  <c r="BU24" i="20"/>
  <c r="BV24" i="20" a="1"/>
  <c r="BV24" i="20" s="1"/>
  <c r="AT25" i="20" a="1"/>
  <c r="AT25" i="20" s="1"/>
  <c r="AU25" i="20" a="1"/>
  <c r="AU25" i="20"/>
  <c r="AV25" i="20" a="1"/>
  <c r="AV25" i="20" s="1"/>
  <c r="AW25" i="20" a="1"/>
  <c r="AW25" i="20" s="1"/>
  <c r="AX25" i="20" a="1"/>
  <c r="AX25" i="20"/>
  <c r="AY25" i="20" a="1"/>
  <c r="AY25" i="20"/>
  <c r="AZ25" i="20" a="1"/>
  <c r="AZ25" i="20" s="1"/>
  <c r="BA25" i="20" a="1"/>
  <c r="BA25" i="20"/>
  <c r="BB25" i="20" a="1"/>
  <c r="BB25" i="20"/>
  <c r="BC25" i="20" a="1"/>
  <c r="BC25" i="20" s="1"/>
  <c r="BD25" i="20" a="1"/>
  <c r="BD25" i="20" s="1"/>
  <c r="BE25" i="20" a="1"/>
  <c r="BE25" i="20"/>
  <c r="BF25" i="20" a="1"/>
  <c r="BF25" i="20" s="1"/>
  <c r="BG25" i="20" a="1"/>
  <c r="BG25" i="20" s="1"/>
  <c r="BH25" i="20" a="1"/>
  <c r="BH25" i="20"/>
  <c r="BI25" i="20" a="1"/>
  <c r="BI25" i="20"/>
  <c r="BJ25" i="20" a="1"/>
  <c r="BJ25" i="20" s="1"/>
  <c r="BK25" i="20" a="1"/>
  <c r="BK25" i="20"/>
  <c r="BL25" i="20" a="1"/>
  <c r="BL25" i="20"/>
  <c r="BM25" i="20" a="1"/>
  <c r="BM25" i="20" s="1"/>
  <c r="BN25" i="20" a="1"/>
  <c r="BN25" i="20" s="1"/>
  <c r="BO25" i="20" a="1"/>
  <c r="BO25" i="20"/>
  <c r="BP25" i="20" a="1"/>
  <c r="BP25" i="20" s="1"/>
  <c r="BQ25" i="20" a="1"/>
  <c r="BQ25" i="20" s="1"/>
  <c r="BR25" i="20" a="1"/>
  <c r="BR25" i="20"/>
  <c r="BS25" i="20" a="1"/>
  <c r="BS25" i="20"/>
  <c r="BT25" i="20" a="1"/>
  <c r="BT25" i="20" s="1"/>
  <c r="BU25" i="20" a="1"/>
  <c r="BU25" i="20"/>
  <c r="BV25" i="20" a="1"/>
  <c r="BV25" i="20"/>
  <c r="AT26" i="20" a="1"/>
  <c r="AT26" i="20" s="1"/>
  <c r="AU26" i="20" a="1"/>
  <c r="AU26" i="20" s="1"/>
  <c r="AV26" i="20" a="1"/>
  <c r="AV26" i="20"/>
  <c r="AW26" i="20" a="1"/>
  <c r="AW26" i="20" s="1"/>
  <c r="AX26" i="20" a="1"/>
  <c r="AX26" i="20" s="1"/>
  <c r="AY26" i="20" a="1"/>
  <c r="AY26" i="20"/>
  <c r="AZ26" i="20" a="1"/>
  <c r="AZ26" i="20"/>
  <c r="BA26" i="20" a="1"/>
  <c r="BA26" i="20" s="1"/>
  <c r="BB26" i="20" a="1"/>
  <c r="BB26" i="20"/>
  <c r="BC26" i="20" a="1"/>
  <c r="BC26" i="20"/>
  <c r="BD26" i="20" a="1"/>
  <c r="BD26" i="20" s="1"/>
  <c r="BE26" i="20" a="1"/>
  <c r="BE26" i="20" s="1"/>
  <c r="BF26" i="20" a="1"/>
  <c r="BF26" i="20"/>
  <c r="BG26" i="20" a="1"/>
  <c r="BG26" i="20" s="1"/>
  <c r="BH26" i="20" a="1"/>
  <c r="BH26" i="20" s="1"/>
  <c r="BI26" i="20" a="1"/>
  <c r="BI26" i="20"/>
  <c r="BJ26" i="20" a="1"/>
  <c r="BJ26" i="20"/>
  <c r="BK26" i="20" a="1"/>
  <c r="BK26" i="20" s="1"/>
  <c r="BL26" i="20" a="1"/>
  <c r="BL26" i="20"/>
  <c r="BM26" i="20" a="1"/>
  <c r="BM26" i="20"/>
  <c r="BN26" i="20" a="1"/>
  <c r="BN26" i="20" s="1"/>
  <c r="BO26" i="20" a="1"/>
  <c r="BO26" i="20" s="1"/>
  <c r="BP26" i="20" a="1"/>
  <c r="BP26" i="20"/>
  <c r="BQ26" i="20" a="1"/>
  <c r="BQ26" i="20" s="1"/>
  <c r="BR26" i="20" a="1"/>
  <c r="BR26" i="20" s="1"/>
  <c r="BS26" i="20" a="1"/>
  <c r="BS26" i="20"/>
  <c r="BT26" i="20" a="1"/>
  <c r="BT26" i="20"/>
  <c r="BU26" i="20" a="1"/>
  <c r="BU26" i="20" s="1"/>
  <c r="BV26" i="20" a="1"/>
  <c r="BV26" i="20"/>
  <c r="AT27" i="20" a="1"/>
  <c r="AT27" i="20"/>
  <c r="AU27" i="20" a="1"/>
  <c r="AU27" i="20" s="1"/>
  <c r="AV27" i="20" a="1"/>
  <c r="AV27" i="20" s="1"/>
  <c r="AW27" i="20" a="1"/>
  <c r="AW27" i="20"/>
  <c r="AX27" i="20" a="1"/>
  <c r="AX27" i="20" s="1"/>
  <c r="AY27" i="20" a="1"/>
  <c r="AY27" i="20" s="1"/>
  <c r="AZ27" i="20" a="1"/>
  <c r="AZ27" i="20"/>
  <c r="BA27" i="20" a="1"/>
  <c r="BA27" i="20"/>
  <c r="BB27" i="20" a="1"/>
  <c r="BB27" i="20" s="1"/>
  <c r="BC27" i="20" a="1"/>
  <c r="BC27" i="20"/>
  <c r="BD27" i="20" a="1"/>
  <c r="BD27" i="20"/>
  <c r="BE27" i="20" a="1"/>
  <c r="BE27" i="20" s="1"/>
  <c r="BF27" i="20" a="1"/>
  <c r="BF27" i="20" s="1"/>
  <c r="BG27" i="20" a="1"/>
  <c r="BG27" i="20"/>
  <c r="BH27" i="20" a="1"/>
  <c r="BH27" i="20" s="1"/>
  <c r="BI27" i="20" a="1"/>
  <c r="BI27" i="20" s="1"/>
  <c r="BJ27" i="20" a="1"/>
  <c r="BJ27" i="20"/>
  <c r="BK27" i="20" a="1"/>
  <c r="BK27" i="20"/>
  <c r="BL27" i="20" a="1"/>
  <c r="BL27" i="20" s="1"/>
  <c r="BM27" i="20" a="1"/>
  <c r="BM27" i="20"/>
  <c r="BN27" i="20" a="1"/>
  <c r="BN27" i="20"/>
  <c r="BO27" i="20" a="1"/>
  <c r="BO27" i="20" s="1"/>
  <c r="BP27" i="20" a="1"/>
  <c r="BP27" i="20" s="1"/>
  <c r="BQ27" i="20" a="1"/>
  <c r="BQ27" i="20"/>
  <c r="BR27" i="20" a="1"/>
  <c r="BR27" i="20" s="1"/>
  <c r="BS27" i="20" a="1"/>
  <c r="BS27" i="20" s="1"/>
  <c r="BT27" i="20" a="1"/>
  <c r="BT27" i="20"/>
  <c r="BU27" i="20" a="1"/>
  <c r="BU27" i="20"/>
  <c r="BV27" i="20" a="1"/>
  <c r="BV27" i="20" s="1"/>
  <c r="AS4" i="20" a="1"/>
  <c r="AS4" i="20" s="1"/>
  <c r="AS5" i="20" a="1"/>
  <c r="AS5" i="20" s="1"/>
  <c r="AS6" i="20" a="1"/>
  <c r="AS6" i="20"/>
  <c r="AS7" i="20" a="1"/>
  <c r="AS7" i="20"/>
  <c r="AS8" i="20" a="1"/>
  <c r="AS8" i="20"/>
  <c r="AS9" i="20" a="1"/>
  <c r="AS9" i="20"/>
  <c r="AS10" i="20" a="1"/>
  <c r="AS10" i="20"/>
  <c r="AS11" i="20" a="1"/>
  <c r="AS11" i="20" s="1"/>
  <c r="AS12" i="20" a="1"/>
  <c r="AS12" i="20"/>
  <c r="AS13" i="20" a="1"/>
  <c r="AS13" i="20" s="1"/>
  <c r="AS14" i="20" a="1"/>
  <c r="AS14" i="20" s="1"/>
  <c r="AS15" i="20" a="1"/>
  <c r="AS15" i="20" s="1"/>
  <c r="AS16" i="20" a="1"/>
  <c r="AS16" i="20"/>
  <c r="AS17" i="20" a="1"/>
  <c r="AS17" i="20"/>
  <c r="AS18" i="20" a="1"/>
  <c r="AS18" i="20"/>
  <c r="AS19" i="20" a="1"/>
  <c r="AS19" i="20"/>
  <c r="AS20" i="20" a="1"/>
  <c r="AS20" i="20"/>
  <c r="AS21" i="20" a="1"/>
  <c r="AS21" i="20" s="1"/>
  <c r="AS22" i="20" a="1"/>
  <c r="AS22" i="20"/>
  <c r="AS23" i="20" a="1"/>
  <c r="AS23" i="20" s="1"/>
  <c r="AS24" i="20" a="1"/>
  <c r="AS24" i="20" s="1"/>
  <c r="AS25" i="20" a="1"/>
  <c r="AS25" i="20" s="1"/>
  <c r="AS26" i="20" a="1"/>
  <c r="AS26" i="20"/>
  <c r="AS27" i="20" a="1"/>
  <c r="AS27" i="20"/>
  <c r="AS3" i="20" a="1"/>
  <c r="AS3" i="20"/>
  <c r="F3" i="20" l="1"/>
  <c r="G3" i="20"/>
  <c r="H3" i="20"/>
  <c r="I3" i="20"/>
  <c r="J3" i="20"/>
  <c r="AD3" i="20" s="1"/>
  <c r="R5" i="20" s="1"/>
  <c r="K3" i="20"/>
  <c r="L3" i="20"/>
  <c r="M3" i="20"/>
  <c r="R3" i="20"/>
  <c r="AB3" i="20"/>
  <c r="P3" i="20" s="1"/>
  <c r="AC3" i="20"/>
  <c r="Q3" i="20" s="1"/>
  <c r="F4" i="20"/>
  <c r="Z3" i="20" s="1"/>
  <c r="G4" i="20"/>
  <c r="AA3" i="20" s="1"/>
  <c r="O3" i="20" s="1"/>
  <c r="H4" i="20"/>
  <c r="I4" i="20"/>
  <c r="J4" i="20"/>
  <c r="K4" i="20"/>
  <c r="L4" i="20"/>
  <c r="M4" i="20"/>
  <c r="AA4" i="20"/>
  <c r="AB4" i="20"/>
  <c r="AC4" i="20"/>
  <c r="AD4" i="20"/>
  <c r="R6" i="20" s="1"/>
  <c r="AN4" i="20" s="1"/>
  <c r="AE4" i="20"/>
  <c r="AF4" i="20"/>
  <c r="AG4" i="20"/>
  <c r="F5" i="20"/>
  <c r="G5" i="20"/>
  <c r="H5" i="20"/>
  <c r="I5" i="20"/>
  <c r="J5" i="20"/>
  <c r="K5" i="20"/>
  <c r="L5" i="20"/>
  <c r="M5" i="20"/>
  <c r="O5" i="20"/>
  <c r="P5" i="20"/>
  <c r="F6" i="20"/>
  <c r="G6" i="20"/>
  <c r="H6" i="20"/>
  <c r="I6" i="20"/>
  <c r="Q6" i="20" s="1"/>
  <c r="AM4" i="20" s="1"/>
  <c r="J6" i="20"/>
  <c r="K6" i="20"/>
  <c r="L6" i="20"/>
  <c r="M6" i="20"/>
  <c r="S6" i="20"/>
  <c r="AO4" i="20" s="1"/>
  <c r="T6" i="20"/>
  <c r="AP4" i="20" s="1"/>
  <c r="U6" i="20"/>
  <c r="AQ4" i="20" s="1"/>
  <c r="F7" i="20"/>
  <c r="G7" i="20"/>
  <c r="AA8" i="20" s="1"/>
  <c r="H7" i="20"/>
  <c r="AB8" i="20" s="1"/>
  <c r="I7" i="20"/>
  <c r="AC8" i="20" s="1"/>
  <c r="Q8" i="20" s="1"/>
  <c r="J7" i="20"/>
  <c r="K7" i="20"/>
  <c r="L7" i="20"/>
  <c r="M7" i="20"/>
  <c r="N7" i="20"/>
  <c r="F8" i="20"/>
  <c r="G8" i="20"/>
  <c r="H8" i="20"/>
  <c r="I8" i="20"/>
  <c r="J8" i="20"/>
  <c r="K8" i="20"/>
  <c r="L8" i="20"/>
  <c r="M8" i="20"/>
  <c r="Z8" i="20"/>
  <c r="N20" i="20" s="1"/>
  <c r="F9" i="20"/>
  <c r="G9" i="20"/>
  <c r="H9" i="20"/>
  <c r="I9" i="20"/>
  <c r="J9" i="20"/>
  <c r="K9" i="20"/>
  <c r="L9" i="20"/>
  <c r="M9" i="20"/>
  <c r="F10" i="20"/>
  <c r="G10" i="20"/>
  <c r="H10" i="20"/>
  <c r="AB5" i="20" s="1"/>
  <c r="I10" i="20"/>
  <c r="J10" i="20"/>
  <c r="K10" i="20"/>
  <c r="L10" i="20"/>
  <c r="M10" i="20"/>
  <c r="F11" i="20"/>
  <c r="G11" i="20"/>
  <c r="H11" i="20"/>
  <c r="I11" i="20"/>
  <c r="J11" i="20"/>
  <c r="K11" i="20"/>
  <c r="L11" i="20"/>
  <c r="M11" i="20"/>
  <c r="AB11" i="20"/>
  <c r="P28" i="20" s="1"/>
  <c r="AF11" i="20"/>
  <c r="T26" i="20" s="1"/>
  <c r="AG11" i="20"/>
  <c r="U26" i="20" s="1"/>
  <c r="F12" i="20"/>
  <c r="G12" i="20"/>
  <c r="H12" i="20"/>
  <c r="I12" i="20"/>
  <c r="J12" i="20"/>
  <c r="K12" i="20"/>
  <c r="L12" i="20"/>
  <c r="M12" i="20"/>
  <c r="F13" i="20"/>
  <c r="G13" i="20"/>
  <c r="H13" i="20"/>
  <c r="I13" i="20"/>
  <c r="J13" i="20"/>
  <c r="K13" i="20"/>
  <c r="L13" i="20"/>
  <c r="M13" i="20"/>
  <c r="Z13" i="20"/>
  <c r="F14" i="20"/>
  <c r="G14" i="20"/>
  <c r="H14" i="20"/>
  <c r="I14" i="20"/>
  <c r="J14" i="20"/>
  <c r="K14" i="20"/>
  <c r="L14" i="20"/>
  <c r="M14" i="20"/>
  <c r="Z14" i="20"/>
  <c r="AA14" i="20"/>
  <c r="O33" i="20" s="1"/>
  <c r="AK14" i="20" s="1"/>
  <c r="AB14" i="20"/>
  <c r="P33" i="20" s="1"/>
  <c r="AL14" i="20" s="1"/>
  <c r="AC14" i="20"/>
  <c r="Q33" i="20" s="1"/>
  <c r="AM14" i="20" s="1"/>
  <c r="AE14" i="20"/>
  <c r="AF14" i="20"/>
  <c r="AG14" i="20"/>
  <c r="J15" i="20"/>
  <c r="K15" i="20"/>
  <c r="L15" i="20"/>
  <c r="M15" i="20"/>
  <c r="AD15" i="20"/>
  <c r="AF15" i="20"/>
  <c r="AG15" i="20"/>
  <c r="T16" i="20"/>
  <c r="F17" i="20"/>
  <c r="G17" i="20"/>
  <c r="H17" i="20"/>
  <c r="I17" i="20"/>
  <c r="J17" i="20"/>
  <c r="K17" i="20"/>
  <c r="L17" i="20"/>
  <c r="M17" i="20"/>
  <c r="AD17" i="20"/>
  <c r="AE17" i="20"/>
  <c r="S44" i="20" s="1"/>
  <c r="AO17" i="20" s="1"/>
  <c r="AF17" i="20"/>
  <c r="AG17" i="20"/>
  <c r="AN17" i="20"/>
  <c r="AP17" i="20"/>
  <c r="AQ17" i="20"/>
  <c r="F18" i="20"/>
  <c r="G18" i="20"/>
  <c r="H18" i="20"/>
  <c r="I18" i="20"/>
  <c r="J18" i="20"/>
  <c r="K18" i="20"/>
  <c r="L18" i="20"/>
  <c r="M18" i="20"/>
  <c r="AB18" i="20"/>
  <c r="P41" i="20" s="1"/>
  <c r="AC18" i="20"/>
  <c r="Q41" i="20" s="1"/>
  <c r="F19" i="20"/>
  <c r="Z6" i="20" s="1"/>
  <c r="G19" i="20"/>
  <c r="H19" i="20"/>
  <c r="I19" i="20"/>
  <c r="J19" i="20"/>
  <c r="K19" i="20"/>
  <c r="L19" i="20"/>
  <c r="M19" i="20"/>
  <c r="AA19" i="20"/>
  <c r="AB19" i="20"/>
  <c r="P48" i="20" s="1"/>
  <c r="AC19" i="20"/>
  <c r="Q48" i="20" s="1"/>
  <c r="AE19" i="20"/>
  <c r="S48" i="20" s="1"/>
  <c r="F20" i="20"/>
  <c r="G20" i="20"/>
  <c r="H20" i="20"/>
  <c r="I20" i="20"/>
  <c r="J20" i="20"/>
  <c r="K20" i="20"/>
  <c r="L20" i="20"/>
  <c r="M20" i="20"/>
  <c r="AD20" i="20"/>
  <c r="AG20" i="20"/>
  <c r="AJ20" i="20"/>
  <c r="AK20" i="20"/>
  <c r="F21" i="20"/>
  <c r="G21" i="20"/>
  <c r="H21" i="20"/>
  <c r="I21" i="20"/>
  <c r="J21" i="20"/>
  <c r="K21" i="20"/>
  <c r="L21" i="20"/>
  <c r="M21" i="20"/>
  <c r="F22" i="20"/>
  <c r="Z9" i="20" s="1"/>
  <c r="N23" i="20" s="1"/>
  <c r="G22" i="20"/>
  <c r="AA9" i="20" s="1"/>
  <c r="O23" i="20" s="1"/>
  <c r="H22" i="20"/>
  <c r="I22" i="20"/>
  <c r="J22" i="20"/>
  <c r="K22" i="20"/>
  <c r="L22" i="20"/>
  <c r="M22" i="20"/>
  <c r="N22" i="20"/>
  <c r="O22" i="20"/>
  <c r="F23" i="20"/>
  <c r="G23" i="20"/>
  <c r="H23" i="20"/>
  <c r="I23" i="20"/>
  <c r="J23" i="20"/>
  <c r="K23" i="20"/>
  <c r="L23" i="20"/>
  <c r="M23" i="20"/>
  <c r="AB23" i="20"/>
  <c r="F24" i="20"/>
  <c r="G24" i="20"/>
  <c r="H24" i="20"/>
  <c r="I24" i="20"/>
  <c r="J24" i="20"/>
  <c r="K24" i="20"/>
  <c r="L24" i="20"/>
  <c r="M24" i="20"/>
  <c r="AB24" i="20"/>
  <c r="AD24" i="20"/>
  <c r="R54" i="20" s="1"/>
  <c r="AE24" i="20"/>
  <c r="S54" i="20" s="1"/>
  <c r="AF24" i="20"/>
  <c r="T54" i="20" s="1"/>
  <c r="AG24" i="20"/>
  <c r="U54" i="20" s="1"/>
  <c r="F25" i="20"/>
  <c r="G25" i="20"/>
  <c r="H25" i="20"/>
  <c r="I25" i="20"/>
  <c r="J25" i="20"/>
  <c r="K25" i="20"/>
  <c r="L25" i="20"/>
  <c r="M25" i="20"/>
  <c r="P25" i="20"/>
  <c r="T25" i="20"/>
  <c r="U25" i="20"/>
  <c r="F26" i="20"/>
  <c r="G26" i="20"/>
  <c r="H26" i="20"/>
  <c r="I26" i="20"/>
  <c r="J26" i="20"/>
  <c r="K26" i="20"/>
  <c r="L26" i="20"/>
  <c r="M26" i="20"/>
  <c r="Z26" i="20"/>
  <c r="N68" i="20" s="1"/>
  <c r="AC26" i="20"/>
  <c r="AE26" i="20"/>
  <c r="AG26" i="20"/>
  <c r="F27" i="20"/>
  <c r="G27" i="20"/>
  <c r="H27" i="20"/>
  <c r="I27" i="20"/>
  <c r="J27" i="20"/>
  <c r="K27" i="20"/>
  <c r="L27" i="20"/>
  <c r="M27" i="20"/>
  <c r="F28" i="20"/>
  <c r="G28" i="20"/>
  <c r="H28" i="20"/>
  <c r="I28" i="20"/>
  <c r="J28" i="20"/>
  <c r="K28" i="20"/>
  <c r="L28" i="20"/>
  <c r="M28" i="20"/>
  <c r="F29" i="20"/>
  <c r="Z10" i="20" s="1"/>
  <c r="G29" i="20"/>
  <c r="H29" i="20"/>
  <c r="I29" i="20"/>
  <c r="J29" i="20"/>
  <c r="K29" i="20"/>
  <c r="L29" i="20"/>
  <c r="M29" i="20"/>
  <c r="F30" i="20"/>
  <c r="G30" i="20"/>
  <c r="H30" i="20"/>
  <c r="I30" i="20"/>
  <c r="J30" i="20"/>
  <c r="AD10" i="20" s="1"/>
  <c r="R29" i="20" s="1"/>
  <c r="K30" i="20"/>
  <c r="L30" i="20"/>
  <c r="M30" i="20"/>
  <c r="AG10" i="20" s="1"/>
  <c r="U29" i="20" s="1"/>
  <c r="AQ10" i="20" s="1"/>
  <c r="U30" i="20"/>
  <c r="F31" i="20"/>
  <c r="G31" i="20"/>
  <c r="AA13" i="20" s="1"/>
  <c r="H31" i="20"/>
  <c r="AB13" i="20" s="1"/>
  <c r="I31" i="20"/>
  <c r="AC13" i="20" s="1"/>
  <c r="J31" i="20"/>
  <c r="K31" i="20"/>
  <c r="L31" i="20"/>
  <c r="M31" i="20"/>
  <c r="Q31" i="20"/>
  <c r="F32" i="20"/>
  <c r="G32" i="20"/>
  <c r="H32" i="20"/>
  <c r="I32" i="20"/>
  <c r="J32" i="20"/>
  <c r="K32" i="20"/>
  <c r="L32" i="20"/>
  <c r="M32" i="20"/>
  <c r="F33" i="20"/>
  <c r="G33" i="20"/>
  <c r="H33" i="20"/>
  <c r="I33" i="20"/>
  <c r="J33" i="20"/>
  <c r="K33" i="20"/>
  <c r="L33" i="20"/>
  <c r="M33" i="20"/>
  <c r="N33" i="20"/>
  <c r="AJ14" i="20" s="1"/>
  <c r="S33" i="20"/>
  <c r="AO14" i="20" s="1"/>
  <c r="T33" i="20"/>
  <c r="AP14" i="20" s="1"/>
  <c r="U33" i="20"/>
  <c r="AQ14" i="20" s="1"/>
  <c r="F34" i="20"/>
  <c r="Z15" i="20" s="1"/>
  <c r="G34" i="20"/>
  <c r="H34" i="20"/>
  <c r="I34" i="20"/>
  <c r="AC15" i="20" s="1"/>
  <c r="J34" i="20"/>
  <c r="K34" i="20"/>
  <c r="AE15" i="20" s="1"/>
  <c r="S34" i="20" s="1"/>
  <c r="AO15" i="20" s="1"/>
  <c r="L34" i="20"/>
  <c r="M34" i="20"/>
  <c r="N34" i="20"/>
  <c r="AJ15" i="20" s="1"/>
  <c r="Q34" i="20"/>
  <c r="AM15" i="20" s="1"/>
  <c r="R34" i="20"/>
  <c r="AN15" i="20" s="1"/>
  <c r="T34" i="20"/>
  <c r="AP15" i="20" s="1"/>
  <c r="U34" i="20"/>
  <c r="AQ15" i="20" s="1"/>
  <c r="F35" i="20"/>
  <c r="G35" i="20"/>
  <c r="H35" i="20"/>
  <c r="I35" i="20"/>
  <c r="J35" i="20"/>
  <c r="K35" i="20"/>
  <c r="L35" i="20"/>
  <c r="M35" i="20"/>
  <c r="AG12" i="20" s="1"/>
  <c r="F36" i="20"/>
  <c r="G36" i="20"/>
  <c r="H36" i="20"/>
  <c r="I36" i="20"/>
  <c r="J36" i="20"/>
  <c r="K36" i="20"/>
  <c r="L36" i="20"/>
  <c r="M36" i="20"/>
  <c r="F37" i="20"/>
  <c r="G37" i="20"/>
  <c r="H37" i="20"/>
  <c r="I37" i="20"/>
  <c r="J37" i="20"/>
  <c r="K37" i="20"/>
  <c r="L37" i="20"/>
  <c r="M37" i="20"/>
  <c r="F38" i="20"/>
  <c r="G38" i="20"/>
  <c r="H38" i="20"/>
  <c r="I38" i="20"/>
  <c r="J38" i="20"/>
  <c r="K38" i="20"/>
  <c r="L38" i="20"/>
  <c r="M38" i="20"/>
  <c r="F39" i="20"/>
  <c r="G39" i="20"/>
  <c r="H39" i="20"/>
  <c r="I39" i="20"/>
  <c r="J39" i="20"/>
  <c r="K39" i="20"/>
  <c r="L39" i="20"/>
  <c r="M39" i="20"/>
  <c r="F40" i="20"/>
  <c r="G40" i="20"/>
  <c r="H40" i="20"/>
  <c r="I40" i="20"/>
  <c r="J40" i="20"/>
  <c r="K40" i="20"/>
  <c r="L40" i="20"/>
  <c r="AF18" i="20" s="1"/>
  <c r="M40" i="20"/>
  <c r="AG18" i="20" s="1"/>
  <c r="F41" i="20"/>
  <c r="G41" i="20"/>
  <c r="H41" i="20"/>
  <c r="I41" i="20"/>
  <c r="J41" i="20"/>
  <c r="K41" i="20"/>
  <c r="L41" i="20"/>
  <c r="M41" i="20"/>
  <c r="F42" i="20"/>
  <c r="H42" i="20"/>
  <c r="I42" i="20"/>
  <c r="J42" i="20"/>
  <c r="K42" i="20"/>
  <c r="M42" i="20"/>
  <c r="O43" i="20"/>
  <c r="P43" i="20"/>
  <c r="F44" i="20"/>
  <c r="G44" i="20"/>
  <c r="H44" i="20"/>
  <c r="I44" i="20"/>
  <c r="J44" i="20"/>
  <c r="K44" i="20"/>
  <c r="L44" i="20"/>
  <c r="M44" i="20"/>
  <c r="R44" i="20"/>
  <c r="T44" i="20"/>
  <c r="U44" i="20"/>
  <c r="F45" i="20"/>
  <c r="G45" i="20"/>
  <c r="H45" i="20"/>
  <c r="I45" i="20"/>
  <c r="J45" i="20"/>
  <c r="AD16" i="20" s="1"/>
  <c r="K45" i="20"/>
  <c r="L45" i="20"/>
  <c r="M45" i="20"/>
  <c r="R45" i="20"/>
  <c r="AN16" i="20" s="1"/>
  <c r="F46" i="20"/>
  <c r="Z20" i="20" s="1"/>
  <c r="G46" i="20"/>
  <c r="AA20" i="20" s="1"/>
  <c r="H46" i="20"/>
  <c r="AB20" i="20" s="1"/>
  <c r="I46" i="20"/>
  <c r="AC20" i="20" s="1"/>
  <c r="J46" i="20"/>
  <c r="K46" i="20"/>
  <c r="L46" i="20"/>
  <c r="M46" i="20"/>
  <c r="N46" i="20"/>
  <c r="O46" i="20"/>
  <c r="P46" i="20"/>
  <c r="AL20" i="20" s="1"/>
  <c r="Q46" i="20"/>
  <c r="AM20" i="20" s="1"/>
  <c r="F47" i="20"/>
  <c r="G47" i="20"/>
  <c r="H47" i="20"/>
  <c r="I47" i="20"/>
  <c r="J47" i="20"/>
  <c r="K47" i="20"/>
  <c r="L47" i="20"/>
  <c r="M47" i="20"/>
  <c r="F48" i="20"/>
  <c r="G48" i="20"/>
  <c r="H48" i="20"/>
  <c r="I48" i="20"/>
  <c r="J48" i="20"/>
  <c r="K48" i="20"/>
  <c r="L48" i="20"/>
  <c r="AF19" i="20" s="1"/>
  <c r="T50" i="20" s="1"/>
  <c r="M48" i="20"/>
  <c r="O48" i="20"/>
  <c r="F49" i="20"/>
  <c r="G49" i="20"/>
  <c r="H49" i="20"/>
  <c r="I49" i="20"/>
  <c r="J49" i="20"/>
  <c r="K49" i="20"/>
  <c r="L49" i="20"/>
  <c r="M49" i="20"/>
  <c r="F50" i="20"/>
  <c r="G50" i="20"/>
  <c r="H50" i="20"/>
  <c r="I50" i="20"/>
  <c r="J50" i="20"/>
  <c r="K50" i="20"/>
  <c r="L50" i="20"/>
  <c r="M50" i="20"/>
  <c r="F51" i="20"/>
  <c r="G51" i="20"/>
  <c r="AA23" i="20" s="1"/>
  <c r="O52" i="20" s="1"/>
  <c r="H51" i="20"/>
  <c r="I51" i="20"/>
  <c r="AC23" i="20" s="1"/>
  <c r="Q51" i="20" s="1"/>
  <c r="J51" i="20"/>
  <c r="K51" i="20"/>
  <c r="L51" i="20"/>
  <c r="M51" i="20"/>
  <c r="F52" i="20"/>
  <c r="G52" i="20"/>
  <c r="H52" i="20"/>
  <c r="I52" i="20"/>
  <c r="Q52" i="20" s="1"/>
  <c r="AM23" i="20" s="1"/>
  <c r="J52" i="20"/>
  <c r="K52" i="20"/>
  <c r="L52" i="20"/>
  <c r="M52" i="20"/>
  <c r="P52" i="20"/>
  <c r="F53" i="20"/>
  <c r="G53" i="20"/>
  <c r="H53" i="20"/>
  <c r="I53" i="20"/>
  <c r="J53" i="20"/>
  <c r="K53" i="20"/>
  <c r="L53" i="20"/>
  <c r="M53" i="20"/>
  <c r="U53" i="20" s="1"/>
  <c r="R53" i="20"/>
  <c r="AN24" i="20" s="1"/>
  <c r="S53" i="20"/>
  <c r="AO24" i="20" s="1"/>
  <c r="T53" i="20"/>
  <c r="F54" i="20"/>
  <c r="Z24" i="20" s="1"/>
  <c r="G54" i="20"/>
  <c r="AA24" i="20" s="1"/>
  <c r="H54" i="20"/>
  <c r="I54" i="20"/>
  <c r="J54" i="20"/>
  <c r="K54" i="20"/>
  <c r="L54" i="20"/>
  <c r="M54" i="20"/>
  <c r="F55" i="20"/>
  <c r="G55" i="20"/>
  <c r="H55" i="20"/>
  <c r="I55" i="20"/>
  <c r="J55" i="20"/>
  <c r="K55" i="20"/>
  <c r="L55" i="20"/>
  <c r="M55" i="20"/>
  <c r="F56" i="20"/>
  <c r="G56" i="20"/>
  <c r="AA26" i="20" s="1"/>
  <c r="O68" i="20" s="1"/>
  <c r="H56" i="20"/>
  <c r="AB26" i="20" s="1"/>
  <c r="P68" i="20" s="1"/>
  <c r="I56" i="20"/>
  <c r="J56" i="20"/>
  <c r="K56" i="20"/>
  <c r="L56" i="20"/>
  <c r="M56" i="20"/>
  <c r="N56" i="20"/>
  <c r="O56" i="20"/>
  <c r="AK26" i="20" s="1"/>
  <c r="Q56" i="20"/>
  <c r="F57" i="20"/>
  <c r="G57" i="20"/>
  <c r="H57" i="20"/>
  <c r="I57" i="20"/>
  <c r="J57" i="20"/>
  <c r="K57" i="20"/>
  <c r="L57" i="20"/>
  <c r="M57" i="20"/>
  <c r="F58" i="20"/>
  <c r="G58" i="20"/>
  <c r="H58" i="20"/>
  <c r="I58" i="20"/>
  <c r="J58" i="20"/>
  <c r="K58" i="20"/>
  <c r="L58" i="20"/>
  <c r="M58" i="20"/>
  <c r="F59" i="20"/>
  <c r="G59" i="20"/>
  <c r="H59" i="20"/>
  <c r="AB25" i="20" s="1"/>
  <c r="I59" i="20"/>
  <c r="AC25" i="20" s="1"/>
  <c r="J59" i="20"/>
  <c r="K59" i="20"/>
  <c r="AE25" i="20" s="1"/>
  <c r="S62" i="20" s="1"/>
  <c r="L59" i="20"/>
  <c r="M59" i="20"/>
  <c r="P59" i="20"/>
  <c r="Q59" i="20"/>
  <c r="R59" i="20"/>
  <c r="S59" i="20"/>
  <c r="T59" i="20"/>
  <c r="AP25" i="20" s="1"/>
  <c r="F60" i="20"/>
  <c r="G60" i="20"/>
  <c r="H60" i="20"/>
  <c r="I60" i="20"/>
  <c r="J60" i="20"/>
  <c r="K60" i="20"/>
  <c r="L60" i="20"/>
  <c r="M60" i="20"/>
  <c r="F61" i="20"/>
  <c r="G61" i="20"/>
  <c r="H61" i="20"/>
  <c r="I61" i="20"/>
  <c r="J61" i="20"/>
  <c r="K61" i="20"/>
  <c r="L61" i="20"/>
  <c r="M61" i="20"/>
  <c r="F62" i="20"/>
  <c r="G62" i="20"/>
  <c r="H62" i="20"/>
  <c r="I62" i="20"/>
  <c r="Q62" i="20" s="1"/>
  <c r="J62" i="20"/>
  <c r="AD25" i="20" s="1"/>
  <c r="R62" i="20" s="1"/>
  <c r="K62" i="20"/>
  <c r="L62" i="20"/>
  <c r="AF25" i="20" s="1"/>
  <c r="M62" i="20"/>
  <c r="AG25" i="20" s="1"/>
  <c r="U59" i="20" s="1"/>
  <c r="P62" i="20"/>
  <c r="AL25" i="20" s="1"/>
  <c r="T62" i="20"/>
  <c r="F63" i="20"/>
  <c r="G63" i="20"/>
  <c r="H63" i="20"/>
  <c r="I63" i="20"/>
  <c r="J63" i="20"/>
  <c r="K63" i="20"/>
  <c r="L63" i="20"/>
  <c r="M63" i="20"/>
  <c r="U63" i="20" s="1"/>
  <c r="R63" i="20"/>
  <c r="S63" i="20"/>
  <c r="T63" i="20"/>
  <c r="F64" i="20"/>
  <c r="G64" i="20"/>
  <c r="I64" i="20"/>
  <c r="I65" i="20"/>
  <c r="F66" i="20"/>
  <c r="G66" i="20"/>
  <c r="H66" i="20"/>
  <c r="I66" i="20"/>
  <c r="J66" i="20"/>
  <c r="K66" i="20"/>
  <c r="L66" i="20"/>
  <c r="M66" i="20"/>
  <c r="F67" i="20"/>
  <c r="H67" i="20"/>
  <c r="I67" i="20"/>
  <c r="J67" i="20"/>
  <c r="K67" i="20"/>
  <c r="L67" i="20"/>
  <c r="M67" i="20"/>
  <c r="Q68" i="20"/>
  <c r="S68" i="20"/>
  <c r="T68" i="20"/>
  <c r="F71" i="20"/>
  <c r="F15" i="20" s="1"/>
  <c r="G71" i="20"/>
  <c r="G15" i="20" s="1"/>
  <c r="H71" i="20"/>
  <c r="H15" i="20" s="1"/>
  <c r="I71" i="20"/>
  <c r="I15" i="20" s="1"/>
  <c r="J71" i="20"/>
  <c r="J16" i="20" s="1"/>
  <c r="K71" i="20"/>
  <c r="K16" i="20" s="1"/>
  <c r="AE21" i="20" s="1"/>
  <c r="S16" i="20" s="1"/>
  <c r="L71" i="20"/>
  <c r="L16" i="20" s="1"/>
  <c r="AF21" i="20" s="1"/>
  <c r="T47" i="20" s="1"/>
  <c r="M71" i="20"/>
  <c r="M16" i="20" s="1"/>
  <c r="AG21" i="20" s="1"/>
  <c r="F72" i="20"/>
  <c r="F43" i="20" s="1"/>
  <c r="Z19" i="20" s="1"/>
  <c r="N48" i="20" s="1"/>
  <c r="G72" i="20"/>
  <c r="G43" i="20" s="1"/>
  <c r="H72" i="20"/>
  <c r="H43" i="20" s="1"/>
  <c r="I72" i="20"/>
  <c r="I43" i="20" s="1"/>
  <c r="J72" i="20"/>
  <c r="J43" i="20" s="1"/>
  <c r="K72" i="20"/>
  <c r="K43" i="20" s="1"/>
  <c r="L72" i="20"/>
  <c r="L43" i="20" s="1"/>
  <c r="M72" i="20"/>
  <c r="M43" i="20" s="1"/>
  <c r="F73" i="20"/>
  <c r="F65" i="20" s="1"/>
  <c r="G73" i="20"/>
  <c r="G65" i="20" s="1"/>
  <c r="H73" i="20"/>
  <c r="H65" i="20" s="1"/>
  <c r="I73" i="20"/>
  <c r="J73" i="20"/>
  <c r="J64" i="20" s="1"/>
  <c r="K73" i="20"/>
  <c r="K64" i="20" s="1"/>
  <c r="L73" i="20"/>
  <c r="L64" i="20" s="1"/>
  <c r="M73" i="20"/>
  <c r="M64" i="20" s="1"/>
  <c r="F74" i="20"/>
  <c r="F68" i="20" s="1"/>
  <c r="G74" i="20"/>
  <c r="G68" i="20" s="1"/>
  <c r="H74" i="20"/>
  <c r="H68" i="20" s="1"/>
  <c r="I74" i="20"/>
  <c r="I68" i="20" s="1"/>
  <c r="J74" i="20"/>
  <c r="J68" i="20" s="1"/>
  <c r="K74" i="20"/>
  <c r="K68" i="20" s="1"/>
  <c r="L74" i="20"/>
  <c r="L68" i="20" s="1"/>
  <c r="AF26" i="20" s="1"/>
  <c r="M74" i="20"/>
  <c r="M68" i="20" s="1"/>
  <c r="N12" i="20" l="1"/>
  <c r="N42" i="20"/>
  <c r="O53" i="20"/>
  <c r="O63" i="20"/>
  <c r="N53" i="20"/>
  <c r="N63" i="20"/>
  <c r="Q36" i="20"/>
  <c r="R43" i="20"/>
  <c r="U52" i="20"/>
  <c r="N15" i="20"/>
  <c r="O15" i="20"/>
  <c r="AQ11" i="20"/>
  <c r="AK19" i="20"/>
  <c r="T43" i="20"/>
  <c r="O45" i="20"/>
  <c r="AK16" i="20" s="1"/>
  <c r="AA16" i="20"/>
  <c r="AE18" i="20"/>
  <c r="S40" i="20"/>
  <c r="R27" i="20"/>
  <c r="I16" i="20"/>
  <c r="P20" i="20"/>
  <c r="P8" i="20"/>
  <c r="N45" i="20"/>
  <c r="AJ16" i="20" s="1"/>
  <c r="U49" i="20"/>
  <c r="U47" i="20"/>
  <c r="S36" i="20"/>
  <c r="AO21" i="20"/>
  <c r="Q54" i="20"/>
  <c r="AC24" i="20"/>
  <c r="U28" i="20"/>
  <c r="G16" i="20"/>
  <c r="AD18" i="20"/>
  <c r="R40" i="20"/>
  <c r="R30" i="20"/>
  <c r="H16" i="20"/>
  <c r="O8" i="20"/>
  <c r="O20" i="20"/>
  <c r="U42" i="20"/>
  <c r="P27" i="20"/>
  <c r="P54" i="20"/>
  <c r="AE6" i="20"/>
  <c r="S11" i="20" s="1"/>
  <c r="AF10" i="20"/>
  <c r="T29" i="20" s="1"/>
  <c r="F16" i="20"/>
  <c r="AG7" i="20"/>
  <c r="U14" i="20"/>
  <c r="AQ7" i="20" s="1"/>
  <c r="AC11" i="20"/>
  <c r="Q27" i="20" s="1"/>
  <c r="AC5" i="20"/>
  <c r="Q10" i="20"/>
  <c r="N3" i="20"/>
  <c r="N5" i="20"/>
  <c r="AF7" i="20"/>
  <c r="T14" i="20" s="1"/>
  <c r="AP7" i="20" s="1"/>
  <c r="AA11" i="20"/>
  <c r="S61" i="20"/>
  <c r="AQ24" i="20"/>
  <c r="T49" i="20"/>
  <c r="AB17" i="20"/>
  <c r="P44" i="20"/>
  <c r="AL17" i="20" s="1"/>
  <c r="N32" i="20"/>
  <c r="AD11" i="20"/>
  <c r="AC12" i="20"/>
  <c r="Q37" i="20" s="1"/>
  <c r="AC6" i="20"/>
  <c r="Q19" i="20" s="1"/>
  <c r="AE11" i="20"/>
  <c r="S27" i="20" s="1"/>
  <c r="O54" i="20"/>
  <c r="Z11" i="20"/>
  <c r="N27" i="20" s="1"/>
  <c r="Q42" i="20"/>
  <c r="AP24" i="20"/>
  <c r="AN25" i="20"/>
  <c r="P30" i="20"/>
  <c r="AE27" i="20"/>
  <c r="S57" i="20"/>
  <c r="AG19" i="20"/>
  <c r="U50" i="20" s="1"/>
  <c r="U43" i="20"/>
  <c r="AD5" i="20"/>
  <c r="P7" i="20"/>
  <c r="AL8" i="20" s="1"/>
  <c r="L65" i="20"/>
  <c r="U62" i="20"/>
  <c r="AQ25" i="20" s="1"/>
  <c r="AC27" i="20"/>
  <c r="Q66" i="20" s="1"/>
  <c r="AG23" i="20"/>
  <c r="U51" i="20" s="1"/>
  <c r="AQ23" i="20" s="1"/>
  <c r="N39" i="20"/>
  <c r="AA12" i="20"/>
  <c r="O35" i="20" s="1"/>
  <c r="AD19" i="20"/>
  <c r="R50" i="20" s="1"/>
  <c r="N11" i="20"/>
  <c r="O7" i="20"/>
  <c r="AB16" i="20"/>
  <c r="P45" i="20" s="1"/>
  <c r="AL16" i="20" s="1"/>
  <c r="AP21" i="20"/>
  <c r="P18" i="20"/>
  <c r="P10" i="20"/>
  <c r="AN10" i="20"/>
  <c r="AO25" i="20"/>
  <c r="AD7" i="20"/>
  <c r="R14" i="20" s="1"/>
  <c r="AN7" i="20" s="1"/>
  <c r="AL3" i="20"/>
  <c r="AM25" i="20"/>
  <c r="P39" i="20"/>
  <c r="N38" i="20"/>
  <c r="N31" i="20"/>
  <c r="Z17" i="20"/>
  <c r="N44" i="20"/>
  <c r="AJ17" i="20" s="1"/>
  <c r="AG9" i="20"/>
  <c r="K65" i="20"/>
  <c r="AC22" i="20"/>
  <c r="Q58" i="20" s="1"/>
  <c r="AG16" i="20"/>
  <c r="U45" i="20" s="1"/>
  <c r="AQ16" i="20" s="1"/>
  <c r="Q13" i="20"/>
  <c r="AB22" i="20"/>
  <c r="P58" i="20" s="1"/>
  <c r="AE23" i="20"/>
  <c r="S52" i="20" s="1"/>
  <c r="S47" i="20"/>
  <c r="T45" i="20"/>
  <c r="AP16" i="20" s="1"/>
  <c r="AF16" i="20"/>
  <c r="Z18" i="20"/>
  <c r="N41" i="20" s="1"/>
  <c r="AB10" i="20"/>
  <c r="P29" i="20"/>
  <c r="AD9" i="20"/>
  <c r="R22" i="20" s="1"/>
  <c r="P13" i="20"/>
  <c r="AD6" i="20"/>
  <c r="P9" i="20"/>
  <c r="AG5" i="20"/>
  <c r="AD26" i="20"/>
  <c r="R68" i="20" s="1"/>
  <c r="R42" i="20"/>
  <c r="P15" i="20"/>
  <c r="U48" i="20"/>
  <c r="AE7" i="20"/>
  <c r="S14" i="20" s="1"/>
  <c r="AO7" i="20" s="1"/>
  <c r="U37" i="20"/>
  <c r="AC17" i="20"/>
  <c r="Q44" i="20" s="1"/>
  <c r="AM17" i="20" s="1"/>
  <c r="AE12" i="20"/>
  <c r="Q7" i="20"/>
  <c r="R57" i="20"/>
  <c r="AD27" i="20"/>
  <c r="R67" i="20" s="1"/>
  <c r="AF23" i="20"/>
  <c r="T52" i="20" s="1"/>
  <c r="T51" i="20"/>
  <c r="AP23" i="20" s="1"/>
  <c r="AA18" i="20"/>
  <c r="O40" i="20" s="1"/>
  <c r="AK18" i="20" s="1"/>
  <c r="O41" i="20"/>
  <c r="AC10" i="20"/>
  <c r="Q30" i="20" s="1"/>
  <c r="Q29" i="20"/>
  <c r="U68" i="20"/>
  <c r="Z27" i="20"/>
  <c r="N67" i="20" s="1"/>
  <c r="AA22" i="20"/>
  <c r="O58" i="20" s="1"/>
  <c r="AD23" i="20"/>
  <c r="R52" i="20" s="1"/>
  <c r="AD21" i="20"/>
  <c r="R49" i="20" s="1"/>
  <c r="R47" i="20"/>
  <c r="AE16" i="20"/>
  <c r="S45" i="20" s="1"/>
  <c r="AO16" i="20" s="1"/>
  <c r="Q43" i="20"/>
  <c r="U40" i="20"/>
  <c r="Q32" i="20"/>
  <c r="AM13" i="20" s="1"/>
  <c r="Q38" i="20"/>
  <c r="AA10" i="20"/>
  <c r="O30" i="20" s="1"/>
  <c r="O29" i="20"/>
  <c r="AG27" i="20"/>
  <c r="U57" i="20" s="1"/>
  <c r="Z23" i="20"/>
  <c r="N52" i="20" s="1"/>
  <c r="AC9" i="20"/>
  <c r="Q23" i="20" s="1"/>
  <c r="O13" i="20"/>
  <c r="T7" i="20"/>
  <c r="AF8" i="20"/>
  <c r="AD22" i="20"/>
  <c r="R58" i="20"/>
  <c r="T32" i="20"/>
  <c r="N19" i="20"/>
  <c r="S64" i="20"/>
  <c r="T48" i="20"/>
  <c r="Q21" i="20"/>
  <c r="AF12" i="20"/>
  <c r="T36" i="20" s="1"/>
  <c r="AF27" i="20"/>
  <c r="T57" i="20" s="1"/>
  <c r="O65" i="20"/>
  <c r="S49" i="20"/>
  <c r="S17" i="20"/>
  <c r="M65" i="20"/>
  <c r="S43" i="20"/>
  <c r="Z12" i="20"/>
  <c r="N35" i="20" s="1"/>
  <c r="S67" i="20"/>
  <c r="AM26" i="20"/>
  <c r="Z22" i="20"/>
  <c r="N58" i="20" s="1"/>
  <c r="T40" i="20"/>
  <c r="AP18" i="20" s="1"/>
  <c r="P32" i="20"/>
  <c r="P38" i="20"/>
  <c r="P31" i="20"/>
  <c r="AB9" i="20"/>
  <c r="P23" i="20" s="1"/>
  <c r="Z16" i="20"/>
  <c r="S7" i="20"/>
  <c r="AE8" i="20"/>
  <c r="Q5" i="20"/>
  <c r="O51" i="20"/>
  <c r="AK23" i="20" s="1"/>
  <c r="P63" i="20"/>
  <c r="P53" i="20"/>
  <c r="Q20" i="20"/>
  <c r="Q15" i="20"/>
  <c r="N54" i="20"/>
  <c r="R64" i="20"/>
  <c r="U39" i="20"/>
  <c r="U35" i="20"/>
  <c r="AQ12" i="20" s="1"/>
  <c r="P17" i="20"/>
  <c r="R48" i="20"/>
  <c r="N65" i="20"/>
  <c r="AA17" i="20"/>
  <c r="O44" i="20" s="1"/>
  <c r="AK17" i="20" s="1"/>
  <c r="Q9" i="20"/>
  <c r="J65" i="20"/>
  <c r="H64" i="20"/>
  <c r="P56" i="20"/>
  <c r="AL26" i="20" s="1"/>
  <c r="P51" i="20"/>
  <c r="AL23" i="20" s="1"/>
  <c r="AC16" i="20"/>
  <c r="Q45" i="20" s="1"/>
  <c r="AM16" i="20" s="1"/>
  <c r="AD14" i="20"/>
  <c r="R33" i="20"/>
  <c r="AN14" i="20" s="1"/>
  <c r="O32" i="20"/>
  <c r="O31" i="20"/>
  <c r="O38" i="20"/>
  <c r="T28" i="20"/>
  <c r="AP11" i="20" s="1"/>
  <c r="P26" i="20"/>
  <c r="AL11" i="20" s="1"/>
  <c r="AF6" i="20"/>
  <c r="T11" i="20" s="1"/>
  <c r="U16" i="20"/>
  <c r="R7" i="20"/>
  <c r="AD8" i="20"/>
  <c r="T22" i="20"/>
  <c r="AA5" i="20"/>
  <c r="O9" i="20"/>
  <c r="L42" i="20"/>
  <c r="U36" i="20"/>
  <c r="S30" i="20"/>
  <c r="U17" i="20"/>
  <c r="Z5" i="20"/>
  <c r="N9" i="20"/>
  <c r="AG8" i="20"/>
  <c r="U56" i="20"/>
  <c r="AQ26" i="20" s="1"/>
  <c r="P14" i="20"/>
  <c r="AL7" i="20" s="1"/>
  <c r="AB7" i="20"/>
  <c r="AF9" i="20"/>
  <c r="T23" i="20" s="1"/>
  <c r="P6" i="20"/>
  <c r="AL4" i="20" s="1"/>
  <c r="T56" i="20"/>
  <c r="AP26" i="20" s="1"/>
  <c r="AF20" i="20"/>
  <c r="T46" i="20" s="1"/>
  <c r="AP20" i="20" s="1"/>
  <c r="N43" i="20"/>
  <c r="AJ19" i="20" s="1"/>
  <c r="P21" i="20"/>
  <c r="AA7" i="20"/>
  <c r="O14" i="20" s="1"/>
  <c r="AK7" i="20" s="1"/>
  <c r="AE9" i="20"/>
  <c r="S23" i="20" s="1"/>
  <c r="O6" i="20"/>
  <c r="AK4" i="20" s="1"/>
  <c r="AE3" i="20"/>
  <c r="S4" i="20"/>
  <c r="AN3" i="20"/>
  <c r="Q65" i="20"/>
  <c r="Q40" i="20"/>
  <c r="AM18" i="20" s="1"/>
  <c r="Q14" i="20"/>
  <c r="AM7" i="20" s="1"/>
  <c r="P40" i="20"/>
  <c r="AL18" i="20" s="1"/>
  <c r="AA25" i="20"/>
  <c r="O62" i="20" s="1"/>
  <c r="S56" i="20"/>
  <c r="AO26" i="20" s="1"/>
  <c r="AE20" i="20"/>
  <c r="S46" i="20" s="1"/>
  <c r="AO20" i="20" s="1"/>
  <c r="AG13" i="20"/>
  <c r="U38" i="20" s="1"/>
  <c r="U31" i="20"/>
  <c r="O21" i="20"/>
  <c r="Z7" i="20"/>
  <c r="N14" i="20" s="1"/>
  <c r="AJ7" i="20" s="1"/>
  <c r="U12" i="20"/>
  <c r="N8" i="20"/>
  <c r="AJ8" i="20" s="1"/>
  <c r="N13" i="20"/>
  <c r="Z4" i="20"/>
  <c r="N6" i="20" s="1"/>
  <c r="AJ4" i="20" s="1"/>
  <c r="R4" i="20"/>
  <c r="AG3" i="20"/>
  <c r="Z25" i="20"/>
  <c r="R56" i="20"/>
  <c r="S50" i="20"/>
  <c r="R46" i="20"/>
  <c r="AN20" i="20" s="1"/>
  <c r="AB15" i="20"/>
  <c r="P34" i="20" s="1"/>
  <c r="AL15" i="20" s="1"/>
  <c r="AF13" i="20"/>
  <c r="T38" i="20" s="1"/>
  <c r="T31" i="20"/>
  <c r="AP13" i="20" s="1"/>
  <c r="AG6" i="20"/>
  <c r="Q4" i="20"/>
  <c r="AM3" i="20" s="1"/>
  <c r="AF3" i="20"/>
  <c r="T4" i="20" s="1"/>
  <c r="U41" i="20"/>
  <c r="AA15" i="20"/>
  <c r="O34" i="20"/>
  <c r="AK15" i="20" s="1"/>
  <c r="AE13" i="20"/>
  <c r="S38" i="20" s="1"/>
  <c r="Q24" i="20"/>
  <c r="S12" i="20"/>
  <c r="P4" i="20"/>
  <c r="AJ26" i="20"/>
  <c r="N30" i="20"/>
  <c r="T41" i="20"/>
  <c r="O4" i="20"/>
  <c r="AK3" i="20" s="1"/>
  <c r="S35" i="20"/>
  <c r="S19" i="20"/>
  <c r="R66" i="20"/>
  <c r="O60" i="20"/>
  <c r="O50" i="20"/>
  <c r="R41" i="20"/>
  <c r="AD12" i="20"/>
  <c r="R36" i="20" s="1"/>
  <c r="N24" i="20"/>
  <c r="AJ9" i="20" s="1"/>
  <c r="T35" i="20"/>
  <c r="AD13" i="20"/>
  <c r="R38" i="20" s="1"/>
  <c r="N29" i="20"/>
  <c r="AJ10" i="20" s="1"/>
  <c r="P24" i="20"/>
  <c r="O24" i="20"/>
  <c r="AK9" i="20" s="1"/>
  <c r="N4" i="20"/>
  <c r="N50" i="20"/>
  <c r="AE10" i="20"/>
  <c r="S29" i="20" s="1"/>
  <c r="U27" i="20"/>
  <c r="AF5" i="20"/>
  <c r="T17" i="20" s="1"/>
  <c r="T9" i="20"/>
  <c r="AB6" i="20"/>
  <c r="U46" i="20"/>
  <c r="AQ20" i="20" s="1"/>
  <c r="Q60" i="20"/>
  <c r="Q50" i="20"/>
  <c r="T19" i="20"/>
  <c r="R12" i="20"/>
  <c r="S66" i="20"/>
  <c r="P50" i="20"/>
  <c r="AL19" i="20" s="1"/>
  <c r="S41" i="20"/>
  <c r="R16" i="20"/>
  <c r="AN21" i="20" s="1"/>
  <c r="P35" i="20"/>
  <c r="AB12" i="20"/>
  <c r="T27" i="20"/>
  <c r="AE5" i="20"/>
  <c r="S9" i="20"/>
  <c r="AC7" i="20"/>
  <c r="G67" i="20"/>
  <c r="G42" i="20"/>
  <c r="N59" i="20" l="1"/>
  <c r="N62" i="20"/>
  <c r="O59" i="20"/>
  <c r="AK25" i="20" s="1"/>
  <c r="R8" i="20"/>
  <c r="AN8" i="20" s="1"/>
  <c r="R13" i="20"/>
  <c r="R20" i="20"/>
  <c r="U65" i="20"/>
  <c r="N57" i="20"/>
  <c r="AJ27" i="20" s="1"/>
  <c r="P65" i="20"/>
  <c r="Q25" i="20"/>
  <c r="U61" i="20"/>
  <c r="U32" i="20"/>
  <c r="AN26" i="20"/>
  <c r="AO8" i="20"/>
  <c r="Q61" i="20"/>
  <c r="T67" i="20"/>
  <c r="N51" i="20"/>
  <c r="AJ23" i="20" s="1"/>
  <c r="U4" i="20"/>
  <c r="U3" i="20"/>
  <c r="U5" i="20"/>
  <c r="AQ21" i="20"/>
  <c r="P22" i="20"/>
  <c r="AL9" i="20" s="1"/>
  <c r="Q22" i="20"/>
  <c r="AM9" i="20" s="1"/>
  <c r="R61" i="20"/>
  <c r="AN27" i="20" s="1"/>
  <c r="S42" i="20"/>
  <c r="AO6" i="20" s="1"/>
  <c r="Q63" i="20"/>
  <c r="Q53" i="20"/>
  <c r="AM24" i="20" s="1"/>
  <c r="N64" i="20"/>
  <c r="AP9" i="20"/>
  <c r="O37" i="20"/>
  <c r="O36" i="20"/>
  <c r="AK12" i="20" s="1"/>
  <c r="R31" i="20"/>
  <c r="AN13" i="20" s="1"/>
  <c r="S31" i="20"/>
  <c r="AL13" i="20"/>
  <c r="N61" i="20"/>
  <c r="S51" i="20"/>
  <c r="AO23" i="20" s="1"/>
  <c r="R32" i="20"/>
  <c r="AG22" i="20"/>
  <c r="AP19" i="20"/>
  <c r="AM10" i="20"/>
  <c r="N55" i="20"/>
  <c r="S32" i="20"/>
  <c r="AM19" i="20"/>
  <c r="U10" i="20"/>
  <c r="U18" i="20"/>
  <c r="U21" i="20"/>
  <c r="U15" i="20"/>
  <c r="AJ3" i="20"/>
  <c r="AN19" i="20"/>
  <c r="U9" i="20"/>
  <c r="U13" i="20"/>
  <c r="U66" i="20"/>
  <c r="P12" i="20"/>
  <c r="P42" i="20"/>
  <c r="AB21" i="20"/>
  <c r="U11" i="20"/>
  <c r="U19" i="20"/>
  <c r="S22" i="20"/>
  <c r="Q64" i="20"/>
  <c r="R10" i="20"/>
  <c r="R21" i="20"/>
  <c r="R15" i="20"/>
  <c r="Q55" i="20"/>
  <c r="AM22" i="20" s="1"/>
  <c r="R17" i="20"/>
  <c r="AC21" i="20"/>
  <c r="Q16" i="20" s="1"/>
  <c r="U23" i="20"/>
  <c r="U24" i="20"/>
  <c r="AQ19" i="20"/>
  <c r="AJ24" i="20"/>
  <c r="AK10" i="20"/>
  <c r="Q57" i="20"/>
  <c r="P55" i="20"/>
  <c r="T5" i="20"/>
  <c r="T3" i="20"/>
  <c r="AP3" i="20" s="1"/>
  <c r="AL5" i="20"/>
  <c r="T10" i="20"/>
  <c r="T18" i="20"/>
  <c r="T15" i="20"/>
  <c r="T21" i="20"/>
  <c r="R11" i="20"/>
  <c r="R19" i="20"/>
  <c r="Q18" i="20"/>
  <c r="AM5" i="20" s="1"/>
  <c r="Q17" i="20"/>
  <c r="AO12" i="20"/>
  <c r="Q26" i="20"/>
  <c r="Q28" i="20"/>
  <c r="S18" i="20"/>
  <c r="S10" i="20"/>
  <c r="S15" i="20"/>
  <c r="S21" i="20"/>
  <c r="P60" i="20"/>
  <c r="T24" i="20"/>
  <c r="AO10" i="20"/>
  <c r="N40" i="20"/>
  <c r="AJ18" i="20" s="1"/>
  <c r="AA27" i="20"/>
  <c r="O67" i="20" s="1"/>
  <c r="AO19" i="20"/>
  <c r="R60" i="20"/>
  <c r="R55" i="20"/>
  <c r="R51" i="20"/>
  <c r="AN23" i="20" s="1"/>
  <c r="AF22" i="20"/>
  <c r="U22" i="20"/>
  <c r="R9" i="20"/>
  <c r="R26" i="20"/>
  <c r="R25" i="20"/>
  <c r="R28" i="20"/>
  <c r="AP27" i="20"/>
  <c r="T39" i="20"/>
  <c r="AP12" i="20" s="1"/>
  <c r="T37" i="20"/>
  <c r="O27" i="20"/>
  <c r="O28" i="20"/>
  <c r="O25" i="20"/>
  <c r="U7" i="20"/>
  <c r="U67" i="20"/>
  <c r="AQ18" i="20"/>
  <c r="S26" i="20"/>
  <c r="S28" i="20"/>
  <c r="S25" i="20"/>
  <c r="AO11" i="20" s="1"/>
  <c r="P11" i="20"/>
  <c r="AL6" i="20" s="1"/>
  <c r="T42" i="20"/>
  <c r="P64" i="20"/>
  <c r="U64" i="20"/>
  <c r="AL10" i="20"/>
  <c r="AJ6" i="20"/>
  <c r="AO27" i="20"/>
  <c r="N16" i="20"/>
  <c r="Z21" i="20"/>
  <c r="AO18" i="20"/>
  <c r="AK24" i="20"/>
  <c r="N28" i="20"/>
  <c r="N25" i="20"/>
  <c r="N26" i="20"/>
  <c r="R39" i="20"/>
  <c r="R37" i="20"/>
  <c r="S5" i="20"/>
  <c r="S3" i="20"/>
  <c r="AO3" i="20" s="1"/>
  <c r="O26" i="20"/>
  <c r="N18" i="20"/>
  <c r="N10" i="20"/>
  <c r="N17" i="20"/>
  <c r="N21" i="20"/>
  <c r="S24" i="20"/>
  <c r="AM8" i="20"/>
  <c r="AN18" i="20"/>
  <c r="AQ13" i="20"/>
  <c r="U20" i="20"/>
  <c r="AL24" i="20"/>
  <c r="AK8" i="20"/>
  <c r="Q35" i="20"/>
  <c r="T66" i="20"/>
  <c r="AB27" i="20"/>
  <c r="Q67" i="20"/>
  <c r="S39" i="20"/>
  <c r="S37" i="20"/>
  <c r="R18" i="20"/>
  <c r="R35" i="20"/>
  <c r="AN12" i="20" s="1"/>
  <c r="U8" i="20"/>
  <c r="AQ27" i="20"/>
  <c r="T61" i="20"/>
  <c r="AK13" i="20"/>
  <c r="AA6" i="20"/>
  <c r="T64" i="20"/>
  <c r="T12" i="20"/>
  <c r="AP6" i="20" s="1"/>
  <c r="Q11" i="20"/>
  <c r="AM6" i="20" s="1"/>
  <c r="Q12" i="20"/>
  <c r="N37" i="20"/>
  <c r="N36" i="20"/>
  <c r="AJ12" i="20" s="1"/>
  <c r="O39" i="20"/>
  <c r="R24" i="20"/>
  <c r="R23" i="20"/>
  <c r="AN9" i="20" s="1"/>
  <c r="P19" i="20"/>
  <c r="P37" i="20"/>
  <c r="P36" i="20"/>
  <c r="AL12" i="20" s="1"/>
  <c r="N60" i="20"/>
  <c r="O18" i="20"/>
  <c r="O10" i="20"/>
  <c r="O17" i="20"/>
  <c r="R65" i="20"/>
  <c r="S8" i="20"/>
  <c r="S13" i="20"/>
  <c r="S20" i="20"/>
  <c r="AE22" i="20"/>
  <c r="T8" i="20"/>
  <c r="AP8" i="20" s="1"/>
  <c r="T20" i="20"/>
  <c r="T13" i="20"/>
  <c r="O55" i="20"/>
  <c r="AK22" i="20" s="1"/>
  <c r="AJ13" i="20"/>
  <c r="N66" i="20"/>
  <c r="Q39" i="20"/>
  <c r="T30" i="20"/>
  <c r="AP10" i="20" s="1"/>
  <c r="AA21" i="20"/>
  <c r="O16" i="20" s="1"/>
  <c r="AN11" i="20" l="1"/>
  <c r="O12" i="20"/>
  <c r="O19" i="20"/>
  <c r="O11" i="20"/>
  <c r="O42" i="20"/>
  <c r="Q49" i="20"/>
  <c r="Q47" i="20"/>
  <c r="AM21" i="20" s="1"/>
  <c r="AM11" i="20"/>
  <c r="AJ22" i="20"/>
  <c r="S58" i="20"/>
  <c r="S55" i="20"/>
  <c r="S60" i="20"/>
  <c r="AP5" i="20"/>
  <c r="AO9" i="20"/>
  <c r="AJ21" i="20"/>
  <c r="T60" i="20"/>
  <c r="T55" i="20"/>
  <c r="T58" i="20"/>
  <c r="AQ6" i="20"/>
  <c r="U60" i="20"/>
  <c r="U55" i="20"/>
  <c r="U58" i="20"/>
  <c r="AQ3" i="20"/>
  <c r="AJ25" i="20"/>
  <c r="AK5" i="20"/>
  <c r="AQ5" i="20"/>
  <c r="AN5" i="20"/>
  <c r="O57" i="20"/>
  <c r="O64" i="20"/>
  <c r="O66" i="20"/>
  <c r="O61" i="20"/>
  <c r="P49" i="20"/>
  <c r="P47" i="20"/>
  <c r="AQ8" i="20"/>
  <c r="S65" i="20"/>
  <c r="AM12" i="20"/>
  <c r="AK11" i="20"/>
  <c r="AL22" i="20"/>
  <c r="AQ9" i="20"/>
  <c r="AN22" i="20"/>
  <c r="AM27" i="20"/>
  <c r="AJ5" i="20"/>
  <c r="AN6" i="20"/>
  <c r="O47" i="20"/>
  <c r="AK21" i="20" s="1"/>
  <c r="O49" i="20"/>
  <c r="P66" i="20"/>
  <c r="P57" i="20"/>
  <c r="P67" i="20"/>
  <c r="P61" i="20"/>
  <c r="T65" i="20"/>
  <c r="AJ11" i="20"/>
  <c r="P16" i="20"/>
  <c r="AL21" i="20" s="1"/>
  <c r="N49" i="20"/>
  <c r="N47" i="20"/>
  <c r="AO5" i="20"/>
  <c r="AO13" i="20"/>
  <c r="AK27" i="20" l="1"/>
  <c r="AQ22" i="20"/>
  <c r="AP22" i="20"/>
  <c r="AO22" i="20"/>
  <c r="AL27" i="20"/>
  <c r="AK6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<sst xmlns="http://schemas.openxmlformats.org/spreadsheetml/2006/main" count="362" uniqueCount="165">
  <si>
    <t>Source:</t>
  </si>
  <si>
    <t>SoEDtICoS Share of Electricity Demand that Is Cost of Service</t>
  </si>
  <si>
    <t>Unit: dimensionless (% of demand)</t>
  </si>
  <si>
    <t>Share that is Cost of Service</t>
  </si>
  <si>
    <t>Notes:</t>
  </si>
  <si>
    <t xml:space="preserve">This EPS calculates both cost of service (costs of generation, construction costs, T&amp;D, etc.) </t>
  </si>
  <si>
    <t>and capacity market costs. This variable serves as a multiplier so that the total electricity</t>
  </si>
  <si>
    <t>rates are the sum of costs of service * the share of demand that is cost of service and</t>
  </si>
  <si>
    <t>capacity market costs * (1 - the share of demand that is cost of service).</t>
  </si>
  <si>
    <t>IPM</t>
  </si>
  <si>
    <t>Region</t>
  </si>
  <si>
    <t>Net</t>
  </si>
  <si>
    <t>Energy</t>
  </si>
  <si>
    <t>for</t>
  </si>
  <si>
    <t>Load</t>
  </si>
  <si>
    <t>(Billions</t>
  </si>
  <si>
    <t>of</t>
  </si>
  <si>
    <t>kWh)</t>
  </si>
  <si>
    <t>ERC_FRNT</t>
  </si>
  <si>
    <t>ERC_GWAY</t>
  </si>
  <si>
    <t>ERC_PHDL</t>
  </si>
  <si>
    <t>ERC_REST</t>
  </si>
  <si>
    <t>ERC_WEST</t>
  </si>
  <si>
    <t>FRCC</t>
  </si>
  <si>
    <t>MIS_AMSO</t>
  </si>
  <si>
    <t>MIS_AR</t>
  </si>
  <si>
    <t>MIS_D_MS</t>
  </si>
  <si>
    <t>MIS_IA</t>
  </si>
  <si>
    <t>MIS_IL</t>
  </si>
  <si>
    <t>MIS_INKY</t>
  </si>
  <si>
    <t>MIS_LA</t>
  </si>
  <si>
    <t>MIS_LMI</t>
  </si>
  <si>
    <t>MIS_MAPP</t>
  </si>
  <si>
    <t>MIS_MIDA</t>
  </si>
  <si>
    <t>MIS_MNWI</t>
  </si>
  <si>
    <t>MIS_MO</t>
  </si>
  <si>
    <t>MIS_WOTA</t>
  </si>
  <si>
    <t>MIS_WUMS</t>
  </si>
  <si>
    <t>NENG_CT</t>
  </si>
  <si>
    <t>NENG_ME</t>
  </si>
  <si>
    <t>NENGREST</t>
  </si>
  <si>
    <t>NY_Z_A</t>
  </si>
  <si>
    <t>NY_Z_B</t>
  </si>
  <si>
    <t>NY_Z_C&amp;E</t>
  </si>
  <si>
    <t>NY_Z_D</t>
  </si>
  <si>
    <t>NY_Z_F</t>
  </si>
  <si>
    <t>Table 3-3</t>
  </si>
  <si>
    <t>NY_Z_G-I</t>
  </si>
  <si>
    <t>NYUP</t>
  </si>
  <si>
    <t>NY_Z_J</t>
  </si>
  <si>
    <t>NYCW</t>
  </si>
  <si>
    <t>NY_Z_K</t>
  </si>
  <si>
    <t>PJM_WMAC</t>
  </si>
  <si>
    <t>PJM_EMAC</t>
  </si>
  <si>
    <t>PJM_SMAC</t>
  </si>
  <si>
    <t>PJM_PENE</t>
  </si>
  <si>
    <t>PJM_Dom</t>
  </si>
  <si>
    <t>S_VACA</t>
  </si>
  <si>
    <t>S_C_KY</t>
  </si>
  <si>
    <t>SRCE</t>
  </si>
  <si>
    <t>S_D_AECI</t>
  </si>
  <si>
    <t>S_C_TVA</t>
  </si>
  <si>
    <t>S_SOU</t>
  </si>
  <si>
    <t>SRSE</t>
  </si>
  <si>
    <t>SPP_N</t>
  </si>
  <si>
    <t>SPP_WEST</t>
  </si>
  <si>
    <t>SPP_SPS</t>
  </si>
  <si>
    <t>WECC_CO</t>
  </si>
  <si>
    <t>PJM_West</t>
  </si>
  <si>
    <t>PJM_AP</t>
  </si>
  <si>
    <t>PJM_COMD</t>
  </si>
  <si>
    <t>PJM_ATSI</t>
  </si>
  <si>
    <t>SPP_NEBR</t>
  </si>
  <si>
    <t>SPP_WAUE</t>
  </si>
  <si>
    <t>WEC_CALN</t>
  </si>
  <si>
    <t>WEC_LADW</t>
  </si>
  <si>
    <t>WEC_SDGE</t>
  </si>
  <si>
    <t>WECC_SCE</t>
  </si>
  <si>
    <t>WECC_MT</t>
  </si>
  <si>
    <t>NWPP</t>
  </si>
  <si>
    <t>WEC_BANC</t>
  </si>
  <si>
    <t>WECC_ID</t>
  </si>
  <si>
    <t>WECC_NNV</t>
  </si>
  <si>
    <t>WECC_SNV</t>
  </si>
  <si>
    <t>WECC_UT</t>
  </si>
  <si>
    <t>WECC_PNW</t>
  </si>
  <si>
    <t>WECC_WY</t>
  </si>
  <si>
    <t>WECC_AZ</t>
  </si>
  <si>
    <t>WECC_NM</t>
  </si>
  <si>
    <t>WECC_IID</t>
  </si>
  <si>
    <t>IPM Region</t>
  </si>
  <si>
    <t>NEMS Region</t>
  </si>
  <si>
    <t>Deregulation Share</t>
  </si>
  <si>
    <t>Cost-of-Service Share</t>
  </si>
  <si>
    <t>Load by IPM Region</t>
  </si>
  <si>
    <t>Deregulation and Cost-of-Service Shares by Region</t>
  </si>
  <si>
    <t>Attachment 1</t>
  </si>
  <si>
    <t>https://www.epa.gov/sites/default/files/2019-06/documents/rpm_documentation_june2019.pdf</t>
  </si>
  <si>
    <t>ICF</t>
  </si>
  <si>
    <t>Documentation of the Retail Price Model</t>
  </si>
  <si>
    <t>SPP_KIAM</t>
  </si>
  <si>
    <t>https://www.epa.gov/sites/default/files/2018-05/documents/epa_platform_v6_documentation_-_chapter_3.pdf</t>
  </si>
  <si>
    <t>EPA</t>
  </si>
  <si>
    <t>Power System Operation Assumptions</t>
  </si>
  <si>
    <t>TRE</t>
  </si>
  <si>
    <t>SRSG</t>
  </si>
  <si>
    <t>RMRG</t>
  </si>
  <si>
    <t>region</t>
  </si>
  <si>
    <t>Texas Reliability Entity</t>
  </si>
  <si>
    <t>Florida Reliability Coordinating Council</t>
  </si>
  <si>
    <t>Midcontinent ISO / West</t>
  </si>
  <si>
    <t>Midcontinent ISO / Central</t>
  </si>
  <si>
    <t>Midcontinent ISO / East</t>
  </si>
  <si>
    <t>Midcontinent ISO / South</t>
  </si>
  <si>
    <t>Northeast Power Coordinating Council / New England</t>
  </si>
  <si>
    <t>Northeast Power Coordinating Council / NYC &amp; Long Island</t>
  </si>
  <si>
    <t>Northeast Power Coordinating Council / Upstate New York</t>
  </si>
  <si>
    <t>PJM / East</t>
  </si>
  <si>
    <t>PJM / West</t>
  </si>
  <si>
    <t>PJM / Commonwealth Edison</t>
  </si>
  <si>
    <t>PJM / Dominion</t>
  </si>
  <si>
    <t>SERC Reliability Corporation / East</t>
  </si>
  <si>
    <t>SERC Reliability Corporation / Southeastern</t>
  </si>
  <si>
    <t>SERC Reliability Corporation / Central</t>
  </si>
  <si>
    <t>Southwest Power Pool / South</t>
  </si>
  <si>
    <t>Southwest Power Pool / Central</t>
  </si>
  <si>
    <t>Southwest Power Pool / North</t>
  </si>
  <si>
    <t>Western Electricity Coordinating Council / Southwest</t>
  </si>
  <si>
    <t>Western Electricity Coordinating Council / California North</t>
  </si>
  <si>
    <t>Western Electricity Coordinating Council / California South</t>
  </si>
  <si>
    <t>Western Electricity Coordinating Council / Northwest Power Pool Area</t>
  </si>
  <si>
    <t>Western Electricity Coordinating Council / Rockies</t>
  </si>
  <si>
    <t>Western Electricity Coordinating Council / Basin</t>
  </si>
  <si>
    <t>SPPS</t>
  </si>
  <si>
    <t>SPPC</t>
  </si>
  <si>
    <t>SPPN</t>
  </si>
  <si>
    <t>MISW</t>
  </si>
  <si>
    <t>MISC</t>
  </si>
  <si>
    <t>MISE</t>
  </si>
  <si>
    <t>MISS</t>
  </si>
  <si>
    <t>ISNE</t>
  </si>
  <si>
    <t>PJME</t>
  </si>
  <si>
    <t>PJMW</t>
  </si>
  <si>
    <t>PJMC</t>
  </si>
  <si>
    <t>PJMD</t>
  </si>
  <si>
    <t>SRCA</t>
  </si>
  <si>
    <t>CANO</t>
  </si>
  <si>
    <t>CASO</t>
  </si>
  <si>
    <t>BASN</t>
  </si>
  <si>
    <t>Table 3-1</t>
  </si>
  <si>
    <t>Load Projections</t>
  </si>
  <si>
    <t>abbreviation</t>
  </si>
  <si>
    <t>IPMM Aggregated Load</t>
  </si>
  <si>
    <t>Regions with more than one NEMS region</t>
  </si>
  <si>
    <t>IPPM Aggregated Cost-of-Service Share</t>
  </si>
  <si>
    <t>Cost-of-Service Share Weights</t>
  </si>
  <si>
    <t>Time Series</t>
  </si>
  <si>
    <t>Load by NEMS Region</t>
  </si>
  <si>
    <t>https://www.eia.gov/outlooks/aeo/tables_ref.php</t>
  </si>
  <si>
    <t>EIA</t>
  </si>
  <si>
    <t>Annual Energy Outlook 2025</t>
  </si>
  <si>
    <t>Tables 54.1-54.25, Total Net Energy for Load entries</t>
  </si>
  <si>
    <t>Mapping of NEMS Regions with IPM Regions</t>
  </si>
  <si>
    <t>https://www.epa.gov/system/files/documents/2021-09/chapter-3-power-system-operation-assumptions.pdf</t>
  </si>
  <si>
    <t>Using 1 for all values for 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</si>
</sst>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  <xf numFmtId="1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wrapText="1"/>
    </xf>
    <xf numFmtId="165" fontId="0" fillId="4" borderId="0" xfId="0" applyNumberFormat="1" applyFill="1"/>
    <xf numFmtId="1" fontId="0" fillId="4" borderId="0" xfId="0" applyNumberFormat="1" applyFill="1"/>
    <xf numFmtId="0" fontId="0" fillId="4" borderId="0" xfId="0" applyFill="1"/>
    <xf numFmtId="165" fontId="0" fillId="0" borderId="0" xfId="0" applyNumberFormat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workbookViewId="0">
      <selection activeCell="B8" sqref="B8"/>
    </sheetView>
  </sheetViews>
  <sheetFormatPr defaultRowHeight="14.4" x14ac:dyDescent="0.3"/>
  <cols>
    <col min="2" max="2" width="61.77734375" customWidth="1"/>
  </cols>
  <sheetData>
    <row r="1" spans="1:2" x14ac:dyDescent="0.3">
      <c r="A1" s="2" t="s">
        <v>1</v>
      </c>
    </row>
    <row r="2" spans="1:2" x14ac:dyDescent="0.3">
      <c r="A2" s="2"/>
    </row>
    <row r="3" spans="1:2" x14ac:dyDescent="0.3">
      <c r="A3" t="s">
        <v>164</v>
      </c>
    </row>
    <row r="4" spans="1:2" x14ac:dyDescent="0.3">
      <c r="A4" s="2"/>
    </row>
    <row r="5" spans="1:2" x14ac:dyDescent="0.3">
      <c r="A5" s="2"/>
    </row>
    <row r="7" spans="1:2" x14ac:dyDescent="0.3">
      <c r="A7" s="2" t="s">
        <v>0</v>
      </c>
      <c r="B7" s="8" t="s">
        <v>94</v>
      </c>
    </row>
    <row r="8" spans="1:2" x14ac:dyDescent="0.3">
      <c r="B8" t="s">
        <v>101</v>
      </c>
    </row>
    <row r="9" spans="1:2" x14ac:dyDescent="0.3">
      <c r="B9" t="s">
        <v>102</v>
      </c>
    </row>
    <row r="10" spans="1:2" x14ac:dyDescent="0.3">
      <c r="B10" s="4">
        <v>2018</v>
      </c>
    </row>
    <row r="11" spans="1:2" x14ac:dyDescent="0.3">
      <c r="B11" s="4" t="s">
        <v>103</v>
      </c>
    </row>
    <row r="12" spans="1:2" x14ac:dyDescent="0.3">
      <c r="B12" t="s">
        <v>46</v>
      </c>
    </row>
    <row r="13" spans="1:2" x14ac:dyDescent="0.3">
      <c r="B13" s="4"/>
    </row>
    <row r="14" spans="1:2" x14ac:dyDescent="0.3">
      <c r="B14" s="8" t="s">
        <v>157</v>
      </c>
    </row>
    <row r="15" spans="1:2" x14ac:dyDescent="0.3">
      <c r="B15" t="s">
        <v>158</v>
      </c>
    </row>
    <row r="16" spans="1:2" x14ac:dyDescent="0.3">
      <c r="B16" t="s">
        <v>159</v>
      </c>
    </row>
    <row r="17" spans="2:2" x14ac:dyDescent="0.3">
      <c r="B17" s="4">
        <v>2025</v>
      </c>
    </row>
    <row r="18" spans="2:2" x14ac:dyDescent="0.3">
      <c r="B18" s="4" t="s">
        <v>160</v>
      </c>
    </row>
    <row r="19" spans="2:2" x14ac:dyDescent="0.3">
      <c r="B19" t="s">
        <v>161</v>
      </c>
    </row>
    <row r="21" spans="2:2" x14ac:dyDescent="0.3">
      <c r="B21" s="8" t="s">
        <v>162</v>
      </c>
    </row>
    <row r="22" spans="2:2" x14ac:dyDescent="0.3">
      <c r="B22" t="s">
        <v>163</v>
      </c>
    </row>
    <row r="23" spans="2:2" x14ac:dyDescent="0.3">
      <c r="B23" t="s">
        <v>102</v>
      </c>
    </row>
    <row r="24" spans="2:2" x14ac:dyDescent="0.3">
      <c r="B24" s="4">
        <v>2021</v>
      </c>
    </row>
    <row r="25" spans="2:2" x14ac:dyDescent="0.3">
      <c r="B25" s="4" t="s">
        <v>103</v>
      </c>
    </row>
    <row r="26" spans="2:2" x14ac:dyDescent="0.3">
      <c r="B26" t="s">
        <v>149</v>
      </c>
    </row>
    <row r="28" spans="2:2" x14ac:dyDescent="0.3">
      <c r="B28" s="9" t="s">
        <v>95</v>
      </c>
    </row>
    <row r="29" spans="2:2" x14ac:dyDescent="0.3">
      <c r="B29" s="4" t="s">
        <v>98</v>
      </c>
    </row>
    <row r="30" spans="2:2" x14ac:dyDescent="0.3">
      <c r="B30" s="4">
        <v>2019</v>
      </c>
    </row>
    <row r="31" spans="2:2" x14ac:dyDescent="0.3">
      <c r="B31" s="4" t="s">
        <v>99</v>
      </c>
    </row>
    <row r="32" spans="2:2" x14ac:dyDescent="0.3">
      <c r="B32" s="4" t="s">
        <v>97</v>
      </c>
    </row>
    <row r="33" spans="1:2" x14ac:dyDescent="0.3">
      <c r="B33" s="4" t="s">
        <v>96</v>
      </c>
    </row>
    <row r="34" spans="1:2" x14ac:dyDescent="0.3">
      <c r="B34" s="4"/>
    </row>
    <row r="35" spans="1:2" x14ac:dyDescent="0.3">
      <c r="B35" s="4"/>
    </row>
    <row r="36" spans="1:2" x14ac:dyDescent="0.3">
      <c r="A36" s="2" t="s">
        <v>4</v>
      </c>
    </row>
    <row r="37" spans="1:2" x14ac:dyDescent="0.3">
      <c r="A37" t="s">
        <v>5</v>
      </c>
      <c r="B37" s="1"/>
    </row>
    <row r="38" spans="1:2" x14ac:dyDescent="0.3">
      <c r="A38" t="s">
        <v>6</v>
      </c>
    </row>
    <row r="39" spans="1:2" x14ac:dyDescent="0.3">
      <c r="A39" t="s">
        <v>7</v>
      </c>
    </row>
    <row r="40" spans="1:2" x14ac:dyDescent="0.3">
      <c r="A4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15C46-25A7-483B-B849-796DAF8E3E9A}">
  <dimension ref="A1:AC26"/>
  <sheetViews>
    <sheetView workbookViewId="0"/>
  </sheetViews>
  <sheetFormatPr defaultRowHeight="14.4" x14ac:dyDescent="0.3"/>
  <cols>
    <col min="1" max="1" width="12.77734375" customWidth="1"/>
    <col min="2" max="2" width="48.21875" customWidth="1"/>
  </cols>
  <sheetData>
    <row r="1" spans="1:29" s="2" customFormat="1" x14ac:dyDescent="0.3">
      <c r="A1" s="2" t="s">
        <v>151</v>
      </c>
      <c r="B1" s="2" t="s">
        <v>107</v>
      </c>
      <c r="C1" s="2">
        <v>2024</v>
      </c>
      <c r="D1" s="2">
        <v>2025</v>
      </c>
      <c r="E1" s="2">
        <v>2026</v>
      </c>
      <c r="F1" s="2">
        <v>2027</v>
      </c>
      <c r="G1" s="2">
        <v>2028</v>
      </c>
      <c r="H1" s="2">
        <v>2029</v>
      </c>
      <c r="I1" s="2">
        <v>2030</v>
      </c>
      <c r="J1" s="2">
        <v>2031</v>
      </c>
      <c r="K1" s="2">
        <v>2032</v>
      </c>
      <c r="L1" s="2">
        <v>2033</v>
      </c>
      <c r="M1" s="2">
        <v>2034</v>
      </c>
      <c r="N1" s="2">
        <v>2035</v>
      </c>
      <c r="O1" s="2">
        <v>2036</v>
      </c>
      <c r="P1" s="2">
        <v>2037</v>
      </c>
      <c r="Q1" s="2">
        <v>2038</v>
      </c>
      <c r="R1" s="2">
        <v>2039</v>
      </c>
      <c r="S1" s="2">
        <v>2040</v>
      </c>
      <c r="T1" s="2">
        <v>2041</v>
      </c>
      <c r="U1" s="2">
        <v>2042</v>
      </c>
      <c r="V1" s="2">
        <v>2043</v>
      </c>
      <c r="W1" s="2">
        <v>2044</v>
      </c>
      <c r="X1" s="2">
        <v>2045</v>
      </c>
      <c r="Y1" s="2">
        <v>2046</v>
      </c>
      <c r="Z1" s="2">
        <v>2047</v>
      </c>
      <c r="AA1" s="2">
        <v>2048</v>
      </c>
      <c r="AB1" s="2">
        <v>2049</v>
      </c>
      <c r="AC1" s="2">
        <v>2050</v>
      </c>
    </row>
    <row r="2" spans="1:29" x14ac:dyDescent="0.3">
      <c r="A2" t="s">
        <v>104</v>
      </c>
      <c r="B2" t="s">
        <v>108</v>
      </c>
      <c r="C2">
        <v>421.21800000000002</v>
      </c>
      <c r="D2">
        <v>431.137</v>
      </c>
      <c r="E2">
        <v>434.17099999999999</v>
      </c>
      <c r="F2">
        <v>439.01100000000002</v>
      </c>
      <c r="G2">
        <v>442.99299999999999</v>
      </c>
      <c r="H2">
        <v>447.452</v>
      </c>
      <c r="I2">
        <v>451.61200000000002</v>
      </c>
      <c r="J2">
        <v>456.28800000000001</v>
      </c>
      <c r="K2">
        <v>463.35599999999999</v>
      </c>
      <c r="L2">
        <v>471.04599999999999</v>
      </c>
      <c r="M2">
        <v>480.03</v>
      </c>
      <c r="N2">
        <v>490.3</v>
      </c>
      <c r="O2">
        <v>501.54</v>
      </c>
      <c r="P2">
        <v>513.32799999999997</v>
      </c>
      <c r="Q2">
        <v>523.67399999999998</v>
      </c>
      <c r="R2">
        <v>533.44799999999998</v>
      </c>
      <c r="S2">
        <v>541.91999999999996</v>
      </c>
      <c r="T2">
        <v>549.59199999999998</v>
      </c>
      <c r="U2">
        <v>557.09500000000003</v>
      </c>
      <c r="V2">
        <v>564.72299999999996</v>
      </c>
      <c r="W2">
        <v>571.44200000000001</v>
      </c>
      <c r="X2">
        <v>577.88300000000004</v>
      </c>
      <c r="Y2">
        <v>583.34299999999996</v>
      </c>
      <c r="Z2">
        <v>589.17499999999995</v>
      </c>
      <c r="AA2">
        <v>595.58600000000001</v>
      </c>
      <c r="AB2">
        <v>602.505</v>
      </c>
      <c r="AC2">
        <v>610.92700000000002</v>
      </c>
    </row>
    <row r="3" spans="1:29" x14ac:dyDescent="0.3">
      <c r="A3" t="s">
        <v>23</v>
      </c>
      <c r="B3" t="s">
        <v>109</v>
      </c>
      <c r="C3">
        <v>260.71600000000001</v>
      </c>
      <c r="D3">
        <v>261.83100000000002</v>
      </c>
      <c r="E3">
        <v>263.08699999999999</v>
      </c>
      <c r="F3">
        <v>266.48899999999998</v>
      </c>
      <c r="G3">
        <v>269.2</v>
      </c>
      <c r="H3">
        <v>272.80900000000003</v>
      </c>
      <c r="I3">
        <v>276.09300000000002</v>
      </c>
      <c r="J3">
        <v>279.488</v>
      </c>
      <c r="K3">
        <v>283.53899999999999</v>
      </c>
      <c r="L3">
        <v>287.54700000000003</v>
      </c>
      <c r="M3">
        <v>291.73200000000003</v>
      </c>
      <c r="N3">
        <v>296.33199999999999</v>
      </c>
      <c r="O3">
        <v>303.69099999999997</v>
      </c>
      <c r="P3">
        <v>309.35300000000001</v>
      </c>
      <c r="Q3">
        <v>315.11099999999999</v>
      </c>
      <c r="R3">
        <v>321.12</v>
      </c>
      <c r="S3">
        <v>326.774</v>
      </c>
      <c r="T3">
        <v>332.15100000000001</v>
      </c>
      <c r="U3">
        <v>336.71600000000001</v>
      </c>
      <c r="V3">
        <v>341.19299999999998</v>
      </c>
      <c r="W3">
        <v>345.30700000000002</v>
      </c>
      <c r="X3">
        <v>349.49200000000002</v>
      </c>
      <c r="Y3">
        <v>352.298</v>
      </c>
      <c r="Z3">
        <v>356.41899999999998</v>
      </c>
      <c r="AA3">
        <v>360.82499999999999</v>
      </c>
      <c r="AB3">
        <v>364.63099999999997</v>
      </c>
      <c r="AC3">
        <v>369.35700000000003</v>
      </c>
    </row>
    <row r="4" spans="1:29" x14ac:dyDescent="0.3">
      <c r="A4" t="s">
        <v>136</v>
      </c>
      <c r="B4" t="s">
        <v>110</v>
      </c>
      <c r="C4">
        <v>220.864</v>
      </c>
      <c r="D4">
        <v>225.18</v>
      </c>
      <c r="E4">
        <v>223.97</v>
      </c>
      <c r="F4">
        <v>225.65299999999999</v>
      </c>
      <c r="G4">
        <v>226.792</v>
      </c>
      <c r="H4">
        <v>228.82300000000001</v>
      </c>
      <c r="I4">
        <v>231.084</v>
      </c>
      <c r="J4">
        <v>233.58799999999999</v>
      </c>
      <c r="K4">
        <v>237.315</v>
      </c>
      <c r="L4">
        <v>241.39500000000001</v>
      </c>
      <c r="M4">
        <v>246.65700000000001</v>
      </c>
      <c r="N4">
        <v>252.136</v>
      </c>
      <c r="O4">
        <v>257.43599999999998</v>
      </c>
      <c r="P4">
        <v>262.21899999999999</v>
      </c>
      <c r="Q4">
        <v>266.89299999999997</v>
      </c>
      <c r="R4">
        <v>271.52999999999997</v>
      </c>
      <c r="S4">
        <v>275.97699999999998</v>
      </c>
      <c r="T4">
        <v>280.07400000000001</v>
      </c>
      <c r="U4">
        <v>284.07900000000001</v>
      </c>
      <c r="V4">
        <v>287.87099999999998</v>
      </c>
      <c r="W4">
        <v>291.45400000000001</v>
      </c>
      <c r="X4">
        <v>294.72300000000001</v>
      </c>
      <c r="Y4">
        <v>297.928</v>
      </c>
      <c r="Z4">
        <v>301.41899999999998</v>
      </c>
      <c r="AA4">
        <v>304.93599999999998</v>
      </c>
      <c r="AB4">
        <v>308.48700000000002</v>
      </c>
      <c r="AC4">
        <v>311.76799999999997</v>
      </c>
    </row>
    <row r="5" spans="1:29" x14ac:dyDescent="0.3">
      <c r="A5" t="s">
        <v>137</v>
      </c>
      <c r="B5" t="s">
        <v>111</v>
      </c>
      <c r="C5">
        <v>200.58799999999999</v>
      </c>
      <c r="D5">
        <v>204.43799999999999</v>
      </c>
      <c r="E5">
        <v>205.6</v>
      </c>
      <c r="F5">
        <v>207.476</v>
      </c>
      <c r="G5">
        <v>208.797</v>
      </c>
      <c r="H5">
        <v>210.602</v>
      </c>
      <c r="I5">
        <v>212.54400000000001</v>
      </c>
      <c r="J5">
        <v>214.73099999999999</v>
      </c>
      <c r="K5">
        <v>218.04499999999999</v>
      </c>
      <c r="L5">
        <v>221.58699999999999</v>
      </c>
      <c r="M5">
        <v>226.06200000000001</v>
      </c>
      <c r="N5">
        <v>230.80500000000001</v>
      </c>
      <c r="O5">
        <v>235.55799999999999</v>
      </c>
      <c r="P5">
        <v>239.90100000000001</v>
      </c>
      <c r="Q5">
        <v>244.14</v>
      </c>
      <c r="R5">
        <v>248.41300000000001</v>
      </c>
      <c r="S5">
        <v>252.53800000000001</v>
      </c>
      <c r="T5">
        <v>256.291</v>
      </c>
      <c r="U5">
        <v>259.88499999999999</v>
      </c>
      <c r="V5">
        <v>263.28300000000002</v>
      </c>
      <c r="W5">
        <v>266.464</v>
      </c>
      <c r="X5">
        <v>269.346</v>
      </c>
      <c r="Y5">
        <v>272.14</v>
      </c>
      <c r="Z5">
        <v>275.13600000000002</v>
      </c>
      <c r="AA5">
        <v>278.13299999999998</v>
      </c>
      <c r="AB5">
        <v>281.11900000000003</v>
      </c>
      <c r="AC5">
        <v>284.084</v>
      </c>
    </row>
    <row r="6" spans="1:29" x14ac:dyDescent="0.3">
      <c r="A6" t="s">
        <v>138</v>
      </c>
      <c r="B6" t="s">
        <v>112</v>
      </c>
      <c r="C6">
        <v>100.369</v>
      </c>
      <c r="D6">
        <v>102.401</v>
      </c>
      <c r="E6">
        <v>103.152</v>
      </c>
      <c r="F6">
        <v>104.35299999999999</v>
      </c>
      <c r="G6">
        <v>105.279</v>
      </c>
      <c r="H6">
        <v>106.33799999999999</v>
      </c>
      <c r="I6">
        <v>107.38</v>
      </c>
      <c r="J6">
        <v>108.512</v>
      </c>
      <c r="K6">
        <v>110.297</v>
      </c>
      <c r="L6">
        <v>112.108</v>
      </c>
      <c r="M6">
        <v>114.36799999999999</v>
      </c>
      <c r="N6">
        <v>116.768</v>
      </c>
      <c r="O6">
        <v>119.261</v>
      </c>
      <c r="P6">
        <v>121.521</v>
      </c>
      <c r="Q6">
        <v>123.747</v>
      </c>
      <c r="R6">
        <v>126.056</v>
      </c>
      <c r="S6">
        <v>128.285</v>
      </c>
      <c r="T6">
        <v>130.31899999999999</v>
      </c>
      <c r="U6">
        <v>132.215</v>
      </c>
      <c r="V6">
        <v>134.00800000000001</v>
      </c>
      <c r="W6">
        <v>135.70500000000001</v>
      </c>
      <c r="X6">
        <v>137.273</v>
      </c>
      <c r="Y6">
        <v>138.809</v>
      </c>
      <c r="Z6">
        <v>140.398</v>
      </c>
      <c r="AA6">
        <v>141.92699999999999</v>
      </c>
      <c r="AB6">
        <v>143.416</v>
      </c>
      <c r="AC6">
        <v>144.916</v>
      </c>
    </row>
    <row r="7" spans="1:29" x14ac:dyDescent="0.3">
      <c r="A7" t="s">
        <v>139</v>
      </c>
      <c r="B7" t="s">
        <v>113</v>
      </c>
      <c r="C7">
        <v>192.52099999999999</v>
      </c>
      <c r="D7">
        <v>196.59700000000001</v>
      </c>
      <c r="E7">
        <v>198.738</v>
      </c>
      <c r="F7">
        <v>200.869</v>
      </c>
      <c r="G7">
        <v>202.601</v>
      </c>
      <c r="H7">
        <v>204.42099999999999</v>
      </c>
      <c r="I7">
        <v>206.191</v>
      </c>
      <c r="J7">
        <v>208.27500000000001</v>
      </c>
      <c r="K7">
        <v>211.32599999999999</v>
      </c>
      <c r="L7">
        <v>214.67</v>
      </c>
      <c r="M7">
        <v>218.69399999999999</v>
      </c>
      <c r="N7">
        <v>223.16499999999999</v>
      </c>
      <c r="O7">
        <v>227.935</v>
      </c>
      <c r="P7">
        <v>232.846</v>
      </c>
      <c r="Q7">
        <v>237.14599999999999</v>
      </c>
      <c r="R7">
        <v>241.29300000000001</v>
      </c>
      <c r="S7">
        <v>244.916</v>
      </c>
      <c r="T7">
        <v>248.13900000000001</v>
      </c>
      <c r="U7">
        <v>251.291</v>
      </c>
      <c r="V7">
        <v>254.477</v>
      </c>
      <c r="W7">
        <v>257.096</v>
      </c>
      <c r="X7">
        <v>259.63600000000002</v>
      </c>
      <c r="Y7">
        <v>261.75200000000001</v>
      </c>
      <c r="Z7">
        <v>264.142</v>
      </c>
      <c r="AA7">
        <v>266.89999999999998</v>
      </c>
      <c r="AB7">
        <v>269.84199999999998</v>
      </c>
      <c r="AC7">
        <v>273.37400000000002</v>
      </c>
    </row>
    <row r="8" spans="1:29" x14ac:dyDescent="0.3">
      <c r="A8" t="s">
        <v>140</v>
      </c>
      <c r="B8" t="s">
        <v>114</v>
      </c>
      <c r="C8">
        <v>118.18</v>
      </c>
      <c r="D8">
        <v>117.346</v>
      </c>
      <c r="E8">
        <v>115.727</v>
      </c>
      <c r="F8">
        <v>117.669</v>
      </c>
      <c r="G8">
        <v>119.566</v>
      </c>
      <c r="H8">
        <v>121.78100000000001</v>
      </c>
      <c r="I8">
        <v>123.66500000000001</v>
      </c>
      <c r="J8">
        <v>125.61799999999999</v>
      </c>
      <c r="K8">
        <v>127.57899999999999</v>
      </c>
      <c r="L8">
        <v>129.34899999999999</v>
      </c>
      <c r="M8">
        <v>131.41499999999999</v>
      </c>
      <c r="N8">
        <v>134.16499999999999</v>
      </c>
      <c r="O8">
        <v>137.124</v>
      </c>
      <c r="P8">
        <v>139.922</v>
      </c>
      <c r="Q8">
        <v>142.74199999999999</v>
      </c>
      <c r="R8">
        <v>145.58600000000001</v>
      </c>
      <c r="S8">
        <v>148.30099999999999</v>
      </c>
      <c r="T8">
        <v>150.78800000000001</v>
      </c>
      <c r="U8">
        <v>153.03100000000001</v>
      </c>
      <c r="V8">
        <v>155.197</v>
      </c>
      <c r="W8">
        <v>157.321</v>
      </c>
      <c r="X8">
        <v>158.91900000000001</v>
      </c>
      <c r="Y8">
        <v>160.59100000000001</v>
      </c>
      <c r="Z8">
        <v>162.26499999999999</v>
      </c>
      <c r="AA8">
        <v>163.941</v>
      </c>
      <c r="AB8">
        <v>165.59700000000001</v>
      </c>
      <c r="AC8">
        <v>167.262</v>
      </c>
    </row>
    <row r="9" spans="1:29" x14ac:dyDescent="0.3">
      <c r="A9" t="s">
        <v>50</v>
      </c>
      <c r="B9" t="s">
        <v>115</v>
      </c>
      <c r="C9">
        <v>71.103999999999999</v>
      </c>
      <c r="D9">
        <v>72.099000000000004</v>
      </c>
      <c r="E9">
        <v>71.933000000000007</v>
      </c>
      <c r="F9">
        <v>73.206000000000003</v>
      </c>
      <c r="G9">
        <v>74.319999999999993</v>
      </c>
      <c r="H9">
        <v>75.700999999999993</v>
      </c>
      <c r="I9">
        <v>76.853999999999999</v>
      </c>
      <c r="J9">
        <v>78.016999999999996</v>
      </c>
      <c r="K9">
        <v>79.581999999999994</v>
      </c>
      <c r="L9">
        <v>81.025999999999996</v>
      </c>
      <c r="M9">
        <v>82.727000000000004</v>
      </c>
      <c r="N9">
        <v>84.572000000000003</v>
      </c>
      <c r="O9">
        <v>86.537999999999997</v>
      </c>
      <c r="P9">
        <v>88.48</v>
      </c>
      <c r="Q9">
        <v>90.438999999999993</v>
      </c>
      <c r="R9">
        <v>92.486999999999995</v>
      </c>
      <c r="S9">
        <v>94.403000000000006</v>
      </c>
      <c r="T9">
        <v>96.144000000000005</v>
      </c>
      <c r="U9">
        <v>97.777000000000001</v>
      </c>
      <c r="V9">
        <v>99.349000000000004</v>
      </c>
      <c r="W9">
        <v>100.93600000000001</v>
      </c>
      <c r="X9">
        <v>102.45099999999999</v>
      </c>
      <c r="Y9">
        <v>103.976</v>
      </c>
      <c r="Z9">
        <v>105.48399999999999</v>
      </c>
      <c r="AA9">
        <v>107.004</v>
      </c>
      <c r="AB9">
        <v>108.504</v>
      </c>
      <c r="AC9">
        <v>110.102</v>
      </c>
    </row>
    <row r="10" spans="1:29" x14ac:dyDescent="0.3">
      <c r="A10" t="s">
        <v>48</v>
      </c>
      <c r="B10" t="s">
        <v>116</v>
      </c>
      <c r="C10">
        <v>80.085999999999999</v>
      </c>
      <c r="D10">
        <v>81.22</v>
      </c>
      <c r="E10">
        <v>81.263999999999996</v>
      </c>
      <c r="F10">
        <v>82.391999999999996</v>
      </c>
      <c r="G10">
        <v>83.242999999999995</v>
      </c>
      <c r="H10">
        <v>84.403000000000006</v>
      </c>
      <c r="I10">
        <v>85.503</v>
      </c>
      <c r="J10">
        <v>86.606999999999999</v>
      </c>
      <c r="K10">
        <v>88.11</v>
      </c>
      <c r="L10">
        <v>89.519000000000005</v>
      </c>
      <c r="M10">
        <v>91.236000000000004</v>
      </c>
      <c r="N10">
        <v>93.097999999999999</v>
      </c>
      <c r="O10">
        <v>95.081999999999994</v>
      </c>
      <c r="P10">
        <v>96.953000000000003</v>
      </c>
      <c r="Q10">
        <v>98.835999999999999</v>
      </c>
      <c r="R10">
        <v>100.824</v>
      </c>
      <c r="S10">
        <v>102.64100000000001</v>
      </c>
      <c r="T10">
        <v>104.26900000000001</v>
      </c>
      <c r="U10">
        <v>105.73</v>
      </c>
      <c r="V10">
        <v>107.089</v>
      </c>
      <c r="W10">
        <v>108.41</v>
      </c>
      <c r="X10">
        <v>109.711</v>
      </c>
      <c r="Y10">
        <v>110.96</v>
      </c>
      <c r="Z10">
        <v>112.261</v>
      </c>
      <c r="AA10">
        <v>113.595</v>
      </c>
      <c r="AB10">
        <v>114.911</v>
      </c>
      <c r="AC10">
        <v>116.28</v>
      </c>
    </row>
    <row r="11" spans="1:29" x14ac:dyDescent="0.3">
      <c r="A11" t="s">
        <v>141</v>
      </c>
      <c r="B11" t="s">
        <v>117</v>
      </c>
      <c r="C11">
        <v>275.61200000000002</v>
      </c>
      <c r="D11">
        <v>278.86500000000001</v>
      </c>
      <c r="E11">
        <v>279.12700000000001</v>
      </c>
      <c r="F11">
        <v>282.77199999999999</v>
      </c>
      <c r="G11">
        <v>285.51</v>
      </c>
      <c r="H11">
        <v>289.38099999999997</v>
      </c>
      <c r="I11">
        <v>293.03800000000001</v>
      </c>
      <c r="J11">
        <v>296.77</v>
      </c>
      <c r="K11">
        <v>301.637</v>
      </c>
      <c r="L11">
        <v>306.25400000000002</v>
      </c>
      <c r="M11">
        <v>311.67399999999998</v>
      </c>
      <c r="N11">
        <v>317.54000000000002</v>
      </c>
      <c r="O11">
        <v>323.95299999999997</v>
      </c>
      <c r="P11">
        <v>330.12099999999998</v>
      </c>
      <c r="Q11">
        <v>336.48</v>
      </c>
      <c r="R11">
        <v>343.06200000000001</v>
      </c>
      <c r="S11">
        <v>349.11599999999999</v>
      </c>
      <c r="T11">
        <v>354.61599999999999</v>
      </c>
      <c r="U11">
        <v>359.54700000000003</v>
      </c>
      <c r="V11">
        <v>364.12</v>
      </c>
      <c r="W11">
        <v>368.52</v>
      </c>
      <c r="X11">
        <v>372.80599999999998</v>
      </c>
      <c r="Y11">
        <v>376.90100000000001</v>
      </c>
      <c r="Z11">
        <v>381.25</v>
      </c>
      <c r="AA11">
        <v>385.78800000000001</v>
      </c>
      <c r="AB11">
        <v>390.346</v>
      </c>
      <c r="AC11">
        <v>395.113</v>
      </c>
    </row>
    <row r="12" spans="1:29" x14ac:dyDescent="0.3">
      <c r="A12" t="s">
        <v>142</v>
      </c>
      <c r="B12" t="s">
        <v>118</v>
      </c>
      <c r="C12">
        <v>317.012</v>
      </c>
      <c r="D12">
        <v>322.44</v>
      </c>
      <c r="E12">
        <v>325.07600000000002</v>
      </c>
      <c r="F12">
        <v>328.55099999999999</v>
      </c>
      <c r="G12">
        <v>331.01799999999997</v>
      </c>
      <c r="H12">
        <v>334.09699999999998</v>
      </c>
      <c r="I12">
        <v>337.351</v>
      </c>
      <c r="J12">
        <v>340.916</v>
      </c>
      <c r="K12">
        <v>346.11799999999999</v>
      </c>
      <c r="L12">
        <v>351.44600000000003</v>
      </c>
      <c r="M12">
        <v>358.00900000000001</v>
      </c>
      <c r="N12">
        <v>364.93200000000002</v>
      </c>
      <c r="O12">
        <v>372.06900000000002</v>
      </c>
      <c r="P12">
        <v>378.73399999999998</v>
      </c>
      <c r="Q12">
        <v>385.298</v>
      </c>
      <c r="R12">
        <v>392.024</v>
      </c>
      <c r="S12">
        <v>398.41500000000002</v>
      </c>
      <c r="T12">
        <v>404.15199999999999</v>
      </c>
      <c r="U12">
        <v>409.47300000000001</v>
      </c>
      <c r="V12">
        <v>414.411</v>
      </c>
      <c r="W12">
        <v>418.916</v>
      </c>
      <c r="X12">
        <v>423.12400000000002</v>
      </c>
      <c r="Y12">
        <v>427.15899999999999</v>
      </c>
      <c r="Z12">
        <v>431.495</v>
      </c>
      <c r="AA12">
        <v>435.97</v>
      </c>
      <c r="AB12">
        <v>440.47199999999998</v>
      </c>
      <c r="AC12">
        <v>445.13200000000001</v>
      </c>
    </row>
    <row r="13" spans="1:29" x14ac:dyDescent="0.3">
      <c r="A13" t="s">
        <v>143</v>
      </c>
      <c r="B13" t="s">
        <v>119</v>
      </c>
      <c r="C13">
        <v>94.891999999999996</v>
      </c>
      <c r="D13">
        <v>96.941000000000003</v>
      </c>
      <c r="E13">
        <v>97.588999999999999</v>
      </c>
      <c r="F13">
        <v>98.647999999999996</v>
      </c>
      <c r="G13">
        <v>99.433999999999997</v>
      </c>
      <c r="H13">
        <v>100.377</v>
      </c>
      <c r="I13">
        <v>101.342</v>
      </c>
      <c r="J13">
        <v>102.407</v>
      </c>
      <c r="K13">
        <v>104.083</v>
      </c>
      <c r="L13">
        <v>105.798</v>
      </c>
      <c r="M13">
        <v>107.949</v>
      </c>
      <c r="N13">
        <v>110.20399999999999</v>
      </c>
      <c r="O13">
        <v>112.515</v>
      </c>
      <c r="P13">
        <v>114.58499999999999</v>
      </c>
      <c r="Q13">
        <v>116.61499999999999</v>
      </c>
      <c r="R13">
        <v>118.712</v>
      </c>
      <c r="S13">
        <v>120.758</v>
      </c>
      <c r="T13">
        <v>122.605</v>
      </c>
      <c r="U13">
        <v>124.33199999999999</v>
      </c>
      <c r="V13">
        <v>125.958</v>
      </c>
      <c r="W13">
        <v>127.482</v>
      </c>
      <c r="X13">
        <v>128.89099999999999</v>
      </c>
      <c r="Y13">
        <v>130.27799999999999</v>
      </c>
      <c r="Z13">
        <v>131.726</v>
      </c>
      <c r="AA13">
        <v>133.126</v>
      </c>
      <c r="AB13">
        <v>134.49700000000001</v>
      </c>
      <c r="AC13">
        <v>135.875</v>
      </c>
    </row>
    <row r="14" spans="1:29" x14ac:dyDescent="0.3">
      <c r="A14" t="s">
        <v>144</v>
      </c>
      <c r="B14" t="s">
        <v>120</v>
      </c>
      <c r="C14">
        <v>116.358</v>
      </c>
      <c r="D14">
        <v>117.584</v>
      </c>
      <c r="E14">
        <v>117.84</v>
      </c>
      <c r="F14">
        <v>119.158</v>
      </c>
      <c r="G14">
        <v>120.16800000000001</v>
      </c>
      <c r="H14">
        <v>121.82299999999999</v>
      </c>
      <c r="I14">
        <v>123.352</v>
      </c>
      <c r="J14">
        <v>124.982</v>
      </c>
      <c r="K14">
        <v>126.935</v>
      </c>
      <c r="L14">
        <v>128.86099999999999</v>
      </c>
      <c r="M14">
        <v>130.89699999999999</v>
      </c>
      <c r="N14">
        <v>133.1</v>
      </c>
      <c r="O14">
        <v>135.547</v>
      </c>
      <c r="P14">
        <v>138.13</v>
      </c>
      <c r="Q14">
        <v>140.74600000000001</v>
      </c>
      <c r="R14">
        <v>143.40799999999999</v>
      </c>
      <c r="S14">
        <v>145.928</v>
      </c>
      <c r="T14">
        <v>148.23699999999999</v>
      </c>
      <c r="U14">
        <v>150.37</v>
      </c>
      <c r="V14">
        <v>152.386</v>
      </c>
      <c r="W14">
        <v>154.251</v>
      </c>
      <c r="X14">
        <v>156.05799999999999</v>
      </c>
      <c r="Y14">
        <v>157.79599999999999</v>
      </c>
      <c r="Z14">
        <v>159.66300000000001</v>
      </c>
      <c r="AA14">
        <v>161.69399999999999</v>
      </c>
      <c r="AB14">
        <v>163.821</v>
      </c>
      <c r="AC14">
        <v>166.102</v>
      </c>
    </row>
    <row r="15" spans="1:29" x14ac:dyDescent="0.3">
      <c r="A15" t="s">
        <v>145</v>
      </c>
      <c r="B15" t="s">
        <v>121</v>
      </c>
      <c r="C15">
        <v>228.06700000000001</v>
      </c>
      <c r="D15">
        <v>230.512</v>
      </c>
      <c r="E15">
        <v>231.785</v>
      </c>
      <c r="F15">
        <v>234.46799999999999</v>
      </c>
      <c r="G15">
        <v>236.494</v>
      </c>
      <c r="H15">
        <v>239.447</v>
      </c>
      <c r="I15">
        <v>242.32900000000001</v>
      </c>
      <c r="J15">
        <v>245.43899999999999</v>
      </c>
      <c r="K15">
        <v>249.27600000000001</v>
      </c>
      <c r="L15">
        <v>253.14099999999999</v>
      </c>
      <c r="M15">
        <v>257.31299999999999</v>
      </c>
      <c r="N15">
        <v>264.61099999999999</v>
      </c>
      <c r="O15">
        <v>271.62900000000002</v>
      </c>
      <c r="P15">
        <v>276.75</v>
      </c>
      <c r="Q15">
        <v>281.81200000000001</v>
      </c>
      <c r="R15">
        <v>286.90100000000001</v>
      </c>
      <c r="S15">
        <v>291.66199999999998</v>
      </c>
      <c r="T15">
        <v>295.99</v>
      </c>
      <c r="U15">
        <v>299.99099999999999</v>
      </c>
      <c r="V15">
        <v>303.73599999999999</v>
      </c>
      <c r="W15">
        <v>307.13400000000001</v>
      </c>
      <c r="X15">
        <v>308.48399999999998</v>
      </c>
      <c r="Y15">
        <v>309.40600000000001</v>
      </c>
      <c r="Z15">
        <v>312.75400000000002</v>
      </c>
      <c r="AA15">
        <v>316.48399999999998</v>
      </c>
      <c r="AB15">
        <v>320.40800000000002</v>
      </c>
      <c r="AC15">
        <v>324.66300000000001</v>
      </c>
    </row>
    <row r="16" spans="1:29" x14ac:dyDescent="0.3">
      <c r="A16" t="s">
        <v>63</v>
      </c>
      <c r="B16" t="s">
        <v>122</v>
      </c>
      <c r="C16">
        <v>243.27</v>
      </c>
      <c r="D16">
        <v>245.16200000000001</v>
      </c>
      <c r="E16">
        <v>247.76</v>
      </c>
      <c r="F16">
        <v>250.62700000000001</v>
      </c>
      <c r="G16">
        <v>252.80099999999999</v>
      </c>
      <c r="H16">
        <v>255.45599999999999</v>
      </c>
      <c r="I16">
        <v>258.06200000000001</v>
      </c>
      <c r="J16">
        <v>260.97800000000001</v>
      </c>
      <c r="K16">
        <v>264.61</v>
      </c>
      <c r="L16">
        <v>268.33499999999998</v>
      </c>
      <c r="M16">
        <v>272.56400000000002</v>
      </c>
      <c r="N16">
        <v>277.03300000000002</v>
      </c>
      <c r="O16">
        <v>281.80099999999999</v>
      </c>
      <c r="P16">
        <v>286.83600000000001</v>
      </c>
      <c r="Q16">
        <v>291.82</v>
      </c>
      <c r="R16">
        <v>296.84100000000001</v>
      </c>
      <c r="S16">
        <v>301.49599999999998</v>
      </c>
      <c r="T16">
        <v>305.76</v>
      </c>
      <c r="U16">
        <v>309.72300000000001</v>
      </c>
      <c r="V16">
        <v>313.36099999999999</v>
      </c>
      <c r="W16">
        <v>316.57299999999998</v>
      </c>
      <c r="X16">
        <v>319.642</v>
      </c>
      <c r="Y16">
        <v>322.46199999999999</v>
      </c>
      <c r="Z16">
        <v>325.58800000000002</v>
      </c>
      <c r="AA16">
        <v>329.20600000000002</v>
      </c>
      <c r="AB16">
        <v>333.077</v>
      </c>
      <c r="AC16">
        <v>337.26299999999998</v>
      </c>
    </row>
    <row r="17" spans="1:29" x14ac:dyDescent="0.3">
      <c r="A17" t="s">
        <v>59</v>
      </c>
      <c r="B17" t="s">
        <v>123</v>
      </c>
      <c r="C17">
        <v>196.166</v>
      </c>
      <c r="D17">
        <v>196.078</v>
      </c>
      <c r="E17">
        <v>199.94900000000001</v>
      </c>
      <c r="F17">
        <v>202.46</v>
      </c>
      <c r="G17">
        <v>204.43</v>
      </c>
      <c r="H17">
        <v>205.815</v>
      </c>
      <c r="I17">
        <v>207.13399999999999</v>
      </c>
      <c r="J17">
        <v>208.81200000000001</v>
      </c>
      <c r="K17">
        <v>210.91200000000001</v>
      </c>
      <c r="L17">
        <v>213.184</v>
      </c>
      <c r="M17">
        <v>216.12700000000001</v>
      </c>
      <c r="N17">
        <v>219.126</v>
      </c>
      <c r="O17">
        <v>222.06700000000001</v>
      </c>
      <c r="P17">
        <v>225.346</v>
      </c>
      <c r="Q17">
        <v>228.667</v>
      </c>
      <c r="R17">
        <v>232.078</v>
      </c>
      <c r="S17">
        <v>235.161</v>
      </c>
      <c r="T17">
        <v>238.07400000000001</v>
      </c>
      <c r="U17">
        <v>240.821</v>
      </c>
      <c r="V17">
        <v>243.185</v>
      </c>
      <c r="W17">
        <v>245.137</v>
      </c>
      <c r="X17">
        <v>247.001</v>
      </c>
      <c r="Y17">
        <v>248.59100000000001</v>
      </c>
      <c r="Z17">
        <v>250.39099999999999</v>
      </c>
      <c r="AA17">
        <v>252.73400000000001</v>
      </c>
      <c r="AB17">
        <v>255.363</v>
      </c>
      <c r="AC17">
        <v>258.16300000000001</v>
      </c>
    </row>
    <row r="18" spans="1:29" x14ac:dyDescent="0.3">
      <c r="A18" t="s">
        <v>133</v>
      </c>
      <c r="B18" t="s">
        <v>124</v>
      </c>
      <c r="C18">
        <v>145.58699999999999</v>
      </c>
      <c r="D18">
        <v>149.03800000000001</v>
      </c>
      <c r="E18">
        <v>150.285</v>
      </c>
      <c r="F18">
        <v>151.941</v>
      </c>
      <c r="G18">
        <v>153.292</v>
      </c>
      <c r="H18">
        <v>154.87899999999999</v>
      </c>
      <c r="I18">
        <v>156.42400000000001</v>
      </c>
      <c r="J18">
        <v>158.14699999999999</v>
      </c>
      <c r="K18">
        <v>160.72300000000001</v>
      </c>
      <c r="L18">
        <v>163.62700000000001</v>
      </c>
      <c r="M18">
        <v>167.06899999999999</v>
      </c>
      <c r="N18">
        <v>170.90600000000001</v>
      </c>
      <c r="O18">
        <v>174.96700000000001</v>
      </c>
      <c r="P18">
        <v>179.12200000000001</v>
      </c>
      <c r="Q18">
        <v>182.80099999999999</v>
      </c>
      <c r="R18">
        <v>186.29300000000001</v>
      </c>
      <c r="S18">
        <v>189.40799999999999</v>
      </c>
      <c r="T18">
        <v>192.22</v>
      </c>
      <c r="U18">
        <v>194.94399999999999</v>
      </c>
      <c r="V18">
        <v>197.69</v>
      </c>
      <c r="W18">
        <v>200.07900000000001</v>
      </c>
      <c r="X18">
        <v>202.405</v>
      </c>
      <c r="Y18">
        <v>204.39599999999999</v>
      </c>
      <c r="Z18">
        <v>206.542</v>
      </c>
      <c r="AA18">
        <v>208.905</v>
      </c>
      <c r="AB18">
        <v>211.452</v>
      </c>
      <c r="AC18">
        <v>214.47</v>
      </c>
    </row>
    <row r="19" spans="1:29" x14ac:dyDescent="0.3">
      <c r="A19" t="s">
        <v>134</v>
      </c>
      <c r="B19" t="s">
        <v>125</v>
      </c>
      <c r="C19">
        <v>78.298000000000002</v>
      </c>
      <c r="D19">
        <v>79.528999999999996</v>
      </c>
      <c r="E19">
        <v>78.805000000000007</v>
      </c>
      <c r="F19">
        <v>79.340999999999994</v>
      </c>
      <c r="G19">
        <v>79.727000000000004</v>
      </c>
      <c r="H19">
        <v>80.566000000000003</v>
      </c>
      <c r="I19">
        <v>81.429000000000002</v>
      </c>
      <c r="J19">
        <v>82.424999999999997</v>
      </c>
      <c r="K19">
        <v>83.814999999999998</v>
      </c>
      <c r="L19">
        <v>85.378</v>
      </c>
      <c r="M19">
        <v>87.299000000000007</v>
      </c>
      <c r="N19">
        <v>89.378</v>
      </c>
      <c r="O19">
        <v>91.403000000000006</v>
      </c>
      <c r="P19">
        <v>93.316000000000003</v>
      </c>
      <c r="Q19">
        <v>95.200999999999993</v>
      </c>
      <c r="R19">
        <v>97.001000000000005</v>
      </c>
      <c r="S19">
        <v>98.730999999999995</v>
      </c>
      <c r="T19">
        <v>100.377</v>
      </c>
      <c r="U19">
        <v>102.017</v>
      </c>
      <c r="V19">
        <v>103.608</v>
      </c>
      <c r="W19">
        <v>105.16</v>
      </c>
      <c r="X19">
        <v>106.568</v>
      </c>
      <c r="Y19">
        <v>107.923</v>
      </c>
      <c r="Z19">
        <v>109.39100000000001</v>
      </c>
      <c r="AA19">
        <v>110.899</v>
      </c>
      <c r="AB19">
        <v>112.435</v>
      </c>
      <c r="AC19">
        <v>113.884</v>
      </c>
    </row>
    <row r="20" spans="1:29" x14ac:dyDescent="0.3">
      <c r="A20" t="s">
        <v>135</v>
      </c>
      <c r="B20" t="s">
        <v>126</v>
      </c>
      <c r="C20">
        <v>61.072000000000003</v>
      </c>
      <c r="D20">
        <v>62.231000000000002</v>
      </c>
      <c r="E20">
        <v>61.326000000000001</v>
      </c>
      <c r="F20">
        <v>61.661000000000001</v>
      </c>
      <c r="G20">
        <v>61.850999999999999</v>
      </c>
      <c r="H20">
        <v>62.362000000000002</v>
      </c>
      <c r="I20">
        <v>62.984999999999999</v>
      </c>
      <c r="J20">
        <v>63.713999999999999</v>
      </c>
      <c r="K20">
        <v>64.757999999999996</v>
      </c>
      <c r="L20">
        <v>65.923000000000002</v>
      </c>
      <c r="M20">
        <v>67.403000000000006</v>
      </c>
      <c r="N20">
        <v>68.944999999999993</v>
      </c>
      <c r="O20">
        <v>70.384</v>
      </c>
      <c r="P20">
        <v>71.692999999999998</v>
      </c>
      <c r="Q20">
        <v>72.977000000000004</v>
      </c>
      <c r="R20">
        <v>74.206000000000003</v>
      </c>
      <c r="S20">
        <v>75.393000000000001</v>
      </c>
      <c r="T20">
        <v>76.495999999999995</v>
      </c>
      <c r="U20">
        <v>77.591999999999999</v>
      </c>
      <c r="V20">
        <v>78.626000000000005</v>
      </c>
      <c r="W20">
        <v>79.597999999999999</v>
      </c>
      <c r="X20">
        <v>80.489999999999995</v>
      </c>
      <c r="Y20">
        <v>81.36</v>
      </c>
      <c r="Z20">
        <v>82.328999999999994</v>
      </c>
      <c r="AA20">
        <v>83.323999999999998</v>
      </c>
      <c r="AB20">
        <v>84.346000000000004</v>
      </c>
      <c r="AC20">
        <v>85.233999999999995</v>
      </c>
    </row>
    <row r="21" spans="1:29" x14ac:dyDescent="0.3">
      <c r="A21" t="s">
        <v>105</v>
      </c>
      <c r="B21" t="s">
        <v>127</v>
      </c>
      <c r="C21">
        <v>126.751</v>
      </c>
      <c r="D21">
        <v>126.72799999999999</v>
      </c>
      <c r="E21">
        <v>127.63800000000001</v>
      </c>
      <c r="F21">
        <v>129.76499999999999</v>
      </c>
      <c r="G21">
        <v>132.79900000000001</v>
      </c>
      <c r="H21">
        <v>134.56200000000001</v>
      </c>
      <c r="I21">
        <v>137.38</v>
      </c>
      <c r="J21">
        <v>140.477</v>
      </c>
      <c r="K21">
        <v>144.197</v>
      </c>
      <c r="L21">
        <v>148.36500000000001</v>
      </c>
      <c r="M21">
        <v>153.09200000000001</v>
      </c>
      <c r="N21">
        <v>157.98400000000001</v>
      </c>
      <c r="O21">
        <v>162.65799999999999</v>
      </c>
      <c r="P21">
        <v>167.17699999999999</v>
      </c>
      <c r="Q21">
        <v>171.696</v>
      </c>
      <c r="R21">
        <v>176.12100000000001</v>
      </c>
      <c r="S21">
        <v>180.501</v>
      </c>
      <c r="T21">
        <v>184.774</v>
      </c>
      <c r="U21">
        <v>188.869</v>
      </c>
      <c r="V21">
        <v>192.66499999999999</v>
      </c>
      <c r="W21">
        <v>196.30600000000001</v>
      </c>
      <c r="X21">
        <v>199.96700000000001</v>
      </c>
      <c r="Y21">
        <v>203.607</v>
      </c>
      <c r="Z21">
        <v>207.37799999999999</v>
      </c>
      <c r="AA21">
        <v>211.256</v>
      </c>
      <c r="AB21">
        <v>215.19499999999999</v>
      </c>
      <c r="AC21">
        <v>219.249</v>
      </c>
    </row>
    <row r="22" spans="1:29" x14ac:dyDescent="0.3">
      <c r="A22" t="s">
        <v>146</v>
      </c>
      <c r="B22" t="s">
        <v>128</v>
      </c>
      <c r="C22">
        <v>124.346</v>
      </c>
      <c r="D22">
        <v>123.224</v>
      </c>
      <c r="E22">
        <v>122.492</v>
      </c>
      <c r="F22">
        <v>125.16200000000001</v>
      </c>
      <c r="G22">
        <v>127.40600000000001</v>
      </c>
      <c r="H22">
        <v>129.71100000000001</v>
      </c>
      <c r="I22">
        <v>132.173</v>
      </c>
      <c r="J22">
        <v>134.56200000000001</v>
      </c>
      <c r="K22">
        <v>137.976</v>
      </c>
      <c r="L22">
        <v>141.83199999999999</v>
      </c>
      <c r="M22">
        <v>146.27000000000001</v>
      </c>
      <c r="N22">
        <v>151.03200000000001</v>
      </c>
      <c r="O22">
        <v>155.256</v>
      </c>
      <c r="P22">
        <v>159.37799999999999</v>
      </c>
      <c r="Q22">
        <v>163.49600000000001</v>
      </c>
      <c r="R22">
        <v>167.60400000000001</v>
      </c>
      <c r="S22">
        <v>171.63399999999999</v>
      </c>
      <c r="T22">
        <v>175.41</v>
      </c>
      <c r="U22">
        <v>178.78</v>
      </c>
      <c r="V22">
        <v>181.738</v>
      </c>
      <c r="W22">
        <v>184.67699999999999</v>
      </c>
      <c r="X22">
        <v>187.73599999999999</v>
      </c>
      <c r="Y22">
        <v>190.428</v>
      </c>
      <c r="Z22">
        <v>193.267</v>
      </c>
      <c r="AA22">
        <v>196.10499999999999</v>
      </c>
      <c r="AB22">
        <v>199.066</v>
      </c>
      <c r="AC22">
        <v>201.97</v>
      </c>
    </row>
    <row r="23" spans="1:29" x14ac:dyDescent="0.3">
      <c r="A23" t="s">
        <v>147</v>
      </c>
      <c r="B23" t="s">
        <v>129</v>
      </c>
      <c r="C23">
        <v>146.60900000000001</v>
      </c>
      <c r="D23">
        <v>144.29300000000001</v>
      </c>
      <c r="E23">
        <v>142.92099999999999</v>
      </c>
      <c r="F23">
        <v>146.24799999999999</v>
      </c>
      <c r="G23">
        <v>149.285</v>
      </c>
      <c r="H23">
        <v>152.27000000000001</v>
      </c>
      <c r="I23">
        <v>155.203</v>
      </c>
      <c r="J23">
        <v>158.01400000000001</v>
      </c>
      <c r="K23">
        <v>161.83600000000001</v>
      </c>
      <c r="L23">
        <v>166.08199999999999</v>
      </c>
      <c r="M23">
        <v>170.96100000000001</v>
      </c>
      <c r="N23">
        <v>175.84399999999999</v>
      </c>
      <c r="O23">
        <v>180.59100000000001</v>
      </c>
      <c r="P23">
        <v>185.541</v>
      </c>
      <c r="Q23">
        <v>190.21299999999999</v>
      </c>
      <c r="R23">
        <v>194.94</v>
      </c>
      <c r="S23">
        <v>199.44800000000001</v>
      </c>
      <c r="T23">
        <v>203.58</v>
      </c>
      <c r="U23">
        <v>207.39400000000001</v>
      </c>
      <c r="V23">
        <v>210.928</v>
      </c>
      <c r="W23">
        <v>214.57499999999999</v>
      </c>
      <c r="X23">
        <v>218.03299999999999</v>
      </c>
      <c r="Y23">
        <v>221.31</v>
      </c>
      <c r="Z23">
        <v>224.76</v>
      </c>
      <c r="AA23">
        <v>228.12200000000001</v>
      </c>
      <c r="AB23">
        <v>231.37200000000001</v>
      </c>
      <c r="AC23">
        <v>234.614</v>
      </c>
    </row>
    <row r="24" spans="1:29" x14ac:dyDescent="0.3">
      <c r="A24" t="s">
        <v>79</v>
      </c>
      <c r="B24" t="s">
        <v>130</v>
      </c>
      <c r="C24">
        <v>187.078</v>
      </c>
      <c r="D24">
        <v>185.68799999999999</v>
      </c>
      <c r="E24">
        <v>185.227</v>
      </c>
      <c r="F24">
        <v>189.42099999999999</v>
      </c>
      <c r="G24">
        <v>193.03399999999999</v>
      </c>
      <c r="H24">
        <v>196.673</v>
      </c>
      <c r="I24">
        <v>200.608</v>
      </c>
      <c r="J24">
        <v>204.44300000000001</v>
      </c>
      <c r="K24">
        <v>209.74700000000001</v>
      </c>
      <c r="L24">
        <v>215.54599999999999</v>
      </c>
      <c r="M24">
        <v>222.28100000000001</v>
      </c>
      <c r="N24">
        <v>229.27</v>
      </c>
      <c r="O24">
        <v>235.72499999999999</v>
      </c>
      <c r="P24">
        <v>241.76300000000001</v>
      </c>
      <c r="Q24">
        <v>247.86199999999999</v>
      </c>
      <c r="R24">
        <v>254.005</v>
      </c>
      <c r="S24">
        <v>260.02300000000002</v>
      </c>
      <c r="T24">
        <v>265.47500000000002</v>
      </c>
      <c r="U24">
        <v>270.625</v>
      </c>
      <c r="V24">
        <v>275.30500000000001</v>
      </c>
      <c r="W24">
        <v>279.73200000000003</v>
      </c>
      <c r="X24">
        <v>284.23700000000002</v>
      </c>
      <c r="Y24">
        <v>288.45699999999999</v>
      </c>
      <c r="Z24">
        <v>292.64100000000002</v>
      </c>
      <c r="AA24">
        <v>296.95400000000001</v>
      </c>
      <c r="AB24">
        <v>301.41800000000001</v>
      </c>
      <c r="AC24">
        <v>305.83300000000003</v>
      </c>
    </row>
    <row r="25" spans="1:29" x14ac:dyDescent="0.3">
      <c r="A25" t="s">
        <v>106</v>
      </c>
      <c r="B25" t="s">
        <v>131</v>
      </c>
      <c r="C25">
        <v>79.811000000000007</v>
      </c>
      <c r="D25">
        <v>80.489000000000004</v>
      </c>
      <c r="E25">
        <v>80.683000000000007</v>
      </c>
      <c r="F25">
        <v>81.881</v>
      </c>
      <c r="G25">
        <v>82.977999999999994</v>
      </c>
      <c r="H25">
        <v>84.585999999999999</v>
      </c>
      <c r="I25">
        <v>86.325000000000003</v>
      </c>
      <c r="J25">
        <v>88.302999999999997</v>
      </c>
      <c r="K25">
        <v>90.736000000000004</v>
      </c>
      <c r="L25">
        <v>93.519000000000005</v>
      </c>
      <c r="M25">
        <v>96.727999999999994</v>
      </c>
      <c r="N25">
        <v>100.02</v>
      </c>
      <c r="O25">
        <v>103.068</v>
      </c>
      <c r="P25">
        <v>105.96599999999999</v>
      </c>
      <c r="Q25">
        <v>108.872</v>
      </c>
      <c r="R25">
        <v>111.682</v>
      </c>
      <c r="S25">
        <v>114.52500000000001</v>
      </c>
      <c r="T25">
        <v>117.291</v>
      </c>
      <c r="U25">
        <v>119.89</v>
      </c>
      <c r="V25">
        <v>122.313</v>
      </c>
      <c r="W25">
        <v>124.602</v>
      </c>
      <c r="X25">
        <v>126.94</v>
      </c>
      <c r="Y25">
        <v>129.267</v>
      </c>
      <c r="Z25">
        <v>131.64500000000001</v>
      </c>
      <c r="AA25">
        <v>134.059</v>
      </c>
      <c r="AB25">
        <v>136.60300000000001</v>
      </c>
      <c r="AC25">
        <v>139.16499999999999</v>
      </c>
    </row>
    <row r="26" spans="1:29" x14ac:dyDescent="0.3">
      <c r="A26" t="s">
        <v>148</v>
      </c>
      <c r="B26" t="s">
        <v>132</v>
      </c>
      <c r="C26">
        <v>115.935</v>
      </c>
      <c r="D26">
        <v>116.947</v>
      </c>
      <c r="E26">
        <v>118.036</v>
      </c>
      <c r="F26">
        <v>119.81399999999999</v>
      </c>
      <c r="G26">
        <v>121.434</v>
      </c>
      <c r="H26">
        <v>123.77800000000001</v>
      </c>
      <c r="I26">
        <v>126.404</v>
      </c>
      <c r="J26">
        <v>129.38200000000001</v>
      </c>
      <c r="K26">
        <v>133.09399999999999</v>
      </c>
      <c r="L26">
        <v>137.339</v>
      </c>
      <c r="M26">
        <v>142.315</v>
      </c>
      <c r="N26">
        <v>147.39400000000001</v>
      </c>
      <c r="O26">
        <v>152.05099999999999</v>
      </c>
      <c r="P26">
        <v>156.399</v>
      </c>
      <c r="Q26">
        <v>160.779</v>
      </c>
      <c r="R26">
        <v>165.017</v>
      </c>
      <c r="S26">
        <v>169.33099999999999</v>
      </c>
      <c r="T26">
        <v>173.49600000000001</v>
      </c>
      <c r="U26">
        <v>177.38499999999999</v>
      </c>
      <c r="V26">
        <v>180.98599999999999</v>
      </c>
      <c r="W26">
        <v>184.351</v>
      </c>
      <c r="X26">
        <v>187.85499999999999</v>
      </c>
      <c r="Y26">
        <v>191.23400000000001</v>
      </c>
      <c r="Z26">
        <v>194.72499999999999</v>
      </c>
      <c r="AA26">
        <v>198.26400000000001</v>
      </c>
      <c r="AB26">
        <v>202.04599999999999</v>
      </c>
      <c r="AC26">
        <v>205.85599999999999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034E-1311-4773-8646-7288B855CC12}">
  <dimension ref="A1:I70"/>
  <sheetViews>
    <sheetView workbookViewId="0"/>
  </sheetViews>
  <sheetFormatPr defaultRowHeight="14.4" x14ac:dyDescent="0.3"/>
  <cols>
    <col min="1" max="1" width="20.44140625" customWidth="1"/>
  </cols>
  <sheetData>
    <row r="1" spans="1:9" x14ac:dyDescent="0.3">
      <c r="A1" t="s">
        <v>9</v>
      </c>
      <c r="B1" t="s">
        <v>10</v>
      </c>
    </row>
    <row r="2" spans="1:9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</row>
    <row r="3" spans="1:9" x14ac:dyDescent="0.3">
      <c r="B3">
        <v>2021</v>
      </c>
      <c r="C3">
        <v>2023</v>
      </c>
      <c r="D3">
        <v>2025</v>
      </c>
      <c r="E3">
        <v>2030</v>
      </c>
      <c r="F3">
        <v>2035</v>
      </c>
      <c r="G3">
        <v>2040</v>
      </c>
      <c r="H3">
        <v>2045</v>
      </c>
      <c r="I3">
        <v>2050</v>
      </c>
    </row>
    <row r="4" spans="1:9" x14ac:dyDescent="0.3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 t="s">
        <v>21</v>
      </c>
      <c r="B7">
        <v>347</v>
      </c>
      <c r="C7">
        <v>357</v>
      </c>
      <c r="D7">
        <v>367</v>
      </c>
      <c r="E7">
        <v>386</v>
      </c>
      <c r="F7">
        <v>403</v>
      </c>
      <c r="G7">
        <v>424</v>
      </c>
      <c r="H7">
        <v>444</v>
      </c>
      <c r="I7">
        <v>461</v>
      </c>
    </row>
    <row r="8" spans="1:9" x14ac:dyDescent="0.3">
      <c r="A8" t="s">
        <v>22</v>
      </c>
      <c r="B8">
        <v>28</v>
      </c>
      <c r="C8">
        <v>28</v>
      </c>
      <c r="D8">
        <v>29</v>
      </c>
      <c r="E8">
        <v>31</v>
      </c>
      <c r="F8">
        <v>32</v>
      </c>
      <c r="G8">
        <v>34</v>
      </c>
      <c r="H8">
        <v>35</v>
      </c>
      <c r="I8">
        <v>37</v>
      </c>
    </row>
    <row r="9" spans="1:9" x14ac:dyDescent="0.3">
      <c r="A9" t="s">
        <v>23</v>
      </c>
      <c r="B9">
        <v>231</v>
      </c>
      <c r="C9">
        <v>236</v>
      </c>
      <c r="D9">
        <v>242</v>
      </c>
      <c r="E9">
        <v>254</v>
      </c>
      <c r="F9">
        <v>265</v>
      </c>
      <c r="G9">
        <v>278</v>
      </c>
      <c r="H9">
        <v>290</v>
      </c>
      <c r="I9">
        <v>304</v>
      </c>
    </row>
    <row r="10" spans="1:9" x14ac:dyDescent="0.3">
      <c r="A10" t="s">
        <v>24</v>
      </c>
      <c r="B10">
        <v>31</v>
      </c>
      <c r="C10">
        <v>32</v>
      </c>
      <c r="D10">
        <v>33</v>
      </c>
      <c r="E10">
        <v>34</v>
      </c>
      <c r="F10">
        <v>36</v>
      </c>
      <c r="G10">
        <v>37</v>
      </c>
      <c r="H10">
        <v>39</v>
      </c>
      <c r="I10">
        <v>40</v>
      </c>
    </row>
    <row r="11" spans="1:9" x14ac:dyDescent="0.3">
      <c r="A11" t="s">
        <v>25</v>
      </c>
      <c r="B11">
        <v>36</v>
      </c>
      <c r="C11">
        <v>38</v>
      </c>
      <c r="D11">
        <v>39</v>
      </c>
      <c r="E11">
        <v>40</v>
      </c>
      <c r="F11">
        <v>42</v>
      </c>
      <c r="G11">
        <v>44</v>
      </c>
      <c r="H11">
        <v>46</v>
      </c>
      <c r="I11">
        <v>48</v>
      </c>
    </row>
    <row r="12" spans="1:9" x14ac:dyDescent="0.3">
      <c r="A12" t="s">
        <v>26</v>
      </c>
      <c r="B12">
        <v>22</v>
      </c>
      <c r="C12">
        <v>23</v>
      </c>
      <c r="D12">
        <v>23</v>
      </c>
      <c r="E12">
        <v>24</v>
      </c>
      <c r="F12">
        <v>25</v>
      </c>
      <c r="G12">
        <v>26</v>
      </c>
      <c r="H12">
        <v>27</v>
      </c>
      <c r="I12">
        <v>28</v>
      </c>
    </row>
    <row r="13" spans="1:9" x14ac:dyDescent="0.3">
      <c r="A13" t="s">
        <v>27</v>
      </c>
      <c r="B13">
        <v>22</v>
      </c>
      <c r="C13">
        <v>22</v>
      </c>
      <c r="D13">
        <v>23</v>
      </c>
      <c r="E13">
        <v>23</v>
      </c>
      <c r="F13">
        <v>24</v>
      </c>
      <c r="G13">
        <v>25</v>
      </c>
      <c r="H13">
        <v>26</v>
      </c>
      <c r="I13">
        <v>27</v>
      </c>
    </row>
    <row r="14" spans="1:9" x14ac:dyDescent="0.3">
      <c r="A14" t="s">
        <v>28</v>
      </c>
      <c r="B14">
        <v>48</v>
      </c>
      <c r="C14">
        <v>49</v>
      </c>
      <c r="D14">
        <v>49</v>
      </c>
      <c r="E14">
        <v>51</v>
      </c>
      <c r="F14">
        <v>52</v>
      </c>
      <c r="G14">
        <v>54</v>
      </c>
      <c r="H14">
        <v>56</v>
      </c>
      <c r="I14">
        <v>58</v>
      </c>
    </row>
    <row r="15" spans="1:9" x14ac:dyDescent="0.3">
      <c r="A15" t="s">
        <v>29</v>
      </c>
      <c r="B15">
        <v>97</v>
      </c>
      <c r="C15">
        <v>99</v>
      </c>
      <c r="D15">
        <v>100</v>
      </c>
      <c r="E15">
        <v>103</v>
      </c>
      <c r="F15">
        <v>105</v>
      </c>
      <c r="G15">
        <v>108</v>
      </c>
      <c r="H15">
        <v>112</v>
      </c>
      <c r="I15">
        <v>116</v>
      </c>
    </row>
    <row r="16" spans="1:9" x14ac:dyDescent="0.3">
      <c r="A16" t="s">
        <v>30</v>
      </c>
      <c r="B16">
        <v>46</v>
      </c>
      <c r="C16">
        <v>47</v>
      </c>
      <c r="D16">
        <v>48</v>
      </c>
      <c r="E16">
        <v>51</v>
      </c>
      <c r="F16">
        <v>53</v>
      </c>
      <c r="G16">
        <v>55</v>
      </c>
      <c r="H16">
        <v>58</v>
      </c>
      <c r="I16">
        <v>60</v>
      </c>
    </row>
    <row r="17" spans="1:9" x14ac:dyDescent="0.3">
      <c r="A17" t="s">
        <v>31</v>
      </c>
      <c r="B17">
        <v>100</v>
      </c>
      <c r="C17">
        <v>102</v>
      </c>
      <c r="D17">
        <v>103</v>
      </c>
      <c r="E17">
        <v>105</v>
      </c>
      <c r="F17">
        <v>108</v>
      </c>
      <c r="G17">
        <v>111</v>
      </c>
      <c r="H17">
        <v>115</v>
      </c>
      <c r="I17">
        <v>119</v>
      </c>
    </row>
    <row r="18" spans="1:9" x14ac:dyDescent="0.3">
      <c r="A18" t="s">
        <v>32</v>
      </c>
      <c r="B18">
        <v>8</v>
      </c>
      <c r="C18">
        <v>9</v>
      </c>
      <c r="D18">
        <v>9</v>
      </c>
      <c r="E18">
        <v>9</v>
      </c>
      <c r="F18">
        <v>9</v>
      </c>
      <c r="G18">
        <v>10</v>
      </c>
      <c r="H18">
        <v>10</v>
      </c>
      <c r="I18">
        <v>10</v>
      </c>
    </row>
    <row r="19" spans="1:9" x14ac:dyDescent="0.3">
      <c r="A19" t="s">
        <v>33</v>
      </c>
      <c r="B19">
        <v>30</v>
      </c>
      <c r="C19">
        <v>31</v>
      </c>
      <c r="D19">
        <v>31</v>
      </c>
      <c r="E19">
        <v>32</v>
      </c>
      <c r="F19">
        <v>33</v>
      </c>
      <c r="G19">
        <v>34</v>
      </c>
      <c r="H19">
        <v>35</v>
      </c>
      <c r="I19">
        <v>37</v>
      </c>
    </row>
    <row r="20" spans="1:9" x14ac:dyDescent="0.3">
      <c r="A20" t="s">
        <v>34</v>
      </c>
      <c r="B20">
        <v>90</v>
      </c>
      <c r="C20">
        <v>92</v>
      </c>
      <c r="D20">
        <v>93</v>
      </c>
      <c r="E20">
        <v>96</v>
      </c>
      <c r="F20">
        <v>99</v>
      </c>
      <c r="G20">
        <v>102</v>
      </c>
      <c r="H20">
        <v>106</v>
      </c>
      <c r="I20">
        <v>110</v>
      </c>
    </row>
    <row r="21" spans="1:9" x14ac:dyDescent="0.3">
      <c r="A21" t="s">
        <v>35</v>
      </c>
      <c r="B21">
        <v>41</v>
      </c>
      <c r="C21">
        <v>41</v>
      </c>
      <c r="D21">
        <v>42</v>
      </c>
      <c r="E21">
        <v>43</v>
      </c>
      <c r="F21">
        <v>44</v>
      </c>
      <c r="G21">
        <v>46</v>
      </c>
      <c r="H21">
        <v>47</v>
      </c>
      <c r="I21">
        <v>49</v>
      </c>
    </row>
    <row r="22" spans="1:9" x14ac:dyDescent="0.3">
      <c r="A22" t="s">
        <v>36</v>
      </c>
      <c r="B22">
        <v>32</v>
      </c>
      <c r="C22">
        <v>33</v>
      </c>
      <c r="D22">
        <v>34</v>
      </c>
      <c r="E22">
        <v>36</v>
      </c>
      <c r="F22">
        <v>37</v>
      </c>
      <c r="G22">
        <v>39</v>
      </c>
      <c r="H22">
        <v>41</v>
      </c>
      <c r="I22">
        <v>42</v>
      </c>
    </row>
    <row r="23" spans="1:9" x14ac:dyDescent="0.3">
      <c r="A23" t="s">
        <v>37</v>
      </c>
      <c r="B23">
        <v>55</v>
      </c>
      <c r="C23">
        <v>56</v>
      </c>
      <c r="D23">
        <v>56</v>
      </c>
      <c r="E23">
        <v>58</v>
      </c>
      <c r="F23">
        <v>59</v>
      </c>
      <c r="G23">
        <v>61</v>
      </c>
      <c r="H23">
        <v>63</v>
      </c>
      <c r="I23">
        <v>65</v>
      </c>
    </row>
    <row r="24" spans="1:9" x14ac:dyDescent="0.3">
      <c r="A24" t="s">
        <v>38</v>
      </c>
      <c r="B24">
        <v>30</v>
      </c>
      <c r="C24">
        <v>30</v>
      </c>
      <c r="D24">
        <v>30</v>
      </c>
      <c r="E24">
        <v>31</v>
      </c>
      <c r="F24">
        <v>31</v>
      </c>
      <c r="G24">
        <v>31</v>
      </c>
      <c r="H24">
        <v>31</v>
      </c>
      <c r="I24">
        <v>31</v>
      </c>
    </row>
    <row r="25" spans="1:9" x14ac:dyDescent="0.3">
      <c r="A25" t="s">
        <v>39</v>
      </c>
      <c r="B25">
        <v>11</v>
      </c>
      <c r="C25">
        <v>11</v>
      </c>
      <c r="D25">
        <v>11</v>
      </c>
      <c r="E25">
        <v>11</v>
      </c>
      <c r="F25">
        <v>11</v>
      </c>
      <c r="G25">
        <v>11</v>
      </c>
      <c r="H25">
        <v>11</v>
      </c>
      <c r="I25">
        <v>11</v>
      </c>
    </row>
    <row r="26" spans="1:9" x14ac:dyDescent="0.3">
      <c r="A26" t="s">
        <v>40</v>
      </c>
      <c r="B26">
        <v>78</v>
      </c>
      <c r="C26">
        <v>79</v>
      </c>
      <c r="D26">
        <v>79</v>
      </c>
      <c r="E26">
        <v>79</v>
      </c>
      <c r="F26">
        <v>80</v>
      </c>
      <c r="G26">
        <v>81</v>
      </c>
      <c r="H26">
        <v>81</v>
      </c>
      <c r="I26">
        <v>81</v>
      </c>
    </row>
    <row r="27" spans="1:9" x14ac:dyDescent="0.3">
      <c r="A27" t="s">
        <v>41</v>
      </c>
      <c r="B27">
        <v>15</v>
      </c>
      <c r="C27">
        <v>15</v>
      </c>
      <c r="D27">
        <v>15</v>
      </c>
      <c r="E27">
        <v>15</v>
      </c>
      <c r="F27">
        <v>15</v>
      </c>
      <c r="G27">
        <v>15</v>
      </c>
      <c r="H27">
        <v>15</v>
      </c>
      <c r="I27">
        <v>15</v>
      </c>
    </row>
    <row r="28" spans="1:9" x14ac:dyDescent="0.3">
      <c r="A28" t="s">
        <v>42</v>
      </c>
      <c r="B28">
        <v>9</v>
      </c>
      <c r="C28">
        <v>9</v>
      </c>
      <c r="D28">
        <v>10</v>
      </c>
      <c r="E28">
        <v>9</v>
      </c>
      <c r="F28">
        <v>9</v>
      </c>
      <c r="G28">
        <v>9</v>
      </c>
      <c r="H28">
        <v>9</v>
      </c>
      <c r="I28">
        <v>10</v>
      </c>
    </row>
    <row r="29" spans="1:9" x14ac:dyDescent="0.3">
      <c r="A29" t="s">
        <v>43</v>
      </c>
      <c r="B29">
        <v>23</v>
      </c>
      <c r="C29">
        <v>23</v>
      </c>
      <c r="D29">
        <v>23</v>
      </c>
      <c r="E29">
        <v>23</v>
      </c>
      <c r="F29">
        <v>23</v>
      </c>
      <c r="G29">
        <v>23</v>
      </c>
      <c r="H29">
        <v>23</v>
      </c>
      <c r="I29">
        <v>23</v>
      </c>
    </row>
    <row r="30" spans="1:9" x14ac:dyDescent="0.3">
      <c r="A30" t="s">
        <v>44</v>
      </c>
      <c r="B30">
        <v>6</v>
      </c>
      <c r="C30">
        <v>6</v>
      </c>
      <c r="D30">
        <v>6</v>
      </c>
      <c r="E30">
        <v>6</v>
      </c>
      <c r="F30">
        <v>6</v>
      </c>
      <c r="G30">
        <v>6</v>
      </c>
      <c r="H30">
        <v>6</v>
      </c>
      <c r="I30">
        <v>6</v>
      </c>
    </row>
    <row r="31" spans="1:9" x14ac:dyDescent="0.3">
      <c r="A31" t="s">
        <v>45</v>
      </c>
      <c r="B31">
        <v>11</v>
      </c>
      <c r="C31">
        <v>11</v>
      </c>
      <c r="D31">
        <v>11</v>
      </c>
      <c r="E31">
        <v>11</v>
      </c>
      <c r="F31">
        <v>11</v>
      </c>
      <c r="G31">
        <v>11</v>
      </c>
      <c r="H31">
        <v>11</v>
      </c>
      <c r="I31">
        <v>11</v>
      </c>
    </row>
    <row r="32" spans="1:9" x14ac:dyDescent="0.3">
      <c r="A32" t="s">
        <v>47</v>
      </c>
      <c r="B32">
        <v>18</v>
      </c>
      <c r="C32">
        <v>18</v>
      </c>
      <c r="D32">
        <v>19</v>
      </c>
      <c r="E32">
        <v>18</v>
      </c>
      <c r="F32">
        <v>18</v>
      </c>
      <c r="G32">
        <v>18</v>
      </c>
      <c r="H32">
        <v>18</v>
      </c>
      <c r="I32">
        <v>19</v>
      </c>
    </row>
    <row r="33" spans="1:9" x14ac:dyDescent="0.3">
      <c r="A33" t="s">
        <v>49</v>
      </c>
      <c r="B33">
        <v>51</v>
      </c>
      <c r="C33">
        <v>51</v>
      </c>
      <c r="D33">
        <v>51</v>
      </c>
      <c r="E33">
        <v>50</v>
      </c>
      <c r="F33">
        <v>49</v>
      </c>
      <c r="G33">
        <v>49</v>
      </c>
      <c r="H33">
        <v>49</v>
      </c>
      <c r="I33">
        <v>50</v>
      </c>
    </row>
    <row r="34" spans="1:9" x14ac:dyDescent="0.3">
      <c r="A34" t="s">
        <v>51</v>
      </c>
      <c r="B34">
        <v>22</v>
      </c>
      <c r="C34">
        <v>22</v>
      </c>
      <c r="D34">
        <v>22</v>
      </c>
      <c r="E34">
        <v>22</v>
      </c>
      <c r="F34">
        <v>22</v>
      </c>
      <c r="G34">
        <v>22</v>
      </c>
      <c r="H34">
        <v>22</v>
      </c>
      <c r="I34">
        <v>22</v>
      </c>
    </row>
    <row r="35" spans="1:9" x14ac:dyDescent="0.3">
      <c r="A35" t="s">
        <v>69</v>
      </c>
      <c r="B35">
        <v>48</v>
      </c>
      <c r="C35">
        <v>49</v>
      </c>
      <c r="D35">
        <v>49</v>
      </c>
      <c r="E35">
        <v>50</v>
      </c>
      <c r="F35">
        <v>51</v>
      </c>
      <c r="G35">
        <v>53</v>
      </c>
      <c r="H35">
        <v>54</v>
      </c>
      <c r="I35">
        <v>56</v>
      </c>
    </row>
    <row r="36" spans="1:9" x14ac:dyDescent="0.3">
      <c r="A36" t="s">
        <v>71</v>
      </c>
      <c r="B36">
        <v>70</v>
      </c>
      <c r="C36">
        <v>71</v>
      </c>
      <c r="D36">
        <v>72</v>
      </c>
      <c r="E36">
        <v>74</v>
      </c>
      <c r="F36">
        <v>75</v>
      </c>
      <c r="G36">
        <v>78</v>
      </c>
      <c r="H36">
        <v>80</v>
      </c>
      <c r="I36">
        <v>83</v>
      </c>
    </row>
    <row r="37" spans="1:9" x14ac:dyDescent="0.3">
      <c r="A37" t="s">
        <v>70</v>
      </c>
      <c r="B37">
        <v>102</v>
      </c>
      <c r="C37">
        <v>104</v>
      </c>
      <c r="D37">
        <v>106</v>
      </c>
      <c r="E37">
        <v>108</v>
      </c>
      <c r="F37">
        <v>110</v>
      </c>
      <c r="G37">
        <v>113</v>
      </c>
      <c r="H37">
        <v>117</v>
      </c>
      <c r="I37">
        <v>121</v>
      </c>
    </row>
    <row r="38" spans="1:9" x14ac:dyDescent="0.3">
      <c r="A38" t="s">
        <v>56</v>
      </c>
      <c r="B38">
        <v>97</v>
      </c>
      <c r="C38">
        <v>100</v>
      </c>
      <c r="D38">
        <v>102</v>
      </c>
      <c r="E38">
        <v>107</v>
      </c>
      <c r="F38">
        <v>111</v>
      </c>
      <c r="G38">
        <v>116</v>
      </c>
      <c r="H38">
        <v>121</v>
      </c>
      <c r="I38">
        <v>126</v>
      </c>
    </row>
    <row r="39" spans="1:9" x14ac:dyDescent="0.3">
      <c r="A39" t="s">
        <v>53</v>
      </c>
      <c r="B39">
        <v>139</v>
      </c>
      <c r="C39">
        <v>140</v>
      </c>
      <c r="D39">
        <v>142</v>
      </c>
      <c r="E39">
        <v>143</v>
      </c>
      <c r="F39">
        <v>145</v>
      </c>
      <c r="G39">
        <v>148</v>
      </c>
      <c r="H39">
        <v>150</v>
      </c>
      <c r="I39">
        <v>154</v>
      </c>
    </row>
    <row r="40" spans="1:9" x14ac:dyDescent="0.3">
      <c r="A40" t="s">
        <v>55</v>
      </c>
      <c r="B40">
        <v>17</v>
      </c>
      <c r="C40">
        <v>17</v>
      </c>
      <c r="D40">
        <v>17</v>
      </c>
      <c r="E40">
        <v>17</v>
      </c>
      <c r="F40">
        <v>18</v>
      </c>
      <c r="G40">
        <v>18</v>
      </c>
      <c r="H40">
        <v>18</v>
      </c>
      <c r="I40">
        <v>19</v>
      </c>
    </row>
    <row r="41" spans="1:9" x14ac:dyDescent="0.3">
      <c r="A41" t="s">
        <v>54</v>
      </c>
      <c r="B41">
        <v>64</v>
      </c>
      <c r="C41">
        <v>64</v>
      </c>
      <c r="D41">
        <v>65</v>
      </c>
      <c r="E41">
        <v>65</v>
      </c>
      <c r="F41">
        <v>66</v>
      </c>
      <c r="G41">
        <v>68</v>
      </c>
      <c r="H41">
        <v>69</v>
      </c>
      <c r="I41">
        <v>71</v>
      </c>
    </row>
    <row r="42" spans="1:9" x14ac:dyDescent="0.3">
      <c r="A42" t="s">
        <v>68</v>
      </c>
      <c r="B42">
        <v>212</v>
      </c>
      <c r="C42">
        <v>217</v>
      </c>
      <c r="D42">
        <v>220</v>
      </c>
      <c r="E42">
        <v>225</v>
      </c>
      <c r="F42">
        <v>230</v>
      </c>
      <c r="G42">
        <v>237</v>
      </c>
      <c r="H42">
        <v>244</v>
      </c>
      <c r="I42">
        <v>253</v>
      </c>
    </row>
    <row r="43" spans="1:9" x14ac:dyDescent="0.3">
      <c r="A43" t="s">
        <v>52</v>
      </c>
      <c r="B43">
        <v>55</v>
      </c>
      <c r="C43">
        <v>56</v>
      </c>
      <c r="D43">
        <v>56</v>
      </c>
      <c r="E43">
        <v>57</v>
      </c>
      <c r="F43">
        <v>58</v>
      </c>
      <c r="G43">
        <v>59</v>
      </c>
      <c r="H43">
        <v>60</v>
      </c>
      <c r="I43">
        <v>62</v>
      </c>
    </row>
    <row r="44" spans="1:9" x14ac:dyDescent="0.3">
      <c r="A44" t="s">
        <v>58</v>
      </c>
      <c r="B44">
        <v>32</v>
      </c>
      <c r="C44">
        <v>33</v>
      </c>
      <c r="D44">
        <v>34</v>
      </c>
      <c r="E44">
        <v>35</v>
      </c>
      <c r="F44">
        <v>36</v>
      </c>
      <c r="G44">
        <v>38</v>
      </c>
      <c r="H44">
        <v>39</v>
      </c>
      <c r="I44">
        <v>40</v>
      </c>
    </row>
    <row r="45" spans="1:9" x14ac:dyDescent="0.3">
      <c r="A45" t="s">
        <v>61</v>
      </c>
      <c r="B45">
        <v>179</v>
      </c>
      <c r="C45">
        <v>184</v>
      </c>
      <c r="D45">
        <v>188</v>
      </c>
      <c r="E45">
        <v>194</v>
      </c>
      <c r="F45">
        <v>200</v>
      </c>
      <c r="G45">
        <v>207</v>
      </c>
      <c r="H45">
        <v>214</v>
      </c>
      <c r="I45">
        <v>222</v>
      </c>
    </row>
    <row r="46" spans="1:9" x14ac:dyDescent="0.3">
      <c r="A46" t="s">
        <v>60</v>
      </c>
      <c r="B46">
        <v>18</v>
      </c>
      <c r="C46">
        <v>19</v>
      </c>
      <c r="D46">
        <v>19</v>
      </c>
      <c r="E46">
        <v>19</v>
      </c>
      <c r="F46">
        <v>20</v>
      </c>
      <c r="G46">
        <v>21</v>
      </c>
      <c r="H46">
        <v>21</v>
      </c>
      <c r="I46">
        <v>22</v>
      </c>
    </row>
    <row r="47" spans="1:9" x14ac:dyDescent="0.3">
      <c r="A47" t="s">
        <v>62</v>
      </c>
      <c r="B47">
        <v>250</v>
      </c>
      <c r="C47">
        <v>258</v>
      </c>
      <c r="D47">
        <v>263</v>
      </c>
      <c r="E47">
        <v>274</v>
      </c>
      <c r="F47">
        <v>283</v>
      </c>
      <c r="G47">
        <v>295</v>
      </c>
      <c r="H47">
        <v>306</v>
      </c>
      <c r="I47">
        <v>318</v>
      </c>
    </row>
    <row r="48" spans="1:9" x14ac:dyDescent="0.3">
      <c r="A48" t="s">
        <v>57</v>
      </c>
      <c r="B48">
        <v>225</v>
      </c>
      <c r="C48">
        <v>231</v>
      </c>
      <c r="D48">
        <v>236</v>
      </c>
      <c r="E48">
        <v>247</v>
      </c>
      <c r="F48">
        <v>256</v>
      </c>
      <c r="G48">
        <v>268</v>
      </c>
      <c r="H48">
        <v>279</v>
      </c>
      <c r="I48">
        <v>292</v>
      </c>
    </row>
    <row r="49" spans="1:9" x14ac:dyDescent="0.3">
      <c r="A49" t="s">
        <v>100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">
      <c r="A50" t="s">
        <v>64</v>
      </c>
      <c r="B50">
        <v>71</v>
      </c>
      <c r="C50">
        <v>72</v>
      </c>
      <c r="D50">
        <v>74</v>
      </c>
      <c r="E50">
        <v>76</v>
      </c>
      <c r="F50">
        <v>79</v>
      </c>
      <c r="G50">
        <v>82</v>
      </c>
      <c r="H50">
        <v>85</v>
      </c>
      <c r="I50">
        <v>88</v>
      </c>
    </row>
    <row r="51" spans="1:9" x14ac:dyDescent="0.3">
      <c r="A51" t="s">
        <v>72</v>
      </c>
      <c r="B51">
        <v>34</v>
      </c>
      <c r="C51">
        <v>34</v>
      </c>
      <c r="D51">
        <v>35</v>
      </c>
      <c r="E51">
        <v>36</v>
      </c>
      <c r="F51">
        <v>37</v>
      </c>
      <c r="G51">
        <v>38</v>
      </c>
      <c r="H51">
        <v>40</v>
      </c>
      <c r="I51">
        <v>41</v>
      </c>
    </row>
    <row r="52" spans="1:9" x14ac:dyDescent="0.3">
      <c r="A52" t="s">
        <v>66</v>
      </c>
      <c r="B52">
        <v>30</v>
      </c>
      <c r="C52">
        <v>31</v>
      </c>
      <c r="D52">
        <v>32</v>
      </c>
      <c r="E52">
        <v>33</v>
      </c>
      <c r="F52">
        <v>34</v>
      </c>
      <c r="G52">
        <v>36</v>
      </c>
      <c r="H52">
        <v>38</v>
      </c>
      <c r="I52">
        <v>39</v>
      </c>
    </row>
    <row r="53" spans="1:9" x14ac:dyDescent="0.3">
      <c r="A53" t="s">
        <v>73</v>
      </c>
      <c r="B53">
        <v>23</v>
      </c>
      <c r="C53">
        <v>23</v>
      </c>
      <c r="D53">
        <v>24</v>
      </c>
      <c r="E53">
        <v>25</v>
      </c>
      <c r="F53">
        <v>25</v>
      </c>
      <c r="G53">
        <v>26</v>
      </c>
      <c r="H53">
        <v>27</v>
      </c>
      <c r="I53">
        <v>28</v>
      </c>
    </row>
    <row r="54" spans="1:9" x14ac:dyDescent="0.3">
      <c r="A54" t="s">
        <v>65</v>
      </c>
      <c r="B54">
        <v>131</v>
      </c>
      <c r="C54">
        <v>135</v>
      </c>
      <c r="D54">
        <v>139</v>
      </c>
      <c r="E54">
        <v>145</v>
      </c>
      <c r="F54">
        <v>151</v>
      </c>
      <c r="G54">
        <v>159</v>
      </c>
      <c r="H54">
        <v>166</v>
      </c>
      <c r="I54">
        <v>172</v>
      </c>
    </row>
    <row r="55" spans="1:9" x14ac:dyDescent="0.3">
      <c r="A55" t="s">
        <v>80</v>
      </c>
      <c r="B55">
        <v>14</v>
      </c>
      <c r="C55">
        <v>14</v>
      </c>
      <c r="D55">
        <v>14</v>
      </c>
      <c r="E55">
        <v>14</v>
      </c>
      <c r="F55">
        <v>14</v>
      </c>
      <c r="G55">
        <v>15</v>
      </c>
      <c r="H55">
        <v>15</v>
      </c>
      <c r="I55">
        <v>15</v>
      </c>
    </row>
    <row r="56" spans="1:9" x14ac:dyDescent="0.3">
      <c r="A56" t="s">
        <v>74</v>
      </c>
      <c r="B56">
        <v>112</v>
      </c>
      <c r="C56">
        <v>112</v>
      </c>
      <c r="D56">
        <v>112</v>
      </c>
      <c r="E56">
        <v>112</v>
      </c>
      <c r="F56">
        <v>113</v>
      </c>
      <c r="G56">
        <v>116</v>
      </c>
      <c r="H56">
        <v>118</v>
      </c>
      <c r="I56">
        <v>120</v>
      </c>
    </row>
    <row r="57" spans="1:9" x14ac:dyDescent="0.3">
      <c r="A57" t="s">
        <v>75</v>
      </c>
      <c r="B57">
        <v>28</v>
      </c>
      <c r="C57">
        <v>27</v>
      </c>
      <c r="D57">
        <v>27</v>
      </c>
      <c r="E57">
        <v>27</v>
      </c>
      <c r="F57">
        <v>28</v>
      </c>
      <c r="G57">
        <v>28</v>
      </c>
      <c r="H57">
        <v>29</v>
      </c>
      <c r="I57">
        <v>29</v>
      </c>
    </row>
    <row r="58" spans="1:9" x14ac:dyDescent="0.3">
      <c r="A58" t="s">
        <v>76</v>
      </c>
      <c r="B58">
        <v>22</v>
      </c>
      <c r="C58">
        <v>22</v>
      </c>
      <c r="D58">
        <v>22</v>
      </c>
      <c r="E58">
        <v>21</v>
      </c>
      <c r="F58">
        <v>22</v>
      </c>
      <c r="G58">
        <v>22</v>
      </c>
      <c r="H58">
        <v>23</v>
      </c>
      <c r="I58">
        <v>23</v>
      </c>
    </row>
    <row r="59" spans="1:9" x14ac:dyDescent="0.3">
      <c r="A59" t="s">
        <v>87</v>
      </c>
      <c r="B59">
        <v>88</v>
      </c>
      <c r="C59">
        <v>90</v>
      </c>
      <c r="D59">
        <v>92</v>
      </c>
      <c r="E59">
        <v>97</v>
      </c>
      <c r="F59">
        <v>101</v>
      </c>
      <c r="G59">
        <v>105</v>
      </c>
      <c r="H59">
        <v>108</v>
      </c>
      <c r="I59">
        <v>112</v>
      </c>
    </row>
    <row r="60" spans="1:9" x14ac:dyDescent="0.3">
      <c r="A60" t="s">
        <v>67</v>
      </c>
      <c r="B60">
        <v>62</v>
      </c>
      <c r="C60">
        <v>64</v>
      </c>
      <c r="D60">
        <v>65</v>
      </c>
      <c r="E60">
        <v>68</v>
      </c>
      <c r="F60">
        <v>71</v>
      </c>
      <c r="G60">
        <v>74</v>
      </c>
      <c r="H60">
        <v>76</v>
      </c>
      <c r="I60">
        <v>78</v>
      </c>
    </row>
    <row r="61" spans="1:9" x14ac:dyDescent="0.3">
      <c r="A61" t="s">
        <v>81</v>
      </c>
      <c r="B61">
        <v>22</v>
      </c>
      <c r="C61">
        <v>23</v>
      </c>
      <c r="D61">
        <v>23</v>
      </c>
      <c r="E61">
        <v>23</v>
      </c>
      <c r="F61">
        <v>24</v>
      </c>
      <c r="G61">
        <v>25</v>
      </c>
      <c r="H61">
        <v>25</v>
      </c>
      <c r="I61">
        <v>26</v>
      </c>
    </row>
    <row r="62" spans="1:9" x14ac:dyDescent="0.3">
      <c r="A62" t="s">
        <v>89</v>
      </c>
      <c r="B62">
        <v>4</v>
      </c>
      <c r="C62">
        <v>5</v>
      </c>
      <c r="D62">
        <v>5</v>
      </c>
      <c r="E62">
        <v>5</v>
      </c>
      <c r="F62">
        <v>5</v>
      </c>
      <c r="G62">
        <v>5</v>
      </c>
      <c r="H62">
        <v>5</v>
      </c>
      <c r="I62">
        <v>5</v>
      </c>
    </row>
    <row r="63" spans="1:9" x14ac:dyDescent="0.3">
      <c r="A63" t="s">
        <v>78</v>
      </c>
      <c r="B63">
        <v>13</v>
      </c>
      <c r="C63">
        <v>13</v>
      </c>
      <c r="D63">
        <v>13</v>
      </c>
      <c r="E63">
        <v>13</v>
      </c>
      <c r="F63">
        <v>14</v>
      </c>
      <c r="G63">
        <v>14</v>
      </c>
      <c r="H63">
        <v>14</v>
      </c>
      <c r="I63">
        <v>15</v>
      </c>
    </row>
    <row r="64" spans="1:9" x14ac:dyDescent="0.3">
      <c r="A64" t="s">
        <v>88</v>
      </c>
      <c r="B64">
        <v>23</v>
      </c>
      <c r="C64">
        <v>24</v>
      </c>
      <c r="D64">
        <v>24</v>
      </c>
      <c r="E64">
        <v>25</v>
      </c>
      <c r="F64">
        <v>26</v>
      </c>
      <c r="G64">
        <v>28</v>
      </c>
      <c r="H64">
        <v>28</v>
      </c>
      <c r="I64">
        <v>29</v>
      </c>
    </row>
    <row r="65" spans="1:9" x14ac:dyDescent="0.3">
      <c r="A65" t="s">
        <v>82</v>
      </c>
      <c r="B65">
        <v>13</v>
      </c>
      <c r="C65">
        <v>13</v>
      </c>
      <c r="D65">
        <v>13</v>
      </c>
      <c r="E65">
        <v>13</v>
      </c>
      <c r="F65">
        <v>13</v>
      </c>
      <c r="G65">
        <v>14</v>
      </c>
      <c r="H65">
        <v>14</v>
      </c>
      <c r="I65">
        <v>14</v>
      </c>
    </row>
    <row r="66" spans="1:9" x14ac:dyDescent="0.3">
      <c r="A66" t="s">
        <v>85</v>
      </c>
      <c r="B66">
        <v>173</v>
      </c>
      <c r="C66">
        <v>175</v>
      </c>
      <c r="D66">
        <v>176</v>
      </c>
      <c r="E66">
        <v>179</v>
      </c>
      <c r="F66">
        <v>184</v>
      </c>
      <c r="G66">
        <v>189</v>
      </c>
      <c r="H66">
        <v>194</v>
      </c>
      <c r="I66">
        <v>199</v>
      </c>
    </row>
    <row r="67" spans="1:9" x14ac:dyDescent="0.3">
      <c r="A67" t="s">
        <v>77</v>
      </c>
      <c r="B67">
        <v>110</v>
      </c>
      <c r="C67">
        <v>110</v>
      </c>
      <c r="D67">
        <v>109</v>
      </c>
      <c r="E67">
        <v>109</v>
      </c>
      <c r="F67">
        <v>110</v>
      </c>
      <c r="G67">
        <v>113</v>
      </c>
      <c r="H67">
        <v>115</v>
      </c>
      <c r="I67">
        <v>118</v>
      </c>
    </row>
    <row r="68" spans="1:9" x14ac:dyDescent="0.3">
      <c r="A68" t="s">
        <v>83</v>
      </c>
      <c r="B68">
        <v>26</v>
      </c>
      <c r="C68">
        <v>27</v>
      </c>
      <c r="D68">
        <v>27</v>
      </c>
      <c r="E68">
        <v>29</v>
      </c>
      <c r="F68">
        <v>30</v>
      </c>
      <c r="G68">
        <v>31</v>
      </c>
      <c r="H68">
        <v>32</v>
      </c>
      <c r="I68">
        <v>33</v>
      </c>
    </row>
    <row r="69" spans="1:9" x14ac:dyDescent="0.3">
      <c r="A69" t="s">
        <v>84</v>
      </c>
      <c r="B69">
        <v>28</v>
      </c>
      <c r="C69">
        <v>28</v>
      </c>
      <c r="D69">
        <v>28</v>
      </c>
      <c r="E69">
        <v>29</v>
      </c>
      <c r="F69">
        <v>29</v>
      </c>
      <c r="G69">
        <v>30</v>
      </c>
      <c r="H69">
        <v>31</v>
      </c>
      <c r="I69">
        <v>32</v>
      </c>
    </row>
    <row r="70" spans="1:9" x14ac:dyDescent="0.3">
      <c r="A70" t="s">
        <v>86</v>
      </c>
      <c r="B70">
        <v>17</v>
      </c>
      <c r="C70">
        <v>17</v>
      </c>
      <c r="D70">
        <v>18</v>
      </c>
      <c r="E70">
        <v>18</v>
      </c>
      <c r="F70">
        <v>18</v>
      </c>
      <c r="G70">
        <v>19</v>
      </c>
      <c r="H70">
        <v>20</v>
      </c>
      <c r="I70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08CB-714D-4908-ACA4-73ACEAE93BB0}">
  <dimension ref="A1:BV74"/>
  <sheetViews>
    <sheetView workbookViewId="0">
      <selection activeCell="C13" sqref="C13"/>
    </sheetView>
  </sheetViews>
  <sheetFormatPr defaultRowHeight="14.4" x14ac:dyDescent="0.3"/>
  <cols>
    <col min="1" max="1" width="14.44140625" customWidth="1"/>
    <col min="2" max="3" width="13.33203125" customWidth="1"/>
    <col min="12" max="12" width="13.33203125" customWidth="1"/>
  </cols>
  <sheetData>
    <row r="1" spans="1:74" x14ac:dyDescent="0.3">
      <c r="F1" s="16" t="s">
        <v>150</v>
      </c>
      <c r="G1" s="16"/>
      <c r="H1" s="16"/>
      <c r="I1" s="16"/>
      <c r="J1" s="16"/>
      <c r="K1" s="16"/>
      <c r="L1" s="16"/>
      <c r="M1" s="16"/>
      <c r="N1" s="16" t="s">
        <v>155</v>
      </c>
      <c r="O1" s="16"/>
      <c r="P1" s="16"/>
      <c r="Q1" s="16"/>
      <c r="R1" s="16"/>
      <c r="S1" s="16"/>
      <c r="T1" s="16"/>
      <c r="U1" s="16"/>
      <c r="Z1" s="15" t="s">
        <v>152</v>
      </c>
      <c r="AA1" s="15"/>
      <c r="AB1" s="15"/>
      <c r="AC1" s="15"/>
      <c r="AD1" s="15"/>
      <c r="AE1" s="15"/>
      <c r="AF1" s="15"/>
      <c r="AG1" s="15"/>
      <c r="AJ1" s="15" t="s">
        <v>154</v>
      </c>
      <c r="AK1" s="15"/>
      <c r="AL1" s="15"/>
      <c r="AM1" s="15"/>
      <c r="AN1" s="15"/>
      <c r="AO1" s="15"/>
      <c r="AP1" s="15"/>
      <c r="AQ1" s="15"/>
      <c r="AS1" s="15" t="s">
        <v>156</v>
      </c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</row>
    <row r="2" spans="1:74" s="10" customFormat="1" ht="43.2" x14ac:dyDescent="0.3">
      <c r="A2" s="10" t="s">
        <v>90</v>
      </c>
      <c r="B2" s="10" t="s">
        <v>91</v>
      </c>
      <c r="D2" s="10" t="s">
        <v>92</v>
      </c>
      <c r="E2" s="10" t="s">
        <v>93</v>
      </c>
      <c r="F2" s="2">
        <v>2021</v>
      </c>
      <c r="G2" s="2">
        <v>2023</v>
      </c>
      <c r="H2" s="2">
        <v>2025</v>
      </c>
      <c r="I2" s="2">
        <v>2030</v>
      </c>
      <c r="J2" s="2">
        <v>2035</v>
      </c>
      <c r="K2" s="2">
        <v>2040</v>
      </c>
      <c r="L2" s="2">
        <v>2045</v>
      </c>
      <c r="M2" s="2">
        <v>2050</v>
      </c>
      <c r="N2" s="2">
        <v>2021</v>
      </c>
      <c r="O2" s="2">
        <v>2023</v>
      </c>
      <c r="P2" s="2">
        <v>2025</v>
      </c>
      <c r="Q2" s="2">
        <v>2030</v>
      </c>
      <c r="R2" s="2">
        <v>2035</v>
      </c>
      <c r="S2" s="2">
        <v>2040</v>
      </c>
      <c r="T2" s="2">
        <v>2045</v>
      </c>
      <c r="U2" s="2">
        <v>2050</v>
      </c>
      <c r="Z2" s="2">
        <v>2021</v>
      </c>
      <c r="AA2" s="2">
        <v>2023</v>
      </c>
      <c r="AB2" s="2">
        <v>2025</v>
      </c>
      <c r="AC2" s="2">
        <v>2030</v>
      </c>
      <c r="AD2" s="2">
        <v>2035</v>
      </c>
      <c r="AE2" s="2">
        <v>2040</v>
      </c>
      <c r="AF2" s="2">
        <v>2045</v>
      </c>
      <c r="AG2" s="2">
        <v>2050</v>
      </c>
      <c r="AJ2" s="2">
        <v>2021</v>
      </c>
      <c r="AK2" s="2">
        <v>2023</v>
      </c>
      <c r="AL2" s="2">
        <v>2025</v>
      </c>
      <c r="AM2" s="2">
        <v>2030</v>
      </c>
      <c r="AN2" s="2">
        <v>2035</v>
      </c>
      <c r="AO2" s="2">
        <v>2040</v>
      </c>
      <c r="AP2" s="2">
        <v>2045</v>
      </c>
      <c r="AQ2" s="2">
        <v>2050</v>
      </c>
      <c r="AS2" s="10">
        <v>2021</v>
      </c>
      <c r="AT2" s="10">
        <v>2022</v>
      </c>
      <c r="AU2" s="10">
        <v>2023</v>
      </c>
      <c r="AV2" s="10">
        <v>2024</v>
      </c>
      <c r="AW2" s="10">
        <v>2025</v>
      </c>
      <c r="AX2" s="10">
        <v>2026</v>
      </c>
      <c r="AY2" s="10">
        <v>2027</v>
      </c>
      <c r="AZ2" s="10">
        <v>2028</v>
      </c>
      <c r="BA2" s="10">
        <v>2029</v>
      </c>
      <c r="BB2" s="10">
        <v>2030</v>
      </c>
      <c r="BC2" s="10">
        <v>2031</v>
      </c>
      <c r="BD2" s="10">
        <v>2032</v>
      </c>
      <c r="BE2" s="10">
        <v>2033</v>
      </c>
      <c r="BF2" s="10">
        <v>2034</v>
      </c>
      <c r="BG2" s="10">
        <v>2035</v>
      </c>
      <c r="BH2" s="10">
        <v>2036</v>
      </c>
      <c r="BI2" s="10">
        <v>2037</v>
      </c>
      <c r="BJ2" s="10">
        <v>2038</v>
      </c>
      <c r="BK2" s="10">
        <v>2039</v>
      </c>
      <c r="BL2" s="10">
        <v>2040</v>
      </c>
      <c r="BM2" s="10">
        <v>2041</v>
      </c>
      <c r="BN2" s="10">
        <v>2042</v>
      </c>
      <c r="BO2" s="10">
        <v>2043</v>
      </c>
      <c r="BP2" s="10">
        <v>2044</v>
      </c>
      <c r="BQ2" s="10">
        <v>2045</v>
      </c>
      <c r="BR2" s="10">
        <v>2046</v>
      </c>
      <c r="BS2" s="10">
        <v>2047</v>
      </c>
      <c r="BT2" s="10">
        <v>2048</v>
      </c>
      <c r="BU2" s="10">
        <v>2049</v>
      </c>
      <c r="BV2" s="10">
        <v>2050</v>
      </c>
    </row>
    <row r="3" spans="1:74" x14ac:dyDescent="0.3">
      <c r="A3" t="s">
        <v>20</v>
      </c>
      <c r="B3" t="s">
        <v>104</v>
      </c>
      <c r="D3">
        <v>0.88</v>
      </c>
      <c r="E3">
        <v>0.12</v>
      </c>
      <c r="F3">
        <f>INDEX('IPM Load'!B:B,MATCH('Cost-of-Service Shares'!$A3,'IPM Load'!$A:$A,0))</f>
        <v>0</v>
      </c>
      <c r="G3">
        <f>INDEX('IPM Load'!C:C,MATCH('Cost-of-Service Shares'!$A3,'IPM Load'!$A:$A,0))</f>
        <v>0</v>
      </c>
      <c r="H3">
        <f>INDEX('IPM Load'!D:D,MATCH('Cost-of-Service Shares'!$A3,'IPM Load'!$A:$A,0))</f>
        <v>0</v>
      </c>
      <c r="I3">
        <f>INDEX('IPM Load'!E:E,MATCH('Cost-of-Service Shares'!$A3,'IPM Load'!$A:$A,0))</f>
        <v>0</v>
      </c>
      <c r="J3">
        <f>INDEX('IPM Load'!F:F,MATCH('Cost-of-Service Shares'!$A3,'IPM Load'!$A:$A,0))</f>
        <v>0</v>
      </c>
      <c r="K3">
        <f>INDEX('IPM Load'!G:G,MATCH('Cost-of-Service Shares'!$A3,'IPM Load'!$A:$A,0))</f>
        <v>0</v>
      </c>
      <c r="L3">
        <f>INDEX('IPM Load'!H:H,MATCH('Cost-of-Service Shares'!$A3,'IPM Load'!$A:$A,0))</f>
        <v>0</v>
      </c>
      <c r="M3">
        <f>INDEX('IPM Load'!I:I,MATCH('Cost-of-Service Shares'!$A3,'IPM Load'!$A:$A,0))</f>
        <v>0</v>
      </c>
      <c r="N3" s="14">
        <f t="shared" ref="N3:N34" si="0">$E3*F3/INDEX(Z$3:Z$27,MATCH($B3,$Y$3:$Y$27,0))</f>
        <v>0</v>
      </c>
      <c r="O3" s="14">
        <f t="shared" ref="O3:O34" si="1">$E3*G3/INDEX(AA$3:AA$27,MATCH($B3,$Y$3:$Y$27,0))</f>
        <v>0</v>
      </c>
      <c r="P3" s="14">
        <f t="shared" ref="P3:P34" si="2">$E3*H3/INDEX(AB$3:AB$27,MATCH($B3,$Y$3:$Y$27,0))</f>
        <v>0</v>
      </c>
      <c r="Q3" s="14">
        <f t="shared" ref="Q3:Q34" si="3">$E3*I3/INDEX(AC$3:AC$27,MATCH($B3,$Y$3:$Y$27,0))</f>
        <v>0</v>
      </c>
      <c r="R3" s="14">
        <f t="shared" ref="R3:R34" si="4">$E3*J3/INDEX(AD$3:AD$27,MATCH($B3,$Y$3:$Y$27,0))</f>
        <v>0</v>
      </c>
      <c r="S3" s="14">
        <f t="shared" ref="S3:S34" si="5">$E3*K3/INDEX(AE$3:AE$27,MATCH($B3,$Y$3:$Y$27,0))</f>
        <v>0</v>
      </c>
      <c r="T3" s="14">
        <f t="shared" ref="T3:T34" si="6">$E3*L3/INDEX(AF$3:AF$27,MATCH($B3,$Y$3:$Y$27,0))</f>
        <v>0</v>
      </c>
      <c r="U3" s="14">
        <f t="shared" ref="U3:U34" si="7">$E3*M3/INDEX(AG$3:AG$27,MATCH($B3,$Y$3:$Y$27,0))</f>
        <v>0</v>
      </c>
      <c r="Y3" t="s">
        <v>104</v>
      </c>
      <c r="Z3" s="7">
        <f t="shared" ref="Z3:Z27" si="8">SUMIFS(F$3:F$68,$B$3:$B$68,$Y3)</f>
        <v>375</v>
      </c>
      <c r="AA3" s="7">
        <f t="shared" ref="AA3:AA27" si="9">SUMIFS(G$3:G$68,$B$3:$B$68,$Y3)</f>
        <v>385</v>
      </c>
      <c r="AB3" s="7">
        <f t="shared" ref="AB3:AB27" si="10">SUMIFS(H$3:H$68,$B$3:$B$68,$Y3)</f>
        <v>396</v>
      </c>
      <c r="AC3" s="7">
        <f t="shared" ref="AC3:AC27" si="11">SUMIFS(I$3:I$68,$B$3:$B$68,$Y3)</f>
        <v>417</v>
      </c>
      <c r="AD3" s="7">
        <f t="shared" ref="AD3:AD27" si="12">SUMIFS(J$3:J$68,$B$3:$B$68,$Y3)</f>
        <v>435</v>
      </c>
      <c r="AE3" s="7">
        <f t="shared" ref="AE3:AE27" si="13">SUMIFS(K$3:K$68,$B$3:$B$68,$Y3)</f>
        <v>458</v>
      </c>
      <c r="AF3" s="7">
        <f t="shared" ref="AF3:AF27" si="14">SUMIFS(L$3:L$68,$B$3:$B$68,$Y3)</f>
        <v>479</v>
      </c>
      <c r="AG3" s="7">
        <f t="shared" ref="AG3:AG27" si="15">SUMIFS(M$3:M$68,$B$3:$B$68,$Y3)</f>
        <v>498</v>
      </c>
      <c r="AI3" t="s">
        <v>104</v>
      </c>
      <c r="AJ3" s="14">
        <f t="shared" ref="AJ3:AJ27" si="16">SUMIFS(N$3:N$68,$B$3:$B$68,$AI3)</f>
        <v>0.12</v>
      </c>
      <c r="AK3" s="14">
        <f t="shared" ref="AK3:AK27" si="17">SUMIFS(O$3:O$68,$B$3:$B$68,$AI3)</f>
        <v>0.11999999999999998</v>
      </c>
      <c r="AL3" s="14">
        <f t="shared" ref="AL3:AL27" si="18">SUMIFS(P$3:P$68,$B$3:$B$68,$AI3)</f>
        <v>0.12</v>
      </c>
      <c r="AM3" s="14">
        <f t="shared" ref="AM3:AM27" si="19">SUMIFS(Q$3:Q$68,$B$3:$B$68,$AI3)</f>
        <v>0.12</v>
      </c>
      <c r="AN3" s="14">
        <f t="shared" ref="AN3:AN27" si="20">SUMIFS(R$3:R$68,$B$3:$B$68,$AI3)</f>
        <v>0.12</v>
      </c>
      <c r="AO3" s="14">
        <f t="shared" ref="AO3:AO27" si="21">SUMIFS(S$3:S$68,$B$3:$B$68,$AI3)</f>
        <v>0.12</v>
      </c>
      <c r="AP3" s="14">
        <f t="shared" ref="AP3:AP27" si="22">SUMIFS(T$3:T$68,$B$3:$B$68,$AI3)</f>
        <v>0.12</v>
      </c>
      <c r="AQ3" s="14">
        <f t="shared" ref="AQ3:AQ27" si="23">SUMIFS(U$3:U$68,$B$3:$B$68,$AI3)</f>
        <v>0.12</v>
      </c>
      <c r="AS3" s="14" cm="1">
        <f t="array" ref="AS3">TREND($AJ3:$AQ3,$AJ$2:$AQ$2,AS$2)</f>
        <v>0.12</v>
      </c>
      <c r="AT3" s="14" cm="1">
        <f t="array" ref="AT3">TREND($AJ3:$AQ3,$AJ$2:$AQ$2,AT$2)</f>
        <v>0.12</v>
      </c>
      <c r="AU3" s="14" cm="1">
        <f t="array" ref="AU3">TREND($AJ3:$AQ3,$AJ$2:$AQ$2,AU$2)</f>
        <v>0.12</v>
      </c>
      <c r="AV3" s="14" cm="1">
        <f t="array" ref="AV3">TREND($AJ3:$AQ3,$AJ$2:$AQ$2,AV$2)</f>
        <v>0.12</v>
      </c>
      <c r="AW3" s="14" cm="1">
        <f t="array" ref="AW3">TREND($AJ3:$AQ3,$AJ$2:$AQ$2,AW$2)</f>
        <v>0.12</v>
      </c>
      <c r="AX3" s="14" cm="1">
        <f t="array" ref="AX3">TREND($AJ3:$AQ3,$AJ$2:$AQ$2,AX$2)</f>
        <v>0.12</v>
      </c>
      <c r="AY3" s="14" cm="1">
        <f t="array" ref="AY3">TREND($AJ3:$AQ3,$AJ$2:$AQ$2,AY$2)</f>
        <v>0.12</v>
      </c>
      <c r="AZ3" s="14" cm="1">
        <f t="array" ref="AZ3">TREND($AJ3:$AQ3,$AJ$2:$AQ$2,AZ$2)</f>
        <v>0.12</v>
      </c>
      <c r="BA3" s="14" cm="1">
        <f t="array" ref="BA3">TREND($AJ3:$AQ3,$AJ$2:$AQ$2,BA$2)</f>
        <v>0.12</v>
      </c>
      <c r="BB3" s="14" cm="1">
        <f t="array" ref="BB3">TREND($AJ3:$AQ3,$AJ$2:$AQ$2,BB$2)</f>
        <v>0.12</v>
      </c>
      <c r="BC3" s="14" cm="1">
        <f t="array" ref="BC3">TREND($AJ3:$AQ3,$AJ$2:$AQ$2,BC$2)</f>
        <v>0.12</v>
      </c>
      <c r="BD3" s="14" cm="1">
        <f t="array" ref="BD3">TREND($AJ3:$AQ3,$AJ$2:$AQ$2,BD$2)</f>
        <v>0.12</v>
      </c>
      <c r="BE3" s="14" cm="1">
        <f t="array" ref="BE3">TREND($AJ3:$AQ3,$AJ$2:$AQ$2,BE$2)</f>
        <v>0.12</v>
      </c>
      <c r="BF3" s="14" cm="1">
        <f t="array" ref="BF3">TREND($AJ3:$AQ3,$AJ$2:$AQ$2,BF$2)</f>
        <v>0.12</v>
      </c>
      <c r="BG3" s="14" cm="1">
        <f t="array" ref="BG3">TREND($AJ3:$AQ3,$AJ$2:$AQ$2,BG$2)</f>
        <v>0.12</v>
      </c>
      <c r="BH3" s="14" cm="1">
        <f t="array" ref="BH3">TREND($AJ3:$AQ3,$AJ$2:$AQ$2,BH$2)</f>
        <v>0.12</v>
      </c>
      <c r="BI3" s="14" cm="1">
        <f t="array" ref="BI3">TREND($AJ3:$AQ3,$AJ$2:$AQ$2,BI$2)</f>
        <v>0.12</v>
      </c>
      <c r="BJ3" s="14" cm="1">
        <f t="array" ref="BJ3">TREND($AJ3:$AQ3,$AJ$2:$AQ$2,BJ$2)</f>
        <v>0.12</v>
      </c>
      <c r="BK3" s="14" cm="1">
        <f t="array" ref="BK3">TREND($AJ3:$AQ3,$AJ$2:$AQ$2,BK$2)</f>
        <v>0.12</v>
      </c>
      <c r="BL3" s="14" cm="1">
        <f t="array" ref="BL3">TREND($AJ3:$AQ3,$AJ$2:$AQ$2,BL$2)</f>
        <v>0.12</v>
      </c>
      <c r="BM3" s="14" cm="1">
        <f t="array" ref="BM3">TREND($AJ3:$AQ3,$AJ$2:$AQ$2,BM$2)</f>
        <v>0.12</v>
      </c>
      <c r="BN3" s="14" cm="1">
        <f t="array" ref="BN3">TREND($AJ3:$AQ3,$AJ$2:$AQ$2,BN$2)</f>
        <v>0.12</v>
      </c>
      <c r="BO3" s="14" cm="1">
        <f t="array" ref="BO3">TREND($AJ3:$AQ3,$AJ$2:$AQ$2,BO$2)</f>
        <v>0.12</v>
      </c>
      <c r="BP3" s="14" cm="1">
        <f t="array" ref="BP3">TREND($AJ3:$AQ3,$AJ$2:$AQ$2,BP$2)</f>
        <v>0.12</v>
      </c>
      <c r="BQ3" s="14" cm="1">
        <f t="array" ref="BQ3">TREND($AJ3:$AQ3,$AJ$2:$AQ$2,BQ$2)</f>
        <v>0.12</v>
      </c>
      <c r="BR3" s="14" cm="1">
        <f t="array" ref="BR3">TREND($AJ3:$AQ3,$AJ$2:$AQ$2,BR$2)</f>
        <v>0.12</v>
      </c>
      <c r="BS3" s="14" cm="1">
        <f t="array" ref="BS3">TREND($AJ3:$AQ3,$AJ$2:$AQ$2,BS$2)</f>
        <v>0.12</v>
      </c>
      <c r="BT3" s="14" cm="1">
        <f t="array" ref="BT3">TREND($AJ3:$AQ3,$AJ$2:$AQ$2,BT$2)</f>
        <v>0.12</v>
      </c>
      <c r="BU3" s="14" cm="1">
        <f t="array" ref="BU3">TREND($AJ3:$AQ3,$AJ$2:$AQ$2,BU$2)</f>
        <v>0.12</v>
      </c>
      <c r="BV3" s="14" cm="1">
        <f t="array" ref="BV3">TREND($AJ3:$AQ3,$AJ$2:$AQ$2,BV$2)</f>
        <v>0.12</v>
      </c>
    </row>
    <row r="4" spans="1:74" x14ac:dyDescent="0.3">
      <c r="A4" t="s">
        <v>21</v>
      </c>
      <c r="B4" t="s">
        <v>104</v>
      </c>
      <c r="D4">
        <v>0.88</v>
      </c>
      <c r="E4">
        <v>0.12</v>
      </c>
      <c r="F4">
        <f>INDEX('IPM Load'!B:B,MATCH('Cost-of-Service Shares'!$A4,'IPM Load'!$A:$A,0))</f>
        <v>347</v>
      </c>
      <c r="G4">
        <f>INDEX('IPM Load'!C:C,MATCH('Cost-of-Service Shares'!$A4,'IPM Load'!$A:$A,0))</f>
        <v>357</v>
      </c>
      <c r="H4">
        <f>INDEX('IPM Load'!D:D,MATCH('Cost-of-Service Shares'!$A4,'IPM Load'!$A:$A,0))</f>
        <v>367</v>
      </c>
      <c r="I4">
        <f>INDEX('IPM Load'!E:E,MATCH('Cost-of-Service Shares'!$A4,'IPM Load'!$A:$A,0))</f>
        <v>386</v>
      </c>
      <c r="J4">
        <f>INDEX('IPM Load'!F:F,MATCH('Cost-of-Service Shares'!$A4,'IPM Load'!$A:$A,0))</f>
        <v>403</v>
      </c>
      <c r="K4">
        <f>INDEX('IPM Load'!G:G,MATCH('Cost-of-Service Shares'!$A4,'IPM Load'!$A:$A,0))</f>
        <v>424</v>
      </c>
      <c r="L4">
        <f>INDEX('IPM Load'!H:H,MATCH('Cost-of-Service Shares'!$A4,'IPM Load'!$A:$A,0))</f>
        <v>444</v>
      </c>
      <c r="M4">
        <f>INDEX('IPM Load'!I:I,MATCH('Cost-of-Service Shares'!$A4,'IPM Load'!$A:$A,0))</f>
        <v>461</v>
      </c>
      <c r="N4" s="14">
        <f t="shared" si="0"/>
        <v>0.11104</v>
      </c>
      <c r="O4" s="14">
        <f t="shared" si="1"/>
        <v>0.11127272727272726</v>
      </c>
      <c r="P4" s="14">
        <f t="shared" si="2"/>
        <v>0.11121212121212121</v>
      </c>
      <c r="Q4" s="14">
        <f t="shared" si="3"/>
        <v>0.11107913669064748</v>
      </c>
      <c r="R4" s="14">
        <f t="shared" si="4"/>
        <v>0.11117241379310344</v>
      </c>
      <c r="S4" s="14">
        <f t="shared" si="5"/>
        <v>0.11109170305676855</v>
      </c>
      <c r="T4" s="14">
        <f t="shared" si="6"/>
        <v>0.11123173277661795</v>
      </c>
      <c r="U4" s="14">
        <f t="shared" si="7"/>
        <v>0.11108433734939759</v>
      </c>
      <c r="Y4" t="s">
        <v>23</v>
      </c>
      <c r="Z4" s="7">
        <f t="shared" si="8"/>
        <v>231</v>
      </c>
      <c r="AA4" s="7">
        <f t="shared" si="9"/>
        <v>236</v>
      </c>
      <c r="AB4" s="7">
        <f t="shared" si="10"/>
        <v>242</v>
      </c>
      <c r="AC4" s="7">
        <f t="shared" si="11"/>
        <v>254</v>
      </c>
      <c r="AD4" s="7">
        <f t="shared" si="12"/>
        <v>265</v>
      </c>
      <c r="AE4" s="7">
        <f t="shared" si="13"/>
        <v>278</v>
      </c>
      <c r="AF4" s="7">
        <f t="shared" si="14"/>
        <v>290</v>
      </c>
      <c r="AG4" s="7">
        <f t="shared" si="15"/>
        <v>304</v>
      </c>
      <c r="AI4" t="s">
        <v>23</v>
      </c>
      <c r="AJ4" s="14">
        <f t="shared" si="16"/>
        <v>1</v>
      </c>
      <c r="AK4" s="14">
        <f t="shared" si="17"/>
        <v>1</v>
      </c>
      <c r="AL4" s="14">
        <f t="shared" si="18"/>
        <v>1</v>
      </c>
      <c r="AM4" s="14">
        <f t="shared" si="19"/>
        <v>1</v>
      </c>
      <c r="AN4" s="14">
        <f t="shared" si="20"/>
        <v>1</v>
      </c>
      <c r="AO4" s="14">
        <f t="shared" si="21"/>
        <v>1</v>
      </c>
      <c r="AP4" s="14">
        <f t="shared" si="22"/>
        <v>1</v>
      </c>
      <c r="AQ4" s="14">
        <f t="shared" si="23"/>
        <v>1</v>
      </c>
      <c r="AS4" s="14" cm="1">
        <f t="array" ref="AS4">TREND($AJ4:$AQ4,$AJ$2:$AQ$2,AS$2)</f>
        <v>1</v>
      </c>
      <c r="AT4" s="14" cm="1">
        <f t="array" ref="AT4">TREND($AJ4:$AQ4,$AJ$2:$AQ$2,AT$2)</f>
        <v>1</v>
      </c>
      <c r="AU4" s="14" cm="1">
        <f t="array" ref="AU4">TREND($AJ4:$AQ4,$AJ$2:$AQ$2,AU$2)</f>
        <v>1</v>
      </c>
      <c r="AV4" s="14" cm="1">
        <f t="array" ref="AV4">TREND($AJ4:$AQ4,$AJ$2:$AQ$2,AV$2)</f>
        <v>1</v>
      </c>
      <c r="AW4" s="14" cm="1">
        <f t="array" ref="AW4">TREND($AJ4:$AQ4,$AJ$2:$AQ$2,AW$2)</f>
        <v>1</v>
      </c>
      <c r="AX4" s="14" cm="1">
        <f t="array" ref="AX4">TREND($AJ4:$AQ4,$AJ$2:$AQ$2,AX$2)</f>
        <v>1</v>
      </c>
      <c r="AY4" s="14" cm="1">
        <f t="array" ref="AY4">TREND($AJ4:$AQ4,$AJ$2:$AQ$2,AY$2)</f>
        <v>1</v>
      </c>
      <c r="AZ4" s="14" cm="1">
        <f t="array" ref="AZ4">TREND($AJ4:$AQ4,$AJ$2:$AQ$2,AZ$2)</f>
        <v>1</v>
      </c>
      <c r="BA4" s="14" cm="1">
        <f t="array" ref="BA4">TREND($AJ4:$AQ4,$AJ$2:$AQ$2,BA$2)</f>
        <v>1</v>
      </c>
      <c r="BB4" s="14" cm="1">
        <f t="array" ref="BB4">TREND($AJ4:$AQ4,$AJ$2:$AQ$2,BB$2)</f>
        <v>1</v>
      </c>
      <c r="BC4" s="14" cm="1">
        <f t="array" ref="BC4">TREND($AJ4:$AQ4,$AJ$2:$AQ$2,BC$2)</f>
        <v>1</v>
      </c>
      <c r="BD4" s="14" cm="1">
        <f t="array" ref="BD4">TREND($AJ4:$AQ4,$AJ$2:$AQ$2,BD$2)</f>
        <v>1</v>
      </c>
      <c r="BE4" s="14" cm="1">
        <f t="array" ref="BE4">TREND($AJ4:$AQ4,$AJ$2:$AQ$2,BE$2)</f>
        <v>1</v>
      </c>
      <c r="BF4" s="14" cm="1">
        <f t="array" ref="BF4">TREND($AJ4:$AQ4,$AJ$2:$AQ$2,BF$2)</f>
        <v>1</v>
      </c>
      <c r="BG4" s="14" cm="1">
        <f t="array" ref="BG4">TREND($AJ4:$AQ4,$AJ$2:$AQ$2,BG$2)</f>
        <v>1</v>
      </c>
      <c r="BH4" s="14" cm="1">
        <f t="array" ref="BH4">TREND($AJ4:$AQ4,$AJ$2:$AQ$2,BH$2)</f>
        <v>1</v>
      </c>
      <c r="BI4" s="14" cm="1">
        <f t="array" ref="BI4">TREND($AJ4:$AQ4,$AJ$2:$AQ$2,BI$2)</f>
        <v>1</v>
      </c>
      <c r="BJ4" s="14" cm="1">
        <f t="array" ref="BJ4">TREND($AJ4:$AQ4,$AJ$2:$AQ$2,BJ$2)</f>
        <v>1</v>
      </c>
      <c r="BK4" s="14" cm="1">
        <f t="array" ref="BK4">TREND($AJ4:$AQ4,$AJ$2:$AQ$2,BK$2)</f>
        <v>1</v>
      </c>
      <c r="BL4" s="14" cm="1">
        <f t="array" ref="BL4">TREND($AJ4:$AQ4,$AJ$2:$AQ$2,BL$2)</f>
        <v>1</v>
      </c>
      <c r="BM4" s="14" cm="1">
        <f t="array" ref="BM4">TREND($AJ4:$AQ4,$AJ$2:$AQ$2,BM$2)</f>
        <v>1</v>
      </c>
      <c r="BN4" s="14" cm="1">
        <f t="array" ref="BN4">TREND($AJ4:$AQ4,$AJ$2:$AQ$2,BN$2)</f>
        <v>1</v>
      </c>
      <c r="BO4" s="14" cm="1">
        <f t="array" ref="BO4">TREND($AJ4:$AQ4,$AJ$2:$AQ$2,BO$2)</f>
        <v>1</v>
      </c>
      <c r="BP4" s="14" cm="1">
        <f t="array" ref="BP4">TREND($AJ4:$AQ4,$AJ$2:$AQ$2,BP$2)</f>
        <v>1</v>
      </c>
      <c r="BQ4" s="14" cm="1">
        <f t="array" ref="BQ4">TREND($AJ4:$AQ4,$AJ$2:$AQ$2,BQ$2)</f>
        <v>1</v>
      </c>
      <c r="BR4" s="14" cm="1">
        <f t="array" ref="BR4">TREND($AJ4:$AQ4,$AJ$2:$AQ$2,BR$2)</f>
        <v>1</v>
      </c>
      <c r="BS4" s="14" cm="1">
        <f t="array" ref="BS4">TREND($AJ4:$AQ4,$AJ$2:$AQ$2,BS$2)</f>
        <v>1</v>
      </c>
      <c r="BT4" s="14" cm="1">
        <f t="array" ref="BT4">TREND($AJ4:$AQ4,$AJ$2:$AQ$2,BT$2)</f>
        <v>1</v>
      </c>
      <c r="BU4" s="14" cm="1">
        <f t="array" ref="BU4">TREND($AJ4:$AQ4,$AJ$2:$AQ$2,BU$2)</f>
        <v>1</v>
      </c>
      <c r="BV4" s="14" cm="1">
        <f t="array" ref="BV4">TREND($AJ4:$AQ4,$AJ$2:$AQ$2,BV$2)</f>
        <v>1</v>
      </c>
    </row>
    <row r="5" spans="1:74" x14ac:dyDescent="0.3">
      <c r="A5" t="s">
        <v>22</v>
      </c>
      <c r="B5" t="s">
        <v>104</v>
      </c>
      <c r="D5">
        <v>0.88</v>
      </c>
      <c r="E5">
        <v>0.12</v>
      </c>
      <c r="F5">
        <f>INDEX('IPM Load'!B:B,MATCH('Cost-of-Service Shares'!$A5,'IPM Load'!$A:$A,0))</f>
        <v>28</v>
      </c>
      <c r="G5">
        <f>INDEX('IPM Load'!C:C,MATCH('Cost-of-Service Shares'!$A5,'IPM Load'!$A:$A,0))</f>
        <v>28</v>
      </c>
      <c r="H5">
        <f>INDEX('IPM Load'!D:D,MATCH('Cost-of-Service Shares'!$A5,'IPM Load'!$A:$A,0))</f>
        <v>29</v>
      </c>
      <c r="I5">
        <f>INDEX('IPM Load'!E:E,MATCH('Cost-of-Service Shares'!$A5,'IPM Load'!$A:$A,0))</f>
        <v>31</v>
      </c>
      <c r="J5">
        <f>INDEX('IPM Load'!F:F,MATCH('Cost-of-Service Shares'!$A5,'IPM Load'!$A:$A,0))</f>
        <v>32</v>
      </c>
      <c r="K5">
        <f>INDEX('IPM Load'!G:G,MATCH('Cost-of-Service Shares'!$A5,'IPM Load'!$A:$A,0))</f>
        <v>34</v>
      </c>
      <c r="L5">
        <f>INDEX('IPM Load'!H:H,MATCH('Cost-of-Service Shares'!$A5,'IPM Load'!$A:$A,0))</f>
        <v>35</v>
      </c>
      <c r="M5">
        <f>INDEX('IPM Load'!I:I,MATCH('Cost-of-Service Shares'!$A5,'IPM Load'!$A:$A,0))</f>
        <v>37</v>
      </c>
      <c r="N5" s="14">
        <f t="shared" si="0"/>
        <v>8.9599999999999992E-3</v>
      </c>
      <c r="O5" s="14">
        <f t="shared" si="1"/>
        <v>8.7272727272727276E-3</v>
      </c>
      <c r="P5" s="14">
        <f t="shared" si="2"/>
        <v>8.7878787878787872E-3</v>
      </c>
      <c r="Q5" s="14">
        <f t="shared" si="3"/>
        <v>8.9208633093525169E-3</v>
      </c>
      <c r="R5" s="14">
        <f t="shared" si="4"/>
        <v>8.8275862068965521E-3</v>
      </c>
      <c r="S5" s="14">
        <f t="shared" si="5"/>
        <v>8.9082969432314404E-3</v>
      </c>
      <c r="T5" s="14">
        <f t="shared" si="6"/>
        <v>8.768267223382047E-3</v>
      </c>
      <c r="U5" s="14">
        <f t="shared" si="7"/>
        <v>8.9156626506024083E-3</v>
      </c>
      <c r="Y5" t="s">
        <v>136</v>
      </c>
      <c r="Z5" s="7">
        <f t="shared" si="8"/>
        <v>203.26706770330856</v>
      </c>
      <c r="AA5" s="7">
        <f t="shared" si="9"/>
        <v>208.0504511662221</v>
      </c>
      <c r="AB5" s="7">
        <f t="shared" si="10"/>
        <v>210.0504511662221</v>
      </c>
      <c r="AC5" s="7">
        <f t="shared" si="11"/>
        <v>216.0504511662221</v>
      </c>
      <c r="AD5" s="7">
        <f t="shared" si="12"/>
        <v>222.0504511662221</v>
      </c>
      <c r="AE5" s="7">
        <f t="shared" si="13"/>
        <v>229.83383462913568</v>
      </c>
      <c r="AF5" s="7">
        <f t="shared" si="14"/>
        <v>237.83383462913568</v>
      </c>
      <c r="AG5" s="7">
        <f t="shared" si="15"/>
        <v>246.83383462913568</v>
      </c>
      <c r="AI5" t="s">
        <v>136</v>
      </c>
      <c r="AJ5" s="14">
        <f t="shared" si="16"/>
        <v>0.83306360907138344</v>
      </c>
      <c r="AK5" s="14">
        <f t="shared" si="17"/>
        <v>0.83388402035211129</v>
      </c>
      <c r="AL5" s="14">
        <f t="shared" si="18"/>
        <v>0.83537048209290843</v>
      </c>
      <c r="AM5" s="14">
        <f t="shared" si="19"/>
        <v>0.83429562716294225</v>
      </c>
      <c r="AN5" s="14">
        <f t="shared" si="20"/>
        <v>0.83589087831042674</v>
      </c>
      <c r="AO5" s="14">
        <f t="shared" si="21"/>
        <v>0.83606269978878511</v>
      </c>
      <c r="AP5" s="14">
        <f t="shared" si="22"/>
        <v>0.8363633231286105</v>
      </c>
      <c r="AQ5" s="14">
        <f t="shared" si="23"/>
        <v>0.83726567143178043</v>
      </c>
      <c r="AS5" s="14" cm="1">
        <f t="array" ref="AS5">TREND($AJ5:$AQ5,$AJ$2:$AQ$2,AS$2)</f>
        <v>0.83375504052937699</v>
      </c>
      <c r="AT5" s="14" cm="1">
        <f t="array" ref="AT5">TREND($AJ5:$AQ5,$AJ$2:$AQ$2,AT$2)</f>
        <v>0.83387539683733669</v>
      </c>
      <c r="AU5" s="14" cm="1">
        <f t="array" ref="AU5">TREND($AJ5:$AQ5,$AJ$2:$AQ$2,AU$2)</f>
        <v>0.83399575314529639</v>
      </c>
      <c r="AV5" s="14" cm="1">
        <f t="array" ref="AV5">TREND($AJ5:$AQ5,$AJ$2:$AQ$2,AV$2)</f>
        <v>0.83411610945325609</v>
      </c>
      <c r="AW5" s="14" cm="1">
        <f t="array" ref="AW5">TREND($AJ5:$AQ5,$AJ$2:$AQ$2,AW$2)</f>
        <v>0.83423646576121591</v>
      </c>
      <c r="AX5" s="14" cm="1">
        <f t="array" ref="AX5">TREND($AJ5:$AQ5,$AJ$2:$AQ$2,AX$2)</f>
        <v>0.83435682206917561</v>
      </c>
      <c r="AY5" s="14" cm="1">
        <f t="array" ref="AY5">TREND($AJ5:$AQ5,$AJ$2:$AQ$2,AY$2)</f>
        <v>0.83447717837713542</v>
      </c>
      <c r="AZ5" s="14" cm="1">
        <f t="array" ref="AZ5">TREND($AJ5:$AQ5,$AJ$2:$AQ$2,AZ$2)</f>
        <v>0.83459753468509512</v>
      </c>
      <c r="BA5" s="14" cm="1">
        <f t="array" ref="BA5">TREND($AJ5:$AQ5,$AJ$2:$AQ$2,BA$2)</f>
        <v>0.83471789099305482</v>
      </c>
      <c r="BB5" s="14" cm="1">
        <f t="array" ref="BB5">TREND($AJ5:$AQ5,$AJ$2:$AQ$2,BB$2)</f>
        <v>0.83483824730101452</v>
      </c>
      <c r="BC5" s="14" cm="1">
        <f t="array" ref="BC5">TREND($AJ5:$AQ5,$AJ$2:$AQ$2,BC$2)</f>
        <v>0.83495860360897423</v>
      </c>
      <c r="BD5" s="14" cm="1">
        <f t="array" ref="BD5">TREND($AJ5:$AQ5,$AJ$2:$AQ$2,BD$2)</f>
        <v>0.83507895991693404</v>
      </c>
      <c r="BE5" s="14" cm="1">
        <f t="array" ref="BE5">TREND($AJ5:$AQ5,$AJ$2:$AQ$2,BE$2)</f>
        <v>0.83519931622489374</v>
      </c>
      <c r="BF5" s="14" cm="1">
        <f t="array" ref="BF5">TREND($AJ5:$AQ5,$AJ$2:$AQ$2,BF$2)</f>
        <v>0.83531967253285355</v>
      </c>
      <c r="BG5" s="14" cm="1">
        <f t="array" ref="BG5">TREND($AJ5:$AQ5,$AJ$2:$AQ$2,BG$2)</f>
        <v>0.83544002884081325</v>
      </c>
      <c r="BH5" s="14" cm="1">
        <f t="array" ref="BH5">TREND($AJ5:$AQ5,$AJ$2:$AQ$2,BH$2)</f>
        <v>0.83556038514877295</v>
      </c>
      <c r="BI5" s="14" cm="1">
        <f t="array" ref="BI5">TREND($AJ5:$AQ5,$AJ$2:$AQ$2,BI$2)</f>
        <v>0.83568074145673266</v>
      </c>
      <c r="BJ5" s="14" cm="1">
        <f t="array" ref="BJ5">TREND($AJ5:$AQ5,$AJ$2:$AQ$2,BJ$2)</f>
        <v>0.83580109776469236</v>
      </c>
      <c r="BK5" s="14" cm="1">
        <f t="array" ref="BK5">TREND($AJ5:$AQ5,$AJ$2:$AQ$2,BK$2)</f>
        <v>0.83592145407265217</v>
      </c>
      <c r="BL5" s="14" cm="1">
        <f t="array" ref="BL5">TREND($AJ5:$AQ5,$AJ$2:$AQ$2,BL$2)</f>
        <v>0.83604181038061187</v>
      </c>
      <c r="BM5" s="14" cm="1">
        <f t="array" ref="BM5">TREND($AJ5:$AQ5,$AJ$2:$AQ$2,BM$2)</f>
        <v>0.83616216668857168</v>
      </c>
      <c r="BN5" s="14" cm="1">
        <f t="array" ref="BN5">TREND($AJ5:$AQ5,$AJ$2:$AQ$2,BN$2)</f>
        <v>0.83628252299653139</v>
      </c>
      <c r="BO5" s="14" cm="1">
        <f t="array" ref="BO5">TREND($AJ5:$AQ5,$AJ$2:$AQ$2,BO$2)</f>
        <v>0.83640287930449109</v>
      </c>
      <c r="BP5" s="14" cm="1">
        <f t="array" ref="BP5">TREND($AJ5:$AQ5,$AJ$2:$AQ$2,BP$2)</f>
        <v>0.83652323561245079</v>
      </c>
      <c r="BQ5" s="14" cm="1">
        <f t="array" ref="BQ5">TREND($AJ5:$AQ5,$AJ$2:$AQ$2,BQ$2)</f>
        <v>0.8366435919204106</v>
      </c>
      <c r="BR5" s="14" cm="1">
        <f t="array" ref="BR5">TREND($AJ5:$AQ5,$AJ$2:$AQ$2,BR$2)</f>
        <v>0.8367639482283703</v>
      </c>
      <c r="BS5" s="14" cm="1">
        <f t="array" ref="BS5">TREND($AJ5:$AQ5,$AJ$2:$AQ$2,BS$2)</f>
        <v>0.83688430453633</v>
      </c>
      <c r="BT5" s="14" cm="1">
        <f t="array" ref="BT5">TREND($AJ5:$AQ5,$AJ$2:$AQ$2,BT$2)</f>
        <v>0.83700466084428982</v>
      </c>
      <c r="BU5" s="14" cm="1">
        <f t="array" ref="BU5">TREND($AJ5:$AQ5,$AJ$2:$AQ$2,BU$2)</f>
        <v>0.83712501715224952</v>
      </c>
      <c r="BV5" s="14" cm="1">
        <f t="array" ref="BV5">TREND($AJ5:$AQ5,$AJ$2:$AQ$2,BV$2)</f>
        <v>0.83724537346020922</v>
      </c>
    </row>
    <row r="6" spans="1:74" x14ac:dyDescent="0.3">
      <c r="A6" t="s">
        <v>23</v>
      </c>
      <c r="B6" t="s">
        <v>23</v>
      </c>
      <c r="D6">
        <v>0</v>
      </c>
      <c r="E6">
        <v>1</v>
      </c>
      <c r="F6">
        <f>INDEX('IPM Load'!B:B,MATCH('Cost-of-Service Shares'!$A6,'IPM Load'!$A:$A,0))</f>
        <v>231</v>
      </c>
      <c r="G6">
        <f>INDEX('IPM Load'!C:C,MATCH('Cost-of-Service Shares'!$A6,'IPM Load'!$A:$A,0))</f>
        <v>236</v>
      </c>
      <c r="H6">
        <f>INDEX('IPM Load'!D:D,MATCH('Cost-of-Service Shares'!$A6,'IPM Load'!$A:$A,0))</f>
        <v>242</v>
      </c>
      <c r="I6">
        <f>INDEX('IPM Load'!E:E,MATCH('Cost-of-Service Shares'!$A6,'IPM Load'!$A:$A,0))</f>
        <v>254</v>
      </c>
      <c r="J6">
        <f>INDEX('IPM Load'!F:F,MATCH('Cost-of-Service Shares'!$A6,'IPM Load'!$A:$A,0))</f>
        <v>265</v>
      </c>
      <c r="K6">
        <f>INDEX('IPM Load'!G:G,MATCH('Cost-of-Service Shares'!$A6,'IPM Load'!$A:$A,0))</f>
        <v>278</v>
      </c>
      <c r="L6">
        <f>INDEX('IPM Load'!H:H,MATCH('Cost-of-Service Shares'!$A6,'IPM Load'!$A:$A,0))</f>
        <v>290</v>
      </c>
      <c r="M6">
        <f>INDEX('IPM Load'!I:I,MATCH('Cost-of-Service Shares'!$A6,'IPM Load'!$A:$A,0))</f>
        <v>304</v>
      </c>
      <c r="N6" s="14">
        <f t="shared" si="0"/>
        <v>1</v>
      </c>
      <c r="O6" s="14">
        <f t="shared" si="1"/>
        <v>1</v>
      </c>
      <c r="P6" s="14">
        <f t="shared" si="2"/>
        <v>1</v>
      </c>
      <c r="Q6" s="14">
        <f t="shared" si="3"/>
        <v>1</v>
      </c>
      <c r="R6" s="14">
        <f t="shared" si="4"/>
        <v>1</v>
      </c>
      <c r="S6" s="14">
        <f t="shared" si="5"/>
        <v>1</v>
      </c>
      <c r="T6" s="14">
        <f t="shared" si="6"/>
        <v>1</v>
      </c>
      <c r="U6" s="14">
        <f t="shared" si="7"/>
        <v>1</v>
      </c>
      <c r="Y6" t="s">
        <v>137</v>
      </c>
      <c r="Z6" s="7">
        <f t="shared" si="8"/>
        <v>196.42993861486244</v>
      </c>
      <c r="AA6" s="7">
        <f t="shared" si="9"/>
        <v>200.00937964902144</v>
      </c>
      <c r="AB6" s="7">
        <f t="shared" si="10"/>
        <v>202.00937964902144</v>
      </c>
      <c r="AC6" s="7">
        <f t="shared" si="11"/>
        <v>208.00937964902144</v>
      </c>
      <c r="AD6" s="7">
        <f t="shared" si="12"/>
        <v>212.58882068318047</v>
      </c>
      <c r="AE6" s="7">
        <f t="shared" si="13"/>
        <v>220.1682617173395</v>
      </c>
      <c r="AF6" s="7">
        <f t="shared" si="14"/>
        <v>227.1682617173395</v>
      </c>
      <c r="AG6" s="7">
        <f t="shared" si="15"/>
        <v>235.74770275149854</v>
      </c>
      <c r="AI6" t="s">
        <v>137</v>
      </c>
      <c r="AJ6" s="14">
        <f t="shared" si="16"/>
        <v>0.66787140259756828</v>
      </c>
      <c r="AK6" s="14">
        <f t="shared" si="17"/>
        <v>0.66746559528001925</v>
      </c>
      <c r="AL6" s="14">
        <f t="shared" si="18"/>
        <v>0.66739168192715426</v>
      </c>
      <c r="AM6" s="14">
        <f t="shared" si="19"/>
        <v>0.66717846994778218</v>
      </c>
      <c r="AN6" s="14">
        <f t="shared" si="20"/>
        <v>0.66795055462864739</v>
      </c>
      <c r="AO6" s="14">
        <f t="shared" si="21"/>
        <v>0.66970716200066682</v>
      </c>
      <c r="AP6" s="14">
        <f t="shared" si="22"/>
        <v>0.66830753807608756</v>
      </c>
      <c r="AQ6" s="14">
        <f t="shared" si="23"/>
        <v>0.66884088757253535</v>
      </c>
      <c r="AS6" s="14" cm="1">
        <f t="array" ref="AS6">TREND($AJ6:$AQ6,$AJ$2:$AQ$2,AS$2)</f>
        <v>0.66740084418111567</v>
      </c>
      <c r="AT6" s="14" cm="1">
        <f t="array" ref="AT6">TREND($AJ6:$AQ6,$AJ$2:$AQ$2,AT$2)</f>
        <v>0.66745536436509134</v>
      </c>
      <c r="AU6" s="14" cm="1">
        <f t="array" ref="AU6">TREND($AJ6:$AQ6,$AJ$2:$AQ$2,AU$2)</f>
        <v>0.6675098845490669</v>
      </c>
      <c r="AV6" s="14" cm="1">
        <f t="array" ref="AV6">TREND($AJ6:$AQ6,$AJ$2:$AQ$2,AV$2)</f>
        <v>0.66756440473304246</v>
      </c>
      <c r="AW6" s="14" cm="1">
        <f t="array" ref="AW6">TREND($AJ6:$AQ6,$AJ$2:$AQ$2,AW$2)</f>
        <v>0.66761892491701813</v>
      </c>
      <c r="AX6" s="14" cm="1">
        <f t="array" ref="AX6">TREND($AJ6:$AQ6,$AJ$2:$AQ$2,AX$2)</f>
        <v>0.66767344510099369</v>
      </c>
      <c r="AY6" s="14" cm="1">
        <f t="array" ref="AY6">TREND($AJ6:$AQ6,$AJ$2:$AQ$2,AY$2)</f>
        <v>0.66772796528496925</v>
      </c>
      <c r="AZ6" s="14" cm="1">
        <f t="array" ref="AZ6">TREND($AJ6:$AQ6,$AJ$2:$AQ$2,AZ$2)</f>
        <v>0.66778248546894492</v>
      </c>
      <c r="BA6" s="14" cm="1">
        <f t="array" ref="BA6">TREND($AJ6:$AQ6,$AJ$2:$AQ$2,BA$2)</f>
        <v>0.66783700565292048</v>
      </c>
      <c r="BB6" s="14" cm="1">
        <f t="array" ref="BB6">TREND($AJ6:$AQ6,$AJ$2:$AQ$2,BB$2)</f>
        <v>0.66789152583689604</v>
      </c>
      <c r="BC6" s="14" cm="1">
        <f t="array" ref="BC6">TREND($AJ6:$AQ6,$AJ$2:$AQ$2,BC$2)</f>
        <v>0.66794604602087171</v>
      </c>
      <c r="BD6" s="14" cm="1">
        <f t="array" ref="BD6">TREND($AJ6:$AQ6,$AJ$2:$AQ$2,BD$2)</f>
        <v>0.66800056620484727</v>
      </c>
      <c r="BE6" s="14" cm="1">
        <f t="array" ref="BE6">TREND($AJ6:$AQ6,$AJ$2:$AQ$2,BE$2)</f>
        <v>0.66805508638882283</v>
      </c>
      <c r="BF6" s="14" cm="1">
        <f t="array" ref="BF6">TREND($AJ6:$AQ6,$AJ$2:$AQ$2,BF$2)</f>
        <v>0.6681096065727985</v>
      </c>
      <c r="BG6" s="14" cm="1">
        <f t="array" ref="BG6">TREND($AJ6:$AQ6,$AJ$2:$AQ$2,BG$2)</f>
        <v>0.66816412675677406</v>
      </c>
      <c r="BH6" s="14" cm="1">
        <f t="array" ref="BH6">TREND($AJ6:$AQ6,$AJ$2:$AQ$2,BH$2)</f>
        <v>0.66821864694074973</v>
      </c>
      <c r="BI6" s="14" cm="1">
        <f t="array" ref="BI6">TREND($AJ6:$AQ6,$AJ$2:$AQ$2,BI$2)</f>
        <v>0.66827316712472529</v>
      </c>
      <c r="BJ6" s="14" cm="1">
        <f t="array" ref="BJ6">TREND($AJ6:$AQ6,$AJ$2:$AQ$2,BJ$2)</f>
        <v>0.66832768730870085</v>
      </c>
      <c r="BK6" s="14" cm="1">
        <f t="array" ref="BK6">TREND($AJ6:$AQ6,$AJ$2:$AQ$2,BK$2)</f>
        <v>0.66838220749267652</v>
      </c>
      <c r="BL6" s="14" cm="1">
        <f t="array" ref="BL6">TREND($AJ6:$AQ6,$AJ$2:$AQ$2,BL$2)</f>
        <v>0.66843672767665208</v>
      </c>
      <c r="BM6" s="14" cm="1">
        <f t="array" ref="BM6">TREND($AJ6:$AQ6,$AJ$2:$AQ$2,BM$2)</f>
        <v>0.66849124786062775</v>
      </c>
      <c r="BN6" s="14" cm="1">
        <f t="array" ref="BN6">TREND($AJ6:$AQ6,$AJ$2:$AQ$2,BN$2)</f>
        <v>0.66854576804460331</v>
      </c>
      <c r="BO6" s="14" cm="1">
        <f t="array" ref="BO6">TREND($AJ6:$AQ6,$AJ$2:$AQ$2,BO$2)</f>
        <v>0.66860028822857887</v>
      </c>
      <c r="BP6" s="14" cm="1">
        <f t="array" ref="BP6">TREND($AJ6:$AQ6,$AJ$2:$AQ$2,BP$2)</f>
        <v>0.66865480841255454</v>
      </c>
      <c r="BQ6" s="14" cm="1">
        <f t="array" ref="BQ6">TREND($AJ6:$AQ6,$AJ$2:$AQ$2,BQ$2)</f>
        <v>0.66870932859653009</v>
      </c>
      <c r="BR6" s="14" cm="1">
        <f t="array" ref="BR6">TREND($AJ6:$AQ6,$AJ$2:$AQ$2,BR$2)</f>
        <v>0.66876384878050565</v>
      </c>
      <c r="BS6" s="14" cm="1">
        <f t="array" ref="BS6">TREND($AJ6:$AQ6,$AJ$2:$AQ$2,BS$2)</f>
        <v>0.66881836896448132</v>
      </c>
      <c r="BT6" s="14" cm="1">
        <f t="array" ref="BT6">TREND($AJ6:$AQ6,$AJ$2:$AQ$2,BT$2)</f>
        <v>0.66887288914845688</v>
      </c>
      <c r="BU6" s="14" cm="1">
        <f t="array" ref="BU6">TREND($AJ6:$AQ6,$AJ$2:$AQ$2,BU$2)</f>
        <v>0.66892740933243244</v>
      </c>
      <c r="BV6" s="14" cm="1">
        <f t="array" ref="BV6">TREND($AJ6:$AQ6,$AJ$2:$AQ$2,BV$2)</f>
        <v>0.66898192951640811</v>
      </c>
    </row>
    <row r="7" spans="1:74" x14ac:dyDescent="0.3">
      <c r="A7" t="s">
        <v>24</v>
      </c>
      <c r="B7" t="s">
        <v>139</v>
      </c>
      <c r="D7">
        <v>0</v>
      </c>
      <c r="E7">
        <v>1</v>
      </c>
      <c r="F7">
        <f>INDEX('IPM Load'!B:B,MATCH('Cost-of-Service Shares'!$A7,'IPM Load'!$A:$A,0))</f>
        <v>31</v>
      </c>
      <c r="G7">
        <f>INDEX('IPM Load'!C:C,MATCH('Cost-of-Service Shares'!$A7,'IPM Load'!$A:$A,0))</f>
        <v>32</v>
      </c>
      <c r="H7">
        <f>INDEX('IPM Load'!D:D,MATCH('Cost-of-Service Shares'!$A7,'IPM Load'!$A:$A,0))</f>
        <v>33</v>
      </c>
      <c r="I7">
        <f>INDEX('IPM Load'!E:E,MATCH('Cost-of-Service Shares'!$A7,'IPM Load'!$A:$A,0))</f>
        <v>34</v>
      </c>
      <c r="J7">
        <f>INDEX('IPM Load'!F:F,MATCH('Cost-of-Service Shares'!$A7,'IPM Load'!$A:$A,0))</f>
        <v>36</v>
      </c>
      <c r="K7">
        <f>INDEX('IPM Load'!G:G,MATCH('Cost-of-Service Shares'!$A7,'IPM Load'!$A:$A,0))</f>
        <v>37</v>
      </c>
      <c r="L7">
        <f>INDEX('IPM Load'!H:H,MATCH('Cost-of-Service Shares'!$A7,'IPM Load'!$A:$A,0))</f>
        <v>39</v>
      </c>
      <c r="M7">
        <f>INDEX('IPM Load'!I:I,MATCH('Cost-of-Service Shares'!$A7,'IPM Load'!$A:$A,0))</f>
        <v>40</v>
      </c>
      <c r="N7" s="14">
        <f t="shared" si="0"/>
        <v>0.18562874251497005</v>
      </c>
      <c r="O7" s="14">
        <f t="shared" si="1"/>
        <v>0.18497109826589594</v>
      </c>
      <c r="P7" s="14">
        <f t="shared" si="2"/>
        <v>0.1864406779661017</v>
      </c>
      <c r="Q7" s="14">
        <f t="shared" si="3"/>
        <v>0.18378378378378379</v>
      </c>
      <c r="R7" s="14">
        <f t="shared" si="4"/>
        <v>0.18652849740932642</v>
      </c>
      <c r="S7" s="14">
        <f t="shared" si="5"/>
        <v>0.18407960199004975</v>
      </c>
      <c r="T7" s="14">
        <f t="shared" si="6"/>
        <v>0.18483412322274881</v>
      </c>
      <c r="U7" s="14">
        <f t="shared" si="7"/>
        <v>0.1834862385321101</v>
      </c>
      <c r="Y7" t="s">
        <v>138</v>
      </c>
      <c r="Z7" s="7">
        <f t="shared" si="8"/>
        <v>100</v>
      </c>
      <c r="AA7" s="7">
        <f t="shared" si="9"/>
        <v>102</v>
      </c>
      <c r="AB7" s="7">
        <f t="shared" si="10"/>
        <v>103</v>
      </c>
      <c r="AC7" s="7">
        <f t="shared" si="11"/>
        <v>105</v>
      </c>
      <c r="AD7" s="7">
        <f t="shared" si="12"/>
        <v>108</v>
      </c>
      <c r="AE7" s="7">
        <f t="shared" si="13"/>
        <v>111</v>
      </c>
      <c r="AF7" s="7">
        <f t="shared" si="14"/>
        <v>115</v>
      </c>
      <c r="AG7" s="7">
        <f t="shared" si="15"/>
        <v>119</v>
      </c>
      <c r="AI7" t="s">
        <v>138</v>
      </c>
      <c r="AJ7" s="14">
        <f t="shared" si="16"/>
        <v>0.9</v>
      </c>
      <c r="AK7" s="14">
        <f t="shared" si="17"/>
        <v>0.9</v>
      </c>
      <c r="AL7" s="14">
        <f t="shared" si="18"/>
        <v>0.9</v>
      </c>
      <c r="AM7" s="14">
        <f t="shared" si="19"/>
        <v>0.9</v>
      </c>
      <c r="AN7" s="14">
        <f t="shared" si="20"/>
        <v>0.9</v>
      </c>
      <c r="AO7" s="14">
        <f t="shared" si="21"/>
        <v>0.9</v>
      </c>
      <c r="AP7" s="14">
        <f t="shared" si="22"/>
        <v>0.9</v>
      </c>
      <c r="AQ7" s="14">
        <f t="shared" si="23"/>
        <v>0.9</v>
      </c>
      <c r="AS7" s="14" cm="1">
        <f t="array" ref="AS7">TREND($AJ7:$AQ7,$AJ$2:$AQ$2,AS$2)</f>
        <v>0.90000000000000013</v>
      </c>
      <c r="AT7" s="14" cm="1">
        <f t="array" ref="AT7">TREND($AJ7:$AQ7,$AJ$2:$AQ$2,AT$2)</f>
        <v>0.90000000000000013</v>
      </c>
      <c r="AU7" s="14" cm="1">
        <f t="array" ref="AU7">TREND($AJ7:$AQ7,$AJ$2:$AQ$2,AU$2)</f>
        <v>0.90000000000000013</v>
      </c>
      <c r="AV7" s="14" cm="1">
        <f t="array" ref="AV7">TREND($AJ7:$AQ7,$AJ$2:$AQ$2,AV$2)</f>
        <v>0.90000000000000013</v>
      </c>
      <c r="AW7" s="14" cm="1">
        <f t="array" ref="AW7">TREND($AJ7:$AQ7,$AJ$2:$AQ$2,AW$2)</f>
        <v>0.90000000000000013</v>
      </c>
      <c r="AX7" s="14" cm="1">
        <f t="array" ref="AX7">TREND($AJ7:$AQ7,$AJ$2:$AQ$2,AX$2)</f>
        <v>0.90000000000000013</v>
      </c>
      <c r="AY7" s="14" cm="1">
        <f t="array" ref="AY7">TREND($AJ7:$AQ7,$AJ$2:$AQ$2,AY$2)</f>
        <v>0.90000000000000013</v>
      </c>
      <c r="AZ7" s="14" cm="1">
        <f t="array" ref="AZ7">TREND($AJ7:$AQ7,$AJ$2:$AQ$2,AZ$2)</f>
        <v>0.90000000000000013</v>
      </c>
      <c r="BA7" s="14" cm="1">
        <f t="array" ref="BA7">TREND($AJ7:$AQ7,$AJ$2:$AQ$2,BA$2)</f>
        <v>0.90000000000000013</v>
      </c>
      <c r="BB7" s="14" cm="1">
        <f t="array" ref="BB7">TREND($AJ7:$AQ7,$AJ$2:$AQ$2,BB$2)</f>
        <v>0.90000000000000013</v>
      </c>
      <c r="BC7" s="14" cm="1">
        <f t="array" ref="BC7">TREND($AJ7:$AQ7,$AJ$2:$AQ$2,BC$2)</f>
        <v>0.90000000000000013</v>
      </c>
      <c r="BD7" s="14" cm="1">
        <f t="array" ref="BD7">TREND($AJ7:$AQ7,$AJ$2:$AQ$2,BD$2)</f>
        <v>0.90000000000000013</v>
      </c>
      <c r="BE7" s="14" cm="1">
        <f t="array" ref="BE7">TREND($AJ7:$AQ7,$AJ$2:$AQ$2,BE$2)</f>
        <v>0.90000000000000013</v>
      </c>
      <c r="BF7" s="14" cm="1">
        <f t="array" ref="BF7">TREND($AJ7:$AQ7,$AJ$2:$AQ$2,BF$2)</f>
        <v>0.90000000000000013</v>
      </c>
      <c r="BG7" s="14" cm="1">
        <f t="array" ref="BG7">TREND($AJ7:$AQ7,$AJ$2:$AQ$2,BG$2)</f>
        <v>0.90000000000000013</v>
      </c>
      <c r="BH7" s="14" cm="1">
        <f t="array" ref="BH7">TREND($AJ7:$AQ7,$AJ$2:$AQ$2,BH$2)</f>
        <v>0.90000000000000013</v>
      </c>
      <c r="BI7" s="14" cm="1">
        <f t="array" ref="BI7">TREND($AJ7:$AQ7,$AJ$2:$AQ$2,BI$2)</f>
        <v>0.90000000000000013</v>
      </c>
      <c r="BJ7" s="14" cm="1">
        <f t="array" ref="BJ7">TREND($AJ7:$AQ7,$AJ$2:$AQ$2,BJ$2)</f>
        <v>0.90000000000000013</v>
      </c>
      <c r="BK7" s="14" cm="1">
        <f t="array" ref="BK7">TREND($AJ7:$AQ7,$AJ$2:$AQ$2,BK$2)</f>
        <v>0.90000000000000013</v>
      </c>
      <c r="BL7" s="14" cm="1">
        <f t="array" ref="BL7">TREND($AJ7:$AQ7,$AJ$2:$AQ$2,BL$2)</f>
        <v>0.90000000000000013</v>
      </c>
      <c r="BM7" s="14" cm="1">
        <f t="array" ref="BM7">TREND($AJ7:$AQ7,$AJ$2:$AQ$2,BM$2)</f>
        <v>0.90000000000000013</v>
      </c>
      <c r="BN7" s="14" cm="1">
        <f t="array" ref="BN7">TREND($AJ7:$AQ7,$AJ$2:$AQ$2,BN$2)</f>
        <v>0.90000000000000013</v>
      </c>
      <c r="BO7" s="14" cm="1">
        <f t="array" ref="BO7">TREND($AJ7:$AQ7,$AJ$2:$AQ$2,BO$2)</f>
        <v>0.90000000000000013</v>
      </c>
      <c r="BP7" s="14" cm="1">
        <f t="array" ref="BP7">TREND($AJ7:$AQ7,$AJ$2:$AQ$2,BP$2)</f>
        <v>0.90000000000000013</v>
      </c>
      <c r="BQ7" s="14" cm="1">
        <f t="array" ref="BQ7">TREND($AJ7:$AQ7,$AJ$2:$AQ$2,BQ$2)</f>
        <v>0.90000000000000013</v>
      </c>
      <c r="BR7" s="14" cm="1">
        <f t="array" ref="BR7">TREND($AJ7:$AQ7,$AJ$2:$AQ$2,BR$2)</f>
        <v>0.90000000000000013</v>
      </c>
      <c r="BS7" s="14" cm="1">
        <f t="array" ref="BS7">TREND($AJ7:$AQ7,$AJ$2:$AQ$2,BS$2)</f>
        <v>0.90000000000000013</v>
      </c>
      <c r="BT7" s="14" cm="1">
        <f t="array" ref="BT7">TREND($AJ7:$AQ7,$AJ$2:$AQ$2,BT$2)</f>
        <v>0.90000000000000013</v>
      </c>
      <c r="BU7" s="14" cm="1">
        <f t="array" ref="BU7">TREND($AJ7:$AQ7,$AJ$2:$AQ$2,BU$2)</f>
        <v>0.90000000000000013</v>
      </c>
      <c r="BV7" s="14" cm="1">
        <f t="array" ref="BV7">TREND($AJ7:$AQ7,$AJ$2:$AQ$2,BV$2)</f>
        <v>0.90000000000000013</v>
      </c>
    </row>
    <row r="8" spans="1:74" x14ac:dyDescent="0.3">
      <c r="A8" t="s">
        <v>25</v>
      </c>
      <c r="B8" t="s">
        <v>139</v>
      </c>
      <c r="D8">
        <v>0</v>
      </c>
      <c r="E8">
        <v>1</v>
      </c>
      <c r="F8">
        <f>INDEX('IPM Load'!B:B,MATCH('Cost-of-Service Shares'!$A8,'IPM Load'!$A:$A,0))</f>
        <v>36</v>
      </c>
      <c r="G8">
        <f>INDEX('IPM Load'!C:C,MATCH('Cost-of-Service Shares'!$A8,'IPM Load'!$A:$A,0))</f>
        <v>38</v>
      </c>
      <c r="H8">
        <f>INDEX('IPM Load'!D:D,MATCH('Cost-of-Service Shares'!$A8,'IPM Load'!$A:$A,0))</f>
        <v>39</v>
      </c>
      <c r="I8">
        <f>INDEX('IPM Load'!E:E,MATCH('Cost-of-Service Shares'!$A8,'IPM Load'!$A:$A,0))</f>
        <v>40</v>
      </c>
      <c r="J8">
        <f>INDEX('IPM Load'!F:F,MATCH('Cost-of-Service Shares'!$A8,'IPM Load'!$A:$A,0))</f>
        <v>42</v>
      </c>
      <c r="K8">
        <f>INDEX('IPM Load'!G:G,MATCH('Cost-of-Service Shares'!$A8,'IPM Load'!$A:$A,0))</f>
        <v>44</v>
      </c>
      <c r="L8">
        <f>INDEX('IPM Load'!H:H,MATCH('Cost-of-Service Shares'!$A8,'IPM Load'!$A:$A,0))</f>
        <v>46</v>
      </c>
      <c r="M8">
        <f>INDEX('IPM Load'!I:I,MATCH('Cost-of-Service Shares'!$A8,'IPM Load'!$A:$A,0))</f>
        <v>48</v>
      </c>
      <c r="N8" s="14">
        <f t="shared" si="0"/>
        <v>0.21556886227544911</v>
      </c>
      <c r="O8" s="14">
        <f t="shared" si="1"/>
        <v>0.21965317919075145</v>
      </c>
      <c r="P8" s="14">
        <f t="shared" si="2"/>
        <v>0.22033898305084745</v>
      </c>
      <c r="Q8" s="14">
        <f t="shared" si="3"/>
        <v>0.21621621621621623</v>
      </c>
      <c r="R8" s="14">
        <f t="shared" si="4"/>
        <v>0.21761658031088082</v>
      </c>
      <c r="S8" s="14">
        <f t="shared" si="5"/>
        <v>0.21890547263681592</v>
      </c>
      <c r="T8" s="14">
        <f t="shared" si="6"/>
        <v>0.21800947867298578</v>
      </c>
      <c r="U8" s="14">
        <f t="shared" si="7"/>
        <v>0.22018348623853212</v>
      </c>
      <c r="Y8" t="s">
        <v>139</v>
      </c>
      <c r="Z8" s="7">
        <f t="shared" si="8"/>
        <v>167</v>
      </c>
      <c r="AA8" s="7">
        <f t="shared" si="9"/>
        <v>173</v>
      </c>
      <c r="AB8" s="7">
        <f t="shared" si="10"/>
        <v>177</v>
      </c>
      <c r="AC8" s="7">
        <f t="shared" si="11"/>
        <v>185</v>
      </c>
      <c r="AD8" s="7">
        <f t="shared" si="12"/>
        <v>193</v>
      </c>
      <c r="AE8" s="7">
        <f t="shared" si="13"/>
        <v>201</v>
      </c>
      <c r="AF8" s="7">
        <f t="shared" si="14"/>
        <v>211</v>
      </c>
      <c r="AG8" s="7">
        <f t="shared" si="15"/>
        <v>218</v>
      </c>
      <c r="AI8" t="s">
        <v>139</v>
      </c>
      <c r="AJ8" s="14">
        <f t="shared" si="16"/>
        <v>1</v>
      </c>
      <c r="AK8" s="14">
        <f t="shared" si="17"/>
        <v>1</v>
      </c>
      <c r="AL8" s="14">
        <f t="shared" si="18"/>
        <v>1</v>
      </c>
      <c r="AM8" s="14">
        <f t="shared" si="19"/>
        <v>1</v>
      </c>
      <c r="AN8" s="14">
        <f t="shared" si="20"/>
        <v>1</v>
      </c>
      <c r="AO8" s="14">
        <f t="shared" si="21"/>
        <v>1</v>
      </c>
      <c r="AP8" s="14">
        <f t="shared" si="22"/>
        <v>0.99999999999999989</v>
      </c>
      <c r="AQ8" s="14">
        <f t="shared" si="23"/>
        <v>1</v>
      </c>
      <c r="AS8" s="14" cm="1">
        <f t="array" ref="AS8">TREND($AJ8:$AQ8,$AJ$2:$AQ$2,AS$2)</f>
        <v>0.99999999999999989</v>
      </c>
      <c r="AT8" s="14" cm="1">
        <f t="array" ref="AT8">TREND($AJ8:$AQ8,$AJ$2:$AQ$2,AT$2)</f>
        <v>0.99999999999999989</v>
      </c>
      <c r="AU8" s="14" cm="1">
        <f t="array" ref="AU8">TREND($AJ8:$AQ8,$AJ$2:$AQ$2,AU$2)</f>
        <v>0.99999999999999989</v>
      </c>
      <c r="AV8" s="14" cm="1">
        <f t="array" ref="AV8">TREND($AJ8:$AQ8,$AJ$2:$AQ$2,AV$2)</f>
        <v>0.99999999999999989</v>
      </c>
      <c r="AW8" s="14" cm="1">
        <f t="array" ref="AW8">TREND($AJ8:$AQ8,$AJ$2:$AQ$2,AW$2)</f>
        <v>0.99999999999999989</v>
      </c>
      <c r="AX8" s="14" cm="1">
        <f t="array" ref="AX8">TREND($AJ8:$AQ8,$AJ$2:$AQ$2,AX$2)</f>
        <v>0.99999999999999989</v>
      </c>
      <c r="AY8" s="14" cm="1">
        <f t="array" ref="AY8">TREND($AJ8:$AQ8,$AJ$2:$AQ$2,AY$2)</f>
        <v>0.99999999999999989</v>
      </c>
      <c r="AZ8" s="14" cm="1">
        <f t="array" ref="AZ8">TREND($AJ8:$AQ8,$AJ$2:$AQ$2,AZ$2)</f>
        <v>0.99999999999999989</v>
      </c>
      <c r="BA8" s="14" cm="1">
        <f t="array" ref="BA8">TREND($AJ8:$AQ8,$AJ$2:$AQ$2,BA$2)</f>
        <v>0.99999999999999989</v>
      </c>
      <c r="BB8" s="14" cm="1">
        <f t="array" ref="BB8">TREND($AJ8:$AQ8,$AJ$2:$AQ$2,BB$2)</f>
        <v>0.99999999999999989</v>
      </c>
      <c r="BC8" s="14" cm="1">
        <f t="array" ref="BC8">TREND($AJ8:$AQ8,$AJ$2:$AQ$2,BC$2)</f>
        <v>0.99999999999999989</v>
      </c>
      <c r="BD8" s="14" cm="1">
        <f t="array" ref="BD8">TREND($AJ8:$AQ8,$AJ$2:$AQ$2,BD$2)</f>
        <v>0.99999999999999989</v>
      </c>
      <c r="BE8" s="14" cm="1">
        <f t="array" ref="BE8">TREND($AJ8:$AQ8,$AJ$2:$AQ$2,BE$2)</f>
        <v>0.99999999999999989</v>
      </c>
      <c r="BF8" s="14" cm="1">
        <f t="array" ref="BF8">TREND($AJ8:$AQ8,$AJ$2:$AQ$2,BF$2)</f>
        <v>0.99999999999999989</v>
      </c>
      <c r="BG8" s="14" cm="1">
        <f t="array" ref="BG8">TREND($AJ8:$AQ8,$AJ$2:$AQ$2,BG$2)</f>
        <v>0.99999999999999989</v>
      </c>
      <c r="BH8" s="14" cm="1">
        <f t="array" ref="BH8">TREND($AJ8:$AQ8,$AJ$2:$AQ$2,BH$2)</f>
        <v>0.99999999999999989</v>
      </c>
      <c r="BI8" s="14" cm="1">
        <f t="array" ref="BI8">TREND($AJ8:$AQ8,$AJ$2:$AQ$2,BI$2)</f>
        <v>0.99999999999999989</v>
      </c>
      <c r="BJ8" s="14" cm="1">
        <f t="array" ref="BJ8">TREND($AJ8:$AQ8,$AJ$2:$AQ$2,BJ$2)</f>
        <v>0.99999999999999989</v>
      </c>
      <c r="BK8" s="14" cm="1">
        <f t="array" ref="BK8">TREND($AJ8:$AQ8,$AJ$2:$AQ$2,BK$2)</f>
        <v>0.99999999999999989</v>
      </c>
      <c r="BL8" s="14" cm="1">
        <f t="array" ref="BL8">TREND($AJ8:$AQ8,$AJ$2:$AQ$2,BL$2)</f>
        <v>0.99999999999999989</v>
      </c>
      <c r="BM8" s="14" cm="1">
        <f t="array" ref="BM8">TREND($AJ8:$AQ8,$AJ$2:$AQ$2,BM$2)</f>
        <v>0.99999999999999989</v>
      </c>
      <c r="BN8" s="14" cm="1">
        <f t="array" ref="BN8">TREND($AJ8:$AQ8,$AJ$2:$AQ$2,BN$2)</f>
        <v>0.99999999999999989</v>
      </c>
      <c r="BO8" s="14" cm="1">
        <f t="array" ref="BO8">TREND($AJ8:$AQ8,$AJ$2:$AQ$2,BO$2)</f>
        <v>0.99999999999999989</v>
      </c>
      <c r="BP8" s="14" cm="1">
        <f t="array" ref="BP8">TREND($AJ8:$AQ8,$AJ$2:$AQ$2,BP$2)</f>
        <v>0.99999999999999989</v>
      </c>
      <c r="BQ8" s="14" cm="1">
        <f t="array" ref="BQ8">TREND($AJ8:$AQ8,$AJ$2:$AQ$2,BQ$2)</f>
        <v>0.99999999999999989</v>
      </c>
      <c r="BR8" s="14" cm="1">
        <f t="array" ref="BR8">TREND($AJ8:$AQ8,$AJ$2:$AQ$2,BR$2)</f>
        <v>0.99999999999999989</v>
      </c>
      <c r="BS8" s="14" cm="1">
        <f t="array" ref="BS8">TREND($AJ8:$AQ8,$AJ$2:$AQ$2,BS$2)</f>
        <v>0.99999999999999989</v>
      </c>
      <c r="BT8" s="14" cm="1">
        <f t="array" ref="BT8">TREND($AJ8:$AQ8,$AJ$2:$AQ$2,BT$2)</f>
        <v>0.99999999999999989</v>
      </c>
      <c r="BU8" s="14" cm="1">
        <f t="array" ref="BU8">TREND($AJ8:$AQ8,$AJ$2:$AQ$2,BU$2)</f>
        <v>0.99999999999999989</v>
      </c>
      <c r="BV8" s="14" cm="1">
        <f t="array" ref="BV8">TREND($AJ8:$AQ8,$AJ$2:$AQ$2,BV$2)</f>
        <v>0.99999999999999989</v>
      </c>
    </row>
    <row r="9" spans="1:74" x14ac:dyDescent="0.3">
      <c r="A9" t="s">
        <v>26</v>
      </c>
      <c r="B9" t="s">
        <v>139</v>
      </c>
      <c r="D9">
        <v>0</v>
      </c>
      <c r="E9">
        <v>1</v>
      </c>
      <c r="F9">
        <f>INDEX('IPM Load'!B:B,MATCH('Cost-of-Service Shares'!$A9,'IPM Load'!$A:$A,0))</f>
        <v>22</v>
      </c>
      <c r="G9">
        <f>INDEX('IPM Load'!C:C,MATCH('Cost-of-Service Shares'!$A9,'IPM Load'!$A:$A,0))</f>
        <v>23</v>
      </c>
      <c r="H9">
        <f>INDEX('IPM Load'!D:D,MATCH('Cost-of-Service Shares'!$A9,'IPM Load'!$A:$A,0))</f>
        <v>23</v>
      </c>
      <c r="I9">
        <f>INDEX('IPM Load'!E:E,MATCH('Cost-of-Service Shares'!$A9,'IPM Load'!$A:$A,0))</f>
        <v>24</v>
      </c>
      <c r="J9">
        <f>INDEX('IPM Load'!F:F,MATCH('Cost-of-Service Shares'!$A9,'IPM Load'!$A:$A,0))</f>
        <v>25</v>
      </c>
      <c r="K9">
        <f>INDEX('IPM Load'!G:G,MATCH('Cost-of-Service Shares'!$A9,'IPM Load'!$A:$A,0))</f>
        <v>26</v>
      </c>
      <c r="L9">
        <f>INDEX('IPM Load'!H:H,MATCH('Cost-of-Service Shares'!$A9,'IPM Load'!$A:$A,0))</f>
        <v>27</v>
      </c>
      <c r="M9">
        <f>INDEX('IPM Load'!I:I,MATCH('Cost-of-Service Shares'!$A9,'IPM Load'!$A:$A,0))</f>
        <v>28</v>
      </c>
      <c r="N9" s="14">
        <f t="shared" si="0"/>
        <v>0.1317365269461078</v>
      </c>
      <c r="O9" s="14">
        <f t="shared" si="1"/>
        <v>0.13294797687861271</v>
      </c>
      <c r="P9" s="14">
        <f t="shared" si="2"/>
        <v>0.12994350282485875</v>
      </c>
      <c r="Q9" s="14">
        <f t="shared" si="3"/>
        <v>0.12972972972972974</v>
      </c>
      <c r="R9" s="14">
        <f t="shared" si="4"/>
        <v>0.12953367875647667</v>
      </c>
      <c r="S9" s="14">
        <f t="shared" si="5"/>
        <v>0.12935323383084577</v>
      </c>
      <c r="T9" s="14">
        <f t="shared" si="6"/>
        <v>0.12796208530805686</v>
      </c>
      <c r="U9" s="14">
        <f t="shared" si="7"/>
        <v>0.12844036697247707</v>
      </c>
      <c r="Y9" t="s">
        <v>140</v>
      </c>
      <c r="Z9" s="7">
        <f t="shared" si="8"/>
        <v>119</v>
      </c>
      <c r="AA9" s="7">
        <f t="shared" si="9"/>
        <v>120</v>
      </c>
      <c r="AB9" s="7">
        <f t="shared" si="10"/>
        <v>120</v>
      </c>
      <c r="AC9" s="7">
        <f t="shared" si="11"/>
        <v>121</v>
      </c>
      <c r="AD9" s="7">
        <f t="shared" si="12"/>
        <v>122</v>
      </c>
      <c r="AE9" s="7">
        <f t="shared" si="13"/>
        <v>123</v>
      </c>
      <c r="AF9" s="7">
        <f t="shared" si="14"/>
        <v>123</v>
      </c>
      <c r="AG9" s="7">
        <f t="shared" si="15"/>
        <v>123</v>
      </c>
      <c r="AI9" t="s">
        <v>140</v>
      </c>
      <c r="AJ9" s="14">
        <f t="shared" si="16"/>
        <v>0.05</v>
      </c>
      <c r="AK9" s="14">
        <f t="shared" si="17"/>
        <v>0.05</v>
      </c>
      <c r="AL9" s="14">
        <f t="shared" si="18"/>
        <v>0.05</v>
      </c>
      <c r="AM9" s="14">
        <f t="shared" si="19"/>
        <v>0.05</v>
      </c>
      <c r="AN9" s="14">
        <f t="shared" si="20"/>
        <v>0.05</v>
      </c>
      <c r="AO9" s="14">
        <f t="shared" si="21"/>
        <v>0.05</v>
      </c>
      <c r="AP9" s="14">
        <f t="shared" si="22"/>
        <v>0.05</v>
      </c>
      <c r="AQ9" s="14">
        <f t="shared" si="23"/>
        <v>0.05</v>
      </c>
      <c r="AS9" s="14" cm="1">
        <f t="array" ref="AS9">TREND($AJ9:$AQ9,$AJ$2:$AQ$2,AS$2)</f>
        <v>4.9999999999999996E-2</v>
      </c>
      <c r="AT9" s="14" cm="1">
        <f t="array" ref="AT9">TREND($AJ9:$AQ9,$AJ$2:$AQ$2,AT$2)</f>
        <v>4.9999999999999996E-2</v>
      </c>
      <c r="AU9" s="14" cm="1">
        <f t="array" ref="AU9">TREND($AJ9:$AQ9,$AJ$2:$AQ$2,AU$2)</f>
        <v>4.9999999999999996E-2</v>
      </c>
      <c r="AV9" s="14" cm="1">
        <f t="array" ref="AV9">TREND($AJ9:$AQ9,$AJ$2:$AQ$2,AV$2)</f>
        <v>4.9999999999999996E-2</v>
      </c>
      <c r="AW9" s="14" cm="1">
        <f t="array" ref="AW9">TREND($AJ9:$AQ9,$AJ$2:$AQ$2,AW$2)</f>
        <v>4.9999999999999996E-2</v>
      </c>
      <c r="AX9" s="14" cm="1">
        <f t="array" ref="AX9">TREND($AJ9:$AQ9,$AJ$2:$AQ$2,AX$2)</f>
        <v>4.9999999999999996E-2</v>
      </c>
      <c r="AY9" s="14" cm="1">
        <f t="array" ref="AY9">TREND($AJ9:$AQ9,$AJ$2:$AQ$2,AY$2)</f>
        <v>4.9999999999999996E-2</v>
      </c>
      <c r="AZ9" s="14" cm="1">
        <f t="array" ref="AZ9">TREND($AJ9:$AQ9,$AJ$2:$AQ$2,AZ$2)</f>
        <v>4.9999999999999996E-2</v>
      </c>
      <c r="BA9" s="14" cm="1">
        <f t="array" ref="BA9">TREND($AJ9:$AQ9,$AJ$2:$AQ$2,BA$2)</f>
        <v>4.9999999999999996E-2</v>
      </c>
      <c r="BB9" s="14" cm="1">
        <f t="array" ref="BB9">TREND($AJ9:$AQ9,$AJ$2:$AQ$2,BB$2)</f>
        <v>4.9999999999999996E-2</v>
      </c>
      <c r="BC9" s="14" cm="1">
        <f t="array" ref="BC9">TREND($AJ9:$AQ9,$AJ$2:$AQ$2,BC$2)</f>
        <v>4.9999999999999996E-2</v>
      </c>
      <c r="BD9" s="14" cm="1">
        <f t="array" ref="BD9">TREND($AJ9:$AQ9,$AJ$2:$AQ$2,BD$2)</f>
        <v>4.9999999999999996E-2</v>
      </c>
      <c r="BE9" s="14" cm="1">
        <f t="array" ref="BE9">TREND($AJ9:$AQ9,$AJ$2:$AQ$2,BE$2)</f>
        <v>4.9999999999999996E-2</v>
      </c>
      <c r="BF9" s="14" cm="1">
        <f t="array" ref="BF9">TREND($AJ9:$AQ9,$AJ$2:$AQ$2,BF$2)</f>
        <v>4.9999999999999996E-2</v>
      </c>
      <c r="BG9" s="14" cm="1">
        <f t="array" ref="BG9">TREND($AJ9:$AQ9,$AJ$2:$AQ$2,BG$2)</f>
        <v>4.9999999999999996E-2</v>
      </c>
      <c r="BH9" s="14" cm="1">
        <f t="array" ref="BH9">TREND($AJ9:$AQ9,$AJ$2:$AQ$2,BH$2)</f>
        <v>4.9999999999999996E-2</v>
      </c>
      <c r="BI9" s="14" cm="1">
        <f t="array" ref="BI9">TREND($AJ9:$AQ9,$AJ$2:$AQ$2,BI$2)</f>
        <v>4.9999999999999996E-2</v>
      </c>
      <c r="BJ9" s="14" cm="1">
        <f t="array" ref="BJ9">TREND($AJ9:$AQ9,$AJ$2:$AQ$2,BJ$2)</f>
        <v>4.9999999999999996E-2</v>
      </c>
      <c r="BK9" s="14" cm="1">
        <f t="array" ref="BK9">TREND($AJ9:$AQ9,$AJ$2:$AQ$2,BK$2)</f>
        <v>4.9999999999999996E-2</v>
      </c>
      <c r="BL9" s="14" cm="1">
        <f t="array" ref="BL9">TREND($AJ9:$AQ9,$AJ$2:$AQ$2,BL$2)</f>
        <v>4.9999999999999996E-2</v>
      </c>
      <c r="BM9" s="14" cm="1">
        <f t="array" ref="BM9">TREND($AJ9:$AQ9,$AJ$2:$AQ$2,BM$2)</f>
        <v>4.9999999999999996E-2</v>
      </c>
      <c r="BN9" s="14" cm="1">
        <f t="array" ref="BN9">TREND($AJ9:$AQ9,$AJ$2:$AQ$2,BN$2)</f>
        <v>4.9999999999999996E-2</v>
      </c>
      <c r="BO9" s="14" cm="1">
        <f t="array" ref="BO9">TREND($AJ9:$AQ9,$AJ$2:$AQ$2,BO$2)</f>
        <v>4.9999999999999996E-2</v>
      </c>
      <c r="BP9" s="14" cm="1">
        <f t="array" ref="BP9">TREND($AJ9:$AQ9,$AJ$2:$AQ$2,BP$2)</f>
        <v>4.9999999999999996E-2</v>
      </c>
      <c r="BQ9" s="14" cm="1">
        <f t="array" ref="BQ9">TREND($AJ9:$AQ9,$AJ$2:$AQ$2,BQ$2)</f>
        <v>4.9999999999999996E-2</v>
      </c>
      <c r="BR9" s="14" cm="1">
        <f t="array" ref="BR9">TREND($AJ9:$AQ9,$AJ$2:$AQ$2,BR$2)</f>
        <v>4.9999999999999996E-2</v>
      </c>
      <c r="BS9" s="14" cm="1">
        <f t="array" ref="BS9">TREND($AJ9:$AQ9,$AJ$2:$AQ$2,BS$2)</f>
        <v>4.9999999999999996E-2</v>
      </c>
      <c r="BT9" s="14" cm="1">
        <f t="array" ref="BT9">TREND($AJ9:$AQ9,$AJ$2:$AQ$2,BT$2)</f>
        <v>4.9999999999999996E-2</v>
      </c>
      <c r="BU9" s="14" cm="1">
        <f t="array" ref="BU9">TREND($AJ9:$AQ9,$AJ$2:$AQ$2,BU$2)</f>
        <v>4.9999999999999996E-2</v>
      </c>
      <c r="BV9" s="14" cm="1">
        <f t="array" ref="BV9">TREND($AJ9:$AQ9,$AJ$2:$AQ$2,BV$2)</f>
        <v>4.9999999999999996E-2</v>
      </c>
    </row>
    <row r="10" spans="1:74" x14ac:dyDescent="0.3">
      <c r="A10" t="s">
        <v>27</v>
      </c>
      <c r="B10" t="s">
        <v>136</v>
      </c>
      <c r="D10">
        <v>0.01</v>
      </c>
      <c r="E10">
        <v>0.99</v>
      </c>
      <c r="F10">
        <f>INDEX('IPM Load'!B:B,MATCH('Cost-of-Service Shares'!$A10,'IPM Load'!$A:$A,0))</f>
        <v>22</v>
      </c>
      <c r="G10">
        <f>INDEX('IPM Load'!C:C,MATCH('Cost-of-Service Shares'!$A10,'IPM Load'!$A:$A,0))</f>
        <v>22</v>
      </c>
      <c r="H10">
        <f>INDEX('IPM Load'!D:D,MATCH('Cost-of-Service Shares'!$A10,'IPM Load'!$A:$A,0))</f>
        <v>23</v>
      </c>
      <c r="I10">
        <f>INDEX('IPM Load'!E:E,MATCH('Cost-of-Service Shares'!$A10,'IPM Load'!$A:$A,0))</f>
        <v>23</v>
      </c>
      <c r="J10">
        <f>INDEX('IPM Load'!F:F,MATCH('Cost-of-Service Shares'!$A10,'IPM Load'!$A:$A,0))</f>
        <v>24</v>
      </c>
      <c r="K10">
        <f>INDEX('IPM Load'!G:G,MATCH('Cost-of-Service Shares'!$A10,'IPM Load'!$A:$A,0))</f>
        <v>25</v>
      </c>
      <c r="L10">
        <f>INDEX('IPM Load'!H:H,MATCH('Cost-of-Service Shares'!$A10,'IPM Load'!$A:$A,0))</f>
        <v>26</v>
      </c>
      <c r="M10">
        <f>INDEX('IPM Load'!I:I,MATCH('Cost-of-Service Shares'!$A10,'IPM Load'!$A:$A,0))</f>
        <v>27</v>
      </c>
      <c r="N10" s="14">
        <f t="shared" si="0"/>
        <v>0.10714967380643475</v>
      </c>
      <c r="O10" s="14">
        <f t="shared" si="1"/>
        <v>0.10468614645107811</v>
      </c>
      <c r="P10" s="14">
        <f t="shared" si="2"/>
        <v>0.10840252840962052</v>
      </c>
      <c r="Q10" s="14">
        <f t="shared" si="3"/>
        <v>0.10539205022294312</v>
      </c>
      <c r="R10" s="14">
        <f t="shared" si="4"/>
        <v>0.1070027098581024</v>
      </c>
      <c r="S10" s="14">
        <f t="shared" si="5"/>
        <v>0.10768649463616652</v>
      </c>
      <c r="T10" s="14">
        <f t="shared" si="6"/>
        <v>0.10822682163846647</v>
      </c>
      <c r="U10" s="14">
        <f t="shared" si="7"/>
        <v>0.10829147487078279</v>
      </c>
      <c r="Y10" t="s">
        <v>50</v>
      </c>
      <c r="Z10" s="7">
        <f t="shared" si="8"/>
        <v>73</v>
      </c>
      <c r="AA10" s="7">
        <f t="shared" si="9"/>
        <v>73</v>
      </c>
      <c r="AB10" s="7">
        <f t="shared" si="10"/>
        <v>73</v>
      </c>
      <c r="AC10" s="7">
        <f t="shared" si="11"/>
        <v>72</v>
      </c>
      <c r="AD10" s="7">
        <f t="shared" si="12"/>
        <v>71</v>
      </c>
      <c r="AE10" s="7">
        <f t="shared" si="13"/>
        <v>71</v>
      </c>
      <c r="AF10" s="7">
        <f t="shared" si="14"/>
        <v>71</v>
      </c>
      <c r="AG10" s="7">
        <f t="shared" si="15"/>
        <v>72</v>
      </c>
      <c r="AI10" t="s">
        <v>50</v>
      </c>
      <c r="AJ10" s="14">
        <f t="shared" si="16"/>
        <v>0</v>
      </c>
      <c r="AK10" s="14">
        <f t="shared" si="17"/>
        <v>0</v>
      </c>
      <c r="AL10" s="14">
        <f t="shared" si="18"/>
        <v>0</v>
      </c>
      <c r="AM10" s="14">
        <f t="shared" si="19"/>
        <v>0</v>
      </c>
      <c r="AN10" s="14">
        <f t="shared" si="20"/>
        <v>0</v>
      </c>
      <c r="AO10" s="14">
        <f t="shared" si="21"/>
        <v>0</v>
      </c>
      <c r="AP10" s="14">
        <f t="shared" si="22"/>
        <v>0</v>
      </c>
      <c r="AQ10" s="14">
        <f t="shared" si="23"/>
        <v>0</v>
      </c>
      <c r="AS10" s="14" cm="1">
        <f t="array" ref="AS10">TREND($AJ10:$AQ10,$AJ$2:$AQ$2,AS$2)</f>
        <v>0</v>
      </c>
      <c r="AT10" s="14" cm="1">
        <f t="array" ref="AT10">TREND($AJ10:$AQ10,$AJ$2:$AQ$2,AT$2)</f>
        <v>0</v>
      </c>
      <c r="AU10" s="14" cm="1">
        <f t="array" ref="AU10">TREND($AJ10:$AQ10,$AJ$2:$AQ$2,AU$2)</f>
        <v>0</v>
      </c>
      <c r="AV10" s="14" cm="1">
        <f t="array" ref="AV10">TREND($AJ10:$AQ10,$AJ$2:$AQ$2,AV$2)</f>
        <v>0</v>
      </c>
      <c r="AW10" s="14" cm="1">
        <f t="array" ref="AW10">TREND($AJ10:$AQ10,$AJ$2:$AQ$2,AW$2)</f>
        <v>0</v>
      </c>
      <c r="AX10" s="14" cm="1">
        <f t="array" ref="AX10">TREND($AJ10:$AQ10,$AJ$2:$AQ$2,AX$2)</f>
        <v>0</v>
      </c>
      <c r="AY10" s="14" cm="1">
        <f t="array" ref="AY10">TREND($AJ10:$AQ10,$AJ$2:$AQ$2,AY$2)</f>
        <v>0</v>
      </c>
      <c r="AZ10" s="14" cm="1">
        <f t="array" ref="AZ10">TREND($AJ10:$AQ10,$AJ$2:$AQ$2,AZ$2)</f>
        <v>0</v>
      </c>
      <c r="BA10" s="14" cm="1">
        <f t="array" ref="BA10">TREND($AJ10:$AQ10,$AJ$2:$AQ$2,BA$2)</f>
        <v>0</v>
      </c>
      <c r="BB10" s="14" cm="1">
        <f t="array" ref="BB10">TREND($AJ10:$AQ10,$AJ$2:$AQ$2,BB$2)</f>
        <v>0</v>
      </c>
      <c r="BC10" s="14" cm="1">
        <f t="array" ref="BC10">TREND($AJ10:$AQ10,$AJ$2:$AQ$2,BC$2)</f>
        <v>0</v>
      </c>
      <c r="BD10" s="14" cm="1">
        <f t="array" ref="BD10">TREND($AJ10:$AQ10,$AJ$2:$AQ$2,BD$2)</f>
        <v>0</v>
      </c>
      <c r="BE10" s="14" cm="1">
        <f t="array" ref="BE10">TREND($AJ10:$AQ10,$AJ$2:$AQ$2,BE$2)</f>
        <v>0</v>
      </c>
      <c r="BF10" s="14" cm="1">
        <f t="array" ref="BF10">TREND($AJ10:$AQ10,$AJ$2:$AQ$2,BF$2)</f>
        <v>0</v>
      </c>
      <c r="BG10" s="14" cm="1">
        <f t="array" ref="BG10">TREND($AJ10:$AQ10,$AJ$2:$AQ$2,BG$2)</f>
        <v>0</v>
      </c>
      <c r="BH10" s="14" cm="1">
        <f t="array" ref="BH10">TREND($AJ10:$AQ10,$AJ$2:$AQ$2,BH$2)</f>
        <v>0</v>
      </c>
      <c r="BI10" s="14" cm="1">
        <f t="array" ref="BI10">TREND($AJ10:$AQ10,$AJ$2:$AQ$2,BI$2)</f>
        <v>0</v>
      </c>
      <c r="BJ10" s="14" cm="1">
        <f t="array" ref="BJ10">TREND($AJ10:$AQ10,$AJ$2:$AQ$2,BJ$2)</f>
        <v>0</v>
      </c>
      <c r="BK10" s="14" cm="1">
        <f t="array" ref="BK10">TREND($AJ10:$AQ10,$AJ$2:$AQ$2,BK$2)</f>
        <v>0</v>
      </c>
      <c r="BL10" s="14" cm="1">
        <f t="array" ref="BL10">TREND($AJ10:$AQ10,$AJ$2:$AQ$2,BL$2)</f>
        <v>0</v>
      </c>
      <c r="BM10" s="14" cm="1">
        <f t="array" ref="BM10">TREND($AJ10:$AQ10,$AJ$2:$AQ$2,BM$2)</f>
        <v>0</v>
      </c>
      <c r="BN10" s="14" cm="1">
        <f t="array" ref="BN10">TREND($AJ10:$AQ10,$AJ$2:$AQ$2,BN$2)</f>
        <v>0</v>
      </c>
      <c r="BO10" s="14" cm="1">
        <f t="array" ref="BO10">TREND($AJ10:$AQ10,$AJ$2:$AQ$2,BO$2)</f>
        <v>0</v>
      </c>
      <c r="BP10" s="14" cm="1">
        <f t="array" ref="BP10">TREND($AJ10:$AQ10,$AJ$2:$AQ$2,BP$2)</f>
        <v>0</v>
      </c>
      <c r="BQ10" s="14" cm="1">
        <f t="array" ref="BQ10">TREND($AJ10:$AQ10,$AJ$2:$AQ$2,BQ$2)</f>
        <v>0</v>
      </c>
      <c r="BR10" s="14" cm="1">
        <f t="array" ref="BR10">TREND($AJ10:$AQ10,$AJ$2:$AQ$2,BR$2)</f>
        <v>0</v>
      </c>
      <c r="BS10" s="14" cm="1">
        <f t="array" ref="BS10">TREND($AJ10:$AQ10,$AJ$2:$AQ$2,BS$2)</f>
        <v>0</v>
      </c>
      <c r="BT10" s="14" cm="1">
        <f t="array" ref="BT10">TREND($AJ10:$AQ10,$AJ$2:$AQ$2,BT$2)</f>
        <v>0</v>
      </c>
      <c r="BU10" s="14" cm="1">
        <f t="array" ref="BU10">TREND($AJ10:$AQ10,$AJ$2:$AQ$2,BU$2)</f>
        <v>0</v>
      </c>
      <c r="BV10" s="14" cm="1">
        <f t="array" ref="BV10">TREND($AJ10:$AQ10,$AJ$2:$AQ$2,BV$2)</f>
        <v>0</v>
      </c>
    </row>
    <row r="11" spans="1:74" x14ac:dyDescent="0.3">
      <c r="A11" t="s">
        <v>28</v>
      </c>
      <c r="B11" t="s">
        <v>137</v>
      </c>
      <c r="D11">
        <v>0.09</v>
      </c>
      <c r="E11">
        <v>0.91</v>
      </c>
      <c r="F11">
        <f>INDEX('IPM Load'!B:B,MATCH('Cost-of-Service Shares'!$A11,'IPM Load'!$A:$A,0))</f>
        <v>48</v>
      </c>
      <c r="G11">
        <f>INDEX('IPM Load'!C:C,MATCH('Cost-of-Service Shares'!$A11,'IPM Load'!$A:$A,0))</f>
        <v>49</v>
      </c>
      <c r="H11">
        <f>INDEX('IPM Load'!D:D,MATCH('Cost-of-Service Shares'!$A11,'IPM Load'!$A:$A,0))</f>
        <v>49</v>
      </c>
      <c r="I11">
        <f>INDEX('IPM Load'!E:E,MATCH('Cost-of-Service Shares'!$A11,'IPM Load'!$A:$A,0))</f>
        <v>51</v>
      </c>
      <c r="J11">
        <f>INDEX('IPM Load'!F:F,MATCH('Cost-of-Service Shares'!$A11,'IPM Load'!$A:$A,0))</f>
        <v>52</v>
      </c>
      <c r="K11">
        <f>INDEX('IPM Load'!G:G,MATCH('Cost-of-Service Shares'!$A11,'IPM Load'!$A:$A,0))</f>
        <v>54</v>
      </c>
      <c r="L11">
        <f>INDEX('IPM Load'!H:H,MATCH('Cost-of-Service Shares'!$A11,'IPM Load'!$A:$A,0))</f>
        <v>56</v>
      </c>
      <c r="M11">
        <f>INDEX('IPM Load'!I:I,MATCH('Cost-of-Service Shares'!$A11,'IPM Load'!$A:$A,0))</f>
        <v>58</v>
      </c>
      <c r="N11" s="14">
        <f t="shared" si="0"/>
        <v>0.22236936135098426</v>
      </c>
      <c r="O11" s="14">
        <f t="shared" si="1"/>
        <v>0.22293954452659673</v>
      </c>
      <c r="P11" s="14">
        <f t="shared" si="2"/>
        <v>0.22073232479339483</v>
      </c>
      <c r="Q11" s="14">
        <f t="shared" si="3"/>
        <v>0.2231149387508802</v>
      </c>
      <c r="R11" s="14">
        <f t="shared" si="4"/>
        <v>0.22258931512923083</v>
      </c>
      <c r="S11" s="14">
        <f t="shared" si="5"/>
        <v>0.22319293260846026</v>
      </c>
      <c r="T11" s="14">
        <f t="shared" si="6"/>
        <v>0.22432711160773161</v>
      </c>
      <c r="U11" s="14">
        <f t="shared" si="7"/>
        <v>0.22388341173205559</v>
      </c>
      <c r="Y11" t="s">
        <v>48</v>
      </c>
      <c r="Z11" s="7">
        <f t="shared" si="8"/>
        <v>48</v>
      </c>
      <c r="AA11" s="7">
        <f t="shared" si="9"/>
        <v>48</v>
      </c>
      <c r="AB11" s="7">
        <f t="shared" si="10"/>
        <v>50</v>
      </c>
      <c r="AC11" s="7">
        <f t="shared" si="11"/>
        <v>48</v>
      </c>
      <c r="AD11" s="7">
        <f t="shared" si="12"/>
        <v>48</v>
      </c>
      <c r="AE11" s="7">
        <f t="shared" si="13"/>
        <v>48</v>
      </c>
      <c r="AF11" s="7">
        <f t="shared" si="14"/>
        <v>48</v>
      </c>
      <c r="AG11" s="7">
        <f t="shared" si="15"/>
        <v>50</v>
      </c>
      <c r="AI11" t="s">
        <v>48</v>
      </c>
      <c r="AJ11" s="14">
        <f t="shared" si="16"/>
        <v>0</v>
      </c>
      <c r="AK11" s="14">
        <f t="shared" si="17"/>
        <v>0</v>
      </c>
      <c r="AL11" s="14">
        <f t="shared" si="18"/>
        <v>0</v>
      </c>
      <c r="AM11" s="14">
        <f t="shared" si="19"/>
        <v>0</v>
      </c>
      <c r="AN11" s="14">
        <f t="shared" si="20"/>
        <v>0</v>
      </c>
      <c r="AO11" s="14">
        <f t="shared" si="21"/>
        <v>0</v>
      </c>
      <c r="AP11" s="14">
        <f t="shared" si="22"/>
        <v>0</v>
      </c>
      <c r="AQ11" s="14">
        <f t="shared" si="23"/>
        <v>0</v>
      </c>
      <c r="AS11" s="14" cm="1">
        <f t="array" ref="AS11">TREND($AJ11:$AQ11,$AJ$2:$AQ$2,AS$2)</f>
        <v>0</v>
      </c>
      <c r="AT11" s="14" cm="1">
        <f t="array" ref="AT11">TREND($AJ11:$AQ11,$AJ$2:$AQ$2,AT$2)</f>
        <v>0</v>
      </c>
      <c r="AU11" s="14" cm="1">
        <f t="array" ref="AU11">TREND($AJ11:$AQ11,$AJ$2:$AQ$2,AU$2)</f>
        <v>0</v>
      </c>
      <c r="AV11" s="14" cm="1">
        <f t="array" ref="AV11">TREND($AJ11:$AQ11,$AJ$2:$AQ$2,AV$2)</f>
        <v>0</v>
      </c>
      <c r="AW11" s="14" cm="1">
        <f t="array" ref="AW11">TREND($AJ11:$AQ11,$AJ$2:$AQ$2,AW$2)</f>
        <v>0</v>
      </c>
      <c r="AX11" s="14" cm="1">
        <f t="array" ref="AX11">TREND($AJ11:$AQ11,$AJ$2:$AQ$2,AX$2)</f>
        <v>0</v>
      </c>
      <c r="AY11" s="14" cm="1">
        <f t="array" ref="AY11">TREND($AJ11:$AQ11,$AJ$2:$AQ$2,AY$2)</f>
        <v>0</v>
      </c>
      <c r="AZ11" s="14" cm="1">
        <f t="array" ref="AZ11">TREND($AJ11:$AQ11,$AJ$2:$AQ$2,AZ$2)</f>
        <v>0</v>
      </c>
      <c r="BA11" s="14" cm="1">
        <f t="array" ref="BA11">TREND($AJ11:$AQ11,$AJ$2:$AQ$2,BA$2)</f>
        <v>0</v>
      </c>
      <c r="BB11" s="14" cm="1">
        <f t="array" ref="BB11">TREND($AJ11:$AQ11,$AJ$2:$AQ$2,BB$2)</f>
        <v>0</v>
      </c>
      <c r="BC11" s="14" cm="1">
        <f t="array" ref="BC11">TREND($AJ11:$AQ11,$AJ$2:$AQ$2,BC$2)</f>
        <v>0</v>
      </c>
      <c r="BD11" s="14" cm="1">
        <f t="array" ref="BD11">TREND($AJ11:$AQ11,$AJ$2:$AQ$2,BD$2)</f>
        <v>0</v>
      </c>
      <c r="BE11" s="14" cm="1">
        <f t="array" ref="BE11">TREND($AJ11:$AQ11,$AJ$2:$AQ$2,BE$2)</f>
        <v>0</v>
      </c>
      <c r="BF11" s="14" cm="1">
        <f t="array" ref="BF11">TREND($AJ11:$AQ11,$AJ$2:$AQ$2,BF$2)</f>
        <v>0</v>
      </c>
      <c r="BG11" s="14" cm="1">
        <f t="array" ref="BG11">TREND($AJ11:$AQ11,$AJ$2:$AQ$2,BG$2)</f>
        <v>0</v>
      </c>
      <c r="BH11" s="14" cm="1">
        <f t="array" ref="BH11">TREND($AJ11:$AQ11,$AJ$2:$AQ$2,BH$2)</f>
        <v>0</v>
      </c>
      <c r="BI11" s="14" cm="1">
        <f t="array" ref="BI11">TREND($AJ11:$AQ11,$AJ$2:$AQ$2,BI$2)</f>
        <v>0</v>
      </c>
      <c r="BJ11" s="14" cm="1">
        <f t="array" ref="BJ11">TREND($AJ11:$AQ11,$AJ$2:$AQ$2,BJ$2)</f>
        <v>0</v>
      </c>
      <c r="BK11" s="14" cm="1">
        <f t="array" ref="BK11">TREND($AJ11:$AQ11,$AJ$2:$AQ$2,BK$2)</f>
        <v>0</v>
      </c>
      <c r="BL11" s="14" cm="1">
        <f t="array" ref="BL11">TREND($AJ11:$AQ11,$AJ$2:$AQ$2,BL$2)</f>
        <v>0</v>
      </c>
      <c r="BM11" s="14" cm="1">
        <f t="array" ref="BM11">TREND($AJ11:$AQ11,$AJ$2:$AQ$2,BM$2)</f>
        <v>0</v>
      </c>
      <c r="BN11" s="14" cm="1">
        <f t="array" ref="BN11">TREND($AJ11:$AQ11,$AJ$2:$AQ$2,BN$2)</f>
        <v>0</v>
      </c>
      <c r="BO11" s="14" cm="1">
        <f t="array" ref="BO11">TREND($AJ11:$AQ11,$AJ$2:$AQ$2,BO$2)</f>
        <v>0</v>
      </c>
      <c r="BP11" s="14" cm="1">
        <f t="array" ref="BP11">TREND($AJ11:$AQ11,$AJ$2:$AQ$2,BP$2)</f>
        <v>0</v>
      </c>
      <c r="BQ11" s="14" cm="1">
        <f t="array" ref="BQ11">TREND($AJ11:$AQ11,$AJ$2:$AQ$2,BQ$2)</f>
        <v>0</v>
      </c>
      <c r="BR11" s="14" cm="1">
        <f t="array" ref="BR11">TREND($AJ11:$AQ11,$AJ$2:$AQ$2,BR$2)</f>
        <v>0</v>
      </c>
      <c r="BS11" s="14" cm="1">
        <f t="array" ref="BS11">TREND($AJ11:$AQ11,$AJ$2:$AQ$2,BS$2)</f>
        <v>0</v>
      </c>
      <c r="BT11" s="14" cm="1">
        <f t="array" ref="BT11">TREND($AJ11:$AQ11,$AJ$2:$AQ$2,BT$2)</f>
        <v>0</v>
      </c>
      <c r="BU11" s="14" cm="1">
        <f t="array" ref="BU11">TREND($AJ11:$AQ11,$AJ$2:$AQ$2,BU$2)</f>
        <v>0</v>
      </c>
      <c r="BV11" s="14" cm="1">
        <f t="array" ref="BV11">TREND($AJ11:$AQ11,$AJ$2:$AQ$2,BV$2)</f>
        <v>0</v>
      </c>
    </row>
    <row r="12" spans="1:74" x14ac:dyDescent="0.3">
      <c r="A12" t="s">
        <v>29</v>
      </c>
      <c r="B12" t="s">
        <v>137</v>
      </c>
      <c r="D12">
        <v>0.59</v>
      </c>
      <c r="E12">
        <v>0.41</v>
      </c>
      <c r="F12">
        <f>INDEX('IPM Load'!B:B,MATCH('Cost-of-Service Shares'!$A12,'IPM Load'!$A:$A,0))</f>
        <v>97</v>
      </c>
      <c r="G12">
        <f>INDEX('IPM Load'!C:C,MATCH('Cost-of-Service Shares'!$A12,'IPM Load'!$A:$A,0))</f>
        <v>99</v>
      </c>
      <c r="H12">
        <f>INDEX('IPM Load'!D:D,MATCH('Cost-of-Service Shares'!$A12,'IPM Load'!$A:$A,0))</f>
        <v>100</v>
      </c>
      <c r="I12">
        <f>INDEX('IPM Load'!E:E,MATCH('Cost-of-Service Shares'!$A12,'IPM Load'!$A:$A,0))</f>
        <v>103</v>
      </c>
      <c r="J12">
        <f>INDEX('IPM Load'!F:F,MATCH('Cost-of-Service Shares'!$A12,'IPM Load'!$A:$A,0))</f>
        <v>105</v>
      </c>
      <c r="K12">
        <f>INDEX('IPM Load'!G:G,MATCH('Cost-of-Service Shares'!$A12,'IPM Load'!$A:$A,0))</f>
        <v>108</v>
      </c>
      <c r="L12">
        <f>INDEX('IPM Load'!H:H,MATCH('Cost-of-Service Shares'!$A12,'IPM Load'!$A:$A,0))</f>
        <v>112</v>
      </c>
      <c r="M12">
        <f>INDEX('IPM Load'!I:I,MATCH('Cost-of-Service Shares'!$A12,'IPM Load'!$A:$A,0))</f>
        <v>116</v>
      </c>
      <c r="N12" s="14">
        <f t="shared" si="0"/>
        <v>0.20246404535093046</v>
      </c>
      <c r="O12" s="14">
        <f t="shared" si="1"/>
        <v>0.20294048244751198</v>
      </c>
      <c r="P12" s="14">
        <f t="shared" si="2"/>
        <v>0.20296087276360592</v>
      </c>
      <c r="Q12" s="14">
        <f t="shared" si="3"/>
        <v>0.20301969108919779</v>
      </c>
      <c r="R12" s="14">
        <f t="shared" si="4"/>
        <v>0.20250359290603098</v>
      </c>
      <c r="S12" s="14">
        <f t="shared" si="5"/>
        <v>0.20111890630652463</v>
      </c>
      <c r="T12" s="14">
        <f t="shared" si="6"/>
        <v>0.20214091375641746</v>
      </c>
      <c r="U12" s="14">
        <f t="shared" si="7"/>
        <v>0.2017410962860281</v>
      </c>
      <c r="Y12" t="s">
        <v>141</v>
      </c>
      <c r="Z12" s="7">
        <f t="shared" si="8"/>
        <v>275</v>
      </c>
      <c r="AA12" s="7">
        <f t="shared" si="9"/>
        <v>277</v>
      </c>
      <c r="AB12" s="7">
        <f t="shared" si="10"/>
        <v>280</v>
      </c>
      <c r="AC12" s="7">
        <f t="shared" si="11"/>
        <v>282</v>
      </c>
      <c r="AD12" s="7">
        <f t="shared" si="12"/>
        <v>287</v>
      </c>
      <c r="AE12" s="7">
        <f t="shared" si="13"/>
        <v>293</v>
      </c>
      <c r="AF12" s="7">
        <f t="shared" si="14"/>
        <v>297</v>
      </c>
      <c r="AG12" s="7">
        <f t="shared" si="15"/>
        <v>306</v>
      </c>
      <c r="AI12" t="s">
        <v>141</v>
      </c>
      <c r="AJ12" s="14">
        <f t="shared" si="16"/>
        <v>0</v>
      </c>
      <c r="AK12" s="14">
        <f t="shared" si="17"/>
        <v>0</v>
      </c>
      <c r="AL12" s="14">
        <f t="shared" si="18"/>
        <v>0</v>
      </c>
      <c r="AM12" s="14">
        <f t="shared" si="19"/>
        <v>0</v>
      </c>
      <c r="AN12" s="14">
        <f t="shared" si="20"/>
        <v>0</v>
      </c>
      <c r="AO12" s="14">
        <f t="shared" si="21"/>
        <v>0</v>
      </c>
      <c r="AP12" s="14">
        <f t="shared" si="22"/>
        <v>0</v>
      </c>
      <c r="AQ12" s="14">
        <f t="shared" si="23"/>
        <v>0</v>
      </c>
      <c r="AS12" s="14" cm="1">
        <f t="array" ref="AS12">TREND($AJ12:$AQ12,$AJ$2:$AQ$2,AS$2)</f>
        <v>0</v>
      </c>
      <c r="AT12" s="14" cm="1">
        <f t="array" ref="AT12">TREND($AJ12:$AQ12,$AJ$2:$AQ$2,AT$2)</f>
        <v>0</v>
      </c>
      <c r="AU12" s="14" cm="1">
        <f t="array" ref="AU12">TREND($AJ12:$AQ12,$AJ$2:$AQ$2,AU$2)</f>
        <v>0</v>
      </c>
      <c r="AV12" s="14" cm="1">
        <f t="array" ref="AV12">TREND($AJ12:$AQ12,$AJ$2:$AQ$2,AV$2)</f>
        <v>0</v>
      </c>
      <c r="AW12" s="14" cm="1">
        <f t="array" ref="AW12">TREND($AJ12:$AQ12,$AJ$2:$AQ$2,AW$2)</f>
        <v>0</v>
      </c>
      <c r="AX12" s="14" cm="1">
        <f t="array" ref="AX12">TREND($AJ12:$AQ12,$AJ$2:$AQ$2,AX$2)</f>
        <v>0</v>
      </c>
      <c r="AY12" s="14" cm="1">
        <f t="array" ref="AY12">TREND($AJ12:$AQ12,$AJ$2:$AQ$2,AY$2)</f>
        <v>0</v>
      </c>
      <c r="AZ12" s="14" cm="1">
        <f t="array" ref="AZ12">TREND($AJ12:$AQ12,$AJ$2:$AQ$2,AZ$2)</f>
        <v>0</v>
      </c>
      <c r="BA12" s="14" cm="1">
        <f t="array" ref="BA12">TREND($AJ12:$AQ12,$AJ$2:$AQ$2,BA$2)</f>
        <v>0</v>
      </c>
      <c r="BB12" s="14" cm="1">
        <f t="array" ref="BB12">TREND($AJ12:$AQ12,$AJ$2:$AQ$2,BB$2)</f>
        <v>0</v>
      </c>
      <c r="BC12" s="14" cm="1">
        <f t="array" ref="BC12">TREND($AJ12:$AQ12,$AJ$2:$AQ$2,BC$2)</f>
        <v>0</v>
      </c>
      <c r="BD12" s="14" cm="1">
        <f t="array" ref="BD12">TREND($AJ12:$AQ12,$AJ$2:$AQ$2,BD$2)</f>
        <v>0</v>
      </c>
      <c r="BE12" s="14" cm="1">
        <f t="array" ref="BE12">TREND($AJ12:$AQ12,$AJ$2:$AQ$2,BE$2)</f>
        <v>0</v>
      </c>
      <c r="BF12" s="14" cm="1">
        <f t="array" ref="BF12">TREND($AJ12:$AQ12,$AJ$2:$AQ$2,BF$2)</f>
        <v>0</v>
      </c>
      <c r="BG12" s="14" cm="1">
        <f t="array" ref="BG12">TREND($AJ12:$AQ12,$AJ$2:$AQ$2,BG$2)</f>
        <v>0</v>
      </c>
      <c r="BH12" s="14" cm="1">
        <f t="array" ref="BH12">TREND($AJ12:$AQ12,$AJ$2:$AQ$2,BH$2)</f>
        <v>0</v>
      </c>
      <c r="BI12" s="14" cm="1">
        <f t="array" ref="BI12">TREND($AJ12:$AQ12,$AJ$2:$AQ$2,BI$2)</f>
        <v>0</v>
      </c>
      <c r="BJ12" s="14" cm="1">
        <f t="array" ref="BJ12">TREND($AJ12:$AQ12,$AJ$2:$AQ$2,BJ$2)</f>
        <v>0</v>
      </c>
      <c r="BK12" s="14" cm="1">
        <f t="array" ref="BK12">TREND($AJ12:$AQ12,$AJ$2:$AQ$2,BK$2)</f>
        <v>0</v>
      </c>
      <c r="BL12" s="14" cm="1">
        <f t="array" ref="BL12">TREND($AJ12:$AQ12,$AJ$2:$AQ$2,BL$2)</f>
        <v>0</v>
      </c>
      <c r="BM12" s="14" cm="1">
        <f t="array" ref="BM12">TREND($AJ12:$AQ12,$AJ$2:$AQ$2,BM$2)</f>
        <v>0</v>
      </c>
      <c r="BN12" s="14" cm="1">
        <f t="array" ref="BN12">TREND($AJ12:$AQ12,$AJ$2:$AQ$2,BN$2)</f>
        <v>0</v>
      </c>
      <c r="BO12" s="14" cm="1">
        <f t="array" ref="BO12">TREND($AJ12:$AQ12,$AJ$2:$AQ$2,BO$2)</f>
        <v>0</v>
      </c>
      <c r="BP12" s="14" cm="1">
        <f t="array" ref="BP12">TREND($AJ12:$AQ12,$AJ$2:$AQ$2,BP$2)</f>
        <v>0</v>
      </c>
      <c r="BQ12" s="14" cm="1">
        <f t="array" ref="BQ12">TREND($AJ12:$AQ12,$AJ$2:$AQ$2,BQ$2)</f>
        <v>0</v>
      </c>
      <c r="BR12" s="14" cm="1">
        <f t="array" ref="BR12">TREND($AJ12:$AQ12,$AJ$2:$AQ$2,BR$2)</f>
        <v>0</v>
      </c>
      <c r="BS12" s="14" cm="1">
        <f t="array" ref="BS12">TREND($AJ12:$AQ12,$AJ$2:$AQ$2,BS$2)</f>
        <v>0</v>
      </c>
      <c r="BT12" s="14" cm="1">
        <f t="array" ref="BT12">TREND($AJ12:$AQ12,$AJ$2:$AQ$2,BT$2)</f>
        <v>0</v>
      </c>
      <c r="BU12" s="14" cm="1">
        <f t="array" ref="BU12">TREND($AJ12:$AQ12,$AJ$2:$AQ$2,BU$2)</f>
        <v>0</v>
      </c>
      <c r="BV12" s="14" cm="1">
        <f t="array" ref="BV12">TREND($AJ12:$AQ12,$AJ$2:$AQ$2,BV$2)</f>
        <v>0</v>
      </c>
    </row>
    <row r="13" spans="1:74" x14ac:dyDescent="0.3">
      <c r="A13" t="s">
        <v>30</v>
      </c>
      <c r="B13" t="s">
        <v>139</v>
      </c>
      <c r="D13">
        <v>0</v>
      </c>
      <c r="E13">
        <v>1</v>
      </c>
      <c r="F13">
        <f>INDEX('IPM Load'!B:B,MATCH('Cost-of-Service Shares'!$A13,'IPM Load'!$A:$A,0))</f>
        <v>46</v>
      </c>
      <c r="G13">
        <f>INDEX('IPM Load'!C:C,MATCH('Cost-of-Service Shares'!$A13,'IPM Load'!$A:$A,0))</f>
        <v>47</v>
      </c>
      <c r="H13">
        <f>INDEX('IPM Load'!D:D,MATCH('Cost-of-Service Shares'!$A13,'IPM Load'!$A:$A,0))</f>
        <v>48</v>
      </c>
      <c r="I13">
        <f>INDEX('IPM Load'!E:E,MATCH('Cost-of-Service Shares'!$A13,'IPM Load'!$A:$A,0))</f>
        <v>51</v>
      </c>
      <c r="J13">
        <f>INDEX('IPM Load'!F:F,MATCH('Cost-of-Service Shares'!$A13,'IPM Load'!$A:$A,0))</f>
        <v>53</v>
      </c>
      <c r="K13">
        <f>INDEX('IPM Load'!G:G,MATCH('Cost-of-Service Shares'!$A13,'IPM Load'!$A:$A,0))</f>
        <v>55</v>
      </c>
      <c r="L13">
        <f>INDEX('IPM Load'!H:H,MATCH('Cost-of-Service Shares'!$A13,'IPM Load'!$A:$A,0))</f>
        <v>58</v>
      </c>
      <c r="M13">
        <f>INDEX('IPM Load'!I:I,MATCH('Cost-of-Service Shares'!$A13,'IPM Load'!$A:$A,0))</f>
        <v>60</v>
      </c>
      <c r="N13" s="14">
        <f t="shared" si="0"/>
        <v>0.27544910179640719</v>
      </c>
      <c r="O13" s="14">
        <f t="shared" si="1"/>
        <v>0.27167630057803466</v>
      </c>
      <c r="P13" s="14">
        <f t="shared" si="2"/>
        <v>0.2711864406779661</v>
      </c>
      <c r="Q13" s="14">
        <f t="shared" si="3"/>
        <v>0.27567567567567569</v>
      </c>
      <c r="R13" s="14">
        <f t="shared" si="4"/>
        <v>0.27461139896373055</v>
      </c>
      <c r="S13" s="14">
        <f t="shared" si="5"/>
        <v>0.27363184079601988</v>
      </c>
      <c r="T13" s="14">
        <f t="shared" si="6"/>
        <v>0.27488151658767773</v>
      </c>
      <c r="U13" s="14">
        <f t="shared" si="7"/>
        <v>0.27522935779816515</v>
      </c>
      <c r="Y13" t="s">
        <v>142</v>
      </c>
      <c r="Z13" s="7">
        <f t="shared" si="8"/>
        <v>330</v>
      </c>
      <c r="AA13" s="7">
        <f t="shared" si="9"/>
        <v>337</v>
      </c>
      <c r="AB13" s="7">
        <f t="shared" si="10"/>
        <v>341</v>
      </c>
      <c r="AC13" s="7">
        <f t="shared" si="11"/>
        <v>349</v>
      </c>
      <c r="AD13" s="7">
        <f t="shared" si="12"/>
        <v>356</v>
      </c>
      <c r="AE13" s="7">
        <f t="shared" si="13"/>
        <v>368</v>
      </c>
      <c r="AF13" s="7">
        <f t="shared" si="14"/>
        <v>378</v>
      </c>
      <c r="AG13" s="7">
        <f t="shared" si="15"/>
        <v>392</v>
      </c>
      <c r="AI13" t="s">
        <v>142</v>
      </c>
      <c r="AJ13" s="14">
        <f t="shared" si="16"/>
        <v>0.41000000000000003</v>
      </c>
      <c r="AK13" s="14">
        <f t="shared" si="17"/>
        <v>0.41000000000000003</v>
      </c>
      <c r="AL13" s="14">
        <f t="shared" si="18"/>
        <v>0.40999999999999992</v>
      </c>
      <c r="AM13" s="14">
        <f t="shared" si="19"/>
        <v>0.41000000000000003</v>
      </c>
      <c r="AN13" s="14">
        <f t="shared" si="20"/>
        <v>0.41</v>
      </c>
      <c r="AO13" s="14">
        <f t="shared" si="21"/>
        <v>0.40999999999999992</v>
      </c>
      <c r="AP13" s="14">
        <f t="shared" si="22"/>
        <v>0.41</v>
      </c>
      <c r="AQ13" s="14">
        <f t="shared" si="23"/>
        <v>0.41</v>
      </c>
      <c r="AS13" s="14" cm="1">
        <f t="array" ref="AS13">TREND($AJ13:$AQ13,$AJ$2:$AQ$2,AS$2)</f>
        <v>0.41000000000000009</v>
      </c>
      <c r="AT13" s="14" cm="1">
        <f t="array" ref="AT13">TREND($AJ13:$AQ13,$AJ$2:$AQ$2,AT$2)</f>
        <v>0.41000000000000009</v>
      </c>
      <c r="AU13" s="14" cm="1">
        <f t="array" ref="AU13">TREND($AJ13:$AQ13,$AJ$2:$AQ$2,AU$2)</f>
        <v>0.41000000000000009</v>
      </c>
      <c r="AV13" s="14" cm="1">
        <f t="array" ref="AV13">TREND($AJ13:$AQ13,$AJ$2:$AQ$2,AV$2)</f>
        <v>0.41000000000000009</v>
      </c>
      <c r="AW13" s="14" cm="1">
        <f t="array" ref="AW13">TREND($AJ13:$AQ13,$AJ$2:$AQ$2,AW$2)</f>
        <v>0.41000000000000009</v>
      </c>
      <c r="AX13" s="14" cm="1">
        <f t="array" ref="AX13">TREND($AJ13:$AQ13,$AJ$2:$AQ$2,AX$2)</f>
        <v>0.41000000000000009</v>
      </c>
      <c r="AY13" s="14" cm="1">
        <f t="array" ref="AY13">TREND($AJ13:$AQ13,$AJ$2:$AQ$2,AY$2)</f>
        <v>0.41000000000000009</v>
      </c>
      <c r="AZ13" s="14" cm="1">
        <f t="array" ref="AZ13">TREND($AJ13:$AQ13,$AJ$2:$AQ$2,AZ$2)</f>
        <v>0.41000000000000009</v>
      </c>
      <c r="BA13" s="14" cm="1">
        <f t="array" ref="BA13">TREND($AJ13:$AQ13,$AJ$2:$AQ$2,BA$2)</f>
        <v>0.41000000000000009</v>
      </c>
      <c r="BB13" s="14" cm="1">
        <f t="array" ref="BB13">TREND($AJ13:$AQ13,$AJ$2:$AQ$2,BB$2)</f>
        <v>0.41000000000000009</v>
      </c>
      <c r="BC13" s="14" cm="1">
        <f t="array" ref="BC13">TREND($AJ13:$AQ13,$AJ$2:$AQ$2,BC$2)</f>
        <v>0.41000000000000003</v>
      </c>
      <c r="BD13" s="14" cm="1">
        <f t="array" ref="BD13">TREND($AJ13:$AQ13,$AJ$2:$AQ$2,BD$2)</f>
        <v>0.41000000000000003</v>
      </c>
      <c r="BE13" s="14" cm="1">
        <f t="array" ref="BE13">TREND($AJ13:$AQ13,$AJ$2:$AQ$2,BE$2)</f>
        <v>0.41000000000000003</v>
      </c>
      <c r="BF13" s="14" cm="1">
        <f t="array" ref="BF13">TREND($AJ13:$AQ13,$AJ$2:$AQ$2,BF$2)</f>
        <v>0.41000000000000003</v>
      </c>
      <c r="BG13" s="14" cm="1">
        <f t="array" ref="BG13">TREND($AJ13:$AQ13,$AJ$2:$AQ$2,BG$2)</f>
        <v>0.41000000000000003</v>
      </c>
      <c r="BH13" s="14" cm="1">
        <f t="array" ref="BH13">TREND($AJ13:$AQ13,$AJ$2:$AQ$2,BH$2)</f>
        <v>0.41000000000000003</v>
      </c>
      <c r="BI13" s="14" cm="1">
        <f t="array" ref="BI13">TREND($AJ13:$AQ13,$AJ$2:$AQ$2,BI$2)</f>
        <v>0.41000000000000003</v>
      </c>
      <c r="BJ13" s="14" cm="1">
        <f t="array" ref="BJ13">TREND($AJ13:$AQ13,$AJ$2:$AQ$2,BJ$2)</f>
        <v>0.41000000000000003</v>
      </c>
      <c r="BK13" s="14" cm="1">
        <f t="array" ref="BK13">TREND($AJ13:$AQ13,$AJ$2:$AQ$2,BK$2)</f>
        <v>0.41000000000000003</v>
      </c>
      <c r="BL13" s="14" cm="1">
        <f t="array" ref="BL13">TREND($AJ13:$AQ13,$AJ$2:$AQ$2,BL$2)</f>
        <v>0.41000000000000003</v>
      </c>
      <c r="BM13" s="14" cm="1">
        <f t="array" ref="BM13">TREND($AJ13:$AQ13,$AJ$2:$AQ$2,BM$2)</f>
        <v>0.41000000000000003</v>
      </c>
      <c r="BN13" s="14" cm="1">
        <f t="array" ref="BN13">TREND($AJ13:$AQ13,$AJ$2:$AQ$2,BN$2)</f>
        <v>0.41000000000000003</v>
      </c>
      <c r="BO13" s="14" cm="1">
        <f t="array" ref="BO13">TREND($AJ13:$AQ13,$AJ$2:$AQ$2,BO$2)</f>
        <v>0.41000000000000003</v>
      </c>
      <c r="BP13" s="14" cm="1">
        <f t="array" ref="BP13">TREND($AJ13:$AQ13,$AJ$2:$AQ$2,BP$2)</f>
        <v>0.41000000000000003</v>
      </c>
      <c r="BQ13" s="14" cm="1">
        <f t="array" ref="BQ13">TREND($AJ13:$AQ13,$AJ$2:$AQ$2,BQ$2)</f>
        <v>0.41000000000000003</v>
      </c>
      <c r="BR13" s="14" cm="1">
        <f t="array" ref="BR13">TREND($AJ13:$AQ13,$AJ$2:$AQ$2,BR$2)</f>
        <v>0.41000000000000003</v>
      </c>
      <c r="BS13" s="14" cm="1">
        <f t="array" ref="BS13">TREND($AJ13:$AQ13,$AJ$2:$AQ$2,BS$2)</f>
        <v>0.41000000000000003</v>
      </c>
      <c r="BT13" s="14" cm="1">
        <f t="array" ref="BT13">TREND($AJ13:$AQ13,$AJ$2:$AQ$2,BT$2)</f>
        <v>0.41000000000000003</v>
      </c>
      <c r="BU13" s="14" cm="1">
        <f t="array" ref="BU13">TREND($AJ13:$AQ13,$AJ$2:$AQ$2,BU$2)</f>
        <v>0.41000000000000003</v>
      </c>
      <c r="BV13" s="14" cm="1">
        <f t="array" ref="BV13">TREND($AJ13:$AQ13,$AJ$2:$AQ$2,BV$2)</f>
        <v>0.41000000000000003</v>
      </c>
    </row>
    <row r="14" spans="1:74" x14ac:dyDescent="0.3">
      <c r="A14" t="s">
        <v>31</v>
      </c>
      <c r="B14" t="s">
        <v>138</v>
      </c>
      <c r="D14">
        <v>0.1</v>
      </c>
      <c r="E14">
        <v>0.9</v>
      </c>
      <c r="F14">
        <f>INDEX('IPM Load'!B:B,MATCH('Cost-of-Service Shares'!$A14,'IPM Load'!$A:$A,0))</f>
        <v>100</v>
      </c>
      <c r="G14">
        <f>INDEX('IPM Load'!C:C,MATCH('Cost-of-Service Shares'!$A14,'IPM Load'!$A:$A,0))</f>
        <v>102</v>
      </c>
      <c r="H14">
        <f>INDEX('IPM Load'!D:D,MATCH('Cost-of-Service Shares'!$A14,'IPM Load'!$A:$A,0))</f>
        <v>103</v>
      </c>
      <c r="I14">
        <f>INDEX('IPM Load'!E:E,MATCH('Cost-of-Service Shares'!$A14,'IPM Load'!$A:$A,0))</f>
        <v>105</v>
      </c>
      <c r="J14">
        <f>INDEX('IPM Load'!F:F,MATCH('Cost-of-Service Shares'!$A14,'IPM Load'!$A:$A,0))</f>
        <v>108</v>
      </c>
      <c r="K14">
        <f>INDEX('IPM Load'!G:G,MATCH('Cost-of-Service Shares'!$A14,'IPM Load'!$A:$A,0))</f>
        <v>111</v>
      </c>
      <c r="L14">
        <f>INDEX('IPM Load'!H:H,MATCH('Cost-of-Service Shares'!$A14,'IPM Load'!$A:$A,0))</f>
        <v>115</v>
      </c>
      <c r="M14">
        <f>INDEX('IPM Load'!I:I,MATCH('Cost-of-Service Shares'!$A14,'IPM Load'!$A:$A,0))</f>
        <v>119</v>
      </c>
      <c r="N14" s="14">
        <f t="shared" si="0"/>
        <v>0.9</v>
      </c>
      <c r="O14" s="14">
        <f t="shared" si="1"/>
        <v>0.9</v>
      </c>
      <c r="P14" s="14">
        <f t="shared" si="2"/>
        <v>0.9</v>
      </c>
      <c r="Q14" s="14">
        <f t="shared" si="3"/>
        <v>0.9</v>
      </c>
      <c r="R14" s="14">
        <f t="shared" si="4"/>
        <v>0.9</v>
      </c>
      <c r="S14" s="14">
        <f t="shared" si="5"/>
        <v>0.9</v>
      </c>
      <c r="T14" s="14">
        <f t="shared" si="6"/>
        <v>0.9</v>
      </c>
      <c r="U14" s="14">
        <f t="shared" si="7"/>
        <v>0.9</v>
      </c>
      <c r="Y14" t="s">
        <v>143</v>
      </c>
      <c r="Z14" s="7">
        <f t="shared" si="8"/>
        <v>102</v>
      </c>
      <c r="AA14" s="7">
        <f t="shared" si="9"/>
        <v>104</v>
      </c>
      <c r="AB14" s="7">
        <f t="shared" si="10"/>
        <v>106</v>
      </c>
      <c r="AC14" s="7">
        <f t="shared" si="11"/>
        <v>108</v>
      </c>
      <c r="AD14" s="7">
        <f t="shared" si="12"/>
        <v>110</v>
      </c>
      <c r="AE14" s="7">
        <f t="shared" si="13"/>
        <v>113</v>
      </c>
      <c r="AF14" s="7">
        <f t="shared" si="14"/>
        <v>117</v>
      </c>
      <c r="AG14" s="7">
        <f t="shared" si="15"/>
        <v>121</v>
      </c>
      <c r="AI14" t="s">
        <v>143</v>
      </c>
      <c r="AJ14" s="14">
        <f t="shared" si="16"/>
        <v>0.41</v>
      </c>
      <c r="AK14" s="14">
        <f t="shared" si="17"/>
        <v>0.41000000000000003</v>
      </c>
      <c r="AL14" s="14">
        <f t="shared" si="18"/>
        <v>0.41000000000000003</v>
      </c>
      <c r="AM14" s="14">
        <f t="shared" si="19"/>
        <v>0.40999999999999992</v>
      </c>
      <c r="AN14" s="14">
        <f t="shared" si="20"/>
        <v>0.41</v>
      </c>
      <c r="AO14" s="14">
        <f t="shared" si="21"/>
        <v>0.41</v>
      </c>
      <c r="AP14" s="14">
        <f t="shared" si="22"/>
        <v>0.41</v>
      </c>
      <c r="AQ14" s="14">
        <f t="shared" si="23"/>
        <v>0.41</v>
      </c>
      <c r="AS14" s="14" cm="1">
        <f t="array" ref="AS14">TREND($AJ14:$AQ14,$AJ$2:$AQ$2,AS$2)</f>
        <v>0.41000000000000009</v>
      </c>
      <c r="AT14" s="14" cm="1">
        <f t="array" ref="AT14">TREND($AJ14:$AQ14,$AJ$2:$AQ$2,AT$2)</f>
        <v>0.41000000000000009</v>
      </c>
      <c r="AU14" s="14" cm="1">
        <f t="array" ref="AU14">TREND($AJ14:$AQ14,$AJ$2:$AQ$2,AU$2)</f>
        <v>0.41000000000000003</v>
      </c>
      <c r="AV14" s="14" cm="1">
        <f t="array" ref="AV14">TREND($AJ14:$AQ14,$AJ$2:$AQ$2,AV$2)</f>
        <v>0.41000000000000003</v>
      </c>
      <c r="AW14" s="14" cm="1">
        <f t="array" ref="AW14">TREND($AJ14:$AQ14,$AJ$2:$AQ$2,AW$2)</f>
        <v>0.41000000000000003</v>
      </c>
      <c r="AX14" s="14" cm="1">
        <f t="array" ref="AX14">TREND($AJ14:$AQ14,$AJ$2:$AQ$2,AX$2)</f>
        <v>0.41000000000000003</v>
      </c>
      <c r="AY14" s="14" cm="1">
        <f t="array" ref="AY14">TREND($AJ14:$AQ14,$AJ$2:$AQ$2,AY$2)</f>
        <v>0.41000000000000003</v>
      </c>
      <c r="AZ14" s="14" cm="1">
        <f t="array" ref="AZ14">TREND($AJ14:$AQ14,$AJ$2:$AQ$2,AZ$2)</f>
        <v>0.41000000000000003</v>
      </c>
      <c r="BA14" s="14" cm="1">
        <f t="array" ref="BA14">TREND($AJ14:$AQ14,$AJ$2:$AQ$2,BA$2)</f>
        <v>0.41000000000000003</v>
      </c>
      <c r="BB14" s="14" cm="1">
        <f t="array" ref="BB14">TREND($AJ14:$AQ14,$AJ$2:$AQ$2,BB$2)</f>
        <v>0.41000000000000003</v>
      </c>
      <c r="BC14" s="14" cm="1">
        <f t="array" ref="BC14">TREND($AJ14:$AQ14,$AJ$2:$AQ$2,BC$2)</f>
        <v>0.41000000000000003</v>
      </c>
      <c r="BD14" s="14" cm="1">
        <f t="array" ref="BD14">TREND($AJ14:$AQ14,$AJ$2:$AQ$2,BD$2)</f>
        <v>0.41000000000000003</v>
      </c>
      <c r="BE14" s="14" cm="1">
        <f t="array" ref="BE14">TREND($AJ14:$AQ14,$AJ$2:$AQ$2,BE$2)</f>
        <v>0.41000000000000003</v>
      </c>
      <c r="BF14" s="14" cm="1">
        <f t="array" ref="BF14">TREND($AJ14:$AQ14,$AJ$2:$AQ$2,BF$2)</f>
        <v>0.41000000000000003</v>
      </c>
      <c r="BG14" s="14" cm="1">
        <f t="array" ref="BG14">TREND($AJ14:$AQ14,$AJ$2:$AQ$2,BG$2)</f>
        <v>0.41000000000000003</v>
      </c>
      <c r="BH14" s="14" cm="1">
        <f t="array" ref="BH14">TREND($AJ14:$AQ14,$AJ$2:$AQ$2,BH$2)</f>
        <v>0.41000000000000003</v>
      </c>
      <c r="BI14" s="14" cm="1">
        <f t="array" ref="BI14">TREND($AJ14:$AQ14,$AJ$2:$AQ$2,BI$2)</f>
        <v>0.41000000000000003</v>
      </c>
      <c r="BJ14" s="14" cm="1">
        <f t="array" ref="BJ14">TREND($AJ14:$AQ14,$AJ$2:$AQ$2,BJ$2)</f>
        <v>0.41000000000000003</v>
      </c>
      <c r="BK14" s="14" cm="1">
        <f t="array" ref="BK14">TREND($AJ14:$AQ14,$AJ$2:$AQ$2,BK$2)</f>
        <v>0.41000000000000003</v>
      </c>
      <c r="BL14" s="14" cm="1">
        <f t="array" ref="BL14">TREND($AJ14:$AQ14,$AJ$2:$AQ$2,BL$2)</f>
        <v>0.41000000000000003</v>
      </c>
      <c r="BM14" s="14" cm="1">
        <f t="array" ref="BM14">TREND($AJ14:$AQ14,$AJ$2:$AQ$2,BM$2)</f>
        <v>0.41000000000000003</v>
      </c>
      <c r="BN14" s="14" cm="1">
        <f t="array" ref="BN14">TREND($AJ14:$AQ14,$AJ$2:$AQ$2,BN$2)</f>
        <v>0.41000000000000003</v>
      </c>
      <c r="BO14" s="14" cm="1">
        <f t="array" ref="BO14">TREND($AJ14:$AQ14,$AJ$2:$AQ$2,BO$2)</f>
        <v>0.41000000000000003</v>
      </c>
      <c r="BP14" s="14" cm="1">
        <f t="array" ref="BP14">TREND($AJ14:$AQ14,$AJ$2:$AQ$2,BP$2)</f>
        <v>0.41000000000000003</v>
      </c>
      <c r="BQ14" s="14" cm="1">
        <f t="array" ref="BQ14">TREND($AJ14:$AQ14,$AJ$2:$AQ$2,BQ$2)</f>
        <v>0.41000000000000003</v>
      </c>
      <c r="BR14" s="14" cm="1">
        <f t="array" ref="BR14">TREND($AJ14:$AQ14,$AJ$2:$AQ$2,BR$2)</f>
        <v>0.41000000000000003</v>
      </c>
      <c r="BS14" s="14" cm="1">
        <f t="array" ref="BS14">TREND($AJ14:$AQ14,$AJ$2:$AQ$2,BS$2)</f>
        <v>0.41000000000000003</v>
      </c>
      <c r="BT14" s="14" cm="1">
        <f t="array" ref="BT14">TREND($AJ14:$AQ14,$AJ$2:$AQ$2,BT$2)</f>
        <v>0.41000000000000003</v>
      </c>
      <c r="BU14" s="14" cm="1">
        <f t="array" ref="BU14">TREND($AJ14:$AQ14,$AJ$2:$AQ$2,BU$2)</f>
        <v>0.41000000000000003</v>
      </c>
      <c r="BV14" s="14" cm="1">
        <f t="array" ref="BV14">TREND($AJ14:$AQ14,$AJ$2:$AQ$2,BV$2)</f>
        <v>0.41000000000000003</v>
      </c>
    </row>
    <row r="15" spans="1:74" x14ac:dyDescent="0.3">
      <c r="A15" s="13" t="s">
        <v>32</v>
      </c>
      <c r="B15" s="13" t="s">
        <v>136</v>
      </c>
      <c r="C15" s="13"/>
      <c r="D15" s="13">
        <v>0.01</v>
      </c>
      <c r="E15" s="13">
        <v>0.99</v>
      </c>
      <c r="F15" s="12">
        <f>F$71*('NEMS Net Load'!$C$4/('NEMS Net Load'!$C$4+'NEMS Net Load'!$C$20))</f>
        <v>6.2670677033085518</v>
      </c>
      <c r="G15" s="12">
        <f>G$71*('NEMS Net Load'!$C$4/('NEMS Net Load'!$C$4+'NEMS Net Load'!$C$20))</f>
        <v>7.0504511662221212</v>
      </c>
      <c r="H15" s="12">
        <f>H$71*('NEMS Net Load'!$C$4/('NEMS Net Load'!$C$4+'NEMS Net Load'!$C$20))</f>
        <v>7.0504511662221212</v>
      </c>
      <c r="I15" s="12">
        <f>I$71*('NEMS Net Load'!$C$4/('NEMS Net Load'!$C$4+'NEMS Net Load'!$C$20))</f>
        <v>7.0504511662221212</v>
      </c>
      <c r="J15" s="12">
        <f>J$71*('NEMS Net Load'!$C$4/('NEMS Net Load'!$C$4+'NEMS Net Load'!$C$20))</f>
        <v>7.0504511662221212</v>
      </c>
      <c r="K15" s="12">
        <f>K$71*('NEMS Net Load'!$C$4/('NEMS Net Load'!$C$4+'NEMS Net Load'!$C$20))</f>
        <v>7.8338346291356897</v>
      </c>
      <c r="L15" s="12">
        <f>L$71*('NEMS Net Load'!$C$4/('NEMS Net Load'!$C$4+'NEMS Net Load'!$C$20))</f>
        <v>7.8338346291356897</v>
      </c>
      <c r="M15" s="12">
        <f>M$71*('NEMS Net Load'!$C$4/('NEMS Net Load'!$C$4+'NEMS Net Load'!$C$20))</f>
        <v>7.8338346291356897</v>
      </c>
      <c r="N15" s="11">
        <f t="shared" si="0"/>
        <v>3.0523375460561525E-2</v>
      </c>
      <c r="O15" s="11">
        <f t="shared" si="1"/>
        <v>3.3549298333331971E-2</v>
      </c>
      <c r="P15" s="11">
        <f t="shared" si="2"/>
        <v>3.3229857949871114E-2</v>
      </c>
      <c r="Q15" s="11">
        <f t="shared" si="3"/>
        <v>3.2307021887169114E-2</v>
      </c>
      <c r="R15" s="11">
        <f t="shared" si="4"/>
        <v>3.1434057521166056E-2</v>
      </c>
      <c r="S15" s="11">
        <f t="shared" si="5"/>
        <v>3.3743927630841435E-2</v>
      </c>
      <c r="T15" s="11">
        <f t="shared" si="6"/>
        <v>3.2608885505873479E-2</v>
      </c>
      <c r="U15" s="11">
        <f t="shared" si="7"/>
        <v>3.1419907625293168E-2</v>
      </c>
      <c r="Y15" t="s">
        <v>144</v>
      </c>
      <c r="Z15" s="7">
        <f t="shared" si="8"/>
        <v>97</v>
      </c>
      <c r="AA15" s="7">
        <f t="shared" si="9"/>
        <v>100</v>
      </c>
      <c r="AB15" s="7">
        <f t="shared" si="10"/>
        <v>102</v>
      </c>
      <c r="AC15" s="7">
        <f t="shared" si="11"/>
        <v>107</v>
      </c>
      <c r="AD15" s="7">
        <f t="shared" si="12"/>
        <v>111</v>
      </c>
      <c r="AE15" s="7">
        <f t="shared" si="13"/>
        <v>116</v>
      </c>
      <c r="AF15" s="7">
        <f t="shared" si="14"/>
        <v>121</v>
      </c>
      <c r="AG15" s="7">
        <f t="shared" si="15"/>
        <v>126</v>
      </c>
      <c r="AI15" t="s">
        <v>144</v>
      </c>
      <c r="AJ15" s="14">
        <f t="shared" si="16"/>
        <v>1</v>
      </c>
      <c r="AK15" s="14">
        <f t="shared" si="17"/>
        <v>1</v>
      </c>
      <c r="AL15" s="14">
        <f t="shared" si="18"/>
        <v>1</v>
      </c>
      <c r="AM15" s="14">
        <f t="shared" si="19"/>
        <v>1</v>
      </c>
      <c r="AN15" s="14">
        <f t="shared" si="20"/>
        <v>1</v>
      </c>
      <c r="AO15" s="14">
        <f t="shared" si="21"/>
        <v>1</v>
      </c>
      <c r="AP15" s="14">
        <f t="shared" si="22"/>
        <v>1</v>
      </c>
      <c r="AQ15" s="14">
        <f t="shared" si="23"/>
        <v>1</v>
      </c>
      <c r="AS15" s="14" cm="1">
        <f t="array" ref="AS15">TREND($AJ15:$AQ15,$AJ$2:$AQ$2,AS$2)</f>
        <v>1</v>
      </c>
      <c r="AT15" s="14" cm="1">
        <f t="array" ref="AT15">TREND($AJ15:$AQ15,$AJ$2:$AQ$2,AT$2)</f>
        <v>1</v>
      </c>
      <c r="AU15" s="14" cm="1">
        <f t="array" ref="AU15">TREND($AJ15:$AQ15,$AJ$2:$AQ$2,AU$2)</f>
        <v>1</v>
      </c>
      <c r="AV15" s="14" cm="1">
        <f t="array" ref="AV15">TREND($AJ15:$AQ15,$AJ$2:$AQ$2,AV$2)</f>
        <v>1</v>
      </c>
      <c r="AW15" s="14" cm="1">
        <f t="array" ref="AW15">TREND($AJ15:$AQ15,$AJ$2:$AQ$2,AW$2)</f>
        <v>1</v>
      </c>
      <c r="AX15" s="14" cm="1">
        <f t="array" ref="AX15">TREND($AJ15:$AQ15,$AJ$2:$AQ$2,AX$2)</f>
        <v>1</v>
      </c>
      <c r="AY15" s="14" cm="1">
        <f t="array" ref="AY15">TREND($AJ15:$AQ15,$AJ$2:$AQ$2,AY$2)</f>
        <v>1</v>
      </c>
      <c r="AZ15" s="14" cm="1">
        <f t="array" ref="AZ15">TREND($AJ15:$AQ15,$AJ$2:$AQ$2,AZ$2)</f>
        <v>1</v>
      </c>
      <c r="BA15" s="14" cm="1">
        <f t="array" ref="BA15">TREND($AJ15:$AQ15,$AJ$2:$AQ$2,BA$2)</f>
        <v>1</v>
      </c>
      <c r="BB15" s="14" cm="1">
        <f t="array" ref="BB15">TREND($AJ15:$AQ15,$AJ$2:$AQ$2,BB$2)</f>
        <v>1</v>
      </c>
      <c r="BC15" s="14" cm="1">
        <f t="array" ref="BC15">TREND($AJ15:$AQ15,$AJ$2:$AQ$2,BC$2)</f>
        <v>1</v>
      </c>
      <c r="BD15" s="14" cm="1">
        <f t="array" ref="BD15">TREND($AJ15:$AQ15,$AJ$2:$AQ$2,BD$2)</f>
        <v>1</v>
      </c>
      <c r="BE15" s="14" cm="1">
        <f t="array" ref="BE15">TREND($AJ15:$AQ15,$AJ$2:$AQ$2,BE$2)</f>
        <v>1</v>
      </c>
      <c r="BF15" s="14" cm="1">
        <f t="array" ref="BF15">TREND($AJ15:$AQ15,$AJ$2:$AQ$2,BF$2)</f>
        <v>1</v>
      </c>
      <c r="BG15" s="14" cm="1">
        <f t="array" ref="BG15">TREND($AJ15:$AQ15,$AJ$2:$AQ$2,BG$2)</f>
        <v>1</v>
      </c>
      <c r="BH15" s="14" cm="1">
        <f t="array" ref="BH15">TREND($AJ15:$AQ15,$AJ$2:$AQ$2,BH$2)</f>
        <v>1</v>
      </c>
      <c r="BI15" s="14" cm="1">
        <f t="array" ref="BI15">TREND($AJ15:$AQ15,$AJ$2:$AQ$2,BI$2)</f>
        <v>1</v>
      </c>
      <c r="BJ15" s="14" cm="1">
        <f t="array" ref="BJ15">TREND($AJ15:$AQ15,$AJ$2:$AQ$2,BJ$2)</f>
        <v>1</v>
      </c>
      <c r="BK15" s="14" cm="1">
        <f t="array" ref="BK15">TREND($AJ15:$AQ15,$AJ$2:$AQ$2,BK$2)</f>
        <v>1</v>
      </c>
      <c r="BL15" s="14" cm="1">
        <f t="array" ref="BL15">TREND($AJ15:$AQ15,$AJ$2:$AQ$2,BL$2)</f>
        <v>1</v>
      </c>
      <c r="BM15" s="14" cm="1">
        <f t="array" ref="BM15">TREND($AJ15:$AQ15,$AJ$2:$AQ$2,BM$2)</f>
        <v>1</v>
      </c>
      <c r="BN15" s="14" cm="1">
        <f t="array" ref="BN15">TREND($AJ15:$AQ15,$AJ$2:$AQ$2,BN$2)</f>
        <v>1</v>
      </c>
      <c r="BO15" s="14" cm="1">
        <f t="array" ref="BO15">TREND($AJ15:$AQ15,$AJ$2:$AQ$2,BO$2)</f>
        <v>1</v>
      </c>
      <c r="BP15" s="14" cm="1">
        <f t="array" ref="BP15">TREND($AJ15:$AQ15,$AJ$2:$AQ$2,BP$2)</f>
        <v>1</v>
      </c>
      <c r="BQ15" s="14" cm="1">
        <f t="array" ref="BQ15">TREND($AJ15:$AQ15,$AJ$2:$AQ$2,BQ$2)</f>
        <v>1</v>
      </c>
      <c r="BR15" s="14" cm="1">
        <f t="array" ref="BR15">TREND($AJ15:$AQ15,$AJ$2:$AQ$2,BR$2)</f>
        <v>1</v>
      </c>
      <c r="BS15" s="14" cm="1">
        <f t="array" ref="BS15">TREND($AJ15:$AQ15,$AJ$2:$AQ$2,BS$2)</f>
        <v>1</v>
      </c>
      <c r="BT15" s="14" cm="1">
        <f t="array" ref="BT15">TREND($AJ15:$AQ15,$AJ$2:$AQ$2,BT$2)</f>
        <v>1</v>
      </c>
      <c r="BU15" s="14" cm="1">
        <f t="array" ref="BU15">TREND($AJ15:$AQ15,$AJ$2:$AQ$2,BU$2)</f>
        <v>1</v>
      </c>
      <c r="BV15" s="14" cm="1">
        <f t="array" ref="BV15">TREND($AJ15:$AQ15,$AJ$2:$AQ$2,BV$2)</f>
        <v>1</v>
      </c>
    </row>
    <row r="16" spans="1:74" x14ac:dyDescent="0.3">
      <c r="A16" s="13" t="s">
        <v>32</v>
      </c>
      <c r="B16" s="13" t="s">
        <v>135</v>
      </c>
      <c r="C16" s="13"/>
      <c r="D16" s="13">
        <v>0.01</v>
      </c>
      <c r="E16" s="13">
        <v>0.99</v>
      </c>
      <c r="F16" s="12">
        <f>F$71*('NEMS Net Load'!$C$20/('NEMS Net Load'!$C$4+'NEMS Net Load'!$C$20))</f>
        <v>1.7329322966914475</v>
      </c>
      <c r="G16" s="12">
        <f>G$71*('NEMS Net Load'!$C$20/('NEMS Net Load'!$C$4+'NEMS Net Load'!$C$20))</f>
        <v>1.9495488337778786</v>
      </c>
      <c r="H16" s="12">
        <f>H$71*('NEMS Net Load'!$C$20/('NEMS Net Load'!$C$4+'NEMS Net Load'!$C$20))</f>
        <v>1.9495488337778786</v>
      </c>
      <c r="I16" s="12">
        <f>I$71*('NEMS Net Load'!$C$20/('NEMS Net Load'!$C$4+'NEMS Net Load'!$C$20))</f>
        <v>1.9495488337778786</v>
      </c>
      <c r="J16" s="12">
        <f>J$71*('NEMS Net Load'!$C$20/('NEMS Net Load'!$C$4+'NEMS Net Load'!$C$20))</f>
        <v>1.9495488337778786</v>
      </c>
      <c r="K16" s="12">
        <f>K$71*('NEMS Net Load'!$C$20/('NEMS Net Load'!$C$4+'NEMS Net Load'!$C$20))</f>
        <v>2.1661653708643094</v>
      </c>
      <c r="L16" s="12">
        <f>L$71*('NEMS Net Load'!$C$20/('NEMS Net Load'!$C$4+'NEMS Net Load'!$C$20))</f>
        <v>2.1661653708643094</v>
      </c>
      <c r="M16" s="12">
        <f>M$71*('NEMS Net Load'!$C$20/('NEMS Net Load'!$C$4+'NEMS Net Load'!$C$20))</f>
        <v>2.1661653708643094</v>
      </c>
      <c r="N16" s="11">
        <f t="shared" si="0"/>
        <v>2.9210238730429893E-2</v>
      </c>
      <c r="O16" s="11">
        <f t="shared" si="1"/>
        <v>3.274076534296029E-2</v>
      </c>
      <c r="P16" s="11">
        <f t="shared" si="2"/>
        <v>3.1666409060775128E-2</v>
      </c>
      <c r="Q16" s="11">
        <f t="shared" si="3"/>
        <v>3.0660320545529619E-2</v>
      </c>
      <c r="R16" s="11">
        <f t="shared" si="4"/>
        <v>3.0180875090406487E-2</v>
      </c>
      <c r="S16" s="11">
        <f t="shared" si="5"/>
        <v>3.2410881076991957E-2</v>
      </c>
      <c r="T16" s="11">
        <f t="shared" si="6"/>
        <v>3.1005097733219446E-2</v>
      </c>
      <c r="U16" s="11">
        <f t="shared" si="7"/>
        <v>3.0133753954286177E-2</v>
      </c>
      <c r="Y16" t="s">
        <v>145</v>
      </c>
      <c r="Z16" s="7">
        <f t="shared" si="8"/>
        <v>225</v>
      </c>
      <c r="AA16" s="7">
        <f t="shared" si="9"/>
        <v>231</v>
      </c>
      <c r="AB16" s="7">
        <f t="shared" si="10"/>
        <v>236</v>
      </c>
      <c r="AC16" s="7">
        <f t="shared" si="11"/>
        <v>247</v>
      </c>
      <c r="AD16" s="7">
        <f t="shared" si="12"/>
        <v>256</v>
      </c>
      <c r="AE16" s="7">
        <f t="shared" si="13"/>
        <v>268</v>
      </c>
      <c r="AF16" s="7">
        <f t="shared" si="14"/>
        <v>279</v>
      </c>
      <c r="AG16" s="7">
        <f t="shared" si="15"/>
        <v>292</v>
      </c>
      <c r="AI16" t="s">
        <v>145</v>
      </c>
      <c r="AJ16" s="14">
        <f t="shared" si="16"/>
        <v>1</v>
      </c>
      <c r="AK16" s="14">
        <f t="shared" si="17"/>
        <v>1</v>
      </c>
      <c r="AL16" s="14">
        <f t="shared" si="18"/>
        <v>1</v>
      </c>
      <c r="AM16" s="14">
        <f t="shared" si="19"/>
        <v>1</v>
      </c>
      <c r="AN16" s="14">
        <f t="shared" si="20"/>
        <v>1</v>
      </c>
      <c r="AO16" s="14">
        <f t="shared" si="21"/>
        <v>1</v>
      </c>
      <c r="AP16" s="14">
        <f t="shared" si="22"/>
        <v>1</v>
      </c>
      <c r="AQ16" s="14">
        <f t="shared" si="23"/>
        <v>1</v>
      </c>
      <c r="AS16" s="14" cm="1">
        <f t="array" ref="AS16">TREND($AJ16:$AQ16,$AJ$2:$AQ$2,AS$2)</f>
        <v>1</v>
      </c>
      <c r="AT16" s="14" cm="1">
        <f t="array" ref="AT16">TREND($AJ16:$AQ16,$AJ$2:$AQ$2,AT$2)</f>
        <v>1</v>
      </c>
      <c r="AU16" s="14" cm="1">
        <f t="array" ref="AU16">TREND($AJ16:$AQ16,$AJ$2:$AQ$2,AU$2)</f>
        <v>1</v>
      </c>
      <c r="AV16" s="14" cm="1">
        <f t="array" ref="AV16">TREND($AJ16:$AQ16,$AJ$2:$AQ$2,AV$2)</f>
        <v>1</v>
      </c>
      <c r="AW16" s="14" cm="1">
        <f t="array" ref="AW16">TREND($AJ16:$AQ16,$AJ$2:$AQ$2,AW$2)</f>
        <v>1</v>
      </c>
      <c r="AX16" s="14" cm="1">
        <f t="array" ref="AX16">TREND($AJ16:$AQ16,$AJ$2:$AQ$2,AX$2)</f>
        <v>1</v>
      </c>
      <c r="AY16" s="14" cm="1">
        <f t="array" ref="AY16">TREND($AJ16:$AQ16,$AJ$2:$AQ$2,AY$2)</f>
        <v>1</v>
      </c>
      <c r="AZ16" s="14" cm="1">
        <f t="array" ref="AZ16">TREND($AJ16:$AQ16,$AJ$2:$AQ$2,AZ$2)</f>
        <v>1</v>
      </c>
      <c r="BA16" s="14" cm="1">
        <f t="array" ref="BA16">TREND($AJ16:$AQ16,$AJ$2:$AQ$2,BA$2)</f>
        <v>1</v>
      </c>
      <c r="BB16" s="14" cm="1">
        <f t="array" ref="BB16">TREND($AJ16:$AQ16,$AJ$2:$AQ$2,BB$2)</f>
        <v>1</v>
      </c>
      <c r="BC16" s="14" cm="1">
        <f t="array" ref="BC16">TREND($AJ16:$AQ16,$AJ$2:$AQ$2,BC$2)</f>
        <v>1</v>
      </c>
      <c r="BD16" s="14" cm="1">
        <f t="array" ref="BD16">TREND($AJ16:$AQ16,$AJ$2:$AQ$2,BD$2)</f>
        <v>1</v>
      </c>
      <c r="BE16" s="14" cm="1">
        <f t="array" ref="BE16">TREND($AJ16:$AQ16,$AJ$2:$AQ$2,BE$2)</f>
        <v>1</v>
      </c>
      <c r="BF16" s="14" cm="1">
        <f t="array" ref="BF16">TREND($AJ16:$AQ16,$AJ$2:$AQ$2,BF$2)</f>
        <v>1</v>
      </c>
      <c r="BG16" s="14" cm="1">
        <f t="array" ref="BG16">TREND($AJ16:$AQ16,$AJ$2:$AQ$2,BG$2)</f>
        <v>1</v>
      </c>
      <c r="BH16" s="14" cm="1">
        <f t="array" ref="BH16">TREND($AJ16:$AQ16,$AJ$2:$AQ$2,BH$2)</f>
        <v>1</v>
      </c>
      <c r="BI16" s="14" cm="1">
        <f t="array" ref="BI16">TREND($AJ16:$AQ16,$AJ$2:$AQ$2,BI$2)</f>
        <v>1</v>
      </c>
      <c r="BJ16" s="14" cm="1">
        <f t="array" ref="BJ16">TREND($AJ16:$AQ16,$AJ$2:$AQ$2,BJ$2)</f>
        <v>1</v>
      </c>
      <c r="BK16" s="14" cm="1">
        <f t="array" ref="BK16">TREND($AJ16:$AQ16,$AJ$2:$AQ$2,BK$2)</f>
        <v>1</v>
      </c>
      <c r="BL16" s="14" cm="1">
        <f t="array" ref="BL16">TREND($AJ16:$AQ16,$AJ$2:$AQ$2,BL$2)</f>
        <v>1</v>
      </c>
      <c r="BM16" s="14" cm="1">
        <f t="array" ref="BM16">TREND($AJ16:$AQ16,$AJ$2:$AQ$2,BM$2)</f>
        <v>1</v>
      </c>
      <c r="BN16" s="14" cm="1">
        <f t="array" ref="BN16">TREND($AJ16:$AQ16,$AJ$2:$AQ$2,BN$2)</f>
        <v>1</v>
      </c>
      <c r="BO16" s="14" cm="1">
        <f t="array" ref="BO16">TREND($AJ16:$AQ16,$AJ$2:$AQ$2,BO$2)</f>
        <v>1</v>
      </c>
      <c r="BP16" s="14" cm="1">
        <f t="array" ref="BP16">TREND($AJ16:$AQ16,$AJ$2:$AQ$2,BP$2)</f>
        <v>1</v>
      </c>
      <c r="BQ16" s="14" cm="1">
        <f t="array" ref="BQ16">TREND($AJ16:$AQ16,$AJ$2:$AQ$2,BQ$2)</f>
        <v>1</v>
      </c>
      <c r="BR16" s="14" cm="1">
        <f t="array" ref="BR16">TREND($AJ16:$AQ16,$AJ$2:$AQ$2,BR$2)</f>
        <v>1</v>
      </c>
      <c r="BS16" s="14" cm="1">
        <f t="array" ref="BS16">TREND($AJ16:$AQ16,$AJ$2:$AQ$2,BS$2)</f>
        <v>1</v>
      </c>
      <c r="BT16" s="14" cm="1">
        <f t="array" ref="BT16">TREND($AJ16:$AQ16,$AJ$2:$AQ$2,BT$2)</f>
        <v>1</v>
      </c>
      <c r="BU16" s="14" cm="1">
        <f t="array" ref="BU16">TREND($AJ16:$AQ16,$AJ$2:$AQ$2,BU$2)</f>
        <v>1</v>
      </c>
      <c r="BV16" s="14" cm="1">
        <f t="array" ref="BV16">TREND($AJ16:$AQ16,$AJ$2:$AQ$2,BV$2)</f>
        <v>1</v>
      </c>
    </row>
    <row r="17" spans="1:74" x14ac:dyDescent="0.3">
      <c r="A17" t="s">
        <v>33</v>
      </c>
      <c r="B17" t="s">
        <v>136</v>
      </c>
      <c r="D17">
        <v>0.01</v>
      </c>
      <c r="E17">
        <v>0.99</v>
      </c>
      <c r="F17">
        <f>INDEX('IPM Load'!B:B,MATCH('Cost-of-Service Shares'!$A17,'IPM Load'!$A:$A,0))</f>
        <v>30</v>
      </c>
      <c r="G17">
        <f>INDEX('IPM Load'!C:C,MATCH('Cost-of-Service Shares'!$A17,'IPM Load'!$A:$A,0))</f>
        <v>31</v>
      </c>
      <c r="H17">
        <f>INDEX('IPM Load'!D:D,MATCH('Cost-of-Service Shares'!$A17,'IPM Load'!$A:$A,0))</f>
        <v>31</v>
      </c>
      <c r="I17">
        <f>INDEX('IPM Load'!E:E,MATCH('Cost-of-Service Shares'!$A17,'IPM Load'!$A:$A,0))</f>
        <v>32</v>
      </c>
      <c r="J17">
        <f>INDEX('IPM Load'!F:F,MATCH('Cost-of-Service Shares'!$A17,'IPM Load'!$A:$A,0))</f>
        <v>33</v>
      </c>
      <c r="K17">
        <f>INDEX('IPM Load'!G:G,MATCH('Cost-of-Service Shares'!$A17,'IPM Load'!$A:$A,0))</f>
        <v>34</v>
      </c>
      <c r="L17">
        <f>INDEX('IPM Load'!H:H,MATCH('Cost-of-Service Shares'!$A17,'IPM Load'!$A:$A,0))</f>
        <v>35</v>
      </c>
      <c r="M17">
        <f>INDEX('IPM Load'!I:I,MATCH('Cost-of-Service Shares'!$A17,'IPM Load'!$A:$A,0))</f>
        <v>37</v>
      </c>
      <c r="N17" s="14">
        <f t="shared" si="0"/>
        <v>0.14611319155422919</v>
      </c>
      <c r="O17" s="14">
        <f t="shared" si="1"/>
        <v>0.14751229727197371</v>
      </c>
      <c r="P17" s="14">
        <f t="shared" si="2"/>
        <v>0.14610775568253201</v>
      </c>
      <c r="Q17" s="14">
        <f t="shared" si="3"/>
        <v>0.14663241770148608</v>
      </c>
      <c r="R17" s="14">
        <f t="shared" si="4"/>
        <v>0.1471287260548908</v>
      </c>
      <c r="S17" s="14">
        <f t="shared" si="5"/>
        <v>0.14645363270518644</v>
      </c>
      <c r="T17" s="14">
        <f t="shared" si="6"/>
        <v>0.14568995220562794</v>
      </c>
      <c r="U17" s="14">
        <f t="shared" si="7"/>
        <v>0.14839942852662827</v>
      </c>
      <c r="Y17" t="s">
        <v>63</v>
      </c>
      <c r="Z17" s="7">
        <f t="shared" si="8"/>
        <v>250</v>
      </c>
      <c r="AA17" s="7">
        <f t="shared" si="9"/>
        <v>258</v>
      </c>
      <c r="AB17" s="7">
        <f t="shared" si="10"/>
        <v>263</v>
      </c>
      <c r="AC17" s="7">
        <f t="shared" si="11"/>
        <v>274</v>
      </c>
      <c r="AD17" s="7">
        <f t="shared" si="12"/>
        <v>283</v>
      </c>
      <c r="AE17" s="7">
        <f t="shared" si="13"/>
        <v>295</v>
      </c>
      <c r="AF17" s="7">
        <f t="shared" si="14"/>
        <v>306</v>
      </c>
      <c r="AG17" s="7">
        <f t="shared" si="15"/>
        <v>318</v>
      </c>
      <c r="AI17" t="s">
        <v>63</v>
      </c>
      <c r="AJ17" s="14">
        <f t="shared" si="16"/>
        <v>1</v>
      </c>
      <c r="AK17" s="14">
        <f t="shared" si="17"/>
        <v>1</v>
      </c>
      <c r="AL17" s="14">
        <f t="shared" si="18"/>
        <v>1</v>
      </c>
      <c r="AM17" s="14">
        <f t="shared" si="19"/>
        <v>1</v>
      </c>
      <c r="AN17" s="14">
        <f t="shared" si="20"/>
        <v>1</v>
      </c>
      <c r="AO17" s="14">
        <f t="shared" si="21"/>
        <v>1</v>
      </c>
      <c r="AP17" s="14">
        <f t="shared" si="22"/>
        <v>1</v>
      </c>
      <c r="AQ17" s="14">
        <f t="shared" si="23"/>
        <v>1</v>
      </c>
      <c r="AS17" s="14" cm="1">
        <f t="array" ref="AS17">TREND($AJ17:$AQ17,$AJ$2:$AQ$2,AS$2)</f>
        <v>1</v>
      </c>
      <c r="AT17" s="14" cm="1">
        <f t="array" ref="AT17">TREND($AJ17:$AQ17,$AJ$2:$AQ$2,AT$2)</f>
        <v>1</v>
      </c>
      <c r="AU17" s="14" cm="1">
        <f t="array" ref="AU17">TREND($AJ17:$AQ17,$AJ$2:$AQ$2,AU$2)</f>
        <v>1</v>
      </c>
      <c r="AV17" s="14" cm="1">
        <f t="array" ref="AV17">TREND($AJ17:$AQ17,$AJ$2:$AQ$2,AV$2)</f>
        <v>1</v>
      </c>
      <c r="AW17" s="14" cm="1">
        <f t="array" ref="AW17">TREND($AJ17:$AQ17,$AJ$2:$AQ$2,AW$2)</f>
        <v>1</v>
      </c>
      <c r="AX17" s="14" cm="1">
        <f t="array" ref="AX17">TREND($AJ17:$AQ17,$AJ$2:$AQ$2,AX$2)</f>
        <v>1</v>
      </c>
      <c r="AY17" s="14" cm="1">
        <f t="array" ref="AY17">TREND($AJ17:$AQ17,$AJ$2:$AQ$2,AY$2)</f>
        <v>1</v>
      </c>
      <c r="AZ17" s="14" cm="1">
        <f t="array" ref="AZ17">TREND($AJ17:$AQ17,$AJ$2:$AQ$2,AZ$2)</f>
        <v>1</v>
      </c>
      <c r="BA17" s="14" cm="1">
        <f t="array" ref="BA17">TREND($AJ17:$AQ17,$AJ$2:$AQ$2,BA$2)</f>
        <v>1</v>
      </c>
      <c r="BB17" s="14" cm="1">
        <f t="array" ref="BB17">TREND($AJ17:$AQ17,$AJ$2:$AQ$2,BB$2)</f>
        <v>1</v>
      </c>
      <c r="BC17" s="14" cm="1">
        <f t="array" ref="BC17">TREND($AJ17:$AQ17,$AJ$2:$AQ$2,BC$2)</f>
        <v>1</v>
      </c>
      <c r="BD17" s="14" cm="1">
        <f t="array" ref="BD17">TREND($AJ17:$AQ17,$AJ$2:$AQ$2,BD$2)</f>
        <v>1</v>
      </c>
      <c r="BE17" s="14" cm="1">
        <f t="array" ref="BE17">TREND($AJ17:$AQ17,$AJ$2:$AQ$2,BE$2)</f>
        <v>1</v>
      </c>
      <c r="BF17" s="14" cm="1">
        <f t="array" ref="BF17">TREND($AJ17:$AQ17,$AJ$2:$AQ$2,BF$2)</f>
        <v>1</v>
      </c>
      <c r="BG17" s="14" cm="1">
        <f t="array" ref="BG17">TREND($AJ17:$AQ17,$AJ$2:$AQ$2,BG$2)</f>
        <v>1</v>
      </c>
      <c r="BH17" s="14" cm="1">
        <f t="array" ref="BH17">TREND($AJ17:$AQ17,$AJ$2:$AQ$2,BH$2)</f>
        <v>1</v>
      </c>
      <c r="BI17" s="14" cm="1">
        <f t="array" ref="BI17">TREND($AJ17:$AQ17,$AJ$2:$AQ$2,BI$2)</f>
        <v>1</v>
      </c>
      <c r="BJ17" s="14" cm="1">
        <f t="array" ref="BJ17">TREND($AJ17:$AQ17,$AJ$2:$AQ$2,BJ$2)</f>
        <v>1</v>
      </c>
      <c r="BK17" s="14" cm="1">
        <f t="array" ref="BK17">TREND($AJ17:$AQ17,$AJ$2:$AQ$2,BK$2)</f>
        <v>1</v>
      </c>
      <c r="BL17" s="14" cm="1">
        <f t="array" ref="BL17">TREND($AJ17:$AQ17,$AJ$2:$AQ$2,BL$2)</f>
        <v>1</v>
      </c>
      <c r="BM17" s="14" cm="1">
        <f t="array" ref="BM17">TREND($AJ17:$AQ17,$AJ$2:$AQ$2,BM$2)</f>
        <v>1</v>
      </c>
      <c r="BN17" s="14" cm="1">
        <f t="array" ref="BN17">TREND($AJ17:$AQ17,$AJ$2:$AQ$2,BN$2)</f>
        <v>1</v>
      </c>
      <c r="BO17" s="14" cm="1">
        <f t="array" ref="BO17">TREND($AJ17:$AQ17,$AJ$2:$AQ$2,BO$2)</f>
        <v>1</v>
      </c>
      <c r="BP17" s="14" cm="1">
        <f t="array" ref="BP17">TREND($AJ17:$AQ17,$AJ$2:$AQ$2,BP$2)</f>
        <v>1</v>
      </c>
      <c r="BQ17" s="14" cm="1">
        <f t="array" ref="BQ17">TREND($AJ17:$AQ17,$AJ$2:$AQ$2,BQ$2)</f>
        <v>1</v>
      </c>
      <c r="BR17" s="14" cm="1">
        <f t="array" ref="BR17">TREND($AJ17:$AQ17,$AJ$2:$AQ$2,BR$2)</f>
        <v>1</v>
      </c>
      <c r="BS17" s="14" cm="1">
        <f t="array" ref="BS17">TREND($AJ17:$AQ17,$AJ$2:$AQ$2,BS$2)</f>
        <v>1</v>
      </c>
      <c r="BT17" s="14" cm="1">
        <f t="array" ref="BT17">TREND($AJ17:$AQ17,$AJ$2:$AQ$2,BT$2)</f>
        <v>1</v>
      </c>
      <c r="BU17" s="14" cm="1">
        <f t="array" ref="BU17">TREND($AJ17:$AQ17,$AJ$2:$AQ$2,BU$2)</f>
        <v>1</v>
      </c>
      <c r="BV17" s="14" cm="1">
        <f t="array" ref="BV17">TREND($AJ17:$AQ17,$AJ$2:$AQ$2,BV$2)</f>
        <v>1</v>
      </c>
    </row>
    <row r="18" spans="1:74" x14ac:dyDescent="0.3">
      <c r="A18" t="s">
        <v>34</v>
      </c>
      <c r="B18" t="s">
        <v>136</v>
      </c>
      <c r="D18">
        <v>0.01</v>
      </c>
      <c r="E18">
        <v>0.99</v>
      </c>
      <c r="F18">
        <f>INDEX('IPM Load'!B:B,MATCH('Cost-of-Service Shares'!$A18,'IPM Load'!$A:$A,0))</f>
        <v>90</v>
      </c>
      <c r="G18">
        <f>INDEX('IPM Load'!C:C,MATCH('Cost-of-Service Shares'!$A18,'IPM Load'!$A:$A,0))</f>
        <v>92</v>
      </c>
      <c r="H18">
        <f>INDEX('IPM Load'!D:D,MATCH('Cost-of-Service Shares'!$A18,'IPM Load'!$A:$A,0))</f>
        <v>93</v>
      </c>
      <c r="I18">
        <f>INDEX('IPM Load'!E:E,MATCH('Cost-of-Service Shares'!$A18,'IPM Load'!$A:$A,0))</f>
        <v>96</v>
      </c>
      <c r="J18">
        <f>INDEX('IPM Load'!F:F,MATCH('Cost-of-Service Shares'!$A18,'IPM Load'!$A:$A,0))</f>
        <v>99</v>
      </c>
      <c r="K18">
        <f>INDEX('IPM Load'!G:G,MATCH('Cost-of-Service Shares'!$A18,'IPM Load'!$A:$A,0))</f>
        <v>102</v>
      </c>
      <c r="L18">
        <f>INDEX('IPM Load'!H:H,MATCH('Cost-of-Service Shares'!$A18,'IPM Load'!$A:$A,0))</f>
        <v>106</v>
      </c>
      <c r="M18">
        <f>INDEX('IPM Load'!I:I,MATCH('Cost-of-Service Shares'!$A18,'IPM Load'!$A:$A,0))</f>
        <v>110</v>
      </c>
      <c r="N18" s="14">
        <f t="shared" si="0"/>
        <v>0.43833957466268758</v>
      </c>
      <c r="O18" s="14">
        <f t="shared" si="1"/>
        <v>0.43777843061359933</v>
      </c>
      <c r="P18" s="14">
        <f t="shared" si="2"/>
        <v>0.438323267047596</v>
      </c>
      <c r="Q18" s="14">
        <f t="shared" si="3"/>
        <v>0.43989725310445821</v>
      </c>
      <c r="R18" s="14">
        <f t="shared" si="4"/>
        <v>0.44138617816467246</v>
      </c>
      <c r="S18" s="14">
        <f t="shared" si="5"/>
        <v>0.4393608981155594</v>
      </c>
      <c r="T18" s="14">
        <f t="shared" si="6"/>
        <v>0.44123242667990181</v>
      </c>
      <c r="U18" s="14">
        <f t="shared" si="7"/>
        <v>0.44118749021430026</v>
      </c>
      <c r="Y18" t="s">
        <v>59</v>
      </c>
      <c r="Z18" s="7">
        <f t="shared" si="8"/>
        <v>211</v>
      </c>
      <c r="AA18" s="7">
        <f t="shared" si="9"/>
        <v>217</v>
      </c>
      <c r="AB18" s="7">
        <f t="shared" si="10"/>
        <v>222</v>
      </c>
      <c r="AC18" s="7">
        <f t="shared" si="11"/>
        <v>229</v>
      </c>
      <c r="AD18" s="7">
        <f t="shared" si="12"/>
        <v>236</v>
      </c>
      <c r="AE18" s="7">
        <f t="shared" si="13"/>
        <v>245</v>
      </c>
      <c r="AF18" s="7">
        <f t="shared" si="14"/>
        <v>253</v>
      </c>
      <c r="AG18" s="7">
        <f t="shared" si="15"/>
        <v>262</v>
      </c>
      <c r="AI18" t="s">
        <v>59</v>
      </c>
      <c r="AJ18" s="14">
        <f t="shared" si="16"/>
        <v>1</v>
      </c>
      <c r="AK18" s="14">
        <f t="shared" si="17"/>
        <v>1</v>
      </c>
      <c r="AL18" s="14">
        <f t="shared" si="18"/>
        <v>1</v>
      </c>
      <c r="AM18" s="14">
        <f t="shared" si="19"/>
        <v>1</v>
      </c>
      <c r="AN18" s="14">
        <f t="shared" si="20"/>
        <v>1</v>
      </c>
      <c r="AO18" s="14">
        <f t="shared" si="21"/>
        <v>1</v>
      </c>
      <c r="AP18" s="14">
        <f t="shared" si="22"/>
        <v>1</v>
      </c>
      <c r="AQ18" s="14">
        <f t="shared" si="23"/>
        <v>1</v>
      </c>
      <c r="AS18" s="14" cm="1">
        <f t="array" ref="AS18">TREND($AJ18:$AQ18,$AJ$2:$AQ$2,AS$2)</f>
        <v>1</v>
      </c>
      <c r="AT18" s="14" cm="1">
        <f t="array" ref="AT18">TREND($AJ18:$AQ18,$AJ$2:$AQ$2,AT$2)</f>
        <v>1</v>
      </c>
      <c r="AU18" s="14" cm="1">
        <f t="array" ref="AU18">TREND($AJ18:$AQ18,$AJ$2:$AQ$2,AU$2)</f>
        <v>1</v>
      </c>
      <c r="AV18" s="14" cm="1">
        <f t="array" ref="AV18">TREND($AJ18:$AQ18,$AJ$2:$AQ$2,AV$2)</f>
        <v>1</v>
      </c>
      <c r="AW18" s="14" cm="1">
        <f t="array" ref="AW18">TREND($AJ18:$AQ18,$AJ$2:$AQ$2,AW$2)</f>
        <v>1</v>
      </c>
      <c r="AX18" s="14" cm="1">
        <f t="array" ref="AX18">TREND($AJ18:$AQ18,$AJ$2:$AQ$2,AX$2)</f>
        <v>1</v>
      </c>
      <c r="AY18" s="14" cm="1">
        <f t="array" ref="AY18">TREND($AJ18:$AQ18,$AJ$2:$AQ$2,AY$2)</f>
        <v>1</v>
      </c>
      <c r="AZ18" s="14" cm="1">
        <f t="array" ref="AZ18">TREND($AJ18:$AQ18,$AJ$2:$AQ$2,AZ$2)</f>
        <v>1</v>
      </c>
      <c r="BA18" s="14" cm="1">
        <f t="array" ref="BA18">TREND($AJ18:$AQ18,$AJ$2:$AQ$2,BA$2)</f>
        <v>1</v>
      </c>
      <c r="BB18" s="14" cm="1">
        <f t="array" ref="BB18">TREND($AJ18:$AQ18,$AJ$2:$AQ$2,BB$2)</f>
        <v>1</v>
      </c>
      <c r="BC18" s="14" cm="1">
        <f t="array" ref="BC18">TREND($AJ18:$AQ18,$AJ$2:$AQ$2,BC$2)</f>
        <v>1</v>
      </c>
      <c r="BD18" s="14" cm="1">
        <f t="array" ref="BD18">TREND($AJ18:$AQ18,$AJ$2:$AQ$2,BD$2)</f>
        <v>1</v>
      </c>
      <c r="BE18" s="14" cm="1">
        <f t="array" ref="BE18">TREND($AJ18:$AQ18,$AJ$2:$AQ$2,BE$2)</f>
        <v>1</v>
      </c>
      <c r="BF18" s="14" cm="1">
        <f t="array" ref="BF18">TREND($AJ18:$AQ18,$AJ$2:$AQ$2,BF$2)</f>
        <v>1</v>
      </c>
      <c r="BG18" s="14" cm="1">
        <f t="array" ref="BG18">TREND($AJ18:$AQ18,$AJ$2:$AQ$2,BG$2)</f>
        <v>1</v>
      </c>
      <c r="BH18" s="14" cm="1">
        <f t="array" ref="BH18">TREND($AJ18:$AQ18,$AJ$2:$AQ$2,BH$2)</f>
        <v>1</v>
      </c>
      <c r="BI18" s="14" cm="1">
        <f t="array" ref="BI18">TREND($AJ18:$AQ18,$AJ$2:$AQ$2,BI$2)</f>
        <v>1</v>
      </c>
      <c r="BJ18" s="14" cm="1">
        <f t="array" ref="BJ18">TREND($AJ18:$AQ18,$AJ$2:$AQ$2,BJ$2)</f>
        <v>1</v>
      </c>
      <c r="BK18" s="14" cm="1">
        <f t="array" ref="BK18">TREND($AJ18:$AQ18,$AJ$2:$AQ$2,BK$2)</f>
        <v>1</v>
      </c>
      <c r="BL18" s="14" cm="1">
        <f t="array" ref="BL18">TREND($AJ18:$AQ18,$AJ$2:$AQ$2,BL$2)</f>
        <v>1</v>
      </c>
      <c r="BM18" s="14" cm="1">
        <f t="array" ref="BM18">TREND($AJ18:$AQ18,$AJ$2:$AQ$2,BM$2)</f>
        <v>1</v>
      </c>
      <c r="BN18" s="14" cm="1">
        <f t="array" ref="BN18">TREND($AJ18:$AQ18,$AJ$2:$AQ$2,BN$2)</f>
        <v>1</v>
      </c>
      <c r="BO18" s="14" cm="1">
        <f t="array" ref="BO18">TREND($AJ18:$AQ18,$AJ$2:$AQ$2,BO$2)</f>
        <v>1</v>
      </c>
      <c r="BP18" s="14" cm="1">
        <f t="array" ref="BP18">TREND($AJ18:$AQ18,$AJ$2:$AQ$2,BP$2)</f>
        <v>1</v>
      </c>
      <c r="BQ18" s="14" cm="1">
        <f t="array" ref="BQ18">TREND($AJ18:$AQ18,$AJ$2:$AQ$2,BQ$2)</f>
        <v>1</v>
      </c>
      <c r="BR18" s="14" cm="1">
        <f t="array" ref="BR18">TREND($AJ18:$AQ18,$AJ$2:$AQ$2,BR$2)</f>
        <v>1</v>
      </c>
      <c r="BS18" s="14" cm="1">
        <f t="array" ref="BS18">TREND($AJ18:$AQ18,$AJ$2:$AQ$2,BS$2)</f>
        <v>1</v>
      </c>
      <c r="BT18" s="14" cm="1">
        <f t="array" ref="BT18">TREND($AJ18:$AQ18,$AJ$2:$AQ$2,BT$2)</f>
        <v>1</v>
      </c>
      <c r="BU18" s="14" cm="1">
        <f t="array" ref="BU18">TREND($AJ18:$AQ18,$AJ$2:$AQ$2,BU$2)</f>
        <v>1</v>
      </c>
      <c r="BV18" s="14" cm="1">
        <f t="array" ref="BV18">TREND($AJ18:$AQ18,$AJ$2:$AQ$2,BV$2)</f>
        <v>1</v>
      </c>
    </row>
    <row r="19" spans="1:74" x14ac:dyDescent="0.3">
      <c r="A19" t="s">
        <v>35</v>
      </c>
      <c r="B19" t="s">
        <v>137</v>
      </c>
      <c r="D19">
        <v>0.09</v>
      </c>
      <c r="E19">
        <v>0.91</v>
      </c>
      <c r="F19">
        <f>INDEX('IPM Load'!B:B,MATCH('Cost-of-Service Shares'!$A19,'IPM Load'!$A:$A,0))</f>
        <v>41</v>
      </c>
      <c r="G19">
        <f>INDEX('IPM Load'!C:C,MATCH('Cost-of-Service Shares'!$A19,'IPM Load'!$A:$A,0))</f>
        <v>41</v>
      </c>
      <c r="H19">
        <f>INDEX('IPM Load'!D:D,MATCH('Cost-of-Service Shares'!$A19,'IPM Load'!$A:$A,0))</f>
        <v>42</v>
      </c>
      <c r="I19">
        <f>INDEX('IPM Load'!E:E,MATCH('Cost-of-Service Shares'!$A19,'IPM Load'!$A:$A,0))</f>
        <v>43</v>
      </c>
      <c r="J19">
        <f>INDEX('IPM Load'!F:F,MATCH('Cost-of-Service Shares'!$A19,'IPM Load'!$A:$A,0))</f>
        <v>44</v>
      </c>
      <c r="K19">
        <f>INDEX('IPM Load'!G:G,MATCH('Cost-of-Service Shares'!$A19,'IPM Load'!$A:$A,0))</f>
        <v>46</v>
      </c>
      <c r="L19">
        <f>INDEX('IPM Load'!H:H,MATCH('Cost-of-Service Shares'!$A19,'IPM Load'!$A:$A,0))</f>
        <v>47</v>
      </c>
      <c r="M19">
        <f>INDEX('IPM Load'!I:I,MATCH('Cost-of-Service Shares'!$A19,'IPM Load'!$A:$A,0))</f>
        <v>49</v>
      </c>
      <c r="N19" s="14">
        <f t="shared" si="0"/>
        <v>0.18994049615396572</v>
      </c>
      <c r="O19" s="14">
        <f t="shared" si="1"/>
        <v>0.18654125154266257</v>
      </c>
      <c r="P19" s="14">
        <f t="shared" si="2"/>
        <v>0.18919913553719556</v>
      </c>
      <c r="Q19" s="14">
        <f t="shared" si="3"/>
        <v>0.18811651698603624</v>
      </c>
      <c r="R19" s="14">
        <f t="shared" si="4"/>
        <v>0.18834480510934914</v>
      </c>
      <c r="S19" s="14">
        <f t="shared" si="5"/>
        <v>0.19012731296276245</v>
      </c>
      <c r="T19" s="14">
        <f t="shared" si="6"/>
        <v>0.18827454009934619</v>
      </c>
      <c r="U19" s="14">
        <f t="shared" si="7"/>
        <v>0.18914288232535731</v>
      </c>
      <c r="Y19" t="s">
        <v>133</v>
      </c>
      <c r="Z19" s="7">
        <f t="shared" si="8"/>
        <v>168.57006138513759</v>
      </c>
      <c r="AA19" s="7">
        <f t="shared" si="9"/>
        <v>173.99062035097856</v>
      </c>
      <c r="AB19" s="7">
        <f t="shared" si="10"/>
        <v>178.99062035097856</v>
      </c>
      <c r="AC19" s="7">
        <f t="shared" si="11"/>
        <v>185.99062035097856</v>
      </c>
      <c r="AD19" s="7">
        <f t="shared" si="12"/>
        <v>193.41117931681953</v>
      </c>
      <c r="AE19" s="7">
        <f t="shared" si="13"/>
        <v>203.8317382826605</v>
      </c>
      <c r="AF19" s="7">
        <f t="shared" si="14"/>
        <v>212.8317382826605</v>
      </c>
      <c r="AG19" s="7">
        <f t="shared" si="15"/>
        <v>220.25229724850146</v>
      </c>
      <c r="AI19" t="s">
        <v>133</v>
      </c>
      <c r="AJ19" s="14">
        <f t="shared" si="16"/>
        <v>0.99999999999999989</v>
      </c>
      <c r="AK19" s="14">
        <f t="shared" si="17"/>
        <v>0.99999999999999989</v>
      </c>
      <c r="AL19" s="14">
        <f t="shared" si="18"/>
        <v>1</v>
      </c>
      <c r="AM19" s="14">
        <f t="shared" si="19"/>
        <v>1</v>
      </c>
      <c r="AN19" s="14">
        <f t="shared" si="20"/>
        <v>1</v>
      </c>
      <c r="AO19" s="14">
        <f t="shared" si="21"/>
        <v>1</v>
      </c>
      <c r="AP19" s="14">
        <f t="shared" si="22"/>
        <v>1</v>
      </c>
      <c r="AQ19" s="14">
        <f t="shared" si="23"/>
        <v>1</v>
      </c>
      <c r="AS19" s="14" cm="1">
        <f t="array" ref="AS19">TREND($AJ19:$AQ19,$AJ$2:$AQ$2,AS$2)</f>
        <v>1</v>
      </c>
      <c r="AT19" s="14" cm="1">
        <f t="array" ref="AT19">TREND($AJ19:$AQ19,$AJ$2:$AQ$2,AT$2)</f>
        <v>1</v>
      </c>
      <c r="AU19" s="14" cm="1">
        <f t="array" ref="AU19">TREND($AJ19:$AQ19,$AJ$2:$AQ$2,AU$2)</f>
        <v>1</v>
      </c>
      <c r="AV19" s="14" cm="1">
        <f t="array" ref="AV19">TREND($AJ19:$AQ19,$AJ$2:$AQ$2,AV$2)</f>
        <v>1</v>
      </c>
      <c r="AW19" s="14" cm="1">
        <f t="array" ref="AW19">TREND($AJ19:$AQ19,$AJ$2:$AQ$2,AW$2)</f>
        <v>1</v>
      </c>
      <c r="AX19" s="14" cm="1">
        <f t="array" ref="AX19">TREND($AJ19:$AQ19,$AJ$2:$AQ$2,AX$2)</f>
        <v>1</v>
      </c>
      <c r="AY19" s="14" cm="1">
        <f t="array" ref="AY19">TREND($AJ19:$AQ19,$AJ$2:$AQ$2,AY$2)</f>
        <v>1</v>
      </c>
      <c r="AZ19" s="14" cm="1">
        <f t="array" ref="AZ19">TREND($AJ19:$AQ19,$AJ$2:$AQ$2,AZ$2)</f>
        <v>1</v>
      </c>
      <c r="BA19" s="14" cm="1">
        <f t="array" ref="BA19">TREND($AJ19:$AQ19,$AJ$2:$AQ$2,BA$2)</f>
        <v>1</v>
      </c>
      <c r="BB19" s="14" cm="1">
        <f t="array" ref="BB19">TREND($AJ19:$AQ19,$AJ$2:$AQ$2,BB$2)</f>
        <v>1</v>
      </c>
      <c r="BC19" s="14" cm="1">
        <f t="array" ref="BC19">TREND($AJ19:$AQ19,$AJ$2:$AQ$2,BC$2)</f>
        <v>1</v>
      </c>
      <c r="BD19" s="14" cm="1">
        <f t="array" ref="BD19">TREND($AJ19:$AQ19,$AJ$2:$AQ$2,BD$2)</f>
        <v>1</v>
      </c>
      <c r="BE19" s="14" cm="1">
        <f t="array" ref="BE19">TREND($AJ19:$AQ19,$AJ$2:$AQ$2,BE$2)</f>
        <v>1</v>
      </c>
      <c r="BF19" s="14" cm="1">
        <f t="array" ref="BF19">TREND($AJ19:$AQ19,$AJ$2:$AQ$2,BF$2)</f>
        <v>1</v>
      </c>
      <c r="BG19" s="14" cm="1">
        <f t="array" ref="BG19">TREND($AJ19:$AQ19,$AJ$2:$AQ$2,BG$2)</f>
        <v>1</v>
      </c>
      <c r="BH19" s="14" cm="1">
        <f t="array" ref="BH19">TREND($AJ19:$AQ19,$AJ$2:$AQ$2,BH$2)</f>
        <v>1</v>
      </c>
      <c r="BI19" s="14" cm="1">
        <f t="array" ref="BI19">TREND($AJ19:$AQ19,$AJ$2:$AQ$2,BI$2)</f>
        <v>1</v>
      </c>
      <c r="BJ19" s="14" cm="1">
        <f t="array" ref="BJ19">TREND($AJ19:$AQ19,$AJ$2:$AQ$2,BJ$2)</f>
        <v>1</v>
      </c>
      <c r="BK19" s="14" cm="1">
        <f t="array" ref="BK19">TREND($AJ19:$AQ19,$AJ$2:$AQ$2,BK$2)</f>
        <v>1</v>
      </c>
      <c r="BL19" s="14" cm="1">
        <f t="array" ref="BL19">TREND($AJ19:$AQ19,$AJ$2:$AQ$2,BL$2)</f>
        <v>1</v>
      </c>
      <c r="BM19" s="14" cm="1">
        <f t="array" ref="BM19">TREND($AJ19:$AQ19,$AJ$2:$AQ$2,BM$2)</f>
        <v>1</v>
      </c>
      <c r="BN19" s="14" cm="1">
        <f t="array" ref="BN19">TREND($AJ19:$AQ19,$AJ$2:$AQ$2,BN$2)</f>
        <v>1</v>
      </c>
      <c r="BO19" s="14" cm="1">
        <f t="array" ref="BO19">TREND($AJ19:$AQ19,$AJ$2:$AQ$2,BO$2)</f>
        <v>1</v>
      </c>
      <c r="BP19" s="14" cm="1">
        <f t="array" ref="BP19">TREND($AJ19:$AQ19,$AJ$2:$AQ$2,BP$2)</f>
        <v>1</v>
      </c>
      <c r="BQ19" s="14" cm="1">
        <f t="array" ref="BQ19">TREND($AJ19:$AQ19,$AJ$2:$AQ$2,BQ$2)</f>
        <v>1</v>
      </c>
      <c r="BR19" s="14" cm="1">
        <f t="array" ref="BR19">TREND($AJ19:$AQ19,$AJ$2:$AQ$2,BR$2)</f>
        <v>1</v>
      </c>
      <c r="BS19" s="14" cm="1">
        <f t="array" ref="BS19">TREND($AJ19:$AQ19,$AJ$2:$AQ$2,BS$2)</f>
        <v>1</v>
      </c>
      <c r="BT19" s="14" cm="1">
        <f t="array" ref="BT19">TREND($AJ19:$AQ19,$AJ$2:$AQ$2,BT$2)</f>
        <v>1</v>
      </c>
      <c r="BU19" s="14" cm="1">
        <f t="array" ref="BU19">TREND($AJ19:$AQ19,$AJ$2:$AQ$2,BU$2)</f>
        <v>1</v>
      </c>
      <c r="BV19" s="14" cm="1">
        <f t="array" ref="BV19">TREND($AJ19:$AQ19,$AJ$2:$AQ$2,BV$2)</f>
        <v>1</v>
      </c>
    </row>
    <row r="20" spans="1:74" x14ac:dyDescent="0.3">
      <c r="A20" t="s">
        <v>36</v>
      </c>
      <c r="B20" t="s">
        <v>139</v>
      </c>
      <c r="D20">
        <v>0</v>
      </c>
      <c r="E20">
        <v>1</v>
      </c>
      <c r="F20">
        <f>INDEX('IPM Load'!B:B,MATCH('Cost-of-Service Shares'!$A20,'IPM Load'!$A:$A,0))</f>
        <v>32</v>
      </c>
      <c r="G20">
        <f>INDEX('IPM Load'!C:C,MATCH('Cost-of-Service Shares'!$A20,'IPM Load'!$A:$A,0))</f>
        <v>33</v>
      </c>
      <c r="H20">
        <f>INDEX('IPM Load'!D:D,MATCH('Cost-of-Service Shares'!$A20,'IPM Load'!$A:$A,0))</f>
        <v>34</v>
      </c>
      <c r="I20">
        <f>INDEX('IPM Load'!E:E,MATCH('Cost-of-Service Shares'!$A20,'IPM Load'!$A:$A,0))</f>
        <v>36</v>
      </c>
      <c r="J20">
        <f>INDEX('IPM Load'!F:F,MATCH('Cost-of-Service Shares'!$A20,'IPM Load'!$A:$A,0))</f>
        <v>37</v>
      </c>
      <c r="K20">
        <f>INDEX('IPM Load'!G:G,MATCH('Cost-of-Service Shares'!$A20,'IPM Load'!$A:$A,0))</f>
        <v>39</v>
      </c>
      <c r="L20">
        <f>INDEX('IPM Load'!H:H,MATCH('Cost-of-Service Shares'!$A20,'IPM Load'!$A:$A,0))</f>
        <v>41</v>
      </c>
      <c r="M20">
        <f>INDEX('IPM Load'!I:I,MATCH('Cost-of-Service Shares'!$A20,'IPM Load'!$A:$A,0))</f>
        <v>42</v>
      </c>
      <c r="N20" s="14">
        <f t="shared" si="0"/>
        <v>0.19161676646706588</v>
      </c>
      <c r="O20" s="14">
        <f t="shared" si="1"/>
        <v>0.19075144508670519</v>
      </c>
      <c r="P20" s="14">
        <f t="shared" si="2"/>
        <v>0.19209039548022599</v>
      </c>
      <c r="Q20" s="14">
        <f t="shared" si="3"/>
        <v>0.19459459459459461</v>
      </c>
      <c r="R20" s="14">
        <f t="shared" si="4"/>
        <v>0.19170984455958548</v>
      </c>
      <c r="S20" s="14">
        <f t="shared" si="5"/>
        <v>0.19402985074626866</v>
      </c>
      <c r="T20" s="14">
        <f t="shared" si="6"/>
        <v>0.19431279620853081</v>
      </c>
      <c r="U20" s="14">
        <f t="shared" si="7"/>
        <v>0.19266055045871561</v>
      </c>
      <c r="Y20" t="s">
        <v>134</v>
      </c>
      <c r="Z20" s="7">
        <f t="shared" si="8"/>
        <v>71</v>
      </c>
      <c r="AA20" s="7">
        <f t="shared" si="9"/>
        <v>72</v>
      </c>
      <c r="AB20" s="7">
        <f t="shared" si="10"/>
        <v>74</v>
      </c>
      <c r="AC20" s="7">
        <f t="shared" si="11"/>
        <v>76</v>
      </c>
      <c r="AD20" s="7">
        <f t="shared" si="12"/>
        <v>79</v>
      </c>
      <c r="AE20" s="7">
        <f t="shared" si="13"/>
        <v>82</v>
      </c>
      <c r="AF20" s="7">
        <f t="shared" si="14"/>
        <v>85</v>
      </c>
      <c r="AG20" s="7">
        <f t="shared" si="15"/>
        <v>88</v>
      </c>
      <c r="AI20" t="s">
        <v>134</v>
      </c>
      <c r="AJ20" s="14">
        <f t="shared" si="16"/>
        <v>1</v>
      </c>
      <c r="AK20" s="14">
        <f t="shared" si="17"/>
        <v>1</v>
      </c>
      <c r="AL20" s="14">
        <f t="shared" si="18"/>
        <v>1</v>
      </c>
      <c r="AM20" s="14">
        <f t="shared" si="19"/>
        <v>1</v>
      </c>
      <c r="AN20" s="14">
        <f t="shared" si="20"/>
        <v>1</v>
      </c>
      <c r="AO20" s="14">
        <f t="shared" si="21"/>
        <v>1</v>
      </c>
      <c r="AP20" s="14">
        <f t="shared" si="22"/>
        <v>1</v>
      </c>
      <c r="AQ20" s="14">
        <f t="shared" si="23"/>
        <v>1</v>
      </c>
      <c r="AS20" s="14" cm="1">
        <f t="array" ref="AS20">TREND($AJ20:$AQ20,$AJ$2:$AQ$2,AS$2)</f>
        <v>1</v>
      </c>
      <c r="AT20" s="14" cm="1">
        <f t="array" ref="AT20">TREND($AJ20:$AQ20,$AJ$2:$AQ$2,AT$2)</f>
        <v>1</v>
      </c>
      <c r="AU20" s="14" cm="1">
        <f t="array" ref="AU20">TREND($AJ20:$AQ20,$AJ$2:$AQ$2,AU$2)</f>
        <v>1</v>
      </c>
      <c r="AV20" s="14" cm="1">
        <f t="array" ref="AV20">TREND($AJ20:$AQ20,$AJ$2:$AQ$2,AV$2)</f>
        <v>1</v>
      </c>
      <c r="AW20" s="14" cm="1">
        <f t="array" ref="AW20">TREND($AJ20:$AQ20,$AJ$2:$AQ$2,AW$2)</f>
        <v>1</v>
      </c>
      <c r="AX20" s="14" cm="1">
        <f t="array" ref="AX20">TREND($AJ20:$AQ20,$AJ$2:$AQ$2,AX$2)</f>
        <v>1</v>
      </c>
      <c r="AY20" s="14" cm="1">
        <f t="array" ref="AY20">TREND($AJ20:$AQ20,$AJ$2:$AQ$2,AY$2)</f>
        <v>1</v>
      </c>
      <c r="AZ20" s="14" cm="1">
        <f t="array" ref="AZ20">TREND($AJ20:$AQ20,$AJ$2:$AQ$2,AZ$2)</f>
        <v>1</v>
      </c>
      <c r="BA20" s="14" cm="1">
        <f t="array" ref="BA20">TREND($AJ20:$AQ20,$AJ$2:$AQ$2,BA$2)</f>
        <v>1</v>
      </c>
      <c r="BB20" s="14" cm="1">
        <f t="array" ref="BB20">TREND($AJ20:$AQ20,$AJ$2:$AQ$2,BB$2)</f>
        <v>1</v>
      </c>
      <c r="BC20" s="14" cm="1">
        <f t="array" ref="BC20">TREND($AJ20:$AQ20,$AJ$2:$AQ$2,BC$2)</f>
        <v>1</v>
      </c>
      <c r="BD20" s="14" cm="1">
        <f t="array" ref="BD20">TREND($AJ20:$AQ20,$AJ$2:$AQ$2,BD$2)</f>
        <v>1</v>
      </c>
      <c r="BE20" s="14" cm="1">
        <f t="array" ref="BE20">TREND($AJ20:$AQ20,$AJ$2:$AQ$2,BE$2)</f>
        <v>1</v>
      </c>
      <c r="BF20" s="14" cm="1">
        <f t="array" ref="BF20">TREND($AJ20:$AQ20,$AJ$2:$AQ$2,BF$2)</f>
        <v>1</v>
      </c>
      <c r="BG20" s="14" cm="1">
        <f t="array" ref="BG20">TREND($AJ20:$AQ20,$AJ$2:$AQ$2,BG$2)</f>
        <v>1</v>
      </c>
      <c r="BH20" s="14" cm="1">
        <f t="array" ref="BH20">TREND($AJ20:$AQ20,$AJ$2:$AQ$2,BH$2)</f>
        <v>1</v>
      </c>
      <c r="BI20" s="14" cm="1">
        <f t="array" ref="BI20">TREND($AJ20:$AQ20,$AJ$2:$AQ$2,BI$2)</f>
        <v>1</v>
      </c>
      <c r="BJ20" s="14" cm="1">
        <f t="array" ref="BJ20">TREND($AJ20:$AQ20,$AJ$2:$AQ$2,BJ$2)</f>
        <v>1</v>
      </c>
      <c r="BK20" s="14" cm="1">
        <f t="array" ref="BK20">TREND($AJ20:$AQ20,$AJ$2:$AQ$2,BK$2)</f>
        <v>1</v>
      </c>
      <c r="BL20" s="14" cm="1">
        <f t="array" ref="BL20">TREND($AJ20:$AQ20,$AJ$2:$AQ$2,BL$2)</f>
        <v>1</v>
      </c>
      <c r="BM20" s="14" cm="1">
        <f t="array" ref="BM20">TREND($AJ20:$AQ20,$AJ$2:$AQ$2,BM$2)</f>
        <v>1</v>
      </c>
      <c r="BN20" s="14" cm="1">
        <f t="array" ref="BN20">TREND($AJ20:$AQ20,$AJ$2:$AQ$2,BN$2)</f>
        <v>1</v>
      </c>
      <c r="BO20" s="14" cm="1">
        <f t="array" ref="BO20">TREND($AJ20:$AQ20,$AJ$2:$AQ$2,BO$2)</f>
        <v>1</v>
      </c>
      <c r="BP20" s="14" cm="1">
        <f t="array" ref="BP20">TREND($AJ20:$AQ20,$AJ$2:$AQ$2,BP$2)</f>
        <v>1</v>
      </c>
      <c r="BQ20" s="14" cm="1">
        <f t="array" ref="BQ20">TREND($AJ20:$AQ20,$AJ$2:$AQ$2,BQ$2)</f>
        <v>1</v>
      </c>
      <c r="BR20" s="14" cm="1">
        <f t="array" ref="BR20">TREND($AJ20:$AQ20,$AJ$2:$AQ$2,BR$2)</f>
        <v>1</v>
      </c>
      <c r="BS20" s="14" cm="1">
        <f t="array" ref="BS20">TREND($AJ20:$AQ20,$AJ$2:$AQ$2,BS$2)</f>
        <v>1</v>
      </c>
      <c r="BT20" s="14" cm="1">
        <f t="array" ref="BT20">TREND($AJ20:$AQ20,$AJ$2:$AQ$2,BT$2)</f>
        <v>1</v>
      </c>
      <c r="BU20" s="14" cm="1">
        <f t="array" ref="BU20">TREND($AJ20:$AQ20,$AJ$2:$AQ$2,BU$2)</f>
        <v>1</v>
      </c>
      <c r="BV20" s="14" cm="1">
        <f t="array" ref="BV20">TREND($AJ20:$AQ20,$AJ$2:$AQ$2,BV$2)</f>
        <v>1</v>
      </c>
    </row>
    <row r="21" spans="1:74" x14ac:dyDescent="0.3">
      <c r="A21" t="s">
        <v>37</v>
      </c>
      <c r="B21" t="s">
        <v>136</v>
      </c>
      <c r="D21">
        <v>0.59</v>
      </c>
      <c r="E21">
        <v>0.41</v>
      </c>
      <c r="F21">
        <f>INDEX('IPM Load'!B:B,MATCH('Cost-of-Service Shares'!$A21,'IPM Load'!$A:$A,0))</f>
        <v>55</v>
      </c>
      <c r="G21">
        <f>INDEX('IPM Load'!C:C,MATCH('Cost-of-Service Shares'!$A21,'IPM Load'!$A:$A,0))</f>
        <v>56</v>
      </c>
      <c r="H21">
        <f>INDEX('IPM Load'!D:D,MATCH('Cost-of-Service Shares'!$A21,'IPM Load'!$A:$A,0))</f>
        <v>56</v>
      </c>
      <c r="I21">
        <f>INDEX('IPM Load'!E:E,MATCH('Cost-of-Service Shares'!$A21,'IPM Load'!$A:$A,0))</f>
        <v>58</v>
      </c>
      <c r="J21">
        <f>INDEX('IPM Load'!F:F,MATCH('Cost-of-Service Shares'!$A21,'IPM Load'!$A:$A,0))</f>
        <v>59</v>
      </c>
      <c r="K21">
        <f>INDEX('IPM Load'!G:G,MATCH('Cost-of-Service Shares'!$A21,'IPM Load'!$A:$A,0))</f>
        <v>61</v>
      </c>
      <c r="L21">
        <f>INDEX('IPM Load'!H:H,MATCH('Cost-of-Service Shares'!$A21,'IPM Load'!$A:$A,0))</f>
        <v>63</v>
      </c>
      <c r="M21">
        <f>INDEX('IPM Load'!I:I,MATCH('Cost-of-Service Shares'!$A21,'IPM Load'!$A:$A,0))</f>
        <v>65</v>
      </c>
      <c r="N21" s="14">
        <f t="shared" si="0"/>
        <v>0.11093779358747032</v>
      </c>
      <c r="O21" s="14">
        <f t="shared" si="1"/>
        <v>0.11035784768212824</v>
      </c>
      <c r="P21" s="14">
        <f t="shared" si="2"/>
        <v>0.10930707300328885</v>
      </c>
      <c r="Q21" s="14">
        <f t="shared" si="3"/>
        <v>0.1100668842468857</v>
      </c>
      <c r="R21" s="14">
        <f t="shared" si="4"/>
        <v>0.10893920671159499</v>
      </c>
      <c r="S21" s="14">
        <f t="shared" si="5"/>
        <v>0.10881774670103128</v>
      </c>
      <c r="T21" s="14">
        <f t="shared" si="6"/>
        <v>0.10860523709874083</v>
      </c>
      <c r="U21" s="14">
        <f t="shared" si="7"/>
        <v>0.10796737019477595</v>
      </c>
      <c r="Y21" t="s">
        <v>135</v>
      </c>
      <c r="Z21" s="7">
        <f t="shared" si="8"/>
        <v>58.732932296691445</v>
      </c>
      <c r="AA21" s="7">
        <f t="shared" si="9"/>
        <v>58.949548833777875</v>
      </c>
      <c r="AB21" s="7">
        <f t="shared" si="10"/>
        <v>60.949548833777875</v>
      </c>
      <c r="AC21" s="7">
        <f t="shared" si="11"/>
        <v>62.949548833777875</v>
      </c>
      <c r="AD21" s="7">
        <f t="shared" si="12"/>
        <v>63.949548833777875</v>
      </c>
      <c r="AE21" s="7">
        <f t="shared" si="13"/>
        <v>66.166165370864306</v>
      </c>
      <c r="AF21" s="7">
        <f t="shared" si="14"/>
        <v>69.166165370864306</v>
      </c>
      <c r="AG21" s="7">
        <f t="shared" si="15"/>
        <v>71.166165370864306</v>
      </c>
      <c r="AI21" t="s">
        <v>135</v>
      </c>
      <c r="AJ21" s="14">
        <f t="shared" si="16"/>
        <v>0.99</v>
      </c>
      <c r="AK21" s="14">
        <f t="shared" si="17"/>
        <v>0.99</v>
      </c>
      <c r="AL21" s="14">
        <f t="shared" si="18"/>
        <v>0.99</v>
      </c>
      <c r="AM21" s="14">
        <f t="shared" si="19"/>
        <v>0.99</v>
      </c>
      <c r="AN21" s="14">
        <f t="shared" si="20"/>
        <v>0.9900000000000001</v>
      </c>
      <c r="AO21" s="14">
        <f t="shared" si="21"/>
        <v>0.99</v>
      </c>
      <c r="AP21" s="14">
        <f t="shared" si="22"/>
        <v>0.99000000000000021</v>
      </c>
      <c r="AQ21" s="14">
        <f t="shared" si="23"/>
        <v>0.99</v>
      </c>
      <c r="AS21" s="14" cm="1">
        <f t="array" ref="AS21">TREND($AJ21:$AQ21,$AJ$2:$AQ$2,AS$2)</f>
        <v>0.9900000000000001</v>
      </c>
      <c r="AT21" s="14" cm="1">
        <f t="array" ref="AT21">TREND($AJ21:$AQ21,$AJ$2:$AQ$2,AT$2)</f>
        <v>0.9900000000000001</v>
      </c>
      <c r="AU21" s="14" cm="1">
        <f t="array" ref="AU21">TREND($AJ21:$AQ21,$AJ$2:$AQ$2,AU$2)</f>
        <v>0.9900000000000001</v>
      </c>
      <c r="AV21" s="14" cm="1">
        <f t="array" ref="AV21">TREND($AJ21:$AQ21,$AJ$2:$AQ$2,AV$2)</f>
        <v>0.9900000000000001</v>
      </c>
      <c r="AW21" s="14" cm="1">
        <f t="array" ref="AW21">TREND($AJ21:$AQ21,$AJ$2:$AQ$2,AW$2)</f>
        <v>0.9900000000000001</v>
      </c>
      <c r="AX21" s="14" cm="1">
        <f t="array" ref="AX21">TREND($AJ21:$AQ21,$AJ$2:$AQ$2,AX$2)</f>
        <v>0.9900000000000001</v>
      </c>
      <c r="AY21" s="14" cm="1">
        <f t="array" ref="AY21">TREND($AJ21:$AQ21,$AJ$2:$AQ$2,AY$2)</f>
        <v>0.9900000000000001</v>
      </c>
      <c r="AZ21" s="14" cm="1">
        <f t="array" ref="AZ21">TREND($AJ21:$AQ21,$AJ$2:$AQ$2,AZ$2)</f>
        <v>0.9900000000000001</v>
      </c>
      <c r="BA21" s="14" cm="1">
        <f t="array" ref="BA21">TREND($AJ21:$AQ21,$AJ$2:$AQ$2,BA$2)</f>
        <v>0.9900000000000001</v>
      </c>
      <c r="BB21" s="14" cm="1">
        <f t="array" ref="BB21">TREND($AJ21:$AQ21,$AJ$2:$AQ$2,BB$2)</f>
        <v>0.9900000000000001</v>
      </c>
      <c r="BC21" s="14" cm="1">
        <f t="array" ref="BC21">TREND($AJ21:$AQ21,$AJ$2:$AQ$2,BC$2)</f>
        <v>0.9900000000000001</v>
      </c>
      <c r="BD21" s="14" cm="1">
        <f t="array" ref="BD21">TREND($AJ21:$AQ21,$AJ$2:$AQ$2,BD$2)</f>
        <v>0.9900000000000001</v>
      </c>
      <c r="BE21" s="14" cm="1">
        <f t="array" ref="BE21">TREND($AJ21:$AQ21,$AJ$2:$AQ$2,BE$2)</f>
        <v>0.9900000000000001</v>
      </c>
      <c r="BF21" s="14" cm="1">
        <f t="array" ref="BF21">TREND($AJ21:$AQ21,$AJ$2:$AQ$2,BF$2)</f>
        <v>0.9900000000000001</v>
      </c>
      <c r="BG21" s="14" cm="1">
        <f t="array" ref="BG21">TREND($AJ21:$AQ21,$AJ$2:$AQ$2,BG$2)</f>
        <v>0.9900000000000001</v>
      </c>
      <c r="BH21" s="14" cm="1">
        <f t="array" ref="BH21">TREND($AJ21:$AQ21,$AJ$2:$AQ$2,BH$2)</f>
        <v>0.9900000000000001</v>
      </c>
      <c r="BI21" s="14" cm="1">
        <f t="array" ref="BI21">TREND($AJ21:$AQ21,$AJ$2:$AQ$2,BI$2)</f>
        <v>0.9900000000000001</v>
      </c>
      <c r="BJ21" s="14" cm="1">
        <f t="array" ref="BJ21">TREND($AJ21:$AQ21,$AJ$2:$AQ$2,BJ$2)</f>
        <v>0.9900000000000001</v>
      </c>
      <c r="BK21" s="14" cm="1">
        <f t="array" ref="BK21">TREND($AJ21:$AQ21,$AJ$2:$AQ$2,BK$2)</f>
        <v>0.9900000000000001</v>
      </c>
      <c r="BL21" s="14" cm="1">
        <f t="array" ref="BL21">TREND($AJ21:$AQ21,$AJ$2:$AQ$2,BL$2)</f>
        <v>0.99000000000000021</v>
      </c>
      <c r="BM21" s="14" cm="1">
        <f t="array" ref="BM21">TREND($AJ21:$AQ21,$AJ$2:$AQ$2,BM$2)</f>
        <v>0.99000000000000021</v>
      </c>
      <c r="BN21" s="14" cm="1">
        <f t="array" ref="BN21">TREND($AJ21:$AQ21,$AJ$2:$AQ$2,BN$2)</f>
        <v>0.99000000000000021</v>
      </c>
      <c r="BO21" s="14" cm="1">
        <f t="array" ref="BO21">TREND($AJ21:$AQ21,$AJ$2:$AQ$2,BO$2)</f>
        <v>0.99000000000000021</v>
      </c>
      <c r="BP21" s="14" cm="1">
        <f t="array" ref="BP21">TREND($AJ21:$AQ21,$AJ$2:$AQ$2,BP$2)</f>
        <v>0.99000000000000021</v>
      </c>
      <c r="BQ21" s="14" cm="1">
        <f t="array" ref="BQ21">TREND($AJ21:$AQ21,$AJ$2:$AQ$2,BQ$2)</f>
        <v>0.99000000000000021</v>
      </c>
      <c r="BR21" s="14" cm="1">
        <f t="array" ref="BR21">TREND($AJ21:$AQ21,$AJ$2:$AQ$2,BR$2)</f>
        <v>0.99000000000000021</v>
      </c>
      <c r="BS21" s="14" cm="1">
        <f t="array" ref="BS21">TREND($AJ21:$AQ21,$AJ$2:$AQ$2,BS$2)</f>
        <v>0.99000000000000021</v>
      </c>
      <c r="BT21" s="14" cm="1">
        <f t="array" ref="BT21">TREND($AJ21:$AQ21,$AJ$2:$AQ$2,BT$2)</f>
        <v>0.99000000000000021</v>
      </c>
      <c r="BU21" s="14" cm="1">
        <f t="array" ref="BU21">TREND($AJ21:$AQ21,$AJ$2:$AQ$2,BU$2)</f>
        <v>0.99000000000000021</v>
      </c>
      <c r="BV21" s="14" cm="1">
        <f t="array" ref="BV21">TREND($AJ21:$AQ21,$AJ$2:$AQ$2,BV$2)</f>
        <v>0.99000000000000021</v>
      </c>
    </row>
    <row r="22" spans="1:74" x14ac:dyDescent="0.3">
      <c r="A22" t="s">
        <v>38</v>
      </c>
      <c r="B22" t="s">
        <v>140</v>
      </c>
      <c r="D22">
        <v>0.95</v>
      </c>
      <c r="E22">
        <v>0.05</v>
      </c>
      <c r="F22">
        <f>INDEX('IPM Load'!B:B,MATCH('Cost-of-Service Shares'!$A22,'IPM Load'!$A:$A,0))</f>
        <v>30</v>
      </c>
      <c r="G22">
        <f>INDEX('IPM Load'!C:C,MATCH('Cost-of-Service Shares'!$A22,'IPM Load'!$A:$A,0))</f>
        <v>30</v>
      </c>
      <c r="H22">
        <f>INDEX('IPM Load'!D:D,MATCH('Cost-of-Service Shares'!$A22,'IPM Load'!$A:$A,0))</f>
        <v>30</v>
      </c>
      <c r="I22">
        <f>INDEX('IPM Load'!E:E,MATCH('Cost-of-Service Shares'!$A22,'IPM Load'!$A:$A,0))</f>
        <v>31</v>
      </c>
      <c r="J22">
        <f>INDEX('IPM Load'!F:F,MATCH('Cost-of-Service Shares'!$A22,'IPM Load'!$A:$A,0))</f>
        <v>31</v>
      </c>
      <c r="K22">
        <f>INDEX('IPM Load'!G:G,MATCH('Cost-of-Service Shares'!$A22,'IPM Load'!$A:$A,0))</f>
        <v>31</v>
      </c>
      <c r="L22">
        <f>INDEX('IPM Load'!H:H,MATCH('Cost-of-Service Shares'!$A22,'IPM Load'!$A:$A,0))</f>
        <v>31</v>
      </c>
      <c r="M22">
        <f>INDEX('IPM Load'!I:I,MATCH('Cost-of-Service Shares'!$A22,'IPM Load'!$A:$A,0))</f>
        <v>31</v>
      </c>
      <c r="N22" s="14">
        <f t="shared" si="0"/>
        <v>1.2605042016806723E-2</v>
      </c>
      <c r="O22" s="14">
        <f t="shared" si="1"/>
        <v>1.2500000000000001E-2</v>
      </c>
      <c r="P22" s="14">
        <f t="shared" si="2"/>
        <v>1.2500000000000001E-2</v>
      </c>
      <c r="Q22" s="14">
        <f t="shared" si="3"/>
        <v>1.2809917355371901E-2</v>
      </c>
      <c r="R22" s="14">
        <f t="shared" si="4"/>
        <v>1.2704918032786885E-2</v>
      </c>
      <c r="S22" s="14">
        <f t="shared" si="5"/>
        <v>1.2601626016260163E-2</v>
      </c>
      <c r="T22" s="14">
        <f t="shared" si="6"/>
        <v>1.2601626016260163E-2</v>
      </c>
      <c r="U22" s="14">
        <f t="shared" si="7"/>
        <v>1.2601626016260163E-2</v>
      </c>
      <c r="Y22" t="s">
        <v>105</v>
      </c>
      <c r="Z22" s="7">
        <f t="shared" si="8"/>
        <v>128.57938241184081</v>
      </c>
      <c r="AA22" s="7">
        <f t="shared" si="9"/>
        <v>133.10166635075777</v>
      </c>
      <c r="AB22" s="7">
        <f t="shared" si="10"/>
        <v>135.10166635075777</v>
      </c>
      <c r="AC22" s="7">
        <f t="shared" si="11"/>
        <v>142.14623422859168</v>
      </c>
      <c r="AD22" s="7">
        <f t="shared" si="12"/>
        <v>147.66851816750864</v>
      </c>
      <c r="AE22" s="7">
        <f t="shared" si="13"/>
        <v>154.19080210642559</v>
      </c>
      <c r="AF22" s="7">
        <f t="shared" si="14"/>
        <v>157.71308604534255</v>
      </c>
      <c r="AG22" s="7">
        <f t="shared" si="15"/>
        <v>163.23536998425951</v>
      </c>
      <c r="AI22" t="s">
        <v>105</v>
      </c>
      <c r="AJ22" s="14">
        <f t="shared" si="16"/>
        <v>0.98</v>
      </c>
      <c r="AK22" s="14">
        <f t="shared" si="17"/>
        <v>0.98</v>
      </c>
      <c r="AL22" s="14">
        <f t="shared" si="18"/>
        <v>0.98</v>
      </c>
      <c r="AM22" s="14">
        <f t="shared" si="19"/>
        <v>0.98</v>
      </c>
      <c r="AN22" s="14">
        <f t="shared" si="20"/>
        <v>0.98</v>
      </c>
      <c r="AO22" s="14">
        <f t="shared" si="21"/>
        <v>0.97999999999999987</v>
      </c>
      <c r="AP22" s="14">
        <f t="shared" si="22"/>
        <v>0.98</v>
      </c>
      <c r="AQ22" s="14">
        <f t="shared" si="23"/>
        <v>0.97999999999999987</v>
      </c>
      <c r="AS22" s="14" cm="1">
        <f t="array" ref="AS22">TREND($AJ22:$AQ22,$AJ$2:$AQ$2,AS$2)</f>
        <v>0.98</v>
      </c>
      <c r="AT22" s="14" cm="1">
        <f t="array" ref="AT22">TREND($AJ22:$AQ22,$AJ$2:$AQ$2,AT$2)</f>
        <v>0.97999999999999987</v>
      </c>
      <c r="AU22" s="14" cm="1">
        <f t="array" ref="AU22">TREND($AJ22:$AQ22,$AJ$2:$AQ$2,AU$2)</f>
        <v>0.97999999999999987</v>
      </c>
      <c r="AV22" s="14" cm="1">
        <f t="array" ref="AV22">TREND($AJ22:$AQ22,$AJ$2:$AQ$2,AV$2)</f>
        <v>0.97999999999999987</v>
      </c>
      <c r="AW22" s="14" cm="1">
        <f t="array" ref="AW22">TREND($AJ22:$AQ22,$AJ$2:$AQ$2,AW$2)</f>
        <v>0.97999999999999987</v>
      </c>
      <c r="AX22" s="14" cm="1">
        <f t="array" ref="AX22">TREND($AJ22:$AQ22,$AJ$2:$AQ$2,AX$2)</f>
        <v>0.97999999999999987</v>
      </c>
      <c r="AY22" s="14" cm="1">
        <f t="array" ref="AY22">TREND($AJ22:$AQ22,$AJ$2:$AQ$2,AY$2)</f>
        <v>0.97999999999999987</v>
      </c>
      <c r="AZ22" s="14" cm="1">
        <f t="array" ref="AZ22">TREND($AJ22:$AQ22,$AJ$2:$AQ$2,AZ$2)</f>
        <v>0.97999999999999987</v>
      </c>
      <c r="BA22" s="14" cm="1">
        <f t="array" ref="BA22">TREND($AJ22:$AQ22,$AJ$2:$AQ$2,BA$2)</f>
        <v>0.97999999999999987</v>
      </c>
      <c r="BB22" s="14" cm="1">
        <f t="array" ref="BB22">TREND($AJ22:$AQ22,$AJ$2:$AQ$2,BB$2)</f>
        <v>0.97999999999999987</v>
      </c>
      <c r="BC22" s="14" cm="1">
        <f t="array" ref="BC22">TREND($AJ22:$AQ22,$AJ$2:$AQ$2,BC$2)</f>
        <v>0.97999999999999987</v>
      </c>
      <c r="BD22" s="14" cm="1">
        <f t="array" ref="BD22">TREND($AJ22:$AQ22,$AJ$2:$AQ$2,BD$2)</f>
        <v>0.97999999999999987</v>
      </c>
      <c r="BE22" s="14" cm="1">
        <f t="array" ref="BE22">TREND($AJ22:$AQ22,$AJ$2:$AQ$2,BE$2)</f>
        <v>0.97999999999999987</v>
      </c>
      <c r="BF22" s="14" cm="1">
        <f t="array" ref="BF22">TREND($AJ22:$AQ22,$AJ$2:$AQ$2,BF$2)</f>
        <v>0.97999999999999987</v>
      </c>
      <c r="BG22" s="14" cm="1">
        <f t="array" ref="BG22">TREND($AJ22:$AQ22,$AJ$2:$AQ$2,BG$2)</f>
        <v>0.97999999999999987</v>
      </c>
      <c r="BH22" s="14" cm="1">
        <f t="array" ref="BH22">TREND($AJ22:$AQ22,$AJ$2:$AQ$2,BH$2)</f>
        <v>0.97999999999999987</v>
      </c>
      <c r="BI22" s="14" cm="1">
        <f t="array" ref="BI22">TREND($AJ22:$AQ22,$AJ$2:$AQ$2,BI$2)</f>
        <v>0.97999999999999987</v>
      </c>
      <c r="BJ22" s="14" cm="1">
        <f t="array" ref="BJ22">TREND($AJ22:$AQ22,$AJ$2:$AQ$2,BJ$2)</f>
        <v>0.97999999999999987</v>
      </c>
      <c r="BK22" s="14" cm="1">
        <f t="array" ref="BK22">TREND($AJ22:$AQ22,$AJ$2:$AQ$2,BK$2)</f>
        <v>0.97999999999999987</v>
      </c>
      <c r="BL22" s="14" cm="1">
        <f t="array" ref="BL22">TREND($AJ22:$AQ22,$AJ$2:$AQ$2,BL$2)</f>
        <v>0.97999999999999987</v>
      </c>
      <c r="BM22" s="14" cm="1">
        <f t="array" ref="BM22">TREND($AJ22:$AQ22,$AJ$2:$AQ$2,BM$2)</f>
        <v>0.97999999999999987</v>
      </c>
      <c r="BN22" s="14" cm="1">
        <f t="array" ref="BN22">TREND($AJ22:$AQ22,$AJ$2:$AQ$2,BN$2)</f>
        <v>0.97999999999999987</v>
      </c>
      <c r="BO22" s="14" cm="1">
        <f t="array" ref="BO22">TREND($AJ22:$AQ22,$AJ$2:$AQ$2,BO$2)</f>
        <v>0.97999999999999987</v>
      </c>
      <c r="BP22" s="14" cm="1">
        <f t="array" ref="BP22">TREND($AJ22:$AQ22,$AJ$2:$AQ$2,BP$2)</f>
        <v>0.97999999999999987</v>
      </c>
      <c r="BQ22" s="14" cm="1">
        <f t="array" ref="BQ22">TREND($AJ22:$AQ22,$AJ$2:$AQ$2,BQ$2)</f>
        <v>0.97999999999999987</v>
      </c>
      <c r="BR22" s="14" cm="1">
        <f t="array" ref="BR22">TREND($AJ22:$AQ22,$AJ$2:$AQ$2,BR$2)</f>
        <v>0.97999999999999987</v>
      </c>
      <c r="BS22" s="14" cm="1">
        <f t="array" ref="BS22">TREND($AJ22:$AQ22,$AJ$2:$AQ$2,BS$2)</f>
        <v>0.97999999999999987</v>
      </c>
      <c r="BT22" s="14" cm="1">
        <f t="array" ref="BT22">TREND($AJ22:$AQ22,$AJ$2:$AQ$2,BT$2)</f>
        <v>0.97999999999999987</v>
      </c>
      <c r="BU22" s="14" cm="1">
        <f t="array" ref="BU22">TREND($AJ22:$AQ22,$AJ$2:$AQ$2,BU$2)</f>
        <v>0.97999999999999987</v>
      </c>
      <c r="BV22" s="14" cm="1">
        <f t="array" ref="BV22">TREND($AJ22:$AQ22,$AJ$2:$AQ$2,BV$2)</f>
        <v>0.97999999999999987</v>
      </c>
    </row>
    <row r="23" spans="1:74" x14ac:dyDescent="0.3">
      <c r="A23" t="s">
        <v>39</v>
      </c>
      <c r="B23" t="s">
        <v>140</v>
      </c>
      <c r="D23">
        <v>0.95</v>
      </c>
      <c r="E23">
        <v>0.05</v>
      </c>
      <c r="F23">
        <f>INDEX('IPM Load'!B:B,MATCH('Cost-of-Service Shares'!$A23,'IPM Load'!$A:$A,0))</f>
        <v>11</v>
      </c>
      <c r="G23">
        <f>INDEX('IPM Load'!C:C,MATCH('Cost-of-Service Shares'!$A23,'IPM Load'!$A:$A,0))</f>
        <v>11</v>
      </c>
      <c r="H23">
        <f>INDEX('IPM Load'!D:D,MATCH('Cost-of-Service Shares'!$A23,'IPM Load'!$A:$A,0))</f>
        <v>11</v>
      </c>
      <c r="I23">
        <f>INDEX('IPM Load'!E:E,MATCH('Cost-of-Service Shares'!$A23,'IPM Load'!$A:$A,0))</f>
        <v>11</v>
      </c>
      <c r="J23">
        <f>INDEX('IPM Load'!F:F,MATCH('Cost-of-Service Shares'!$A23,'IPM Load'!$A:$A,0))</f>
        <v>11</v>
      </c>
      <c r="K23">
        <f>INDEX('IPM Load'!G:G,MATCH('Cost-of-Service Shares'!$A23,'IPM Load'!$A:$A,0))</f>
        <v>11</v>
      </c>
      <c r="L23">
        <f>INDEX('IPM Load'!H:H,MATCH('Cost-of-Service Shares'!$A23,'IPM Load'!$A:$A,0))</f>
        <v>11</v>
      </c>
      <c r="M23">
        <f>INDEX('IPM Load'!I:I,MATCH('Cost-of-Service Shares'!$A23,'IPM Load'!$A:$A,0))</f>
        <v>11</v>
      </c>
      <c r="N23" s="14">
        <f t="shared" si="0"/>
        <v>4.6218487394957984E-3</v>
      </c>
      <c r="O23" s="14">
        <f t="shared" si="1"/>
        <v>4.5833333333333334E-3</v>
      </c>
      <c r="P23" s="14">
        <f t="shared" si="2"/>
        <v>4.5833333333333334E-3</v>
      </c>
      <c r="Q23" s="14">
        <f t="shared" si="3"/>
        <v>4.5454545454545461E-3</v>
      </c>
      <c r="R23" s="14">
        <f t="shared" si="4"/>
        <v>4.5081967213114757E-3</v>
      </c>
      <c r="S23" s="14">
        <f t="shared" si="5"/>
        <v>4.4715447154471547E-3</v>
      </c>
      <c r="T23" s="14">
        <f t="shared" si="6"/>
        <v>4.4715447154471547E-3</v>
      </c>
      <c r="U23" s="14">
        <f t="shared" si="7"/>
        <v>4.4715447154471547E-3</v>
      </c>
      <c r="Y23" t="s">
        <v>146</v>
      </c>
      <c r="Z23" s="7">
        <f t="shared" si="8"/>
        <v>126</v>
      </c>
      <c r="AA23" s="7">
        <f t="shared" si="9"/>
        <v>126</v>
      </c>
      <c r="AB23" s="7">
        <f t="shared" si="10"/>
        <v>126</v>
      </c>
      <c r="AC23" s="7">
        <f t="shared" si="11"/>
        <v>126</v>
      </c>
      <c r="AD23" s="7">
        <f t="shared" si="12"/>
        <v>127</v>
      </c>
      <c r="AE23" s="7">
        <f t="shared" si="13"/>
        <v>131</v>
      </c>
      <c r="AF23" s="7">
        <f t="shared" si="14"/>
        <v>133</v>
      </c>
      <c r="AG23" s="7">
        <f t="shared" si="15"/>
        <v>135</v>
      </c>
      <c r="AI23" t="s">
        <v>146</v>
      </c>
      <c r="AJ23" s="14">
        <f t="shared" si="16"/>
        <v>0.89999999999999991</v>
      </c>
      <c r="AK23" s="14">
        <f t="shared" si="17"/>
        <v>0.89999999999999991</v>
      </c>
      <c r="AL23" s="14">
        <f t="shared" si="18"/>
        <v>0.89999999999999991</v>
      </c>
      <c r="AM23" s="14">
        <f t="shared" si="19"/>
        <v>0.89999999999999991</v>
      </c>
      <c r="AN23" s="14">
        <f t="shared" si="20"/>
        <v>0.9</v>
      </c>
      <c r="AO23" s="14">
        <f t="shared" si="21"/>
        <v>0.9</v>
      </c>
      <c r="AP23" s="14">
        <f t="shared" si="22"/>
        <v>0.9</v>
      </c>
      <c r="AQ23" s="14">
        <f t="shared" si="23"/>
        <v>0.9</v>
      </c>
      <c r="AS23" s="14" cm="1">
        <f t="array" ref="AS23">TREND($AJ23:$AQ23,$AJ$2:$AQ$2,AS$2)</f>
        <v>0.90000000000000013</v>
      </c>
      <c r="AT23" s="14" cm="1">
        <f t="array" ref="AT23">TREND($AJ23:$AQ23,$AJ$2:$AQ$2,AT$2)</f>
        <v>0.90000000000000013</v>
      </c>
      <c r="AU23" s="14" cm="1">
        <f t="array" ref="AU23">TREND($AJ23:$AQ23,$AJ$2:$AQ$2,AU$2)</f>
        <v>0.90000000000000013</v>
      </c>
      <c r="AV23" s="14" cm="1">
        <f t="array" ref="AV23">TREND($AJ23:$AQ23,$AJ$2:$AQ$2,AV$2)</f>
        <v>0.90000000000000013</v>
      </c>
      <c r="AW23" s="14" cm="1">
        <f t="array" ref="AW23">TREND($AJ23:$AQ23,$AJ$2:$AQ$2,AW$2)</f>
        <v>0.90000000000000013</v>
      </c>
      <c r="AX23" s="14" cm="1">
        <f t="array" ref="AX23">TREND($AJ23:$AQ23,$AJ$2:$AQ$2,AX$2)</f>
        <v>0.90000000000000013</v>
      </c>
      <c r="AY23" s="14" cm="1">
        <f t="array" ref="AY23">TREND($AJ23:$AQ23,$AJ$2:$AQ$2,AY$2)</f>
        <v>0.90000000000000013</v>
      </c>
      <c r="AZ23" s="14" cm="1">
        <f t="array" ref="AZ23">TREND($AJ23:$AQ23,$AJ$2:$AQ$2,AZ$2)</f>
        <v>0.90000000000000013</v>
      </c>
      <c r="BA23" s="14" cm="1">
        <f t="array" ref="BA23">TREND($AJ23:$AQ23,$AJ$2:$AQ$2,BA$2)</f>
        <v>0.90000000000000013</v>
      </c>
      <c r="BB23" s="14" cm="1">
        <f t="array" ref="BB23">TREND($AJ23:$AQ23,$AJ$2:$AQ$2,BB$2)</f>
        <v>0.90000000000000013</v>
      </c>
      <c r="BC23" s="14" cm="1">
        <f t="array" ref="BC23">TREND($AJ23:$AQ23,$AJ$2:$AQ$2,BC$2)</f>
        <v>0.90000000000000013</v>
      </c>
      <c r="BD23" s="14" cm="1">
        <f t="array" ref="BD23">TREND($AJ23:$AQ23,$AJ$2:$AQ$2,BD$2)</f>
        <v>0.90000000000000013</v>
      </c>
      <c r="BE23" s="14" cm="1">
        <f t="array" ref="BE23">TREND($AJ23:$AQ23,$AJ$2:$AQ$2,BE$2)</f>
        <v>0.90000000000000013</v>
      </c>
      <c r="BF23" s="14" cm="1">
        <f t="array" ref="BF23">TREND($AJ23:$AQ23,$AJ$2:$AQ$2,BF$2)</f>
        <v>0.90000000000000013</v>
      </c>
      <c r="BG23" s="14" cm="1">
        <f t="array" ref="BG23">TREND($AJ23:$AQ23,$AJ$2:$AQ$2,BG$2)</f>
        <v>0.90000000000000013</v>
      </c>
      <c r="BH23" s="14" cm="1">
        <f t="array" ref="BH23">TREND($AJ23:$AQ23,$AJ$2:$AQ$2,BH$2)</f>
        <v>0.90000000000000013</v>
      </c>
      <c r="BI23" s="14" cm="1">
        <f t="array" ref="BI23">TREND($AJ23:$AQ23,$AJ$2:$AQ$2,BI$2)</f>
        <v>0.90000000000000013</v>
      </c>
      <c r="BJ23" s="14" cm="1">
        <f t="array" ref="BJ23">TREND($AJ23:$AQ23,$AJ$2:$AQ$2,BJ$2)</f>
        <v>0.90000000000000013</v>
      </c>
      <c r="BK23" s="14" cm="1">
        <f t="array" ref="BK23">TREND($AJ23:$AQ23,$AJ$2:$AQ$2,BK$2)</f>
        <v>0.90000000000000013</v>
      </c>
      <c r="BL23" s="14" cm="1">
        <f t="array" ref="BL23">TREND($AJ23:$AQ23,$AJ$2:$AQ$2,BL$2)</f>
        <v>0.90000000000000024</v>
      </c>
      <c r="BM23" s="14" cm="1">
        <f t="array" ref="BM23">TREND($AJ23:$AQ23,$AJ$2:$AQ$2,BM$2)</f>
        <v>0.90000000000000024</v>
      </c>
      <c r="BN23" s="14" cm="1">
        <f t="array" ref="BN23">TREND($AJ23:$AQ23,$AJ$2:$AQ$2,BN$2)</f>
        <v>0.90000000000000024</v>
      </c>
      <c r="BO23" s="14" cm="1">
        <f t="array" ref="BO23">TREND($AJ23:$AQ23,$AJ$2:$AQ$2,BO$2)</f>
        <v>0.90000000000000024</v>
      </c>
      <c r="BP23" s="14" cm="1">
        <f t="array" ref="BP23">TREND($AJ23:$AQ23,$AJ$2:$AQ$2,BP$2)</f>
        <v>0.90000000000000024</v>
      </c>
      <c r="BQ23" s="14" cm="1">
        <f t="array" ref="BQ23">TREND($AJ23:$AQ23,$AJ$2:$AQ$2,BQ$2)</f>
        <v>0.90000000000000024</v>
      </c>
      <c r="BR23" s="14" cm="1">
        <f t="array" ref="BR23">TREND($AJ23:$AQ23,$AJ$2:$AQ$2,BR$2)</f>
        <v>0.90000000000000024</v>
      </c>
      <c r="BS23" s="14" cm="1">
        <f t="array" ref="BS23">TREND($AJ23:$AQ23,$AJ$2:$AQ$2,BS$2)</f>
        <v>0.90000000000000024</v>
      </c>
      <c r="BT23" s="14" cm="1">
        <f t="array" ref="BT23">TREND($AJ23:$AQ23,$AJ$2:$AQ$2,BT$2)</f>
        <v>0.90000000000000024</v>
      </c>
      <c r="BU23" s="14" cm="1">
        <f t="array" ref="BU23">TREND($AJ23:$AQ23,$AJ$2:$AQ$2,BU$2)</f>
        <v>0.90000000000000024</v>
      </c>
      <c r="BV23" s="14" cm="1">
        <f t="array" ref="BV23">TREND($AJ23:$AQ23,$AJ$2:$AQ$2,BV$2)</f>
        <v>0.90000000000000024</v>
      </c>
    </row>
    <row r="24" spans="1:74" x14ac:dyDescent="0.3">
      <c r="A24" t="s">
        <v>40</v>
      </c>
      <c r="B24" t="s">
        <v>140</v>
      </c>
      <c r="D24">
        <v>0.95</v>
      </c>
      <c r="E24">
        <v>0.05</v>
      </c>
      <c r="F24">
        <f>INDEX('IPM Load'!B:B,MATCH('Cost-of-Service Shares'!$A24,'IPM Load'!$A:$A,0))</f>
        <v>78</v>
      </c>
      <c r="G24">
        <f>INDEX('IPM Load'!C:C,MATCH('Cost-of-Service Shares'!$A24,'IPM Load'!$A:$A,0))</f>
        <v>79</v>
      </c>
      <c r="H24">
        <f>INDEX('IPM Load'!D:D,MATCH('Cost-of-Service Shares'!$A24,'IPM Load'!$A:$A,0))</f>
        <v>79</v>
      </c>
      <c r="I24">
        <f>INDEX('IPM Load'!E:E,MATCH('Cost-of-Service Shares'!$A24,'IPM Load'!$A:$A,0))</f>
        <v>79</v>
      </c>
      <c r="J24">
        <f>INDEX('IPM Load'!F:F,MATCH('Cost-of-Service Shares'!$A24,'IPM Load'!$A:$A,0))</f>
        <v>80</v>
      </c>
      <c r="K24">
        <f>INDEX('IPM Load'!G:G,MATCH('Cost-of-Service Shares'!$A24,'IPM Load'!$A:$A,0))</f>
        <v>81</v>
      </c>
      <c r="L24">
        <f>INDEX('IPM Load'!H:H,MATCH('Cost-of-Service Shares'!$A24,'IPM Load'!$A:$A,0))</f>
        <v>81</v>
      </c>
      <c r="M24">
        <f>INDEX('IPM Load'!I:I,MATCH('Cost-of-Service Shares'!$A24,'IPM Load'!$A:$A,0))</f>
        <v>81</v>
      </c>
      <c r="N24" s="14">
        <f t="shared" si="0"/>
        <v>3.2773109243697481E-2</v>
      </c>
      <c r="O24" s="14">
        <f t="shared" si="1"/>
        <v>3.291666666666667E-2</v>
      </c>
      <c r="P24" s="14">
        <f t="shared" si="2"/>
        <v>3.291666666666667E-2</v>
      </c>
      <c r="Q24" s="14">
        <f t="shared" si="3"/>
        <v>3.2644628099173553E-2</v>
      </c>
      <c r="R24" s="14">
        <f t="shared" si="4"/>
        <v>3.2786885245901641E-2</v>
      </c>
      <c r="S24" s="14">
        <f t="shared" si="5"/>
        <v>3.2926829268292684E-2</v>
      </c>
      <c r="T24" s="14">
        <f t="shared" si="6"/>
        <v>3.2926829268292684E-2</v>
      </c>
      <c r="U24" s="14">
        <f t="shared" si="7"/>
        <v>3.2926829268292684E-2</v>
      </c>
      <c r="Y24" t="s">
        <v>147</v>
      </c>
      <c r="Z24" s="7">
        <f t="shared" si="8"/>
        <v>160</v>
      </c>
      <c r="AA24" s="7">
        <f t="shared" si="9"/>
        <v>159</v>
      </c>
      <c r="AB24" s="7">
        <f t="shared" si="10"/>
        <v>158</v>
      </c>
      <c r="AC24" s="7">
        <f t="shared" si="11"/>
        <v>157</v>
      </c>
      <c r="AD24" s="7">
        <f t="shared" si="12"/>
        <v>160</v>
      </c>
      <c r="AE24" s="7">
        <f t="shared" si="13"/>
        <v>163</v>
      </c>
      <c r="AF24" s="7">
        <f t="shared" si="14"/>
        <v>167</v>
      </c>
      <c r="AG24" s="7">
        <f t="shared" si="15"/>
        <v>170</v>
      </c>
      <c r="AI24" t="s">
        <v>147</v>
      </c>
      <c r="AJ24" s="14">
        <f t="shared" si="16"/>
        <v>0.9</v>
      </c>
      <c r="AK24" s="14">
        <f t="shared" si="17"/>
        <v>0.89999999999999991</v>
      </c>
      <c r="AL24" s="14">
        <f t="shared" si="18"/>
        <v>0.90000000000000013</v>
      </c>
      <c r="AM24" s="14">
        <f t="shared" si="19"/>
        <v>0.90000000000000013</v>
      </c>
      <c r="AN24" s="14">
        <f t="shared" si="20"/>
        <v>0.9</v>
      </c>
      <c r="AO24" s="14">
        <f t="shared" si="21"/>
        <v>0.90000000000000013</v>
      </c>
      <c r="AP24" s="14">
        <f t="shared" si="22"/>
        <v>0.89999999999999991</v>
      </c>
      <c r="AQ24" s="14">
        <f t="shared" si="23"/>
        <v>0.9</v>
      </c>
      <c r="AS24" s="14" cm="1">
        <f t="array" ref="AS24">TREND($AJ24:$AQ24,$AJ$2:$AQ$2,AS$2)</f>
        <v>0.90000000000000013</v>
      </c>
      <c r="AT24" s="14" cm="1">
        <f t="array" ref="AT24">TREND($AJ24:$AQ24,$AJ$2:$AQ$2,AT$2)</f>
        <v>0.90000000000000013</v>
      </c>
      <c r="AU24" s="14" cm="1">
        <f t="array" ref="AU24">TREND($AJ24:$AQ24,$AJ$2:$AQ$2,AU$2)</f>
        <v>0.90000000000000013</v>
      </c>
      <c r="AV24" s="14" cm="1">
        <f t="array" ref="AV24">TREND($AJ24:$AQ24,$AJ$2:$AQ$2,AV$2)</f>
        <v>0.90000000000000013</v>
      </c>
      <c r="AW24" s="14" cm="1">
        <f t="array" ref="AW24">TREND($AJ24:$AQ24,$AJ$2:$AQ$2,AW$2)</f>
        <v>0.90000000000000013</v>
      </c>
      <c r="AX24" s="14" cm="1">
        <f t="array" ref="AX24">TREND($AJ24:$AQ24,$AJ$2:$AQ$2,AX$2)</f>
        <v>0.90000000000000013</v>
      </c>
      <c r="AY24" s="14" cm="1">
        <f t="array" ref="AY24">TREND($AJ24:$AQ24,$AJ$2:$AQ$2,AY$2)</f>
        <v>0.90000000000000013</v>
      </c>
      <c r="AZ24" s="14" cm="1">
        <f t="array" ref="AZ24">TREND($AJ24:$AQ24,$AJ$2:$AQ$2,AZ$2)</f>
        <v>0.90000000000000013</v>
      </c>
      <c r="BA24" s="14" cm="1">
        <f t="array" ref="BA24">TREND($AJ24:$AQ24,$AJ$2:$AQ$2,BA$2)</f>
        <v>0.90000000000000013</v>
      </c>
      <c r="BB24" s="14" cm="1">
        <f t="array" ref="BB24">TREND($AJ24:$AQ24,$AJ$2:$AQ$2,BB$2)</f>
        <v>0.90000000000000013</v>
      </c>
      <c r="BC24" s="14" cm="1">
        <f t="array" ref="BC24">TREND($AJ24:$AQ24,$AJ$2:$AQ$2,BC$2)</f>
        <v>0.90000000000000013</v>
      </c>
      <c r="BD24" s="14" cm="1">
        <f t="array" ref="BD24">TREND($AJ24:$AQ24,$AJ$2:$AQ$2,BD$2)</f>
        <v>0.90000000000000013</v>
      </c>
      <c r="BE24" s="14" cm="1">
        <f t="array" ref="BE24">TREND($AJ24:$AQ24,$AJ$2:$AQ$2,BE$2)</f>
        <v>0.90000000000000013</v>
      </c>
      <c r="BF24" s="14" cm="1">
        <f t="array" ref="BF24">TREND($AJ24:$AQ24,$AJ$2:$AQ$2,BF$2)</f>
        <v>0.90000000000000013</v>
      </c>
      <c r="BG24" s="14" cm="1">
        <f t="array" ref="BG24">TREND($AJ24:$AQ24,$AJ$2:$AQ$2,BG$2)</f>
        <v>0.90000000000000013</v>
      </c>
      <c r="BH24" s="14" cm="1">
        <f t="array" ref="BH24">TREND($AJ24:$AQ24,$AJ$2:$AQ$2,BH$2)</f>
        <v>0.90000000000000013</v>
      </c>
      <c r="BI24" s="14" cm="1">
        <f t="array" ref="BI24">TREND($AJ24:$AQ24,$AJ$2:$AQ$2,BI$2)</f>
        <v>0.90000000000000013</v>
      </c>
      <c r="BJ24" s="14" cm="1">
        <f t="array" ref="BJ24">TREND($AJ24:$AQ24,$AJ$2:$AQ$2,BJ$2)</f>
        <v>0.90000000000000013</v>
      </c>
      <c r="BK24" s="14" cm="1">
        <f t="array" ref="BK24">TREND($AJ24:$AQ24,$AJ$2:$AQ$2,BK$2)</f>
        <v>0.90000000000000013</v>
      </c>
      <c r="BL24" s="14" cm="1">
        <f t="array" ref="BL24">TREND($AJ24:$AQ24,$AJ$2:$AQ$2,BL$2)</f>
        <v>0.90000000000000013</v>
      </c>
      <c r="BM24" s="14" cm="1">
        <f t="array" ref="BM24">TREND($AJ24:$AQ24,$AJ$2:$AQ$2,BM$2)</f>
        <v>0.90000000000000013</v>
      </c>
      <c r="BN24" s="14" cm="1">
        <f t="array" ref="BN24">TREND($AJ24:$AQ24,$AJ$2:$AQ$2,BN$2)</f>
        <v>0.90000000000000013</v>
      </c>
      <c r="BO24" s="14" cm="1">
        <f t="array" ref="BO24">TREND($AJ24:$AQ24,$AJ$2:$AQ$2,BO$2)</f>
        <v>0.90000000000000013</v>
      </c>
      <c r="BP24" s="14" cm="1">
        <f t="array" ref="BP24">TREND($AJ24:$AQ24,$AJ$2:$AQ$2,BP$2)</f>
        <v>0.90000000000000013</v>
      </c>
      <c r="BQ24" s="14" cm="1">
        <f t="array" ref="BQ24">TREND($AJ24:$AQ24,$AJ$2:$AQ$2,BQ$2)</f>
        <v>0.90000000000000013</v>
      </c>
      <c r="BR24" s="14" cm="1">
        <f t="array" ref="BR24">TREND($AJ24:$AQ24,$AJ$2:$AQ$2,BR$2)</f>
        <v>0.90000000000000013</v>
      </c>
      <c r="BS24" s="14" cm="1">
        <f t="array" ref="BS24">TREND($AJ24:$AQ24,$AJ$2:$AQ$2,BS$2)</f>
        <v>0.90000000000000013</v>
      </c>
      <c r="BT24" s="14" cm="1">
        <f t="array" ref="BT24">TREND($AJ24:$AQ24,$AJ$2:$AQ$2,BT$2)</f>
        <v>0.90000000000000013</v>
      </c>
      <c r="BU24" s="14" cm="1">
        <f t="array" ref="BU24">TREND($AJ24:$AQ24,$AJ$2:$AQ$2,BU$2)</f>
        <v>0.90000000000000013</v>
      </c>
      <c r="BV24" s="14" cm="1">
        <f t="array" ref="BV24">TREND($AJ24:$AQ24,$AJ$2:$AQ$2,BV$2)</f>
        <v>0.90000000000000013</v>
      </c>
    </row>
    <row r="25" spans="1:74" x14ac:dyDescent="0.3">
      <c r="A25" t="s">
        <v>41</v>
      </c>
      <c r="B25" t="s">
        <v>48</v>
      </c>
      <c r="D25">
        <v>1</v>
      </c>
      <c r="E25">
        <v>0</v>
      </c>
      <c r="F25">
        <f>INDEX('IPM Load'!B:B,MATCH('Cost-of-Service Shares'!$A25,'IPM Load'!$A:$A,0))</f>
        <v>15</v>
      </c>
      <c r="G25">
        <f>INDEX('IPM Load'!C:C,MATCH('Cost-of-Service Shares'!$A25,'IPM Load'!$A:$A,0))</f>
        <v>15</v>
      </c>
      <c r="H25">
        <f>INDEX('IPM Load'!D:D,MATCH('Cost-of-Service Shares'!$A25,'IPM Load'!$A:$A,0))</f>
        <v>15</v>
      </c>
      <c r="I25">
        <f>INDEX('IPM Load'!E:E,MATCH('Cost-of-Service Shares'!$A25,'IPM Load'!$A:$A,0))</f>
        <v>15</v>
      </c>
      <c r="J25">
        <f>INDEX('IPM Load'!F:F,MATCH('Cost-of-Service Shares'!$A25,'IPM Load'!$A:$A,0))</f>
        <v>15</v>
      </c>
      <c r="K25">
        <f>INDEX('IPM Load'!G:G,MATCH('Cost-of-Service Shares'!$A25,'IPM Load'!$A:$A,0))</f>
        <v>15</v>
      </c>
      <c r="L25">
        <f>INDEX('IPM Load'!H:H,MATCH('Cost-of-Service Shares'!$A25,'IPM Load'!$A:$A,0))</f>
        <v>15</v>
      </c>
      <c r="M25">
        <f>INDEX('IPM Load'!I:I,MATCH('Cost-of-Service Shares'!$A25,'IPM Load'!$A:$A,0))</f>
        <v>15</v>
      </c>
      <c r="N25" s="14">
        <f t="shared" si="0"/>
        <v>0</v>
      </c>
      <c r="O25" s="14">
        <f t="shared" si="1"/>
        <v>0</v>
      </c>
      <c r="P25" s="14">
        <f t="shared" si="2"/>
        <v>0</v>
      </c>
      <c r="Q25" s="14">
        <f t="shared" si="3"/>
        <v>0</v>
      </c>
      <c r="R25" s="14">
        <f t="shared" si="4"/>
        <v>0</v>
      </c>
      <c r="S25" s="14">
        <f t="shared" si="5"/>
        <v>0</v>
      </c>
      <c r="T25" s="14">
        <f t="shared" si="6"/>
        <v>0</v>
      </c>
      <c r="U25" s="14">
        <f t="shared" si="7"/>
        <v>0</v>
      </c>
      <c r="Y25" t="s">
        <v>79</v>
      </c>
      <c r="Z25" s="7">
        <f t="shared" si="8"/>
        <v>186</v>
      </c>
      <c r="AA25" s="7">
        <f t="shared" si="9"/>
        <v>188</v>
      </c>
      <c r="AB25" s="7">
        <f t="shared" si="10"/>
        <v>189</v>
      </c>
      <c r="AC25" s="7">
        <f t="shared" si="11"/>
        <v>192</v>
      </c>
      <c r="AD25" s="7">
        <f t="shared" si="12"/>
        <v>198</v>
      </c>
      <c r="AE25" s="7">
        <f t="shared" si="13"/>
        <v>203</v>
      </c>
      <c r="AF25" s="7">
        <f t="shared" si="14"/>
        <v>208</v>
      </c>
      <c r="AG25" s="7">
        <f t="shared" si="15"/>
        <v>214</v>
      </c>
      <c r="AI25" t="s">
        <v>79</v>
      </c>
      <c r="AJ25" s="14">
        <f t="shared" si="16"/>
        <v>0.97</v>
      </c>
      <c r="AK25" s="14">
        <f t="shared" si="17"/>
        <v>0.97000000000000008</v>
      </c>
      <c r="AL25" s="14">
        <f t="shared" si="18"/>
        <v>0.97</v>
      </c>
      <c r="AM25" s="14">
        <f t="shared" si="19"/>
        <v>0.97</v>
      </c>
      <c r="AN25" s="14">
        <f t="shared" si="20"/>
        <v>0.97</v>
      </c>
      <c r="AO25" s="14">
        <f t="shared" si="21"/>
        <v>0.96999999999999986</v>
      </c>
      <c r="AP25" s="14">
        <f t="shared" si="22"/>
        <v>0.97000000000000008</v>
      </c>
      <c r="AQ25" s="14">
        <f t="shared" si="23"/>
        <v>0.97</v>
      </c>
      <c r="AS25" s="14" cm="1">
        <f t="array" ref="AS25">TREND($AJ25:$AQ25,$AJ$2:$AQ$2,AS$2)</f>
        <v>0.96999999999999986</v>
      </c>
      <c r="AT25" s="14" cm="1">
        <f t="array" ref="AT25">TREND($AJ25:$AQ25,$AJ$2:$AQ$2,AT$2)</f>
        <v>0.96999999999999986</v>
      </c>
      <c r="AU25" s="14" cm="1">
        <f t="array" ref="AU25">TREND($AJ25:$AQ25,$AJ$2:$AQ$2,AU$2)</f>
        <v>0.96999999999999986</v>
      </c>
      <c r="AV25" s="14" cm="1">
        <f t="array" ref="AV25">TREND($AJ25:$AQ25,$AJ$2:$AQ$2,AV$2)</f>
        <v>0.96999999999999986</v>
      </c>
      <c r="AW25" s="14" cm="1">
        <f t="array" ref="AW25">TREND($AJ25:$AQ25,$AJ$2:$AQ$2,AW$2)</f>
        <v>0.96999999999999986</v>
      </c>
      <c r="AX25" s="14" cm="1">
        <f t="array" ref="AX25">TREND($AJ25:$AQ25,$AJ$2:$AQ$2,AX$2)</f>
        <v>0.96999999999999986</v>
      </c>
      <c r="AY25" s="14" cm="1">
        <f t="array" ref="AY25">TREND($AJ25:$AQ25,$AJ$2:$AQ$2,AY$2)</f>
        <v>0.96999999999999986</v>
      </c>
      <c r="AZ25" s="14" cm="1">
        <f t="array" ref="AZ25">TREND($AJ25:$AQ25,$AJ$2:$AQ$2,AZ$2)</f>
        <v>0.96999999999999986</v>
      </c>
      <c r="BA25" s="14" cm="1">
        <f t="array" ref="BA25">TREND($AJ25:$AQ25,$AJ$2:$AQ$2,BA$2)</f>
        <v>0.96999999999999986</v>
      </c>
      <c r="BB25" s="14" cm="1">
        <f t="array" ref="BB25">TREND($AJ25:$AQ25,$AJ$2:$AQ$2,BB$2)</f>
        <v>0.96999999999999986</v>
      </c>
      <c r="BC25" s="14" cm="1">
        <f t="array" ref="BC25">TREND($AJ25:$AQ25,$AJ$2:$AQ$2,BC$2)</f>
        <v>0.96999999999999986</v>
      </c>
      <c r="BD25" s="14" cm="1">
        <f t="array" ref="BD25">TREND($AJ25:$AQ25,$AJ$2:$AQ$2,BD$2)</f>
        <v>0.96999999999999986</v>
      </c>
      <c r="BE25" s="14" cm="1">
        <f t="array" ref="BE25">TREND($AJ25:$AQ25,$AJ$2:$AQ$2,BE$2)</f>
        <v>0.96999999999999986</v>
      </c>
      <c r="BF25" s="14" cm="1">
        <f t="array" ref="BF25">TREND($AJ25:$AQ25,$AJ$2:$AQ$2,BF$2)</f>
        <v>0.96999999999999986</v>
      </c>
      <c r="BG25" s="14" cm="1">
        <f t="array" ref="BG25">TREND($AJ25:$AQ25,$AJ$2:$AQ$2,BG$2)</f>
        <v>0.96999999999999986</v>
      </c>
      <c r="BH25" s="14" cm="1">
        <f t="array" ref="BH25">TREND($AJ25:$AQ25,$AJ$2:$AQ$2,BH$2)</f>
        <v>0.96999999999999986</v>
      </c>
      <c r="BI25" s="14" cm="1">
        <f t="array" ref="BI25">TREND($AJ25:$AQ25,$AJ$2:$AQ$2,BI$2)</f>
        <v>0.96999999999999986</v>
      </c>
      <c r="BJ25" s="14" cm="1">
        <f t="array" ref="BJ25">TREND($AJ25:$AQ25,$AJ$2:$AQ$2,BJ$2)</f>
        <v>0.96999999999999986</v>
      </c>
      <c r="BK25" s="14" cm="1">
        <f t="array" ref="BK25">TREND($AJ25:$AQ25,$AJ$2:$AQ$2,BK$2)</f>
        <v>0.96999999999999986</v>
      </c>
      <c r="BL25" s="14" cm="1">
        <f t="array" ref="BL25">TREND($AJ25:$AQ25,$AJ$2:$AQ$2,BL$2)</f>
        <v>0.96999999999999986</v>
      </c>
      <c r="BM25" s="14" cm="1">
        <f t="array" ref="BM25">TREND($AJ25:$AQ25,$AJ$2:$AQ$2,BM$2)</f>
        <v>0.96999999999999986</v>
      </c>
      <c r="BN25" s="14" cm="1">
        <f t="array" ref="BN25">TREND($AJ25:$AQ25,$AJ$2:$AQ$2,BN$2)</f>
        <v>0.96999999999999986</v>
      </c>
      <c r="BO25" s="14" cm="1">
        <f t="array" ref="BO25">TREND($AJ25:$AQ25,$AJ$2:$AQ$2,BO$2)</f>
        <v>0.96999999999999986</v>
      </c>
      <c r="BP25" s="14" cm="1">
        <f t="array" ref="BP25">TREND($AJ25:$AQ25,$AJ$2:$AQ$2,BP$2)</f>
        <v>0.96999999999999986</v>
      </c>
      <c r="BQ25" s="14" cm="1">
        <f t="array" ref="BQ25">TREND($AJ25:$AQ25,$AJ$2:$AQ$2,BQ$2)</f>
        <v>0.96999999999999986</v>
      </c>
      <c r="BR25" s="14" cm="1">
        <f t="array" ref="BR25">TREND($AJ25:$AQ25,$AJ$2:$AQ$2,BR$2)</f>
        <v>0.96999999999999986</v>
      </c>
      <c r="BS25" s="14" cm="1">
        <f t="array" ref="BS25">TREND($AJ25:$AQ25,$AJ$2:$AQ$2,BS$2)</f>
        <v>0.96999999999999986</v>
      </c>
      <c r="BT25" s="14" cm="1">
        <f t="array" ref="BT25">TREND($AJ25:$AQ25,$AJ$2:$AQ$2,BT$2)</f>
        <v>0.96999999999999986</v>
      </c>
      <c r="BU25" s="14" cm="1">
        <f t="array" ref="BU25">TREND($AJ25:$AQ25,$AJ$2:$AQ$2,BU$2)</f>
        <v>0.96999999999999986</v>
      </c>
      <c r="BV25" s="14" cm="1">
        <f t="array" ref="BV25">TREND($AJ25:$AQ25,$AJ$2:$AQ$2,BV$2)</f>
        <v>0.96999999999999986</v>
      </c>
    </row>
    <row r="26" spans="1:74" x14ac:dyDescent="0.3">
      <c r="A26" t="s">
        <v>42</v>
      </c>
      <c r="B26" t="s">
        <v>48</v>
      </c>
      <c r="D26">
        <v>1</v>
      </c>
      <c r="E26">
        <v>0</v>
      </c>
      <c r="F26">
        <f>INDEX('IPM Load'!B:B,MATCH('Cost-of-Service Shares'!$A26,'IPM Load'!$A:$A,0))</f>
        <v>9</v>
      </c>
      <c r="G26">
        <f>INDEX('IPM Load'!C:C,MATCH('Cost-of-Service Shares'!$A26,'IPM Load'!$A:$A,0))</f>
        <v>9</v>
      </c>
      <c r="H26">
        <f>INDEX('IPM Load'!D:D,MATCH('Cost-of-Service Shares'!$A26,'IPM Load'!$A:$A,0))</f>
        <v>10</v>
      </c>
      <c r="I26">
        <f>INDEX('IPM Load'!E:E,MATCH('Cost-of-Service Shares'!$A26,'IPM Load'!$A:$A,0))</f>
        <v>9</v>
      </c>
      <c r="J26">
        <f>INDEX('IPM Load'!F:F,MATCH('Cost-of-Service Shares'!$A26,'IPM Load'!$A:$A,0))</f>
        <v>9</v>
      </c>
      <c r="K26">
        <f>INDEX('IPM Load'!G:G,MATCH('Cost-of-Service Shares'!$A26,'IPM Load'!$A:$A,0))</f>
        <v>9</v>
      </c>
      <c r="L26">
        <f>INDEX('IPM Load'!H:H,MATCH('Cost-of-Service Shares'!$A26,'IPM Load'!$A:$A,0))</f>
        <v>9</v>
      </c>
      <c r="M26">
        <f>INDEX('IPM Load'!I:I,MATCH('Cost-of-Service Shares'!$A26,'IPM Load'!$A:$A,0))</f>
        <v>10</v>
      </c>
      <c r="N26" s="14">
        <f t="shared" si="0"/>
        <v>0</v>
      </c>
      <c r="O26" s="14">
        <f t="shared" si="1"/>
        <v>0</v>
      </c>
      <c r="P26" s="14">
        <f t="shared" si="2"/>
        <v>0</v>
      </c>
      <c r="Q26" s="14">
        <f t="shared" si="3"/>
        <v>0</v>
      </c>
      <c r="R26" s="14">
        <f t="shared" si="4"/>
        <v>0</v>
      </c>
      <c r="S26" s="14">
        <f t="shared" si="5"/>
        <v>0</v>
      </c>
      <c r="T26" s="14">
        <f t="shared" si="6"/>
        <v>0</v>
      </c>
      <c r="U26" s="14">
        <f t="shared" si="7"/>
        <v>0</v>
      </c>
      <c r="Y26" t="s">
        <v>106</v>
      </c>
      <c r="Z26" s="7">
        <f t="shared" si="8"/>
        <v>68.931365136452342</v>
      </c>
      <c r="AA26" s="7">
        <f t="shared" si="9"/>
        <v>70.931365136452342</v>
      </c>
      <c r="AB26" s="7">
        <f t="shared" si="10"/>
        <v>72.339092497420125</v>
      </c>
      <c r="AC26" s="7">
        <f t="shared" si="11"/>
        <v>75.339092497420125</v>
      </c>
      <c r="AD26" s="7">
        <f t="shared" si="12"/>
        <v>78.339092497420125</v>
      </c>
      <c r="AE26" s="7">
        <f t="shared" si="13"/>
        <v>81.746819858387909</v>
      </c>
      <c r="AF26" s="7">
        <f t="shared" si="14"/>
        <v>84.154547219355692</v>
      </c>
      <c r="AG26" s="7">
        <f t="shared" si="15"/>
        <v>86.154547219355692</v>
      </c>
      <c r="AI26" t="s">
        <v>106</v>
      </c>
      <c r="AJ26" s="14">
        <f t="shared" si="16"/>
        <v>0.99698336231000295</v>
      </c>
      <c r="AK26" s="14">
        <f t="shared" si="17"/>
        <v>0.99706842024408315</v>
      </c>
      <c r="AL26" s="14">
        <f t="shared" si="18"/>
        <v>0.99695637908464974</v>
      </c>
      <c r="AM26" s="14">
        <f t="shared" si="19"/>
        <v>0.9970775759619066</v>
      </c>
      <c r="AN26" s="14">
        <f t="shared" si="20"/>
        <v>0.99718949035655657</v>
      </c>
      <c r="AO26" s="14">
        <f t="shared" si="21"/>
        <v>0.99715701973294812</v>
      </c>
      <c r="AP26" s="14">
        <f t="shared" si="22"/>
        <v>0.99709301012644025</v>
      </c>
      <c r="AQ26" s="14">
        <f t="shared" si="23"/>
        <v>0.99716049327079848</v>
      </c>
      <c r="AS26" s="14" cm="1">
        <f t="array" ref="AS26">TREND($AJ26:$AQ26,$AJ$2:$AQ$2,AS$2)</f>
        <v>0.99701428619301313</v>
      </c>
      <c r="AT26" s="14" cm="1">
        <f t="array" ref="AT26">TREND($AJ26:$AQ26,$AJ$2:$AQ$2,AT$2)</f>
        <v>0.99701994422809515</v>
      </c>
      <c r="AU26" s="14" cm="1">
        <f t="array" ref="AU26">TREND($AJ26:$AQ26,$AJ$2:$AQ$2,AU$2)</f>
        <v>0.99702560226317716</v>
      </c>
      <c r="AV26" s="14" cm="1">
        <f t="array" ref="AV26">TREND($AJ26:$AQ26,$AJ$2:$AQ$2,AV$2)</f>
        <v>0.99703126029825917</v>
      </c>
      <c r="AW26" s="14" cm="1">
        <f t="array" ref="AW26">TREND($AJ26:$AQ26,$AJ$2:$AQ$2,AW$2)</f>
        <v>0.99703691833334118</v>
      </c>
      <c r="AX26" s="14" cm="1">
        <f t="array" ref="AX26">TREND($AJ26:$AQ26,$AJ$2:$AQ$2,AX$2)</f>
        <v>0.99704257636842308</v>
      </c>
      <c r="AY26" s="14" cm="1">
        <f t="array" ref="AY26">TREND($AJ26:$AQ26,$AJ$2:$AQ$2,AY$2)</f>
        <v>0.9970482344035051</v>
      </c>
      <c r="AZ26" s="14" cm="1">
        <f t="array" ref="AZ26">TREND($AJ26:$AQ26,$AJ$2:$AQ$2,AZ$2)</f>
        <v>0.99705389243858711</v>
      </c>
      <c r="BA26" s="14" cm="1">
        <f t="array" ref="BA26">TREND($AJ26:$AQ26,$AJ$2:$AQ$2,BA$2)</f>
        <v>0.99705955047366912</v>
      </c>
      <c r="BB26" s="14" cm="1">
        <f t="array" ref="BB26">TREND($AJ26:$AQ26,$AJ$2:$AQ$2,BB$2)</f>
        <v>0.99706520850875113</v>
      </c>
      <c r="BC26" s="14" cm="1">
        <f t="array" ref="BC26">TREND($AJ26:$AQ26,$AJ$2:$AQ$2,BC$2)</f>
        <v>0.99707086654383303</v>
      </c>
      <c r="BD26" s="14" cm="1">
        <f t="array" ref="BD26">TREND($AJ26:$AQ26,$AJ$2:$AQ$2,BD$2)</f>
        <v>0.99707652457891505</v>
      </c>
      <c r="BE26" s="14" cm="1">
        <f t="array" ref="BE26">TREND($AJ26:$AQ26,$AJ$2:$AQ$2,BE$2)</f>
        <v>0.99708218261399706</v>
      </c>
      <c r="BF26" s="14" cm="1">
        <f t="array" ref="BF26">TREND($AJ26:$AQ26,$AJ$2:$AQ$2,BF$2)</f>
        <v>0.99708784064907907</v>
      </c>
      <c r="BG26" s="14" cm="1">
        <f t="array" ref="BG26">TREND($AJ26:$AQ26,$AJ$2:$AQ$2,BG$2)</f>
        <v>0.99709349868416108</v>
      </c>
      <c r="BH26" s="14" cm="1">
        <f t="array" ref="BH26">TREND($AJ26:$AQ26,$AJ$2:$AQ$2,BH$2)</f>
        <v>0.99709915671924298</v>
      </c>
      <c r="BI26" s="14" cm="1">
        <f t="array" ref="BI26">TREND($AJ26:$AQ26,$AJ$2:$AQ$2,BI$2)</f>
        <v>0.997104814754325</v>
      </c>
      <c r="BJ26" s="14" cm="1">
        <f t="array" ref="BJ26">TREND($AJ26:$AQ26,$AJ$2:$AQ$2,BJ$2)</f>
        <v>0.99711047278940701</v>
      </c>
      <c r="BK26" s="14" cm="1">
        <f t="array" ref="BK26">TREND($AJ26:$AQ26,$AJ$2:$AQ$2,BK$2)</f>
        <v>0.99711613082448902</v>
      </c>
      <c r="BL26" s="14" cm="1">
        <f t="array" ref="BL26">TREND($AJ26:$AQ26,$AJ$2:$AQ$2,BL$2)</f>
        <v>0.99712178885957103</v>
      </c>
      <c r="BM26" s="14" cm="1">
        <f t="array" ref="BM26">TREND($AJ26:$AQ26,$AJ$2:$AQ$2,BM$2)</f>
        <v>0.99712744689465294</v>
      </c>
      <c r="BN26" s="14" cm="1">
        <f t="array" ref="BN26">TREND($AJ26:$AQ26,$AJ$2:$AQ$2,BN$2)</f>
        <v>0.99713310492973495</v>
      </c>
      <c r="BO26" s="14" cm="1">
        <f t="array" ref="BO26">TREND($AJ26:$AQ26,$AJ$2:$AQ$2,BO$2)</f>
        <v>0.99713876296481696</v>
      </c>
      <c r="BP26" s="14" cm="1">
        <f t="array" ref="BP26">TREND($AJ26:$AQ26,$AJ$2:$AQ$2,BP$2)</f>
        <v>0.99714442099989897</v>
      </c>
      <c r="BQ26" s="14" cm="1">
        <f t="array" ref="BQ26">TREND($AJ26:$AQ26,$AJ$2:$AQ$2,BQ$2)</f>
        <v>0.99715007903498099</v>
      </c>
      <c r="BR26" s="14" cm="1">
        <f t="array" ref="BR26">TREND($AJ26:$AQ26,$AJ$2:$AQ$2,BR$2)</f>
        <v>0.99715573707006289</v>
      </c>
      <c r="BS26" s="14" cm="1">
        <f t="array" ref="BS26">TREND($AJ26:$AQ26,$AJ$2:$AQ$2,BS$2)</f>
        <v>0.9971613951051449</v>
      </c>
      <c r="BT26" s="14" cm="1">
        <f t="array" ref="BT26">TREND($AJ26:$AQ26,$AJ$2:$AQ$2,BT$2)</f>
        <v>0.99716705314022691</v>
      </c>
      <c r="BU26" s="14" cm="1">
        <f t="array" ref="BU26">TREND($AJ26:$AQ26,$AJ$2:$AQ$2,BU$2)</f>
        <v>0.99717271117530892</v>
      </c>
      <c r="BV26" s="14" cm="1">
        <f t="array" ref="BV26">TREND($AJ26:$AQ26,$AJ$2:$AQ$2,BV$2)</f>
        <v>0.99717836921039082</v>
      </c>
    </row>
    <row r="27" spans="1:74" x14ac:dyDescent="0.3">
      <c r="A27" t="s">
        <v>44</v>
      </c>
      <c r="B27" t="s">
        <v>48</v>
      </c>
      <c r="D27">
        <v>1</v>
      </c>
      <c r="E27">
        <v>0</v>
      </c>
      <c r="F27">
        <f>INDEX('IPM Load'!B:B,MATCH('Cost-of-Service Shares'!$A27,'IPM Load'!$A:$A,0))</f>
        <v>6</v>
      </c>
      <c r="G27">
        <f>INDEX('IPM Load'!C:C,MATCH('Cost-of-Service Shares'!$A27,'IPM Load'!$A:$A,0))</f>
        <v>6</v>
      </c>
      <c r="H27">
        <f>INDEX('IPM Load'!D:D,MATCH('Cost-of-Service Shares'!$A27,'IPM Load'!$A:$A,0))</f>
        <v>6</v>
      </c>
      <c r="I27">
        <f>INDEX('IPM Load'!E:E,MATCH('Cost-of-Service Shares'!$A27,'IPM Load'!$A:$A,0))</f>
        <v>6</v>
      </c>
      <c r="J27">
        <f>INDEX('IPM Load'!F:F,MATCH('Cost-of-Service Shares'!$A27,'IPM Load'!$A:$A,0))</f>
        <v>6</v>
      </c>
      <c r="K27">
        <f>INDEX('IPM Load'!G:G,MATCH('Cost-of-Service Shares'!$A27,'IPM Load'!$A:$A,0))</f>
        <v>6</v>
      </c>
      <c r="L27">
        <f>INDEX('IPM Load'!H:H,MATCH('Cost-of-Service Shares'!$A27,'IPM Load'!$A:$A,0))</f>
        <v>6</v>
      </c>
      <c r="M27">
        <f>INDEX('IPM Load'!I:I,MATCH('Cost-of-Service Shares'!$A27,'IPM Load'!$A:$A,0))</f>
        <v>6</v>
      </c>
      <c r="N27" s="14">
        <f t="shared" si="0"/>
        <v>0</v>
      </c>
      <c r="O27" s="14">
        <f t="shared" si="1"/>
        <v>0</v>
      </c>
      <c r="P27" s="14">
        <f t="shared" si="2"/>
        <v>0</v>
      </c>
      <c r="Q27" s="14">
        <f t="shared" si="3"/>
        <v>0</v>
      </c>
      <c r="R27" s="14">
        <f t="shared" si="4"/>
        <v>0</v>
      </c>
      <c r="S27" s="14">
        <f t="shared" si="5"/>
        <v>0</v>
      </c>
      <c r="T27" s="14">
        <f t="shared" si="6"/>
        <v>0</v>
      </c>
      <c r="U27" s="14">
        <f t="shared" si="7"/>
        <v>0</v>
      </c>
      <c r="Y27" t="s">
        <v>148</v>
      </c>
      <c r="Z27" s="7">
        <f t="shared" si="8"/>
        <v>85.489252451706847</v>
      </c>
      <c r="AA27" s="7">
        <f t="shared" si="9"/>
        <v>86.96696851278989</v>
      </c>
      <c r="AB27" s="7">
        <f t="shared" si="10"/>
        <v>87.559241151822107</v>
      </c>
      <c r="AC27" s="7">
        <f t="shared" si="11"/>
        <v>89.514673273988194</v>
      </c>
      <c r="AD27" s="7">
        <f t="shared" si="12"/>
        <v>90.992389335071238</v>
      </c>
      <c r="AE27" s="7">
        <f t="shared" si="13"/>
        <v>95.062378035186498</v>
      </c>
      <c r="AF27" s="7">
        <f t="shared" si="14"/>
        <v>97.132366735301758</v>
      </c>
      <c r="AG27" s="7">
        <f t="shared" si="15"/>
        <v>99.610082796384816</v>
      </c>
      <c r="AI27" t="s">
        <v>148</v>
      </c>
      <c r="AJ27" s="14">
        <f t="shared" si="16"/>
        <v>0.97145288644267591</v>
      </c>
      <c r="AK27" s="14">
        <f t="shared" si="17"/>
        <v>0.9714831301895207</v>
      </c>
      <c r="AL27" s="14">
        <f t="shared" si="18"/>
        <v>0.97147309792542358</v>
      </c>
      <c r="AM27" s="14">
        <f t="shared" si="19"/>
        <v>0.9715476530567233</v>
      </c>
      <c r="AN27" s="14">
        <f t="shared" si="20"/>
        <v>0.97157501983816652</v>
      </c>
      <c r="AO27" s="14">
        <f t="shared" si="21"/>
        <v>0.97155784004141921</v>
      </c>
      <c r="AP27" s="14">
        <f t="shared" si="22"/>
        <v>0.97157382286342486</v>
      </c>
      <c r="AQ27" s="14">
        <f t="shared" si="23"/>
        <v>0.97158263396366851</v>
      </c>
      <c r="AS27" s="14" cm="1">
        <f t="array" ref="AS27">TREND($AJ27:$AQ27,$AJ$2:$AQ$2,AS$2)</f>
        <v>0.97147554772405509</v>
      </c>
      <c r="AT27" s="14" cm="1">
        <f t="array" ref="AT27">TREND($AJ27:$AQ27,$AJ$2:$AQ$2,AT$2)</f>
        <v>0.97147992101641722</v>
      </c>
      <c r="AU27" s="14" cm="1">
        <f t="array" ref="AU27">TREND($AJ27:$AQ27,$AJ$2:$AQ$2,AU$2)</f>
        <v>0.97148429430877947</v>
      </c>
      <c r="AV27" s="14" cm="1">
        <f t="array" ref="AV27">TREND($AJ27:$AQ27,$AJ$2:$AQ$2,AV$2)</f>
        <v>0.97148866760114161</v>
      </c>
      <c r="AW27" s="14" cm="1">
        <f t="array" ref="AW27">TREND($AJ27:$AQ27,$AJ$2:$AQ$2,AW$2)</f>
        <v>0.97149304089350386</v>
      </c>
      <c r="AX27" s="14" cm="1">
        <f t="array" ref="AX27">TREND($AJ27:$AQ27,$AJ$2:$AQ$2,AX$2)</f>
        <v>0.9714974141858661</v>
      </c>
      <c r="AY27" s="14" cm="1">
        <f t="array" ref="AY27">TREND($AJ27:$AQ27,$AJ$2:$AQ$2,AY$2)</f>
        <v>0.97150178747822824</v>
      </c>
      <c r="AZ27" s="14" cm="1">
        <f t="array" ref="AZ27">TREND($AJ27:$AQ27,$AJ$2:$AQ$2,AZ$2)</f>
        <v>0.97150616077059049</v>
      </c>
      <c r="BA27" s="14" cm="1">
        <f t="array" ref="BA27">TREND($AJ27:$AQ27,$AJ$2:$AQ$2,BA$2)</f>
        <v>0.97151053406295262</v>
      </c>
      <c r="BB27" s="14" cm="1">
        <f t="array" ref="BB27">TREND($AJ27:$AQ27,$AJ$2:$AQ$2,BB$2)</f>
        <v>0.97151490735531487</v>
      </c>
      <c r="BC27" s="14" cm="1">
        <f t="array" ref="BC27">TREND($AJ27:$AQ27,$AJ$2:$AQ$2,BC$2)</f>
        <v>0.97151928064767712</v>
      </c>
      <c r="BD27" s="14" cm="1">
        <f t="array" ref="BD27">TREND($AJ27:$AQ27,$AJ$2:$AQ$2,BD$2)</f>
        <v>0.97152365394003926</v>
      </c>
      <c r="BE27" s="14" cm="1">
        <f t="array" ref="BE27">TREND($AJ27:$AQ27,$AJ$2:$AQ$2,BE$2)</f>
        <v>0.9715280272324015</v>
      </c>
      <c r="BF27" s="14" cm="1">
        <f t="array" ref="BF27">TREND($AJ27:$AQ27,$AJ$2:$AQ$2,BF$2)</f>
        <v>0.97153240052476364</v>
      </c>
      <c r="BG27" s="14" cm="1">
        <f t="array" ref="BG27">TREND($AJ27:$AQ27,$AJ$2:$AQ$2,BG$2)</f>
        <v>0.97153677381712589</v>
      </c>
      <c r="BH27" s="14" cm="1">
        <f t="array" ref="BH27">TREND($AJ27:$AQ27,$AJ$2:$AQ$2,BH$2)</f>
        <v>0.97154114710948802</v>
      </c>
      <c r="BI27" s="14" cm="1">
        <f t="array" ref="BI27">TREND($AJ27:$AQ27,$AJ$2:$AQ$2,BI$2)</f>
        <v>0.97154552040185027</v>
      </c>
      <c r="BJ27" s="14" cm="1">
        <f t="array" ref="BJ27">TREND($AJ27:$AQ27,$AJ$2:$AQ$2,BJ$2)</f>
        <v>0.97154989369421252</v>
      </c>
      <c r="BK27" s="14" cm="1">
        <f t="array" ref="BK27">TREND($AJ27:$AQ27,$AJ$2:$AQ$2,BK$2)</f>
        <v>0.97155426698657466</v>
      </c>
      <c r="BL27" s="14" cm="1">
        <f t="array" ref="BL27">TREND($AJ27:$AQ27,$AJ$2:$AQ$2,BL$2)</f>
        <v>0.9715586402789369</v>
      </c>
      <c r="BM27" s="14" cm="1">
        <f t="array" ref="BM27">TREND($AJ27:$AQ27,$AJ$2:$AQ$2,BM$2)</f>
        <v>0.97156301357129904</v>
      </c>
      <c r="BN27" s="14" cm="1">
        <f t="array" ref="BN27">TREND($AJ27:$AQ27,$AJ$2:$AQ$2,BN$2)</f>
        <v>0.97156738686366129</v>
      </c>
      <c r="BO27" s="14" cm="1">
        <f t="array" ref="BO27">TREND($AJ27:$AQ27,$AJ$2:$AQ$2,BO$2)</f>
        <v>0.97157176015602342</v>
      </c>
      <c r="BP27" s="14" cm="1">
        <f t="array" ref="BP27">TREND($AJ27:$AQ27,$AJ$2:$AQ$2,BP$2)</f>
        <v>0.97157613344838567</v>
      </c>
      <c r="BQ27" s="14" cm="1">
        <f t="array" ref="BQ27">TREND($AJ27:$AQ27,$AJ$2:$AQ$2,BQ$2)</f>
        <v>0.97158050674074792</v>
      </c>
      <c r="BR27" s="14" cm="1">
        <f t="array" ref="BR27">TREND($AJ27:$AQ27,$AJ$2:$AQ$2,BR$2)</f>
        <v>0.97158488003311005</v>
      </c>
      <c r="BS27" s="14" cm="1">
        <f t="array" ref="BS27">TREND($AJ27:$AQ27,$AJ$2:$AQ$2,BS$2)</f>
        <v>0.9715892533254723</v>
      </c>
      <c r="BT27" s="14" cm="1">
        <f t="array" ref="BT27">TREND($AJ27:$AQ27,$AJ$2:$AQ$2,BT$2)</f>
        <v>0.97159362661783444</v>
      </c>
      <c r="BU27" s="14" cm="1">
        <f t="array" ref="BU27">TREND($AJ27:$AQ27,$AJ$2:$AQ$2,BU$2)</f>
        <v>0.97159799991019669</v>
      </c>
      <c r="BV27" s="14" cm="1">
        <f t="array" ref="BV27">TREND($AJ27:$AQ27,$AJ$2:$AQ$2,BV$2)</f>
        <v>0.97160237320255882</v>
      </c>
    </row>
    <row r="28" spans="1:74" x14ac:dyDescent="0.3">
      <c r="A28" t="s">
        <v>47</v>
      </c>
      <c r="B28" t="s">
        <v>48</v>
      </c>
      <c r="D28">
        <v>1</v>
      </c>
      <c r="E28">
        <v>0</v>
      </c>
      <c r="F28">
        <f>INDEX('IPM Load'!B:B,MATCH('Cost-of-Service Shares'!$A28,'IPM Load'!$A:$A,0))</f>
        <v>18</v>
      </c>
      <c r="G28">
        <f>INDEX('IPM Load'!C:C,MATCH('Cost-of-Service Shares'!$A28,'IPM Load'!$A:$A,0))</f>
        <v>18</v>
      </c>
      <c r="H28">
        <f>INDEX('IPM Load'!D:D,MATCH('Cost-of-Service Shares'!$A28,'IPM Load'!$A:$A,0))</f>
        <v>19</v>
      </c>
      <c r="I28">
        <f>INDEX('IPM Load'!E:E,MATCH('Cost-of-Service Shares'!$A28,'IPM Load'!$A:$A,0))</f>
        <v>18</v>
      </c>
      <c r="J28">
        <f>INDEX('IPM Load'!F:F,MATCH('Cost-of-Service Shares'!$A28,'IPM Load'!$A:$A,0))</f>
        <v>18</v>
      </c>
      <c r="K28">
        <f>INDEX('IPM Load'!G:G,MATCH('Cost-of-Service Shares'!$A28,'IPM Load'!$A:$A,0))</f>
        <v>18</v>
      </c>
      <c r="L28">
        <f>INDEX('IPM Load'!H:H,MATCH('Cost-of-Service Shares'!$A28,'IPM Load'!$A:$A,0))</f>
        <v>18</v>
      </c>
      <c r="M28">
        <f>INDEX('IPM Load'!I:I,MATCH('Cost-of-Service Shares'!$A28,'IPM Load'!$A:$A,0))</f>
        <v>19</v>
      </c>
      <c r="N28" s="14">
        <f t="shared" si="0"/>
        <v>0</v>
      </c>
      <c r="O28" s="14">
        <f t="shared" si="1"/>
        <v>0</v>
      </c>
      <c r="P28" s="14">
        <f t="shared" si="2"/>
        <v>0</v>
      </c>
      <c r="Q28" s="14">
        <f t="shared" si="3"/>
        <v>0</v>
      </c>
      <c r="R28" s="14">
        <f t="shared" si="4"/>
        <v>0</v>
      </c>
      <c r="S28" s="14">
        <f t="shared" si="5"/>
        <v>0</v>
      </c>
      <c r="T28" s="14">
        <f t="shared" si="6"/>
        <v>0</v>
      </c>
      <c r="U28" s="14">
        <f t="shared" si="7"/>
        <v>0</v>
      </c>
    </row>
    <row r="29" spans="1:74" x14ac:dyDescent="0.3">
      <c r="A29" t="s">
        <v>49</v>
      </c>
      <c r="B29" t="s">
        <v>50</v>
      </c>
      <c r="D29">
        <v>1</v>
      </c>
      <c r="E29">
        <v>0</v>
      </c>
      <c r="F29">
        <f>INDEX('IPM Load'!B:B,MATCH('Cost-of-Service Shares'!$A29,'IPM Load'!$A:$A,0))</f>
        <v>51</v>
      </c>
      <c r="G29">
        <f>INDEX('IPM Load'!C:C,MATCH('Cost-of-Service Shares'!$A29,'IPM Load'!$A:$A,0))</f>
        <v>51</v>
      </c>
      <c r="H29">
        <f>INDEX('IPM Load'!D:D,MATCH('Cost-of-Service Shares'!$A29,'IPM Load'!$A:$A,0))</f>
        <v>51</v>
      </c>
      <c r="I29">
        <f>INDEX('IPM Load'!E:E,MATCH('Cost-of-Service Shares'!$A29,'IPM Load'!$A:$A,0))</f>
        <v>50</v>
      </c>
      <c r="J29">
        <f>INDEX('IPM Load'!F:F,MATCH('Cost-of-Service Shares'!$A29,'IPM Load'!$A:$A,0))</f>
        <v>49</v>
      </c>
      <c r="K29">
        <f>INDEX('IPM Load'!G:G,MATCH('Cost-of-Service Shares'!$A29,'IPM Load'!$A:$A,0))</f>
        <v>49</v>
      </c>
      <c r="L29">
        <f>INDEX('IPM Load'!H:H,MATCH('Cost-of-Service Shares'!$A29,'IPM Load'!$A:$A,0))</f>
        <v>49</v>
      </c>
      <c r="M29">
        <f>INDEX('IPM Load'!I:I,MATCH('Cost-of-Service Shares'!$A29,'IPM Load'!$A:$A,0))</f>
        <v>50</v>
      </c>
      <c r="N29" s="14">
        <f t="shared" si="0"/>
        <v>0</v>
      </c>
      <c r="O29" s="14">
        <f t="shared" si="1"/>
        <v>0</v>
      </c>
      <c r="P29" s="14">
        <f t="shared" si="2"/>
        <v>0</v>
      </c>
      <c r="Q29" s="14">
        <f t="shared" si="3"/>
        <v>0</v>
      </c>
      <c r="R29" s="14">
        <f t="shared" si="4"/>
        <v>0</v>
      </c>
      <c r="S29" s="14">
        <f t="shared" si="5"/>
        <v>0</v>
      </c>
      <c r="T29" s="14">
        <f t="shared" si="6"/>
        <v>0</v>
      </c>
      <c r="U29" s="14">
        <f t="shared" si="7"/>
        <v>0</v>
      </c>
    </row>
    <row r="30" spans="1:74" x14ac:dyDescent="0.3">
      <c r="A30" t="s">
        <v>51</v>
      </c>
      <c r="B30" t="s">
        <v>50</v>
      </c>
      <c r="D30">
        <v>1</v>
      </c>
      <c r="E30">
        <v>0</v>
      </c>
      <c r="F30">
        <f>INDEX('IPM Load'!B:B,MATCH('Cost-of-Service Shares'!$A30,'IPM Load'!$A:$A,0))</f>
        <v>22</v>
      </c>
      <c r="G30">
        <f>INDEX('IPM Load'!C:C,MATCH('Cost-of-Service Shares'!$A30,'IPM Load'!$A:$A,0))</f>
        <v>22</v>
      </c>
      <c r="H30">
        <f>INDEX('IPM Load'!D:D,MATCH('Cost-of-Service Shares'!$A30,'IPM Load'!$A:$A,0))</f>
        <v>22</v>
      </c>
      <c r="I30">
        <f>INDEX('IPM Load'!E:E,MATCH('Cost-of-Service Shares'!$A30,'IPM Load'!$A:$A,0))</f>
        <v>22</v>
      </c>
      <c r="J30">
        <f>INDEX('IPM Load'!F:F,MATCH('Cost-of-Service Shares'!$A30,'IPM Load'!$A:$A,0))</f>
        <v>22</v>
      </c>
      <c r="K30">
        <f>INDEX('IPM Load'!G:G,MATCH('Cost-of-Service Shares'!$A30,'IPM Load'!$A:$A,0))</f>
        <v>22</v>
      </c>
      <c r="L30">
        <f>INDEX('IPM Load'!H:H,MATCH('Cost-of-Service Shares'!$A30,'IPM Load'!$A:$A,0))</f>
        <v>22</v>
      </c>
      <c r="M30">
        <f>INDEX('IPM Load'!I:I,MATCH('Cost-of-Service Shares'!$A30,'IPM Load'!$A:$A,0))</f>
        <v>22</v>
      </c>
      <c r="N30" s="14">
        <f t="shared" si="0"/>
        <v>0</v>
      </c>
      <c r="O30" s="14">
        <f t="shared" si="1"/>
        <v>0</v>
      </c>
      <c r="P30" s="14">
        <f t="shared" si="2"/>
        <v>0</v>
      </c>
      <c r="Q30" s="14">
        <f t="shared" si="3"/>
        <v>0</v>
      </c>
      <c r="R30" s="14">
        <f t="shared" si="4"/>
        <v>0</v>
      </c>
      <c r="S30" s="14">
        <f t="shared" si="5"/>
        <v>0</v>
      </c>
      <c r="T30" s="14">
        <f t="shared" si="6"/>
        <v>0</v>
      </c>
      <c r="U30" s="14">
        <f t="shared" si="7"/>
        <v>0</v>
      </c>
    </row>
    <row r="31" spans="1:74" x14ac:dyDescent="0.3">
      <c r="A31" t="s">
        <v>69</v>
      </c>
      <c r="B31" t="s">
        <v>142</v>
      </c>
      <c r="D31">
        <v>0.59</v>
      </c>
      <c r="E31">
        <v>0.41</v>
      </c>
      <c r="F31">
        <f>INDEX('IPM Load'!B:B,MATCH('Cost-of-Service Shares'!$A31,'IPM Load'!$A:$A,0))</f>
        <v>48</v>
      </c>
      <c r="G31">
        <f>INDEX('IPM Load'!C:C,MATCH('Cost-of-Service Shares'!$A31,'IPM Load'!$A:$A,0))</f>
        <v>49</v>
      </c>
      <c r="H31">
        <f>INDEX('IPM Load'!D:D,MATCH('Cost-of-Service Shares'!$A31,'IPM Load'!$A:$A,0))</f>
        <v>49</v>
      </c>
      <c r="I31">
        <f>INDEX('IPM Load'!E:E,MATCH('Cost-of-Service Shares'!$A31,'IPM Load'!$A:$A,0))</f>
        <v>50</v>
      </c>
      <c r="J31">
        <f>INDEX('IPM Load'!F:F,MATCH('Cost-of-Service Shares'!$A31,'IPM Load'!$A:$A,0))</f>
        <v>51</v>
      </c>
      <c r="K31">
        <f>INDEX('IPM Load'!G:G,MATCH('Cost-of-Service Shares'!$A31,'IPM Load'!$A:$A,0))</f>
        <v>53</v>
      </c>
      <c r="L31">
        <f>INDEX('IPM Load'!H:H,MATCH('Cost-of-Service Shares'!$A31,'IPM Load'!$A:$A,0))</f>
        <v>54</v>
      </c>
      <c r="M31">
        <f>INDEX('IPM Load'!I:I,MATCH('Cost-of-Service Shares'!$A31,'IPM Load'!$A:$A,0))</f>
        <v>56</v>
      </c>
      <c r="N31" s="14">
        <f t="shared" si="0"/>
        <v>5.9636363636363633E-2</v>
      </c>
      <c r="O31" s="14">
        <f t="shared" si="1"/>
        <v>5.9614243323442138E-2</v>
      </c>
      <c r="P31" s="14">
        <f t="shared" si="2"/>
        <v>5.8914956011730205E-2</v>
      </c>
      <c r="Q31" s="14">
        <f t="shared" si="3"/>
        <v>5.8739255014326648E-2</v>
      </c>
      <c r="R31" s="14">
        <f t="shared" si="4"/>
        <v>5.8735955056179776E-2</v>
      </c>
      <c r="S31" s="14">
        <f t="shared" si="5"/>
        <v>5.9048913043478264E-2</v>
      </c>
      <c r="T31" s="14">
        <f t="shared" si="6"/>
        <v>5.8571428571428566E-2</v>
      </c>
      <c r="U31" s="14">
        <f t="shared" si="7"/>
        <v>5.8571428571428566E-2</v>
      </c>
    </row>
    <row r="32" spans="1:74" x14ac:dyDescent="0.3">
      <c r="A32" t="s">
        <v>71</v>
      </c>
      <c r="B32" t="s">
        <v>142</v>
      </c>
      <c r="D32">
        <v>0.59</v>
      </c>
      <c r="E32">
        <v>0.41</v>
      </c>
      <c r="F32">
        <f>INDEX('IPM Load'!B:B,MATCH('Cost-of-Service Shares'!$A32,'IPM Load'!$A:$A,0))</f>
        <v>70</v>
      </c>
      <c r="G32">
        <f>INDEX('IPM Load'!C:C,MATCH('Cost-of-Service Shares'!$A32,'IPM Load'!$A:$A,0))</f>
        <v>71</v>
      </c>
      <c r="H32">
        <f>INDEX('IPM Load'!D:D,MATCH('Cost-of-Service Shares'!$A32,'IPM Load'!$A:$A,0))</f>
        <v>72</v>
      </c>
      <c r="I32">
        <f>INDEX('IPM Load'!E:E,MATCH('Cost-of-Service Shares'!$A32,'IPM Load'!$A:$A,0))</f>
        <v>74</v>
      </c>
      <c r="J32">
        <f>INDEX('IPM Load'!F:F,MATCH('Cost-of-Service Shares'!$A32,'IPM Load'!$A:$A,0))</f>
        <v>75</v>
      </c>
      <c r="K32">
        <f>INDEX('IPM Load'!G:G,MATCH('Cost-of-Service Shares'!$A32,'IPM Load'!$A:$A,0))</f>
        <v>78</v>
      </c>
      <c r="L32">
        <f>INDEX('IPM Load'!H:H,MATCH('Cost-of-Service Shares'!$A32,'IPM Load'!$A:$A,0))</f>
        <v>80</v>
      </c>
      <c r="M32">
        <f>INDEX('IPM Load'!I:I,MATCH('Cost-of-Service Shares'!$A32,'IPM Load'!$A:$A,0))</f>
        <v>83</v>
      </c>
      <c r="N32" s="14">
        <f t="shared" si="0"/>
        <v>8.6969696969696961E-2</v>
      </c>
      <c r="O32" s="14">
        <f t="shared" si="1"/>
        <v>8.6379821958456976E-2</v>
      </c>
      <c r="P32" s="14">
        <f t="shared" si="2"/>
        <v>8.6568914956011725E-2</v>
      </c>
      <c r="Q32" s="14">
        <f t="shared" si="3"/>
        <v>8.6934097421203435E-2</v>
      </c>
      <c r="R32" s="14">
        <f t="shared" si="4"/>
        <v>8.6376404494382011E-2</v>
      </c>
      <c r="S32" s="14">
        <f t="shared" si="5"/>
        <v>8.6902173913043473E-2</v>
      </c>
      <c r="T32" s="14">
        <f t="shared" si="6"/>
        <v>8.6772486772486765E-2</v>
      </c>
      <c r="U32" s="14">
        <f t="shared" si="7"/>
        <v>8.6811224489795918E-2</v>
      </c>
    </row>
    <row r="33" spans="1:21" x14ac:dyDescent="0.3">
      <c r="A33" t="s">
        <v>70</v>
      </c>
      <c r="B33" t="s">
        <v>143</v>
      </c>
      <c r="D33">
        <v>0.59</v>
      </c>
      <c r="E33">
        <v>0.41</v>
      </c>
      <c r="F33">
        <f>INDEX('IPM Load'!B:B,MATCH('Cost-of-Service Shares'!$A33,'IPM Load'!$A:$A,0))</f>
        <v>102</v>
      </c>
      <c r="G33">
        <f>INDEX('IPM Load'!C:C,MATCH('Cost-of-Service Shares'!$A33,'IPM Load'!$A:$A,0))</f>
        <v>104</v>
      </c>
      <c r="H33">
        <f>INDEX('IPM Load'!D:D,MATCH('Cost-of-Service Shares'!$A33,'IPM Load'!$A:$A,0))</f>
        <v>106</v>
      </c>
      <c r="I33">
        <f>INDEX('IPM Load'!E:E,MATCH('Cost-of-Service Shares'!$A33,'IPM Load'!$A:$A,0))</f>
        <v>108</v>
      </c>
      <c r="J33">
        <f>INDEX('IPM Load'!F:F,MATCH('Cost-of-Service Shares'!$A33,'IPM Load'!$A:$A,0))</f>
        <v>110</v>
      </c>
      <c r="K33">
        <f>INDEX('IPM Load'!G:G,MATCH('Cost-of-Service Shares'!$A33,'IPM Load'!$A:$A,0))</f>
        <v>113</v>
      </c>
      <c r="L33">
        <f>INDEX('IPM Load'!H:H,MATCH('Cost-of-Service Shares'!$A33,'IPM Load'!$A:$A,0))</f>
        <v>117</v>
      </c>
      <c r="M33">
        <f>INDEX('IPM Load'!I:I,MATCH('Cost-of-Service Shares'!$A33,'IPM Load'!$A:$A,0))</f>
        <v>121</v>
      </c>
      <c r="N33" s="14">
        <f t="shared" si="0"/>
        <v>0.41</v>
      </c>
      <c r="O33" s="14">
        <f t="shared" si="1"/>
        <v>0.41000000000000003</v>
      </c>
      <c r="P33" s="14">
        <f t="shared" si="2"/>
        <v>0.41000000000000003</v>
      </c>
      <c r="Q33" s="14">
        <f t="shared" si="3"/>
        <v>0.40999999999999992</v>
      </c>
      <c r="R33" s="14">
        <f t="shared" si="4"/>
        <v>0.41</v>
      </c>
      <c r="S33" s="14">
        <f t="shared" si="5"/>
        <v>0.41</v>
      </c>
      <c r="T33" s="14">
        <f t="shared" si="6"/>
        <v>0.41</v>
      </c>
      <c r="U33" s="14">
        <f t="shared" si="7"/>
        <v>0.41</v>
      </c>
    </row>
    <row r="34" spans="1:21" x14ac:dyDescent="0.3">
      <c r="A34" t="s">
        <v>56</v>
      </c>
      <c r="B34" t="s">
        <v>144</v>
      </c>
      <c r="D34">
        <v>0</v>
      </c>
      <c r="E34">
        <v>1</v>
      </c>
      <c r="F34">
        <f>INDEX('IPM Load'!B:B,MATCH('Cost-of-Service Shares'!$A34,'IPM Load'!$A:$A,0))</f>
        <v>97</v>
      </c>
      <c r="G34">
        <f>INDEX('IPM Load'!C:C,MATCH('Cost-of-Service Shares'!$A34,'IPM Load'!$A:$A,0))</f>
        <v>100</v>
      </c>
      <c r="H34">
        <f>INDEX('IPM Load'!D:D,MATCH('Cost-of-Service Shares'!$A34,'IPM Load'!$A:$A,0))</f>
        <v>102</v>
      </c>
      <c r="I34">
        <f>INDEX('IPM Load'!E:E,MATCH('Cost-of-Service Shares'!$A34,'IPM Load'!$A:$A,0))</f>
        <v>107</v>
      </c>
      <c r="J34">
        <f>INDEX('IPM Load'!F:F,MATCH('Cost-of-Service Shares'!$A34,'IPM Load'!$A:$A,0))</f>
        <v>111</v>
      </c>
      <c r="K34">
        <f>INDEX('IPM Load'!G:G,MATCH('Cost-of-Service Shares'!$A34,'IPM Load'!$A:$A,0))</f>
        <v>116</v>
      </c>
      <c r="L34">
        <f>INDEX('IPM Load'!H:H,MATCH('Cost-of-Service Shares'!$A34,'IPM Load'!$A:$A,0))</f>
        <v>121</v>
      </c>
      <c r="M34">
        <f>INDEX('IPM Load'!I:I,MATCH('Cost-of-Service Shares'!$A34,'IPM Load'!$A:$A,0))</f>
        <v>126</v>
      </c>
      <c r="N34" s="14">
        <f t="shared" si="0"/>
        <v>1</v>
      </c>
      <c r="O34" s="14">
        <f t="shared" si="1"/>
        <v>1</v>
      </c>
      <c r="P34" s="14">
        <f t="shared" si="2"/>
        <v>1</v>
      </c>
      <c r="Q34" s="14">
        <f t="shared" si="3"/>
        <v>1</v>
      </c>
      <c r="R34" s="14">
        <f t="shared" si="4"/>
        <v>1</v>
      </c>
      <c r="S34" s="14">
        <f t="shared" si="5"/>
        <v>1</v>
      </c>
      <c r="T34" s="14">
        <f t="shared" si="6"/>
        <v>1</v>
      </c>
      <c r="U34" s="14">
        <f t="shared" si="7"/>
        <v>1</v>
      </c>
    </row>
    <row r="35" spans="1:21" x14ac:dyDescent="0.3">
      <c r="A35" t="s">
        <v>53</v>
      </c>
      <c r="B35" t="s">
        <v>141</v>
      </c>
      <c r="D35">
        <v>1</v>
      </c>
      <c r="E35">
        <v>0</v>
      </c>
      <c r="F35">
        <f>INDEX('IPM Load'!B:B,MATCH('Cost-of-Service Shares'!$A35,'IPM Load'!$A:$A,0))</f>
        <v>139</v>
      </c>
      <c r="G35">
        <f>INDEX('IPM Load'!C:C,MATCH('Cost-of-Service Shares'!$A35,'IPM Load'!$A:$A,0))</f>
        <v>140</v>
      </c>
      <c r="H35">
        <f>INDEX('IPM Load'!D:D,MATCH('Cost-of-Service Shares'!$A35,'IPM Load'!$A:$A,0))</f>
        <v>142</v>
      </c>
      <c r="I35">
        <f>INDEX('IPM Load'!E:E,MATCH('Cost-of-Service Shares'!$A35,'IPM Load'!$A:$A,0))</f>
        <v>143</v>
      </c>
      <c r="J35">
        <f>INDEX('IPM Load'!F:F,MATCH('Cost-of-Service Shares'!$A35,'IPM Load'!$A:$A,0))</f>
        <v>145</v>
      </c>
      <c r="K35">
        <f>INDEX('IPM Load'!G:G,MATCH('Cost-of-Service Shares'!$A35,'IPM Load'!$A:$A,0))</f>
        <v>148</v>
      </c>
      <c r="L35">
        <f>INDEX('IPM Load'!H:H,MATCH('Cost-of-Service Shares'!$A35,'IPM Load'!$A:$A,0))</f>
        <v>150</v>
      </c>
      <c r="M35">
        <f>INDEX('IPM Load'!I:I,MATCH('Cost-of-Service Shares'!$A35,'IPM Load'!$A:$A,0))</f>
        <v>154</v>
      </c>
      <c r="N35" s="14">
        <f t="shared" ref="N35:N68" si="24">$E35*F35/INDEX(Z$3:Z$27,MATCH($B35,$Y$3:$Y$27,0))</f>
        <v>0</v>
      </c>
      <c r="O35" s="14">
        <f t="shared" ref="O35:O68" si="25">$E35*G35/INDEX(AA$3:AA$27,MATCH($B35,$Y$3:$Y$27,0))</f>
        <v>0</v>
      </c>
      <c r="P35" s="14">
        <f t="shared" ref="P35:P68" si="26">$E35*H35/INDEX(AB$3:AB$27,MATCH($B35,$Y$3:$Y$27,0))</f>
        <v>0</v>
      </c>
      <c r="Q35" s="14">
        <f t="shared" ref="Q35:Q68" si="27">$E35*I35/INDEX(AC$3:AC$27,MATCH($B35,$Y$3:$Y$27,0))</f>
        <v>0</v>
      </c>
      <c r="R35" s="14">
        <f t="shared" ref="R35:R68" si="28">$E35*J35/INDEX(AD$3:AD$27,MATCH($B35,$Y$3:$Y$27,0))</f>
        <v>0</v>
      </c>
      <c r="S35" s="14">
        <f t="shared" ref="S35:S68" si="29">$E35*K35/INDEX(AE$3:AE$27,MATCH($B35,$Y$3:$Y$27,0))</f>
        <v>0</v>
      </c>
      <c r="T35" s="14">
        <f t="shared" ref="T35:T68" si="30">$E35*L35/INDEX(AF$3:AF$27,MATCH($B35,$Y$3:$Y$27,0))</f>
        <v>0</v>
      </c>
      <c r="U35" s="14">
        <f t="shared" ref="U35:U68" si="31">$E35*M35/INDEX(AG$3:AG$27,MATCH($B35,$Y$3:$Y$27,0))</f>
        <v>0</v>
      </c>
    </row>
    <row r="36" spans="1:21" x14ac:dyDescent="0.3">
      <c r="A36" t="s">
        <v>55</v>
      </c>
      <c r="B36" t="s">
        <v>141</v>
      </c>
      <c r="D36">
        <v>1</v>
      </c>
      <c r="E36">
        <v>0</v>
      </c>
      <c r="F36">
        <f>INDEX('IPM Load'!B:B,MATCH('Cost-of-Service Shares'!$A36,'IPM Load'!$A:$A,0))</f>
        <v>17</v>
      </c>
      <c r="G36">
        <f>INDEX('IPM Load'!C:C,MATCH('Cost-of-Service Shares'!$A36,'IPM Load'!$A:$A,0))</f>
        <v>17</v>
      </c>
      <c r="H36">
        <f>INDEX('IPM Load'!D:D,MATCH('Cost-of-Service Shares'!$A36,'IPM Load'!$A:$A,0))</f>
        <v>17</v>
      </c>
      <c r="I36">
        <f>INDEX('IPM Load'!E:E,MATCH('Cost-of-Service Shares'!$A36,'IPM Load'!$A:$A,0))</f>
        <v>17</v>
      </c>
      <c r="J36">
        <f>INDEX('IPM Load'!F:F,MATCH('Cost-of-Service Shares'!$A36,'IPM Load'!$A:$A,0))</f>
        <v>18</v>
      </c>
      <c r="K36">
        <f>INDEX('IPM Load'!G:G,MATCH('Cost-of-Service Shares'!$A36,'IPM Load'!$A:$A,0))</f>
        <v>18</v>
      </c>
      <c r="L36">
        <f>INDEX('IPM Load'!H:H,MATCH('Cost-of-Service Shares'!$A36,'IPM Load'!$A:$A,0))</f>
        <v>18</v>
      </c>
      <c r="M36">
        <f>INDEX('IPM Load'!I:I,MATCH('Cost-of-Service Shares'!$A36,'IPM Load'!$A:$A,0))</f>
        <v>19</v>
      </c>
      <c r="N36" s="14">
        <f t="shared" si="24"/>
        <v>0</v>
      </c>
      <c r="O36" s="14">
        <f t="shared" si="25"/>
        <v>0</v>
      </c>
      <c r="P36" s="14">
        <f t="shared" si="26"/>
        <v>0</v>
      </c>
      <c r="Q36" s="14">
        <f t="shared" si="27"/>
        <v>0</v>
      </c>
      <c r="R36" s="14">
        <f t="shared" si="28"/>
        <v>0</v>
      </c>
      <c r="S36" s="14">
        <f t="shared" si="29"/>
        <v>0</v>
      </c>
      <c r="T36" s="14">
        <f t="shared" si="30"/>
        <v>0</v>
      </c>
      <c r="U36" s="14">
        <f t="shared" si="31"/>
        <v>0</v>
      </c>
    </row>
    <row r="37" spans="1:21" x14ac:dyDescent="0.3">
      <c r="A37" t="s">
        <v>54</v>
      </c>
      <c r="B37" t="s">
        <v>141</v>
      </c>
      <c r="D37">
        <v>1</v>
      </c>
      <c r="E37">
        <v>0</v>
      </c>
      <c r="F37">
        <f>INDEX('IPM Load'!B:B,MATCH('Cost-of-Service Shares'!$A37,'IPM Load'!$A:$A,0))</f>
        <v>64</v>
      </c>
      <c r="G37">
        <f>INDEX('IPM Load'!C:C,MATCH('Cost-of-Service Shares'!$A37,'IPM Load'!$A:$A,0))</f>
        <v>64</v>
      </c>
      <c r="H37">
        <f>INDEX('IPM Load'!D:D,MATCH('Cost-of-Service Shares'!$A37,'IPM Load'!$A:$A,0))</f>
        <v>65</v>
      </c>
      <c r="I37">
        <f>INDEX('IPM Load'!E:E,MATCH('Cost-of-Service Shares'!$A37,'IPM Load'!$A:$A,0))</f>
        <v>65</v>
      </c>
      <c r="J37">
        <f>INDEX('IPM Load'!F:F,MATCH('Cost-of-Service Shares'!$A37,'IPM Load'!$A:$A,0))</f>
        <v>66</v>
      </c>
      <c r="K37">
        <f>INDEX('IPM Load'!G:G,MATCH('Cost-of-Service Shares'!$A37,'IPM Load'!$A:$A,0))</f>
        <v>68</v>
      </c>
      <c r="L37">
        <f>INDEX('IPM Load'!H:H,MATCH('Cost-of-Service Shares'!$A37,'IPM Load'!$A:$A,0))</f>
        <v>69</v>
      </c>
      <c r="M37">
        <f>INDEX('IPM Load'!I:I,MATCH('Cost-of-Service Shares'!$A37,'IPM Load'!$A:$A,0))</f>
        <v>71</v>
      </c>
      <c r="N37" s="14">
        <f t="shared" si="24"/>
        <v>0</v>
      </c>
      <c r="O37" s="14">
        <f t="shared" si="25"/>
        <v>0</v>
      </c>
      <c r="P37" s="14">
        <f t="shared" si="26"/>
        <v>0</v>
      </c>
      <c r="Q37" s="14">
        <f t="shared" si="27"/>
        <v>0</v>
      </c>
      <c r="R37" s="14">
        <f t="shared" si="28"/>
        <v>0</v>
      </c>
      <c r="S37" s="14">
        <f t="shared" si="29"/>
        <v>0</v>
      </c>
      <c r="T37" s="14">
        <f t="shared" si="30"/>
        <v>0</v>
      </c>
      <c r="U37" s="14">
        <f t="shared" si="31"/>
        <v>0</v>
      </c>
    </row>
    <row r="38" spans="1:21" x14ac:dyDescent="0.3">
      <c r="A38" t="s">
        <v>68</v>
      </c>
      <c r="B38" t="s">
        <v>142</v>
      </c>
      <c r="D38">
        <v>0.59</v>
      </c>
      <c r="E38">
        <v>0.41</v>
      </c>
      <c r="F38">
        <f>INDEX('IPM Load'!B:B,MATCH('Cost-of-Service Shares'!$A38,'IPM Load'!$A:$A,0))</f>
        <v>212</v>
      </c>
      <c r="G38">
        <f>INDEX('IPM Load'!C:C,MATCH('Cost-of-Service Shares'!$A38,'IPM Load'!$A:$A,0))</f>
        <v>217</v>
      </c>
      <c r="H38">
        <f>INDEX('IPM Load'!D:D,MATCH('Cost-of-Service Shares'!$A38,'IPM Load'!$A:$A,0))</f>
        <v>220</v>
      </c>
      <c r="I38">
        <f>INDEX('IPM Load'!E:E,MATCH('Cost-of-Service Shares'!$A38,'IPM Load'!$A:$A,0))</f>
        <v>225</v>
      </c>
      <c r="J38">
        <f>INDEX('IPM Load'!F:F,MATCH('Cost-of-Service Shares'!$A38,'IPM Load'!$A:$A,0))</f>
        <v>230</v>
      </c>
      <c r="K38">
        <f>INDEX('IPM Load'!G:G,MATCH('Cost-of-Service Shares'!$A38,'IPM Load'!$A:$A,0))</f>
        <v>237</v>
      </c>
      <c r="L38">
        <f>INDEX('IPM Load'!H:H,MATCH('Cost-of-Service Shares'!$A38,'IPM Load'!$A:$A,0))</f>
        <v>244</v>
      </c>
      <c r="M38">
        <f>INDEX('IPM Load'!I:I,MATCH('Cost-of-Service Shares'!$A38,'IPM Load'!$A:$A,0))</f>
        <v>253</v>
      </c>
      <c r="N38" s="14">
        <f t="shared" si="24"/>
        <v>0.2633939393939394</v>
      </c>
      <c r="O38" s="14">
        <f t="shared" si="25"/>
        <v>0.26400593471810091</v>
      </c>
      <c r="P38" s="14">
        <f t="shared" si="26"/>
        <v>0.26451612903225802</v>
      </c>
      <c r="Q38" s="14">
        <f t="shared" si="27"/>
        <v>0.26432664756446994</v>
      </c>
      <c r="R38" s="14">
        <f t="shared" si="28"/>
        <v>0.26488764044943819</v>
      </c>
      <c r="S38" s="14">
        <f t="shared" si="29"/>
        <v>0.26404891304347822</v>
      </c>
      <c r="T38" s="14">
        <f t="shared" si="30"/>
        <v>0.26465608465608464</v>
      </c>
      <c r="U38" s="14">
        <f t="shared" si="31"/>
        <v>0.26461734693877548</v>
      </c>
    </row>
    <row r="39" spans="1:21" x14ac:dyDescent="0.3">
      <c r="A39" t="s">
        <v>52</v>
      </c>
      <c r="B39" t="s">
        <v>141</v>
      </c>
      <c r="D39">
        <v>1</v>
      </c>
      <c r="E39">
        <v>0</v>
      </c>
      <c r="F39">
        <f>INDEX('IPM Load'!B:B,MATCH('Cost-of-Service Shares'!$A39,'IPM Load'!$A:$A,0))</f>
        <v>55</v>
      </c>
      <c r="G39">
        <f>INDEX('IPM Load'!C:C,MATCH('Cost-of-Service Shares'!$A39,'IPM Load'!$A:$A,0))</f>
        <v>56</v>
      </c>
      <c r="H39">
        <f>INDEX('IPM Load'!D:D,MATCH('Cost-of-Service Shares'!$A39,'IPM Load'!$A:$A,0))</f>
        <v>56</v>
      </c>
      <c r="I39">
        <f>INDEX('IPM Load'!E:E,MATCH('Cost-of-Service Shares'!$A39,'IPM Load'!$A:$A,0))</f>
        <v>57</v>
      </c>
      <c r="J39">
        <f>INDEX('IPM Load'!F:F,MATCH('Cost-of-Service Shares'!$A39,'IPM Load'!$A:$A,0))</f>
        <v>58</v>
      </c>
      <c r="K39">
        <f>INDEX('IPM Load'!G:G,MATCH('Cost-of-Service Shares'!$A39,'IPM Load'!$A:$A,0))</f>
        <v>59</v>
      </c>
      <c r="L39">
        <f>INDEX('IPM Load'!H:H,MATCH('Cost-of-Service Shares'!$A39,'IPM Load'!$A:$A,0))</f>
        <v>60</v>
      </c>
      <c r="M39">
        <f>INDEX('IPM Load'!I:I,MATCH('Cost-of-Service Shares'!$A39,'IPM Load'!$A:$A,0))</f>
        <v>62</v>
      </c>
      <c r="N39" s="14">
        <f t="shared" si="24"/>
        <v>0</v>
      </c>
      <c r="O39" s="14">
        <f t="shared" si="25"/>
        <v>0</v>
      </c>
      <c r="P39" s="14">
        <f t="shared" si="26"/>
        <v>0</v>
      </c>
      <c r="Q39" s="14">
        <f t="shared" si="27"/>
        <v>0</v>
      </c>
      <c r="R39" s="14">
        <f t="shared" si="28"/>
        <v>0</v>
      </c>
      <c r="S39" s="14">
        <f t="shared" si="29"/>
        <v>0</v>
      </c>
      <c r="T39" s="14">
        <f t="shared" si="30"/>
        <v>0</v>
      </c>
      <c r="U39" s="14">
        <f t="shared" si="31"/>
        <v>0</v>
      </c>
    </row>
    <row r="40" spans="1:21" x14ac:dyDescent="0.3">
      <c r="A40" t="s">
        <v>58</v>
      </c>
      <c r="B40" t="s">
        <v>59</v>
      </c>
      <c r="D40">
        <v>0</v>
      </c>
      <c r="E40">
        <v>1</v>
      </c>
      <c r="F40">
        <f>INDEX('IPM Load'!B:B,MATCH('Cost-of-Service Shares'!$A40,'IPM Load'!$A:$A,0))</f>
        <v>32</v>
      </c>
      <c r="G40">
        <f>INDEX('IPM Load'!C:C,MATCH('Cost-of-Service Shares'!$A40,'IPM Load'!$A:$A,0))</f>
        <v>33</v>
      </c>
      <c r="H40">
        <f>INDEX('IPM Load'!D:D,MATCH('Cost-of-Service Shares'!$A40,'IPM Load'!$A:$A,0))</f>
        <v>34</v>
      </c>
      <c r="I40">
        <f>INDEX('IPM Load'!E:E,MATCH('Cost-of-Service Shares'!$A40,'IPM Load'!$A:$A,0))</f>
        <v>35</v>
      </c>
      <c r="J40">
        <f>INDEX('IPM Load'!F:F,MATCH('Cost-of-Service Shares'!$A40,'IPM Load'!$A:$A,0))</f>
        <v>36</v>
      </c>
      <c r="K40">
        <f>INDEX('IPM Load'!G:G,MATCH('Cost-of-Service Shares'!$A40,'IPM Load'!$A:$A,0))</f>
        <v>38</v>
      </c>
      <c r="L40">
        <f>INDEX('IPM Load'!H:H,MATCH('Cost-of-Service Shares'!$A40,'IPM Load'!$A:$A,0))</f>
        <v>39</v>
      </c>
      <c r="M40">
        <f>INDEX('IPM Load'!I:I,MATCH('Cost-of-Service Shares'!$A40,'IPM Load'!$A:$A,0))</f>
        <v>40</v>
      </c>
      <c r="N40" s="14">
        <f t="shared" si="24"/>
        <v>0.15165876777251186</v>
      </c>
      <c r="O40" s="14">
        <f t="shared" si="25"/>
        <v>0.15207373271889402</v>
      </c>
      <c r="P40" s="14">
        <f t="shared" si="26"/>
        <v>0.15315315315315314</v>
      </c>
      <c r="Q40" s="14">
        <f t="shared" si="27"/>
        <v>0.15283842794759825</v>
      </c>
      <c r="R40" s="14">
        <f t="shared" si="28"/>
        <v>0.15254237288135594</v>
      </c>
      <c r="S40" s="14">
        <f t="shared" si="29"/>
        <v>0.15510204081632653</v>
      </c>
      <c r="T40" s="14">
        <f t="shared" si="30"/>
        <v>0.1541501976284585</v>
      </c>
      <c r="U40" s="14">
        <f t="shared" si="31"/>
        <v>0.15267175572519084</v>
      </c>
    </row>
    <row r="41" spans="1:21" x14ac:dyDescent="0.3">
      <c r="A41" t="s">
        <v>61</v>
      </c>
      <c r="B41" t="s">
        <v>59</v>
      </c>
      <c r="D41">
        <v>0</v>
      </c>
      <c r="E41">
        <v>1</v>
      </c>
      <c r="F41">
        <f>INDEX('IPM Load'!B:B,MATCH('Cost-of-Service Shares'!$A41,'IPM Load'!$A:$A,0))</f>
        <v>179</v>
      </c>
      <c r="G41">
        <f>INDEX('IPM Load'!C:C,MATCH('Cost-of-Service Shares'!$A41,'IPM Load'!$A:$A,0))</f>
        <v>184</v>
      </c>
      <c r="H41">
        <f>INDEX('IPM Load'!D:D,MATCH('Cost-of-Service Shares'!$A41,'IPM Load'!$A:$A,0))</f>
        <v>188</v>
      </c>
      <c r="I41">
        <f>INDEX('IPM Load'!E:E,MATCH('Cost-of-Service Shares'!$A41,'IPM Load'!$A:$A,0))</f>
        <v>194</v>
      </c>
      <c r="J41">
        <f>INDEX('IPM Load'!F:F,MATCH('Cost-of-Service Shares'!$A41,'IPM Load'!$A:$A,0))</f>
        <v>200</v>
      </c>
      <c r="K41">
        <f>INDEX('IPM Load'!G:G,MATCH('Cost-of-Service Shares'!$A41,'IPM Load'!$A:$A,0))</f>
        <v>207</v>
      </c>
      <c r="L41">
        <f>INDEX('IPM Load'!H:H,MATCH('Cost-of-Service Shares'!$A41,'IPM Load'!$A:$A,0))</f>
        <v>214</v>
      </c>
      <c r="M41">
        <f>INDEX('IPM Load'!I:I,MATCH('Cost-of-Service Shares'!$A41,'IPM Load'!$A:$A,0))</f>
        <v>222</v>
      </c>
      <c r="N41" s="14">
        <f t="shared" si="24"/>
        <v>0.84834123222748814</v>
      </c>
      <c r="O41" s="14">
        <f t="shared" si="25"/>
        <v>0.84792626728110598</v>
      </c>
      <c r="P41" s="14">
        <f t="shared" si="26"/>
        <v>0.84684684684684686</v>
      </c>
      <c r="Q41" s="14">
        <f t="shared" si="27"/>
        <v>0.84716157205240172</v>
      </c>
      <c r="R41" s="14">
        <f t="shared" si="28"/>
        <v>0.84745762711864403</v>
      </c>
      <c r="S41" s="14">
        <f t="shared" si="29"/>
        <v>0.8448979591836735</v>
      </c>
      <c r="T41" s="14">
        <f t="shared" si="30"/>
        <v>0.8458498023715415</v>
      </c>
      <c r="U41" s="14">
        <f t="shared" si="31"/>
        <v>0.84732824427480913</v>
      </c>
    </row>
    <row r="42" spans="1:21" x14ac:dyDescent="0.3">
      <c r="A42" s="13" t="s">
        <v>60</v>
      </c>
      <c r="B42" s="13" t="s">
        <v>137</v>
      </c>
      <c r="C42" s="13"/>
      <c r="D42" s="13">
        <v>0</v>
      </c>
      <c r="E42" s="13">
        <v>1</v>
      </c>
      <c r="F42" s="12">
        <f>F$72*('NEMS Net Load'!$C$5/('NEMS Net Load'!$C$5+'NEMS Net Load'!$C$18))</f>
        <v>10.429938614862426</v>
      </c>
      <c r="G42" s="12">
        <f>G$72*('NEMS Net Load'!$C$5/('NEMS Net Load'!$C$5+'NEMS Net Load'!$C$18))</f>
        <v>11.009379649021451</v>
      </c>
      <c r="H42" s="12">
        <f>H$72*('NEMS Net Load'!$C$5/('NEMS Net Load'!$C$5+'NEMS Net Load'!$C$18))</f>
        <v>11.009379649021451</v>
      </c>
      <c r="I42" s="12">
        <f>I$72*('NEMS Net Load'!$C$5/('NEMS Net Load'!$C$5+'NEMS Net Load'!$C$18))</f>
        <v>11.009379649021451</v>
      </c>
      <c r="J42" s="12">
        <f>J$72*('NEMS Net Load'!$C$5/('NEMS Net Load'!$C$5+'NEMS Net Load'!$C$18))</f>
        <v>11.588820683180474</v>
      </c>
      <c r="K42" s="12">
        <f>K$72*('NEMS Net Load'!$C$5/('NEMS Net Load'!$C$5+'NEMS Net Load'!$C$18))</f>
        <v>12.168261717339497</v>
      </c>
      <c r="L42" s="12">
        <f>L$72*('NEMS Net Load'!$C$5/('NEMS Net Load'!$C$5+'NEMS Net Load'!$C$18))</f>
        <v>12.168261717339497</v>
      </c>
      <c r="M42" s="12">
        <f>M$72*('NEMS Net Load'!$C$5/('NEMS Net Load'!$C$5+'NEMS Net Load'!$C$18))</f>
        <v>12.747702751498522</v>
      </c>
      <c r="N42" s="11">
        <f t="shared" si="24"/>
        <v>5.3097499741687884E-2</v>
      </c>
      <c r="O42" s="11">
        <f t="shared" si="25"/>
        <v>5.5044316763247933E-2</v>
      </c>
      <c r="P42" s="11">
        <f t="shared" si="26"/>
        <v>5.4499348832957921E-2</v>
      </c>
      <c r="Q42" s="11">
        <f t="shared" si="27"/>
        <v>5.292732312166791E-2</v>
      </c>
      <c r="R42" s="11">
        <f t="shared" si="28"/>
        <v>5.4512841484036484E-2</v>
      </c>
      <c r="S42" s="11">
        <f t="shared" si="29"/>
        <v>5.5268010122919445E-2</v>
      </c>
      <c r="T42" s="11">
        <f t="shared" si="30"/>
        <v>5.3564972612592333E-2</v>
      </c>
      <c r="U42" s="11">
        <f t="shared" si="31"/>
        <v>5.4073497229094381E-2</v>
      </c>
    </row>
    <row r="43" spans="1:21" x14ac:dyDescent="0.3">
      <c r="A43" s="13" t="s">
        <v>60</v>
      </c>
      <c r="B43" s="13" t="s">
        <v>133</v>
      </c>
      <c r="C43" s="13"/>
      <c r="D43" s="13">
        <v>0</v>
      </c>
      <c r="E43" s="13">
        <v>1</v>
      </c>
      <c r="F43" s="12">
        <f>F$72*('NEMS Net Load'!$C$18/('NEMS Net Load'!$C$5+'NEMS Net Load'!$C$18))</f>
        <v>7.5700613851375751</v>
      </c>
      <c r="G43" s="12">
        <f>G$72*('NEMS Net Load'!$C$18/('NEMS Net Load'!$C$5+'NEMS Net Load'!$C$18))</f>
        <v>7.9906203509785518</v>
      </c>
      <c r="H43" s="12">
        <f>H$72*('NEMS Net Load'!$C$18/('NEMS Net Load'!$C$5+'NEMS Net Load'!$C$18))</f>
        <v>7.9906203509785518</v>
      </c>
      <c r="I43" s="12">
        <f>I$72*('NEMS Net Load'!$C$18/('NEMS Net Load'!$C$5+'NEMS Net Load'!$C$18))</f>
        <v>7.9906203509785518</v>
      </c>
      <c r="J43" s="12">
        <f>J$72*('NEMS Net Load'!$C$18/('NEMS Net Load'!$C$5+'NEMS Net Load'!$C$18))</f>
        <v>8.4111793168195277</v>
      </c>
      <c r="K43" s="12">
        <f>K$72*('NEMS Net Load'!$C$18/('NEMS Net Load'!$C$5+'NEMS Net Load'!$C$18))</f>
        <v>8.8317382826605044</v>
      </c>
      <c r="L43" s="12">
        <f>L$72*('NEMS Net Load'!$C$18/('NEMS Net Load'!$C$5+'NEMS Net Load'!$C$18))</f>
        <v>8.8317382826605044</v>
      </c>
      <c r="M43" s="12">
        <f>M$72*('NEMS Net Load'!$C$18/('NEMS Net Load'!$C$5+'NEMS Net Load'!$C$18))</f>
        <v>9.2522972485014812</v>
      </c>
      <c r="N43" s="11">
        <f t="shared" si="24"/>
        <v>4.4907508029210508E-2</v>
      </c>
      <c r="O43" s="11">
        <f t="shared" si="25"/>
        <v>4.5925581131095787E-2</v>
      </c>
      <c r="P43" s="11">
        <f t="shared" si="26"/>
        <v>4.464267644477643E-2</v>
      </c>
      <c r="Q43" s="11">
        <f t="shared" si="27"/>
        <v>4.2962490989597424E-2</v>
      </c>
      <c r="R43" s="11">
        <f t="shared" si="28"/>
        <v>4.3488589162891632E-2</v>
      </c>
      <c r="S43" s="11">
        <f t="shared" si="29"/>
        <v>4.3328572660324513E-2</v>
      </c>
      <c r="T43" s="11">
        <f t="shared" si="30"/>
        <v>4.1496340507876359E-2</v>
      </c>
      <c r="U43" s="11">
        <f t="shared" si="31"/>
        <v>4.200772189023981E-2</v>
      </c>
    </row>
    <row r="44" spans="1:21" x14ac:dyDescent="0.3">
      <c r="A44" t="s">
        <v>62</v>
      </c>
      <c r="B44" t="s">
        <v>63</v>
      </c>
      <c r="D44">
        <v>0</v>
      </c>
      <c r="E44">
        <v>1</v>
      </c>
      <c r="F44">
        <f>INDEX('IPM Load'!B:B,MATCH('Cost-of-Service Shares'!$A44,'IPM Load'!$A:$A,0))</f>
        <v>250</v>
      </c>
      <c r="G44">
        <f>INDEX('IPM Load'!C:C,MATCH('Cost-of-Service Shares'!$A44,'IPM Load'!$A:$A,0))</f>
        <v>258</v>
      </c>
      <c r="H44">
        <f>INDEX('IPM Load'!D:D,MATCH('Cost-of-Service Shares'!$A44,'IPM Load'!$A:$A,0))</f>
        <v>263</v>
      </c>
      <c r="I44">
        <f>INDEX('IPM Load'!E:E,MATCH('Cost-of-Service Shares'!$A44,'IPM Load'!$A:$A,0))</f>
        <v>274</v>
      </c>
      <c r="J44">
        <f>INDEX('IPM Load'!F:F,MATCH('Cost-of-Service Shares'!$A44,'IPM Load'!$A:$A,0))</f>
        <v>283</v>
      </c>
      <c r="K44">
        <f>INDEX('IPM Load'!G:G,MATCH('Cost-of-Service Shares'!$A44,'IPM Load'!$A:$A,0))</f>
        <v>295</v>
      </c>
      <c r="L44">
        <f>INDEX('IPM Load'!H:H,MATCH('Cost-of-Service Shares'!$A44,'IPM Load'!$A:$A,0))</f>
        <v>306</v>
      </c>
      <c r="M44">
        <f>INDEX('IPM Load'!I:I,MATCH('Cost-of-Service Shares'!$A44,'IPM Load'!$A:$A,0))</f>
        <v>318</v>
      </c>
      <c r="N44" s="14">
        <f t="shared" si="24"/>
        <v>1</v>
      </c>
      <c r="O44" s="14">
        <f t="shared" si="25"/>
        <v>1</v>
      </c>
      <c r="P44" s="14">
        <f t="shared" si="26"/>
        <v>1</v>
      </c>
      <c r="Q44" s="14">
        <f t="shared" si="27"/>
        <v>1</v>
      </c>
      <c r="R44" s="14">
        <f t="shared" si="28"/>
        <v>1</v>
      </c>
      <c r="S44" s="14">
        <f t="shared" si="29"/>
        <v>1</v>
      </c>
      <c r="T44" s="14">
        <f t="shared" si="30"/>
        <v>1</v>
      </c>
      <c r="U44" s="14">
        <f t="shared" si="31"/>
        <v>1</v>
      </c>
    </row>
    <row r="45" spans="1:21" x14ac:dyDescent="0.3">
      <c r="A45" t="s">
        <v>57</v>
      </c>
      <c r="B45" t="s">
        <v>145</v>
      </c>
      <c r="D45">
        <v>0</v>
      </c>
      <c r="E45">
        <v>1</v>
      </c>
      <c r="F45">
        <f>INDEX('IPM Load'!B:B,MATCH('Cost-of-Service Shares'!$A45,'IPM Load'!$A:$A,0))</f>
        <v>225</v>
      </c>
      <c r="G45">
        <f>INDEX('IPM Load'!C:C,MATCH('Cost-of-Service Shares'!$A45,'IPM Load'!$A:$A,0))</f>
        <v>231</v>
      </c>
      <c r="H45">
        <f>INDEX('IPM Load'!D:D,MATCH('Cost-of-Service Shares'!$A45,'IPM Load'!$A:$A,0))</f>
        <v>236</v>
      </c>
      <c r="I45">
        <f>INDEX('IPM Load'!E:E,MATCH('Cost-of-Service Shares'!$A45,'IPM Load'!$A:$A,0))</f>
        <v>247</v>
      </c>
      <c r="J45">
        <f>INDEX('IPM Load'!F:F,MATCH('Cost-of-Service Shares'!$A45,'IPM Load'!$A:$A,0))</f>
        <v>256</v>
      </c>
      <c r="K45">
        <f>INDEX('IPM Load'!G:G,MATCH('Cost-of-Service Shares'!$A45,'IPM Load'!$A:$A,0))</f>
        <v>268</v>
      </c>
      <c r="L45">
        <f>INDEX('IPM Load'!H:H,MATCH('Cost-of-Service Shares'!$A45,'IPM Load'!$A:$A,0))</f>
        <v>279</v>
      </c>
      <c r="M45">
        <f>INDEX('IPM Load'!I:I,MATCH('Cost-of-Service Shares'!$A45,'IPM Load'!$A:$A,0))</f>
        <v>292</v>
      </c>
      <c r="N45" s="14">
        <f t="shared" si="24"/>
        <v>1</v>
      </c>
      <c r="O45" s="14">
        <f t="shared" si="25"/>
        <v>1</v>
      </c>
      <c r="P45" s="14">
        <f t="shared" si="26"/>
        <v>1</v>
      </c>
      <c r="Q45" s="14">
        <f t="shared" si="27"/>
        <v>1</v>
      </c>
      <c r="R45" s="14">
        <f t="shared" si="28"/>
        <v>1</v>
      </c>
      <c r="S45" s="14">
        <f t="shared" si="29"/>
        <v>1</v>
      </c>
      <c r="T45" s="14">
        <f t="shared" si="30"/>
        <v>1</v>
      </c>
      <c r="U45" s="14">
        <f t="shared" si="31"/>
        <v>1</v>
      </c>
    </row>
    <row r="46" spans="1:21" x14ac:dyDescent="0.3">
      <c r="A46" t="s">
        <v>64</v>
      </c>
      <c r="B46" t="s">
        <v>134</v>
      </c>
      <c r="D46">
        <v>0</v>
      </c>
      <c r="E46">
        <v>1</v>
      </c>
      <c r="F46">
        <f>INDEX('IPM Load'!B:B,MATCH('Cost-of-Service Shares'!$A46,'IPM Load'!$A:$A,0))</f>
        <v>71</v>
      </c>
      <c r="G46">
        <f>INDEX('IPM Load'!C:C,MATCH('Cost-of-Service Shares'!$A46,'IPM Load'!$A:$A,0))</f>
        <v>72</v>
      </c>
      <c r="H46">
        <f>INDEX('IPM Load'!D:D,MATCH('Cost-of-Service Shares'!$A46,'IPM Load'!$A:$A,0))</f>
        <v>74</v>
      </c>
      <c r="I46">
        <f>INDEX('IPM Load'!E:E,MATCH('Cost-of-Service Shares'!$A46,'IPM Load'!$A:$A,0))</f>
        <v>76</v>
      </c>
      <c r="J46">
        <f>INDEX('IPM Load'!F:F,MATCH('Cost-of-Service Shares'!$A46,'IPM Load'!$A:$A,0))</f>
        <v>79</v>
      </c>
      <c r="K46">
        <f>INDEX('IPM Load'!G:G,MATCH('Cost-of-Service Shares'!$A46,'IPM Load'!$A:$A,0))</f>
        <v>82</v>
      </c>
      <c r="L46">
        <f>INDEX('IPM Load'!H:H,MATCH('Cost-of-Service Shares'!$A46,'IPM Load'!$A:$A,0))</f>
        <v>85</v>
      </c>
      <c r="M46">
        <f>INDEX('IPM Load'!I:I,MATCH('Cost-of-Service Shares'!$A46,'IPM Load'!$A:$A,0))</f>
        <v>88</v>
      </c>
      <c r="N46" s="14">
        <f t="shared" si="24"/>
        <v>1</v>
      </c>
      <c r="O46" s="14">
        <f t="shared" si="25"/>
        <v>1</v>
      </c>
      <c r="P46" s="14">
        <f t="shared" si="26"/>
        <v>1</v>
      </c>
      <c r="Q46" s="14">
        <f t="shared" si="27"/>
        <v>1</v>
      </c>
      <c r="R46" s="14">
        <f t="shared" si="28"/>
        <v>1</v>
      </c>
      <c r="S46" s="14">
        <f t="shared" si="29"/>
        <v>1</v>
      </c>
      <c r="T46" s="14">
        <f t="shared" si="30"/>
        <v>1</v>
      </c>
      <c r="U46" s="14">
        <f t="shared" si="31"/>
        <v>1</v>
      </c>
    </row>
    <row r="47" spans="1:21" x14ac:dyDescent="0.3">
      <c r="A47" t="s">
        <v>72</v>
      </c>
      <c r="B47" t="s">
        <v>135</v>
      </c>
      <c r="D47">
        <v>0.01</v>
      </c>
      <c r="E47">
        <v>0.99</v>
      </c>
      <c r="F47">
        <f>INDEX('IPM Load'!B:B,MATCH('Cost-of-Service Shares'!$A47,'IPM Load'!$A:$A,0))</f>
        <v>34</v>
      </c>
      <c r="G47">
        <f>INDEX('IPM Load'!C:C,MATCH('Cost-of-Service Shares'!$A47,'IPM Load'!$A:$A,0))</f>
        <v>34</v>
      </c>
      <c r="H47">
        <f>INDEX('IPM Load'!D:D,MATCH('Cost-of-Service Shares'!$A47,'IPM Load'!$A:$A,0))</f>
        <v>35</v>
      </c>
      <c r="I47">
        <f>INDEX('IPM Load'!E:E,MATCH('Cost-of-Service Shares'!$A47,'IPM Load'!$A:$A,0))</f>
        <v>36</v>
      </c>
      <c r="J47">
        <f>INDEX('IPM Load'!F:F,MATCH('Cost-of-Service Shares'!$A47,'IPM Load'!$A:$A,0))</f>
        <v>37</v>
      </c>
      <c r="K47">
        <f>INDEX('IPM Load'!G:G,MATCH('Cost-of-Service Shares'!$A47,'IPM Load'!$A:$A,0))</f>
        <v>38</v>
      </c>
      <c r="L47">
        <f>INDEX('IPM Load'!H:H,MATCH('Cost-of-Service Shares'!$A47,'IPM Load'!$A:$A,0))</f>
        <v>40</v>
      </c>
      <c r="M47">
        <f>INDEX('IPM Load'!I:I,MATCH('Cost-of-Service Shares'!$A47,'IPM Load'!$A:$A,0))</f>
        <v>41</v>
      </c>
      <c r="N47" s="14">
        <f t="shared" si="24"/>
        <v>0.57310266461693649</v>
      </c>
      <c r="O47" s="14">
        <f t="shared" si="25"/>
        <v>0.57099673646209381</v>
      </c>
      <c r="P47" s="14">
        <f t="shared" si="26"/>
        <v>0.56850297767581137</v>
      </c>
      <c r="Q47" s="14">
        <f t="shared" si="27"/>
        <v>0.56616767967804815</v>
      </c>
      <c r="R47" s="14">
        <f t="shared" si="28"/>
        <v>0.5727952842202414</v>
      </c>
      <c r="S47" s="14">
        <f t="shared" si="29"/>
        <v>0.56856853936053597</v>
      </c>
      <c r="T47" s="14">
        <f t="shared" si="30"/>
        <v>0.57253427001001833</v>
      </c>
      <c r="U47" s="14">
        <f t="shared" si="31"/>
        <v>0.57035530562136616</v>
      </c>
    </row>
    <row r="48" spans="1:21" x14ac:dyDescent="0.3">
      <c r="A48" t="s">
        <v>66</v>
      </c>
      <c r="B48" t="s">
        <v>133</v>
      </c>
      <c r="D48">
        <v>0</v>
      </c>
      <c r="E48">
        <v>1</v>
      </c>
      <c r="F48">
        <f>INDEX('IPM Load'!B:B,MATCH('Cost-of-Service Shares'!$A48,'IPM Load'!$A:$A,0))</f>
        <v>30</v>
      </c>
      <c r="G48">
        <f>INDEX('IPM Load'!C:C,MATCH('Cost-of-Service Shares'!$A48,'IPM Load'!$A:$A,0))</f>
        <v>31</v>
      </c>
      <c r="H48">
        <f>INDEX('IPM Load'!D:D,MATCH('Cost-of-Service Shares'!$A48,'IPM Load'!$A:$A,0))</f>
        <v>32</v>
      </c>
      <c r="I48">
        <f>INDEX('IPM Load'!E:E,MATCH('Cost-of-Service Shares'!$A48,'IPM Load'!$A:$A,0))</f>
        <v>33</v>
      </c>
      <c r="J48">
        <f>INDEX('IPM Load'!F:F,MATCH('Cost-of-Service Shares'!$A48,'IPM Load'!$A:$A,0))</f>
        <v>34</v>
      </c>
      <c r="K48">
        <f>INDEX('IPM Load'!G:G,MATCH('Cost-of-Service Shares'!$A48,'IPM Load'!$A:$A,0))</f>
        <v>36</v>
      </c>
      <c r="L48">
        <f>INDEX('IPM Load'!H:H,MATCH('Cost-of-Service Shares'!$A48,'IPM Load'!$A:$A,0))</f>
        <v>38</v>
      </c>
      <c r="M48">
        <f>INDEX('IPM Load'!I:I,MATCH('Cost-of-Service Shares'!$A48,'IPM Load'!$A:$A,0))</f>
        <v>39</v>
      </c>
      <c r="N48" s="14">
        <f t="shared" si="24"/>
        <v>0.17796754508772472</v>
      </c>
      <c r="O48" s="14">
        <f t="shared" si="25"/>
        <v>0.17817052400563874</v>
      </c>
      <c r="P48" s="14">
        <f t="shared" si="26"/>
        <v>0.17878031785828744</v>
      </c>
      <c r="Q48" s="14">
        <f t="shared" si="27"/>
        <v>0.17742830223226563</v>
      </c>
      <c r="R48" s="14">
        <f t="shared" si="28"/>
        <v>0.1757912863160091</v>
      </c>
      <c r="S48" s="14">
        <f t="shared" si="29"/>
        <v>0.17661626350886317</v>
      </c>
      <c r="T48" s="14">
        <f t="shared" si="30"/>
        <v>0.1785447993171603</v>
      </c>
      <c r="U48" s="14">
        <f t="shared" si="31"/>
        <v>0.17706966277858127</v>
      </c>
    </row>
    <row r="49" spans="1:21" x14ac:dyDescent="0.3">
      <c r="A49" t="s">
        <v>73</v>
      </c>
      <c r="B49" t="s">
        <v>135</v>
      </c>
      <c r="D49">
        <v>0.01</v>
      </c>
      <c r="E49">
        <v>0.99</v>
      </c>
      <c r="F49">
        <f>INDEX('IPM Load'!B:B,MATCH('Cost-of-Service Shares'!$A49,'IPM Load'!$A:$A,0))</f>
        <v>23</v>
      </c>
      <c r="G49">
        <f>INDEX('IPM Load'!C:C,MATCH('Cost-of-Service Shares'!$A49,'IPM Load'!$A:$A,0))</f>
        <v>23</v>
      </c>
      <c r="H49">
        <f>INDEX('IPM Load'!D:D,MATCH('Cost-of-Service Shares'!$A49,'IPM Load'!$A:$A,0))</f>
        <v>24</v>
      </c>
      <c r="I49">
        <f>INDEX('IPM Load'!E:E,MATCH('Cost-of-Service Shares'!$A49,'IPM Load'!$A:$A,0))</f>
        <v>25</v>
      </c>
      <c r="J49">
        <f>INDEX('IPM Load'!F:F,MATCH('Cost-of-Service Shares'!$A49,'IPM Load'!$A:$A,0))</f>
        <v>25</v>
      </c>
      <c r="K49">
        <f>INDEX('IPM Load'!G:G,MATCH('Cost-of-Service Shares'!$A49,'IPM Load'!$A:$A,0))</f>
        <v>26</v>
      </c>
      <c r="L49">
        <f>INDEX('IPM Load'!H:H,MATCH('Cost-of-Service Shares'!$A49,'IPM Load'!$A:$A,0))</f>
        <v>27</v>
      </c>
      <c r="M49">
        <f>INDEX('IPM Load'!I:I,MATCH('Cost-of-Service Shares'!$A49,'IPM Load'!$A:$A,0))</f>
        <v>28</v>
      </c>
      <c r="N49" s="14">
        <f t="shared" si="24"/>
        <v>0.38768709665263357</v>
      </c>
      <c r="O49" s="14">
        <f t="shared" si="25"/>
        <v>0.38626249819494585</v>
      </c>
      <c r="P49" s="14">
        <f t="shared" si="26"/>
        <v>0.38983061326341351</v>
      </c>
      <c r="Q49" s="14">
        <f t="shared" si="27"/>
        <v>0.39317199977642231</v>
      </c>
      <c r="R49" s="14">
        <f t="shared" si="28"/>
        <v>0.38702384068935225</v>
      </c>
      <c r="S49" s="14">
        <f t="shared" si="29"/>
        <v>0.38902057956247199</v>
      </c>
      <c r="T49" s="14">
        <f t="shared" si="30"/>
        <v>0.38646063225676236</v>
      </c>
      <c r="U49" s="14">
        <f t="shared" si="31"/>
        <v>0.38951094042434764</v>
      </c>
    </row>
    <row r="50" spans="1:21" x14ac:dyDescent="0.3">
      <c r="A50" t="s">
        <v>65</v>
      </c>
      <c r="B50" t="s">
        <v>133</v>
      </c>
      <c r="D50">
        <v>0</v>
      </c>
      <c r="E50">
        <v>1</v>
      </c>
      <c r="F50">
        <f>INDEX('IPM Load'!B:B,MATCH('Cost-of-Service Shares'!$A50,'IPM Load'!$A:$A,0))</f>
        <v>131</v>
      </c>
      <c r="G50">
        <f>INDEX('IPM Load'!C:C,MATCH('Cost-of-Service Shares'!$A50,'IPM Load'!$A:$A,0))</f>
        <v>135</v>
      </c>
      <c r="H50">
        <f>INDEX('IPM Load'!D:D,MATCH('Cost-of-Service Shares'!$A50,'IPM Load'!$A:$A,0))</f>
        <v>139</v>
      </c>
      <c r="I50">
        <f>INDEX('IPM Load'!E:E,MATCH('Cost-of-Service Shares'!$A50,'IPM Load'!$A:$A,0))</f>
        <v>145</v>
      </c>
      <c r="J50">
        <f>INDEX('IPM Load'!F:F,MATCH('Cost-of-Service Shares'!$A50,'IPM Load'!$A:$A,0))</f>
        <v>151</v>
      </c>
      <c r="K50">
        <f>INDEX('IPM Load'!G:G,MATCH('Cost-of-Service Shares'!$A50,'IPM Load'!$A:$A,0))</f>
        <v>159</v>
      </c>
      <c r="L50">
        <f>INDEX('IPM Load'!H:H,MATCH('Cost-of-Service Shares'!$A50,'IPM Load'!$A:$A,0))</f>
        <v>166</v>
      </c>
      <c r="M50">
        <f>INDEX('IPM Load'!I:I,MATCH('Cost-of-Service Shares'!$A50,'IPM Load'!$A:$A,0))</f>
        <v>172</v>
      </c>
      <c r="N50" s="14">
        <f t="shared" si="24"/>
        <v>0.77712494688306466</v>
      </c>
      <c r="O50" s="14">
        <f t="shared" si="25"/>
        <v>0.77590389486326539</v>
      </c>
      <c r="P50" s="14">
        <f t="shared" si="26"/>
        <v>0.77657700569693611</v>
      </c>
      <c r="Q50" s="14">
        <f t="shared" si="27"/>
        <v>0.77960920677813694</v>
      </c>
      <c r="R50" s="14">
        <f t="shared" si="28"/>
        <v>0.78072012452109929</v>
      </c>
      <c r="S50" s="14">
        <f t="shared" si="29"/>
        <v>0.7800551638308123</v>
      </c>
      <c r="T50" s="14">
        <f t="shared" si="30"/>
        <v>0.77995886017496341</v>
      </c>
      <c r="U50" s="14">
        <f t="shared" si="31"/>
        <v>0.78092261533117902</v>
      </c>
    </row>
    <row r="51" spans="1:21" x14ac:dyDescent="0.3">
      <c r="A51" t="s">
        <v>80</v>
      </c>
      <c r="B51" t="s">
        <v>146</v>
      </c>
      <c r="D51">
        <v>0.1</v>
      </c>
      <c r="E51">
        <v>0.9</v>
      </c>
      <c r="F51">
        <f>INDEX('IPM Load'!B:B,MATCH('Cost-of-Service Shares'!$A51,'IPM Load'!$A:$A,0))</f>
        <v>14</v>
      </c>
      <c r="G51">
        <f>INDEX('IPM Load'!C:C,MATCH('Cost-of-Service Shares'!$A51,'IPM Load'!$A:$A,0))</f>
        <v>14</v>
      </c>
      <c r="H51">
        <f>INDEX('IPM Load'!D:D,MATCH('Cost-of-Service Shares'!$A51,'IPM Load'!$A:$A,0))</f>
        <v>14</v>
      </c>
      <c r="I51">
        <f>INDEX('IPM Load'!E:E,MATCH('Cost-of-Service Shares'!$A51,'IPM Load'!$A:$A,0))</f>
        <v>14</v>
      </c>
      <c r="J51">
        <f>INDEX('IPM Load'!F:F,MATCH('Cost-of-Service Shares'!$A51,'IPM Load'!$A:$A,0))</f>
        <v>14</v>
      </c>
      <c r="K51">
        <f>INDEX('IPM Load'!G:G,MATCH('Cost-of-Service Shares'!$A51,'IPM Load'!$A:$A,0))</f>
        <v>15</v>
      </c>
      <c r="L51">
        <f>INDEX('IPM Load'!H:H,MATCH('Cost-of-Service Shares'!$A51,'IPM Load'!$A:$A,0))</f>
        <v>15</v>
      </c>
      <c r="M51">
        <f>INDEX('IPM Load'!I:I,MATCH('Cost-of-Service Shares'!$A51,'IPM Load'!$A:$A,0))</f>
        <v>15</v>
      </c>
      <c r="N51" s="14">
        <f t="shared" si="24"/>
        <v>9.9999999999999992E-2</v>
      </c>
      <c r="O51" s="14">
        <f t="shared" si="25"/>
        <v>9.9999999999999992E-2</v>
      </c>
      <c r="P51" s="14">
        <f t="shared" si="26"/>
        <v>9.9999999999999992E-2</v>
      </c>
      <c r="Q51" s="14">
        <f t="shared" si="27"/>
        <v>9.9999999999999992E-2</v>
      </c>
      <c r="R51" s="14">
        <f t="shared" si="28"/>
        <v>9.9212598425196849E-2</v>
      </c>
      <c r="S51" s="14">
        <f t="shared" si="29"/>
        <v>0.10305343511450382</v>
      </c>
      <c r="T51" s="14">
        <f t="shared" si="30"/>
        <v>0.10150375939849623</v>
      </c>
      <c r="U51" s="14">
        <f t="shared" si="31"/>
        <v>0.1</v>
      </c>
    </row>
    <row r="52" spans="1:21" x14ac:dyDescent="0.3">
      <c r="A52" t="s">
        <v>74</v>
      </c>
      <c r="B52" t="s">
        <v>146</v>
      </c>
      <c r="D52">
        <v>0.1</v>
      </c>
      <c r="E52">
        <v>0.9</v>
      </c>
      <c r="F52">
        <f>INDEX('IPM Load'!B:B,MATCH('Cost-of-Service Shares'!$A52,'IPM Load'!$A:$A,0))</f>
        <v>112</v>
      </c>
      <c r="G52">
        <f>INDEX('IPM Load'!C:C,MATCH('Cost-of-Service Shares'!$A52,'IPM Load'!$A:$A,0))</f>
        <v>112</v>
      </c>
      <c r="H52">
        <f>INDEX('IPM Load'!D:D,MATCH('Cost-of-Service Shares'!$A52,'IPM Load'!$A:$A,0))</f>
        <v>112</v>
      </c>
      <c r="I52">
        <f>INDEX('IPM Load'!E:E,MATCH('Cost-of-Service Shares'!$A52,'IPM Load'!$A:$A,0))</f>
        <v>112</v>
      </c>
      <c r="J52">
        <f>INDEX('IPM Load'!F:F,MATCH('Cost-of-Service Shares'!$A52,'IPM Load'!$A:$A,0))</f>
        <v>113</v>
      </c>
      <c r="K52">
        <f>INDEX('IPM Load'!G:G,MATCH('Cost-of-Service Shares'!$A52,'IPM Load'!$A:$A,0))</f>
        <v>116</v>
      </c>
      <c r="L52">
        <f>INDEX('IPM Load'!H:H,MATCH('Cost-of-Service Shares'!$A52,'IPM Load'!$A:$A,0))</f>
        <v>118</v>
      </c>
      <c r="M52">
        <f>INDEX('IPM Load'!I:I,MATCH('Cost-of-Service Shares'!$A52,'IPM Load'!$A:$A,0))</f>
        <v>120</v>
      </c>
      <c r="N52" s="14">
        <f t="shared" si="24"/>
        <v>0.79999999999999993</v>
      </c>
      <c r="O52" s="14">
        <f t="shared" si="25"/>
        <v>0.79999999999999993</v>
      </c>
      <c r="P52" s="14">
        <f t="shared" si="26"/>
        <v>0.79999999999999993</v>
      </c>
      <c r="Q52" s="14">
        <f t="shared" si="27"/>
        <v>0.79999999999999993</v>
      </c>
      <c r="R52" s="14">
        <f t="shared" si="28"/>
        <v>0.80078740157480321</v>
      </c>
      <c r="S52" s="14">
        <f t="shared" si="29"/>
        <v>0.7969465648854962</v>
      </c>
      <c r="T52" s="14">
        <f t="shared" si="30"/>
        <v>0.79849624060150381</v>
      </c>
      <c r="U52" s="14">
        <f t="shared" si="31"/>
        <v>0.8</v>
      </c>
    </row>
    <row r="53" spans="1:21" x14ac:dyDescent="0.3">
      <c r="A53" t="s">
        <v>75</v>
      </c>
      <c r="B53" t="s">
        <v>147</v>
      </c>
      <c r="D53">
        <v>0.1</v>
      </c>
      <c r="E53">
        <v>0.9</v>
      </c>
      <c r="F53">
        <f>INDEX('IPM Load'!B:B,MATCH('Cost-of-Service Shares'!$A53,'IPM Load'!$A:$A,0))</f>
        <v>28</v>
      </c>
      <c r="G53">
        <f>INDEX('IPM Load'!C:C,MATCH('Cost-of-Service Shares'!$A53,'IPM Load'!$A:$A,0))</f>
        <v>27</v>
      </c>
      <c r="H53">
        <f>INDEX('IPM Load'!D:D,MATCH('Cost-of-Service Shares'!$A53,'IPM Load'!$A:$A,0))</f>
        <v>27</v>
      </c>
      <c r="I53">
        <f>INDEX('IPM Load'!E:E,MATCH('Cost-of-Service Shares'!$A53,'IPM Load'!$A:$A,0))</f>
        <v>27</v>
      </c>
      <c r="J53">
        <f>INDEX('IPM Load'!F:F,MATCH('Cost-of-Service Shares'!$A53,'IPM Load'!$A:$A,0))</f>
        <v>28</v>
      </c>
      <c r="K53">
        <f>INDEX('IPM Load'!G:G,MATCH('Cost-of-Service Shares'!$A53,'IPM Load'!$A:$A,0))</f>
        <v>28</v>
      </c>
      <c r="L53">
        <f>INDEX('IPM Load'!H:H,MATCH('Cost-of-Service Shares'!$A53,'IPM Load'!$A:$A,0))</f>
        <v>29</v>
      </c>
      <c r="M53">
        <f>INDEX('IPM Load'!I:I,MATCH('Cost-of-Service Shares'!$A53,'IPM Load'!$A:$A,0))</f>
        <v>29</v>
      </c>
      <c r="N53" s="14">
        <f t="shared" si="24"/>
        <v>0.1575</v>
      </c>
      <c r="O53" s="14">
        <f t="shared" si="25"/>
        <v>0.15283018867924528</v>
      </c>
      <c r="P53" s="14">
        <f t="shared" si="26"/>
        <v>0.15379746835443039</v>
      </c>
      <c r="Q53" s="14">
        <f t="shared" si="27"/>
        <v>0.15477707006369426</v>
      </c>
      <c r="R53" s="14">
        <f t="shared" si="28"/>
        <v>0.1575</v>
      </c>
      <c r="S53" s="14">
        <f t="shared" si="29"/>
        <v>0.15460122699386503</v>
      </c>
      <c r="T53" s="14">
        <f t="shared" si="30"/>
        <v>0.15628742514970062</v>
      </c>
      <c r="U53" s="14">
        <f t="shared" si="31"/>
        <v>0.15352941176470589</v>
      </c>
    </row>
    <row r="54" spans="1:21" x14ac:dyDescent="0.3">
      <c r="A54" t="s">
        <v>76</v>
      </c>
      <c r="B54" t="s">
        <v>147</v>
      </c>
      <c r="D54">
        <v>0.1</v>
      </c>
      <c r="E54">
        <v>0.9</v>
      </c>
      <c r="F54">
        <f>INDEX('IPM Load'!B:B,MATCH('Cost-of-Service Shares'!$A54,'IPM Load'!$A:$A,0))</f>
        <v>22</v>
      </c>
      <c r="G54">
        <f>INDEX('IPM Load'!C:C,MATCH('Cost-of-Service Shares'!$A54,'IPM Load'!$A:$A,0))</f>
        <v>22</v>
      </c>
      <c r="H54">
        <f>INDEX('IPM Load'!D:D,MATCH('Cost-of-Service Shares'!$A54,'IPM Load'!$A:$A,0))</f>
        <v>22</v>
      </c>
      <c r="I54">
        <f>INDEX('IPM Load'!E:E,MATCH('Cost-of-Service Shares'!$A54,'IPM Load'!$A:$A,0))</f>
        <v>21</v>
      </c>
      <c r="J54">
        <f>INDEX('IPM Load'!F:F,MATCH('Cost-of-Service Shares'!$A54,'IPM Load'!$A:$A,0))</f>
        <v>22</v>
      </c>
      <c r="K54">
        <f>INDEX('IPM Load'!G:G,MATCH('Cost-of-Service Shares'!$A54,'IPM Load'!$A:$A,0))</f>
        <v>22</v>
      </c>
      <c r="L54">
        <f>INDEX('IPM Load'!H:H,MATCH('Cost-of-Service Shares'!$A54,'IPM Load'!$A:$A,0))</f>
        <v>23</v>
      </c>
      <c r="M54">
        <f>INDEX('IPM Load'!I:I,MATCH('Cost-of-Service Shares'!$A54,'IPM Load'!$A:$A,0))</f>
        <v>23</v>
      </c>
      <c r="N54" s="14">
        <f t="shared" si="24"/>
        <v>0.12375</v>
      </c>
      <c r="O54" s="14">
        <f t="shared" si="25"/>
        <v>0.12452830188679245</v>
      </c>
      <c r="P54" s="14">
        <f t="shared" si="26"/>
        <v>0.12531645569620253</v>
      </c>
      <c r="Q54" s="14">
        <f t="shared" si="27"/>
        <v>0.12038216560509556</v>
      </c>
      <c r="R54" s="14">
        <f t="shared" si="28"/>
        <v>0.12375</v>
      </c>
      <c r="S54" s="14">
        <f t="shared" si="29"/>
        <v>0.12147239263803682</v>
      </c>
      <c r="T54" s="14">
        <f t="shared" si="30"/>
        <v>0.12395209580838323</v>
      </c>
      <c r="U54" s="14">
        <f t="shared" si="31"/>
        <v>0.12176470588235294</v>
      </c>
    </row>
    <row r="55" spans="1:21" x14ac:dyDescent="0.3">
      <c r="A55" t="s">
        <v>87</v>
      </c>
      <c r="B55" t="s">
        <v>105</v>
      </c>
      <c r="D55">
        <v>0.02</v>
      </c>
      <c r="E55">
        <v>0.98</v>
      </c>
      <c r="F55">
        <f>INDEX('IPM Load'!B:B,MATCH('Cost-of-Service Shares'!$A55,'IPM Load'!$A:$A,0))</f>
        <v>88</v>
      </c>
      <c r="G55">
        <f>INDEX('IPM Load'!C:C,MATCH('Cost-of-Service Shares'!$A55,'IPM Load'!$A:$A,0))</f>
        <v>90</v>
      </c>
      <c r="H55">
        <f>INDEX('IPM Load'!D:D,MATCH('Cost-of-Service Shares'!$A55,'IPM Load'!$A:$A,0))</f>
        <v>92</v>
      </c>
      <c r="I55">
        <f>INDEX('IPM Load'!E:E,MATCH('Cost-of-Service Shares'!$A55,'IPM Load'!$A:$A,0))</f>
        <v>97</v>
      </c>
      <c r="J55">
        <f>INDEX('IPM Load'!F:F,MATCH('Cost-of-Service Shares'!$A55,'IPM Load'!$A:$A,0))</f>
        <v>101</v>
      </c>
      <c r="K55">
        <f>INDEX('IPM Load'!G:G,MATCH('Cost-of-Service Shares'!$A55,'IPM Load'!$A:$A,0))</f>
        <v>105</v>
      </c>
      <c r="L55">
        <f>INDEX('IPM Load'!H:H,MATCH('Cost-of-Service Shares'!$A55,'IPM Load'!$A:$A,0))</f>
        <v>108</v>
      </c>
      <c r="M55">
        <f>INDEX('IPM Load'!I:I,MATCH('Cost-of-Service Shares'!$A55,'IPM Load'!$A:$A,0))</f>
        <v>112</v>
      </c>
      <c r="N55" s="14">
        <f t="shared" si="24"/>
        <v>0.67071406303518066</v>
      </c>
      <c r="O55" s="14">
        <f t="shared" si="25"/>
        <v>0.66265135830508604</v>
      </c>
      <c r="P55" s="14">
        <f t="shared" si="26"/>
        <v>0.66734928173218866</v>
      </c>
      <c r="Q55" s="14">
        <f t="shared" si="27"/>
        <v>0.66874793071992178</v>
      </c>
      <c r="R55" s="14">
        <f t="shared" si="28"/>
        <v>0.67028504943566558</v>
      </c>
      <c r="S55" s="14">
        <f t="shared" si="29"/>
        <v>0.66735498223153633</v>
      </c>
      <c r="T55" s="14">
        <f t="shared" si="30"/>
        <v>0.67109206124830367</v>
      </c>
      <c r="U55" s="14">
        <f t="shared" si="31"/>
        <v>0.67240329109177721</v>
      </c>
    </row>
    <row r="56" spans="1:21" x14ac:dyDescent="0.3">
      <c r="A56" t="s">
        <v>67</v>
      </c>
      <c r="B56" t="s">
        <v>106</v>
      </c>
      <c r="D56">
        <v>0</v>
      </c>
      <c r="E56">
        <v>1</v>
      </c>
      <c r="F56">
        <f>INDEX('IPM Load'!B:B,MATCH('Cost-of-Service Shares'!$A56,'IPM Load'!$A:$A,0))</f>
        <v>62</v>
      </c>
      <c r="G56">
        <f>INDEX('IPM Load'!C:C,MATCH('Cost-of-Service Shares'!$A56,'IPM Load'!$A:$A,0))</f>
        <v>64</v>
      </c>
      <c r="H56">
        <f>INDEX('IPM Load'!D:D,MATCH('Cost-of-Service Shares'!$A56,'IPM Load'!$A:$A,0))</f>
        <v>65</v>
      </c>
      <c r="I56">
        <f>INDEX('IPM Load'!E:E,MATCH('Cost-of-Service Shares'!$A56,'IPM Load'!$A:$A,0))</f>
        <v>68</v>
      </c>
      <c r="J56">
        <f>INDEX('IPM Load'!F:F,MATCH('Cost-of-Service Shares'!$A56,'IPM Load'!$A:$A,0))</f>
        <v>71</v>
      </c>
      <c r="K56">
        <f>INDEX('IPM Load'!G:G,MATCH('Cost-of-Service Shares'!$A56,'IPM Load'!$A:$A,0))</f>
        <v>74</v>
      </c>
      <c r="L56">
        <f>INDEX('IPM Load'!H:H,MATCH('Cost-of-Service Shares'!$A56,'IPM Load'!$A:$A,0))</f>
        <v>76</v>
      </c>
      <c r="M56">
        <f>INDEX('IPM Load'!I:I,MATCH('Cost-of-Service Shares'!$A56,'IPM Load'!$A:$A,0))</f>
        <v>78</v>
      </c>
      <c r="N56" s="14">
        <f t="shared" si="24"/>
        <v>0.89944541033343195</v>
      </c>
      <c r="O56" s="14">
        <f t="shared" si="25"/>
        <v>0.90228067480277152</v>
      </c>
      <c r="P56" s="14">
        <f t="shared" si="26"/>
        <v>0.89854596948832521</v>
      </c>
      <c r="Q56" s="14">
        <f t="shared" si="27"/>
        <v>0.90258586539688623</v>
      </c>
      <c r="R56" s="14">
        <f t="shared" si="28"/>
        <v>0.90631634521855331</v>
      </c>
      <c r="S56" s="14">
        <f t="shared" si="29"/>
        <v>0.90523399109827241</v>
      </c>
      <c r="T56" s="14">
        <f t="shared" si="30"/>
        <v>0.90310033754800911</v>
      </c>
      <c r="U56" s="14">
        <f t="shared" si="31"/>
        <v>0.90534977569328257</v>
      </c>
    </row>
    <row r="57" spans="1:21" x14ac:dyDescent="0.3">
      <c r="A57" t="s">
        <v>81</v>
      </c>
      <c r="B57" t="s">
        <v>148</v>
      </c>
      <c r="D57">
        <v>0.03</v>
      </c>
      <c r="E57">
        <v>0.97</v>
      </c>
      <c r="F57">
        <f>INDEX('IPM Load'!B:B,MATCH('Cost-of-Service Shares'!$A57,'IPM Load'!$A:$A,0))</f>
        <v>22</v>
      </c>
      <c r="G57">
        <f>INDEX('IPM Load'!C:C,MATCH('Cost-of-Service Shares'!$A57,'IPM Load'!$A:$A,0))</f>
        <v>23</v>
      </c>
      <c r="H57">
        <f>INDEX('IPM Load'!D:D,MATCH('Cost-of-Service Shares'!$A57,'IPM Load'!$A:$A,0))</f>
        <v>23</v>
      </c>
      <c r="I57">
        <f>INDEX('IPM Load'!E:E,MATCH('Cost-of-Service Shares'!$A57,'IPM Load'!$A:$A,0))</f>
        <v>23</v>
      </c>
      <c r="J57">
        <f>INDEX('IPM Load'!F:F,MATCH('Cost-of-Service Shares'!$A57,'IPM Load'!$A:$A,0))</f>
        <v>24</v>
      </c>
      <c r="K57">
        <f>INDEX('IPM Load'!G:G,MATCH('Cost-of-Service Shares'!$A57,'IPM Load'!$A:$A,0))</f>
        <v>25</v>
      </c>
      <c r="L57">
        <f>INDEX('IPM Load'!H:H,MATCH('Cost-of-Service Shares'!$A57,'IPM Load'!$A:$A,0))</f>
        <v>25</v>
      </c>
      <c r="M57">
        <f>INDEX('IPM Load'!I:I,MATCH('Cost-of-Service Shares'!$A57,'IPM Load'!$A:$A,0))</f>
        <v>26</v>
      </c>
      <c r="N57" s="14">
        <f t="shared" si="24"/>
        <v>0.2496220213418644</v>
      </c>
      <c r="O57" s="14">
        <f t="shared" si="25"/>
        <v>0.25653418052302185</v>
      </c>
      <c r="P57" s="14">
        <f t="shared" si="26"/>
        <v>0.25479891906915786</v>
      </c>
      <c r="Q57" s="14">
        <f t="shared" si="27"/>
        <v>0.24923288198475721</v>
      </c>
      <c r="R57" s="14">
        <f t="shared" si="28"/>
        <v>0.25584557313110562</v>
      </c>
      <c r="S57" s="14">
        <f t="shared" si="29"/>
        <v>0.25509565930513622</v>
      </c>
      <c r="T57" s="14">
        <f t="shared" si="30"/>
        <v>0.24965931352300291</v>
      </c>
      <c r="U57" s="14">
        <f t="shared" si="31"/>
        <v>0.25318722053020237</v>
      </c>
    </row>
    <row r="58" spans="1:21" x14ac:dyDescent="0.3">
      <c r="A58" t="s">
        <v>89</v>
      </c>
      <c r="B58" t="s">
        <v>105</v>
      </c>
      <c r="D58">
        <v>0.02</v>
      </c>
      <c r="E58">
        <v>0.98</v>
      </c>
      <c r="F58">
        <f>INDEX('IPM Load'!B:B,MATCH('Cost-of-Service Shares'!$A58,'IPM Load'!$A:$A,0))</f>
        <v>4</v>
      </c>
      <c r="G58">
        <f>INDEX('IPM Load'!C:C,MATCH('Cost-of-Service Shares'!$A58,'IPM Load'!$A:$A,0))</f>
        <v>5</v>
      </c>
      <c r="H58">
        <f>INDEX('IPM Load'!D:D,MATCH('Cost-of-Service Shares'!$A58,'IPM Load'!$A:$A,0))</f>
        <v>5</v>
      </c>
      <c r="I58">
        <f>INDEX('IPM Load'!E:E,MATCH('Cost-of-Service Shares'!$A58,'IPM Load'!$A:$A,0))</f>
        <v>5</v>
      </c>
      <c r="J58">
        <f>INDEX('IPM Load'!F:F,MATCH('Cost-of-Service Shares'!$A58,'IPM Load'!$A:$A,0))</f>
        <v>5</v>
      </c>
      <c r="K58">
        <f>INDEX('IPM Load'!G:G,MATCH('Cost-of-Service Shares'!$A58,'IPM Load'!$A:$A,0))</f>
        <v>5</v>
      </c>
      <c r="L58">
        <f>INDEX('IPM Load'!H:H,MATCH('Cost-of-Service Shares'!$A58,'IPM Load'!$A:$A,0))</f>
        <v>5</v>
      </c>
      <c r="M58">
        <f>INDEX('IPM Load'!I:I,MATCH('Cost-of-Service Shares'!$A58,'IPM Load'!$A:$A,0))</f>
        <v>5</v>
      </c>
      <c r="N58" s="14">
        <f t="shared" si="24"/>
        <v>3.0487002865235487E-2</v>
      </c>
      <c r="O58" s="14">
        <f t="shared" si="25"/>
        <v>3.6813964350282558E-2</v>
      </c>
      <c r="P58" s="14">
        <f t="shared" si="26"/>
        <v>3.6268982702836343E-2</v>
      </c>
      <c r="Q58" s="14">
        <f t="shared" si="27"/>
        <v>3.4471542820614529E-2</v>
      </c>
      <c r="R58" s="14">
        <f t="shared" si="28"/>
        <v>3.3182428189884434E-2</v>
      </c>
      <c r="S58" s="14">
        <f t="shared" si="29"/>
        <v>3.1778808677692214E-2</v>
      </c>
      <c r="T58" s="14">
        <f t="shared" si="30"/>
        <v>3.1069076909643688E-2</v>
      </c>
      <c r="U58" s="14">
        <f t="shared" si="31"/>
        <v>3.0018004066597201E-2</v>
      </c>
    </row>
    <row r="59" spans="1:21" x14ac:dyDescent="0.3">
      <c r="A59" t="s">
        <v>78</v>
      </c>
      <c r="B59" t="s">
        <v>79</v>
      </c>
      <c r="D59">
        <v>0.03</v>
      </c>
      <c r="E59">
        <v>0.97</v>
      </c>
      <c r="F59">
        <f>INDEX('IPM Load'!B:B,MATCH('Cost-of-Service Shares'!$A59,'IPM Load'!$A:$A,0))</f>
        <v>13</v>
      </c>
      <c r="G59">
        <f>INDEX('IPM Load'!C:C,MATCH('Cost-of-Service Shares'!$A59,'IPM Load'!$A:$A,0))</f>
        <v>13</v>
      </c>
      <c r="H59">
        <f>INDEX('IPM Load'!D:D,MATCH('Cost-of-Service Shares'!$A59,'IPM Load'!$A:$A,0))</f>
        <v>13</v>
      </c>
      <c r="I59">
        <f>INDEX('IPM Load'!E:E,MATCH('Cost-of-Service Shares'!$A59,'IPM Load'!$A:$A,0))</f>
        <v>13</v>
      </c>
      <c r="J59">
        <f>INDEX('IPM Load'!F:F,MATCH('Cost-of-Service Shares'!$A59,'IPM Load'!$A:$A,0))</f>
        <v>14</v>
      </c>
      <c r="K59">
        <f>INDEX('IPM Load'!G:G,MATCH('Cost-of-Service Shares'!$A59,'IPM Load'!$A:$A,0))</f>
        <v>14</v>
      </c>
      <c r="L59">
        <f>INDEX('IPM Load'!H:H,MATCH('Cost-of-Service Shares'!$A59,'IPM Load'!$A:$A,0))</f>
        <v>14</v>
      </c>
      <c r="M59">
        <f>INDEX('IPM Load'!I:I,MATCH('Cost-of-Service Shares'!$A59,'IPM Load'!$A:$A,0))</f>
        <v>15</v>
      </c>
      <c r="N59" s="14">
        <f t="shared" si="24"/>
        <v>6.7795698924731182E-2</v>
      </c>
      <c r="O59" s="14">
        <f t="shared" si="25"/>
        <v>6.7074468085106378E-2</v>
      </c>
      <c r="P59" s="14">
        <f t="shared" si="26"/>
        <v>6.671957671957672E-2</v>
      </c>
      <c r="Q59" s="14">
        <f t="shared" si="27"/>
        <v>6.567708333333333E-2</v>
      </c>
      <c r="R59" s="14">
        <f t="shared" si="28"/>
        <v>6.8585858585858583E-2</v>
      </c>
      <c r="S59" s="14">
        <f t="shared" si="29"/>
        <v>6.6896551724137929E-2</v>
      </c>
      <c r="T59" s="14">
        <f t="shared" si="30"/>
        <v>6.5288461538461545E-2</v>
      </c>
      <c r="U59" s="14">
        <f t="shared" si="31"/>
        <v>6.7990654205607473E-2</v>
      </c>
    </row>
    <row r="60" spans="1:21" x14ac:dyDescent="0.3">
      <c r="A60" t="s">
        <v>88</v>
      </c>
      <c r="B60" t="s">
        <v>105</v>
      </c>
      <c r="D60">
        <v>0.02</v>
      </c>
      <c r="E60">
        <v>0.98</v>
      </c>
      <c r="F60">
        <f>INDEX('IPM Load'!B:B,MATCH('Cost-of-Service Shares'!$A60,'IPM Load'!$A:$A,0))</f>
        <v>23</v>
      </c>
      <c r="G60">
        <f>INDEX('IPM Load'!C:C,MATCH('Cost-of-Service Shares'!$A60,'IPM Load'!$A:$A,0))</f>
        <v>24</v>
      </c>
      <c r="H60">
        <f>INDEX('IPM Load'!D:D,MATCH('Cost-of-Service Shares'!$A60,'IPM Load'!$A:$A,0))</f>
        <v>24</v>
      </c>
      <c r="I60">
        <f>INDEX('IPM Load'!E:E,MATCH('Cost-of-Service Shares'!$A60,'IPM Load'!$A:$A,0))</f>
        <v>25</v>
      </c>
      <c r="J60">
        <f>INDEX('IPM Load'!F:F,MATCH('Cost-of-Service Shares'!$A60,'IPM Load'!$A:$A,0))</f>
        <v>26</v>
      </c>
      <c r="K60">
        <f>INDEX('IPM Load'!G:G,MATCH('Cost-of-Service Shares'!$A60,'IPM Load'!$A:$A,0))</f>
        <v>28</v>
      </c>
      <c r="L60">
        <f>INDEX('IPM Load'!H:H,MATCH('Cost-of-Service Shares'!$A60,'IPM Load'!$A:$A,0))</f>
        <v>28</v>
      </c>
      <c r="M60">
        <f>INDEX('IPM Load'!I:I,MATCH('Cost-of-Service Shares'!$A60,'IPM Load'!$A:$A,0))</f>
        <v>29</v>
      </c>
      <c r="N60" s="14">
        <f t="shared" si="24"/>
        <v>0.17530026647510402</v>
      </c>
      <c r="O60" s="14">
        <f t="shared" si="25"/>
        <v>0.17670702888135628</v>
      </c>
      <c r="P60" s="14">
        <f t="shared" si="26"/>
        <v>0.17409111697361443</v>
      </c>
      <c r="Q60" s="14">
        <f t="shared" si="27"/>
        <v>0.17235771410307263</v>
      </c>
      <c r="R60" s="14">
        <f t="shared" si="28"/>
        <v>0.17254862658739906</v>
      </c>
      <c r="S60" s="14">
        <f t="shared" si="29"/>
        <v>0.17796132859507635</v>
      </c>
      <c r="T60" s="14">
        <f t="shared" si="30"/>
        <v>0.17398683069400461</v>
      </c>
      <c r="U60" s="14">
        <f t="shared" si="31"/>
        <v>0.17410442358626374</v>
      </c>
    </row>
    <row r="61" spans="1:21" x14ac:dyDescent="0.3">
      <c r="A61" t="s">
        <v>82</v>
      </c>
      <c r="B61" t="s">
        <v>148</v>
      </c>
      <c r="D61">
        <v>0.03</v>
      </c>
      <c r="E61">
        <v>0.97</v>
      </c>
      <c r="F61">
        <f>INDEX('IPM Load'!B:B,MATCH('Cost-of-Service Shares'!$A61,'IPM Load'!$A:$A,0))</f>
        <v>13</v>
      </c>
      <c r="G61">
        <f>INDEX('IPM Load'!C:C,MATCH('Cost-of-Service Shares'!$A61,'IPM Load'!$A:$A,0))</f>
        <v>13</v>
      </c>
      <c r="H61">
        <f>INDEX('IPM Load'!D:D,MATCH('Cost-of-Service Shares'!$A61,'IPM Load'!$A:$A,0))</f>
        <v>13</v>
      </c>
      <c r="I61">
        <f>INDEX('IPM Load'!E:E,MATCH('Cost-of-Service Shares'!$A61,'IPM Load'!$A:$A,0))</f>
        <v>13</v>
      </c>
      <c r="J61">
        <f>INDEX('IPM Load'!F:F,MATCH('Cost-of-Service Shares'!$A61,'IPM Load'!$A:$A,0))</f>
        <v>13</v>
      </c>
      <c r="K61">
        <f>INDEX('IPM Load'!G:G,MATCH('Cost-of-Service Shares'!$A61,'IPM Load'!$A:$A,0))</f>
        <v>14</v>
      </c>
      <c r="L61">
        <f>INDEX('IPM Load'!H:H,MATCH('Cost-of-Service Shares'!$A61,'IPM Load'!$A:$A,0))</f>
        <v>14</v>
      </c>
      <c r="M61">
        <f>INDEX('IPM Load'!I:I,MATCH('Cost-of-Service Shares'!$A61,'IPM Load'!$A:$A,0))</f>
        <v>14</v>
      </c>
      <c r="N61" s="14">
        <f t="shared" si="24"/>
        <v>0.14750392170201077</v>
      </c>
      <c r="O61" s="14">
        <f t="shared" si="25"/>
        <v>0.14499758029562104</v>
      </c>
      <c r="P61" s="14">
        <f t="shared" si="26"/>
        <v>0.14401678034343707</v>
      </c>
      <c r="Q61" s="14">
        <f t="shared" si="27"/>
        <v>0.14087075938268886</v>
      </c>
      <c r="R61" s="14">
        <f t="shared" si="28"/>
        <v>0.13858301877934884</v>
      </c>
      <c r="S61" s="14">
        <f t="shared" si="29"/>
        <v>0.14285356921087627</v>
      </c>
      <c r="T61" s="14">
        <f t="shared" si="30"/>
        <v>0.13980921557288162</v>
      </c>
      <c r="U61" s="14">
        <f t="shared" si="31"/>
        <v>0.13633158028549358</v>
      </c>
    </row>
    <row r="62" spans="1:21" x14ac:dyDescent="0.3">
      <c r="A62" t="s">
        <v>85</v>
      </c>
      <c r="B62" t="s">
        <v>79</v>
      </c>
      <c r="D62">
        <v>0.03</v>
      </c>
      <c r="E62">
        <v>0.97</v>
      </c>
      <c r="F62">
        <f>INDEX('IPM Load'!B:B,MATCH('Cost-of-Service Shares'!$A62,'IPM Load'!$A:$A,0))</f>
        <v>173</v>
      </c>
      <c r="G62">
        <f>INDEX('IPM Load'!C:C,MATCH('Cost-of-Service Shares'!$A62,'IPM Load'!$A:$A,0))</f>
        <v>175</v>
      </c>
      <c r="H62">
        <f>INDEX('IPM Load'!D:D,MATCH('Cost-of-Service Shares'!$A62,'IPM Load'!$A:$A,0))</f>
        <v>176</v>
      </c>
      <c r="I62">
        <f>INDEX('IPM Load'!E:E,MATCH('Cost-of-Service Shares'!$A62,'IPM Load'!$A:$A,0))</f>
        <v>179</v>
      </c>
      <c r="J62">
        <f>INDEX('IPM Load'!F:F,MATCH('Cost-of-Service Shares'!$A62,'IPM Load'!$A:$A,0))</f>
        <v>184</v>
      </c>
      <c r="K62">
        <f>INDEX('IPM Load'!G:G,MATCH('Cost-of-Service Shares'!$A62,'IPM Load'!$A:$A,0))</f>
        <v>189</v>
      </c>
      <c r="L62">
        <f>INDEX('IPM Load'!H:H,MATCH('Cost-of-Service Shares'!$A62,'IPM Load'!$A:$A,0))</f>
        <v>194</v>
      </c>
      <c r="M62">
        <f>INDEX('IPM Load'!I:I,MATCH('Cost-of-Service Shares'!$A62,'IPM Load'!$A:$A,0))</f>
        <v>199</v>
      </c>
      <c r="N62" s="14">
        <f t="shared" si="24"/>
        <v>0.90220430107526883</v>
      </c>
      <c r="O62" s="14">
        <f t="shared" si="25"/>
        <v>0.90292553191489366</v>
      </c>
      <c r="P62" s="14">
        <f t="shared" si="26"/>
        <v>0.90328042328042324</v>
      </c>
      <c r="Q62" s="14">
        <f t="shared" si="27"/>
        <v>0.90432291666666664</v>
      </c>
      <c r="R62" s="14">
        <f t="shared" si="28"/>
        <v>0.90141414141414133</v>
      </c>
      <c r="S62" s="14">
        <f t="shared" si="29"/>
        <v>0.90310344827586198</v>
      </c>
      <c r="T62" s="14">
        <f t="shared" si="30"/>
        <v>0.90471153846153851</v>
      </c>
      <c r="U62" s="14">
        <f t="shared" si="31"/>
        <v>0.90200934579439251</v>
      </c>
    </row>
    <row r="63" spans="1:21" x14ac:dyDescent="0.3">
      <c r="A63" t="s">
        <v>77</v>
      </c>
      <c r="B63" t="s">
        <v>147</v>
      </c>
      <c r="D63">
        <v>0.1</v>
      </c>
      <c r="E63">
        <v>0.9</v>
      </c>
      <c r="F63">
        <f>INDEX('IPM Load'!B:B,MATCH('Cost-of-Service Shares'!$A63,'IPM Load'!$A:$A,0))</f>
        <v>110</v>
      </c>
      <c r="G63">
        <f>INDEX('IPM Load'!C:C,MATCH('Cost-of-Service Shares'!$A63,'IPM Load'!$A:$A,0))</f>
        <v>110</v>
      </c>
      <c r="H63">
        <f>INDEX('IPM Load'!D:D,MATCH('Cost-of-Service Shares'!$A63,'IPM Load'!$A:$A,0))</f>
        <v>109</v>
      </c>
      <c r="I63">
        <f>INDEX('IPM Load'!E:E,MATCH('Cost-of-Service Shares'!$A63,'IPM Load'!$A:$A,0))</f>
        <v>109</v>
      </c>
      <c r="J63">
        <f>INDEX('IPM Load'!F:F,MATCH('Cost-of-Service Shares'!$A63,'IPM Load'!$A:$A,0))</f>
        <v>110</v>
      </c>
      <c r="K63">
        <f>INDEX('IPM Load'!G:G,MATCH('Cost-of-Service Shares'!$A63,'IPM Load'!$A:$A,0))</f>
        <v>113</v>
      </c>
      <c r="L63">
        <f>INDEX('IPM Load'!H:H,MATCH('Cost-of-Service Shares'!$A63,'IPM Load'!$A:$A,0))</f>
        <v>115</v>
      </c>
      <c r="M63">
        <f>INDEX('IPM Load'!I:I,MATCH('Cost-of-Service Shares'!$A63,'IPM Load'!$A:$A,0))</f>
        <v>118</v>
      </c>
      <c r="N63" s="14">
        <f t="shared" si="24"/>
        <v>0.61875000000000002</v>
      </c>
      <c r="O63" s="14">
        <f t="shared" si="25"/>
        <v>0.62264150943396224</v>
      </c>
      <c r="P63" s="14">
        <f t="shared" si="26"/>
        <v>0.62088607594936718</v>
      </c>
      <c r="Q63" s="14">
        <f t="shared" si="27"/>
        <v>0.62484076433121027</v>
      </c>
      <c r="R63" s="14">
        <f t="shared" si="28"/>
        <v>0.61875000000000002</v>
      </c>
      <c r="S63" s="14">
        <f t="shared" si="29"/>
        <v>0.62392638036809822</v>
      </c>
      <c r="T63" s="14">
        <f t="shared" si="30"/>
        <v>0.61976047904191611</v>
      </c>
      <c r="U63" s="14">
        <f t="shared" si="31"/>
        <v>0.62470588235294122</v>
      </c>
    </row>
    <row r="64" spans="1:21" x14ac:dyDescent="0.3">
      <c r="A64" s="13" t="s">
        <v>83</v>
      </c>
      <c r="B64" s="13" t="s">
        <v>148</v>
      </c>
      <c r="C64" s="13"/>
      <c r="D64" s="13">
        <v>0.02</v>
      </c>
      <c r="E64" s="13">
        <v>0.98</v>
      </c>
      <c r="F64" s="12">
        <f>F$73*('NEMS Net Load'!$C$26/('NEMS Net Load'!$C$26+'NEMS Net Load'!$C$21))</f>
        <v>12.420617588159185</v>
      </c>
      <c r="G64" s="12">
        <f>G$73*('NEMS Net Load'!$C$26/('NEMS Net Load'!$C$26+'NEMS Net Load'!$C$21))</f>
        <v>12.898333649242231</v>
      </c>
      <c r="H64" s="12">
        <f>H$73*('NEMS Net Load'!$C$26/('NEMS Net Load'!$C$26+'NEMS Net Load'!$C$21))</f>
        <v>12.898333649242231</v>
      </c>
      <c r="I64" s="12">
        <f>I$73*('NEMS Net Load'!$C$26/('NEMS Net Load'!$C$26+'NEMS Net Load'!$C$21))</f>
        <v>13.853765771408323</v>
      </c>
      <c r="J64" s="12">
        <f>J$73*('NEMS Net Load'!$C$26/('NEMS Net Load'!$C$26+'NEMS Net Load'!$C$21))</f>
        <v>14.331481832491368</v>
      </c>
      <c r="K64" s="12">
        <f>K$73*('NEMS Net Load'!$C$26/('NEMS Net Load'!$C$26+'NEMS Net Load'!$C$21))</f>
        <v>14.809197893574414</v>
      </c>
      <c r="L64" s="12">
        <f>L$73*('NEMS Net Load'!$C$26/('NEMS Net Load'!$C$26+'NEMS Net Load'!$C$21))</f>
        <v>15.286913954657459</v>
      </c>
      <c r="M64" s="12">
        <f>M$73*('NEMS Net Load'!$C$26/('NEMS Net Load'!$C$26+'NEMS Net Load'!$C$21))</f>
        <v>15.764630015740504</v>
      </c>
      <c r="N64" s="11">
        <f t="shared" si="24"/>
        <v>0.14238287138224912</v>
      </c>
      <c r="O64" s="11">
        <f t="shared" si="25"/>
        <v>0.14534675857303703</v>
      </c>
      <c r="P64" s="11">
        <f t="shared" si="26"/>
        <v>0.14436359669152227</v>
      </c>
      <c r="Q64" s="11">
        <f t="shared" si="27"/>
        <v>0.15166999955889204</v>
      </c>
      <c r="R64" s="11">
        <f t="shared" si="28"/>
        <v>0.15435194414032413</v>
      </c>
      <c r="S64" s="11">
        <f t="shared" si="29"/>
        <v>0.1526683240590832</v>
      </c>
      <c r="T64" s="11">
        <f t="shared" si="30"/>
        <v>0.15423464061562453</v>
      </c>
      <c r="U64" s="11">
        <f t="shared" si="31"/>
        <v>0.15509812843952783</v>
      </c>
    </row>
    <row r="65" spans="1:21" x14ac:dyDescent="0.3">
      <c r="A65" s="13" t="s">
        <v>83</v>
      </c>
      <c r="B65" s="13" t="s">
        <v>105</v>
      </c>
      <c r="C65" s="13"/>
      <c r="D65" s="13">
        <v>0.02</v>
      </c>
      <c r="E65" s="13">
        <v>0.98</v>
      </c>
      <c r="F65" s="12">
        <f>F$73*('NEMS Net Load'!$C$21/('NEMS Net Load'!$C$26+'NEMS Net Load'!$C$21))</f>
        <v>13.579382411840816</v>
      </c>
      <c r="G65" s="12">
        <f>G$73*('NEMS Net Load'!$C$21/('NEMS Net Load'!$C$26+'NEMS Net Load'!$C$21))</f>
        <v>14.101666350757771</v>
      </c>
      <c r="H65" s="12">
        <f>H$73*('NEMS Net Load'!$C$21/('NEMS Net Load'!$C$26+'NEMS Net Load'!$C$21))</f>
        <v>14.101666350757771</v>
      </c>
      <c r="I65" s="12">
        <f>I$73*('NEMS Net Load'!$C$21/('NEMS Net Load'!$C$26+'NEMS Net Load'!$C$21))</f>
        <v>15.146234228591679</v>
      </c>
      <c r="J65" s="12">
        <f>J$73*('NEMS Net Load'!$C$21/('NEMS Net Load'!$C$26+'NEMS Net Load'!$C$21))</f>
        <v>15.668518167508633</v>
      </c>
      <c r="K65" s="12">
        <f>K$73*('NEMS Net Load'!$C$21/('NEMS Net Load'!$C$26+'NEMS Net Load'!$C$21))</f>
        <v>16.19080210642559</v>
      </c>
      <c r="L65" s="12">
        <f>L$73*('NEMS Net Load'!$C$21/('NEMS Net Load'!$C$26+'NEMS Net Load'!$C$21))</f>
        <v>16.713086045342543</v>
      </c>
      <c r="M65" s="12">
        <f>M$73*('NEMS Net Load'!$C$21/('NEMS Net Load'!$C$26+'NEMS Net Load'!$C$21))</f>
        <v>17.235369984259496</v>
      </c>
      <c r="N65" s="11">
        <f t="shared" si="24"/>
        <v>0.10349866762447982</v>
      </c>
      <c r="O65" s="11">
        <f t="shared" si="25"/>
        <v>0.10382764846327514</v>
      </c>
      <c r="P65" s="11">
        <f t="shared" si="26"/>
        <v>0.10229061859136057</v>
      </c>
      <c r="Q65" s="11">
        <f t="shared" si="27"/>
        <v>0.10442281235639109</v>
      </c>
      <c r="R65" s="11">
        <f t="shared" si="28"/>
        <v>0.10398389578705097</v>
      </c>
      <c r="S65" s="11">
        <f t="shared" si="29"/>
        <v>0.10290488049569498</v>
      </c>
      <c r="T65" s="11">
        <f t="shared" si="30"/>
        <v>0.10385203114804802</v>
      </c>
      <c r="U65" s="11">
        <f t="shared" si="31"/>
        <v>0.10347428125536176</v>
      </c>
    </row>
    <row r="66" spans="1:21" x14ac:dyDescent="0.3">
      <c r="A66" t="s">
        <v>84</v>
      </c>
      <c r="B66" t="s">
        <v>148</v>
      </c>
      <c r="D66">
        <v>0.03</v>
      </c>
      <c r="E66">
        <v>0.97</v>
      </c>
      <c r="F66">
        <f>INDEX('IPM Load'!B:B,MATCH('Cost-of-Service Shares'!$A66,'IPM Load'!$A:$A,0))</f>
        <v>28</v>
      </c>
      <c r="G66">
        <f>INDEX('IPM Load'!C:C,MATCH('Cost-of-Service Shares'!$A66,'IPM Load'!$A:$A,0))</f>
        <v>28</v>
      </c>
      <c r="H66">
        <f>INDEX('IPM Load'!D:D,MATCH('Cost-of-Service Shares'!$A66,'IPM Load'!$A:$A,0))</f>
        <v>28</v>
      </c>
      <c r="I66">
        <f>INDEX('IPM Load'!E:E,MATCH('Cost-of-Service Shares'!$A66,'IPM Load'!$A:$A,0))</f>
        <v>29</v>
      </c>
      <c r="J66">
        <f>INDEX('IPM Load'!F:F,MATCH('Cost-of-Service Shares'!$A66,'IPM Load'!$A:$A,0))</f>
        <v>29</v>
      </c>
      <c r="K66">
        <f>INDEX('IPM Load'!G:G,MATCH('Cost-of-Service Shares'!$A66,'IPM Load'!$A:$A,0))</f>
        <v>30</v>
      </c>
      <c r="L66">
        <f>INDEX('IPM Load'!H:H,MATCH('Cost-of-Service Shares'!$A66,'IPM Load'!$A:$A,0))</f>
        <v>31</v>
      </c>
      <c r="M66">
        <f>INDEX('IPM Load'!I:I,MATCH('Cost-of-Service Shares'!$A66,'IPM Load'!$A:$A,0))</f>
        <v>32</v>
      </c>
      <c r="N66" s="14">
        <f t="shared" si="24"/>
        <v>0.31770075443510015</v>
      </c>
      <c r="O66" s="14">
        <f t="shared" si="25"/>
        <v>0.31230248063672228</v>
      </c>
      <c r="P66" s="14">
        <f t="shared" si="26"/>
        <v>0.31018998843201828</v>
      </c>
      <c r="Q66" s="14">
        <f t="shared" si="27"/>
        <v>0.31425015554599822</v>
      </c>
      <c r="R66" s="14">
        <f t="shared" si="28"/>
        <v>0.30914673420008593</v>
      </c>
      <c r="S66" s="14">
        <f t="shared" si="29"/>
        <v>0.30611479116616347</v>
      </c>
      <c r="T66" s="14">
        <f t="shared" si="30"/>
        <v>0.30957754876852361</v>
      </c>
      <c r="U66" s="14">
        <f t="shared" si="31"/>
        <v>0.31161504065255674</v>
      </c>
    </row>
    <row r="67" spans="1:21" x14ac:dyDescent="0.3">
      <c r="A67" s="13" t="s">
        <v>86</v>
      </c>
      <c r="B67" s="13" t="s">
        <v>148</v>
      </c>
      <c r="C67" s="13"/>
      <c r="D67" s="13">
        <v>0.03</v>
      </c>
      <c r="E67" s="13">
        <v>0.97</v>
      </c>
      <c r="F67" s="12">
        <f>F$74*('NEMS Net Load'!$C$26/('NEMS Net Load'!$C$26+'NEMS Net Load'!$C$25))</f>
        <v>10.068634863547658</v>
      </c>
      <c r="G67" s="12">
        <f>G$74*('NEMS Net Load'!$C$26/('NEMS Net Load'!$C$26+'NEMS Net Load'!$C$25))</f>
        <v>10.068634863547658</v>
      </c>
      <c r="H67" s="12">
        <f>H$74*('NEMS Net Load'!$C$26/('NEMS Net Load'!$C$26+'NEMS Net Load'!$C$25))</f>
        <v>10.660907502579873</v>
      </c>
      <c r="I67" s="12">
        <f>I$74*('NEMS Net Load'!$C$26/('NEMS Net Load'!$C$26+'NEMS Net Load'!$C$25))</f>
        <v>10.660907502579873</v>
      </c>
      <c r="J67" s="12">
        <f>J$74*('NEMS Net Load'!$C$26/('NEMS Net Load'!$C$26+'NEMS Net Load'!$C$25))</f>
        <v>10.660907502579873</v>
      </c>
      <c r="K67" s="12">
        <f>K$74*('NEMS Net Load'!$C$26/('NEMS Net Load'!$C$26+'NEMS Net Load'!$C$25))</f>
        <v>11.253180141612088</v>
      </c>
      <c r="L67" s="12">
        <f>L$74*('NEMS Net Load'!$C$26/('NEMS Net Load'!$C$26+'NEMS Net Load'!$C$25))</f>
        <v>11.845452780644303</v>
      </c>
      <c r="M67" s="12">
        <f>M$74*('NEMS Net Load'!$C$26/('NEMS Net Load'!$C$26+'NEMS Net Load'!$C$25))</f>
        <v>11.845452780644303</v>
      </c>
      <c r="N67" s="11">
        <f t="shared" si="24"/>
        <v>0.11424331758145151</v>
      </c>
      <c r="O67" s="11">
        <f t="shared" si="25"/>
        <v>0.11230213016111854</v>
      </c>
      <c r="P67" s="11">
        <f t="shared" si="26"/>
        <v>0.11810381338928813</v>
      </c>
      <c r="Q67" s="11">
        <f t="shared" si="27"/>
        <v>0.11552385658438705</v>
      </c>
      <c r="R67" s="11">
        <f t="shared" si="28"/>
        <v>0.11364774958730212</v>
      </c>
      <c r="S67" s="11">
        <f t="shared" si="29"/>
        <v>0.11482549630016006</v>
      </c>
      <c r="T67" s="11">
        <f t="shared" si="30"/>
        <v>0.11829310438339211</v>
      </c>
      <c r="U67" s="11">
        <f t="shared" si="31"/>
        <v>0.11535066405588799</v>
      </c>
    </row>
    <row r="68" spans="1:21" x14ac:dyDescent="0.3">
      <c r="A68" s="13" t="s">
        <v>86</v>
      </c>
      <c r="B68" s="13" t="s">
        <v>106</v>
      </c>
      <c r="C68" s="13"/>
      <c r="D68" s="13">
        <v>0.03</v>
      </c>
      <c r="E68" s="13">
        <v>0.97</v>
      </c>
      <c r="F68" s="12">
        <f>F$74*('NEMS Net Load'!$C$25/('NEMS Net Load'!$C$26+'NEMS Net Load'!$C$25))</f>
        <v>6.9313651364523414</v>
      </c>
      <c r="G68" s="12">
        <f>G$74*('NEMS Net Load'!$C$25/('NEMS Net Load'!$C$26+'NEMS Net Load'!$C$25))</f>
        <v>6.9313651364523414</v>
      </c>
      <c r="H68" s="12">
        <f>H$74*('NEMS Net Load'!$C$25/('NEMS Net Load'!$C$26+'NEMS Net Load'!$C$25))</f>
        <v>7.3390924974201264</v>
      </c>
      <c r="I68" s="12">
        <f>I$74*('NEMS Net Load'!$C$25/('NEMS Net Load'!$C$26+'NEMS Net Load'!$C$25))</f>
        <v>7.3390924974201264</v>
      </c>
      <c r="J68" s="12">
        <f>J$74*('NEMS Net Load'!$C$25/('NEMS Net Load'!$C$26+'NEMS Net Load'!$C$25))</f>
        <v>7.3390924974201264</v>
      </c>
      <c r="K68" s="12">
        <f>K$74*('NEMS Net Load'!$C$25/('NEMS Net Load'!$C$26+'NEMS Net Load'!$C$25))</f>
        <v>7.7468198583879104</v>
      </c>
      <c r="L68" s="12">
        <f>L$74*('NEMS Net Load'!$C$25/('NEMS Net Load'!$C$26+'NEMS Net Load'!$C$25))</f>
        <v>8.1545472193556954</v>
      </c>
      <c r="M68" s="12">
        <f>M$74*('NEMS Net Load'!$C$25/('NEMS Net Load'!$C$26+'NEMS Net Load'!$C$25))</f>
        <v>8.1545472193556954</v>
      </c>
      <c r="N68" s="11">
        <f t="shared" si="24"/>
        <v>9.753795197657103E-2</v>
      </c>
      <c r="O68" s="11">
        <f t="shared" si="25"/>
        <v>9.4787745441311633E-2</v>
      </c>
      <c r="P68" s="11">
        <f t="shared" si="26"/>
        <v>9.841040959632455E-2</v>
      </c>
      <c r="Q68" s="11">
        <f t="shared" si="27"/>
        <v>9.4491710565020398E-2</v>
      </c>
      <c r="R68" s="11">
        <f t="shared" si="28"/>
        <v>9.0873145138003278E-2</v>
      </c>
      <c r="S68" s="11">
        <f t="shared" si="29"/>
        <v>9.192302863467576E-2</v>
      </c>
      <c r="T68" s="11">
        <f t="shared" si="30"/>
        <v>9.3992672578431163E-2</v>
      </c>
      <c r="U68" s="11">
        <f t="shared" si="31"/>
        <v>9.181071757751591E-2</v>
      </c>
    </row>
    <row r="70" spans="1:21" x14ac:dyDescent="0.3">
      <c r="A70" t="s">
        <v>153</v>
      </c>
    </row>
    <row r="71" spans="1:21" x14ac:dyDescent="0.3">
      <c r="A71" t="s">
        <v>32</v>
      </c>
      <c r="B71" t="s">
        <v>136</v>
      </c>
      <c r="C71" t="s">
        <v>135</v>
      </c>
      <c r="D71">
        <v>0.01</v>
      </c>
      <c r="E71">
        <v>0.99</v>
      </c>
      <c r="F71">
        <f>INDEX('IPM Load'!B:B,MATCH('Cost-of-Service Shares'!$A71,'IPM Load'!$A:$A,0))</f>
        <v>8</v>
      </c>
      <c r="G71">
        <f>INDEX('IPM Load'!C:C,MATCH('Cost-of-Service Shares'!$A71,'IPM Load'!$A:$A,0))</f>
        <v>9</v>
      </c>
      <c r="H71">
        <f>INDEX('IPM Load'!D:D,MATCH('Cost-of-Service Shares'!$A71,'IPM Load'!$A:$A,0))</f>
        <v>9</v>
      </c>
      <c r="I71">
        <f>INDEX('IPM Load'!E:E,MATCH('Cost-of-Service Shares'!$A71,'IPM Load'!$A:$A,0))</f>
        <v>9</v>
      </c>
      <c r="J71">
        <f>INDEX('IPM Load'!F:F,MATCH('Cost-of-Service Shares'!$A71,'IPM Load'!$A:$A,0))</f>
        <v>9</v>
      </c>
      <c r="K71">
        <f>INDEX('IPM Load'!G:G,MATCH('Cost-of-Service Shares'!$A71,'IPM Load'!$A:$A,0))</f>
        <v>10</v>
      </c>
      <c r="L71">
        <f>INDEX('IPM Load'!H:H,MATCH('Cost-of-Service Shares'!$A71,'IPM Load'!$A:$A,0))</f>
        <v>10</v>
      </c>
      <c r="M71">
        <f>INDEX('IPM Load'!I:I,MATCH('Cost-of-Service Shares'!$A71,'IPM Load'!$A:$A,0))</f>
        <v>10</v>
      </c>
    </row>
    <row r="72" spans="1:21" x14ac:dyDescent="0.3">
      <c r="A72" t="s">
        <v>60</v>
      </c>
      <c r="B72" t="s">
        <v>137</v>
      </c>
      <c r="C72" t="s">
        <v>133</v>
      </c>
      <c r="D72">
        <v>0</v>
      </c>
      <c r="E72">
        <v>1</v>
      </c>
      <c r="F72">
        <f>INDEX('IPM Load'!B:B,MATCH('Cost-of-Service Shares'!$A72,'IPM Load'!$A:$A,0))</f>
        <v>18</v>
      </c>
      <c r="G72">
        <f>INDEX('IPM Load'!C:C,MATCH('Cost-of-Service Shares'!$A72,'IPM Load'!$A:$A,0))</f>
        <v>19</v>
      </c>
      <c r="H72">
        <f>INDEX('IPM Load'!D:D,MATCH('Cost-of-Service Shares'!$A72,'IPM Load'!$A:$A,0))</f>
        <v>19</v>
      </c>
      <c r="I72">
        <f>INDEX('IPM Load'!E:E,MATCH('Cost-of-Service Shares'!$A72,'IPM Load'!$A:$A,0))</f>
        <v>19</v>
      </c>
      <c r="J72">
        <f>INDEX('IPM Load'!F:F,MATCH('Cost-of-Service Shares'!$A72,'IPM Load'!$A:$A,0))</f>
        <v>20</v>
      </c>
      <c r="K72">
        <f>INDEX('IPM Load'!G:G,MATCH('Cost-of-Service Shares'!$A72,'IPM Load'!$A:$A,0))</f>
        <v>21</v>
      </c>
      <c r="L72">
        <f>INDEX('IPM Load'!H:H,MATCH('Cost-of-Service Shares'!$A72,'IPM Load'!$A:$A,0))</f>
        <v>21</v>
      </c>
      <c r="M72">
        <f>INDEX('IPM Load'!I:I,MATCH('Cost-of-Service Shares'!$A72,'IPM Load'!$A:$A,0))</f>
        <v>22</v>
      </c>
    </row>
    <row r="73" spans="1:21" x14ac:dyDescent="0.3">
      <c r="A73" t="s">
        <v>83</v>
      </c>
      <c r="B73" t="s">
        <v>148</v>
      </c>
      <c r="C73" t="s">
        <v>105</v>
      </c>
      <c r="D73">
        <v>0.02</v>
      </c>
      <c r="E73">
        <v>0.98</v>
      </c>
      <c r="F73">
        <f>INDEX('IPM Load'!B:B,MATCH('Cost-of-Service Shares'!$A73,'IPM Load'!$A:$A,0))</f>
        <v>26</v>
      </c>
      <c r="G73">
        <f>INDEX('IPM Load'!C:C,MATCH('Cost-of-Service Shares'!$A73,'IPM Load'!$A:$A,0))</f>
        <v>27</v>
      </c>
      <c r="H73">
        <f>INDEX('IPM Load'!D:D,MATCH('Cost-of-Service Shares'!$A73,'IPM Load'!$A:$A,0))</f>
        <v>27</v>
      </c>
      <c r="I73">
        <f>INDEX('IPM Load'!E:E,MATCH('Cost-of-Service Shares'!$A73,'IPM Load'!$A:$A,0))</f>
        <v>29</v>
      </c>
      <c r="J73">
        <f>INDEX('IPM Load'!F:F,MATCH('Cost-of-Service Shares'!$A73,'IPM Load'!$A:$A,0))</f>
        <v>30</v>
      </c>
      <c r="K73">
        <f>INDEX('IPM Load'!G:G,MATCH('Cost-of-Service Shares'!$A73,'IPM Load'!$A:$A,0))</f>
        <v>31</v>
      </c>
      <c r="L73">
        <f>INDEX('IPM Load'!H:H,MATCH('Cost-of-Service Shares'!$A73,'IPM Load'!$A:$A,0))</f>
        <v>32</v>
      </c>
      <c r="M73">
        <f>INDEX('IPM Load'!I:I,MATCH('Cost-of-Service Shares'!$A73,'IPM Load'!$A:$A,0))</f>
        <v>33</v>
      </c>
    </row>
    <row r="74" spans="1:21" x14ac:dyDescent="0.3">
      <c r="A74" t="s">
        <v>86</v>
      </c>
      <c r="B74" t="s">
        <v>148</v>
      </c>
      <c r="C74" t="s">
        <v>106</v>
      </c>
      <c r="D74">
        <v>0.03</v>
      </c>
      <c r="E74">
        <v>0.97</v>
      </c>
      <c r="F74">
        <f>INDEX('IPM Load'!B:B,MATCH('Cost-of-Service Shares'!$A74,'IPM Load'!$A:$A,0))</f>
        <v>17</v>
      </c>
      <c r="G74">
        <f>INDEX('IPM Load'!C:C,MATCH('Cost-of-Service Shares'!$A74,'IPM Load'!$A:$A,0))</f>
        <v>17</v>
      </c>
      <c r="H74">
        <f>INDEX('IPM Load'!D:D,MATCH('Cost-of-Service Shares'!$A74,'IPM Load'!$A:$A,0))</f>
        <v>18</v>
      </c>
      <c r="I74">
        <f>INDEX('IPM Load'!E:E,MATCH('Cost-of-Service Shares'!$A74,'IPM Load'!$A:$A,0))</f>
        <v>18</v>
      </c>
      <c r="J74">
        <f>INDEX('IPM Load'!F:F,MATCH('Cost-of-Service Shares'!$A74,'IPM Load'!$A:$A,0))</f>
        <v>18</v>
      </c>
      <c r="K74">
        <f>INDEX('IPM Load'!G:G,MATCH('Cost-of-Service Shares'!$A74,'IPM Load'!$A:$A,0))</f>
        <v>19</v>
      </c>
      <c r="L74">
        <f>INDEX('IPM Load'!H:H,MATCH('Cost-of-Service Shares'!$A74,'IPM Load'!$A:$A,0))</f>
        <v>20</v>
      </c>
      <c r="M74">
        <f>INDEX('IPM Load'!I:I,MATCH('Cost-of-Service Shares'!$A74,'IPM Load'!$A:$A,0))</f>
        <v>20</v>
      </c>
    </row>
  </sheetData>
  <mergeCells count="8">
    <mergeCell ref="BI1:BP1"/>
    <mergeCell ref="BQ1:BV1"/>
    <mergeCell ref="F1:M1"/>
    <mergeCell ref="Z1:AG1"/>
    <mergeCell ref="AJ1:AQ1"/>
    <mergeCell ref="N1:U1"/>
    <mergeCell ref="AS1:AZ1"/>
    <mergeCell ref="BA1:B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BF10"/>
  <sheetViews>
    <sheetView tabSelected="1" workbookViewId="0">
      <selection sqref="A1:XFD1048576"/>
    </sheetView>
  </sheetViews>
  <sheetFormatPr defaultRowHeight="14.4" x14ac:dyDescent="0.3"/>
  <cols>
    <col min="1" max="1" width="31" customWidth="1"/>
    <col min="2" max="26" width="10.44140625" customWidth="1"/>
    <col min="27" max="27" width="13.21875" customWidth="1"/>
    <col min="28" max="28" width="11.21875" customWidth="1"/>
    <col min="29" max="31" width="10.44140625" customWidth="1"/>
  </cols>
  <sheetData>
    <row r="1" spans="1:58" x14ac:dyDescent="0.3">
      <c r="A1" s="6" t="s">
        <v>2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  <c r="AF1" s="5">
        <v>2051</v>
      </c>
      <c r="AG1" s="5">
        <v>2052</v>
      </c>
      <c r="AH1" s="5">
        <v>2053</v>
      </c>
      <c r="AI1" s="5">
        <v>2054</v>
      </c>
      <c r="AJ1" s="5">
        <v>2055</v>
      </c>
      <c r="AK1" s="5">
        <v>2056</v>
      </c>
      <c r="AL1" s="5">
        <v>2057</v>
      </c>
      <c r="AM1" s="5">
        <v>2058</v>
      </c>
      <c r="AN1" s="5">
        <v>2059</v>
      </c>
      <c r="AO1" s="5">
        <v>2060</v>
      </c>
      <c r="AP1" s="5">
        <v>2061</v>
      </c>
      <c r="AQ1" s="5">
        <v>2062</v>
      </c>
      <c r="AR1" s="5">
        <v>2063</v>
      </c>
      <c r="AS1" s="5">
        <v>2064</v>
      </c>
      <c r="AT1" s="5">
        <v>2065</v>
      </c>
      <c r="AU1" s="5">
        <v>2066</v>
      </c>
      <c r="AV1" s="5">
        <v>2067</v>
      </c>
      <c r="AW1" s="5">
        <v>2068</v>
      </c>
      <c r="AX1" s="5">
        <v>2069</v>
      </c>
      <c r="AY1" s="5">
        <v>2070</v>
      </c>
      <c r="AZ1" s="5"/>
      <c r="BA1" s="5"/>
      <c r="BB1" s="5"/>
      <c r="BC1" s="5"/>
      <c r="BD1" s="5"/>
      <c r="BE1" s="5"/>
      <c r="BF1" s="5"/>
    </row>
    <row r="2" spans="1:58" x14ac:dyDescent="0.3">
      <c r="A2" t="s">
        <v>3</v>
      </c>
      <c r="B2" s="14">
        <v>1</v>
      </c>
      <c r="C2" s="14">
        <v>1</v>
      </c>
      <c r="D2" s="14">
        <v>1</v>
      </c>
      <c r="E2" s="14">
        <v>1</v>
      </c>
      <c r="F2" s="14">
        <v>1</v>
      </c>
      <c r="G2" s="14">
        <v>1</v>
      </c>
      <c r="H2" s="14">
        <v>1</v>
      </c>
      <c r="I2" s="14">
        <v>1</v>
      </c>
      <c r="J2" s="14">
        <v>1</v>
      </c>
      <c r="K2" s="14">
        <v>1</v>
      </c>
      <c r="L2" s="14">
        <v>1</v>
      </c>
      <c r="M2" s="14">
        <v>1</v>
      </c>
      <c r="N2" s="14">
        <v>1</v>
      </c>
      <c r="O2" s="14">
        <v>1</v>
      </c>
      <c r="P2" s="14">
        <v>1</v>
      </c>
      <c r="Q2" s="14">
        <v>1</v>
      </c>
      <c r="R2" s="14">
        <v>1</v>
      </c>
      <c r="S2" s="14">
        <v>1</v>
      </c>
      <c r="T2" s="14">
        <v>1</v>
      </c>
      <c r="U2" s="14">
        <v>1</v>
      </c>
      <c r="V2" s="14">
        <v>1</v>
      </c>
      <c r="W2" s="14">
        <v>1</v>
      </c>
      <c r="X2" s="14">
        <v>1</v>
      </c>
      <c r="Y2" s="14">
        <v>1</v>
      </c>
      <c r="Z2" s="14">
        <v>1</v>
      </c>
      <c r="AA2" s="14">
        <v>1</v>
      </c>
      <c r="AB2" s="14">
        <v>1</v>
      </c>
      <c r="AC2" s="14">
        <v>1</v>
      </c>
      <c r="AD2" s="14">
        <v>1</v>
      </c>
      <c r="AE2" s="14">
        <v>1</v>
      </c>
      <c r="AF2" s="14">
        <v>1</v>
      </c>
      <c r="AG2" s="14">
        <v>1</v>
      </c>
      <c r="AH2" s="14">
        <v>1</v>
      </c>
      <c r="AI2" s="14">
        <v>1</v>
      </c>
      <c r="AJ2" s="14">
        <v>1</v>
      </c>
      <c r="AK2" s="14">
        <v>1</v>
      </c>
      <c r="AL2" s="14">
        <v>1</v>
      </c>
      <c r="AM2" s="14">
        <v>1</v>
      </c>
      <c r="AN2" s="14">
        <v>1</v>
      </c>
      <c r="AO2" s="14">
        <v>1</v>
      </c>
      <c r="AP2" s="14">
        <v>1</v>
      </c>
      <c r="AQ2" s="14">
        <v>1</v>
      </c>
      <c r="AR2" s="14">
        <v>1</v>
      </c>
      <c r="AS2" s="14">
        <v>1</v>
      </c>
      <c r="AT2" s="14">
        <v>1</v>
      </c>
      <c r="AU2" s="14">
        <v>1</v>
      </c>
      <c r="AV2" s="14">
        <v>1</v>
      </c>
      <c r="AW2" s="14">
        <v>1</v>
      </c>
      <c r="AX2" s="14">
        <v>1</v>
      </c>
      <c r="AY2" s="14">
        <v>1</v>
      </c>
    </row>
    <row r="10" spans="1:58" x14ac:dyDescent="0.3">
      <c r="F10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NEMS Net Load</vt:lpstr>
      <vt:lpstr>IPM Load</vt:lpstr>
      <vt:lpstr>Cost-of-Service Shares</vt:lpstr>
      <vt:lpstr>SoEDtICoS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Rachel Goldstein</cp:lastModifiedBy>
  <dcterms:created xsi:type="dcterms:W3CDTF">2020-06-18T16:32:51Z</dcterms:created>
  <dcterms:modified xsi:type="dcterms:W3CDTF">2025-10-23T22:15:34Z</dcterms:modified>
</cp:coreProperties>
</file>