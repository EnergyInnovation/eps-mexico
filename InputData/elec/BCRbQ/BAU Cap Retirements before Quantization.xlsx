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RobbieOrvis\Models\Mexico\Models\eps-mexico\InputData\elec\BCRbQ\"/>
    </mc:Choice>
  </mc:AlternateContent>
  <xr:revisionPtr revIDLastSave="0" documentId="13_ncr:1_{4C0CEAB0-45F4-4D7A-9A20-26D0208E06A4}" xr6:coauthVersionLast="47" xr6:coauthVersionMax="47" xr10:uidLastSave="{00000000-0000-0000-0000-000000000000}"/>
  <bookViews>
    <workbookView xWindow="14970" yWindow="2190" windowWidth="24510" windowHeight="17910" xr2:uid="{00000000-000D-0000-FFFF-FFFF00000000}"/>
  </bookViews>
  <sheets>
    <sheet name="About" sheetId="1" r:id="rId1"/>
    <sheet name="Data" sheetId="3" r:id="rId2"/>
    <sheet name="BCRbQ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C3" i="2"/>
  <c r="D3" i="2"/>
  <c r="B4" i="2"/>
  <c r="C4" i="2"/>
  <c r="D4" i="2"/>
  <c r="B5" i="2"/>
  <c r="C5" i="2"/>
  <c r="D5" i="2"/>
  <c r="B6" i="2"/>
  <c r="C6" i="2"/>
  <c r="D6" i="2"/>
  <c r="B7" i="2"/>
  <c r="C7" i="2"/>
  <c r="D7" i="2"/>
  <c r="B8" i="2"/>
  <c r="C8" i="2"/>
  <c r="D8" i="2"/>
  <c r="B9" i="2"/>
  <c r="C9" i="2"/>
  <c r="D9" i="2"/>
  <c r="B10" i="2"/>
  <c r="C10" i="2"/>
  <c r="D10" i="2"/>
  <c r="B11" i="2"/>
  <c r="C11" i="2"/>
  <c r="D11" i="2"/>
  <c r="B12" i="2"/>
  <c r="C12" i="2"/>
  <c r="D12" i="2"/>
  <c r="B13" i="2"/>
  <c r="C13" i="2"/>
  <c r="D13" i="2"/>
  <c r="B14" i="2"/>
  <c r="C14" i="2"/>
  <c r="D14" i="2"/>
  <c r="B15" i="2"/>
  <c r="C15" i="2"/>
  <c r="D15" i="2"/>
  <c r="B16" i="2"/>
  <c r="C16" i="2"/>
  <c r="D16" i="2"/>
  <c r="B17" i="2"/>
  <c r="C17" i="2"/>
  <c r="D17" i="2"/>
  <c r="B18" i="2"/>
  <c r="C18" i="2"/>
  <c r="D18" i="2"/>
  <c r="B19" i="2"/>
  <c r="C19" i="2"/>
  <c r="D19" i="2"/>
  <c r="B20" i="2"/>
  <c r="C20" i="2"/>
  <c r="D20" i="2"/>
  <c r="B21" i="2"/>
  <c r="C21" i="2"/>
  <c r="D21" i="2"/>
  <c r="B22" i="2"/>
  <c r="C22" i="2"/>
  <c r="D22" i="2"/>
  <c r="B23" i="2"/>
  <c r="C23" i="2"/>
  <c r="D23" i="2"/>
  <c r="B24" i="2"/>
  <c r="C24" i="2"/>
  <c r="D24" i="2"/>
  <c r="B25" i="2"/>
  <c r="C25" i="2"/>
  <c r="D25" i="2"/>
  <c r="C2" i="2"/>
  <c r="D2" i="2"/>
  <c r="B2" i="2"/>
  <c r="L75" i="3"/>
  <c r="M75" i="3"/>
  <c r="L76" i="3"/>
  <c r="M76" i="3"/>
  <c r="L77" i="3"/>
  <c r="M77" i="3"/>
  <c r="L78" i="3"/>
  <c r="M78" i="3"/>
  <c r="L79" i="3"/>
  <c r="M79" i="3"/>
  <c r="L80" i="3"/>
  <c r="M80" i="3"/>
  <c r="L81" i="3"/>
  <c r="M81" i="3"/>
  <c r="L82" i="3"/>
  <c r="M82" i="3"/>
  <c r="L83" i="3"/>
  <c r="M83" i="3"/>
  <c r="L84" i="3"/>
  <c r="M84" i="3"/>
  <c r="L85" i="3"/>
  <c r="M85" i="3"/>
  <c r="L86" i="3"/>
  <c r="M86" i="3"/>
  <c r="L87" i="3"/>
  <c r="M87" i="3"/>
  <c r="L88" i="3"/>
  <c r="M88" i="3"/>
  <c r="L89" i="3"/>
  <c r="M89" i="3"/>
  <c r="L90" i="3"/>
  <c r="M90" i="3"/>
  <c r="L91" i="3"/>
  <c r="M91" i="3"/>
  <c r="L92" i="3"/>
  <c r="M92" i="3"/>
  <c r="L93" i="3"/>
  <c r="M93" i="3"/>
  <c r="L94" i="3"/>
  <c r="M94" i="3"/>
  <c r="L95" i="3"/>
  <c r="M95" i="3"/>
  <c r="L96" i="3"/>
  <c r="M96" i="3"/>
  <c r="L97" i="3"/>
  <c r="M97" i="3"/>
  <c r="L98" i="3"/>
  <c r="M98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75" i="3"/>
</calcChain>
</file>

<file path=xl/sharedStrings.xml><?xml version="1.0" encoding="utf-8"?>
<sst xmlns="http://schemas.openxmlformats.org/spreadsheetml/2006/main" count="345" uniqueCount="50">
  <si>
    <t>BCRbQ BAU Capacity Retirements before Quantization</t>
  </si>
  <si>
    <t>Sources:</t>
  </si>
  <si>
    <t>Notes</t>
  </si>
  <si>
    <t>BAU Capacity Retirements (MW)</t>
  </si>
  <si>
    <t>hard coal</t>
  </si>
  <si>
    <t>natural gas steam turbine</t>
  </si>
  <si>
    <t>natural gas combined cycle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</si>
  <si>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</si>
  <si>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</si>
  <si>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</si>
  <si>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</si>
  <si>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</si>
  <si>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</si>
  <si>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</si>
  <si>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</si>
  <si>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</si>
  <si>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</si>
  <si>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</si>
  <si>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</si>
  <si>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</si>
  <si>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</si>
  <si>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</si>
  <si>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</si>
  <si>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</si>
  <si>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</si>
  <si>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</si>
  <si>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</si>
  <si>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</si>
  <si>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(see BHRaSYC.csv)</t>
  </si>
  <si>
    <t>Evolución de la capacidad (MW)</t>
  </si>
  <si>
    <t>Ciclo combinado</t>
  </si>
  <si>
    <t>Termoeléctrica convencional</t>
  </si>
  <si>
    <t>Carboeléctrica</t>
  </si>
  <si>
    <t>Turbogás</t>
  </si>
  <si>
    <t>Combustión Interna</t>
  </si>
  <si>
    <t>Nuclear</t>
  </si>
  <si>
    <t>Hidroeléctrica</t>
  </si>
  <si>
    <t>Eólica</t>
  </si>
  <si>
    <t>Geotérmica</t>
  </si>
  <si>
    <t>Solar</t>
  </si>
  <si>
    <t>Biomasa</t>
  </si>
  <si>
    <t>Evolución de la generación (MWh)</t>
  </si>
  <si>
    <t>Consumo de combustibles (PJ)</t>
  </si>
  <si>
    <t>Regimen térmico, incluye usos propios (GJ/MWh)</t>
  </si>
  <si>
    <t>Capacity (MW)</t>
  </si>
  <si>
    <t>solar PV</t>
  </si>
  <si>
    <t>Heat rate (GJ/MWh)</t>
  </si>
  <si>
    <t>Heat rate (BTU/MWh)</t>
  </si>
  <si>
    <t/>
  </si>
  <si>
    <t>Retirements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</si>
</sst>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2"/>
      <color theme="4"/>
      <name val="Calibri"/>
      <family val="2"/>
      <scheme val="minor"/>
    </font>
    <font>
      <b/>
      <sz val="12"/>
      <color indexed="30"/>
      <name val="Calibri"/>
      <family val="2"/>
    </font>
    <font>
      <sz val="9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sz val="10"/>
      <color rgb="FF000000"/>
      <name val="Calibri"/>
      <family val="2"/>
      <scheme val="minor"/>
    </font>
    <font>
      <sz val="11"/>
      <color theme="1"/>
      <name val="Arial"/>
      <family val="2"/>
    </font>
    <font>
      <sz val="11"/>
      <color rgb="FF9C650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theme="4"/>
      </top>
      <bottom/>
      <diagonal/>
    </border>
    <border>
      <left/>
      <right/>
      <top style="medium">
        <color rgb="FF0096D7"/>
      </top>
      <bottom/>
      <diagonal/>
    </border>
  </borders>
  <cellStyleXfs count="67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5" borderId="4" applyNumberFormat="0" applyAlignment="0" applyProtection="0"/>
    <xf numFmtId="0" fontId="9" fillId="6" borderId="5" applyNumberFormat="0" applyAlignment="0" applyProtection="0"/>
    <xf numFmtId="0" fontId="10" fillId="6" borderId="4" applyNumberFormat="0" applyAlignment="0" applyProtection="0"/>
    <xf numFmtId="0" fontId="11" fillId="0" borderId="6" applyNumberFormat="0" applyFill="0" applyAlignment="0" applyProtection="0"/>
    <xf numFmtId="0" fontId="12" fillId="7" borderId="7" applyNumberFormat="0" applyAlignment="0" applyProtection="0"/>
    <xf numFmtId="0" fontId="13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6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6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6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6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6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164" fontId="17" fillId="0" borderId="0"/>
    <xf numFmtId="0" fontId="18" fillId="0" borderId="0">
      <alignment horizontal="left"/>
    </xf>
    <xf numFmtId="0" fontId="20" fillId="0" borderId="0"/>
    <xf numFmtId="0" fontId="23" fillId="0" borderId="1">
      <alignment wrapText="1"/>
    </xf>
    <xf numFmtId="0" fontId="23" fillId="0" borderId="11">
      <alignment wrapText="1"/>
    </xf>
    <xf numFmtId="0" fontId="20" fillId="0" borderId="13">
      <alignment wrapText="1"/>
    </xf>
    <xf numFmtId="0" fontId="20" fillId="0" borderId="15">
      <alignment vertical="top" wrapText="1"/>
    </xf>
    <xf numFmtId="0" fontId="21" fillId="0" borderId="0"/>
    <xf numFmtId="0" fontId="21" fillId="0" borderId="16">
      <alignment wrapText="1"/>
    </xf>
    <xf numFmtId="0" fontId="22" fillId="0" borderId="12">
      <alignment wrapText="1"/>
    </xf>
    <xf numFmtId="0" fontId="21" fillId="0" borderId="14">
      <alignment wrapText="1"/>
    </xf>
    <xf numFmtId="0" fontId="22" fillId="0" borderId="10">
      <alignment wrapText="1"/>
    </xf>
    <xf numFmtId="0" fontId="21" fillId="0" borderId="0"/>
    <xf numFmtId="0" fontId="19" fillId="0" borderId="0">
      <alignment horizontal="left"/>
    </xf>
    <xf numFmtId="0" fontId="25" fillId="0" borderId="0"/>
    <xf numFmtId="0" fontId="1" fillId="0" borderId="0"/>
    <xf numFmtId="0" fontId="25" fillId="0" borderId="0"/>
    <xf numFmtId="164" fontId="25" fillId="0" borderId="0"/>
    <xf numFmtId="9" fontId="25" fillId="0" borderId="0"/>
    <xf numFmtId="0" fontId="26" fillId="0" borderId="0"/>
    <xf numFmtId="0" fontId="24" fillId="0" borderId="0" applyNumberFormat="0" applyFill="0" applyBorder="0" applyAlignment="0" applyProtection="0"/>
    <xf numFmtId="0" fontId="17" fillId="0" borderId="0"/>
    <xf numFmtId="0" fontId="27" fillId="0" borderId="0"/>
    <xf numFmtId="0" fontId="28" fillId="4" borderId="0" applyNumberFormat="0" applyBorder="0" applyAlignment="0" applyProtection="0"/>
    <xf numFmtId="0" fontId="16" fillId="12" borderId="0" applyNumberFormat="0" applyBorder="0" applyAlignment="0" applyProtection="0"/>
    <xf numFmtId="0" fontId="16" fillId="16" borderId="0" applyNumberFormat="0" applyBorder="0" applyAlignment="0" applyProtection="0"/>
    <xf numFmtId="0" fontId="16" fillId="20" borderId="0" applyNumberFormat="0" applyBorder="0" applyAlignment="0" applyProtection="0"/>
    <xf numFmtId="0" fontId="16" fillId="24" borderId="0" applyNumberFormat="0" applyBorder="0" applyAlignment="0" applyProtection="0"/>
    <xf numFmtId="0" fontId="16" fillId="28" borderId="0" applyNumberFormat="0" applyBorder="0" applyAlignment="0" applyProtection="0"/>
    <xf numFmtId="0" fontId="16" fillId="32" borderId="0" applyNumberFormat="0" applyBorder="0" applyAlignment="0" applyProtection="0"/>
    <xf numFmtId="0" fontId="27" fillId="0" borderId="0"/>
    <xf numFmtId="164" fontId="17" fillId="0" borderId="0" applyFont="0" applyFill="0" applyBorder="0" applyAlignment="0" applyProtection="0"/>
  </cellStyleXfs>
  <cellXfs count="3">
    <xf numFmtId="0" fontId="0" fillId="0" borderId="0" xfId="0"/>
    <xf numFmtId="0" fontId="15" fillId="0" borderId="0" xfId="0" applyFont="1"/>
    <xf numFmtId="0" fontId="0" fillId="33" borderId="0" xfId="0" applyFill="1"/>
  </cellXfs>
  <cellStyles count="67">
    <cellStyle name="20% - Accent1" xfId="18" builtinId="30" customBuiltin="1"/>
    <cellStyle name="20% - Accent2" xfId="21" builtinId="34" customBuiltin="1"/>
    <cellStyle name="20% - Accent3" xfId="24" builtinId="38" customBuiltin="1"/>
    <cellStyle name="20% - Accent4" xfId="27" builtinId="42" customBuiltin="1"/>
    <cellStyle name="20% - Accent5" xfId="30" builtinId="46" customBuiltin="1"/>
    <cellStyle name="20% - Accent6" xfId="33" builtinId="50" customBuiltin="1"/>
    <cellStyle name="40% - Accent1" xfId="19" builtinId="31" customBuiltin="1"/>
    <cellStyle name="40% - Accent2" xfId="22" builtinId="35" customBuiltin="1"/>
    <cellStyle name="40% - Accent3" xfId="25" builtinId="39" customBuiltin="1"/>
    <cellStyle name="40% - Accent4" xfId="28" builtinId="43" customBuiltin="1"/>
    <cellStyle name="40% - Accent5" xfId="31" builtinId="47" customBuiltin="1"/>
    <cellStyle name="40% - Accent6" xfId="34" builtinId="51" customBuiltin="1"/>
    <cellStyle name="60% - Accent1 2" xfId="59" xr:uid="{B63AF9A4-4CA3-48B9-B095-0A771B0B8AEC}"/>
    <cellStyle name="60% - Accent2 2" xfId="60" xr:uid="{F2B3311A-C308-441F-B45C-740FA5473352}"/>
    <cellStyle name="60% - Accent3 2" xfId="61" xr:uid="{56CF9999-F6A3-4764-B47F-016C7E330297}"/>
    <cellStyle name="60% - Accent4 2" xfId="62" xr:uid="{309EF1A0-86AE-4239-8487-3E6892063F13}"/>
    <cellStyle name="60% - Accent5 2" xfId="63" xr:uid="{50DA0554-A99D-4665-A24C-EC07A64CF8A1}"/>
    <cellStyle name="60% - Accent6 2" xfId="64" xr:uid="{990B34EC-69B1-4FF2-BFE8-1043CABCD89C}"/>
    <cellStyle name="Accent1" xfId="17" builtinId="29" customBuiltin="1"/>
    <cellStyle name="Accent2" xfId="20" builtinId="33" customBuiltin="1"/>
    <cellStyle name="Accent3" xfId="23" builtinId="37" customBuiltin="1"/>
    <cellStyle name="Accent4" xfId="26" builtinId="41" customBuiltin="1"/>
    <cellStyle name="Accent5" xfId="29" builtinId="45" customBuiltin="1"/>
    <cellStyle name="Accent6" xfId="32" builtinId="49" customBuiltin="1"/>
    <cellStyle name="Bad" xfId="7" builtinId="27" customBuiltin="1"/>
    <cellStyle name="Body: normal cell" xfId="40" xr:uid="{24A26249-D12E-4B2E-9FC9-C860B49D4FB4}"/>
    <cellStyle name="Body: normal cell 2" xfId="45" xr:uid="{E8619ED0-6EC5-4070-94F1-95F2A73EBC4E}"/>
    <cellStyle name="Calculation" xfId="10" builtinId="22" customBuiltin="1"/>
    <cellStyle name="Check Cell" xfId="12" builtinId="23" customBuiltin="1"/>
    <cellStyle name="Comma 2" xfId="35" xr:uid="{FDBC174F-1FDF-4D5B-B170-1614B36BAB64}"/>
    <cellStyle name="Comma 2 2" xfId="66" xr:uid="{7A8BFAD8-FA3B-4E12-9AEF-626547C60AEE}"/>
    <cellStyle name="Comma 3" xfId="52" xr:uid="{ECD22F51-A8B0-476D-A757-9B864DCFE8FE}"/>
    <cellStyle name="Explanatory Text" xfId="15" builtinId="53" customBuiltin="1"/>
    <cellStyle name="Font: Calibri, 9pt regular" xfId="37" xr:uid="{89DD3926-12CF-4B5B-90EB-19049D00D0E4}"/>
    <cellStyle name="Font: Calibri, 9pt regular 2" xfId="47" xr:uid="{1FB903BE-3B46-495B-869A-FED7A12B5A9E}"/>
    <cellStyle name="Footnotes: top row" xfId="41" xr:uid="{EAD2A2DB-6099-4F6D-A0B3-2BA15B9B92F3}"/>
    <cellStyle name="Footnotes: top row 2" xfId="43" xr:uid="{99B6D01F-284A-446B-9F5C-2AB7A258CACF}"/>
    <cellStyle name="Good" xfId="6" builtinId="26" customBuiltin="1"/>
    <cellStyle name="Header: bottom row" xfId="38" xr:uid="{CAC05F8D-BB19-4E6B-9EE4-38481B95F5F7}"/>
    <cellStyle name="Header: bottom row 2" xfId="46" xr:uid="{4E975669-1CDE-4060-810A-1D450FCF1689}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 2" xfId="55" xr:uid="{829AB0AF-0FDB-418C-96A9-9F6C45EAB6F4}"/>
    <cellStyle name="Input" xfId="8" builtinId="20" customBuiltin="1"/>
    <cellStyle name="Linked Cell" xfId="11" builtinId="24" customBuiltin="1"/>
    <cellStyle name="Neutral 2" xfId="58" xr:uid="{D7639668-9C51-4E62-BECC-DDDFE8493BC1}"/>
    <cellStyle name="Normal" xfId="0" builtinId="0"/>
    <cellStyle name="Normal 2" xfId="42" xr:uid="{E5B69F3D-75BE-4FA5-A4C9-1A7D2D139A6C}"/>
    <cellStyle name="Normal 2 2" xfId="50" xr:uid="{CAAF58FF-A984-4CF9-98B7-0E4A4FE79A9F}"/>
    <cellStyle name="Normal 2 2 2" xfId="51" xr:uid="{66AEED94-3A92-4DDA-B5A5-3DA8A6A01F63}"/>
    <cellStyle name="Normal 2 2 3" xfId="56" xr:uid="{89729E05-358E-456D-816E-094BB1A15F27}"/>
    <cellStyle name="Normal 3" xfId="49" xr:uid="{BDAF723F-B0DB-447B-A853-D26867BB65BA}"/>
    <cellStyle name="Normal 3 2" xfId="65" xr:uid="{68CB0052-A745-46FD-9806-E9283B5B61E9}"/>
    <cellStyle name="Normal 3 3" xfId="57" xr:uid="{232BE1A5-A006-4D57-BEA5-23E37A49AB48}"/>
    <cellStyle name="Normal 4" xfId="54" xr:uid="{0800F6B4-B1F6-41B5-BB57-57C86D7274D0}"/>
    <cellStyle name="Note" xfId="14" builtinId="10" customBuiltin="1"/>
    <cellStyle name="Output" xfId="9" builtinId="21" customBuiltin="1"/>
    <cellStyle name="Parent row" xfId="39" xr:uid="{38E25424-0782-47A7-BA2F-1DF3B30BADF1}"/>
    <cellStyle name="Parent row 2" xfId="44" xr:uid="{FDD8A718-A2B6-4CBB-AA3E-6C8A5F434BC4}"/>
    <cellStyle name="Percent 2" xfId="53" xr:uid="{0509E5C8-DF39-4344-BA6D-4A03C0124F0A}"/>
    <cellStyle name="Table title" xfId="36" xr:uid="{21232BD2-6C22-4A6A-B1F1-A9BFDB39847C}"/>
    <cellStyle name="Table title 2" xfId="48" xr:uid="{F51A98F1-EE48-432F-A19F-DAE28DE41F7C}"/>
    <cellStyle name="Title" xfId="1" builtinId="15" customBuiltin="1"/>
    <cellStyle name="Total" xfId="16" builtinId="25" customBuiltin="1"/>
    <cellStyle name="Warning Text" xfId="13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tabSelected="1" workbookViewId="0">
      <selection activeCell="E12" sqref="E12"/>
    </sheetView>
  </sheetViews>
  <sheetFormatPr defaultColWidth="9.140625" defaultRowHeight="15" x14ac:dyDescent="0.25"/>
  <sheetData>
    <row r="1" spans="1:2" x14ac:dyDescent="0.25">
      <c r="A1" s="1" t="s">
        <v>0</v>
      </c>
    </row>
    <row r="3" spans="1:2" x14ac:dyDescent="0.25">
      <c r="A3" s="1" t="s">
        <v>1</v>
      </c>
      <c r="B3" t="s">
        <v>28</v>
      </c>
    </row>
    <row r="7" spans="1:2" x14ac:dyDescent="0.25">
      <c r="A7" s="1" t="s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25C2C-667F-44B3-B3C9-13331DE4E77A}">
  <dimension ref="A1:M152"/>
  <sheetViews>
    <sheetView topLeftCell="A62" workbookViewId="0">
      <selection activeCell="K75" sqref="K75:M98"/>
    </sheetView>
  </sheetViews>
  <sheetFormatPr defaultRowHeight="15" x14ac:dyDescent="0.25"/>
  <sheetData>
    <row r="1" spans="1:13" x14ac:dyDescent="0.25">
      <c r="A1" t="s">
        <v>29</v>
      </c>
    </row>
    <row r="2" spans="1:13" x14ac:dyDescent="0.25">
      <c r="B2">
        <v>2012</v>
      </c>
      <c r="C2">
        <v>2013</v>
      </c>
      <c r="D2">
        <v>2014</v>
      </c>
      <c r="E2">
        <v>2015</v>
      </c>
      <c r="F2">
        <v>2016</v>
      </c>
      <c r="G2">
        <v>2017</v>
      </c>
      <c r="H2">
        <v>2018</v>
      </c>
      <c r="I2">
        <v>2019</v>
      </c>
      <c r="J2">
        <v>2020</v>
      </c>
      <c r="K2">
        <v>2021</v>
      </c>
      <c r="L2">
        <v>2022</v>
      </c>
      <c r="M2">
        <v>2023</v>
      </c>
    </row>
    <row r="3" spans="1:13" x14ac:dyDescent="0.25">
      <c r="A3" t="s">
        <v>30</v>
      </c>
      <c r="B3">
        <v>18029</v>
      </c>
      <c r="C3">
        <v>22830</v>
      </c>
      <c r="D3">
        <v>23309</v>
      </c>
      <c r="E3">
        <v>24043</v>
      </c>
      <c r="F3">
        <v>27274</v>
      </c>
      <c r="G3">
        <v>28084</v>
      </c>
      <c r="H3">
        <v>30016</v>
      </c>
      <c r="I3">
        <v>31828</v>
      </c>
      <c r="J3">
        <v>31948</v>
      </c>
      <c r="K3">
        <v>33640</v>
      </c>
      <c r="L3">
        <v>34413</v>
      </c>
      <c r="M3">
        <v>35178</v>
      </c>
    </row>
    <row r="4" spans="1:13" x14ac:dyDescent="0.25">
      <c r="A4" t="s">
        <v>31</v>
      </c>
      <c r="B4">
        <v>13765</v>
      </c>
      <c r="C4">
        <v>15246</v>
      </c>
      <c r="D4">
        <v>14614</v>
      </c>
      <c r="E4">
        <v>13881</v>
      </c>
      <c r="F4">
        <v>14217</v>
      </c>
      <c r="G4">
        <v>14383</v>
      </c>
      <c r="H4">
        <v>12503</v>
      </c>
      <c r="I4">
        <v>12584</v>
      </c>
      <c r="J4">
        <v>12399</v>
      </c>
      <c r="K4">
        <v>12399</v>
      </c>
      <c r="L4">
        <v>11343</v>
      </c>
      <c r="M4">
        <v>11300</v>
      </c>
    </row>
    <row r="5" spans="1:13" x14ac:dyDescent="0.25">
      <c r="A5" t="s">
        <v>32</v>
      </c>
      <c r="B5">
        <v>5378</v>
      </c>
      <c r="C5">
        <v>5378</v>
      </c>
      <c r="D5">
        <v>5378</v>
      </c>
      <c r="E5">
        <v>5378</v>
      </c>
      <c r="F5">
        <v>5378</v>
      </c>
      <c r="G5">
        <v>5378</v>
      </c>
      <c r="H5">
        <v>5498</v>
      </c>
      <c r="I5">
        <v>5498</v>
      </c>
      <c r="J5">
        <v>5498</v>
      </c>
      <c r="K5">
        <v>5498</v>
      </c>
      <c r="L5">
        <v>5463</v>
      </c>
      <c r="M5">
        <v>5463</v>
      </c>
    </row>
    <row r="6" spans="1:13" x14ac:dyDescent="0.25">
      <c r="A6" t="s">
        <v>33</v>
      </c>
      <c r="B6">
        <v>2658</v>
      </c>
      <c r="C6">
        <v>3418</v>
      </c>
      <c r="D6">
        <v>3419</v>
      </c>
      <c r="E6">
        <v>4904</v>
      </c>
      <c r="F6">
        <v>5052</v>
      </c>
      <c r="G6">
        <v>5136</v>
      </c>
      <c r="H6">
        <v>5087</v>
      </c>
      <c r="I6">
        <v>5308</v>
      </c>
      <c r="J6">
        <v>4697.5</v>
      </c>
      <c r="K6">
        <v>4896.5</v>
      </c>
      <c r="L6">
        <v>4969</v>
      </c>
      <c r="M6">
        <v>5049</v>
      </c>
    </row>
    <row r="7" spans="1:13" x14ac:dyDescent="0.25">
      <c r="A7" t="s">
        <v>34</v>
      </c>
      <c r="B7">
        <v>1052</v>
      </c>
      <c r="C7">
        <v>1146</v>
      </c>
      <c r="D7">
        <v>1312</v>
      </c>
      <c r="E7">
        <v>1163</v>
      </c>
      <c r="F7">
        <v>1453</v>
      </c>
      <c r="G7">
        <v>1634</v>
      </c>
      <c r="H7">
        <v>2045</v>
      </c>
      <c r="I7">
        <v>2118</v>
      </c>
      <c r="J7">
        <v>1426.25</v>
      </c>
      <c r="K7">
        <v>1277.25</v>
      </c>
      <c r="L7">
        <v>1305</v>
      </c>
      <c r="M7">
        <v>1309.5</v>
      </c>
    </row>
    <row r="8" spans="1:13" x14ac:dyDescent="0.25">
      <c r="A8" t="s">
        <v>35</v>
      </c>
      <c r="B8">
        <v>1610</v>
      </c>
      <c r="C8">
        <v>1400</v>
      </c>
      <c r="D8">
        <v>1400</v>
      </c>
      <c r="E8">
        <v>1510</v>
      </c>
      <c r="F8">
        <v>1608</v>
      </c>
      <c r="G8">
        <v>1608</v>
      </c>
      <c r="H8">
        <v>1634</v>
      </c>
      <c r="I8">
        <v>1634</v>
      </c>
      <c r="J8">
        <v>1634</v>
      </c>
      <c r="K8">
        <v>1634</v>
      </c>
      <c r="L8">
        <v>1608</v>
      </c>
      <c r="M8">
        <v>1608</v>
      </c>
    </row>
    <row r="9" spans="1:13" x14ac:dyDescent="0.25">
      <c r="A9" t="s">
        <v>36</v>
      </c>
      <c r="B9">
        <v>11498</v>
      </c>
      <c r="C9">
        <v>11679</v>
      </c>
      <c r="D9">
        <v>12429</v>
      </c>
      <c r="E9">
        <v>12489</v>
      </c>
      <c r="F9">
        <v>12589</v>
      </c>
      <c r="G9">
        <v>12642</v>
      </c>
      <c r="H9">
        <v>12641</v>
      </c>
      <c r="I9">
        <v>12641</v>
      </c>
      <c r="J9">
        <v>12641</v>
      </c>
      <c r="K9">
        <v>12643</v>
      </c>
      <c r="L9">
        <v>12613</v>
      </c>
      <c r="M9">
        <v>12612</v>
      </c>
    </row>
    <row r="10" spans="1:13" x14ac:dyDescent="0.25">
      <c r="A10" t="s">
        <v>37</v>
      </c>
      <c r="B10">
        <v>1158</v>
      </c>
      <c r="C10">
        <v>1611</v>
      </c>
      <c r="D10">
        <v>2036</v>
      </c>
      <c r="E10">
        <v>2805</v>
      </c>
      <c r="F10">
        <v>3735</v>
      </c>
      <c r="G10">
        <v>4199</v>
      </c>
      <c r="H10">
        <v>4855</v>
      </c>
      <c r="I10">
        <v>6040</v>
      </c>
      <c r="J10">
        <v>6454</v>
      </c>
      <c r="K10">
        <v>6454</v>
      </c>
      <c r="L10">
        <v>6921</v>
      </c>
      <c r="M10">
        <v>7055</v>
      </c>
    </row>
    <row r="11" spans="1:13" x14ac:dyDescent="0.25">
      <c r="A11" t="s">
        <v>38</v>
      </c>
      <c r="B11">
        <v>812</v>
      </c>
      <c r="C11">
        <v>823</v>
      </c>
      <c r="D11">
        <v>813</v>
      </c>
      <c r="E11">
        <v>926</v>
      </c>
      <c r="F11">
        <v>909</v>
      </c>
      <c r="G11">
        <v>926</v>
      </c>
      <c r="H11">
        <v>926</v>
      </c>
      <c r="I11">
        <v>951</v>
      </c>
      <c r="J11">
        <v>951</v>
      </c>
      <c r="K11">
        <v>976</v>
      </c>
      <c r="L11">
        <v>976</v>
      </c>
      <c r="M11">
        <v>976</v>
      </c>
    </row>
    <row r="12" spans="1:13" x14ac:dyDescent="0.25">
      <c r="A12" t="s">
        <v>39</v>
      </c>
      <c r="B12">
        <v>6</v>
      </c>
      <c r="C12">
        <v>46</v>
      </c>
      <c r="D12">
        <v>56</v>
      </c>
      <c r="E12">
        <v>56</v>
      </c>
      <c r="F12">
        <v>145</v>
      </c>
      <c r="G12">
        <v>214</v>
      </c>
      <c r="H12">
        <v>1946</v>
      </c>
      <c r="I12">
        <v>4598</v>
      </c>
      <c r="J12">
        <v>5630</v>
      </c>
      <c r="K12">
        <v>5955</v>
      </c>
      <c r="L12">
        <v>6535</v>
      </c>
      <c r="M12">
        <v>7469</v>
      </c>
    </row>
    <row r="13" spans="1:13" x14ac:dyDescent="0.25">
      <c r="A13" t="s">
        <v>40</v>
      </c>
      <c r="B13">
        <v>492</v>
      </c>
      <c r="C13">
        <v>554</v>
      </c>
      <c r="D13">
        <v>685</v>
      </c>
      <c r="E13">
        <v>760</v>
      </c>
      <c r="F13">
        <v>889</v>
      </c>
      <c r="G13">
        <v>1007</v>
      </c>
      <c r="H13">
        <v>1082</v>
      </c>
      <c r="I13">
        <v>1016</v>
      </c>
      <c r="J13">
        <v>954.25</v>
      </c>
      <c r="K13">
        <v>1016.485</v>
      </c>
      <c r="L13">
        <v>1047.316</v>
      </c>
      <c r="M13">
        <v>1050.194</v>
      </c>
    </row>
    <row r="14" spans="1:13" x14ac:dyDescent="0.25">
      <c r="B14">
        <v>56458</v>
      </c>
      <c r="C14">
        <v>64131</v>
      </c>
      <c r="D14">
        <v>65451</v>
      </c>
      <c r="E14">
        <v>67915</v>
      </c>
      <c r="F14">
        <v>73249</v>
      </c>
      <c r="G14">
        <v>75211</v>
      </c>
      <c r="H14">
        <v>78233</v>
      </c>
      <c r="I14">
        <v>84216</v>
      </c>
      <c r="J14">
        <v>84233</v>
      </c>
      <c r="K14">
        <v>86389.235000000001</v>
      </c>
      <c r="L14">
        <v>87193.316000000006</v>
      </c>
      <c r="M14">
        <v>89069.694000000003</v>
      </c>
    </row>
    <row r="16" spans="1:13" x14ac:dyDescent="0.25">
      <c r="A16" t="s">
        <v>41</v>
      </c>
    </row>
    <row r="17" spans="1:13" x14ac:dyDescent="0.25">
      <c r="B17">
        <v>2012</v>
      </c>
      <c r="C17">
        <v>2013</v>
      </c>
      <c r="D17">
        <v>2014</v>
      </c>
      <c r="E17">
        <v>2015</v>
      </c>
      <c r="F17">
        <v>2016</v>
      </c>
      <c r="G17">
        <v>2017</v>
      </c>
      <c r="H17">
        <v>2018</v>
      </c>
      <c r="I17">
        <v>2019</v>
      </c>
      <c r="J17">
        <v>2020</v>
      </c>
      <c r="K17">
        <v>2021</v>
      </c>
      <c r="L17">
        <v>2022</v>
      </c>
      <c r="M17">
        <v>2023</v>
      </c>
    </row>
    <row r="18" spans="1:13" x14ac:dyDescent="0.25">
      <c r="A18" t="s">
        <v>30</v>
      </c>
      <c r="B18">
        <v>129331590</v>
      </c>
      <c r="C18">
        <v>139162757</v>
      </c>
      <c r="D18">
        <v>145335722</v>
      </c>
      <c r="E18">
        <v>151463563</v>
      </c>
      <c r="F18">
        <v>152587411</v>
      </c>
      <c r="G18">
        <v>154128126</v>
      </c>
      <c r="H18">
        <v>159082959</v>
      </c>
      <c r="I18">
        <v>171368943</v>
      </c>
      <c r="J18">
        <v>181382154</v>
      </c>
      <c r="K18">
        <v>184444135</v>
      </c>
      <c r="L18">
        <v>193994868</v>
      </c>
      <c r="M18">
        <v>203605022</v>
      </c>
    </row>
    <row r="19" spans="1:13" x14ac:dyDescent="0.25">
      <c r="A19" t="s">
        <v>31</v>
      </c>
      <c r="B19">
        <v>59561147</v>
      </c>
      <c r="C19">
        <v>55036664</v>
      </c>
      <c r="D19">
        <v>40410894</v>
      </c>
      <c r="E19">
        <v>42474410</v>
      </c>
      <c r="F19">
        <v>42023428</v>
      </c>
      <c r="G19">
        <v>43947148</v>
      </c>
      <c r="H19">
        <v>40010763</v>
      </c>
      <c r="I19">
        <v>38661529</v>
      </c>
      <c r="J19">
        <v>23095298</v>
      </c>
      <c r="K19">
        <v>23495780</v>
      </c>
      <c r="L19">
        <v>21116986</v>
      </c>
      <c r="M19">
        <v>31182145</v>
      </c>
    </row>
    <row r="20" spans="1:13" x14ac:dyDescent="0.25">
      <c r="A20" t="s">
        <v>32</v>
      </c>
      <c r="B20">
        <v>35018872</v>
      </c>
      <c r="C20">
        <v>34641891</v>
      </c>
      <c r="D20">
        <v>34066857</v>
      </c>
      <c r="E20">
        <v>34056857</v>
      </c>
      <c r="F20">
        <v>34532398</v>
      </c>
      <c r="G20">
        <v>28663360</v>
      </c>
      <c r="H20">
        <v>27344983</v>
      </c>
      <c r="I20">
        <v>21609445</v>
      </c>
      <c r="J20">
        <v>12500718</v>
      </c>
      <c r="K20">
        <v>8703941</v>
      </c>
      <c r="L20">
        <v>14191640</v>
      </c>
      <c r="M20">
        <v>14237878</v>
      </c>
    </row>
    <row r="21" spans="1:13" x14ac:dyDescent="0.25">
      <c r="A21" t="s">
        <v>33</v>
      </c>
      <c r="B21">
        <v>7624532</v>
      </c>
      <c r="C21">
        <v>7088706</v>
      </c>
      <c r="D21">
        <v>9249223</v>
      </c>
      <c r="E21">
        <v>11806728</v>
      </c>
      <c r="F21">
        <v>12719487</v>
      </c>
      <c r="G21">
        <v>14687034</v>
      </c>
      <c r="H21">
        <v>14392288</v>
      </c>
      <c r="I21">
        <v>16352558</v>
      </c>
      <c r="J21">
        <v>14087648</v>
      </c>
      <c r="K21">
        <v>15875312</v>
      </c>
      <c r="L21">
        <v>15486778</v>
      </c>
      <c r="M21">
        <v>17849573</v>
      </c>
    </row>
    <row r="22" spans="1:13" x14ac:dyDescent="0.25">
      <c r="A22" t="s">
        <v>34</v>
      </c>
      <c r="B22">
        <v>2000855</v>
      </c>
      <c r="C22">
        <v>2152886</v>
      </c>
      <c r="D22">
        <v>2339164</v>
      </c>
      <c r="E22">
        <v>2687125</v>
      </c>
      <c r="F22">
        <v>3169777</v>
      </c>
      <c r="G22">
        <v>2333057</v>
      </c>
      <c r="H22">
        <v>2565641</v>
      </c>
      <c r="I22">
        <v>3170220</v>
      </c>
      <c r="J22">
        <v>2871416</v>
      </c>
      <c r="K22">
        <v>2057546</v>
      </c>
      <c r="L22">
        <v>1843740</v>
      </c>
      <c r="M22">
        <v>3636195</v>
      </c>
    </row>
    <row r="23" spans="1:13" x14ac:dyDescent="0.25">
      <c r="A23" t="s">
        <v>35</v>
      </c>
      <c r="B23">
        <v>8192869</v>
      </c>
      <c r="C23">
        <v>11389115</v>
      </c>
      <c r="D23">
        <v>9807663</v>
      </c>
      <c r="E23">
        <v>11734761</v>
      </c>
      <c r="F23">
        <v>10667410</v>
      </c>
      <c r="G23">
        <v>10571136</v>
      </c>
      <c r="H23">
        <v>13198780</v>
      </c>
      <c r="I23">
        <v>10879189</v>
      </c>
      <c r="J23">
        <v>10844159</v>
      </c>
      <c r="K23">
        <v>11604710</v>
      </c>
      <c r="L23">
        <v>10538743</v>
      </c>
      <c r="M23">
        <v>12043391</v>
      </c>
    </row>
    <row r="24" spans="1:13" x14ac:dyDescent="0.25">
      <c r="A24" t="s">
        <v>40</v>
      </c>
      <c r="B24">
        <v>1231312</v>
      </c>
      <c r="C24">
        <v>1086854</v>
      </c>
      <c r="D24">
        <v>1406020</v>
      </c>
      <c r="E24">
        <v>1388420</v>
      </c>
      <c r="F24">
        <v>1485058</v>
      </c>
      <c r="G24">
        <v>1884844</v>
      </c>
      <c r="H24">
        <v>1989116</v>
      </c>
      <c r="I24">
        <v>1861586</v>
      </c>
      <c r="J24">
        <v>2216007</v>
      </c>
      <c r="K24">
        <v>1531996</v>
      </c>
      <c r="L24">
        <v>1627355</v>
      </c>
      <c r="M24">
        <v>1628955</v>
      </c>
    </row>
    <row r="26" spans="1:13" x14ac:dyDescent="0.25">
      <c r="A26" t="s">
        <v>42</v>
      </c>
    </row>
    <row r="27" spans="1:13" x14ac:dyDescent="0.25">
      <c r="B27">
        <v>2012</v>
      </c>
      <c r="C27">
        <v>2013</v>
      </c>
      <c r="D27">
        <v>2014</v>
      </c>
      <c r="E27">
        <v>2015</v>
      </c>
      <c r="F27">
        <v>2016</v>
      </c>
      <c r="G27">
        <v>2017</v>
      </c>
      <c r="H27">
        <v>2018</v>
      </c>
      <c r="I27">
        <v>2019</v>
      </c>
      <c r="J27">
        <v>2020</v>
      </c>
      <c r="K27">
        <v>2021</v>
      </c>
      <c r="L27">
        <v>2022</v>
      </c>
      <c r="M27">
        <v>2023</v>
      </c>
    </row>
    <row r="28" spans="1:13" x14ac:dyDescent="0.25">
      <c r="A28" t="s">
        <v>30</v>
      </c>
      <c r="B28">
        <v>1009.23</v>
      </c>
      <c r="C28">
        <v>1108.0999999999999</v>
      </c>
      <c r="D28">
        <v>1131.19</v>
      </c>
      <c r="E28">
        <v>1275.2</v>
      </c>
      <c r="F28">
        <v>1416.37</v>
      </c>
      <c r="G28">
        <v>1383.12</v>
      </c>
      <c r="H28">
        <v>1488.74</v>
      </c>
      <c r="I28">
        <v>1445.94</v>
      </c>
      <c r="J28">
        <v>1496.7</v>
      </c>
      <c r="K28">
        <v>1531.81</v>
      </c>
      <c r="L28">
        <v>1883.9484999999997</v>
      </c>
      <c r="M28">
        <v>2018.2409999999998</v>
      </c>
    </row>
    <row r="29" spans="1:13" x14ac:dyDescent="0.25">
      <c r="A29" t="s">
        <v>31</v>
      </c>
      <c r="B29">
        <v>641.84999999999991</v>
      </c>
      <c r="C29">
        <v>581.1400000000001</v>
      </c>
      <c r="D29">
        <v>416.81</v>
      </c>
      <c r="E29">
        <v>425.87</v>
      </c>
      <c r="F29">
        <v>475.39000000000004</v>
      </c>
      <c r="G29">
        <v>507.01</v>
      </c>
      <c r="H29">
        <v>472.15999999999997</v>
      </c>
      <c r="I29">
        <v>439.97999999999996</v>
      </c>
      <c r="J29">
        <v>322.55</v>
      </c>
      <c r="K29">
        <v>331.56</v>
      </c>
      <c r="L29">
        <v>322.15025000000003</v>
      </c>
      <c r="M29">
        <v>434.06674999999996</v>
      </c>
    </row>
    <row r="30" spans="1:13" x14ac:dyDescent="0.25">
      <c r="A30" t="s">
        <v>32</v>
      </c>
      <c r="B30">
        <v>351.49</v>
      </c>
      <c r="C30">
        <v>332.87</v>
      </c>
      <c r="D30">
        <v>353.1</v>
      </c>
      <c r="E30">
        <v>356.11</v>
      </c>
      <c r="F30">
        <v>372.85</v>
      </c>
      <c r="G30">
        <v>316.58999999999997</v>
      </c>
      <c r="H30">
        <v>315.70999999999998</v>
      </c>
      <c r="I30">
        <v>306.73</v>
      </c>
      <c r="J30">
        <v>164.1</v>
      </c>
      <c r="K30">
        <v>99.04</v>
      </c>
      <c r="L30">
        <v>145.06</v>
      </c>
      <c r="M30">
        <v>169.12</v>
      </c>
    </row>
    <row r="31" spans="1:13" x14ac:dyDescent="0.25">
      <c r="A31" t="s">
        <v>33</v>
      </c>
      <c r="B31">
        <v>79.259999999999991</v>
      </c>
      <c r="C31">
        <v>73.64</v>
      </c>
      <c r="D31">
        <v>89.949999999999989</v>
      </c>
      <c r="E31">
        <v>106.35000000000001</v>
      </c>
      <c r="F31">
        <v>143.81</v>
      </c>
      <c r="G31">
        <v>170.28</v>
      </c>
      <c r="H31">
        <v>170.51</v>
      </c>
      <c r="I31">
        <v>179.14</v>
      </c>
      <c r="J31">
        <v>158.38</v>
      </c>
      <c r="K31">
        <v>166.35</v>
      </c>
      <c r="L31">
        <v>164.82049999999998</v>
      </c>
      <c r="M31">
        <v>203.07074999999998</v>
      </c>
    </row>
    <row r="32" spans="1:13" x14ac:dyDescent="0.25">
      <c r="A32" t="s">
        <v>34</v>
      </c>
      <c r="B32">
        <v>24.18</v>
      </c>
      <c r="C32">
        <v>26.049999999999997</v>
      </c>
      <c r="D32">
        <v>26.53</v>
      </c>
      <c r="E32">
        <v>27.98</v>
      </c>
      <c r="F32">
        <v>41.47</v>
      </c>
      <c r="G32">
        <v>31.36</v>
      </c>
      <c r="H32">
        <v>35.239999999999995</v>
      </c>
      <c r="I32">
        <v>40.400000000000006</v>
      </c>
      <c r="J32">
        <v>34.75</v>
      </c>
      <c r="K32">
        <v>28.79</v>
      </c>
      <c r="L32">
        <v>30.564099999999996</v>
      </c>
      <c r="M32">
        <v>50.875799999999998</v>
      </c>
    </row>
    <row r="33" spans="1:13" x14ac:dyDescent="0.25">
      <c r="A33" t="s">
        <v>35</v>
      </c>
      <c r="B33">
        <v>91.32</v>
      </c>
      <c r="C33">
        <v>122.6</v>
      </c>
      <c r="D33">
        <v>100.6</v>
      </c>
      <c r="E33">
        <v>120.41</v>
      </c>
      <c r="F33">
        <v>109.95</v>
      </c>
      <c r="G33">
        <v>113.22</v>
      </c>
      <c r="H33">
        <v>156</v>
      </c>
      <c r="I33">
        <v>124.82</v>
      </c>
      <c r="J33">
        <v>125.62</v>
      </c>
      <c r="K33">
        <v>124.99</v>
      </c>
      <c r="L33">
        <v>152.77000000000001</v>
      </c>
      <c r="M33">
        <v>175.7</v>
      </c>
    </row>
    <row r="34" spans="1:13" x14ac:dyDescent="0.25">
      <c r="A34" t="s">
        <v>40</v>
      </c>
      <c r="B34">
        <v>52.97</v>
      </c>
      <c r="C34">
        <v>58.57</v>
      </c>
      <c r="D34">
        <v>68.150000000000006</v>
      </c>
      <c r="E34">
        <v>68.41</v>
      </c>
      <c r="F34">
        <v>70.41</v>
      </c>
      <c r="G34">
        <v>65.459999999999994</v>
      </c>
      <c r="H34">
        <v>64.61</v>
      </c>
      <c r="I34">
        <v>75.569999999999993</v>
      </c>
      <c r="J34">
        <v>87.82</v>
      </c>
      <c r="K34">
        <v>55.56</v>
      </c>
      <c r="L34">
        <v>48.13</v>
      </c>
      <c r="M34">
        <v>46.37</v>
      </c>
    </row>
    <row r="36" spans="1:13" x14ac:dyDescent="0.25">
      <c r="A36" t="s">
        <v>43</v>
      </c>
    </row>
    <row r="37" spans="1:13" x14ac:dyDescent="0.25">
      <c r="B37">
        <v>2012</v>
      </c>
      <c r="C37">
        <v>2013</v>
      </c>
      <c r="D37">
        <v>2014</v>
      </c>
      <c r="E37">
        <v>2015</v>
      </c>
      <c r="F37">
        <v>2016</v>
      </c>
      <c r="G37">
        <v>2017</v>
      </c>
      <c r="H37">
        <v>2018</v>
      </c>
      <c r="I37">
        <v>2019</v>
      </c>
      <c r="J37">
        <v>2020</v>
      </c>
      <c r="K37">
        <v>2021</v>
      </c>
      <c r="L37">
        <v>2022</v>
      </c>
      <c r="M37">
        <v>2023</v>
      </c>
    </row>
    <row r="38" spans="1:13" x14ac:dyDescent="0.25">
      <c r="A38" t="s">
        <v>30</v>
      </c>
      <c r="B38">
        <v>7.8034299276766026</v>
      </c>
      <c r="C38">
        <v>7.9626189067237281</v>
      </c>
      <c r="D38">
        <v>7.78328950676008</v>
      </c>
      <c r="E38">
        <v>8.4191866000141573</v>
      </c>
      <c r="F38">
        <v>9.2823516089410543</v>
      </c>
      <c r="G38">
        <v>8.9738325891278272</v>
      </c>
      <c r="H38">
        <v>9.3582619367797903</v>
      </c>
      <c r="I38">
        <v>8.4375848662379855</v>
      </c>
      <c r="J38">
        <v>8.2516386920843399</v>
      </c>
      <c r="K38">
        <v>8.3050079093054379</v>
      </c>
      <c r="L38">
        <v>9.7113316420308582</v>
      </c>
      <c r="M38">
        <v>9.9125305465206051</v>
      </c>
    </row>
    <row r="39" spans="1:13" x14ac:dyDescent="0.25">
      <c r="A39" t="s">
        <v>31</v>
      </c>
      <c r="B39">
        <v>10.776320341849694</v>
      </c>
      <c r="C39">
        <v>10.559142901539238</v>
      </c>
      <c r="D39">
        <v>10.314297921743577</v>
      </c>
      <c r="E39">
        <v>10.026507725475176</v>
      </c>
      <c r="F39">
        <v>11.312499303959687</v>
      </c>
      <c r="G39">
        <v>11.53681235469478</v>
      </c>
      <c r="H39">
        <v>11.800824693095706</v>
      </c>
      <c r="I39">
        <v>11.38030521245034</v>
      </c>
      <c r="J39">
        <v>13.966046248894473</v>
      </c>
      <c r="K39">
        <v>14.111470229973213</v>
      </c>
      <c r="L39">
        <v>15.255503318513354</v>
      </c>
      <c r="M39">
        <v>13.920362117487427</v>
      </c>
    </row>
    <row r="40" spans="1:13" x14ac:dyDescent="0.25">
      <c r="A40" t="s">
        <v>32</v>
      </c>
      <c r="B40">
        <v>10.03715939222714</v>
      </c>
      <c r="C40">
        <v>9.6088865356686224</v>
      </c>
      <c r="D40">
        <v>10.364912736152913</v>
      </c>
      <c r="E40">
        <v>10.456337764814881</v>
      </c>
      <c r="F40">
        <v>10.797107110835455</v>
      </c>
      <c r="G40">
        <v>11.045111250041865</v>
      </c>
      <c r="H40">
        <v>11.545445100477846</v>
      </c>
      <c r="I40">
        <v>14.194256261556001</v>
      </c>
      <c r="J40">
        <v>13.127245970991426</v>
      </c>
      <c r="K40">
        <v>11.378753601385856</v>
      </c>
      <c r="L40">
        <v>10.221510692210343</v>
      </c>
      <c r="M40">
        <v>11.878174542582821</v>
      </c>
    </row>
    <row r="41" spans="1:13" x14ac:dyDescent="0.25">
      <c r="A41" t="s">
        <v>33</v>
      </c>
      <c r="B41">
        <v>10.395392136855087</v>
      </c>
      <c r="C41">
        <v>10.38835578736091</v>
      </c>
      <c r="D41">
        <v>9.7251412361881631</v>
      </c>
      <c r="E41">
        <v>9.0075760193679404</v>
      </c>
      <c r="F41">
        <v>11.306273594210207</v>
      </c>
      <c r="G41">
        <v>11.593899762198413</v>
      </c>
      <c r="H41">
        <v>11.847317118723582</v>
      </c>
      <c r="I41">
        <v>10.954861007066905</v>
      </c>
      <c r="J41">
        <v>11.242472838617205</v>
      </c>
      <c r="K41">
        <v>10.478534217154284</v>
      </c>
      <c r="L41">
        <v>10.642659176750643</v>
      </c>
      <c r="M41">
        <v>11.376784755579305</v>
      </c>
    </row>
    <row r="42" spans="1:13" x14ac:dyDescent="0.25">
      <c r="A42" t="s">
        <v>34</v>
      </c>
      <c r="B42">
        <v>12.084833733578895</v>
      </c>
      <c r="C42">
        <v>12.100036880726615</v>
      </c>
      <c r="D42">
        <v>11.341658814858642</v>
      </c>
      <c r="E42">
        <v>10.412615713820534</v>
      </c>
      <c r="F42">
        <v>13.082939273015105</v>
      </c>
      <c r="G42">
        <v>13.441591868522714</v>
      </c>
      <c r="H42">
        <v>13.735358922000387</v>
      </c>
      <c r="I42">
        <v>12.743595081729346</v>
      </c>
      <c r="J42">
        <v>12.102043033820248</v>
      </c>
      <c r="K42">
        <v>13.992396767800086</v>
      </c>
      <c r="L42">
        <v>16.577228893444843</v>
      </c>
      <c r="M42">
        <v>13.991493855527549</v>
      </c>
    </row>
    <row r="43" spans="1:13" x14ac:dyDescent="0.25">
      <c r="A43" t="s">
        <v>35</v>
      </c>
      <c r="B43">
        <v>11.14627855028562</v>
      </c>
      <c r="C43">
        <v>10.764664330810602</v>
      </c>
      <c r="D43">
        <v>10.257285553143495</v>
      </c>
      <c r="E43">
        <v>10.260967394223027</v>
      </c>
      <c r="F43">
        <v>10.307094224371239</v>
      </c>
      <c r="G43">
        <v>10.710296414689964</v>
      </c>
      <c r="H43">
        <v>11.819274205646281</v>
      </c>
      <c r="I43">
        <v>11.473281694067452</v>
      </c>
      <c r="J43">
        <v>11.584116389293074</v>
      </c>
      <c r="K43">
        <v>10.770626754136897</v>
      </c>
      <c r="L43">
        <v>14.496036197106241</v>
      </c>
      <c r="M43">
        <v>14.588914368054644</v>
      </c>
    </row>
    <row r="44" spans="1:13" x14ac:dyDescent="0.25">
      <c r="A44" t="s">
        <v>40</v>
      </c>
      <c r="B44">
        <v>43.019153553282997</v>
      </c>
      <c r="C44">
        <v>53.88948285602298</v>
      </c>
      <c r="D44">
        <v>48.470149784498091</v>
      </c>
      <c r="E44">
        <v>49.271834171216199</v>
      </c>
      <c r="F44">
        <v>47.412289621011432</v>
      </c>
      <c r="G44">
        <v>34.729664630070175</v>
      </c>
      <c r="H44">
        <v>32.481765769316617</v>
      </c>
      <c r="I44">
        <v>40.59441787808889</v>
      </c>
      <c r="J44">
        <v>39.629838714408393</v>
      </c>
      <c r="K44">
        <v>36.26641322823297</v>
      </c>
      <c r="L44">
        <v>29.575599669402191</v>
      </c>
      <c r="M44">
        <v>28.466102501296842</v>
      </c>
    </row>
    <row r="46" spans="1:13" x14ac:dyDescent="0.25">
      <c r="A46" t="s">
        <v>44</v>
      </c>
    </row>
    <row r="47" spans="1:13" x14ac:dyDescent="0.25">
      <c r="B47">
        <v>2012</v>
      </c>
      <c r="C47">
        <v>2013</v>
      </c>
      <c r="D47">
        <v>2014</v>
      </c>
      <c r="E47">
        <v>2015</v>
      </c>
      <c r="F47">
        <v>2016</v>
      </c>
      <c r="G47">
        <v>2017</v>
      </c>
      <c r="H47">
        <v>2018</v>
      </c>
      <c r="I47">
        <v>2019</v>
      </c>
      <c r="J47">
        <v>2020</v>
      </c>
      <c r="K47">
        <v>2021</v>
      </c>
      <c r="L47">
        <v>2022</v>
      </c>
      <c r="M47">
        <v>2023</v>
      </c>
    </row>
    <row r="48" spans="1:13" x14ac:dyDescent="0.25">
      <c r="A48" t="s">
        <v>4</v>
      </c>
      <c r="B48">
        <v>5378</v>
      </c>
      <c r="C48">
        <v>5378</v>
      </c>
      <c r="D48">
        <v>5378</v>
      </c>
      <c r="E48">
        <v>5378</v>
      </c>
      <c r="F48">
        <v>5378</v>
      </c>
      <c r="G48">
        <v>5378</v>
      </c>
      <c r="H48">
        <v>5498</v>
      </c>
      <c r="I48">
        <v>5498</v>
      </c>
      <c r="J48">
        <v>5498</v>
      </c>
      <c r="K48">
        <v>5498</v>
      </c>
      <c r="L48">
        <v>5463</v>
      </c>
      <c r="M48">
        <v>5463</v>
      </c>
    </row>
    <row r="49" spans="1:13" x14ac:dyDescent="0.25">
      <c r="A49" t="s">
        <v>5</v>
      </c>
      <c r="B49">
        <v>1052</v>
      </c>
      <c r="C49">
        <v>1146</v>
      </c>
      <c r="D49">
        <v>1312</v>
      </c>
      <c r="E49">
        <v>1163</v>
      </c>
      <c r="F49">
        <v>1453</v>
      </c>
      <c r="G49">
        <v>1634</v>
      </c>
      <c r="H49">
        <v>2045</v>
      </c>
      <c r="I49">
        <v>2118</v>
      </c>
      <c r="J49">
        <v>1426.25</v>
      </c>
      <c r="K49">
        <v>1277.25</v>
      </c>
      <c r="L49">
        <v>1305</v>
      </c>
      <c r="M49">
        <v>1309.5</v>
      </c>
    </row>
    <row r="50" spans="1:13" x14ac:dyDescent="0.25">
      <c r="A50" t="s">
        <v>6</v>
      </c>
      <c r="B50">
        <v>18029</v>
      </c>
      <c r="C50">
        <v>22830</v>
      </c>
      <c r="D50">
        <v>23309</v>
      </c>
      <c r="E50">
        <v>24043</v>
      </c>
      <c r="F50">
        <v>27274</v>
      </c>
      <c r="G50">
        <v>28084</v>
      </c>
      <c r="H50">
        <v>30016</v>
      </c>
      <c r="I50">
        <v>31828</v>
      </c>
      <c r="J50">
        <v>31948</v>
      </c>
      <c r="K50">
        <v>33640</v>
      </c>
      <c r="L50">
        <v>34413</v>
      </c>
      <c r="M50">
        <v>35178</v>
      </c>
    </row>
    <row r="51" spans="1:13" x14ac:dyDescent="0.25">
      <c r="A51" t="s">
        <v>7</v>
      </c>
      <c r="B51">
        <v>1610</v>
      </c>
      <c r="C51">
        <v>1400</v>
      </c>
      <c r="D51">
        <v>1400</v>
      </c>
      <c r="E51">
        <v>1510</v>
      </c>
      <c r="F51">
        <v>1608</v>
      </c>
      <c r="G51">
        <v>1608</v>
      </c>
      <c r="H51">
        <v>1634</v>
      </c>
      <c r="I51">
        <v>1634</v>
      </c>
      <c r="J51">
        <v>1634</v>
      </c>
      <c r="K51">
        <v>1634</v>
      </c>
      <c r="L51">
        <v>1608</v>
      </c>
      <c r="M51">
        <v>1608</v>
      </c>
    </row>
    <row r="52" spans="1:13" x14ac:dyDescent="0.25">
      <c r="A52" t="s">
        <v>8</v>
      </c>
      <c r="B52">
        <v>11498</v>
      </c>
      <c r="C52">
        <v>11679</v>
      </c>
      <c r="D52">
        <v>12429</v>
      </c>
      <c r="E52">
        <v>12489</v>
      </c>
      <c r="F52">
        <v>12589</v>
      </c>
      <c r="G52">
        <v>12642</v>
      </c>
      <c r="H52">
        <v>12641</v>
      </c>
      <c r="I52">
        <v>12641</v>
      </c>
      <c r="J52">
        <v>12641</v>
      </c>
      <c r="K52">
        <v>12643</v>
      </c>
      <c r="L52">
        <v>12613</v>
      </c>
      <c r="M52">
        <v>12612</v>
      </c>
    </row>
    <row r="53" spans="1:13" x14ac:dyDescent="0.25">
      <c r="A53" t="s">
        <v>9</v>
      </c>
      <c r="B53">
        <v>1158</v>
      </c>
      <c r="C53">
        <v>1611</v>
      </c>
      <c r="D53">
        <v>2036</v>
      </c>
      <c r="E53">
        <v>2805</v>
      </c>
      <c r="F53">
        <v>3735</v>
      </c>
      <c r="G53">
        <v>4199</v>
      </c>
      <c r="H53">
        <v>4855</v>
      </c>
      <c r="I53">
        <v>6040</v>
      </c>
      <c r="J53">
        <v>6454</v>
      </c>
      <c r="K53">
        <v>6454</v>
      </c>
      <c r="L53">
        <v>6921</v>
      </c>
      <c r="M53">
        <v>7055</v>
      </c>
    </row>
    <row r="54" spans="1:13" x14ac:dyDescent="0.25">
      <c r="A54" t="s">
        <v>45</v>
      </c>
      <c r="B54">
        <v>6</v>
      </c>
      <c r="C54">
        <v>46</v>
      </c>
      <c r="D54">
        <v>56</v>
      </c>
      <c r="E54">
        <v>56</v>
      </c>
      <c r="F54">
        <v>145</v>
      </c>
      <c r="G54">
        <v>214</v>
      </c>
      <c r="H54">
        <v>1946</v>
      </c>
      <c r="I54">
        <v>4598</v>
      </c>
      <c r="J54">
        <v>5630</v>
      </c>
      <c r="K54">
        <v>5955</v>
      </c>
      <c r="L54">
        <v>6535</v>
      </c>
      <c r="M54">
        <v>7469</v>
      </c>
    </row>
    <row r="55" spans="1:13" x14ac:dyDescent="0.25">
      <c r="A55" t="s">
        <v>11</v>
      </c>
    </row>
    <row r="56" spans="1:13" x14ac:dyDescent="0.25">
      <c r="A56" t="s">
        <v>12</v>
      </c>
      <c r="B56">
        <v>492</v>
      </c>
      <c r="C56">
        <v>554</v>
      </c>
      <c r="D56">
        <v>685</v>
      </c>
      <c r="E56">
        <v>760</v>
      </c>
      <c r="F56">
        <v>889</v>
      </c>
      <c r="G56">
        <v>1007</v>
      </c>
      <c r="H56">
        <v>1082</v>
      </c>
      <c r="I56">
        <v>1016</v>
      </c>
      <c r="J56">
        <v>954.25</v>
      </c>
      <c r="K56">
        <v>1016.485</v>
      </c>
      <c r="L56">
        <v>1047.316</v>
      </c>
      <c r="M56">
        <v>1050.194</v>
      </c>
    </row>
    <row r="57" spans="1:13" x14ac:dyDescent="0.25">
      <c r="A57" t="s">
        <v>13</v>
      </c>
      <c r="B57">
        <v>812</v>
      </c>
      <c r="C57">
        <v>823</v>
      </c>
      <c r="D57">
        <v>813</v>
      </c>
      <c r="E57">
        <v>926</v>
      </c>
      <c r="F57">
        <v>909</v>
      </c>
      <c r="G57">
        <v>926</v>
      </c>
      <c r="H57">
        <v>926</v>
      </c>
      <c r="I57">
        <v>951</v>
      </c>
      <c r="J57">
        <v>951</v>
      </c>
      <c r="K57">
        <v>976</v>
      </c>
      <c r="L57">
        <v>976</v>
      </c>
      <c r="M57">
        <v>976</v>
      </c>
    </row>
    <row r="58" spans="1:13" x14ac:dyDescent="0.25">
      <c r="A58" t="s">
        <v>14</v>
      </c>
    </row>
    <row r="59" spans="1:13" x14ac:dyDescent="0.25">
      <c r="A59" t="s">
        <v>15</v>
      </c>
      <c r="B59">
        <v>2658</v>
      </c>
      <c r="C59">
        <v>3418</v>
      </c>
      <c r="D59">
        <v>3419</v>
      </c>
      <c r="E59">
        <v>4904</v>
      </c>
      <c r="F59">
        <v>5052</v>
      </c>
      <c r="G59">
        <v>5136</v>
      </c>
      <c r="H59">
        <v>5087</v>
      </c>
      <c r="I59">
        <v>5308</v>
      </c>
      <c r="J59">
        <v>4697.5</v>
      </c>
      <c r="K59">
        <v>4896.5</v>
      </c>
      <c r="L59">
        <v>4969</v>
      </c>
      <c r="M59">
        <v>5049</v>
      </c>
    </row>
    <row r="60" spans="1:13" x14ac:dyDescent="0.25">
      <c r="A60" t="s">
        <v>16</v>
      </c>
    </row>
    <row r="61" spans="1:13" x14ac:dyDescent="0.25">
      <c r="A61" t="s">
        <v>17</v>
      </c>
    </row>
    <row r="62" spans="1:13" x14ac:dyDescent="0.25">
      <c r="A62" t="s">
        <v>18</v>
      </c>
    </row>
    <row r="63" spans="1:13" x14ac:dyDescent="0.25">
      <c r="A63" t="s">
        <v>19</v>
      </c>
      <c r="B63">
        <v>13765</v>
      </c>
      <c r="C63">
        <v>15246</v>
      </c>
      <c r="D63">
        <v>14614</v>
      </c>
      <c r="E63">
        <v>13881</v>
      </c>
      <c r="F63">
        <v>14217</v>
      </c>
      <c r="G63">
        <v>14383</v>
      </c>
      <c r="H63">
        <v>12503</v>
      </c>
      <c r="I63">
        <v>12584</v>
      </c>
      <c r="J63">
        <v>12399</v>
      </c>
      <c r="K63">
        <v>12399</v>
      </c>
      <c r="L63">
        <v>11343</v>
      </c>
      <c r="M63">
        <v>11300</v>
      </c>
    </row>
    <row r="64" spans="1:13" x14ac:dyDescent="0.25">
      <c r="A64" t="s">
        <v>20</v>
      </c>
    </row>
    <row r="65" spans="1:13" x14ac:dyDescent="0.25">
      <c r="A65" t="s">
        <v>21</v>
      </c>
    </row>
    <row r="66" spans="1:13" x14ac:dyDescent="0.25">
      <c r="A66" t="s">
        <v>22</v>
      </c>
    </row>
    <row r="67" spans="1:13" x14ac:dyDescent="0.25">
      <c r="A67" t="s">
        <v>23</v>
      </c>
    </row>
    <row r="68" spans="1:13" x14ac:dyDescent="0.25">
      <c r="A68" t="s">
        <v>24</v>
      </c>
    </row>
    <row r="69" spans="1:13" x14ac:dyDescent="0.25">
      <c r="A69" t="s">
        <v>25</v>
      </c>
    </row>
    <row r="70" spans="1:13" x14ac:dyDescent="0.25">
      <c r="A70" t="s">
        <v>26</v>
      </c>
    </row>
    <row r="71" spans="1:13" x14ac:dyDescent="0.25">
      <c r="A71" t="s">
        <v>27</v>
      </c>
    </row>
    <row r="73" spans="1:13" x14ac:dyDescent="0.25">
      <c r="A73" t="s">
        <v>49</v>
      </c>
    </row>
    <row r="74" spans="1:13" x14ac:dyDescent="0.25">
      <c r="B74">
        <v>2012</v>
      </c>
      <c r="C74">
        <v>2013</v>
      </c>
      <c r="D74">
        <v>2014</v>
      </c>
      <c r="E74">
        <v>2015</v>
      </c>
      <c r="F74">
        <v>2016</v>
      </c>
      <c r="G74">
        <v>2017</v>
      </c>
      <c r="H74">
        <v>2018</v>
      </c>
      <c r="I74">
        <v>2019</v>
      </c>
      <c r="J74">
        <v>2020</v>
      </c>
      <c r="K74">
        <v>2021</v>
      </c>
      <c r="L74">
        <v>2022</v>
      </c>
      <c r="M74">
        <v>2023</v>
      </c>
    </row>
    <row r="75" spans="1:13" x14ac:dyDescent="0.25">
      <c r="A75" t="s">
        <v>4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f>MAX(0,J48-K48)</f>
        <v>0</v>
      </c>
      <c r="L75">
        <f t="shared" ref="L75:M75" si="0">MAX(0,K48-L48)</f>
        <v>35</v>
      </c>
      <c r="M75">
        <f t="shared" si="0"/>
        <v>0</v>
      </c>
    </row>
    <row r="76" spans="1:13" x14ac:dyDescent="0.25">
      <c r="A76" t="s">
        <v>5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f t="shared" ref="K76:M98" si="1">MAX(0,J49-K49)</f>
        <v>149</v>
      </c>
      <c r="L76">
        <f t="shared" si="1"/>
        <v>0</v>
      </c>
      <c r="M76">
        <f t="shared" si="1"/>
        <v>0</v>
      </c>
    </row>
    <row r="77" spans="1:13" x14ac:dyDescent="0.25">
      <c r="A77" t="s">
        <v>6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f t="shared" si="1"/>
        <v>0</v>
      </c>
      <c r="L77">
        <f t="shared" si="1"/>
        <v>0</v>
      </c>
      <c r="M77">
        <f t="shared" si="1"/>
        <v>0</v>
      </c>
    </row>
    <row r="78" spans="1:13" x14ac:dyDescent="0.25">
      <c r="A78" t="s">
        <v>7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f t="shared" si="1"/>
        <v>0</v>
      </c>
      <c r="L78">
        <f t="shared" si="1"/>
        <v>26</v>
      </c>
      <c r="M78">
        <f t="shared" si="1"/>
        <v>0</v>
      </c>
    </row>
    <row r="79" spans="1:13" x14ac:dyDescent="0.25">
      <c r="A79" t="s">
        <v>8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f t="shared" si="1"/>
        <v>0</v>
      </c>
      <c r="L79">
        <f t="shared" si="1"/>
        <v>30</v>
      </c>
      <c r="M79">
        <f t="shared" si="1"/>
        <v>1</v>
      </c>
    </row>
    <row r="80" spans="1:13" x14ac:dyDescent="0.25">
      <c r="A80" t="s">
        <v>9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f t="shared" si="1"/>
        <v>0</v>
      </c>
      <c r="L80">
        <f t="shared" si="1"/>
        <v>0</v>
      </c>
      <c r="M80">
        <f t="shared" si="1"/>
        <v>0</v>
      </c>
    </row>
    <row r="81" spans="1:13" x14ac:dyDescent="0.25">
      <c r="A81" t="s">
        <v>45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f t="shared" si="1"/>
        <v>0</v>
      </c>
      <c r="L81">
        <f t="shared" si="1"/>
        <v>0</v>
      </c>
      <c r="M81">
        <f t="shared" si="1"/>
        <v>0</v>
      </c>
    </row>
    <row r="82" spans="1:13" x14ac:dyDescent="0.25">
      <c r="A82" t="s">
        <v>11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f t="shared" si="1"/>
        <v>0</v>
      </c>
      <c r="L82">
        <f t="shared" si="1"/>
        <v>0</v>
      </c>
      <c r="M82">
        <f t="shared" si="1"/>
        <v>0</v>
      </c>
    </row>
    <row r="83" spans="1:13" x14ac:dyDescent="0.25">
      <c r="A83" t="s">
        <v>12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f t="shared" si="1"/>
        <v>0</v>
      </c>
      <c r="L83">
        <f t="shared" si="1"/>
        <v>0</v>
      </c>
      <c r="M83">
        <f t="shared" si="1"/>
        <v>0</v>
      </c>
    </row>
    <row r="84" spans="1:13" x14ac:dyDescent="0.25">
      <c r="A84" t="s">
        <v>13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f t="shared" si="1"/>
        <v>0</v>
      </c>
      <c r="L84">
        <f t="shared" si="1"/>
        <v>0</v>
      </c>
      <c r="M84">
        <f t="shared" si="1"/>
        <v>0</v>
      </c>
    </row>
    <row r="85" spans="1:13" x14ac:dyDescent="0.25">
      <c r="A85" t="s">
        <v>14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f t="shared" si="1"/>
        <v>0</v>
      </c>
      <c r="L85">
        <f t="shared" si="1"/>
        <v>0</v>
      </c>
      <c r="M85">
        <f t="shared" si="1"/>
        <v>0</v>
      </c>
    </row>
    <row r="86" spans="1:13" x14ac:dyDescent="0.25">
      <c r="A86" t="s">
        <v>15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f t="shared" si="1"/>
        <v>0</v>
      </c>
      <c r="L86">
        <f t="shared" si="1"/>
        <v>0</v>
      </c>
      <c r="M86">
        <f t="shared" si="1"/>
        <v>0</v>
      </c>
    </row>
    <row r="87" spans="1:13" x14ac:dyDescent="0.25">
      <c r="A87" t="s">
        <v>16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f t="shared" si="1"/>
        <v>0</v>
      </c>
      <c r="L87">
        <f t="shared" si="1"/>
        <v>0</v>
      </c>
      <c r="M87">
        <f t="shared" si="1"/>
        <v>0</v>
      </c>
    </row>
    <row r="88" spans="1:13" x14ac:dyDescent="0.25">
      <c r="A88" t="s">
        <v>17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f t="shared" si="1"/>
        <v>0</v>
      </c>
      <c r="L88">
        <f t="shared" si="1"/>
        <v>0</v>
      </c>
      <c r="M88">
        <f t="shared" si="1"/>
        <v>0</v>
      </c>
    </row>
    <row r="89" spans="1:13" x14ac:dyDescent="0.25">
      <c r="A89" t="s">
        <v>18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f t="shared" si="1"/>
        <v>0</v>
      </c>
      <c r="L89">
        <f t="shared" si="1"/>
        <v>0</v>
      </c>
      <c r="M89">
        <f t="shared" si="1"/>
        <v>0</v>
      </c>
    </row>
    <row r="90" spans="1:13" x14ac:dyDescent="0.25">
      <c r="A90" t="s">
        <v>19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f t="shared" si="1"/>
        <v>0</v>
      </c>
      <c r="L90">
        <f t="shared" si="1"/>
        <v>1056</v>
      </c>
      <c r="M90">
        <f t="shared" si="1"/>
        <v>43</v>
      </c>
    </row>
    <row r="91" spans="1:13" x14ac:dyDescent="0.25">
      <c r="A91" t="s">
        <v>20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f t="shared" si="1"/>
        <v>0</v>
      </c>
      <c r="L91">
        <f t="shared" si="1"/>
        <v>0</v>
      </c>
      <c r="M91">
        <f t="shared" si="1"/>
        <v>0</v>
      </c>
    </row>
    <row r="92" spans="1:13" x14ac:dyDescent="0.25">
      <c r="A92" t="s">
        <v>21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f t="shared" si="1"/>
        <v>0</v>
      </c>
      <c r="L92">
        <f t="shared" si="1"/>
        <v>0</v>
      </c>
      <c r="M92">
        <f t="shared" si="1"/>
        <v>0</v>
      </c>
    </row>
    <row r="93" spans="1:13" x14ac:dyDescent="0.25">
      <c r="A93" t="s">
        <v>22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f t="shared" si="1"/>
        <v>0</v>
      </c>
      <c r="L93">
        <f t="shared" si="1"/>
        <v>0</v>
      </c>
      <c r="M93">
        <f t="shared" si="1"/>
        <v>0</v>
      </c>
    </row>
    <row r="94" spans="1:13" x14ac:dyDescent="0.25">
      <c r="A94" t="s">
        <v>23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f t="shared" si="1"/>
        <v>0</v>
      </c>
      <c r="L94">
        <f t="shared" si="1"/>
        <v>0</v>
      </c>
      <c r="M94">
        <f t="shared" si="1"/>
        <v>0</v>
      </c>
    </row>
    <row r="95" spans="1:13" x14ac:dyDescent="0.25">
      <c r="A95" t="s">
        <v>24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f t="shared" si="1"/>
        <v>0</v>
      </c>
      <c r="L95">
        <f t="shared" si="1"/>
        <v>0</v>
      </c>
      <c r="M95">
        <f t="shared" si="1"/>
        <v>0</v>
      </c>
    </row>
    <row r="96" spans="1:13" x14ac:dyDescent="0.25">
      <c r="A96" t="s">
        <v>25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f t="shared" si="1"/>
        <v>0</v>
      </c>
      <c r="L96">
        <f t="shared" si="1"/>
        <v>0</v>
      </c>
      <c r="M96">
        <f t="shared" si="1"/>
        <v>0</v>
      </c>
    </row>
    <row r="97" spans="1:13" x14ac:dyDescent="0.25">
      <c r="A97" t="s">
        <v>26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f t="shared" si="1"/>
        <v>0</v>
      </c>
      <c r="L97">
        <f t="shared" si="1"/>
        <v>0</v>
      </c>
      <c r="M97">
        <f t="shared" si="1"/>
        <v>0</v>
      </c>
    </row>
    <row r="98" spans="1:13" x14ac:dyDescent="0.25">
      <c r="A98" t="s">
        <v>27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f t="shared" si="1"/>
        <v>0</v>
      </c>
      <c r="L98">
        <f t="shared" si="1"/>
        <v>0</v>
      </c>
      <c r="M98">
        <f t="shared" si="1"/>
        <v>0</v>
      </c>
    </row>
    <row r="101" spans="1:13" x14ac:dyDescent="0.25">
      <c r="A101" t="s">
        <v>46</v>
      </c>
    </row>
    <row r="102" spans="1:13" x14ac:dyDescent="0.25">
      <c r="B102">
        <v>2012</v>
      </c>
      <c r="C102">
        <v>2013</v>
      </c>
      <c r="D102">
        <v>2014</v>
      </c>
      <c r="E102">
        <v>2015</v>
      </c>
      <c r="F102">
        <v>2016</v>
      </c>
      <c r="G102">
        <v>2017</v>
      </c>
      <c r="H102">
        <v>2018</v>
      </c>
      <c r="I102">
        <v>2019</v>
      </c>
      <c r="J102">
        <v>2020</v>
      </c>
      <c r="K102">
        <v>2021</v>
      </c>
      <c r="L102">
        <v>2022</v>
      </c>
      <c r="M102">
        <v>2023</v>
      </c>
    </row>
    <row r="103" spans="1:13" x14ac:dyDescent="0.25">
      <c r="A103" t="s">
        <v>4</v>
      </c>
      <c r="B103">
        <v>10.03715939222714</v>
      </c>
      <c r="C103">
        <v>9.6088865356686224</v>
      </c>
      <c r="D103">
        <v>10.364912736152913</v>
      </c>
      <c r="E103">
        <v>10.456337764814881</v>
      </c>
      <c r="F103">
        <v>10.797107110835455</v>
      </c>
      <c r="G103">
        <v>11.045111250041865</v>
      </c>
      <c r="H103">
        <v>11.545445100477846</v>
      </c>
      <c r="I103">
        <v>14.194256261556001</v>
      </c>
      <c r="J103">
        <v>13.127245970991426</v>
      </c>
      <c r="K103">
        <v>11.378753601385856</v>
      </c>
      <c r="L103">
        <v>10.221510692210343</v>
      </c>
      <c r="M103">
        <v>11.878174542582821</v>
      </c>
    </row>
    <row r="104" spans="1:13" x14ac:dyDescent="0.25">
      <c r="A104" t="s">
        <v>5</v>
      </c>
      <c r="B104">
        <v>12.084833733578895</v>
      </c>
      <c r="C104">
        <v>12.100036880726615</v>
      </c>
      <c r="D104">
        <v>11.341658814858642</v>
      </c>
      <c r="E104">
        <v>10.412615713820534</v>
      </c>
      <c r="F104">
        <v>13.082939273015105</v>
      </c>
      <c r="G104">
        <v>13.441591868522714</v>
      </c>
      <c r="H104">
        <v>13.735358922000387</v>
      </c>
      <c r="I104">
        <v>12.743595081729346</v>
      </c>
      <c r="J104">
        <v>12.102043033820248</v>
      </c>
      <c r="K104">
        <v>13.992396767800086</v>
      </c>
      <c r="L104">
        <v>16.577228893444843</v>
      </c>
      <c r="M104">
        <v>13.991493855527549</v>
      </c>
    </row>
    <row r="105" spans="1:13" x14ac:dyDescent="0.25">
      <c r="A105" t="s">
        <v>6</v>
      </c>
      <c r="B105">
        <v>7.8034299276766026</v>
      </c>
      <c r="C105">
        <v>7.9626189067237281</v>
      </c>
      <c r="D105">
        <v>7.78328950676008</v>
      </c>
      <c r="E105">
        <v>8.4191866000141573</v>
      </c>
      <c r="F105">
        <v>9.2823516089410543</v>
      </c>
      <c r="G105">
        <v>8.9738325891278272</v>
      </c>
      <c r="H105">
        <v>9.3582619367797903</v>
      </c>
      <c r="I105">
        <v>8.4375848662379855</v>
      </c>
      <c r="J105">
        <v>8.2516386920843399</v>
      </c>
      <c r="K105">
        <v>8.3050079093054379</v>
      </c>
      <c r="L105">
        <v>9.7113316420308582</v>
      </c>
      <c r="M105">
        <v>9.9125305465206051</v>
      </c>
    </row>
    <row r="106" spans="1:13" x14ac:dyDescent="0.25">
      <c r="A106" t="s">
        <v>7</v>
      </c>
      <c r="B106">
        <v>11.14627855028562</v>
      </c>
      <c r="C106">
        <v>10.764664330810602</v>
      </c>
      <c r="D106">
        <v>10.257285553143495</v>
      </c>
      <c r="E106">
        <v>10.260967394223027</v>
      </c>
      <c r="F106">
        <v>10.307094224371239</v>
      </c>
      <c r="G106">
        <v>10.710296414689964</v>
      </c>
      <c r="H106">
        <v>11.819274205646281</v>
      </c>
      <c r="I106">
        <v>11.473281694067452</v>
      </c>
      <c r="J106">
        <v>11.584116389293074</v>
      </c>
      <c r="K106">
        <v>10.770626754136897</v>
      </c>
      <c r="L106">
        <v>14.496036197106241</v>
      </c>
      <c r="M106">
        <v>14.588914368054644</v>
      </c>
    </row>
    <row r="107" spans="1:13" x14ac:dyDescent="0.25">
      <c r="A107" t="s">
        <v>8</v>
      </c>
    </row>
    <row r="108" spans="1:13" x14ac:dyDescent="0.25">
      <c r="A108" t="s">
        <v>9</v>
      </c>
    </row>
    <row r="109" spans="1:13" x14ac:dyDescent="0.25">
      <c r="A109" t="s">
        <v>45</v>
      </c>
    </row>
    <row r="110" spans="1:13" x14ac:dyDescent="0.25">
      <c r="A110" t="s">
        <v>11</v>
      </c>
    </row>
    <row r="111" spans="1:13" x14ac:dyDescent="0.25">
      <c r="A111" t="s">
        <v>12</v>
      </c>
      <c r="B111">
        <v>43.019153553282997</v>
      </c>
      <c r="C111">
        <v>53.88948285602298</v>
      </c>
      <c r="D111">
        <v>48.470149784498091</v>
      </c>
      <c r="E111">
        <v>49.271834171216199</v>
      </c>
      <c r="F111">
        <v>47.412289621011432</v>
      </c>
      <c r="G111">
        <v>34.729664630070175</v>
      </c>
      <c r="H111">
        <v>32.481765769316617</v>
      </c>
      <c r="I111">
        <v>40.59441787808889</v>
      </c>
      <c r="J111">
        <v>39.629838714408393</v>
      </c>
      <c r="K111">
        <v>36.26641322823297</v>
      </c>
      <c r="L111">
        <v>29.575599669402191</v>
      </c>
      <c r="M111">
        <v>28.466102501296842</v>
      </c>
    </row>
    <row r="112" spans="1:13" x14ac:dyDescent="0.25">
      <c r="A112" t="s">
        <v>13</v>
      </c>
    </row>
    <row r="113" spans="1:13" x14ac:dyDescent="0.25">
      <c r="A113" t="s">
        <v>14</v>
      </c>
    </row>
    <row r="114" spans="1:13" x14ac:dyDescent="0.25">
      <c r="A114" t="s">
        <v>15</v>
      </c>
      <c r="B114">
        <v>10.395392136855087</v>
      </c>
      <c r="C114">
        <v>10.38835578736091</v>
      </c>
      <c r="D114">
        <v>9.7251412361881631</v>
      </c>
      <c r="E114">
        <v>9.0075760193679404</v>
      </c>
      <c r="F114">
        <v>11.306273594210207</v>
      </c>
      <c r="G114">
        <v>11.593899762198413</v>
      </c>
      <c r="H114">
        <v>11.847317118723582</v>
      </c>
      <c r="I114">
        <v>10.954861007066905</v>
      </c>
      <c r="J114">
        <v>11.242472838617205</v>
      </c>
      <c r="K114">
        <v>10.478534217154284</v>
      </c>
      <c r="L114">
        <v>10.642659176750643</v>
      </c>
      <c r="M114">
        <v>11.376784755579305</v>
      </c>
    </row>
    <row r="115" spans="1:13" x14ac:dyDescent="0.25">
      <c r="A115" t="s">
        <v>16</v>
      </c>
    </row>
    <row r="116" spans="1:13" x14ac:dyDescent="0.25">
      <c r="A116" t="s">
        <v>17</v>
      </c>
    </row>
    <row r="117" spans="1:13" x14ac:dyDescent="0.25">
      <c r="A117" t="s">
        <v>18</v>
      </c>
    </row>
    <row r="118" spans="1:13" x14ac:dyDescent="0.25">
      <c r="A118" t="s">
        <v>19</v>
      </c>
      <c r="B118">
        <v>10.776320341849694</v>
      </c>
      <c r="C118">
        <v>10.559142901539238</v>
      </c>
      <c r="D118">
        <v>10.314297921743577</v>
      </c>
      <c r="E118">
        <v>10.026507725475176</v>
      </c>
      <c r="F118">
        <v>11.312499303959687</v>
      </c>
      <c r="G118">
        <v>11.53681235469478</v>
      </c>
      <c r="H118">
        <v>11.800824693095706</v>
      </c>
      <c r="I118">
        <v>11.38030521245034</v>
      </c>
      <c r="J118">
        <v>13.966046248894473</v>
      </c>
      <c r="K118">
        <v>14.111470229973213</v>
      </c>
      <c r="L118">
        <v>15.255503318513354</v>
      </c>
      <c r="M118">
        <v>13.920362117487427</v>
      </c>
    </row>
    <row r="119" spans="1:13" x14ac:dyDescent="0.25">
      <c r="A119" t="s">
        <v>20</v>
      </c>
    </row>
    <row r="120" spans="1:13" x14ac:dyDescent="0.25">
      <c r="A120" t="s">
        <v>21</v>
      </c>
    </row>
    <row r="121" spans="1:13" x14ac:dyDescent="0.25">
      <c r="A121" t="s">
        <v>22</v>
      </c>
    </row>
    <row r="122" spans="1:13" x14ac:dyDescent="0.25">
      <c r="A122" t="s">
        <v>23</v>
      </c>
    </row>
    <row r="123" spans="1:13" x14ac:dyDescent="0.25">
      <c r="A123" t="s">
        <v>24</v>
      </c>
    </row>
    <row r="124" spans="1:13" x14ac:dyDescent="0.25">
      <c r="A124" t="s">
        <v>25</v>
      </c>
    </row>
    <row r="125" spans="1:13" x14ac:dyDescent="0.25">
      <c r="A125" t="s">
        <v>26</v>
      </c>
    </row>
    <row r="126" spans="1:13" x14ac:dyDescent="0.25">
      <c r="A126" t="s">
        <v>27</v>
      </c>
    </row>
    <row r="127" spans="1:13" x14ac:dyDescent="0.25">
      <c r="A127" t="s">
        <v>47</v>
      </c>
    </row>
    <row r="128" spans="1:13" x14ac:dyDescent="0.25">
      <c r="B128">
        <v>2012</v>
      </c>
      <c r="C128">
        <v>2013</v>
      </c>
      <c r="D128">
        <v>2014</v>
      </c>
      <c r="E128">
        <v>2015</v>
      </c>
      <c r="F128">
        <v>2016</v>
      </c>
      <c r="G128">
        <v>2017</v>
      </c>
      <c r="H128">
        <v>2018</v>
      </c>
      <c r="I128">
        <v>2019</v>
      </c>
      <c r="J128">
        <v>2020</v>
      </c>
      <c r="K128">
        <v>2021</v>
      </c>
      <c r="L128">
        <v>2022</v>
      </c>
      <c r="M128">
        <v>2023</v>
      </c>
    </row>
    <row r="129" spans="1:13" x14ac:dyDescent="0.25">
      <c r="A129" t="s">
        <v>4</v>
      </c>
      <c r="B129">
        <v>9513893.5475894753</v>
      </c>
      <c r="C129">
        <v>9107947.7807248812</v>
      </c>
      <c r="D129">
        <v>9824560.171693407</v>
      </c>
      <c r="E129">
        <v>9911218.9519603495</v>
      </c>
      <c r="F129">
        <v>10234223.016719157</v>
      </c>
      <c r="G129">
        <v>10469297.990381382</v>
      </c>
      <c r="H129">
        <v>10943548.005279996</v>
      </c>
      <c r="I129">
        <v>13454269.05985246</v>
      </c>
      <c r="J129">
        <v>12442885.069430307</v>
      </c>
      <c r="K129">
        <v>10785546.611092968</v>
      </c>
      <c r="L129">
        <v>9688634.0867063645</v>
      </c>
      <c r="M129">
        <v>11258931.309323866</v>
      </c>
    </row>
    <row r="130" spans="1:13" x14ac:dyDescent="0.25">
      <c r="A130" t="s">
        <v>5</v>
      </c>
      <c r="B130">
        <v>11454816.765251786</v>
      </c>
      <c r="C130">
        <v>11469227.328828543</v>
      </c>
      <c r="D130">
        <v>10750385.681949632</v>
      </c>
      <c r="E130">
        <v>9869776.2566132341</v>
      </c>
      <c r="F130">
        <v>12400888.206421601</v>
      </c>
      <c r="G130">
        <v>12740843.215691302</v>
      </c>
      <c r="H130">
        <v>13019295.35193415</v>
      </c>
      <c r="I130">
        <v>12079234.999002606</v>
      </c>
      <c r="J130">
        <v>11471128.895419961</v>
      </c>
      <c r="K130">
        <v>13262933.079211233</v>
      </c>
      <c r="L130">
        <v>15713010.508570157</v>
      </c>
      <c r="M130">
        <v>13262077.238339525</v>
      </c>
    </row>
    <row r="131" spans="1:13" x14ac:dyDescent="0.25">
      <c r="A131" t="s">
        <v>6</v>
      </c>
      <c r="B131">
        <v>7396614.7927751234</v>
      </c>
      <c r="C131">
        <v>7547504.7947588172</v>
      </c>
      <c r="D131">
        <v>7377524.3496411992</v>
      </c>
      <c r="E131">
        <v>7980270.3075390011</v>
      </c>
      <c r="F131">
        <v>8798436.0542436019</v>
      </c>
      <c r="G131">
        <v>8506001.0138891824</v>
      </c>
      <c r="H131">
        <v>8870388.9594430197</v>
      </c>
      <c r="I131">
        <v>7997709.4194902638</v>
      </c>
      <c r="J131">
        <v>7821457.1515578339</v>
      </c>
      <c r="K131">
        <v>7872044.0787469065</v>
      </c>
      <c r="L131">
        <v>9205052.1305030249</v>
      </c>
      <c r="M131">
        <v>9395761.9602870792</v>
      </c>
    </row>
    <row r="132" spans="1:13" x14ac:dyDescent="0.25">
      <c r="A132" t="s">
        <v>7</v>
      </c>
      <c r="B132">
        <v>10565191.149730977</v>
      </c>
      <c r="C132">
        <v>10203471.571665555</v>
      </c>
      <c r="D132">
        <v>9722543.9017543755</v>
      </c>
      <c r="E132">
        <v>9726033.7979213055</v>
      </c>
      <c r="F132">
        <v>9769755.9044027142</v>
      </c>
      <c r="G132">
        <v>10151938.01060877</v>
      </c>
      <c r="H132">
        <v>11203101.615519725</v>
      </c>
      <c r="I132">
        <v>10875146.683771482</v>
      </c>
      <c r="J132">
        <v>10980203.249135252</v>
      </c>
      <c r="K132">
        <v>10209123.156799888</v>
      </c>
      <c r="L132">
        <v>13740316.343693225</v>
      </c>
      <c r="M132">
        <v>13828352.509780437</v>
      </c>
    </row>
    <row r="133" spans="1:13" x14ac:dyDescent="0.25">
      <c r="A133" t="s">
        <v>8</v>
      </c>
      <c r="B133" t="s">
        <v>48</v>
      </c>
      <c r="C133" t="s">
        <v>48</v>
      </c>
      <c r="D133" t="s">
        <v>48</v>
      </c>
      <c r="E133" t="s">
        <v>48</v>
      </c>
      <c r="F133" t="s">
        <v>48</v>
      </c>
      <c r="G133" t="s">
        <v>48</v>
      </c>
      <c r="H133" t="s">
        <v>48</v>
      </c>
      <c r="I133" t="s">
        <v>48</v>
      </c>
      <c r="J133" t="s">
        <v>48</v>
      </c>
      <c r="K133" t="s">
        <v>48</v>
      </c>
      <c r="L133" t="s">
        <v>48</v>
      </c>
      <c r="M133" t="s">
        <v>48</v>
      </c>
    </row>
    <row r="134" spans="1:13" x14ac:dyDescent="0.25">
      <c r="A134" t="s">
        <v>9</v>
      </c>
      <c r="B134" t="s">
        <v>48</v>
      </c>
      <c r="C134" t="s">
        <v>48</v>
      </c>
      <c r="D134" t="s">
        <v>48</v>
      </c>
      <c r="E134" t="s">
        <v>48</v>
      </c>
      <c r="F134" t="s">
        <v>48</v>
      </c>
      <c r="G134" t="s">
        <v>48</v>
      </c>
      <c r="H134" t="s">
        <v>48</v>
      </c>
      <c r="I134" t="s">
        <v>48</v>
      </c>
      <c r="J134" t="s">
        <v>48</v>
      </c>
      <c r="K134" t="s">
        <v>48</v>
      </c>
      <c r="L134" t="s">
        <v>48</v>
      </c>
      <c r="M134" t="s">
        <v>48</v>
      </c>
    </row>
    <row r="135" spans="1:13" x14ac:dyDescent="0.25">
      <c r="A135" t="s">
        <v>45</v>
      </c>
      <c r="B135" t="s">
        <v>48</v>
      </c>
      <c r="C135" t="s">
        <v>48</v>
      </c>
      <c r="D135" t="s">
        <v>48</v>
      </c>
      <c r="E135" t="s">
        <v>48</v>
      </c>
      <c r="F135" t="s">
        <v>48</v>
      </c>
      <c r="G135" t="s">
        <v>48</v>
      </c>
      <c r="H135" t="s">
        <v>48</v>
      </c>
      <c r="I135" t="s">
        <v>48</v>
      </c>
      <c r="J135" t="s">
        <v>48</v>
      </c>
      <c r="K135" t="s">
        <v>48</v>
      </c>
      <c r="L135" t="s">
        <v>48</v>
      </c>
      <c r="M135" t="s">
        <v>48</v>
      </c>
    </row>
    <row r="136" spans="1:13" x14ac:dyDescent="0.25">
      <c r="A136" t="s">
        <v>11</v>
      </c>
      <c r="B136" t="s">
        <v>48</v>
      </c>
      <c r="C136" t="s">
        <v>48</v>
      </c>
      <c r="D136" t="s">
        <v>48</v>
      </c>
      <c r="E136" t="s">
        <v>48</v>
      </c>
      <c r="F136" t="s">
        <v>48</v>
      </c>
      <c r="G136" t="s">
        <v>48</v>
      </c>
      <c r="H136" t="s">
        <v>48</v>
      </c>
      <c r="I136" t="s">
        <v>48</v>
      </c>
      <c r="J136" t="s">
        <v>48</v>
      </c>
      <c r="K136" t="s">
        <v>48</v>
      </c>
      <c r="L136" t="s">
        <v>48</v>
      </c>
      <c r="M136" t="s">
        <v>48</v>
      </c>
    </row>
    <row r="137" spans="1:13" x14ac:dyDescent="0.25">
      <c r="A137" t="s">
        <v>12</v>
      </c>
      <c r="B137">
        <v>40776441.96128732</v>
      </c>
      <c r="C137">
        <v>51080069.887491159</v>
      </c>
      <c r="D137">
        <v>45943262.158668347</v>
      </c>
      <c r="E137">
        <v>46703152.443952359</v>
      </c>
      <c r="F137">
        <v>44940551.273012631</v>
      </c>
      <c r="G137">
        <v>32919107.819473967</v>
      </c>
      <c r="H137">
        <v>30788398.359632302</v>
      </c>
      <c r="I137">
        <v>38478114.696234241</v>
      </c>
      <c r="J137">
        <v>37563821.804902278</v>
      </c>
      <c r="K137">
        <v>34375741.315167025</v>
      </c>
      <c r="L137">
        <v>28033739.015713669</v>
      </c>
      <c r="M137">
        <v>26982083.110270876</v>
      </c>
    </row>
    <row r="138" spans="1:13" x14ac:dyDescent="0.25">
      <c r="A138" t="s">
        <v>13</v>
      </c>
      <c r="B138" t="s">
        <v>48</v>
      </c>
      <c r="C138" t="s">
        <v>48</v>
      </c>
      <c r="D138" t="s">
        <v>48</v>
      </c>
      <c r="E138" t="s">
        <v>48</v>
      </c>
      <c r="F138" t="s">
        <v>48</v>
      </c>
      <c r="G138" t="s">
        <v>48</v>
      </c>
      <c r="H138" t="s">
        <v>48</v>
      </c>
      <c r="I138" t="s">
        <v>48</v>
      </c>
      <c r="J138" t="s">
        <v>48</v>
      </c>
      <c r="K138" t="s">
        <v>48</v>
      </c>
      <c r="L138" t="s">
        <v>48</v>
      </c>
      <c r="M138" t="s">
        <v>48</v>
      </c>
    </row>
    <row r="139" spans="1:13" x14ac:dyDescent="0.25">
      <c r="A139" t="s">
        <v>14</v>
      </c>
      <c r="B139" t="s">
        <v>48</v>
      </c>
      <c r="C139" t="s">
        <v>48</v>
      </c>
      <c r="D139" t="s">
        <v>48</v>
      </c>
      <c r="E139" t="s">
        <v>48</v>
      </c>
      <c r="F139" t="s">
        <v>48</v>
      </c>
      <c r="G139" t="s">
        <v>48</v>
      </c>
      <c r="H139" t="s">
        <v>48</v>
      </c>
      <c r="I139" t="s">
        <v>48</v>
      </c>
      <c r="J139" t="s">
        <v>48</v>
      </c>
      <c r="K139" t="s">
        <v>48</v>
      </c>
      <c r="L139" t="s">
        <v>48</v>
      </c>
      <c r="M139" t="s">
        <v>48</v>
      </c>
    </row>
    <row r="140" spans="1:13" x14ac:dyDescent="0.25">
      <c r="A140" t="s">
        <v>15</v>
      </c>
      <c r="B140">
        <v>9853450.5940074492</v>
      </c>
      <c r="C140">
        <v>9846781.0695498548</v>
      </c>
      <c r="D140">
        <v>9218141.7909949906</v>
      </c>
      <c r="E140">
        <v>8537985.3025399689</v>
      </c>
      <c r="F140">
        <v>10716845.194123179</v>
      </c>
      <c r="G140">
        <v>10989476.586811831</v>
      </c>
      <c r="H140">
        <v>11229682.571281807</v>
      </c>
      <c r="I140">
        <v>10383752.750861445</v>
      </c>
      <c r="J140">
        <v>10656370.55451173</v>
      </c>
      <c r="K140">
        <v>9932258.2397148851</v>
      </c>
      <c r="L140">
        <v>10087826.895455413</v>
      </c>
      <c r="M140">
        <v>10783680.406852987</v>
      </c>
    </row>
    <row r="141" spans="1:13" x14ac:dyDescent="0.25">
      <c r="A141" t="s">
        <v>16</v>
      </c>
      <c r="B141" t="s">
        <v>48</v>
      </c>
      <c r="C141" t="s">
        <v>48</v>
      </c>
      <c r="D141" t="s">
        <v>48</v>
      </c>
      <c r="E141" t="s">
        <v>48</v>
      </c>
      <c r="F141" t="s">
        <v>48</v>
      </c>
      <c r="G141" t="s">
        <v>48</v>
      </c>
      <c r="H141" t="s">
        <v>48</v>
      </c>
      <c r="I141" t="s">
        <v>48</v>
      </c>
      <c r="J141" t="s">
        <v>48</v>
      </c>
      <c r="K141" t="s">
        <v>48</v>
      </c>
      <c r="L141" t="s">
        <v>48</v>
      </c>
      <c r="M141" t="s">
        <v>48</v>
      </c>
    </row>
    <row r="142" spans="1:13" x14ac:dyDescent="0.25">
      <c r="A142" t="s">
        <v>17</v>
      </c>
      <c r="B142" t="s">
        <v>48</v>
      </c>
      <c r="C142" t="s">
        <v>48</v>
      </c>
      <c r="D142" t="s">
        <v>48</v>
      </c>
      <c r="E142" t="s">
        <v>48</v>
      </c>
      <c r="F142" t="s">
        <v>48</v>
      </c>
      <c r="G142" t="s">
        <v>48</v>
      </c>
      <c r="H142" t="s">
        <v>48</v>
      </c>
      <c r="I142" t="s">
        <v>48</v>
      </c>
      <c r="J142" t="s">
        <v>48</v>
      </c>
      <c r="K142" t="s">
        <v>48</v>
      </c>
      <c r="L142" t="s">
        <v>48</v>
      </c>
      <c r="M142" t="s">
        <v>48</v>
      </c>
    </row>
    <row r="143" spans="1:13" x14ac:dyDescent="0.25">
      <c r="A143" t="s">
        <v>18</v>
      </c>
      <c r="B143" t="s">
        <v>48</v>
      </c>
      <c r="C143" t="s">
        <v>48</v>
      </c>
      <c r="D143" t="s">
        <v>48</v>
      </c>
      <c r="E143" t="s">
        <v>48</v>
      </c>
      <c r="F143" t="s">
        <v>48</v>
      </c>
      <c r="G143" t="s">
        <v>48</v>
      </c>
      <c r="H143" t="s">
        <v>48</v>
      </c>
      <c r="I143" t="s">
        <v>48</v>
      </c>
      <c r="J143" t="s">
        <v>48</v>
      </c>
      <c r="K143" t="s">
        <v>48</v>
      </c>
      <c r="L143" t="s">
        <v>48</v>
      </c>
      <c r="M143" t="s">
        <v>48</v>
      </c>
    </row>
    <row r="144" spans="1:13" x14ac:dyDescent="0.25">
      <c r="A144" t="s">
        <v>19</v>
      </c>
      <c r="B144">
        <v>10214519.921490639</v>
      </c>
      <c r="C144">
        <v>10008664.562687457</v>
      </c>
      <c r="D144">
        <v>9776584.0524146464</v>
      </c>
      <c r="E144">
        <v>9503797.1827094797</v>
      </c>
      <c r="F144">
        <v>10722746.339805949</v>
      </c>
      <c r="G144">
        <v>10935365.309240805</v>
      </c>
      <c r="H144">
        <v>11185613.928859392</v>
      </c>
      <c r="I144">
        <v>10787017.332232079</v>
      </c>
      <c r="J144">
        <v>13237956.288269179</v>
      </c>
      <c r="K144">
        <v>13375798.901022865</v>
      </c>
      <c r="L144">
        <v>14460190.270529233</v>
      </c>
      <c r="M144">
        <v>13194653.801376591</v>
      </c>
    </row>
    <row r="145" spans="1:13" x14ac:dyDescent="0.25">
      <c r="A145" t="s">
        <v>20</v>
      </c>
      <c r="B145" t="s">
        <v>48</v>
      </c>
      <c r="C145" t="s">
        <v>48</v>
      </c>
      <c r="D145" t="s">
        <v>48</v>
      </c>
      <c r="E145" t="s">
        <v>48</v>
      </c>
      <c r="F145" t="s">
        <v>48</v>
      </c>
      <c r="G145" t="s">
        <v>48</v>
      </c>
      <c r="H145" t="s">
        <v>48</v>
      </c>
      <c r="I145" t="s">
        <v>48</v>
      </c>
      <c r="J145" t="s">
        <v>48</v>
      </c>
      <c r="K145" t="s">
        <v>48</v>
      </c>
      <c r="L145" t="s">
        <v>48</v>
      </c>
      <c r="M145" t="s">
        <v>48</v>
      </c>
    </row>
    <row r="146" spans="1:13" x14ac:dyDescent="0.25">
      <c r="A146" t="s">
        <v>21</v>
      </c>
      <c r="B146" t="s">
        <v>48</v>
      </c>
      <c r="C146" t="s">
        <v>48</v>
      </c>
      <c r="D146" t="s">
        <v>48</v>
      </c>
      <c r="E146" t="s">
        <v>48</v>
      </c>
      <c r="F146" t="s">
        <v>48</v>
      </c>
      <c r="G146" t="s">
        <v>48</v>
      </c>
      <c r="H146" t="s">
        <v>48</v>
      </c>
      <c r="I146" t="s">
        <v>48</v>
      </c>
      <c r="J146" t="s">
        <v>48</v>
      </c>
      <c r="K146" t="s">
        <v>48</v>
      </c>
      <c r="L146" t="s">
        <v>48</v>
      </c>
      <c r="M146" t="s">
        <v>48</v>
      </c>
    </row>
    <row r="147" spans="1:13" x14ac:dyDescent="0.25">
      <c r="A147" t="s">
        <v>22</v>
      </c>
      <c r="B147" t="s">
        <v>48</v>
      </c>
      <c r="C147" t="s">
        <v>48</v>
      </c>
      <c r="D147" t="s">
        <v>48</v>
      </c>
      <c r="E147" t="s">
        <v>48</v>
      </c>
      <c r="F147" t="s">
        <v>48</v>
      </c>
      <c r="G147" t="s">
        <v>48</v>
      </c>
      <c r="H147" t="s">
        <v>48</v>
      </c>
      <c r="I147" t="s">
        <v>48</v>
      </c>
      <c r="J147" t="s">
        <v>48</v>
      </c>
      <c r="K147" t="s">
        <v>48</v>
      </c>
      <c r="L147" t="s">
        <v>48</v>
      </c>
      <c r="M147" t="s">
        <v>48</v>
      </c>
    </row>
    <row r="148" spans="1:13" x14ac:dyDescent="0.25">
      <c r="A148" t="s">
        <v>23</v>
      </c>
      <c r="B148" t="s">
        <v>48</v>
      </c>
      <c r="C148" t="s">
        <v>48</v>
      </c>
      <c r="D148" t="s">
        <v>48</v>
      </c>
      <c r="E148" t="s">
        <v>48</v>
      </c>
      <c r="F148" t="s">
        <v>48</v>
      </c>
      <c r="G148" t="s">
        <v>48</v>
      </c>
      <c r="H148" t="s">
        <v>48</v>
      </c>
      <c r="I148" t="s">
        <v>48</v>
      </c>
      <c r="J148" t="s">
        <v>48</v>
      </c>
      <c r="K148" t="s">
        <v>48</v>
      </c>
      <c r="L148" t="s">
        <v>48</v>
      </c>
      <c r="M148" t="s">
        <v>48</v>
      </c>
    </row>
    <row r="149" spans="1:13" x14ac:dyDescent="0.25">
      <c r="A149" t="s">
        <v>24</v>
      </c>
      <c r="B149" t="s">
        <v>48</v>
      </c>
      <c r="C149" t="s">
        <v>48</v>
      </c>
      <c r="D149" t="s">
        <v>48</v>
      </c>
      <c r="E149" t="s">
        <v>48</v>
      </c>
      <c r="F149" t="s">
        <v>48</v>
      </c>
      <c r="G149" t="s">
        <v>48</v>
      </c>
      <c r="H149" t="s">
        <v>48</v>
      </c>
      <c r="I149" t="s">
        <v>48</v>
      </c>
      <c r="J149" t="s">
        <v>48</v>
      </c>
      <c r="K149" t="s">
        <v>48</v>
      </c>
      <c r="L149" t="s">
        <v>48</v>
      </c>
      <c r="M149" t="s">
        <v>48</v>
      </c>
    </row>
    <row r="150" spans="1:13" x14ac:dyDescent="0.25">
      <c r="A150" t="s">
        <v>25</v>
      </c>
      <c r="B150" t="s">
        <v>48</v>
      </c>
      <c r="C150" t="s">
        <v>48</v>
      </c>
      <c r="D150" t="s">
        <v>48</v>
      </c>
      <c r="E150" t="s">
        <v>48</v>
      </c>
      <c r="F150" t="s">
        <v>48</v>
      </c>
      <c r="G150" t="s">
        <v>48</v>
      </c>
      <c r="H150" t="s">
        <v>48</v>
      </c>
      <c r="I150" t="s">
        <v>48</v>
      </c>
      <c r="J150" t="s">
        <v>48</v>
      </c>
      <c r="K150" t="s">
        <v>48</v>
      </c>
      <c r="L150" t="s">
        <v>48</v>
      </c>
      <c r="M150" t="s">
        <v>48</v>
      </c>
    </row>
    <row r="151" spans="1:13" x14ac:dyDescent="0.25">
      <c r="A151" t="s">
        <v>26</v>
      </c>
      <c r="B151">
        <v>9853450.5940074492</v>
      </c>
      <c r="C151">
        <v>9846781.0695498548</v>
      </c>
      <c r="D151">
        <v>9218141.7909949906</v>
      </c>
      <c r="E151">
        <v>8537985.3025399689</v>
      </c>
      <c r="F151">
        <v>10716845.194123179</v>
      </c>
      <c r="G151">
        <v>10989476.586811831</v>
      </c>
      <c r="H151">
        <v>11229682.571281807</v>
      </c>
      <c r="I151">
        <v>10383752.750861445</v>
      </c>
      <c r="J151">
        <v>10656370.55451173</v>
      </c>
      <c r="K151">
        <v>9932258.2397148851</v>
      </c>
      <c r="L151">
        <v>10087826.895455413</v>
      </c>
      <c r="M151">
        <v>10783680.406852987</v>
      </c>
    </row>
    <row r="152" spans="1:13" x14ac:dyDescent="0.25">
      <c r="A152" t="s">
        <v>27</v>
      </c>
      <c r="B152">
        <v>7396614.7927751234</v>
      </c>
      <c r="C152">
        <v>7547504.7947588172</v>
      </c>
      <c r="D152">
        <v>7377524.3496411992</v>
      </c>
      <c r="E152">
        <v>7980270.3075390011</v>
      </c>
      <c r="F152">
        <v>8798436.0542436019</v>
      </c>
      <c r="G152">
        <v>8506001.0138891824</v>
      </c>
      <c r="H152">
        <v>8870388.9594430197</v>
      </c>
      <c r="I152">
        <v>7997709.4194902638</v>
      </c>
      <c r="J152">
        <v>7821457.1515578339</v>
      </c>
      <c r="K152">
        <v>7872044.0787469065</v>
      </c>
      <c r="L152">
        <v>9205052.1305030249</v>
      </c>
      <c r="M152">
        <v>9395761.9602870792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8703-5CEB-41D4-B58A-1475D691CA5C}">
  <dimension ref="A1:AY25"/>
  <sheetViews>
    <sheetView workbookViewId="0">
      <selection activeCell="E14" sqref="E14"/>
    </sheetView>
  </sheetViews>
  <sheetFormatPr defaultColWidth="11.42578125" defaultRowHeight="15" x14ac:dyDescent="0.25"/>
  <sheetData>
    <row r="1" spans="1:51" x14ac:dyDescent="0.25">
      <c r="A1" t="s">
        <v>3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  <c r="AF1">
        <v>2051</v>
      </c>
      <c r="AG1">
        <v>2052</v>
      </c>
      <c r="AH1">
        <v>2053</v>
      </c>
      <c r="AI1">
        <v>2054</v>
      </c>
      <c r="AJ1">
        <v>2055</v>
      </c>
      <c r="AK1">
        <v>2056</v>
      </c>
      <c r="AL1">
        <v>2057</v>
      </c>
      <c r="AM1">
        <v>2058</v>
      </c>
      <c r="AN1">
        <v>2059</v>
      </c>
      <c r="AO1">
        <v>2060</v>
      </c>
      <c r="AP1">
        <v>2061</v>
      </c>
      <c r="AQ1">
        <v>2062</v>
      </c>
      <c r="AR1">
        <v>2063</v>
      </c>
      <c r="AS1">
        <v>2064</v>
      </c>
      <c r="AT1">
        <v>2065</v>
      </c>
      <c r="AU1">
        <v>2066</v>
      </c>
      <c r="AV1">
        <v>2067</v>
      </c>
      <c r="AW1">
        <v>2068</v>
      </c>
      <c r="AX1">
        <v>2069</v>
      </c>
      <c r="AY1">
        <v>2070</v>
      </c>
    </row>
    <row r="2" spans="1:51" x14ac:dyDescent="0.25">
      <c r="A2" t="s">
        <v>4</v>
      </c>
      <c r="B2">
        <f>Data!K75</f>
        <v>0</v>
      </c>
      <c r="C2">
        <f>Data!L75</f>
        <v>35</v>
      </c>
      <c r="D2">
        <f>Data!M75</f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  <c r="Z2" s="2">
        <v>0</v>
      </c>
      <c r="AA2" s="2">
        <v>0</v>
      </c>
      <c r="AB2" s="2">
        <v>0</v>
      </c>
      <c r="AC2" s="2">
        <v>0</v>
      </c>
      <c r="AD2" s="2">
        <v>0</v>
      </c>
      <c r="AE2" s="2">
        <v>0</v>
      </c>
      <c r="AF2" s="2">
        <v>0</v>
      </c>
      <c r="AG2" s="2">
        <v>0</v>
      </c>
      <c r="AH2" s="2">
        <v>0</v>
      </c>
      <c r="AI2" s="2">
        <v>0</v>
      </c>
      <c r="AJ2" s="2">
        <v>0</v>
      </c>
      <c r="AK2" s="2">
        <v>0</v>
      </c>
      <c r="AL2" s="2">
        <v>0</v>
      </c>
      <c r="AM2" s="2">
        <v>0</v>
      </c>
      <c r="AN2" s="2">
        <v>0</v>
      </c>
      <c r="AO2" s="2">
        <v>0</v>
      </c>
      <c r="AP2" s="2">
        <v>0</v>
      </c>
      <c r="AQ2" s="2">
        <v>0</v>
      </c>
      <c r="AR2" s="2">
        <v>0</v>
      </c>
      <c r="AS2" s="2">
        <v>0</v>
      </c>
      <c r="AT2" s="2">
        <v>0</v>
      </c>
      <c r="AU2" s="2">
        <v>0</v>
      </c>
      <c r="AV2" s="2">
        <v>0</v>
      </c>
      <c r="AW2" s="2">
        <v>0</v>
      </c>
      <c r="AX2" s="2">
        <v>0</v>
      </c>
      <c r="AY2" s="2">
        <v>0</v>
      </c>
    </row>
    <row r="3" spans="1:51" x14ac:dyDescent="0.25">
      <c r="A3" t="s">
        <v>5</v>
      </c>
      <c r="B3">
        <f>Data!K76</f>
        <v>149</v>
      </c>
      <c r="C3">
        <f>Data!L76</f>
        <v>0</v>
      </c>
      <c r="D3">
        <f>Data!M76</f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0</v>
      </c>
      <c r="AN3" s="2">
        <v>0</v>
      </c>
      <c r="AO3" s="2">
        <v>0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0</v>
      </c>
      <c r="AV3" s="2">
        <v>0</v>
      </c>
      <c r="AW3" s="2">
        <v>0</v>
      </c>
      <c r="AX3" s="2">
        <v>0</v>
      </c>
      <c r="AY3" s="2">
        <v>0</v>
      </c>
    </row>
    <row r="4" spans="1:51" x14ac:dyDescent="0.25">
      <c r="A4" t="s">
        <v>6</v>
      </c>
      <c r="B4">
        <f>Data!K77</f>
        <v>0</v>
      </c>
      <c r="C4">
        <f>Data!L77</f>
        <v>0</v>
      </c>
      <c r="D4">
        <f>Data!M77</f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0</v>
      </c>
      <c r="AJ4" s="2">
        <v>0</v>
      </c>
      <c r="AK4" s="2">
        <v>0</v>
      </c>
      <c r="AL4" s="2">
        <v>0</v>
      </c>
      <c r="AM4" s="2">
        <v>0</v>
      </c>
      <c r="AN4" s="2">
        <v>0</v>
      </c>
      <c r="AO4" s="2">
        <v>0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0</v>
      </c>
      <c r="AV4" s="2">
        <v>0</v>
      </c>
      <c r="AW4" s="2">
        <v>0</v>
      </c>
      <c r="AX4" s="2">
        <v>0</v>
      </c>
      <c r="AY4" s="2">
        <v>0</v>
      </c>
    </row>
    <row r="5" spans="1:51" x14ac:dyDescent="0.25">
      <c r="A5" t="s">
        <v>7</v>
      </c>
      <c r="B5">
        <f>Data!K78</f>
        <v>0</v>
      </c>
      <c r="C5">
        <f>Data!L78</f>
        <v>26</v>
      </c>
      <c r="D5">
        <f>Data!M78</f>
        <v>0</v>
      </c>
      <c r="E5" s="2">
        <v>0</v>
      </c>
      <c r="F5" s="2">
        <v>0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D5" s="2">
        <v>0</v>
      </c>
      <c r="AE5" s="2">
        <v>0</v>
      </c>
      <c r="AF5" s="2">
        <v>0</v>
      </c>
      <c r="AG5" s="2">
        <v>0</v>
      </c>
      <c r="AH5" s="2">
        <v>0</v>
      </c>
      <c r="AI5" s="2">
        <v>0</v>
      </c>
      <c r="AJ5" s="2">
        <v>0</v>
      </c>
      <c r="AK5" s="2">
        <v>0</v>
      </c>
      <c r="AL5" s="2">
        <v>0</v>
      </c>
      <c r="AM5" s="2">
        <v>0</v>
      </c>
      <c r="AN5" s="2">
        <v>0</v>
      </c>
      <c r="AO5" s="2">
        <v>0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0</v>
      </c>
      <c r="AV5" s="2">
        <v>0</v>
      </c>
      <c r="AW5" s="2">
        <v>0</v>
      </c>
      <c r="AX5" s="2">
        <v>0</v>
      </c>
      <c r="AY5" s="2">
        <v>0</v>
      </c>
    </row>
    <row r="6" spans="1:51" x14ac:dyDescent="0.25">
      <c r="A6" t="s">
        <v>8</v>
      </c>
      <c r="B6">
        <f>Data!K79</f>
        <v>0</v>
      </c>
      <c r="C6">
        <f>Data!L79</f>
        <v>30</v>
      </c>
      <c r="D6">
        <f>Data!M79</f>
        <v>1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0</v>
      </c>
      <c r="AG6" s="2">
        <v>0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0</v>
      </c>
      <c r="AN6" s="2">
        <v>0</v>
      </c>
      <c r="AO6" s="2">
        <v>0</v>
      </c>
      <c r="AP6" s="2">
        <v>0</v>
      </c>
      <c r="AQ6" s="2">
        <v>0</v>
      </c>
      <c r="AR6" s="2">
        <v>0</v>
      </c>
      <c r="AS6" s="2">
        <v>0</v>
      </c>
      <c r="AT6" s="2">
        <v>0</v>
      </c>
      <c r="AU6" s="2">
        <v>0</v>
      </c>
      <c r="AV6" s="2">
        <v>0</v>
      </c>
      <c r="AW6" s="2">
        <v>0</v>
      </c>
      <c r="AX6" s="2">
        <v>0</v>
      </c>
      <c r="AY6" s="2">
        <v>0</v>
      </c>
    </row>
    <row r="7" spans="1:51" x14ac:dyDescent="0.25">
      <c r="A7" t="s">
        <v>9</v>
      </c>
      <c r="B7">
        <f>Data!K80</f>
        <v>0</v>
      </c>
      <c r="C7">
        <f>Data!L80</f>
        <v>0</v>
      </c>
      <c r="D7">
        <f>Data!M80</f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0</v>
      </c>
      <c r="L7" s="2">
        <v>0</v>
      </c>
      <c r="M7" s="2">
        <v>0</v>
      </c>
      <c r="N7" s="2">
        <v>0</v>
      </c>
      <c r="O7" s="2">
        <v>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2">
        <v>0</v>
      </c>
      <c r="AF7" s="2">
        <v>0</v>
      </c>
      <c r="AG7" s="2">
        <v>0</v>
      </c>
      <c r="AH7" s="2">
        <v>0</v>
      </c>
      <c r="AI7" s="2">
        <v>0</v>
      </c>
      <c r="AJ7" s="2">
        <v>0</v>
      </c>
      <c r="AK7" s="2">
        <v>0</v>
      </c>
      <c r="AL7" s="2">
        <v>0</v>
      </c>
      <c r="AM7" s="2">
        <v>0</v>
      </c>
      <c r="AN7" s="2">
        <v>0</v>
      </c>
      <c r="AO7" s="2">
        <v>0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0</v>
      </c>
      <c r="AV7" s="2">
        <v>0</v>
      </c>
      <c r="AW7" s="2">
        <v>0</v>
      </c>
      <c r="AX7" s="2">
        <v>0</v>
      </c>
      <c r="AY7" s="2">
        <v>0</v>
      </c>
    </row>
    <row r="8" spans="1:51" x14ac:dyDescent="0.25">
      <c r="A8" t="s">
        <v>10</v>
      </c>
      <c r="B8">
        <f>Data!K81</f>
        <v>0</v>
      </c>
      <c r="C8">
        <f>Data!L81</f>
        <v>0</v>
      </c>
      <c r="D8">
        <f>Data!M81</f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2">
        <v>0</v>
      </c>
      <c r="AF8" s="2">
        <v>0</v>
      </c>
      <c r="AG8" s="2">
        <v>0</v>
      </c>
      <c r="AH8" s="2">
        <v>0</v>
      </c>
      <c r="AI8" s="2">
        <v>0</v>
      </c>
      <c r="AJ8" s="2">
        <v>0</v>
      </c>
      <c r="AK8" s="2">
        <v>0</v>
      </c>
      <c r="AL8" s="2">
        <v>0</v>
      </c>
      <c r="AM8" s="2">
        <v>0</v>
      </c>
      <c r="AN8" s="2">
        <v>0</v>
      </c>
      <c r="AO8" s="2">
        <v>0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0</v>
      </c>
      <c r="AV8" s="2">
        <v>0</v>
      </c>
      <c r="AW8" s="2">
        <v>0</v>
      </c>
      <c r="AX8" s="2">
        <v>0</v>
      </c>
      <c r="AY8" s="2">
        <v>0</v>
      </c>
    </row>
    <row r="9" spans="1:51" x14ac:dyDescent="0.25">
      <c r="A9" t="s">
        <v>11</v>
      </c>
      <c r="B9">
        <f>Data!K82</f>
        <v>0</v>
      </c>
      <c r="C9">
        <f>Data!L82</f>
        <v>0</v>
      </c>
      <c r="D9">
        <f>Data!M82</f>
        <v>0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0</v>
      </c>
      <c r="L9" s="2">
        <v>0</v>
      </c>
      <c r="M9" s="2">
        <v>0</v>
      </c>
      <c r="N9" s="2">
        <v>0</v>
      </c>
      <c r="O9" s="2">
        <v>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0</v>
      </c>
      <c r="AF9" s="2">
        <v>0</v>
      </c>
      <c r="AG9" s="2">
        <v>0</v>
      </c>
      <c r="AH9" s="2">
        <v>0</v>
      </c>
      <c r="AI9" s="2">
        <v>0</v>
      </c>
      <c r="AJ9" s="2">
        <v>0</v>
      </c>
      <c r="AK9" s="2">
        <v>0</v>
      </c>
      <c r="AL9" s="2">
        <v>0</v>
      </c>
      <c r="AM9" s="2">
        <v>0</v>
      </c>
      <c r="AN9" s="2">
        <v>0</v>
      </c>
      <c r="AO9" s="2">
        <v>0</v>
      </c>
      <c r="AP9" s="2">
        <v>0</v>
      </c>
      <c r="AQ9" s="2">
        <v>0</v>
      </c>
      <c r="AR9" s="2">
        <v>0</v>
      </c>
      <c r="AS9" s="2">
        <v>0</v>
      </c>
      <c r="AT9" s="2">
        <v>0</v>
      </c>
      <c r="AU9" s="2">
        <v>0</v>
      </c>
      <c r="AV9" s="2">
        <v>0</v>
      </c>
      <c r="AW9" s="2">
        <v>0</v>
      </c>
      <c r="AX9" s="2">
        <v>0</v>
      </c>
      <c r="AY9" s="2">
        <v>0</v>
      </c>
    </row>
    <row r="10" spans="1:51" x14ac:dyDescent="0.25">
      <c r="A10" t="s">
        <v>12</v>
      </c>
      <c r="B10">
        <f>Data!K83</f>
        <v>0</v>
      </c>
      <c r="C10">
        <f>Data!L83</f>
        <v>0</v>
      </c>
      <c r="D10">
        <f>Data!M83</f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D10" s="2">
        <v>0</v>
      </c>
      <c r="AE10" s="2">
        <v>0</v>
      </c>
      <c r="AF10" s="2">
        <v>0</v>
      </c>
      <c r="AG10" s="2">
        <v>0</v>
      </c>
      <c r="AH10" s="2">
        <v>0</v>
      </c>
      <c r="AI10" s="2">
        <v>0</v>
      </c>
      <c r="AJ10" s="2">
        <v>0</v>
      </c>
      <c r="AK10" s="2">
        <v>0</v>
      </c>
      <c r="AL10" s="2">
        <v>0</v>
      </c>
      <c r="AM10" s="2">
        <v>0</v>
      </c>
      <c r="AN10" s="2">
        <v>0</v>
      </c>
      <c r="AO10" s="2">
        <v>0</v>
      </c>
      <c r="AP10" s="2">
        <v>0</v>
      </c>
      <c r="AQ10" s="2">
        <v>0</v>
      </c>
      <c r="AR10" s="2">
        <v>0</v>
      </c>
      <c r="AS10" s="2">
        <v>0</v>
      </c>
      <c r="AT10" s="2">
        <v>0</v>
      </c>
      <c r="AU10" s="2">
        <v>0</v>
      </c>
      <c r="AV10" s="2">
        <v>0</v>
      </c>
      <c r="AW10" s="2">
        <v>0</v>
      </c>
      <c r="AX10" s="2">
        <v>0</v>
      </c>
      <c r="AY10" s="2">
        <v>0</v>
      </c>
    </row>
    <row r="11" spans="1:51" x14ac:dyDescent="0.25">
      <c r="A11" t="s">
        <v>13</v>
      </c>
      <c r="B11">
        <f>Data!K84</f>
        <v>0</v>
      </c>
      <c r="C11">
        <f>Data!L84</f>
        <v>0</v>
      </c>
      <c r="D11">
        <f>Data!M84</f>
        <v>0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  <c r="AC11" s="2">
        <v>0</v>
      </c>
      <c r="AD11" s="2">
        <v>0</v>
      </c>
      <c r="AE11" s="2">
        <v>0</v>
      </c>
      <c r="AF11" s="2">
        <v>0</v>
      </c>
      <c r="AG11" s="2">
        <v>0</v>
      </c>
      <c r="AH11" s="2">
        <v>0</v>
      </c>
      <c r="AI11" s="2">
        <v>0</v>
      </c>
      <c r="AJ11" s="2">
        <v>0</v>
      </c>
      <c r="AK11" s="2">
        <v>0</v>
      </c>
      <c r="AL11" s="2">
        <v>0</v>
      </c>
      <c r="AM11" s="2">
        <v>0</v>
      </c>
      <c r="AN11" s="2">
        <v>0</v>
      </c>
      <c r="AO11" s="2">
        <v>0</v>
      </c>
      <c r="AP11" s="2">
        <v>0</v>
      </c>
      <c r="AQ11" s="2">
        <v>0</v>
      </c>
      <c r="AR11" s="2">
        <v>0</v>
      </c>
      <c r="AS11" s="2">
        <v>0</v>
      </c>
      <c r="AT11" s="2">
        <v>0</v>
      </c>
      <c r="AU11" s="2">
        <v>0</v>
      </c>
      <c r="AV11" s="2">
        <v>0</v>
      </c>
      <c r="AW11" s="2">
        <v>0</v>
      </c>
      <c r="AX11" s="2">
        <v>0</v>
      </c>
      <c r="AY11" s="2">
        <v>0</v>
      </c>
    </row>
    <row r="12" spans="1:51" x14ac:dyDescent="0.25">
      <c r="A12" t="s">
        <v>14</v>
      </c>
      <c r="B12">
        <f>Data!K85</f>
        <v>0</v>
      </c>
      <c r="C12">
        <f>Data!L85</f>
        <v>0</v>
      </c>
      <c r="D12">
        <f>Data!M85</f>
        <v>0</v>
      </c>
      <c r="E12" s="2">
        <v>0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0</v>
      </c>
      <c r="L12" s="2">
        <v>0</v>
      </c>
      <c r="M12" s="2">
        <v>0</v>
      </c>
      <c r="N12" s="2">
        <v>0</v>
      </c>
      <c r="O12" s="2">
        <v>0</v>
      </c>
      <c r="P12" s="2">
        <v>0</v>
      </c>
      <c r="Q12" s="2">
        <v>0</v>
      </c>
      <c r="R12" s="2">
        <v>0</v>
      </c>
      <c r="S12" s="2">
        <v>0</v>
      </c>
      <c r="T12" s="2">
        <v>0</v>
      </c>
      <c r="U12" s="2">
        <v>0</v>
      </c>
      <c r="V12" s="2">
        <v>0</v>
      </c>
      <c r="W12" s="2">
        <v>0</v>
      </c>
      <c r="X12" s="2">
        <v>0</v>
      </c>
      <c r="Y12" s="2">
        <v>0</v>
      </c>
      <c r="Z12" s="2">
        <v>0</v>
      </c>
      <c r="AA12" s="2">
        <v>0</v>
      </c>
      <c r="AB12" s="2">
        <v>0</v>
      </c>
      <c r="AC12" s="2">
        <v>0</v>
      </c>
      <c r="AD12" s="2">
        <v>0</v>
      </c>
      <c r="AE12" s="2">
        <v>0</v>
      </c>
      <c r="AF12" s="2">
        <v>0</v>
      </c>
      <c r="AG12" s="2">
        <v>0</v>
      </c>
      <c r="AH12" s="2">
        <v>0</v>
      </c>
      <c r="AI12" s="2">
        <v>0</v>
      </c>
      <c r="AJ12" s="2">
        <v>0</v>
      </c>
      <c r="AK12" s="2">
        <v>0</v>
      </c>
      <c r="AL12" s="2">
        <v>0</v>
      </c>
      <c r="AM12" s="2">
        <v>0</v>
      </c>
      <c r="AN12" s="2">
        <v>0</v>
      </c>
      <c r="AO12" s="2">
        <v>0</v>
      </c>
      <c r="AP12" s="2">
        <v>0</v>
      </c>
      <c r="AQ12" s="2">
        <v>0</v>
      </c>
      <c r="AR12" s="2">
        <v>0</v>
      </c>
      <c r="AS12" s="2">
        <v>0</v>
      </c>
      <c r="AT12" s="2">
        <v>0</v>
      </c>
      <c r="AU12" s="2">
        <v>0</v>
      </c>
      <c r="AV12" s="2">
        <v>0</v>
      </c>
      <c r="AW12" s="2">
        <v>0</v>
      </c>
      <c r="AX12" s="2">
        <v>0</v>
      </c>
      <c r="AY12" s="2">
        <v>0</v>
      </c>
    </row>
    <row r="13" spans="1:51" x14ac:dyDescent="0.25">
      <c r="A13" t="s">
        <v>15</v>
      </c>
      <c r="B13">
        <f>Data!K86</f>
        <v>0</v>
      </c>
      <c r="C13">
        <f>Data!L86</f>
        <v>0</v>
      </c>
      <c r="D13">
        <f>Data!M86</f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  <c r="L13" s="2">
        <v>0</v>
      </c>
      <c r="M13" s="2">
        <v>0</v>
      </c>
      <c r="N13" s="2">
        <v>0</v>
      </c>
      <c r="O13" s="2">
        <v>0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0</v>
      </c>
      <c r="AB13" s="2">
        <v>0</v>
      </c>
      <c r="AC13" s="2">
        <v>0</v>
      </c>
      <c r="AD13" s="2">
        <v>0</v>
      </c>
      <c r="AE13" s="2">
        <v>0</v>
      </c>
      <c r="AF13" s="2">
        <v>0</v>
      </c>
      <c r="AG13" s="2">
        <v>0</v>
      </c>
      <c r="AH13" s="2">
        <v>0</v>
      </c>
      <c r="AI13" s="2">
        <v>0</v>
      </c>
      <c r="AJ13" s="2">
        <v>0</v>
      </c>
      <c r="AK13" s="2">
        <v>0</v>
      </c>
      <c r="AL13" s="2">
        <v>0</v>
      </c>
      <c r="AM13" s="2">
        <v>0</v>
      </c>
      <c r="AN13" s="2">
        <v>0</v>
      </c>
      <c r="AO13" s="2">
        <v>0</v>
      </c>
      <c r="AP13" s="2">
        <v>0</v>
      </c>
      <c r="AQ13" s="2">
        <v>0</v>
      </c>
      <c r="AR13" s="2">
        <v>0</v>
      </c>
      <c r="AS13" s="2">
        <v>0</v>
      </c>
      <c r="AT13" s="2">
        <v>0</v>
      </c>
      <c r="AU13" s="2">
        <v>0</v>
      </c>
      <c r="AV13" s="2">
        <v>0</v>
      </c>
      <c r="AW13" s="2">
        <v>0</v>
      </c>
      <c r="AX13" s="2">
        <v>0</v>
      </c>
      <c r="AY13" s="2">
        <v>0</v>
      </c>
    </row>
    <row r="14" spans="1:51" x14ac:dyDescent="0.25">
      <c r="A14" t="s">
        <v>16</v>
      </c>
      <c r="B14">
        <f>Data!K87</f>
        <v>0</v>
      </c>
      <c r="C14">
        <f>Data!L87</f>
        <v>0</v>
      </c>
      <c r="D14">
        <f>Data!M87</f>
        <v>0</v>
      </c>
      <c r="E14" s="2">
        <v>0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  <c r="AD14" s="2">
        <v>0</v>
      </c>
      <c r="AE14" s="2">
        <v>0</v>
      </c>
      <c r="AF14" s="2">
        <v>0</v>
      </c>
      <c r="AG14" s="2">
        <v>0</v>
      </c>
      <c r="AH14" s="2">
        <v>0</v>
      </c>
      <c r="AI14" s="2">
        <v>0</v>
      </c>
      <c r="AJ14" s="2">
        <v>0</v>
      </c>
      <c r="AK14" s="2">
        <v>0</v>
      </c>
      <c r="AL14" s="2">
        <v>0</v>
      </c>
      <c r="AM14" s="2">
        <v>0</v>
      </c>
      <c r="AN14" s="2">
        <v>0</v>
      </c>
      <c r="AO14" s="2">
        <v>0</v>
      </c>
      <c r="AP14" s="2">
        <v>0</v>
      </c>
      <c r="AQ14" s="2">
        <v>0</v>
      </c>
      <c r="AR14" s="2">
        <v>0</v>
      </c>
      <c r="AS14" s="2">
        <v>0</v>
      </c>
      <c r="AT14" s="2">
        <v>0</v>
      </c>
      <c r="AU14" s="2">
        <v>0</v>
      </c>
      <c r="AV14" s="2">
        <v>0</v>
      </c>
      <c r="AW14" s="2">
        <v>0</v>
      </c>
      <c r="AX14" s="2">
        <v>0</v>
      </c>
      <c r="AY14" s="2">
        <v>0</v>
      </c>
    </row>
    <row r="15" spans="1:51" x14ac:dyDescent="0.25">
      <c r="A15" t="s">
        <v>17</v>
      </c>
      <c r="B15">
        <f>Data!K88</f>
        <v>0</v>
      </c>
      <c r="C15">
        <f>Data!L88</f>
        <v>0</v>
      </c>
      <c r="D15">
        <f>Data!M88</f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s="2">
        <v>0</v>
      </c>
      <c r="M15" s="2">
        <v>0</v>
      </c>
      <c r="N15" s="2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0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2">
        <v>0</v>
      </c>
      <c r="AI15" s="2">
        <v>0</v>
      </c>
      <c r="AJ15" s="2">
        <v>0</v>
      </c>
      <c r="AK15" s="2">
        <v>0</v>
      </c>
      <c r="AL15" s="2">
        <v>0</v>
      </c>
      <c r="AM15" s="2">
        <v>0</v>
      </c>
      <c r="AN15" s="2">
        <v>0</v>
      </c>
      <c r="AO15" s="2">
        <v>0</v>
      </c>
      <c r="AP15" s="2">
        <v>0</v>
      </c>
      <c r="AQ15" s="2">
        <v>0</v>
      </c>
      <c r="AR15" s="2">
        <v>0</v>
      </c>
      <c r="AS15" s="2">
        <v>0</v>
      </c>
      <c r="AT15" s="2">
        <v>0</v>
      </c>
      <c r="AU15" s="2">
        <v>0</v>
      </c>
      <c r="AV15" s="2">
        <v>0</v>
      </c>
      <c r="AW15" s="2">
        <v>0</v>
      </c>
      <c r="AX15" s="2">
        <v>0</v>
      </c>
      <c r="AY15" s="2">
        <v>0</v>
      </c>
    </row>
    <row r="16" spans="1:51" x14ac:dyDescent="0.25">
      <c r="A16" t="s">
        <v>18</v>
      </c>
      <c r="B16">
        <f>Data!K89</f>
        <v>0</v>
      </c>
      <c r="C16">
        <f>Data!L89</f>
        <v>0</v>
      </c>
      <c r="D16">
        <f>Data!M89</f>
        <v>0</v>
      </c>
      <c r="E16" s="2">
        <v>0</v>
      </c>
      <c r="F16" s="2">
        <v>0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  <c r="L16" s="2">
        <v>0</v>
      </c>
      <c r="M16" s="2">
        <v>0</v>
      </c>
      <c r="N16" s="2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2">
        <v>0</v>
      </c>
      <c r="AI16" s="2">
        <v>0</v>
      </c>
      <c r="AJ16" s="2">
        <v>0</v>
      </c>
      <c r="AK16" s="2">
        <v>0</v>
      </c>
      <c r="AL16" s="2">
        <v>0</v>
      </c>
      <c r="AM16" s="2">
        <v>0</v>
      </c>
      <c r="AN16" s="2">
        <v>0</v>
      </c>
      <c r="AO16" s="2">
        <v>0</v>
      </c>
      <c r="AP16" s="2">
        <v>0</v>
      </c>
      <c r="AQ16" s="2">
        <v>0</v>
      </c>
      <c r="AR16" s="2">
        <v>0</v>
      </c>
      <c r="AS16" s="2">
        <v>0</v>
      </c>
      <c r="AT16" s="2">
        <v>0</v>
      </c>
      <c r="AU16" s="2">
        <v>0</v>
      </c>
      <c r="AV16" s="2">
        <v>0</v>
      </c>
      <c r="AW16" s="2">
        <v>0</v>
      </c>
      <c r="AX16" s="2">
        <v>0</v>
      </c>
      <c r="AY16" s="2">
        <v>0</v>
      </c>
    </row>
    <row r="17" spans="1:51" x14ac:dyDescent="0.25">
      <c r="A17" t="s">
        <v>19</v>
      </c>
      <c r="B17">
        <f>Data!K90</f>
        <v>0</v>
      </c>
      <c r="C17">
        <f>Data!L90</f>
        <v>1056</v>
      </c>
      <c r="D17">
        <f>Data!M90</f>
        <v>43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0</v>
      </c>
      <c r="AJ17" s="2">
        <v>0</v>
      </c>
      <c r="AK17" s="2">
        <v>0</v>
      </c>
      <c r="AL17" s="2">
        <v>0</v>
      </c>
      <c r="AM17" s="2">
        <v>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>
        <v>0</v>
      </c>
    </row>
    <row r="18" spans="1:51" x14ac:dyDescent="0.25">
      <c r="A18" t="s">
        <v>20</v>
      </c>
      <c r="B18">
        <f>Data!K91</f>
        <v>0</v>
      </c>
      <c r="C18">
        <f>Data!L91</f>
        <v>0</v>
      </c>
      <c r="D18">
        <f>Data!M91</f>
        <v>0</v>
      </c>
      <c r="E18" s="2">
        <v>0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0</v>
      </c>
      <c r="L18" s="2">
        <v>0</v>
      </c>
      <c r="M18" s="2">
        <v>0</v>
      </c>
      <c r="N18" s="2">
        <v>0</v>
      </c>
      <c r="O18" s="2">
        <v>0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2">
        <v>0</v>
      </c>
      <c r="AB18" s="2">
        <v>0</v>
      </c>
      <c r="AC18" s="2">
        <v>0</v>
      </c>
      <c r="AD18" s="2">
        <v>0</v>
      </c>
      <c r="AE18" s="2">
        <v>0</v>
      </c>
      <c r="AF18" s="2">
        <v>0</v>
      </c>
      <c r="AG18" s="2">
        <v>0</v>
      </c>
      <c r="AH18" s="2">
        <v>0</v>
      </c>
      <c r="AI18" s="2">
        <v>0</v>
      </c>
      <c r="AJ18" s="2">
        <v>0</v>
      </c>
      <c r="AK18" s="2">
        <v>0</v>
      </c>
      <c r="AL18" s="2">
        <v>0</v>
      </c>
      <c r="AM18" s="2">
        <v>0</v>
      </c>
      <c r="AN18" s="2">
        <v>0</v>
      </c>
      <c r="AO18" s="2">
        <v>0</v>
      </c>
      <c r="AP18" s="2">
        <v>0</v>
      </c>
      <c r="AQ18" s="2">
        <v>0</v>
      </c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W18" s="2">
        <v>0</v>
      </c>
      <c r="AX18" s="2">
        <v>0</v>
      </c>
      <c r="AY18" s="2">
        <v>0</v>
      </c>
    </row>
    <row r="19" spans="1:51" x14ac:dyDescent="0.25">
      <c r="A19" t="s">
        <v>21</v>
      </c>
      <c r="B19">
        <f>Data!K92</f>
        <v>0</v>
      </c>
      <c r="C19">
        <f>Data!L92</f>
        <v>0</v>
      </c>
      <c r="D19">
        <f>Data!M92</f>
        <v>0</v>
      </c>
      <c r="E19" s="2">
        <v>0</v>
      </c>
      <c r="F19" s="2">
        <v>0</v>
      </c>
      <c r="G19" s="2">
        <v>0</v>
      </c>
      <c r="H19" s="2">
        <v>0</v>
      </c>
      <c r="I19" s="2">
        <v>0</v>
      </c>
      <c r="J19" s="2">
        <v>0</v>
      </c>
      <c r="K19" s="2">
        <v>0</v>
      </c>
      <c r="L19" s="2">
        <v>0</v>
      </c>
      <c r="M19" s="2">
        <v>0</v>
      </c>
      <c r="N19" s="2">
        <v>0</v>
      </c>
      <c r="O19" s="2">
        <v>0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</v>
      </c>
      <c r="AI19" s="2">
        <v>0</v>
      </c>
      <c r="AJ19" s="2">
        <v>0</v>
      </c>
      <c r="AK19" s="2">
        <v>0</v>
      </c>
      <c r="AL19" s="2">
        <v>0</v>
      </c>
      <c r="AM19" s="2">
        <v>0</v>
      </c>
      <c r="AN19" s="2">
        <v>0</v>
      </c>
      <c r="AO19" s="2">
        <v>0</v>
      </c>
      <c r="AP19" s="2">
        <v>0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</v>
      </c>
      <c r="AX19" s="2">
        <v>0</v>
      </c>
      <c r="AY19" s="2">
        <v>0</v>
      </c>
    </row>
    <row r="20" spans="1:51" x14ac:dyDescent="0.25">
      <c r="A20" t="s">
        <v>22</v>
      </c>
      <c r="B20">
        <f>Data!K93</f>
        <v>0</v>
      </c>
      <c r="C20">
        <f>Data!L93</f>
        <v>0</v>
      </c>
      <c r="D20">
        <f>Data!M93</f>
        <v>0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0</v>
      </c>
      <c r="AD20" s="2">
        <v>0</v>
      </c>
      <c r="AE20" s="2">
        <v>0</v>
      </c>
      <c r="AF20" s="2">
        <v>0</v>
      </c>
      <c r="AG20" s="2">
        <v>0</v>
      </c>
      <c r="AH20" s="2">
        <v>0</v>
      </c>
      <c r="AI20" s="2">
        <v>0</v>
      </c>
      <c r="AJ20" s="2">
        <v>0</v>
      </c>
      <c r="AK20" s="2">
        <v>0</v>
      </c>
      <c r="AL20" s="2">
        <v>0</v>
      </c>
      <c r="AM20" s="2">
        <v>0</v>
      </c>
      <c r="AN20" s="2">
        <v>0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</v>
      </c>
      <c r="AU20" s="2">
        <v>0</v>
      </c>
      <c r="AV20" s="2">
        <v>0</v>
      </c>
      <c r="AW20" s="2">
        <v>0</v>
      </c>
      <c r="AX20" s="2">
        <v>0</v>
      </c>
      <c r="AY20" s="2">
        <v>0</v>
      </c>
    </row>
    <row r="21" spans="1:51" x14ac:dyDescent="0.25">
      <c r="A21" t="s">
        <v>23</v>
      </c>
      <c r="B21">
        <f>Data!K94</f>
        <v>0</v>
      </c>
      <c r="C21">
        <f>Data!L94</f>
        <v>0</v>
      </c>
      <c r="D21">
        <f>Data!M94</f>
        <v>0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0</v>
      </c>
      <c r="AC21" s="2">
        <v>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0</v>
      </c>
      <c r="AJ21" s="2">
        <v>0</v>
      </c>
      <c r="AK21" s="2">
        <v>0</v>
      </c>
      <c r="AL21" s="2">
        <v>0</v>
      </c>
      <c r="AM21" s="2">
        <v>0</v>
      </c>
      <c r="AN21" s="2">
        <v>0</v>
      </c>
      <c r="AO21" s="2">
        <v>0</v>
      </c>
      <c r="AP21" s="2">
        <v>0</v>
      </c>
      <c r="AQ21" s="2">
        <v>0</v>
      </c>
      <c r="AR21" s="2">
        <v>0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>
        <v>0</v>
      </c>
    </row>
    <row r="22" spans="1:51" x14ac:dyDescent="0.25">
      <c r="A22" t="s">
        <v>24</v>
      </c>
      <c r="B22">
        <f>Data!K95</f>
        <v>0</v>
      </c>
      <c r="C22">
        <f>Data!L95</f>
        <v>0</v>
      </c>
      <c r="D22">
        <f>Data!M95</f>
        <v>0</v>
      </c>
      <c r="E22" s="2">
        <v>0</v>
      </c>
      <c r="F22" s="2">
        <v>0</v>
      </c>
      <c r="G22" s="2">
        <v>0</v>
      </c>
      <c r="H22" s="2">
        <v>0</v>
      </c>
      <c r="I22" s="2">
        <v>0</v>
      </c>
      <c r="J22" s="2">
        <v>0</v>
      </c>
      <c r="K22" s="2">
        <v>0</v>
      </c>
      <c r="L22" s="2">
        <v>0</v>
      </c>
      <c r="M22" s="2">
        <v>0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2">
        <v>0</v>
      </c>
      <c r="AB22" s="2">
        <v>0</v>
      </c>
      <c r="AC22" s="2">
        <v>0</v>
      </c>
      <c r="AD22" s="2">
        <v>0</v>
      </c>
      <c r="AE22" s="2">
        <v>0</v>
      </c>
      <c r="AF22" s="2">
        <v>0</v>
      </c>
      <c r="AG22" s="2">
        <v>0</v>
      </c>
      <c r="AH22" s="2">
        <v>0</v>
      </c>
      <c r="AI22" s="2">
        <v>0</v>
      </c>
      <c r="AJ22" s="2">
        <v>0</v>
      </c>
      <c r="AK22" s="2">
        <v>0</v>
      </c>
      <c r="AL22" s="2">
        <v>0</v>
      </c>
      <c r="AM22" s="2">
        <v>0</v>
      </c>
      <c r="AN22" s="2">
        <v>0</v>
      </c>
      <c r="AO22" s="2">
        <v>0</v>
      </c>
      <c r="AP22" s="2">
        <v>0</v>
      </c>
      <c r="AQ22" s="2">
        <v>0</v>
      </c>
      <c r="AR22" s="2">
        <v>0</v>
      </c>
      <c r="AS22" s="2">
        <v>0</v>
      </c>
      <c r="AT22" s="2">
        <v>0</v>
      </c>
      <c r="AU22" s="2">
        <v>0</v>
      </c>
      <c r="AV22" s="2">
        <v>0</v>
      </c>
      <c r="AW22" s="2">
        <v>0</v>
      </c>
      <c r="AX22" s="2">
        <v>0</v>
      </c>
      <c r="AY22" s="2">
        <v>0</v>
      </c>
    </row>
    <row r="23" spans="1:51" x14ac:dyDescent="0.25">
      <c r="A23" t="s">
        <v>25</v>
      </c>
      <c r="B23">
        <f>Data!K96</f>
        <v>0</v>
      </c>
      <c r="C23">
        <f>Data!L96</f>
        <v>0</v>
      </c>
      <c r="D23">
        <f>Data!M96</f>
        <v>0</v>
      </c>
      <c r="E23" s="2">
        <v>0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0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0</v>
      </c>
      <c r="AN23" s="2">
        <v>0</v>
      </c>
      <c r="AO23" s="2">
        <v>0</v>
      </c>
      <c r="AP23" s="2">
        <v>0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>
        <v>0</v>
      </c>
    </row>
    <row r="24" spans="1:51" x14ac:dyDescent="0.25">
      <c r="A24" t="s">
        <v>26</v>
      </c>
      <c r="B24">
        <f>Data!K97</f>
        <v>0</v>
      </c>
      <c r="C24">
        <f>Data!L97</f>
        <v>0</v>
      </c>
      <c r="D24">
        <f>Data!M97</f>
        <v>0</v>
      </c>
      <c r="E24" s="2">
        <v>0</v>
      </c>
      <c r="F24" s="2">
        <v>0</v>
      </c>
      <c r="G24" s="2">
        <v>0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</v>
      </c>
      <c r="O24" s="2">
        <v>0</v>
      </c>
      <c r="P24" s="2">
        <v>0</v>
      </c>
      <c r="Q24" s="2">
        <v>0</v>
      </c>
      <c r="R24" s="2">
        <v>0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2">
        <v>0</v>
      </c>
      <c r="AB24" s="2">
        <v>0</v>
      </c>
      <c r="AC24" s="2">
        <v>0</v>
      </c>
      <c r="AD24" s="2">
        <v>0</v>
      </c>
      <c r="AE24" s="2">
        <v>0</v>
      </c>
      <c r="AF24" s="2">
        <v>0</v>
      </c>
      <c r="AG24" s="2">
        <v>0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0</v>
      </c>
      <c r="AN24" s="2">
        <v>0</v>
      </c>
      <c r="AO24" s="2">
        <v>0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0</v>
      </c>
      <c r="AW24" s="2">
        <v>0</v>
      </c>
      <c r="AX24" s="2">
        <v>0</v>
      </c>
      <c r="AY24" s="2">
        <v>0</v>
      </c>
    </row>
    <row r="25" spans="1:51" x14ac:dyDescent="0.25">
      <c r="A25" t="s">
        <v>27</v>
      </c>
      <c r="B25">
        <f>Data!K98</f>
        <v>0</v>
      </c>
      <c r="C25">
        <f>Data!L98</f>
        <v>0</v>
      </c>
      <c r="D25">
        <f>Data!M98</f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s="2">
        <v>0</v>
      </c>
      <c r="M25" s="2">
        <v>0</v>
      </c>
      <c r="N25" s="2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2">
        <v>0</v>
      </c>
      <c r="AI25" s="2">
        <v>0</v>
      </c>
      <c r="AJ25" s="2">
        <v>0</v>
      </c>
      <c r="AK25" s="2">
        <v>0</v>
      </c>
      <c r="AL25" s="2">
        <v>0</v>
      </c>
      <c r="AM25" s="2">
        <v>0</v>
      </c>
      <c r="AN25" s="2">
        <v>0</v>
      </c>
      <c r="AO25" s="2">
        <v>0</v>
      </c>
      <c r="AP25" s="2">
        <v>0</v>
      </c>
      <c r="AQ25" s="2">
        <v>0</v>
      </c>
      <c r="AR25" s="2">
        <v>0</v>
      </c>
      <c r="AS25" s="2">
        <v>0</v>
      </c>
      <c r="AT25" s="2">
        <v>0</v>
      </c>
      <c r="AU25" s="2">
        <v>0</v>
      </c>
      <c r="AV25" s="2">
        <v>0</v>
      </c>
      <c r="AW25" s="2">
        <v>0</v>
      </c>
      <c r="AX25" s="2">
        <v>0</v>
      </c>
      <c r="AY25" s="2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A9DAB439B36DB4795F39C4E722C7BC4" ma:contentTypeVersion="4" ma:contentTypeDescription="Create a new document." ma:contentTypeScope="" ma:versionID="44674c89fa9bc5e97a878a6680c46188">
  <xsd:schema xmlns:xsd="http://www.w3.org/2001/XMLSchema" xmlns:xs="http://www.w3.org/2001/XMLSchema" xmlns:p="http://schemas.microsoft.com/office/2006/metadata/properties" xmlns:ns2="79748b23-d81a-423e-9112-21109dc864e6" targetNamespace="http://schemas.microsoft.com/office/2006/metadata/properties" ma:root="true" ma:fieldsID="447839a363ea5a12024b5bf1ab53ed90" ns2:_="">
    <xsd:import namespace="79748b23-d81a-423e-9112-21109dc864e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48b23-d81a-423e-9112-21109dc864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4E86A5-047E-44AE-BB00-8E872F253CC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534B8C9-1E15-46B0-80F1-A075502629CF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E6055987-FA8E-4520-AD86-240857E1483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748b23-d81a-423e-9112-21109dc864e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Data</vt:lpstr>
      <vt:lpstr>BCRbQ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</dc:creator>
  <cp:keywords/>
  <dc:description/>
  <cp:lastModifiedBy>Robbie Orvis</cp:lastModifiedBy>
  <cp:revision/>
  <dcterms:created xsi:type="dcterms:W3CDTF">2015-06-05T18:17:20Z</dcterms:created>
  <dcterms:modified xsi:type="dcterms:W3CDTF">2025-10-06T14:06:08Z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0x0101009A9DAB439B36DB4795F39C4E722C7BC4</vt:lpwstr>
  </property>
</Properties>
</file>