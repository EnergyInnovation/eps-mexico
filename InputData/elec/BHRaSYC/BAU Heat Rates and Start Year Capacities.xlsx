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bieOrvis\Models\Mexico\Models\eps-mexico\InputData\elec\BHRaSYC\"/>
    </mc:Choice>
  </mc:AlternateContent>
  <xr:revisionPtr revIDLastSave="0" documentId="13_ncr:1_{71BD6E05-7523-41EB-953E-A0D27F407E59}" xr6:coauthVersionLast="47" xr6:coauthVersionMax="47" xr10:uidLastSave="{00000000-0000-0000-0000-000000000000}"/>
  <bookViews>
    <workbookView xWindow="14625" yWindow="1845" windowWidth="24510" windowHeight="17910" firstSheet="2" activeTab="7" xr2:uid="{E08C5F1B-7FD4-4462-A8B1-92CB4C971025}"/>
  </bookViews>
  <sheets>
    <sheet name="About" sheetId="1" r:id="rId1"/>
    <sheet name="Gen2022-2023" sheetId="30" r:id="rId2"/>
    <sheet name="Cap2020-2023" sheetId="31" r:id="rId3"/>
    <sheet name="2012-2021" sheetId="28" r:id="rId4"/>
    <sheet name="BNE23" sheetId="32" r:id="rId5"/>
    <sheet name="Calculations" sheetId="29" r:id="rId6"/>
    <sheet name="BHRaSYC-HeatRates" sheetId="13" r:id="rId7"/>
    <sheet name="BHRaSYC-StartYearCapacities" sheetId="16" r:id="rId8"/>
  </sheets>
  <externalReferences>
    <externalReference r:id="rId9"/>
  </externalReference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B25" i="16" l="1"/>
  <c r="EB24" i="16"/>
  <c r="EB23" i="16"/>
  <c r="EB22" i="16"/>
  <c r="EB21" i="16"/>
  <c r="EB20" i="16"/>
  <c r="EB19" i="16"/>
  <c r="EB18" i="16"/>
  <c r="B76" i="29"/>
  <c r="B77" i="29"/>
  <c r="B78" i="29"/>
  <c r="B79" i="29"/>
  <c r="B80" i="29"/>
  <c r="B81" i="29"/>
  <c r="B82" i="29"/>
  <c r="B83" i="29"/>
  <c r="B84" i="29"/>
  <c r="B85" i="29"/>
  <c r="B86" i="29"/>
  <c r="B87" i="29"/>
  <c r="B88" i="29"/>
  <c r="B89" i="29"/>
  <c r="B90" i="29"/>
  <c r="B91" i="29"/>
  <c r="B92" i="29"/>
  <c r="B93" i="29"/>
  <c r="B94" i="29"/>
  <c r="B95" i="29"/>
  <c r="B96" i="29"/>
  <c r="B97" i="29"/>
  <c r="B98" i="29"/>
  <c r="B75" i="29"/>
  <c r="DT2" i="16" l="1"/>
  <c r="DU2" i="16"/>
  <c r="DV2" i="16"/>
  <c r="DW2" i="16"/>
  <c r="DX2" i="16"/>
  <c r="DY2" i="16"/>
  <c r="DZ2" i="16"/>
  <c r="EA2" i="16"/>
  <c r="DT3" i="16"/>
  <c r="DU3" i="16"/>
  <c r="DV3" i="16"/>
  <c r="DW3" i="16"/>
  <c r="DX3" i="16"/>
  <c r="DY3" i="16"/>
  <c r="DZ3" i="16"/>
  <c r="EA3" i="16"/>
  <c r="DT4" i="16"/>
  <c r="DU4" i="16"/>
  <c r="DV4" i="16"/>
  <c r="DW4" i="16"/>
  <c r="DX4" i="16"/>
  <c r="DY4" i="16"/>
  <c r="DZ4" i="16"/>
  <c r="EA4" i="16"/>
  <c r="DT5" i="16"/>
  <c r="DU5" i="16"/>
  <c r="DV5" i="16"/>
  <c r="DW5" i="16"/>
  <c r="DX5" i="16"/>
  <c r="DY5" i="16"/>
  <c r="DZ5" i="16"/>
  <c r="EA5" i="16"/>
  <c r="DT6" i="16"/>
  <c r="DU6" i="16"/>
  <c r="DV6" i="16"/>
  <c r="DW6" i="16"/>
  <c r="DX6" i="16"/>
  <c r="DY6" i="16"/>
  <c r="DZ6" i="16"/>
  <c r="EA6" i="16"/>
  <c r="DT7" i="16"/>
  <c r="DU7" i="16"/>
  <c r="DV7" i="16"/>
  <c r="DW7" i="16"/>
  <c r="DX7" i="16"/>
  <c r="DY7" i="16"/>
  <c r="DZ7" i="16"/>
  <c r="EA7" i="16"/>
  <c r="DT8" i="16"/>
  <c r="DU8" i="16"/>
  <c r="DV8" i="16"/>
  <c r="DW8" i="16"/>
  <c r="DX8" i="16"/>
  <c r="DY8" i="16"/>
  <c r="DZ8" i="16"/>
  <c r="EA8" i="16"/>
  <c r="DT9" i="16"/>
  <c r="DU9" i="16"/>
  <c r="DV9" i="16"/>
  <c r="DW9" i="16"/>
  <c r="DX9" i="16"/>
  <c r="DY9" i="16"/>
  <c r="DZ9" i="16"/>
  <c r="EA9" i="16"/>
  <c r="DT10" i="16"/>
  <c r="DU10" i="16"/>
  <c r="DV10" i="16"/>
  <c r="DW10" i="16"/>
  <c r="DX10" i="16"/>
  <c r="DY10" i="16"/>
  <c r="DZ10" i="16"/>
  <c r="EA10" i="16"/>
  <c r="DT11" i="16"/>
  <c r="DU11" i="16"/>
  <c r="DV11" i="16"/>
  <c r="DW11" i="16"/>
  <c r="DX11" i="16"/>
  <c r="DY11" i="16"/>
  <c r="DZ11" i="16"/>
  <c r="EA11" i="16"/>
  <c r="DT12" i="16"/>
  <c r="DU12" i="16"/>
  <c r="DV12" i="16"/>
  <c r="DW12" i="16"/>
  <c r="DX12" i="16"/>
  <c r="DY12" i="16"/>
  <c r="DZ12" i="16"/>
  <c r="EA12" i="16"/>
  <c r="DT13" i="16"/>
  <c r="DU13" i="16"/>
  <c r="DV13" i="16"/>
  <c r="DW13" i="16"/>
  <c r="DX13" i="16"/>
  <c r="DY13" i="16"/>
  <c r="DZ13" i="16"/>
  <c r="EA13" i="16"/>
  <c r="DT14" i="16"/>
  <c r="DU14" i="16"/>
  <c r="DV14" i="16"/>
  <c r="DW14" i="16"/>
  <c r="DX14" i="16"/>
  <c r="DY14" i="16"/>
  <c r="DZ14" i="16"/>
  <c r="EA14" i="16"/>
  <c r="DT15" i="16"/>
  <c r="DU15" i="16"/>
  <c r="DV15" i="16"/>
  <c r="DW15" i="16"/>
  <c r="DX15" i="16"/>
  <c r="DY15" i="16"/>
  <c r="DZ15" i="16"/>
  <c r="EA15" i="16"/>
  <c r="DT16" i="16"/>
  <c r="DU16" i="16"/>
  <c r="DV16" i="16"/>
  <c r="DW16" i="16"/>
  <c r="DX16" i="16"/>
  <c r="DY16" i="16"/>
  <c r="DZ16" i="16"/>
  <c r="EA16" i="16"/>
  <c r="DT17" i="16"/>
  <c r="DU17" i="16"/>
  <c r="DV17" i="16"/>
  <c r="DW17" i="16"/>
  <c r="DX17" i="16"/>
  <c r="DY17" i="16"/>
  <c r="DZ17" i="16"/>
  <c r="EA17" i="16"/>
  <c r="DT18" i="16"/>
  <c r="DU18" i="16"/>
  <c r="DV18" i="16"/>
  <c r="DW18" i="16"/>
  <c r="DX18" i="16"/>
  <c r="DY18" i="16"/>
  <c r="DZ18" i="16"/>
  <c r="EA18" i="16"/>
  <c r="DT19" i="16"/>
  <c r="DU19" i="16"/>
  <c r="DV19" i="16"/>
  <c r="DW19" i="16"/>
  <c r="DX19" i="16"/>
  <c r="DY19" i="16"/>
  <c r="DZ19" i="16"/>
  <c r="EA19" i="16"/>
  <c r="DT20" i="16"/>
  <c r="DU20" i="16"/>
  <c r="DV20" i="16"/>
  <c r="DW20" i="16"/>
  <c r="DX20" i="16"/>
  <c r="DY20" i="16"/>
  <c r="DZ20" i="16"/>
  <c r="EA20" i="16"/>
  <c r="DT21" i="16"/>
  <c r="DU21" i="16"/>
  <c r="DV21" i="16"/>
  <c r="DW21" i="16"/>
  <c r="DX21" i="16"/>
  <c r="DY21" i="16"/>
  <c r="DZ21" i="16"/>
  <c r="EA21" i="16"/>
  <c r="DT22" i="16"/>
  <c r="DU22" i="16"/>
  <c r="DV22" i="16"/>
  <c r="DW22" i="16"/>
  <c r="DX22" i="16"/>
  <c r="DY22" i="16"/>
  <c r="DZ22" i="16"/>
  <c r="EA22" i="16"/>
  <c r="DT23" i="16"/>
  <c r="DU23" i="16"/>
  <c r="DV23" i="16"/>
  <c r="DW23" i="16"/>
  <c r="DX23" i="16"/>
  <c r="DY23" i="16"/>
  <c r="DZ23" i="16"/>
  <c r="EA23" i="16"/>
  <c r="DT24" i="16"/>
  <c r="DU24" i="16"/>
  <c r="DV24" i="16"/>
  <c r="DW24" i="16"/>
  <c r="DX24" i="16"/>
  <c r="DY24" i="16"/>
  <c r="DZ24" i="16"/>
  <c r="EA24" i="16"/>
  <c r="DT25" i="16"/>
  <c r="DU25" i="16"/>
  <c r="DV25" i="16"/>
  <c r="DW25" i="16"/>
  <c r="DX25" i="16"/>
  <c r="DY25" i="16"/>
  <c r="DZ25" i="16"/>
  <c r="EA25" i="16"/>
  <c r="DS3" i="16"/>
  <c r="DS4" i="16"/>
  <c r="DS5" i="16"/>
  <c r="DS6" i="16"/>
  <c r="DS7" i="16"/>
  <c r="DS8" i="16"/>
  <c r="DS9" i="16"/>
  <c r="DS10" i="16"/>
  <c r="DS11" i="16"/>
  <c r="DS12" i="16"/>
  <c r="DS13" i="16"/>
  <c r="DS14" i="16"/>
  <c r="DS15" i="16"/>
  <c r="DS16" i="16"/>
  <c r="DS17" i="16"/>
  <c r="DS18" i="16"/>
  <c r="DS19" i="16"/>
  <c r="DS20" i="16"/>
  <c r="DS21" i="16"/>
  <c r="DS22" i="16"/>
  <c r="DS23" i="16"/>
  <c r="DS24" i="16"/>
  <c r="DS25" i="16"/>
  <c r="DS2" i="16"/>
  <c r="C76" i="29"/>
  <c r="D76" i="29"/>
  <c r="E76" i="29"/>
  <c r="F76" i="29"/>
  <c r="G76" i="29"/>
  <c r="H76" i="29"/>
  <c r="I76" i="29"/>
  <c r="J76" i="29"/>
  <c r="K76" i="29"/>
  <c r="C77" i="29"/>
  <c r="D77" i="29"/>
  <c r="E77" i="29"/>
  <c r="F77" i="29"/>
  <c r="G77" i="29"/>
  <c r="H77" i="29"/>
  <c r="I77" i="29"/>
  <c r="J77" i="29"/>
  <c r="K77" i="29"/>
  <c r="C78" i="29"/>
  <c r="D78" i="29"/>
  <c r="E78" i="29"/>
  <c r="F78" i="29"/>
  <c r="G78" i="29"/>
  <c r="H78" i="29"/>
  <c r="I78" i="29"/>
  <c r="J78" i="29"/>
  <c r="K78" i="29"/>
  <c r="C79" i="29"/>
  <c r="D79" i="29"/>
  <c r="E79" i="29"/>
  <c r="F79" i="29"/>
  <c r="G79" i="29"/>
  <c r="H79" i="29"/>
  <c r="I79" i="29"/>
  <c r="J79" i="29"/>
  <c r="K79" i="29"/>
  <c r="C80" i="29"/>
  <c r="D80" i="29"/>
  <c r="E80" i="29"/>
  <c r="F80" i="29"/>
  <c r="G80" i="29"/>
  <c r="H80" i="29"/>
  <c r="I80" i="29"/>
  <c r="J80" i="29"/>
  <c r="K80" i="29"/>
  <c r="C81" i="29"/>
  <c r="D81" i="29"/>
  <c r="E81" i="29"/>
  <c r="F81" i="29"/>
  <c r="G81" i="29"/>
  <c r="H81" i="29"/>
  <c r="I81" i="29"/>
  <c r="J81" i="29"/>
  <c r="K81" i="29"/>
  <c r="C82" i="29"/>
  <c r="D82" i="29"/>
  <c r="E82" i="29"/>
  <c r="F82" i="29"/>
  <c r="G82" i="29"/>
  <c r="H82" i="29"/>
  <c r="I82" i="29"/>
  <c r="J82" i="29"/>
  <c r="K82" i="29"/>
  <c r="C83" i="29"/>
  <c r="D83" i="29"/>
  <c r="E83" i="29"/>
  <c r="F83" i="29"/>
  <c r="G83" i="29"/>
  <c r="H83" i="29"/>
  <c r="I83" i="29"/>
  <c r="J83" i="29"/>
  <c r="K83" i="29"/>
  <c r="C84" i="29"/>
  <c r="D84" i="29"/>
  <c r="E84" i="29"/>
  <c r="F84" i="29"/>
  <c r="G84" i="29"/>
  <c r="H84" i="29"/>
  <c r="I84" i="29"/>
  <c r="J84" i="29"/>
  <c r="K84" i="29"/>
  <c r="C85" i="29"/>
  <c r="D85" i="29"/>
  <c r="E85" i="29"/>
  <c r="F85" i="29"/>
  <c r="G85" i="29"/>
  <c r="H85" i="29"/>
  <c r="I85" i="29"/>
  <c r="J85" i="29"/>
  <c r="K85" i="29"/>
  <c r="C86" i="29"/>
  <c r="D86" i="29"/>
  <c r="E86" i="29"/>
  <c r="F86" i="29"/>
  <c r="G86" i="29"/>
  <c r="H86" i="29"/>
  <c r="I86" i="29"/>
  <c r="J86" i="29"/>
  <c r="K86" i="29"/>
  <c r="C87" i="29"/>
  <c r="D87" i="29"/>
  <c r="E87" i="29"/>
  <c r="F87" i="29"/>
  <c r="G87" i="29"/>
  <c r="H87" i="29"/>
  <c r="I87" i="29"/>
  <c r="J87" i="29"/>
  <c r="K87" i="29"/>
  <c r="C88" i="29"/>
  <c r="D88" i="29"/>
  <c r="E88" i="29"/>
  <c r="F88" i="29"/>
  <c r="G88" i="29"/>
  <c r="H88" i="29"/>
  <c r="I88" i="29"/>
  <c r="J88" i="29"/>
  <c r="K88" i="29"/>
  <c r="C89" i="29"/>
  <c r="D89" i="29"/>
  <c r="E89" i="29"/>
  <c r="F89" i="29"/>
  <c r="G89" i="29"/>
  <c r="H89" i="29"/>
  <c r="I89" i="29"/>
  <c r="J89" i="29"/>
  <c r="K89" i="29"/>
  <c r="C90" i="29"/>
  <c r="D90" i="29"/>
  <c r="E90" i="29"/>
  <c r="F90" i="29"/>
  <c r="G90" i="29"/>
  <c r="H90" i="29"/>
  <c r="I90" i="29"/>
  <c r="J90" i="29"/>
  <c r="K90" i="29"/>
  <c r="C91" i="29"/>
  <c r="D91" i="29"/>
  <c r="E91" i="29"/>
  <c r="F91" i="29"/>
  <c r="G91" i="29"/>
  <c r="H91" i="29"/>
  <c r="I91" i="29"/>
  <c r="J91" i="29"/>
  <c r="K91" i="29"/>
  <c r="C92" i="29"/>
  <c r="D92" i="29"/>
  <c r="E92" i="29"/>
  <c r="F92" i="29"/>
  <c r="G92" i="29"/>
  <c r="H92" i="29"/>
  <c r="I92" i="29"/>
  <c r="J92" i="29"/>
  <c r="K92" i="29"/>
  <c r="C93" i="29"/>
  <c r="D93" i="29"/>
  <c r="E93" i="29"/>
  <c r="F93" i="29"/>
  <c r="G93" i="29"/>
  <c r="H93" i="29"/>
  <c r="I93" i="29"/>
  <c r="J93" i="29"/>
  <c r="K93" i="29"/>
  <c r="C94" i="29"/>
  <c r="D94" i="29"/>
  <c r="E94" i="29"/>
  <c r="F94" i="29"/>
  <c r="G94" i="29"/>
  <c r="H94" i="29"/>
  <c r="I94" i="29"/>
  <c r="J94" i="29"/>
  <c r="K94" i="29"/>
  <c r="C95" i="29"/>
  <c r="D95" i="29"/>
  <c r="E95" i="29"/>
  <c r="F95" i="29"/>
  <c r="G95" i="29"/>
  <c r="H95" i="29"/>
  <c r="I95" i="29"/>
  <c r="J95" i="29"/>
  <c r="K95" i="29"/>
  <c r="C96" i="29"/>
  <c r="D96" i="29"/>
  <c r="E96" i="29"/>
  <c r="F96" i="29"/>
  <c r="G96" i="29"/>
  <c r="H96" i="29"/>
  <c r="I96" i="29"/>
  <c r="J96" i="29"/>
  <c r="K96" i="29"/>
  <c r="C97" i="29"/>
  <c r="D97" i="29"/>
  <c r="E97" i="29"/>
  <c r="F97" i="29"/>
  <c r="G97" i="29"/>
  <c r="H97" i="29"/>
  <c r="I97" i="29"/>
  <c r="J97" i="29"/>
  <c r="K97" i="29"/>
  <c r="C98" i="29"/>
  <c r="D98" i="29"/>
  <c r="E98" i="29"/>
  <c r="F98" i="29"/>
  <c r="G98" i="29"/>
  <c r="H98" i="29"/>
  <c r="I98" i="29"/>
  <c r="J98" i="29"/>
  <c r="K98" i="29"/>
  <c r="D75" i="29"/>
  <c r="E75" i="29"/>
  <c r="F75" i="29"/>
  <c r="G75" i="29"/>
  <c r="H75" i="29"/>
  <c r="I75" i="29"/>
  <c r="J75" i="29"/>
  <c r="K75" i="29"/>
  <c r="L75" i="29"/>
  <c r="M75" i="29"/>
  <c r="L76" i="29"/>
  <c r="M76" i="29"/>
  <c r="L77" i="29"/>
  <c r="M77" i="29"/>
  <c r="L78" i="29"/>
  <c r="M78" i="29"/>
  <c r="L79" i="29"/>
  <c r="M79" i="29"/>
  <c r="L80" i="29"/>
  <c r="M80" i="29"/>
  <c r="L81" i="29"/>
  <c r="M81" i="29"/>
  <c r="L82" i="29"/>
  <c r="M82" i="29"/>
  <c r="L83" i="29"/>
  <c r="M83" i="29"/>
  <c r="L84" i="29"/>
  <c r="M84" i="29"/>
  <c r="L85" i="29"/>
  <c r="M85" i="29"/>
  <c r="L86" i="29"/>
  <c r="M86" i="29"/>
  <c r="L87" i="29"/>
  <c r="M87" i="29"/>
  <c r="L88" i="29"/>
  <c r="M88" i="29"/>
  <c r="L89" i="29"/>
  <c r="M89" i="29"/>
  <c r="L90" i="29"/>
  <c r="M90" i="29"/>
  <c r="L91" i="29"/>
  <c r="M91" i="29"/>
  <c r="L92" i="29"/>
  <c r="M92" i="29"/>
  <c r="L93" i="29"/>
  <c r="M93" i="29"/>
  <c r="L94" i="29"/>
  <c r="M94" i="29"/>
  <c r="L95" i="29"/>
  <c r="M95" i="29"/>
  <c r="L96" i="29"/>
  <c r="M96" i="29"/>
  <c r="L97" i="29"/>
  <c r="M97" i="29"/>
  <c r="L98" i="29"/>
  <c r="M98" i="29"/>
  <c r="C75" i="29"/>
  <c r="HC23" i="13"/>
  <c r="HB23" i="13"/>
  <c r="HA23" i="13"/>
  <c r="GZ23" i="13"/>
  <c r="GY23" i="13"/>
  <c r="GX23" i="13"/>
  <c r="GW23" i="13"/>
  <c r="GV23" i="13"/>
  <c r="GU23" i="13"/>
  <c r="GT23" i="13"/>
  <c r="GS23" i="13"/>
  <c r="GR23" i="13"/>
  <c r="GQ23" i="13"/>
  <c r="GP23" i="13"/>
  <c r="GO23" i="13"/>
  <c r="GN23" i="13"/>
  <c r="GM23" i="13"/>
  <c r="GL23" i="13"/>
  <c r="GK23" i="13"/>
  <c r="GJ23" i="13"/>
  <c r="GI23" i="13"/>
  <c r="GH23" i="13"/>
  <c r="GG23" i="13"/>
  <c r="GF23" i="13"/>
  <c r="GE23" i="13"/>
  <c r="GD23" i="13"/>
  <c r="GC23" i="13"/>
  <c r="GB23" i="13"/>
  <c r="GA23" i="13"/>
  <c r="FZ23" i="13"/>
  <c r="FY23" i="13"/>
  <c r="FX23" i="13"/>
  <c r="FW23" i="13"/>
  <c r="FV23" i="13"/>
  <c r="FU23" i="13"/>
  <c r="FT23" i="13"/>
  <c r="FS23" i="13"/>
  <c r="FR23" i="13"/>
  <c r="FQ23" i="13"/>
  <c r="FP23" i="13"/>
  <c r="FO23" i="13"/>
  <c r="FN23" i="13"/>
  <c r="FM23" i="13"/>
  <c r="FL23" i="13"/>
  <c r="FK23" i="13"/>
  <c r="FJ23" i="13"/>
  <c r="FI23" i="13"/>
  <c r="FH23" i="13"/>
  <c r="FG23" i="13"/>
  <c r="FF23" i="13"/>
  <c r="FE23" i="13"/>
  <c r="FD23" i="13"/>
  <c r="FC23" i="13"/>
  <c r="FB23" i="13"/>
  <c r="FA23" i="13"/>
  <c r="EZ23" i="13"/>
  <c r="EY23" i="13"/>
  <c r="EX23" i="13"/>
  <c r="EW23" i="13"/>
  <c r="EV23" i="13"/>
  <c r="EU23" i="13"/>
  <c r="ET23" i="13"/>
  <c r="ES23" i="13"/>
  <c r="ER23" i="13"/>
  <c r="EQ23" i="13"/>
  <c r="EP23" i="13"/>
  <c r="EO23" i="13"/>
  <c r="EN23" i="13"/>
  <c r="EM23" i="13"/>
  <c r="EL23" i="13"/>
  <c r="EK23" i="13"/>
  <c r="EJ23" i="13"/>
  <c r="EI23" i="13"/>
  <c r="EH23" i="13"/>
  <c r="EG23" i="13"/>
  <c r="EF23" i="13"/>
  <c r="EE23" i="13"/>
  <c r="ED23" i="13"/>
  <c r="EC23" i="13"/>
  <c r="EB23" i="13"/>
  <c r="HC22" i="13"/>
  <c r="HB22" i="13"/>
  <c r="HA22" i="13"/>
  <c r="GZ22" i="13"/>
  <c r="GY22" i="13"/>
  <c r="GX22" i="13"/>
  <c r="GW22" i="13"/>
  <c r="GV22" i="13"/>
  <c r="GU22" i="13"/>
  <c r="GT22" i="13"/>
  <c r="GS22" i="13"/>
  <c r="GR22" i="13"/>
  <c r="GQ22" i="13"/>
  <c r="GP22" i="13"/>
  <c r="GO22" i="13"/>
  <c r="GN22" i="13"/>
  <c r="GM22" i="13"/>
  <c r="GL22" i="13"/>
  <c r="GK22" i="13"/>
  <c r="GJ22" i="13"/>
  <c r="GI22" i="13"/>
  <c r="GH22" i="13"/>
  <c r="GG22" i="13"/>
  <c r="GF22" i="13"/>
  <c r="GE22" i="13"/>
  <c r="GD22" i="13"/>
  <c r="GC22" i="13"/>
  <c r="GB22" i="13"/>
  <c r="GA22" i="13"/>
  <c r="FZ22" i="13"/>
  <c r="FY22" i="13"/>
  <c r="FX22" i="13"/>
  <c r="FW22" i="13"/>
  <c r="FV22" i="13"/>
  <c r="FU22" i="13"/>
  <c r="FT22" i="13"/>
  <c r="FS22" i="13"/>
  <c r="FR22" i="13"/>
  <c r="FQ22" i="13"/>
  <c r="FP22" i="13"/>
  <c r="FO22" i="13"/>
  <c r="FN22" i="13"/>
  <c r="FM22" i="13"/>
  <c r="FL22" i="13"/>
  <c r="FK22" i="13"/>
  <c r="FJ22" i="13"/>
  <c r="FI22" i="13"/>
  <c r="FH22" i="13"/>
  <c r="FG22" i="13"/>
  <c r="FF22" i="13"/>
  <c r="FE22" i="13"/>
  <c r="FD22" i="13"/>
  <c r="FC22" i="13"/>
  <c r="FB22" i="13"/>
  <c r="FA22" i="13"/>
  <c r="EZ22" i="13"/>
  <c r="EY22" i="13"/>
  <c r="EX22" i="13"/>
  <c r="EW22" i="13"/>
  <c r="EV22" i="13"/>
  <c r="EU22" i="13"/>
  <c r="ET22" i="13"/>
  <c r="ES22" i="13"/>
  <c r="ER22" i="13"/>
  <c r="EQ22" i="13"/>
  <c r="EP22" i="13"/>
  <c r="EO22" i="13"/>
  <c r="EN22" i="13"/>
  <c r="EM22" i="13"/>
  <c r="EL22" i="13"/>
  <c r="EK22" i="13"/>
  <c r="EJ22" i="13"/>
  <c r="EI22" i="13"/>
  <c r="EH22" i="13"/>
  <c r="EG22" i="13"/>
  <c r="EF22" i="13"/>
  <c r="EE22" i="13"/>
  <c r="ED22" i="13"/>
  <c r="EC22" i="13"/>
  <c r="EB22" i="13"/>
  <c r="HC21" i="13"/>
  <c r="HB21" i="13"/>
  <c r="HA21" i="13"/>
  <c r="GZ21" i="13"/>
  <c r="GY21" i="13"/>
  <c r="GX21" i="13"/>
  <c r="GW21" i="13"/>
  <c r="GV21" i="13"/>
  <c r="GU21" i="13"/>
  <c r="GT21" i="13"/>
  <c r="GS21" i="13"/>
  <c r="GR21" i="13"/>
  <c r="GQ21" i="13"/>
  <c r="GP21" i="13"/>
  <c r="GO21" i="13"/>
  <c r="GN21" i="13"/>
  <c r="GM21" i="13"/>
  <c r="GL21" i="13"/>
  <c r="GK21" i="13"/>
  <c r="GJ21" i="13"/>
  <c r="GI21" i="13"/>
  <c r="GH21" i="13"/>
  <c r="GG21" i="13"/>
  <c r="GF21" i="13"/>
  <c r="GE21" i="13"/>
  <c r="GD21" i="13"/>
  <c r="GC21" i="13"/>
  <c r="GB21" i="13"/>
  <c r="GA21" i="13"/>
  <c r="FZ21" i="13"/>
  <c r="FY21" i="13"/>
  <c r="FX21" i="13"/>
  <c r="FW21" i="13"/>
  <c r="FV21" i="13"/>
  <c r="FU21" i="13"/>
  <c r="FT21" i="13"/>
  <c r="FS21" i="13"/>
  <c r="FR21" i="13"/>
  <c r="FQ21" i="13"/>
  <c r="FP21" i="13"/>
  <c r="FO21" i="13"/>
  <c r="FN21" i="13"/>
  <c r="FM21" i="13"/>
  <c r="FL21" i="13"/>
  <c r="FK21" i="13"/>
  <c r="FJ21" i="13"/>
  <c r="FI21" i="13"/>
  <c r="FH21" i="13"/>
  <c r="FG21" i="13"/>
  <c r="FF21" i="13"/>
  <c r="FE21" i="13"/>
  <c r="FD21" i="13"/>
  <c r="FC21" i="13"/>
  <c r="FB21" i="13"/>
  <c r="FA21" i="13"/>
  <c r="EZ21" i="13"/>
  <c r="EY21" i="13"/>
  <c r="EX21" i="13"/>
  <c r="EW21" i="13"/>
  <c r="EV21" i="13"/>
  <c r="EU21" i="13"/>
  <c r="ET21" i="13"/>
  <c r="ES21" i="13"/>
  <c r="ER21" i="13"/>
  <c r="EQ21" i="13"/>
  <c r="EP21" i="13"/>
  <c r="EO21" i="13"/>
  <c r="EN21" i="13"/>
  <c r="EM21" i="13"/>
  <c r="EL21" i="13"/>
  <c r="EK21" i="13"/>
  <c r="EJ21" i="13"/>
  <c r="EI21" i="13"/>
  <c r="EH21" i="13"/>
  <c r="EG21" i="13"/>
  <c r="EF21" i="13"/>
  <c r="EE21" i="13"/>
  <c r="ED21" i="13"/>
  <c r="EC21" i="13"/>
  <c r="EB21" i="13"/>
  <c r="HC20" i="13"/>
  <c r="HB20" i="13"/>
  <c r="HA20" i="13"/>
  <c r="GZ20" i="13"/>
  <c r="GY20" i="13"/>
  <c r="GX20" i="13"/>
  <c r="GW20" i="13"/>
  <c r="GV20" i="13"/>
  <c r="GU20" i="13"/>
  <c r="GT20" i="13"/>
  <c r="GS20" i="13"/>
  <c r="GR20" i="13"/>
  <c r="GQ20" i="13"/>
  <c r="GP20" i="13"/>
  <c r="GO20" i="13"/>
  <c r="GN20" i="13"/>
  <c r="GM20" i="13"/>
  <c r="GL20" i="13"/>
  <c r="GK20" i="13"/>
  <c r="GJ20" i="13"/>
  <c r="GI20" i="13"/>
  <c r="GH20" i="13"/>
  <c r="GG20" i="13"/>
  <c r="GF20" i="13"/>
  <c r="GE20" i="13"/>
  <c r="GD20" i="13"/>
  <c r="GC20" i="13"/>
  <c r="GB20" i="13"/>
  <c r="GA20" i="13"/>
  <c r="FZ20" i="13"/>
  <c r="FY20" i="13"/>
  <c r="FX20" i="13"/>
  <c r="FW20" i="13"/>
  <c r="FV20" i="13"/>
  <c r="FU20" i="13"/>
  <c r="FT20" i="13"/>
  <c r="FS20" i="13"/>
  <c r="FR20" i="13"/>
  <c r="FQ20" i="13"/>
  <c r="FP20" i="13"/>
  <c r="FO20" i="13"/>
  <c r="FN20" i="13"/>
  <c r="FM20" i="13"/>
  <c r="FL20" i="13"/>
  <c r="FK20" i="13"/>
  <c r="FJ20" i="13"/>
  <c r="FI20" i="13"/>
  <c r="FH20" i="13"/>
  <c r="FG20" i="13"/>
  <c r="FF20" i="13"/>
  <c r="FE20" i="13"/>
  <c r="FD20" i="13"/>
  <c r="FC20" i="13"/>
  <c r="FB20" i="13"/>
  <c r="FA20" i="13"/>
  <c r="EZ20" i="13"/>
  <c r="EY20" i="13"/>
  <c r="EX20" i="13"/>
  <c r="EW20" i="13"/>
  <c r="EV20" i="13"/>
  <c r="EU20" i="13"/>
  <c r="ET20" i="13"/>
  <c r="ES20" i="13"/>
  <c r="ER20" i="13"/>
  <c r="EQ20" i="13"/>
  <c r="EP20" i="13"/>
  <c r="EO20" i="13"/>
  <c r="EN20" i="13"/>
  <c r="EM20" i="13"/>
  <c r="EL20" i="13"/>
  <c r="EK20" i="13"/>
  <c r="EJ20" i="13"/>
  <c r="EI20" i="13"/>
  <c r="EH20" i="13"/>
  <c r="EG20" i="13"/>
  <c r="EF20" i="13"/>
  <c r="EE20" i="13"/>
  <c r="ED20" i="13"/>
  <c r="EC20" i="13"/>
  <c r="EB20" i="13"/>
  <c r="HC19" i="13"/>
  <c r="HB19" i="13"/>
  <c r="HA19" i="13"/>
  <c r="GZ19" i="13"/>
  <c r="GY19" i="13"/>
  <c r="GX19" i="13"/>
  <c r="GW19" i="13"/>
  <c r="GV19" i="13"/>
  <c r="GU19" i="13"/>
  <c r="GT19" i="13"/>
  <c r="GS19" i="13"/>
  <c r="GR19" i="13"/>
  <c r="GQ19" i="13"/>
  <c r="GP19" i="13"/>
  <c r="GO19" i="13"/>
  <c r="GN19" i="13"/>
  <c r="GM19" i="13"/>
  <c r="GL19" i="13"/>
  <c r="GK19" i="13"/>
  <c r="GJ19" i="13"/>
  <c r="GI19" i="13"/>
  <c r="GH19" i="13"/>
  <c r="GG19" i="13"/>
  <c r="GF19" i="13"/>
  <c r="GE19" i="13"/>
  <c r="GD19" i="13"/>
  <c r="GC19" i="13"/>
  <c r="GB19" i="13"/>
  <c r="GA19" i="13"/>
  <c r="FZ19" i="13"/>
  <c r="FY19" i="13"/>
  <c r="FX19" i="13"/>
  <c r="FW19" i="13"/>
  <c r="FV19" i="13"/>
  <c r="FU19" i="13"/>
  <c r="FT19" i="13"/>
  <c r="FS19" i="13"/>
  <c r="FR19" i="13"/>
  <c r="FQ19" i="13"/>
  <c r="FP19" i="13"/>
  <c r="FO19" i="13"/>
  <c r="FN19" i="13"/>
  <c r="FM19" i="13"/>
  <c r="FL19" i="13"/>
  <c r="FK19" i="13"/>
  <c r="FJ19" i="13"/>
  <c r="FI19" i="13"/>
  <c r="FH19" i="13"/>
  <c r="FG19" i="13"/>
  <c r="FF19" i="13"/>
  <c r="FE19" i="13"/>
  <c r="FD19" i="13"/>
  <c r="FC19" i="13"/>
  <c r="FB19" i="13"/>
  <c r="FA19" i="13"/>
  <c r="EZ19" i="13"/>
  <c r="EY19" i="13"/>
  <c r="EX19" i="13"/>
  <c r="EW19" i="13"/>
  <c r="EV19" i="13"/>
  <c r="EU19" i="13"/>
  <c r="ET19" i="13"/>
  <c r="ES19" i="13"/>
  <c r="ER19" i="13"/>
  <c r="EQ19" i="13"/>
  <c r="EP19" i="13"/>
  <c r="EO19" i="13"/>
  <c r="EN19" i="13"/>
  <c r="EM19" i="13"/>
  <c r="EL19" i="13"/>
  <c r="EK19" i="13"/>
  <c r="EJ19" i="13"/>
  <c r="EI19" i="13"/>
  <c r="EH19" i="13"/>
  <c r="EG19" i="13"/>
  <c r="EF19" i="13"/>
  <c r="EE19" i="13"/>
  <c r="ED19" i="13"/>
  <c r="EC19" i="13"/>
  <c r="EB19" i="13"/>
  <c r="HC18" i="13"/>
  <c r="HB18" i="13"/>
  <c r="HA18" i="13"/>
  <c r="GZ18" i="13"/>
  <c r="GY18" i="13"/>
  <c r="GX18" i="13"/>
  <c r="GW18" i="13"/>
  <c r="GV18" i="13"/>
  <c r="GU18" i="13"/>
  <c r="GT18" i="13"/>
  <c r="GS18" i="13"/>
  <c r="GR18" i="13"/>
  <c r="GQ18" i="13"/>
  <c r="GP18" i="13"/>
  <c r="GO18" i="13"/>
  <c r="GN18" i="13"/>
  <c r="GM18" i="13"/>
  <c r="GL18" i="13"/>
  <c r="GK18" i="13"/>
  <c r="GJ18" i="13"/>
  <c r="GI18" i="13"/>
  <c r="GH18" i="13"/>
  <c r="GG18" i="13"/>
  <c r="GF18" i="13"/>
  <c r="GE18" i="13"/>
  <c r="GD18" i="13"/>
  <c r="GC18" i="13"/>
  <c r="GB18" i="13"/>
  <c r="GA18" i="13"/>
  <c r="FZ18" i="13"/>
  <c r="FY18" i="13"/>
  <c r="FX18" i="13"/>
  <c r="FW18" i="13"/>
  <c r="FV18" i="13"/>
  <c r="FU18" i="13"/>
  <c r="FT18" i="13"/>
  <c r="FS18" i="13"/>
  <c r="FR18" i="13"/>
  <c r="FQ18" i="13"/>
  <c r="FP18" i="13"/>
  <c r="FO18" i="13"/>
  <c r="FN18" i="13"/>
  <c r="FM18" i="13"/>
  <c r="FL18" i="13"/>
  <c r="FK18" i="13"/>
  <c r="FJ18" i="13"/>
  <c r="FI18" i="13"/>
  <c r="FH18" i="13"/>
  <c r="FG18" i="13"/>
  <c r="FF18" i="13"/>
  <c r="FE18" i="13"/>
  <c r="FD18" i="13"/>
  <c r="FC18" i="13"/>
  <c r="FB18" i="13"/>
  <c r="FA18" i="13"/>
  <c r="EZ18" i="13"/>
  <c r="EY18" i="13"/>
  <c r="EX18" i="13"/>
  <c r="EW18" i="13"/>
  <c r="EV18" i="13"/>
  <c r="EU18" i="13"/>
  <c r="ET18" i="13"/>
  <c r="ES18" i="13"/>
  <c r="ER18" i="13"/>
  <c r="EQ18" i="13"/>
  <c r="EP18" i="13"/>
  <c r="EO18" i="13"/>
  <c r="EN18" i="13"/>
  <c r="EM18" i="13"/>
  <c r="EL18" i="13"/>
  <c r="EK18" i="13"/>
  <c r="EJ18" i="13"/>
  <c r="EI18" i="13"/>
  <c r="EH18" i="13"/>
  <c r="EG18" i="13"/>
  <c r="EF18" i="13"/>
  <c r="EE18" i="13"/>
  <c r="ED18" i="13"/>
  <c r="EC18" i="13"/>
  <c r="EB18" i="13"/>
  <c r="HC14" i="13"/>
  <c r="HB14" i="13"/>
  <c r="HA14" i="13"/>
  <c r="GZ14" i="13"/>
  <c r="GY14" i="13"/>
  <c r="GX14" i="13"/>
  <c r="GW14" i="13"/>
  <c r="GV14" i="13"/>
  <c r="GU14" i="13"/>
  <c r="GT14" i="13"/>
  <c r="GS14" i="13"/>
  <c r="GR14" i="13"/>
  <c r="GQ14" i="13"/>
  <c r="GP14" i="13"/>
  <c r="GO14" i="13"/>
  <c r="GN14" i="13"/>
  <c r="GM14" i="13"/>
  <c r="GL14" i="13"/>
  <c r="GK14" i="13"/>
  <c r="GJ14" i="13"/>
  <c r="GI14" i="13"/>
  <c r="GH14" i="13"/>
  <c r="GG14" i="13"/>
  <c r="GF14" i="13"/>
  <c r="GE14" i="13"/>
  <c r="GD14" i="13"/>
  <c r="GC14" i="13"/>
  <c r="GB14" i="13"/>
  <c r="GA14" i="13"/>
  <c r="FZ14" i="13"/>
  <c r="FY14" i="13"/>
  <c r="FX14" i="13"/>
  <c r="FW14" i="13"/>
  <c r="FV14" i="13"/>
  <c r="FU14" i="13"/>
  <c r="FT14" i="13"/>
  <c r="FS14" i="13"/>
  <c r="FR14" i="13"/>
  <c r="FQ14" i="13"/>
  <c r="FP14" i="13"/>
  <c r="FO14" i="13"/>
  <c r="FN14" i="13"/>
  <c r="FM14" i="13"/>
  <c r="FL14" i="13"/>
  <c r="FK14" i="13"/>
  <c r="FJ14" i="13"/>
  <c r="FI14" i="13"/>
  <c r="FH14" i="13"/>
  <c r="FG14" i="13"/>
  <c r="FF14" i="13"/>
  <c r="FE14" i="13"/>
  <c r="FD14" i="13"/>
  <c r="FC14" i="13"/>
  <c r="FB14" i="13"/>
  <c r="FA14" i="13"/>
  <c r="EZ14" i="13"/>
  <c r="EY14" i="13"/>
  <c r="EX14" i="13"/>
  <c r="EW14" i="13"/>
  <c r="EV14" i="13"/>
  <c r="EU14" i="13"/>
  <c r="ET14" i="13"/>
  <c r="ES14" i="13"/>
  <c r="ER14" i="13"/>
  <c r="EQ14" i="13"/>
  <c r="EP14" i="13"/>
  <c r="EO14" i="13"/>
  <c r="EN14" i="13"/>
  <c r="EM14" i="13"/>
  <c r="EL14" i="13"/>
  <c r="EK14" i="13"/>
  <c r="EJ14" i="13"/>
  <c r="EI14" i="13"/>
  <c r="EH14" i="13"/>
  <c r="EG14" i="13"/>
  <c r="EF14" i="13"/>
  <c r="EE14" i="13"/>
  <c r="ED14" i="13"/>
  <c r="EC14" i="13"/>
  <c r="EB14" i="13"/>
  <c r="HC12" i="13"/>
  <c r="HB12" i="13"/>
  <c r="HA12" i="13"/>
  <c r="GZ12" i="13"/>
  <c r="GY12" i="13"/>
  <c r="GX12" i="13"/>
  <c r="GW12" i="13"/>
  <c r="GV12" i="13"/>
  <c r="GU12" i="13"/>
  <c r="GT12" i="13"/>
  <c r="GS12" i="13"/>
  <c r="GR12" i="13"/>
  <c r="GQ12" i="13"/>
  <c r="GP12" i="13"/>
  <c r="GO12" i="13"/>
  <c r="GN12" i="13"/>
  <c r="GM12" i="13"/>
  <c r="GL12" i="13"/>
  <c r="GK12" i="13"/>
  <c r="GJ12" i="13"/>
  <c r="GI12" i="13"/>
  <c r="GH12" i="13"/>
  <c r="GG12" i="13"/>
  <c r="GF12" i="13"/>
  <c r="GE12" i="13"/>
  <c r="GD12" i="13"/>
  <c r="GC12" i="13"/>
  <c r="GB12" i="13"/>
  <c r="GA12" i="13"/>
  <c r="FZ12" i="13"/>
  <c r="FY12" i="13"/>
  <c r="FX12" i="13"/>
  <c r="FW12" i="13"/>
  <c r="FV12" i="13"/>
  <c r="FU12" i="13"/>
  <c r="FT12" i="13"/>
  <c r="FS12" i="13"/>
  <c r="FR12" i="13"/>
  <c r="FQ12" i="13"/>
  <c r="FP12" i="13"/>
  <c r="FO12" i="13"/>
  <c r="FN12" i="13"/>
  <c r="FM12" i="13"/>
  <c r="FL12" i="13"/>
  <c r="FK12" i="13"/>
  <c r="FJ12" i="13"/>
  <c r="FI12" i="13"/>
  <c r="FH12" i="13"/>
  <c r="FG12" i="13"/>
  <c r="FF12" i="13"/>
  <c r="FE12" i="13"/>
  <c r="FD12" i="13"/>
  <c r="FC12" i="13"/>
  <c r="FB12" i="13"/>
  <c r="FA12" i="13"/>
  <c r="EZ12" i="13"/>
  <c r="EY12" i="13"/>
  <c r="EX12" i="13"/>
  <c r="EW12" i="13"/>
  <c r="EV12" i="13"/>
  <c r="EU12" i="13"/>
  <c r="ET12" i="13"/>
  <c r="ES12" i="13"/>
  <c r="ER12" i="13"/>
  <c r="EQ12" i="13"/>
  <c r="EP12" i="13"/>
  <c r="EO12" i="13"/>
  <c r="EN12" i="13"/>
  <c r="EM12" i="13"/>
  <c r="EL12" i="13"/>
  <c r="EK12" i="13"/>
  <c r="EJ12" i="13"/>
  <c r="EI12" i="13"/>
  <c r="EH12" i="13"/>
  <c r="EG12" i="13"/>
  <c r="EF12" i="13"/>
  <c r="EE12" i="13"/>
  <c r="ED12" i="13"/>
  <c r="EC12" i="13"/>
  <c r="EB12" i="13"/>
  <c r="BS19" i="16" l="1"/>
  <c r="BT19" i="16"/>
  <c r="BU19" i="16"/>
  <c r="BV19" i="16"/>
  <c r="BW19" i="16"/>
  <c r="BX19" i="16"/>
  <c r="BY19" i="16"/>
  <c r="BZ19" i="16"/>
  <c r="CA19" i="16"/>
  <c r="CB19" i="16"/>
  <c r="CC19" i="16"/>
  <c r="CD19" i="16"/>
  <c r="CE19" i="16"/>
  <c r="CF19" i="16"/>
  <c r="CG19" i="16"/>
  <c r="CH19" i="16"/>
  <c r="CI19" i="16"/>
  <c r="CJ19" i="16"/>
  <c r="CK19" i="16"/>
  <c r="CL19" i="16"/>
  <c r="CM19" i="16"/>
  <c r="CN19" i="16"/>
  <c r="CO19" i="16"/>
  <c r="CP19" i="16"/>
  <c r="CQ19" i="16"/>
  <c r="CR19" i="16"/>
  <c r="CS19" i="16"/>
  <c r="CT19" i="16"/>
  <c r="CU19" i="16"/>
  <c r="CV19" i="16"/>
  <c r="CW19" i="16"/>
  <c r="CX19" i="16"/>
  <c r="CY19" i="16"/>
  <c r="CZ19" i="16"/>
  <c r="DA19" i="16"/>
  <c r="DB19" i="16"/>
  <c r="DC19" i="16"/>
  <c r="DD19" i="16"/>
  <c r="DE19" i="16"/>
  <c r="DF19" i="16"/>
  <c r="DG19" i="16"/>
  <c r="DH19" i="16"/>
  <c r="DI19" i="16"/>
  <c r="DJ19" i="16"/>
  <c r="DK19" i="16"/>
  <c r="DL19" i="16"/>
  <c r="DM19" i="16"/>
  <c r="DN19" i="16"/>
  <c r="DO19" i="16"/>
  <c r="DP19" i="16"/>
  <c r="DQ19" i="16"/>
  <c r="BS20" i="16"/>
  <c r="BT20" i="16"/>
  <c r="BU20" i="16"/>
  <c r="BV20" i="16"/>
  <c r="BW20" i="16"/>
  <c r="BX20" i="16"/>
  <c r="BY20" i="16"/>
  <c r="BZ20" i="16"/>
  <c r="CA20" i="16"/>
  <c r="CB20" i="16"/>
  <c r="CC20" i="16"/>
  <c r="CD20" i="16"/>
  <c r="CE20" i="16"/>
  <c r="CF20" i="16"/>
  <c r="CG20" i="16"/>
  <c r="CH20" i="16"/>
  <c r="CI20" i="16"/>
  <c r="CJ20" i="16"/>
  <c r="CK20" i="16"/>
  <c r="CL20" i="16"/>
  <c r="CM20" i="16"/>
  <c r="CN20" i="16"/>
  <c r="CO20" i="16"/>
  <c r="CP20" i="16"/>
  <c r="CQ20" i="16"/>
  <c r="CR20" i="16"/>
  <c r="CS20" i="16"/>
  <c r="CT20" i="16"/>
  <c r="CU20" i="16"/>
  <c r="CV20" i="16"/>
  <c r="CW20" i="16"/>
  <c r="CX20" i="16"/>
  <c r="CY20" i="16"/>
  <c r="CZ20" i="16"/>
  <c r="DA20" i="16"/>
  <c r="DB20" i="16"/>
  <c r="DC20" i="16"/>
  <c r="DD20" i="16"/>
  <c r="DE20" i="16"/>
  <c r="DF20" i="16"/>
  <c r="DG20" i="16"/>
  <c r="DH20" i="16"/>
  <c r="DI20" i="16"/>
  <c r="DJ20" i="16"/>
  <c r="DK20" i="16"/>
  <c r="DL20" i="16"/>
  <c r="DM20" i="16"/>
  <c r="DN20" i="16"/>
  <c r="DO20" i="16"/>
  <c r="DP20" i="16"/>
  <c r="DQ20" i="16"/>
  <c r="BS21" i="16"/>
  <c r="BT21" i="16"/>
  <c r="BU21" i="16"/>
  <c r="BV21" i="16"/>
  <c r="BW21" i="16"/>
  <c r="BX21" i="16"/>
  <c r="BY21" i="16"/>
  <c r="BZ21" i="16"/>
  <c r="CA21" i="16"/>
  <c r="CB21" i="16"/>
  <c r="CC21" i="16"/>
  <c r="CD21" i="16"/>
  <c r="CE21" i="16"/>
  <c r="CF21" i="16"/>
  <c r="CG21" i="16"/>
  <c r="CH21" i="16"/>
  <c r="CI21" i="16"/>
  <c r="CJ21" i="16"/>
  <c r="CK21" i="16"/>
  <c r="CL21" i="16"/>
  <c r="CM21" i="16"/>
  <c r="CN21" i="16"/>
  <c r="CO21" i="16"/>
  <c r="CP21" i="16"/>
  <c r="CQ21" i="16"/>
  <c r="CR21" i="16"/>
  <c r="CS21" i="16"/>
  <c r="CT21" i="16"/>
  <c r="CU21" i="16"/>
  <c r="CV21" i="16"/>
  <c r="CW21" i="16"/>
  <c r="CX21" i="16"/>
  <c r="CY21" i="16"/>
  <c r="CZ21" i="16"/>
  <c r="DA21" i="16"/>
  <c r="DB21" i="16"/>
  <c r="DC21" i="16"/>
  <c r="DD21" i="16"/>
  <c r="DE21" i="16"/>
  <c r="DF21" i="16"/>
  <c r="DG21" i="16"/>
  <c r="DH21" i="16"/>
  <c r="DI21" i="16"/>
  <c r="DJ21" i="16"/>
  <c r="DK21" i="16"/>
  <c r="DL21" i="16"/>
  <c r="DM21" i="16"/>
  <c r="DN21" i="16"/>
  <c r="DO21" i="16"/>
  <c r="DP21" i="16"/>
  <c r="DQ21" i="16"/>
  <c r="BS22" i="16"/>
  <c r="BT22" i="16"/>
  <c r="BU22" i="16"/>
  <c r="BV22" i="16"/>
  <c r="BW22" i="16"/>
  <c r="BX22" i="16"/>
  <c r="BY22" i="16"/>
  <c r="BZ22" i="16"/>
  <c r="CA22" i="16"/>
  <c r="CB22" i="16"/>
  <c r="CC22" i="16"/>
  <c r="CD22" i="16"/>
  <c r="CE22" i="16"/>
  <c r="CF22" i="16"/>
  <c r="CG22" i="16"/>
  <c r="CH22" i="16"/>
  <c r="CI22" i="16"/>
  <c r="CJ22" i="16"/>
  <c r="CK22" i="16"/>
  <c r="CL22" i="16"/>
  <c r="CM22" i="16"/>
  <c r="CN22" i="16"/>
  <c r="CO22" i="16"/>
  <c r="CP22" i="16"/>
  <c r="CQ22" i="16"/>
  <c r="CR22" i="16"/>
  <c r="CS22" i="16"/>
  <c r="CT22" i="16"/>
  <c r="CU22" i="16"/>
  <c r="CV22" i="16"/>
  <c r="CW22" i="16"/>
  <c r="CX22" i="16"/>
  <c r="CY22" i="16"/>
  <c r="CZ22" i="16"/>
  <c r="DA22" i="16"/>
  <c r="DB22" i="16"/>
  <c r="DC22" i="16"/>
  <c r="DD22" i="16"/>
  <c r="DE22" i="16"/>
  <c r="DF22" i="16"/>
  <c r="DG22" i="16"/>
  <c r="DH22" i="16"/>
  <c r="DI22" i="16"/>
  <c r="DJ22" i="16"/>
  <c r="DK22" i="16"/>
  <c r="DL22" i="16"/>
  <c r="DM22" i="16"/>
  <c r="DN22" i="16"/>
  <c r="DO22" i="16"/>
  <c r="DP22" i="16"/>
  <c r="DQ22" i="16"/>
  <c r="BS23" i="16"/>
  <c r="BT23" i="16"/>
  <c r="BU23" i="16"/>
  <c r="BV23" i="16"/>
  <c r="BW23" i="16"/>
  <c r="BX23" i="16"/>
  <c r="BY23" i="16"/>
  <c r="BZ23" i="16"/>
  <c r="CA23" i="16"/>
  <c r="CB23" i="16"/>
  <c r="CC23" i="16"/>
  <c r="CD23" i="16"/>
  <c r="CE23" i="16"/>
  <c r="CF23" i="16"/>
  <c r="CG23" i="16"/>
  <c r="CH23" i="16"/>
  <c r="CI23" i="16"/>
  <c r="CJ23" i="16"/>
  <c r="CK23" i="16"/>
  <c r="CL23" i="16"/>
  <c r="CM23" i="16"/>
  <c r="CN23" i="16"/>
  <c r="CO23" i="16"/>
  <c r="CP23" i="16"/>
  <c r="CQ23" i="16"/>
  <c r="CR23" i="16"/>
  <c r="CS23" i="16"/>
  <c r="CT23" i="16"/>
  <c r="CU23" i="16"/>
  <c r="CV23" i="16"/>
  <c r="CW23" i="16"/>
  <c r="CX23" i="16"/>
  <c r="CY23" i="16"/>
  <c r="CZ23" i="16"/>
  <c r="DA23" i="16"/>
  <c r="DB23" i="16"/>
  <c r="DC23" i="16"/>
  <c r="DD23" i="16"/>
  <c r="DE23" i="16"/>
  <c r="DF23" i="16"/>
  <c r="DG23" i="16"/>
  <c r="DH23" i="16"/>
  <c r="DI23" i="16"/>
  <c r="DJ23" i="16"/>
  <c r="DK23" i="16"/>
  <c r="DL23" i="16"/>
  <c r="DM23" i="16"/>
  <c r="DN23" i="16"/>
  <c r="DO23" i="16"/>
  <c r="DP23" i="16"/>
  <c r="DQ23" i="16"/>
  <c r="BS24" i="16"/>
  <c r="BT24" i="16"/>
  <c r="BU24" i="16"/>
  <c r="BV24" i="16"/>
  <c r="BW24" i="16"/>
  <c r="BX24" i="16"/>
  <c r="BY24" i="16"/>
  <c r="BZ24" i="16"/>
  <c r="CA24" i="16"/>
  <c r="CB24" i="16"/>
  <c r="CC24" i="16"/>
  <c r="CD24" i="16"/>
  <c r="CE24" i="16"/>
  <c r="CF24" i="16"/>
  <c r="CG24" i="16"/>
  <c r="CH24" i="16"/>
  <c r="CI24" i="16"/>
  <c r="CJ24" i="16"/>
  <c r="CK24" i="16"/>
  <c r="CL24" i="16"/>
  <c r="CM24" i="16"/>
  <c r="CN24" i="16"/>
  <c r="CO24" i="16"/>
  <c r="CP24" i="16"/>
  <c r="CQ24" i="16"/>
  <c r="CR24" i="16"/>
  <c r="CS24" i="16"/>
  <c r="CT24" i="16"/>
  <c r="CU24" i="16"/>
  <c r="CV24" i="16"/>
  <c r="CW24" i="16"/>
  <c r="CX24" i="16"/>
  <c r="CY24" i="16"/>
  <c r="CZ24" i="16"/>
  <c r="DA24" i="16"/>
  <c r="DB24" i="16"/>
  <c r="DC24" i="16"/>
  <c r="DD24" i="16"/>
  <c r="DE24" i="16"/>
  <c r="DF24" i="16"/>
  <c r="DG24" i="16"/>
  <c r="DH24" i="16"/>
  <c r="DI24" i="16"/>
  <c r="DJ24" i="16"/>
  <c r="DK24" i="16"/>
  <c r="DL24" i="16"/>
  <c r="DM24" i="16"/>
  <c r="DN24" i="16"/>
  <c r="DO24" i="16"/>
  <c r="DP24" i="16"/>
  <c r="DQ24" i="16"/>
  <c r="BS25" i="16"/>
  <c r="BT25" i="16"/>
  <c r="BU25" i="16"/>
  <c r="BV25" i="16"/>
  <c r="BW25" i="16"/>
  <c r="BX25" i="16"/>
  <c r="BY25" i="16"/>
  <c r="BZ25" i="16"/>
  <c r="CA25" i="16"/>
  <c r="CB25" i="16"/>
  <c r="CC25" i="16"/>
  <c r="CD25" i="16"/>
  <c r="CE25" i="16"/>
  <c r="CF25" i="16"/>
  <c r="CG25" i="16"/>
  <c r="CH25" i="16"/>
  <c r="CI25" i="16"/>
  <c r="CJ25" i="16"/>
  <c r="CK25" i="16"/>
  <c r="CL25" i="16"/>
  <c r="CM25" i="16"/>
  <c r="CN25" i="16"/>
  <c r="CO25" i="16"/>
  <c r="CP25" i="16"/>
  <c r="CQ25" i="16"/>
  <c r="CR25" i="16"/>
  <c r="CS25" i="16"/>
  <c r="CT25" i="16"/>
  <c r="CU25" i="16"/>
  <c r="CV25" i="16"/>
  <c r="CW25" i="16"/>
  <c r="CX25" i="16"/>
  <c r="CY25" i="16"/>
  <c r="CZ25" i="16"/>
  <c r="DA25" i="16"/>
  <c r="DB25" i="16"/>
  <c r="DC25" i="16"/>
  <c r="DD25" i="16"/>
  <c r="DE25" i="16"/>
  <c r="DF25" i="16"/>
  <c r="DG25" i="16"/>
  <c r="DH25" i="16"/>
  <c r="DI25" i="16"/>
  <c r="DJ25" i="16"/>
  <c r="DK25" i="16"/>
  <c r="DL25" i="16"/>
  <c r="DM25" i="16"/>
  <c r="DN25" i="16"/>
  <c r="DO25" i="16"/>
  <c r="DP25" i="16"/>
  <c r="DQ25" i="16"/>
  <c r="DR19" i="16"/>
  <c r="DR20" i="16"/>
  <c r="DR21" i="16"/>
  <c r="DR22" i="16"/>
  <c r="DR23" i="16"/>
  <c r="DR24" i="16"/>
  <c r="DR25" i="16"/>
  <c r="CD7" i="13"/>
  <c r="CE7" i="13"/>
  <c r="CF7" i="13"/>
  <c r="CG7" i="13"/>
  <c r="CH7" i="13"/>
  <c r="CI7" i="13"/>
  <c r="CJ7" i="13"/>
  <c r="CK7" i="13"/>
  <c r="CL7" i="13"/>
  <c r="CM7" i="13"/>
  <c r="CT7" i="13"/>
  <c r="CX7" i="13"/>
  <c r="CY7" i="13"/>
  <c r="CZ7" i="13"/>
  <c r="DA7" i="13"/>
  <c r="DI7" i="13"/>
  <c r="BW8" i="13"/>
  <c r="CA8" i="13"/>
  <c r="CB8" i="13"/>
  <c r="CC8" i="13"/>
  <c r="CD8" i="13"/>
  <c r="CE8" i="13"/>
  <c r="CF8" i="13"/>
  <c r="CG8" i="13"/>
  <c r="CH8" i="13"/>
  <c r="CI8" i="13"/>
  <c r="CJ8" i="13"/>
  <c r="CK8" i="13"/>
  <c r="CL8" i="13"/>
  <c r="CS8" i="13"/>
  <c r="CW8" i="13"/>
  <c r="CX8" i="13"/>
  <c r="CY8" i="13"/>
  <c r="CZ8" i="13"/>
  <c r="DA8" i="13"/>
  <c r="DB8" i="13"/>
  <c r="DC8" i="13"/>
  <c r="DD8" i="13"/>
  <c r="DE8" i="13"/>
  <c r="DF8" i="13"/>
  <c r="DG8" i="13"/>
  <c r="DH8" i="13"/>
  <c r="BV9" i="13"/>
  <c r="BZ9" i="13"/>
  <c r="CA9" i="13"/>
  <c r="CB9" i="13"/>
  <c r="CC9" i="13"/>
  <c r="CD9" i="13"/>
  <c r="CE9" i="13"/>
  <c r="CF9" i="13"/>
  <c r="CG9" i="13"/>
  <c r="CH9" i="13"/>
  <c r="DA9" i="13"/>
  <c r="DB9" i="13"/>
  <c r="DC9" i="13"/>
  <c r="DD9" i="13"/>
  <c r="DE9" i="13"/>
  <c r="DF9" i="13"/>
  <c r="DG9" i="13"/>
  <c r="BT11" i="13"/>
  <c r="BX11" i="13"/>
  <c r="CH11" i="13"/>
  <c r="CI11" i="13"/>
  <c r="CP11" i="13"/>
  <c r="CT11" i="13"/>
  <c r="CU11" i="13"/>
  <c r="CV11" i="13"/>
  <c r="CW11" i="13"/>
  <c r="CX11" i="13"/>
  <c r="CY11" i="13"/>
  <c r="CZ11" i="13"/>
  <c r="DA11" i="13"/>
  <c r="DB11" i="13"/>
  <c r="DC11" i="13"/>
  <c r="CC12" i="13"/>
  <c r="CD12" i="13"/>
  <c r="CE12" i="13"/>
  <c r="CF12" i="13"/>
  <c r="CG12" i="13"/>
  <c r="CH12" i="13"/>
  <c r="CO12" i="13"/>
  <c r="CS12" i="13"/>
  <c r="CT12" i="13"/>
  <c r="CU12" i="13"/>
  <c r="CV12" i="13"/>
  <c r="CW12" i="13"/>
  <c r="CX12" i="13"/>
  <c r="BU14" i="13"/>
  <c r="BV14" i="13"/>
  <c r="BW14" i="13"/>
  <c r="BX14" i="13"/>
  <c r="BY14" i="13"/>
  <c r="BZ14" i="13"/>
  <c r="CA14" i="13"/>
  <c r="CB14" i="13"/>
  <c r="CC14" i="13"/>
  <c r="CD14" i="13"/>
  <c r="CE14" i="13"/>
  <c r="CZ14" i="13"/>
  <c r="DA14" i="13"/>
  <c r="DB14" i="13"/>
  <c r="DI14" i="13"/>
  <c r="BS16" i="13"/>
  <c r="BT16" i="13"/>
  <c r="BU16" i="13"/>
  <c r="CR16" i="13"/>
  <c r="CS16" i="13"/>
  <c r="CT16" i="13"/>
  <c r="CU16" i="13"/>
  <c r="CV16" i="13"/>
  <c r="CW16" i="13"/>
  <c r="CX16" i="13"/>
  <c r="CY16" i="13"/>
  <c r="CZ16" i="13"/>
  <c r="CA18" i="13"/>
  <c r="CB18" i="13"/>
  <c r="CI18" i="13"/>
  <c r="CM18" i="13"/>
  <c r="CN18" i="13"/>
  <c r="CO18" i="13"/>
  <c r="CP18" i="13"/>
  <c r="BW19" i="13"/>
  <c r="BX19" i="13"/>
  <c r="BY19" i="13"/>
  <c r="BZ19" i="13"/>
  <c r="CA19" i="13"/>
  <c r="CH19" i="13"/>
  <c r="DK19" i="13"/>
  <c r="BS20" i="13"/>
  <c r="BT20" i="13"/>
  <c r="BU20" i="13"/>
  <c r="BV20" i="13"/>
  <c r="BW20" i="13"/>
  <c r="DG20" i="13"/>
  <c r="DH20" i="13"/>
  <c r="DI20" i="13"/>
  <c r="DJ20" i="13"/>
  <c r="DK20" i="13"/>
  <c r="CS21" i="13"/>
  <c r="BX22" i="13"/>
  <c r="CE22" i="13"/>
  <c r="CI22" i="13"/>
  <c r="CJ22" i="13"/>
  <c r="CK22" i="13"/>
  <c r="CL22" i="13"/>
  <c r="CM22" i="13"/>
  <c r="CN22" i="13"/>
  <c r="CO22" i="13"/>
  <c r="CP22" i="13"/>
  <c r="CQ22" i="13"/>
  <c r="CR22" i="13"/>
  <c r="CK23" i="13"/>
  <c r="CL23" i="13"/>
  <c r="CM23" i="13"/>
  <c r="DL7" i="13"/>
  <c r="DP7" i="13"/>
  <c r="DQ7" i="13"/>
  <c r="DL8" i="13"/>
  <c r="DM8" i="13"/>
  <c r="DN8" i="13"/>
  <c r="DO8" i="13"/>
  <c r="DP8" i="13"/>
  <c r="DQ8" i="13"/>
  <c r="DO9" i="13"/>
  <c r="DN11" i="13"/>
  <c r="DO11" i="13"/>
  <c r="DP11" i="13"/>
  <c r="DQ11" i="13"/>
  <c r="DL12" i="13"/>
  <c r="DM12" i="13"/>
  <c r="DN12" i="13"/>
  <c r="DO12" i="13"/>
  <c r="DP12" i="13"/>
  <c r="DQ12" i="13"/>
  <c r="DQ18" i="13"/>
  <c r="DL19" i="13"/>
  <c r="DM19" i="13"/>
  <c r="DN19" i="13"/>
  <c r="DO19" i="13"/>
  <c r="DP19" i="13"/>
  <c r="DQ19" i="13"/>
  <c r="DR9" i="13"/>
  <c r="DR11" i="13"/>
  <c r="DR12" i="13"/>
  <c r="DR8" i="13"/>
  <c r="EF11" i="13"/>
  <c r="EG11" i="13"/>
  <c r="EH11" i="13" s="1"/>
  <c r="EI11" i="13" s="1"/>
  <c r="EJ11" i="13" s="1"/>
  <c r="EK11" i="13" s="1"/>
  <c r="EL11" i="13" s="1"/>
  <c r="EM11" i="13" s="1"/>
  <c r="EN11" i="13" s="1"/>
  <c r="EO11" i="13" s="1"/>
  <c r="EP11" i="13" s="1"/>
  <c r="EQ11" i="13" s="1"/>
  <c r="ER11" i="13" s="1"/>
  <c r="ES11" i="13" s="1"/>
  <c r="ET11" i="13" s="1"/>
  <c r="EU11" i="13"/>
  <c r="EV11" i="13" s="1"/>
  <c r="EW11" i="13" s="1"/>
  <c r="EX11" i="13" s="1"/>
  <c r="EY11" i="13" s="1"/>
  <c r="EZ11" i="13" s="1"/>
  <c r="FA11" i="13" s="1"/>
  <c r="FB11" i="13" s="1"/>
  <c r="FC11" i="13" s="1"/>
  <c r="FD11" i="13" s="1"/>
  <c r="FE11" i="13" s="1"/>
  <c r="FF11" i="13" s="1"/>
  <c r="FG11" i="13" s="1"/>
  <c r="FH11" i="13" s="1"/>
  <c r="FI11" i="13" s="1"/>
  <c r="FJ11" i="13" s="1"/>
  <c r="FK11" i="13" s="1"/>
  <c r="FL11" i="13" s="1"/>
  <c r="FM11" i="13" s="1"/>
  <c r="FN11" i="13" s="1"/>
  <c r="FO11" i="13" s="1"/>
  <c r="FP11" i="13" s="1"/>
  <c r="FQ11" i="13" s="1"/>
  <c r="FR11" i="13" s="1"/>
  <c r="FS11" i="13" s="1"/>
  <c r="FT11" i="13" s="1"/>
  <c r="FU11" i="13" s="1"/>
  <c r="FV11" i="13" s="1"/>
  <c r="FW11" i="13" s="1"/>
  <c r="FX11" i="13" s="1"/>
  <c r="FY11" i="13" s="1"/>
  <c r="FZ11" i="13" s="1"/>
  <c r="GA11" i="13" s="1"/>
  <c r="GB11" i="13" s="1"/>
  <c r="GC11" i="13" s="1"/>
  <c r="GD11" i="13" s="1"/>
  <c r="GE11" i="13" s="1"/>
  <c r="GF11" i="13" s="1"/>
  <c r="GG11" i="13" s="1"/>
  <c r="GH11" i="13" s="1"/>
  <c r="GI11" i="13" s="1"/>
  <c r="GJ11" i="13" s="1"/>
  <c r="GK11" i="13" s="1"/>
  <c r="GL11" i="13" s="1"/>
  <c r="GM11" i="13" s="1"/>
  <c r="GN11" i="13" s="1"/>
  <c r="GO11" i="13" s="1"/>
  <c r="GP11" i="13" s="1"/>
  <c r="GQ11" i="13" s="1"/>
  <c r="GR11" i="13" s="1"/>
  <c r="GS11" i="13" s="1"/>
  <c r="GT11" i="13" s="1"/>
  <c r="GU11" i="13" s="1"/>
  <c r="GV11" i="13" s="1"/>
  <c r="GW11" i="13" s="1"/>
  <c r="GX11" i="13" s="1"/>
  <c r="GY11" i="13" s="1"/>
  <c r="GZ11" i="13" s="1"/>
  <c r="HA11" i="13" s="1"/>
  <c r="HB11" i="13" s="1"/>
  <c r="HC11" i="13" s="1"/>
  <c r="EE6" i="13"/>
  <c r="EF6" i="13" s="1"/>
  <c r="EG6" i="13" s="1"/>
  <c r="EH6" i="13" s="1"/>
  <c r="EI6" i="13" s="1"/>
  <c r="EJ6" i="13" s="1"/>
  <c r="EK6" i="13" s="1"/>
  <c r="EL6" i="13" s="1"/>
  <c r="EM6" i="13" s="1"/>
  <c r="EN6" i="13" s="1"/>
  <c r="EO6" i="13" s="1"/>
  <c r="EP6" i="13" s="1"/>
  <c r="EQ6" i="13" s="1"/>
  <c r="ER6" i="13" s="1"/>
  <c r="ES6" i="13" s="1"/>
  <c r="ET6" i="13" s="1"/>
  <c r="EU6" i="13" s="1"/>
  <c r="EV6" i="13" s="1"/>
  <c r="EW6" i="13" s="1"/>
  <c r="EX6" i="13" s="1"/>
  <c r="EY6" i="13" s="1"/>
  <c r="EZ6" i="13" s="1"/>
  <c r="FA6" i="13" s="1"/>
  <c r="FB6" i="13" s="1"/>
  <c r="FC6" i="13" s="1"/>
  <c r="FD6" i="13" s="1"/>
  <c r="FE6" i="13" s="1"/>
  <c r="FF6" i="13" s="1"/>
  <c r="FG6" i="13" s="1"/>
  <c r="FH6" i="13" s="1"/>
  <c r="FI6" i="13" s="1"/>
  <c r="FJ6" i="13" s="1"/>
  <c r="FK6" i="13" s="1"/>
  <c r="FL6" i="13" s="1"/>
  <c r="FM6" i="13" s="1"/>
  <c r="FN6" i="13" s="1"/>
  <c r="FO6" i="13" s="1"/>
  <c r="FP6" i="13" s="1"/>
  <c r="FQ6" i="13" s="1"/>
  <c r="FR6" i="13" s="1"/>
  <c r="FS6" i="13" s="1"/>
  <c r="FT6" i="13" s="1"/>
  <c r="FU6" i="13" s="1"/>
  <c r="FV6" i="13" s="1"/>
  <c r="FW6" i="13" s="1"/>
  <c r="FX6" i="13" s="1"/>
  <c r="FY6" i="13" s="1"/>
  <c r="FZ6" i="13" s="1"/>
  <c r="GA6" i="13" s="1"/>
  <c r="GB6" i="13" s="1"/>
  <c r="GC6" i="13" s="1"/>
  <c r="GD6" i="13" s="1"/>
  <c r="GE6" i="13" s="1"/>
  <c r="GF6" i="13" s="1"/>
  <c r="GG6" i="13" s="1"/>
  <c r="GH6" i="13" s="1"/>
  <c r="GI6" i="13" s="1"/>
  <c r="GJ6" i="13" s="1"/>
  <c r="GK6" i="13" s="1"/>
  <c r="GL6" i="13" s="1"/>
  <c r="GM6" i="13" s="1"/>
  <c r="GN6" i="13" s="1"/>
  <c r="GO6" i="13" s="1"/>
  <c r="GP6" i="13" s="1"/>
  <c r="GQ6" i="13" s="1"/>
  <c r="GR6" i="13" s="1"/>
  <c r="GS6" i="13" s="1"/>
  <c r="GT6" i="13" s="1"/>
  <c r="GU6" i="13" s="1"/>
  <c r="GV6" i="13" s="1"/>
  <c r="GW6" i="13" s="1"/>
  <c r="GX6" i="13" s="1"/>
  <c r="GY6" i="13" s="1"/>
  <c r="GZ6" i="13" s="1"/>
  <c r="HA6" i="13" s="1"/>
  <c r="HB6" i="13" s="1"/>
  <c r="HC6" i="13" s="1"/>
  <c r="EE7" i="13"/>
  <c r="EF7" i="13" s="1"/>
  <c r="EG7" i="13" s="1"/>
  <c r="EH7" i="13" s="1"/>
  <c r="EI7" i="13" s="1"/>
  <c r="EJ7" i="13" s="1"/>
  <c r="EK7" i="13" s="1"/>
  <c r="EL7" i="13" s="1"/>
  <c r="EM7" i="13" s="1"/>
  <c r="EN7" i="13" s="1"/>
  <c r="EO7" i="13" s="1"/>
  <c r="EP7" i="13" s="1"/>
  <c r="EQ7" i="13" s="1"/>
  <c r="ER7" i="13" s="1"/>
  <c r="ES7" i="13" s="1"/>
  <c r="ET7" i="13" s="1"/>
  <c r="EU7" i="13" s="1"/>
  <c r="EV7" i="13" s="1"/>
  <c r="EW7" i="13" s="1"/>
  <c r="EX7" i="13" s="1"/>
  <c r="EY7" i="13" s="1"/>
  <c r="EZ7" i="13" s="1"/>
  <c r="FA7" i="13" s="1"/>
  <c r="FB7" i="13" s="1"/>
  <c r="FC7" i="13" s="1"/>
  <c r="FD7" i="13" s="1"/>
  <c r="FE7" i="13" s="1"/>
  <c r="FF7" i="13" s="1"/>
  <c r="FG7" i="13" s="1"/>
  <c r="FH7" i="13" s="1"/>
  <c r="FI7" i="13" s="1"/>
  <c r="FJ7" i="13" s="1"/>
  <c r="FK7" i="13" s="1"/>
  <c r="FL7" i="13" s="1"/>
  <c r="FM7" i="13" s="1"/>
  <c r="FN7" i="13" s="1"/>
  <c r="FO7" i="13" s="1"/>
  <c r="FP7" i="13" s="1"/>
  <c r="FQ7" i="13" s="1"/>
  <c r="FR7" i="13" s="1"/>
  <c r="FS7" i="13" s="1"/>
  <c r="FT7" i="13" s="1"/>
  <c r="FU7" i="13" s="1"/>
  <c r="FV7" i="13" s="1"/>
  <c r="FW7" i="13" s="1"/>
  <c r="FX7" i="13" s="1"/>
  <c r="FY7" i="13" s="1"/>
  <c r="FZ7" i="13" s="1"/>
  <c r="GA7" i="13" s="1"/>
  <c r="GB7" i="13" s="1"/>
  <c r="GC7" i="13" s="1"/>
  <c r="GD7" i="13" s="1"/>
  <c r="GE7" i="13" s="1"/>
  <c r="GF7" i="13" s="1"/>
  <c r="GG7" i="13" s="1"/>
  <c r="GH7" i="13" s="1"/>
  <c r="GI7" i="13" s="1"/>
  <c r="GJ7" i="13" s="1"/>
  <c r="GK7" i="13" s="1"/>
  <c r="GL7" i="13" s="1"/>
  <c r="GM7" i="13" s="1"/>
  <c r="GN7" i="13" s="1"/>
  <c r="GO7" i="13" s="1"/>
  <c r="GP7" i="13" s="1"/>
  <c r="GQ7" i="13" s="1"/>
  <c r="GR7" i="13" s="1"/>
  <c r="GS7" i="13" s="1"/>
  <c r="GT7" i="13" s="1"/>
  <c r="GU7" i="13" s="1"/>
  <c r="GV7" i="13" s="1"/>
  <c r="GW7" i="13" s="1"/>
  <c r="GX7" i="13" s="1"/>
  <c r="GY7" i="13" s="1"/>
  <c r="GZ7" i="13" s="1"/>
  <c r="HA7" i="13" s="1"/>
  <c r="HB7" i="13" s="1"/>
  <c r="HC7" i="13" s="1"/>
  <c r="EE8" i="13"/>
  <c r="EF8" i="13" s="1"/>
  <c r="EG8" i="13" s="1"/>
  <c r="EH8" i="13" s="1"/>
  <c r="EI8" i="13" s="1"/>
  <c r="EJ8" i="13" s="1"/>
  <c r="EK8" i="13" s="1"/>
  <c r="EL8" i="13" s="1"/>
  <c r="EM8" i="13" s="1"/>
  <c r="EN8" i="13" s="1"/>
  <c r="EO8" i="13" s="1"/>
  <c r="EP8" i="13" s="1"/>
  <c r="EQ8" i="13" s="1"/>
  <c r="ER8" i="13" s="1"/>
  <c r="ES8" i="13" s="1"/>
  <c r="ET8" i="13" s="1"/>
  <c r="EU8" i="13" s="1"/>
  <c r="EV8" i="13" s="1"/>
  <c r="EW8" i="13" s="1"/>
  <c r="EX8" i="13" s="1"/>
  <c r="EY8" i="13" s="1"/>
  <c r="EZ8" i="13" s="1"/>
  <c r="FA8" i="13" s="1"/>
  <c r="FB8" i="13" s="1"/>
  <c r="FC8" i="13" s="1"/>
  <c r="FD8" i="13" s="1"/>
  <c r="FE8" i="13" s="1"/>
  <c r="FF8" i="13" s="1"/>
  <c r="FG8" i="13" s="1"/>
  <c r="FH8" i="13" s="1"/>
  <c r="FI8" i="13" s="1"/>
  <c r="FJ8" i="13" s="1"/>
  <c r="FK8" i="13" s="1"/>
  <c r="FL8" i="13" s="1"/>
  <c r="FM8" i="13" s="1"/>
  <c r="FN8" i="13" s="1"/>
  <c r="FO8" i="13" s="1"/>
  <c r="FP8" i="13" s="1"/>
  <c r="FQ8" i="13" s="1"/>
  <c r="FR8" i="13" s="1"/>
  <c r="FS8" i="13" s="1"/>
  <c r="FT8" i="13" s="1"/>
  <c r="FU8" i="13" s="1"/>
  <c r="FV8" i="13" s="1"/>
  <c r="FW8" i="13" s="1"/>
  <c r="FX8" i="13" s="1"/>
  <c r="FY8" i="13" s="1"/>
  <c r="FZ8" i="13" s="1"/>
  <c r="GA8" i="13" s="1"/>
  <c r="GB8" i="13" s="1"/>
  <c r="GC8" i="13" s="1"/>
  <c r="GD8" i="13" s="1"/>
  <c r="GE8" i="13" s="1"/>
  <c r="GF8" i="13" s="1"/>
  <c r="GG8" i="13" s="1"/>
  <c r="GH8" i="13" s="1"/>
  <c r="GI8" i="13" s="1"/>
  <c r="GJ8" i="13" s="1"/>
  <c r="GK8" i="13" s="1"/>
  <c r="GL8" i="13" s="1"/>
  <c r="GM8" i="13" s="1"/>
  <c r="GN8" i="13" s="1"/>
  <c r="GO8" i="13" s="1"/>
  <c r="GP8" i="13" s="1"/>
  <c r="GQ8" i="13" s="1"/>
  <c r="GR8" i="13" s="1"/>
  <c r="GS8" i="13" s="1"/>
  <c r="GT8" i="13" s="1"/>
  <c r="GU8" i="13" s="1"/>
  <c r="GV8" i="13" s="1"/>
  <c r="GW8" i="13" s="1"/>
  <c r="GX8" i="13" s="1"/>
  <c r="GY8" i="13" s="1"/>
  <c r="GZ8" i="13" s="1"/>
  <c r="HA8" i="13" s="1"/>
  <c r="HB8" i="13" s="1"/>
  <c r="HC8" i="13" s="1"/>
  <c r="EE9" i="13"/>
  <c r="EF9" i="13" s="1"/>
  <c r="EG9" i="13" s="1"/>
  <c r="EH9" i="13" s="1"/>
  <c r="EI9" i="13" s="1"/>
  <c r="EJ9" i="13" s="1"/>
  <c r="EK9" i="13" s="1"/>
  <c r="EL9" i="13" s="1"/>
  <c r="EM9" i="13" s="1"/>
  <c r="EN9" i="13" s="1"/>
  <c r="EO9" i="13" s="1"/>
  <c r="EP9" i="13" s="1"/>
  <c r="EQ9" i="13" s="1"/>
  <c r="ER9" i="13" s="1"/>
  <c r="ES9" i="13" s="1"/>
  <c r="ET9" i="13" s="1"/>
  <c r="EU9" i="13" s="1"/>
  <c r="EV9" i="13" s="1"/>
  <c r="EW9" i="13" s="1"/>
  <c r="EX9" i="13" s="1"/>
  <c r="EY9" i="13" s="1"/>
  <c r="EZ9" i="13" s="1"/>
  <c r="FA9" i="13" s="1"/>
  <c r="FB9" i="13" s="1"/>
  <c r="FC9" i="13" s="1"/>
  <c r="FD9" i="13" s="1"/>
  <c r="FE9" i="13" s="1"/>
  <c r="FF9" i="13" s="1"/>
  <c r="FG9" i="13" s="1"/>
  <c r="FH9" i="13" s="1"/>
  <c r="FI9" i="13" s="1"/>
  <c r="FJ9" i="13" s="1"/>
  <c r="FK9" i="13" s="1"/>
  <c r="FL9" i="13" s="1"/>
  <c r="FM9" i="13" s="1"/>
  <c r="FN9" i="13" s="1"/>
  <c r="FO9" i="13" s="1"/>
  <c r="FP9" i="13" s="1"/>
  <c r="FQ9" i="13" s="1"/>
  <c r="FR9" i="13" s="1"/>
  <c r="FS9" i="13" s="1"/>
  <c r="FT9" i="13" s="1"/>
  <c r="FU9" i="13" s="1"/>
  <c r="FV9" i="13" s="1"/>
  <c r="FW9" i="13" s="1"/>
  <c r="FX9" i="13" s="1"/>
  <c r="FY9" i="13" s="1"/>
  <c r="FZ9" i="13" s="1"/>
  <c r="GA9" i="13" s="1"/>
  <c r="GB9" i="13" s="1"/>
  <c r="GC9" i="13" s="1"/>
  <c r="GD9" i="13" s="1"/>
  <c r="GE9" i="13" s="1"/>
  <c r="GF9" i="13" s="1"/>
  <c r="GG9" i="13" s="1"/>
  <c r="GH9" i="13" s="1"/>
  <c r="GI9" i="13" s="1"/>
  <c r="GJ9" i="13" s="1"/>
  <c r="GK9" i="13" s="1"/>
  <c r="GL9" i="13" s="1"/>
  <c r="GM9" i="13" s="1"/>
  <c r="GN9" i="13" s="1"/>
  <c r="GO9" i="13" s="1"/>
  <c r="GP9" i="13" s="1"/>
  <c r="GQ9" i="13" s="1"/>
  <c r="GR9" i="13" s="1"/>
  <c r="GS9" i="13" s="1"/>
  <c r="GT9" i="13" s="1"/>
  <c r="GU9" i="13" s="1"/>
  <c r="GV9" i="13" s="1"/>
  <c r="GW9" i="13" s="1"/>
  <c r="GX9" i="13" s="1"/>
  <c r="GY9" i="13" s="1"/>
  <c r="GZ9" i="13" s="1"/>
  <c r="HA9" i="13" s="1"/>
  <c r="HB9" i="13" s="1"/>
  <c r="HC9" i="13" s="1"/>
  <c r="EE11" i="13"/>
  <c r="DT6" i="13"/>
  <c r="DU6" i="13"/>
  <c r="DV6" i="13"/>
  <c r="DW6" i="13"/>
  <c r="DX6" i="13"/>
  <c r="DY6" i="13"/>
  <c r="EA6" i="13"/>
  <c r="EB6" i="13"/>
  <c r="EC6" i="13"/>
  <c r="ED6" i="13"/>
  <c r="DT7" i="13"/>
  <c r="DU7" i="13"/>
  <c r="DV7" i="13"/>
  <c r="DW7" i="13"/>
  <c r="ED7" i="13"/>
  <c r="DT8" i="13"/>
  <c r="DU8" i="13"/>
  <c r="DV8" i="13"/>
  <c r="DW8" i="13"/>
  <c r="DY8" i="13"/>
  <c r="DZ8" i="13"/>
  <c r="EA8" i="13"/>
  <c r="EB8" i="13"/>
  <c r="EC8" i="13"/>
  <c r="ED8" i="13"/>
  <c r="DT9" i="13"/>
  <c r="DU9" i="13"/>
  <c r="DV9" i="13"/>
  <c r="DW9" i="13"/>
  <c r="DX9" i="13"/>
  <c r="ED9" i="13"/>
  <c r="DT11" i="13"/>
  <c r="DU11" i="13"/>
  <c r="DV11" i="13"/>
  <c r="DW11" i="13"/>
  <c r="DX11" i="13"/>
  <c r="ED11" i="13"/>
  <c r="DU15" i="13"/>
  <c r="DV15" i="13"/>
  <c r="DW15" i="13"/>
  <c r="DX15" i="13"/>
  <c r="DY15" i="13"/>
  <c r="DZ15" i="13"/>
  <c r="EA15" i="13"/>
  <c r="EB15" i="13"/>
  <c r="EC15" i="13"/>
  <c r="ED15" i="13"/>
  <c r="EE15" i="13" s="1"/>
  <c r="EF15" i="13" s="1"/>
  <c r="EG15" i="13" s="1"/>
  <c r="EH15" i="13" s="1"/>
  <c r="EI15" i="13" s="1"/>
  <c r="EJ15" i="13" s="1"/>
  <c r="EK15" i="13" s="1"/>
  <c r="EL15" i="13" s="1"/>
  <c r="EM15" i="13" s="1"/>
  <c r="EN15" i="13" s="1"/>
  <c r="EO15" i="13" s="1"/>
  <c r="EP15" i="13" s="1"/>
  <c r="EQ15" i="13" s="1"/>
  <c r="ER15" i="13" s="1"/>
  <c r="ES15" i="13" s="1"/>
  <c r="ET15" i="13" s="1"/>
  <c r="EU15" i="13" s="1"/>
  <c r="EV15" i="13" s="1"/>
  <c r="EW15" i="13" s="1"/>
  <c r="EX15" i="13" s="1"/>
  <c r="EY15" i="13" s="1"/>
  <c r="EZ15" i="13" s="1"/>
  <c r="FA15" i="13" s="1"/>
  <c r="FB15" i="13" s="1"/>
  <c r="FC15" i="13" s="1"/>
  <c r="FD15" i="13" s="1"/>
  <c r="FE15" i="13" s="1"/>
  <c r="FF15" i="13" s="1"/>
  <c r="FG15" i="13" s="1"/>
  <c r="FH15" i="13" s="1"/>
  <c r="FI15" i="13" s="1"/>
  <c r="FJ15" i="13" s="1"/>
  <c r="FK15" i="13" s="1"/>
  <c r="FL15" i="13" s="1"/>
  <c r="FM15" i="13" s="1"/>
  <c r="FN15" i="13" s="1"/>
  <c r="FO15" i="13" s="1"/>
  <c r="FP15" i="13" s="1"/>
  <c r="FQ15" i="13" s="1"/>
  <c r="FR15" i="13" s="1"/>
  <c r="FS15" i="13" s="1"/>
  <c r="FT15" i="13" s="1"/>
  <c r="FU15" i="13" s="1"/>
  <c r="FV15" i="13" s="1"/>
  <c r="FW15" i="13" s="1"/>
  <c r="FX15" i="13" s="1"/>
  <c r="FY15" i="13" s="1"/>
  <c r="FZ15" i="13" s="1"/>
  <c r="GA15" i="13" s="1"/>
  <c r="GB15" i="13" s="1"/>
  <c r="GC15" i="13" s="1"/>
  <c r="GD15" i="13" s="1"/>
  <c r="GE15" i="13" s="1"/>
  <c r="GF15" i="13" s="1"/>
  <c r="GG15" i="13" s="1"/>
  <c r="GH15" i="13" s="1"/>
  <c r="GI15" i="13" s="1"/>
  <c r="GJ15" i="13" s="1"/>
  <c r="GK15" i="13" s="1"/>
  <c r="GL15" i="13" s="1"/>
  <c r="GM15" i="13" s="1"/>
  <c r="GN15" i="13" s="1"/>
  <c r="GO15" i="13" s="1"/>
  <c r="GP15" i="13" s="1"/>
  <c r="GQ15" i="13" s="1"/>
  <c r="GR15" i="13" s="1"/>
  <c r="GS15" i="13" s="1"/>
  <c r="GT15" i="13" s="1"/>
  <c r="GU15" i="13" s="1"/>
  <c r="GV15" i="13" s="1"/>
  <c r="GW15" i="13" s="1"/>
  <c r="GX15" i="13" s="1"/>
  <c r="GY15" i="13" s="1"/>
  <c r="GZ15" i="13" s="1"/>
  <c r="HA15" i="13" s="1"/>
  <c r="HB15" i="13" s="1"/>
  <c r="HC15" i="13" s="1"/>
  <c r="DT16" i="13"/>
  <c r="DT19" i="13"/>
  <c r="DU19" i="13"/>
  <c r="DV19" i="13"/>
  <c r="DW19" i="13"/>
  <c r="DY19" i="13"/>
  <c r="DZ19" i="13"/>
  <c r="EA19" i="13"/>
  <c r="DT20" i="13"/>
  <c r="DU20" i="13"/>
  <c r="DV20" i="13"/>
  <c r="DW20" i="13"/>
  <c r="DX20" i="13"/>
  <c r="DY20" i="13"/>
  <c r="DZ20" i="13"/>
  <c r="DY21" i="13"/>
  <c r="DZ22" i="13"/>
  <c r="EA22" i="13"/>
  <c r="DU23" i="13"/>
  <c r="DV23" i="13"/>
  <c r="DW23" i="13"/>
  <c r="DX23" i="13"/>
  <c r="DS8" i="13"/>
  <c r="CM8" i="13" s="1"/>
  <c r="DS11" i="13"/>
  <c r="CG11" i="13" s="1"/>
  <c r="DS12" i="13"/>
  <c r="DS14" i="13"/>
  <c r="CU14" i="13" s="1"/>
  <c r="DS16" i="13"/>
  <c r="CD16" i="13" s="1"/>
  <c r="DS18" i="13"/>
  <c r="CU18" i="13" s="1"/>
  <c r="DS19" i="13"/>
  <c r="DS20" i="13"/>
  <c r="CG20" i="13" s="1"/>
  <c r="DS21" i="13"/>
  <c r="B133" i="29"/>
  <c r="DS6" i="13" s="1"/>
  <c r="DD6" i="13" s="1"/>
  <c r="C133" i="29"/>
  <c r="D133" i="29"/>
  <c r="E133" i="29"/>
  <c r="F133" i="29"/>
  <c r="G133" i="29"/>
  <c r="H133" i="29"/>
  <c r="I133" i="29"/>
  <c r="DZ6" i="13" s="1"/>
  <c r="J133" i="29"/>
  <c r="K133" i="29"/>
  <c r="L133" i="29"/>
  <c r="M133" i="29"/>
  <c r="B134" i="29"/>
  <c r="DS7" i="13" s="1"/>
  <c r="DE7" i="13" s="1"/>
  <c r="C134" i="29"/>
  <c r="D134" i="29"/>
  <c r="E134" i="29"/>
  <c r="F134" i="29"/>
  <c r="G134" i="29"/>
  <c r="DX7" i="13" s="1"/>
  <c r="H134" i="29"/>
  <c r="DY7" i="13" s="1"/>
  <c r="I134" i="29"/>
  <c r="DZ7" i="13" s="1"/>
  <c r="J134" i="29"/>
  <c r="EA7" i="13" s="1"/>
  <c r="K134" i="29"/>
  <c r="EB7" i="13" s="1"/>
  <c r="L134" i="29"/>
  <c r="EC7" i="13" s="1"/>
  <c r="M134" i="29"/>
  <c r="B135" i="29"/>
  <c r="C135" i="29"/>
  <c r="D135" i="29"/>
  <c r="E135" i="29"/>
  <c r="F135" i="29"/>
  <c r="G135" i="29"/>
  <c r="DX8" i="13" s="1"/>
  <c r="H135" i="29"/>
  <c r="I135" i="29"/>
  <c r="J135" i="29"/>
  <c r="K135" i="29"/>
  <c r="L135" i="29"/>
  <c r="M135" i="29"/>
  <c r="B136" i="29"/>
  <c r="DS9" i="13" s="1"/>
  <c r="CW9" i="13" s="1"/>
  <c r="C136" i="29"/>
  <c r="D136" i="29"/>
  <c r="E136" i="29"/>
  <c r="F136" i="29"/>
  <c r="G136" i="29"/>
  <c r="H136" i="29"/>
  <c r="DY9" i="13" s="1"/>
  <c r="I136" i="29"/>
  <c r="DZ9" i="13" s="1"/>
  <c r="J136" i="29"/>
  <c r="EA9" i="13" s="1"/>
  <c r="K136" i="29"/>
  <c r="EB9" i="13" s="1"/>
  <c r="L136" i="29"/>
  <c r="EC9" i="13" s="1"/>
  <c r="M136" i="29"/>
  <c r="B138" i="29"/>
  <c r="C138" i="29"/>
  <c r="D138" i="29"/>
  <c r="E138" i="29"/>
  <c r="F138" i="29"/>
  <c r="G138" i="29"/>
  <c r="H138" i="29"/>
  <c r="DY11" i="13" s="1"/>
  <c r="I138" i="29"/>
  <c r="DZ11" i="13" s="1"/>
  <c r="J138" i="29"/>
  <c r="EA11" i="13" s="1"/>
  <c r="K138" i="29"/>
  <c r="EB11" i="13" s="1"/>
  <c r="L138" i="29"/>
  <c r="EC11" i="13" s="1"/>
  <c r="M138" i="29"/>
  <c r="B139" i="29"/>
  <c r="C139" i="29"/>
  <c r="DT12" i="13" s="1"/>
  <c r="D139" i="29"/>
  <c r="DU12" i="13" s="1"/>
  <c r="E139" i="29"/>
  <c r="DV12" i="13" s="1"/>
  <c r="F139" i="29"/>
  <c r="DW12" i="13" s="1"/>
  <c r="G139" i="29"/>
  <c r="DX12" i="13" s="1"/>
  <c r="H139" i="29"/>
  <c r="DY12" i="13" s="1"/>
  <c r="I139" i="29"/>
  <c r="DZ12" i="13" s="1"/>
  <c r="J139" i="29"/>
  <c r="EA12" i="13" s="1"/>
  <c r="K139" i="29"/>
  <c r="L139" i="29"/>
  <c r="M139" i="29"/>
  <c r="B141" i="29"/>
  <c r="C141" i="29"/>
  <c r="DT14" i="13" s="1"/>
  <c r="D141" i="29"/>
  <c r="DU14" i="13" s="1"/>
  <c r="E141" i="29"/>
  <c r="DV14" i="13" s="1"/>
  <c r="F141" i="29"/>
  <c r="DW14" i="13" s="1"/>
  <c r="G141" i="29"/>
  <c r="DX14" i="13" s="1"/>
  <c r="H141" i="29"/>
  <c r="DY14" i="13" s="1"/>
  <c r="I141" i="29"/>
  <c r="DZ14" i="13" s="1"/>
  <c r="J141" i="29"/>
  <c r="EA14" i="13" s="1"/>
  <c r="K141" i="29"/>
  <c r="L141" i="29"/>
  <c r="M141" i="29"/>
  <c r="B142" i="29"/>
  <c r="DS15" i="13" s="1"/>
  <c r="BX15" i="13" s="1"/>
  <c r="C142" i="29"/>
  <c r="DT15" i="13" s="1"/>
  <c r="D142" i="29"/>
  <c r="E142" i="29"/>
  <c r="F142" i="29"/>
  <c r="G142" i="29"/>
  <c r="H142" i="29"/>
  <c r="I142" i="29"/>
  <c r="J142" i="29"/>
  <c r="K142" i="29"/>
  <c r="L142" i="29"/>
  <c r="M142" i="29"/>
  <c r="B143" i="29"/>
  <c r="C143" i="29"/>
  <c r="D143" i="29"/>
  <c r="DU16" i="13" s="1"/>
  <c r="E143" i="29"/>
  <c r="DV16" i="13" s="1"/>
  <c r="F143" i="29"/>
  <c r="DW16" i="13" s="1"/>
  <c r="G143" i="29"/>
  <c r="DX16" i="13" s="1"/>
  <c r="H143" i="29"/>
  <c r="DY16" i="13" s="1"/>
  <c r="I143" i="29"/>
  <c r="DZ16" i="13" s="1"/>
  <c r="J143" i="29"/>
  <c r="EA16" i="13" s="1"/>
  <c r="K143" i="29"/>
  <c r="EB16" i="13" s="1"/>
  <c r="L143" i="29"/>
  <c r="EC16" i="13" s="1"/>
  <c r="M143" i="29"/>
  <c r="ED16" i="13" s="1"/>
  <c r="EE16" i="13" s="1"/>
  <c r="EF16" i="13" s="1"/>
  <c r="EG16" i="13" s="1"/>
  <c r="EH16" i="13" s="1"/>
  <c r="EI16" i="13" s="1"/>
  <c r="EJ16" i="13" s="1"/>
  <c r="EK16" i="13" s="1"/>
  <c r="EL16" i="13" s="1"/>
  <c r="EM16" i="13" s="1"/>
  <c r="EN16" i="13" s="1"/>
  <c r="EO16" i="13" s="1"/>
  <c r="EP16" i="13" s="1"/>
  <c r="EQ16" i="13" s="1"/>
  <c r="ER16" i="13" s="1"/>
  <c r="ES16" i="13" s="1"/>
  <c r="ET16" i="13" s="1"/>
  <c r="EU16" i="13" s="1"/>
  <c r="EV16" i="13" s="1"/>
  <c r="EW16" i="13" s="1"/>
  <c r="EX16" i="13" s="1"/>
  <c r="EY16" i="13" s="1"/>
  <c r="EZ16" i="13" s="1"/>
  <c r="FA16" i="13" s="1"/>
  <c r="FB16" i="13" s="1"/>
  <c r="FC16" i="13" s="1"/>
  <c r="FD16" i="13" s="1"/>
  <c r="FE16" i="13" s="1"/>
  <c r="FF16" i="13" s="1"/>
  <c r="FG16" i="13" s="1"/>
  <c r="FH16" i="13" s="1"/>
  <c r="FI16" i="13" s="1"/>
  <c r="FJ16" i="13" s="1"/>
  <c r="FK16" i="13" s="1"/>
  <c r="FL16" i="13" s="1"/>
  <c r="FM16" i="13" s="1"/>
  <c r="FN16" i="13" s="1"/>
  <c r="FO16" i="13" s="1"/>
  <c r="FP16" i="13" s="1"/>
  <c r="FQ16" i="13" s="1"/>
  <c r="FR16" i="13" s="1"/>
  <c r="FS16" i="13" s="1"/>
  <c r="FT16" i="13" s="1"/>
  <c r="FU16" i="13" s="1"/>
  <c r="FV16" i="13" s="1"/>
  <c r="FW16" i="13" s="1"/>
  <c r="FX16" i="13" s="1"/>
  <c r="FY16" i="13" s="1"/>
  <c r="FZ16" i="13" s="1"/>
  <c r="GA16" i="13" s="1"/>
  <c r="GB16" i="13" s="1"/>
  <c r="GC16" i="13" s="1"/>
  <c r="GD16" i="13" s="1"/>
  <c r="GE16" i="13" s="1"/>
  <c r="GF16" i="13" s="1"/>
  <c r="GG16" i="13" s="1"/>
  <c r="GH16" i="13" s="1"/>
  <c r="GI16" i="13" s="1"/>
  <c r="GJ16" i="13" s="1"/>
  <c r="GK16" i="13" s="1"/>
  <c r="GL16" i="13" s="1"/>
  <c r="GM16" i="13" s="1"/>
  <c r="GN16" i="13" s="1"/>
  <c r="GO16" i="13" s="1"/>
  <c r="GP16" i="13" s="1"/>
  <c r="GQ16" i="13" s="1"/>
  <c r="GR16" i="13" s="1"/>
  <c r="GS16" i="13" s="1"/>
  <c r="GT16" i="13" s="1"/>
  <c r="GU16" i="13" s="1"/>
  <c r="GV16" i="13" s="1"/>
  <c r="GW16" i="13" s="1"/>
  <c r="GX16" i="13" s="1"/>
  <c r="GY16" i="13" s="1"/>
  <c r="GZ16" i="13" s="1"/>
  <c r="HA16" i="13" s="1"/>
  <c r="HB16" i="13" s="1"/>
  <c r="HC16" i="13" s="1"/>
  <c r="B145" i="29"/>
  <c r="C145" i="29"/>
  <c r="DT18" i="13" s="1"/>
  <c r="D145" i="29"/>
  <c r="DU18" i="13" s="1"/>
  <c r="E145" i="29"/>
  <c r="DV18" i="13" s="1"/>
  <c r="F145" i="29"/>
  <c r="DW18" i="13" s="1"/>
  <c r="G145" i="29"/>
  <c r="DX18" i="13" s="1"/>
  <c r="H145" i="29"/>
  <c r="DY18" i="13" s="1"/>
  <c r="I145" i="29"/>
  <c r="DZ18" i="13" s="1"/>
  <c r="J145" i="29"/>
  <c r="EA18" i="13" s="1"/>
  <c r="K145" i="29"/>
  <c r="L145" i="29"/>
  <c r="M145" i="29"/>
  <c r="B146" i="29"/>
  <c r="C146" i="29"/>
  <c r="D146" i="29"/>
  <c r="E146" i="29"/>
  <c r="F146" i="29"/>
  <c r="G146" i="29"/>
  <c r="DX19" i="13" s="1"/>
  <c r="H146" i="29"/>
  <c r="I146" i="29"/>
  <c r="J146" i="29"/>
  <c r="K146" i="29"/>
  <c r="L146" i="29"/>
  <c r="M146" i="29"/>
  <c r="B147" i="29"/>
  <c r="C147" i="29"/>
  <c r="D147" i="29"/>
  <c r="E147" i="29"/>
  <c r="F147" i="29"/>
  <c r="G147" i="29"/>
  <c r="H147" i="29"/>
  <c r="I147" i="29"/>
  <c r="J147" i="29"/>
  <c r="EA20" i="13" s="1"/>
  <c r="K147" i="29"/>
  <c r="L147" i="29"/>
  <c r="M147" i="29"/>
  <c r="B148" i="29"/>
  <c r="C148" i="29"/>
  <c r="DT21" i="13" s="1"/>
  <c r="D148" i="29"/>
  <c r="DU21" i="13" s="1"/>
  <c r="E148" i="29"/>
  <c r="DV21" i="13" s="1"/>
  <c r="F148" i="29"/>
  <c r="DW21" i="13" s="1"/>
  <c r="G148" i="29"/>
  <c r="DX21" i="13" s="1"/>
  <c r="H148" i="29"/>
  <c r="I148" i="29"/>
  <c r="DZ21" i="13" s="1"/>
  <c r="J148" i="29"/>
  <c r="EA21" i="13" s="1"/>
  <c r="K148" i="29"/>
  <c r="L148" i="29"/>
  <c r="M148" i="29"/>
  <c r="B149" i="29"/>
  <c r="DS22" i="13" s="1"/>
  <c r="BV22" i="13" s="1"/>
  <c r="C149" i="29"/>
  <c r="DT22" i="13" s="1"/>
  <c r="D149" i="29"/>
  <c r="DU22" i="13" s="1"/>
  <c r="E149" i="29"/>
  <c r="DV22" i="13" s="1"/>
  <c r="F149" i="29"/>
  <c r="DW22" i="13" s="1"/>
  <c r="G149" i="29"/>
  <c r="DX22" i="13" s="1"/>
  <c r="H149" i="29"/>
  <c r="DY22" i="13" s="1"/>
  <c r="I149" i="29"/>
  <c r="J149" i="29"/>
  <c r="K149" i="29"/>
  <c r="L149" i="29"/>
  <c r="M149" i="29"/>
  <c r="B150" i="29"/>
  <c r="DS23" i="13" s="1"/>
  <c r="C150" i="29"/>
  <c r="DT23" i="13" s="1"/>
  <c r="D150" i="29"/>
  <c r="E150" i="29"/>
  <c r="F150" i="29"/>
  <c r="G150" i="29"/>
  <c r="H150" i="29"/>
  <c r="DY23" i="13" s="1"/>
  <c r="I150" i="29"/>
  <c r="DZ23" i="13" s="1"/>
  <c r="J150" i="29"/>
  <c r="EA23" i="13" s="1"/>
  <c r="K150" i="29"/>
  <c r="L150" i="29"/>
  <c r="M150" i="29"/>
  <c r="EC18" i="16"/>
  <c r="EC19" i="16"/>
  <c r="EC20" i="16"/>
  <c r="EC21" i="16"/>
  <c r="EC22" i="16"/>
  <c r="EC23" i="16"/>
  <c r="EC24" i="16"/>
  <c r="EC25" i="16"/>
  <c r="B35" i="1"/>
  <c r="BX23" i="13" l="1"/>
  <c r="CT23" i="13"/>
  <c r="BY23" i="13"/>
  <c r="CU23" i="13"/>
  <c r="BZ23" i="13"/>
  <c r="CV23" i="13"/>
  <c r="DR23" i="13"/>
  <c r="CA23" i="13"/>
  <c r="CW23" i="13"/>
  <c r="CB23" i="13"/>
  <c r="CX23" i="13"/>
  <c r="CC23" i="13"/>
  <c r="CY23" i="13"/>
  <c r="CE23" i="13"/>
  <c r="DA23" i="13"/>
  <c r="CF23" i="13"/>
  <c r="DB23" i="13"/>
  <c r="CG23" i="13"/>
  <c r="DC23" i="13"/>
  <c r="CN23" i="13"/>
  <c r="BU23" i="13"/>
  <c r="DJ23" i="13"/>
  <c r="CO23" i="13"/>
  <c r="DN23" i="13"/>
  <c r="BW23" i="13"/>
  <c r="CP23" i="13"/>
  <c r="BS23" i="13"/>
  <c r="DI23" i="13"/>
  <c r="DO23" i="13"/>
  <c r="DP23" i="13"/>
  <c r="DQ23" i="13"/>
  <c r="CQ23" i="13"/>
  <c r="BV23" i="13"/>
  <c r="DK23" i="13"/>
  <c r="CR23" i="13"/>
  <c r="DM23" i="13"/>
  <c r="DH23" i="13"/>
  <c r="CH23" i="13"/>
  <c r="CS23" i="13"/>
  <c r="DG23" i="13"/>
  <c r="CZ23" i="13"/>
  <c r="CD23" i="13"/>
  <c r="DD23" i="13"/>
  <c r="DE23" i="13"/>
  <c r="BT23" i="13"/>
  <c r="DF23" i="13"/>
  <c r="DL23" i="13"/>
  <c r="BV15" i="13"/>
  <c r="CI23" i="13"/>
  <c r="DF6" i="13"/>
  <c r="BY15" i="13"/>
  <c r="BZ21" i="13"/>
  <c r="CV21" i="13"/>
  <c r="DR21" i="13"/>
  <c r="CA21" i="13"/>
  <c r="CW21" i="13"/>
  <c r="CB21" i="13"/>
  <c r="CX21" i="13"/>
  <c r="DL21" i="13"/>
  <c r="CC21" i="13"/>
  <c r="CY21" i="13"/>
  <c r="DM21" i="13"/>
  <c r="CD21" i="13"/>
  <c r="CZ21" i="13"/>
  <c r="DN21" i="13"/>
  <c r="CE21" i="13"/>
  <c r="DA21" i="13"/>
  <c r="DO21" i="13"/>
  <c r="CG21" i="13"/>
  <c r="DC21" i="13"/>
  <c r="DQ21" i="13"/>
  <c r="CH21" i="13"/>
  <c r="DD21" i="13"/>
  <c r="CI21" i="13"/>
  <c r="DE21" i="13"/>
  <c r="BS21" i="13"/>
  <c r="DG21" i="13"/>
  <c r="CN21" i="13"/>
  <c r="BT21" i="13"/>
  <c r="DH21" i="13"/>
  <c r="CM21" i="13"/>
  <c r="BU21" i="13"/>
  <c r="DI21" i="13"/>
  <c r="CR21" i="13"/>
  <c r="BV21" i="13"/>
  <c r="DJ21" i="13"/>
  <c r="CO21" i="13"/>
  <c r="CQ21" i="13"/>
  <c r="BW21" i="13"/>
  <c r="DK21" i="13"/>
  <c r="DP21" i="13"/>
  <c r="CP21" i="13"/>
  <c r="BX21" i="13"/>
  <c r="CL21" i="13"/>
  <c r="BY21" i="13"/>
  <c r="CF21" i="13"/>
  <c r="CJ21" i="13"/>
  <c r="CK21" i="13"/>
  <c r="DE6" i="13"/>
  <c r="CF15" i="13"/>
  <c r="DB15" i="13"/>
  <c r="CG15" i="13"/>
  <c r="DC15" i="13"/>
  <c r="CH15" i="13"/>
  <c r="DD15" i="13"/>
  <c r="CI15" i="13"/>
  <c r="DE15" i="13"/>
  <c r="CJ15" i="13"/>
  <c r="DF15" i="13"/>
  <c r="CK15" i="13"/>
  <c r="DG15" i="13"/>
  <c r="CM15" i="13"/>
  <c r="DI15" i="13"/>
  <c r="CN15" i="13"/>
  <c r="DJ15" i="13"/>
  <c r="BS15" i="13"/>
  <c r="CO15" i="13"/>
  <c r="DK15" i="13"/>
  <c r="CA15" i="13"/>
  <c r="CB15" i="13"/>
  <c r="DL15" i="13"/>
  <c r="CC15" i="13"/>
  <c r="DM15" i="13"/>
  <c r="DR15" i="13"/>
  <c r="CV15" i="13"/>
  <c r="CD15" i="13"/>
  <c r="DN15" i="13"/>
  <c r="CW15" i="13"/>
  <c r="BU15" i="13"/>
  <c r="CE15" i="13"/>
  <c r="DO15" i="13"/>
  <c r="BT15" i="13"/>
  <c r="CZ15" i="13"/>
  <c r="CL15" i="13"/>
  <c r="DP15" i="13"/>
  <c r="CP15" i="13"/>
  <c r="DQ15" i="13"/>
  <c r="CY15" i="13"/>
  <c r="CQ15" i="13"/>
  <c r="CU15" i="13"/>
  <c r="CX15" i="13"/>
  <c r="CR15" i="13"/>
  <c r="CT15" i="13"/>
  <c r="CS15" i="13"/>
  <c r="DC6" i="13"/>
  <c r="DB6" i="13"/>
  <c r="CJ23" i="13"/>
  <c r="DF21" i="13"/>
  <c r="BW15" i="13"/>
  <c r="DB21" i="13"/>
  <c r="BZ15" i="13"/>
  <c r="CU21" i="13"/>
  <c r="DH15" i="13"/>
  <c r="BS6" i="13"/>
  <c r="CO6" i="13"/>
  <c r="DK6" i="13"/>
  <c r="DL6" i="13"/>
  <c r="BT6" i="13"/>
  <c r="CP6" i="13"/>
  <c r="DM6" i="13"/>
  <c r="BU6" i="13"/>
  <c r="CQ6" i="13"/>
  <c r="DN6" i="13"/>
  <c r="BV6" i="13"/>
  <c r="CR6" i="13"/>
  <c r="DO6" i="13"/>
  <c r="BW6" i="13"/>
  <c r="CS6" i="13"/>
  <c r="DP6" i="13"/>
  <c r="BX6" i="13"/>
  <c r="CT6" i="13"/>
  <c r="DQ6" i="13"/>
  <c r="BZ6" i="13"/>
  <c r="CV6" i="13"/>
  <c r="CA6" i="13"/>
  <c r="CW6" i="13"/>
  <c r="DR6" i="13"/>
  <c r="CB6" i="13"/>
  <c r="CX6" i="13"/>
  <c r="BY6" i="13"/>
  <c r="DG6" i="13"/>
  <c r="CN6" i="13"/>
  <c r="CZ6" i="13"/>
  <c r="DA6" i="13"/>
  <c r="CC6" i="13"/>
  <c r="DH6" i="13"/>
  <c r="CD6" i="13"/>
  <c r="DI6" i="13"/>
  <c r="CL6" i="13"/>
  <c r="CE6" i="13"/>
  <c r="DJ6" i="13"/>
  <c r="CU6" i="13"/>
  <c r="CF6" i="13"/>
  <c r="CM6" i="13"/>
  <c r="CG6" i="13"/>
  <c r="CH6" i="13"/>
  <c r="CY6" i="13"/>
  <c r="CI6" i="13"/>
  <c r="CJ6" i="13"/>
  <c r="CK6" i="13"/>
  <c r="CT21" i="13"/>
  <c r="DA15" i="13"/>
  <c r="CB19" i="13"/>
  <c r="CX19" i="13"/>
  <c r="CC19" i="13"/>
  <c r="CY19" i="13"/>
  <c r="CD19" i="13"/>
  <c r="CZ19" i="13"/>
  <c r="CE19" i="13"/>
  <c r="DA19" i="13"/>
  <c r="CF19" i="13"/>
  <c r="DB19" i="13"/>
  <c r="CG19" i="13"/>
  <c r="DC19" i="13"/>
  <c r="CI19" i="13"/>
  <c r="DE19" i="13"/>
  <c r="CJ19" i="13"/>
  <c r="DF19" i="13"/>
  <c r="CK19" i="13"/>
  <c r="DG19" i="13"/>
  <c r="DJ19" i="13"/>
  <c r="CU20" i="13"/>
  <c r="DN16" i="13"/>
  <c r="DK22" i="13"/>
  <c r="BW22" i="13"/>
  <c r="CP20" i="13"/>
  <c r="CU19" i="13"/>
  <c r="DI18" i="13"/>
  <c r="BU18" i="13"/>
  <c r="CK16" i="13"/>
  <c r="CX14" i="13"/>
  <c r="CV20" i="13"/>
  <c r="CI12" i="13"/>
  <c r="DE12" i="13"/>
  <c r="CJ12" i="13"/>
  <c r="DF12" i="13"/>
  <c r="CK12" i="13"/>
  <c r="DG12" i="13"/>
  <c r="CL12" i="13"/>
  <c r="DH12" i="13"/>
  <c r="CM12" i="13"/>
  <c r="DI12" i="13"/>
  <c r="CN12" i="13"/>
  <c r="DJ12" i="13"/>
  <c r="BT12" i="13"/>
  <c r="CP12" i="13"/>
  <c r="BU12" i="13"/>
  <c r="CQ12" i="13"/>
  <c r="BV12" i="13"/>
  <c r="CR12" i="13"/>
  <c r="DQ22" i="13"/>
  <c r="DM16" i="13"/>
  <c r="DJ22" i="13"/>
  <c r="CO20" i="13"/>
  <c r="CT19" i="13"/>
  <c r="DE18" i="13"/>
  <c r="BT18" i="13"/>
  <c r="CW14" i="13"/>
  <c r="CB12" i="13"/>
  <c r="CZ9" i="13"/>
  <c r="CE16" i="13"/>
  <c r="DA16" i="13"/>
  <c r="CF16" i="13"/>
  <c r="DB16" i="13"/>
  <c r="CG16" i="13"/>
  <c r="DC16" i="13"/>
  <c r="CH16" i="13"/>
  <c r="DD16" i="13"/>
  <c r="CI16" i="13"/>
  <c r="DE16" i="13"/>
  <c r="CJ16" i="13"/>
  <c r="DF16" i="13"/>
  <c r="CL16" i="13"/>
  <c r="DH16" i="13"/>
  <c r="CM16" i="13"/>
  <c r="DI16" i="13"/>
  <c r="CN16" i="13"/>
  <c r="DJ16" i="13"/>
  <c r="CR20" i="13"/>
  <c r="BY22" i="13"/>
  <c r="CU22" i="13"/>
  <c r="BZ22" i="13"/>
  <c r="CV22" i="13"/>
  <c r="DR22" i="13"/>
  <c r="CA22" i="13"/>
  <c r="CW22" i="13"/>
  <c r="CB22" i="13"/>
  <c r="CX22" i="13"/>
  <c r="CC22" i="13"/>
  <c r="CY22" i="13"/>
  <c r="CD22" i="13"/>
  <c r="CZ22" i="13"/>
  <c r="CF22" i="13"/>
  <c r="DB22" i="13"/>
  <c r="CG22" i="13"/>
  <c r="DC22" i="13"/>
  <c r="DL22" i="13"/>
  <c r="CH22" i="13"/>
  <c r="DD22" i="13"/>
  <c r="DM22" i="13"/>
  <c r="CJ11" i="13"/>
  <c r="DF11" i="13"/>
  <c r="CK11" i="13"/>
  <c r="DG11" i="13"/>
  <c r="CL11" i="13"/>
  <c r="DH11" i="13"/>
  <c r="CM11" i="13"/>
  <c r="DI11" i="13"/>
  <c r="CN11" i="13"/>
  <c r="DJ11" i="13"/>
  <c r="BS11" i="13"/>
  <c r="CO11" i="13"/>
  <c r="DK11" i="13"/>
  <c r="BU11" i="13"/>
  <c r="CQ11" i="13"/>
  <c r="BV11" i="13"/>
  <c r="CR11" i="13"/>
  <c r="DL11" i="13"/>
  <c r="BW11" i="13"/>
  <c r="CS11" i="13"/>
  <c r="DM11" i="13"/>
  <c r="DR20" i="13"/>
  <c r="DP22" i="13"/>
  <c r="DL16" i="13"/>
  <c r="DN9" i="13"/>
  <c r="DI22" i="13"/>
  <c r="BU22" i="13"/>
  <c r="CN20" i="13"/>
  <c r="CS19" i="13"/>
  <c r="CX18" i="13"/>
  <c r="BS18" i="13"/>
  <c r="CC16" i="13"/>
  <c r="CV14" i="13"/>
  <c r="CA12" i="13"/>
  <c r="CF11" i="13"/>
  <c r="CY9" i="13"/>
  <c r="DC20" i="13"/>
  <c r="DP18" i="13"/>
  <c r="BU19" i="13"/>
  <c r="BZ18" i="13"/>
  <c r="CT20" i="13"/>
  <c r="DP16" i="13"/>
  <c r="CP16" i="13"/>
  <c r="CV19" i="13"/>
  <c r="DR19" i="13"/>
  <c r="DO22" i="13"/>
  <c r="DM9" i="13"/>
  <c r="DH22" i="13"/>
  <c r="BT22" i="13"/>
  <c r="CM20" i="13"/>
  <c r="CR19" i="13"/>
  <c r="CW18" i="13"/>
  <c r="CB16" i="13"/>
  <c r="DK12" i="13"/>
  <c r="BZ12" i="13"/>
  <c r="CE11" i="13"/>
  <c r="CX9" i="13"/>
  <c r="DH7" i="13"/>
  <c r="CC7" i="13"/>
  <c r="DD19" i="13"/>
  <c r="CG14" i="13"/>
  <c r="DC14" i="13"/>
  <c r="CH14" i="13"/>
  <c r="DD14" i="13"/>
  <c r="CI14" i="13"/>
  <c r="DE14" i="13"/>
  <c r="CJ14" i="13"/>
  <c r="DF14" i="13"/>
  <c r="CK14" i="13"/>
  <c r="DG14" i="13"/>
  <c r="DL14" i="13"/>
  <c r="CL14" i="13"/>
  <c r="DH14" i="13"/>
  <c r="DM14" i="13"/>
  <c r="CN14" i="13"/>
  <c r="DJ14" i="13"/>
  <c r="DO14" i="13"/>
  <c r="BS14" i="13"/>
  <c r="CO14" i="13"/>
  <c r="DK14" i="13"/>
  <c r="DP14" i="13"/>
  <c r="BT14" i="13"/>
  <c r="CP14" i="13"/>
  <c r="DQ14" i="13"/>
  <c r="DR18" i="13"/>
  <c r="DN22" i="13"/>
  <c r="DL9" i="13"/>
  <c r="DG22" i="13"/>
  <c r="BS22" i="13"/>
  <c r="CL20" i="13"/>
  <c r="CQ19" i="13"/>
  <c r="CV18" i="13"/>
  <c r="CA16" i="13"/>
  <c r="CT14" i="13"/>
  <c r="DD12" i="13"/>
  <c r="BY12" i="13"/>
  <c r="CD11" i="13"/>
  <c r="DG7" i="13"/>
  <c r="CB7" i="13"/>
  <c r="BW18" i="13"/>
  <c r="CL9" i="13"/>
  <c r="DH9" i="13"/>
  <c r="DP9" i="13"/>
  <c r="CM9" i="13"/>
  <c r="DI9" i="13"/>
  <c r="DQ9" i="13"/>
  <c r="CN9" i="13"/>
  <c r="DJ9" i="13"/>
  <c r="BS9" i="13"/>
  <c r="CO9" i="13"/>
  <c r="DK9" i="13"/>
  <c r="BT9" i="13"/>
  <c r="CP9" i="13"/>
  <c r="BU9" i="13"/>
  <c r="CQ9" i="13"/>
  <c r="BW9" i="13"/>
  <c r="CS9" i="13"/>
  <c r="BX9" i="13"/>
  <c r="CT9" i="13"/>
  <c r="BY9" i="13"/>
  <c r="CU9" i="13"/>
  <c r="DF22" i="13"/>
  <c r="CK20" i="13"/>
  <c r="CP19" i="13"/>
  <c r="BZ16" i="13"/>
  <c r="CS14" i="13"/>
  <c r="DC12" i="13"/>
  <c r="BX12" i="13"/>
  <c r="CC11" i="13"/>
  <c r="CV9" i="13"/>
  <c r="DF7" i="13"/>
  <c r="BX7" i="13"/>
  <c r="CC18" i="13"/>
  <c r="CY18" i="13"/>
  <c r="CD18" i="13"/>
  <c r="CZ18" i="13"/>
  <c r="CE18" i="13"/>
  <c r="DA18" i="13"/>
  <c r="CF18" i="13"/>
  <c r="DB18" i="13"/>
  <c r="CG18" i="13"/>
  <c r="DC18" i="13"/>
  <c r="CH18" i="13"/>
  <c r="DD18" i="13"/>
  <c r="CJ18" i="13"/>
  <c r="DF18" i="13"/>
  <c r="DM18" i="13"/>
  <c r="CK18" i="13"/>
  <c r="DG18" i="13"/>
  <c r="DN18" i="13"/>
  <c r="CL18" i="13"/>
  <c r="DH18" i="13"/>
  <c r="DO18" i="13"/>
  <c r="DL18" i="13"/>
  <c r="BT19" i="13"/>
  <c r="DQ16" i="13"/>
  <c r="BX18" i="13"/>
  <c r="CW19" i="13"/>
  <c r="DR16" i="13"/>
  <c r="DO20" i="13"/>
  <c r="DE22" i="13"/>
  <c r="CO19" i="13"/>
  <c r="CT18" i="13"/>
  <c r="BY16" i="13"/>
  <c r="CR14" i="13"/>
  <c r="DB12" i="13"/>
  <c r="BW12" i="13"/>
  <c r="CB11" i="13"/>
  <c r="CR9" i="13"/>
  <c r="CA20" i="13"/>
  <c r="CW20" i="13"/>
  <c r="DP20" i="13"/>
  <c r="CB20" i="13"/>
  <c r="CX20" i="13"/>
  <c r="DQ20" i="13"/>
  <c r="CC20" i="13"/>
  <c r="CY20" i="13"/>
  <c r="CD20" i="13"/>
  <c r="CZ20" i="13"/>
  <c r="CE20" i="13"/>
  <c r="DA20" i="13"/>
  <c r="CF20" i="13"/>
  <c r="DB20" i="13"/>
  <c r="CH20" i="13"/>
  <c r="DD20" i="13"/>
  <c r="CI20" i="13"/>
  <c r="DE20" i="13"/>
  <c r="CJ20" i="13"/>
  <c r="DF20" i="13"/>
  <c r="BY18" i="13"/>
  <c r="CS20" i="13"/>
  <c r="DO16" i="13"/>
  <c r="CQ20" i="13"/>
  <c r="DJ18" i="13"/>
  <c r="BV18" i="13"/>
  <c r="CO16" i="13"/>
  <c r="CY14" i="13"/>
  <c r="CN7" i="13"/>
  <c r="DJ7" i="13"/>
  <c r="BS7" i="13"/>
  <c r="CO7" i="13"/>
  <c r="DK7" i="13"/>
  <c r="BT7" i="13"/>
  <c r="CP7" i="13"/>
  <c r="BU7" i="13"/>
  <c r="CQ7" i="13"/>
  <c r="BV7" i="13"/>
  <c r="CR7" i="13"/>
  <c r="BW7" i="13"/>
  <c r="CS7" i="13"/>
  <c r="BY7" i="13"/>
  <c r="CU7" i="13"/>
  <c r="DM7" i="13"/>
  <c r="BZ7" i="13"/>
  <c r="CV7" i="13"/>
  <c r="DN7" i="13"/>
  <c r="CA7" i="13"/>
  <c r="CW7" i="13"/>
  <c r="DO7" i="13"/>
  <c r="DR7" i="13"/>
  <c r="DN20" i="13"/>
  <c r="DA22" i="13"/>
  <c r="BZ20" i="13"/>
  <c r="CN19" i="13"/>
  <c r="CS18" i="13"/>
  <c r="BX16" i="13"/>
  <c r="CQ14" i="13"/>
  <c r="DA12" i="13"/>
  <c r="BS12" i="13"/>
  <c r="CA11" i="13"/>
  <c r="CK9" i="13"/>
  <c r="DD7" i="13"/>
  <c r="BV19" i="13"/>
  <c r="DH19" i="13"/>
  <c r="CQ16" i="13"/>
  <c r="DR14" i="13"/>
  <c r="DM20" i="13"/>
  <c r="CT22" i="13"/>
  <c r="BY20" i="13"/>
  <c r="CM19" i="13"/>
  <c r="CR18" i="13"/>
  <c r="DK16" i="13"/>
  <c r="BW16" i="13"/>
  <c r="CM14" i="13"/>
  <c r="CZ12" i="13"/>
  <c r="DE11" i="13"/>
  <c r="BZ11" i="13"/>
  <c r="CJ9" i="13"/>
  <c r="DC7" i="13"/>
  <c r="DI19" i="13"/>
  <c r="BS19" i="13"/>
  <c r="DK18" i="13"/>
  <c r="DL20" i="13"/>
  <c r="DN14" i="13"/>
  <c r="CS22" i="13"/>
  <c r="BX20" i="13"/>
  <c r="CL19" i="13"/>
  <c r="CQ18" i="13"/>
  <c r="DG16" i="13"/>
  <c r="BV16" i="13"/>
  <c r="CF14" i="13"/>
  <c r="CY12" i="13"/>
  <c r="DD11" i="13"/>
  <c r="BY11" i="13"/>
  <c r="CI9" i="13"/>
  <c r="DB7" i="13"/>
  <c r="CV8" i="13"/>
  <c r="BZ8" i="13"/>
  <c r="CU8" i="13"/>
  <c r="BY8" i="13"/>
  <c r="CT8" i="13"/>
  <c r="BX8" i="13"/>
  <c r="CR8" i="13"/>
  <c r="BV8" i="13"/>
  <c r="CQ8" i="13"/>
  <c r="BU8" i="13"/>
  <c r="CP8" i="13"/>
  <c r="BT8" i="13"/>
  <c r="DK8" i="13"/>
  <c r="CO8" i="13"/>
  <c r="BS8" i="13"/>
  <c r="DJ8" i="13"/>
  <c r="CN8" i="13"/>
  <c r="DI8" i="13"/>
  <c r="M32" i="29" l="1"/>
  <c r="M31" i="29"/>
  <c r="M29" i="29"/>
  <c r="L29" i="29"/>
  <c r="L28" i="29"/>
  <c r="M28" i="29"/>
  <c r="M38" i="29" s="1"/>
  <c r="M105" i="29" s="1"/>
  <c r="M131" i="29" s="1"/>
  <c r="L31" i="29"/>
  <c r="L32" i="29"/>
  <c r="D30" i="32"/>
  <c r="E30" i="32"/>
  <c r="M30" i="29"/>
  <c r="L30" i="29"/>
  <c r="L33" i="29"/>
  <c r="M33" i="29"/>
  <c r="M34" i="29"/>
  <c r="L34" i="29"/>
  <c r="K30" i="29"/>
  <c r="K31" i="29"/>
  <c r="K32" i="29"/>
  <c r="K33" i="29"/>
  <c r="K34" i="29"/>
  <c r="C30" i="29"/>
  <c r="D30" i="29"/>
  <c r="E30" i="29"/>
  <c r="F30" i="29"/>
  <c r="G30" i="29"/>
  <c r="H30" i="29"/>
  <c r="I30" i="29"/>
  <c r="J30" i="29"/>
  <c r="C31" i="29"/>
  <c r="D31" i="29"/>
  <c r="E31" i="29"/>
  <c r="F31" i="29"/>
  <c r="G31" i="29"/>
  <c r="H31" i="29"/>
  <c r="I31" i="29"/>
  <c r="J31" i="29"/>
  <c r="C32" i="29"/>
  <c r="D32" i="29"/>
  <c r="E32" i="29"/>
  <c r="F32" i="29"/>
  <c r="G32" i="29"/>
  <c r="H32" i="29"/>
  <c r="I32" i="29"/>
  <c r="J32" i="29"/>
  <c r="C33" i="29"/>
  <c r="D33" i="29"/>
  <c r="E33" i="29"/>
  <c r="F33" i="29"/>
  <c r="G33" i="29"/>
  <c r="H33" i="29"/>
  <c r="I33" i="29"/>
  <c r="J33" i="29"/>
  <c r="C34" i="29"/>
  <c r="D34" i="29"/>
  <c r="E34" i="29"/>
  <c r="F34" i="29"/>
  <c r="G34" i="29"/>
  <c r="H34" i="29"/>
  <c r="I34" i="29"/>
  <c r="J34" i="29"/>
  <c r="B34" i="29"/>
  <c r="B33" i="29"/>
  <c r="B32" i="29"/>
  <c r="B31" i="29"/>
  <c r="B30" i="29"/>
  <c r="C29" i="29"/>
  <c r="D29" i="29"/>
  <c r="E29" i="29"/>
  <c r="F29" i="29"/>
  <c r="G29" i="29"/>
  <c r="H29" i="29"/>
  <c r="I29" i="29"/>
  <c r="J29" i="29"/>
  <c r="K29" i="29"/>
  <c r="B29" i="29"/>
  <c r="C28" i="29"/>
  <c r="D28" i="29"/>
  <c r="E28" i="29"/>
  <c r="F28" i="29"/>
  <c r="G28" i="29"/>
  <c r="H28" i="29"/>
  <c r="I28" i="29"/>
  <c r="J28" i="29"/>
  <c r="K28" i="29"/>
  <c r="B28" i="29"/>
  <c r="L20" i="29"/>
  <c r="M20" i="29"/>
  <c r="L18" i="29"/>
  <c r="M18" i="29"/>
  <c r="L22" i="29"/>
  <c r="M22" i="29"/>
  <c r="L23" i="29"/>
  <c r="M23" i="29"/>
  <c r="L19" i="29"/>
  <c r="M19" i="29"/>
  <c r="L21" i="29"/>
  <c r="M21" i="29"/>
  <c r="M41" i="29" s="1"/>
  <c r="M114" i="29" s="1"/>
  <c r="M140" i="29" s="1"/>
  <c r="B19" i="29"/>
  <c r="C19" i="29"/>
  <c r="D19" i="29"/>
  <c r="E19" i="29"/>
  <c r="F19" i="29"/>
  <c r="G19" i="29"/>
  <c r="H19" i="29"/>
  <c r="I19" i="29"/>
  <c r="J19" i="29"/>
  <c r="K19" i="29"/>
  <c r="B20" i="29"/>
  <c r="C20" i="29"/>
  <c r="D20" i="29"/>
  <c r="E20" i="29"/>
  <c r="F20" i="29"/>
  <c r="G20" i="29"/>
  <c r="H20" i="29"/>
  <c r="I20" i="29"/>
  <c r="J20" i="29"/>
  <c r="K20" i="29"/>
  <c r="B21" i="29"/>
  <c r="C21" i="29"/>
  <c r="D21" i="29"/>
  <c r="E21" i="29"/>
  <c r="F21" i="29"/>
  <c r="G21" i="29"/>
  <c r="H21" i="29"/>
  <c r="I21" i="29"/>
  <c r="J21" i="29"/>
  <c r="K21" i="29"/>
  <c r="B22" i="29"/>
  <c r="C22" i="29"/>
  <c r="D22" i="29"/>
  <c r="E22" i="29"/>
  <c r="F22" i="29"/>
  <c r="G22" i="29"/>
  <c r="H22" i="29"/>
  <c r="I22" i="29"/>
  <c r="J22" i="29"/>
  <c r="K22" i="29"/>
  <c r="B23" i="29"/>
  <c r="C23" i="29"/>
  <c r="D23" i="29"/>
  <c r="E23" i="29"/>
  <c r="F23" i="29"/>
  <c r="G23" i="29"/>
  <c r="H23" i="29"/>
  <c r="I23" i="29"/>
  <c r="J23" i="29"/>
  <c r="K23" i="29"/>
  <c r="B24" i="29"/>
  <c r="C24" i="29"/>
  <c r="D24" i="29"/>
  <c r="E24" i="29"/>
  <c r="F24" i="29"/>
  <c r="G24" i="29"/>
  <c r="H24" i="29"/>
  <c r="I24" i="29"/>
  <c r="J24" i="29"/>
  <c r="K24" i="29"/>
  <c r="M24" i="29" s="1"/>
  <c r="C18" i="29"/>
  <c r="D18" i="29"/>
  <c r="E18" i="29"/>
  <c r="F18" i="29"/>
  <c r="G18" i="29"/>
  <c r="H18" i="29"/>
  <c r="I18" i="29"/>
  <c r="J18" i="29"/>
  <c r="K18" i="29"/>
  <c r="B18" i="29"/>
  <c r="H6" i="29"/>
  <c r="H59" i="29" s="1"/>
  <c r="I6" i="29"/>
  <c r="I59" i="29" s="1"/>
  <c r="H7" i="29"/>
  <c r="H49" i="29" s="1"/>
  <c r="I7" i="29"/>
  <c r="I49" i="29" s="1"/>
  <c r="K6" i="29"/>
  <c r="K59" i="29" s="1"/>
  <c r="L6" i="29"/>
  <c r="L59" i="29" s="1"/>
  <c r="M6" i="29"/>
  <c r="M59" i="29" s="1"/>
  <c r="K7" i="29"/>
  <c r="K49" i="29" s="1"/>
  <c r="L7" i="29"/>
  <c r="L49" i="29" s="1"/>
  <c r="M7" i="29"/>
  <c r="M49" i="29" s="1"/>
  <c r="J7" i="29"/>
  <c r="J49" i="29" s="1"/>
  <c r="J6" i="29"/>
  <c r="J59" i="29" s="1"/>
  <c r="J13" i="29"/>
  <c r="J56" i="29" s="1"/>
  <c r="K13" i="29"/>
  <c r="K56" i="29" s="1"/>
  <c r="L13" i="29"/>
  <c r="L56" i="29" s="1"/>
  <c r="M13" i="29"/>
  <c r="M56" i="29" s="1"/>
  <c r="M8" i="29"/>
  <c r="M51" i="29" s="1"/>
  <c r="L8" i="29"/>
  <c r="L51" i="29" s="1"/>
  <c r="J12" i="29"/>
  <c r="J54" i="29" s="1"/>
  <c r="M12" i="29"/>
  <c r="M54" i="29" s="1"/>
  <c r="K12" i="29"/>
  <c r="K54" i="29" s="1"/>
  <c r="L12" i="29"/>
  <c r="L54" i="29" s="1"/>
  <c r="M10" i="29"/>
  <c r="M53" i="29" s="1"/>
  <c r="L10" i="29"/>
  <c r="L53" i="29" s="1"/>
  <c r="J11" i="29"/>
  <c r="K11" i="29"/>
  <c r="K57" i="29" s="1"/>
  <c r="M11" i="29"/>
  <c r="M57" i="29" s="1"/>
  <c r="L11" i="29"/>
  <c r="L57" i="29" s="1"/>
  <c r="M9" i="29"/>
  <c r="M52" i="29" s="1"/>
  <c r="L9" i="29"/>
  <c r="L52" i="29" s="1"/>
  <c r="M5" i="29"/>
  <c r="M48" i="29" s="1"/>
  <c r="L5" i="29"/>
  <c r="L48" i="29" s="1"/>
  <c r="M4" i="29"/>
  <c r="M63" i="29" s="1"/>
  <c r="J3" i="29"/>
  <c r="J50" i="29" s="1"/>
  <c r="K3" i="29"/>
  <c r="K50" i="29" s="1"/>
  <c r="M3" i="29"/>
  <c r="M50" i="29" s="1"/>
  <c r="L4" i="29"/>
  <c r="L63" i="29" s="1"/>
  <c r="L3" i="29"/>
  <c r="L50" i="29" s="1"/>
  <c r="C2" i="29"/>
  <c r="D2" i="29"/>
  <c r="E2" i="29"/>
  <c r="F2" i="29"/>
  <c r="G2" i="29"/>
  <c r="H2" i="29"/>
  <c r="I2" i="29"/>
  <c r="J2" i="29"/>
  <c r="K2" i="29"/>
  <c r="C3" i="29"/>
  <c r="C50" i="29" s="1"/>
  <c r="D3" i="29"/>
  <c r="D50" i="29" s="1"/>
  <c r="E3" i="29"/>
  <c r="E50" i="29" s="1"/>
  <c r="F3" i="29"/>
  <c r="F50" i="29" s="1"/>
  <c r="G3" i="29"/>
  <c r="G50" i="29" s="1"/>
  <c r="C4" i="29"/>
  <c r="C63" i="29" s="1"/>
  <c r="D4" i="29"/>
  <c r="D63" i="29" s="1"/>
  <c r="E4" i="29"/>
  <c r="E63" i="29" s="1"/>
  <c r="F4" i="29"/>
  <c r="F63" i="29" s="1"/>
  <c r="G4" i="29"/>
  <c r="G63" i="29" s="1"/>
  <c r="H4" i="29"/>
  <c r="H63" i="29" s="1"/>
  <c r="I4" i="29"/>
  <c r="I63" i="29" s="1"/>
  <c r="J4" i="29"/>
  <c r="J63" i="29" s="1"/>
  <c r="K4" i="29"/>
  <c r="K63" i="29" s="1"/>
  <c r="C5" i="29"/>
  <c r="C48" i="29" s="1"/>
  <c r="D5" i="29"/>
  <c r="D48" i="29" s="1"/>
  <c r="E5" i="29"/>
  <c r="E48" i="29" s="1"/>
  <c r="F5" i="29"/>
  <c r="F48" i="29" s="1"/>
  <c r="G5" i="29"/>
  <c r="G48" i="29" s="1"/>
  <c r="H5" i="29"/>
  <c r="H48" i="29" s="1"/>
  <c r="I5" i="29"/>
  <c r="I48" i="29" s="1"/>
  <c r="J5" i="29"/>
  <c r="J48" i="29" s="1"/>
  <c r="K5" i="29"/>
  <c r="K48" i="29" s="1"/>
  <c r="C6" i="29"/>
  <c r="C59" i="29" s="1"/>
  <c r="D6" i="29"/>
  <c r="D59" i="29" s="1"/>
  <c r="E6" i="29"/>
  <c r="E59" i="29" s="1"/>
  <c r="F6" i="29"/>
  <c r="F59" i="29" s="1"/>
  <c r="G6" i="29"/>
  <c r="G59" i="29" s="1"/>
  <c r="C7" i="29"/>
  <c r="C49" i="29" s="1"/>
  <c r="D7" i="29"/>
  <c r="D49" i="29" s="1"/>
  <c r="E7" i="29"/>
  <c r="E49" i="29" s="1"/>
  <c r="F7" i="29"/>
  <c r="F49" i="29" s="1"/>
  <c r="G7" i="29"/>
  <c r="G49" i="29" s="1"/>
  <c r="C8" i="29"/>
  <c r="C51" i="29" s="1"/>
  <c r="D8" i="29"/>
  <c r="D51" i="29" s="1"/>
  <c r="E8" i="29"/>
  <c r="E51" i="29" s="1"/>
  <c r="F8" i="29"/>
  <c r="F51" i="29" s="1"/>
  <c r="G8" i="29"/>
  <c r="G51" i="29" s="1"/>
  <c r="H8" i="29"/>
  <c r="H51" i="29" s="1"/>
  <c r="I8" i="29"/>
  <c r="I51" i="29" s="1"/>
  <c r="J8" i="29"/>
  <c r="J51" i="29" s="1"/>
  <c r="K8" i="29"/>
  <c r="K51" i="29" s="1"/>
  <c r="C9" i="29"/>
  <c r="C52" i="29" s="1"/>
  <c r="D9" i="29"/>
  <c r="D52" i="29" s="1"/>
  <c r="E9" i="29"/>
  <c r="E52" i="29" s="1"/>
  <c r="F9" i="29"/>
  <c r="F52" i="29" s="1"/>
  <c r="G9" i="29"/>
  <c r="G52" i="29" s="1"/>
  <c r="H9" i="29"/>
  <c r="H52" i="29" s="1"/>
  <c r="I9" i="29"/>
  <c r="I52" i="29" s="1"/>
  <c r="J9" i="29"/>
  <c r="J52" i="29" s="1"/>
  <c r="K9" i="29"/>
  <c r="K52" i="29" s="1"/>
  <c r="C10" i="29"/>
  <c r="C53" i="29" s="1"/>
  <c r="D10" i="29"/>
  <c r="D53" i="29" s="1"/>
  <c r="E10" i="29"/>
  <c r="E53" i="29" s="1"/>
  <c r="F10" i="29"/>
  <c r="F53" i="29" s="1"/>
  <c r="G10" i="29"/>
  <c r="G53" i="29" s="1"/>
  <c r="H10" i="29"/>
  <c r="H53" i="29" s="1"/>
  <c r="I10" i="29"/>
  <c r="I53" i="29" s="1"/>
  <c r="J10" i="29"/>
  <c r="J53" i="29" s="1"/>
  <c r="K10" i="29"/>
  <c r="K53" i="29" s="1"/>
  <c r="C11" i="29"/>
  <c r="C57" i="29" s="1"/>
  <c r="D11" i="29"/>
  <c r="D57" i="29" s="1"/>
  <c r="E11" i="29"/>
  <c r="E57" i="29" s="1"/>
  <c r="F11" i="29"/>
  <c r="F57" i="29" s="1"/>
  <c r="G11" i="29"/>
  <c r="C12" i="29"/>
  <c r="C54" i="29" s="1"/>
  <c r="D12" i="29"/>
  <c r="D54" i="29" s="1"/>
  <c r="E12" i="29"/>
  <c r="E54" i="29" s="1"/>
  <c r="F12" i="29"/>
  <c r="F54" i="29" s="1"/>
  <c r="G12" i="29"/>
  <c r="G54" i="29" s="1"/>
  <c r="H12" i="29"/>
  <c r="H54" i="29" s="1"/>
  <c r="I12" i="29"/>
  <c r="I54" i="29" s="1"/>
  <c r="C13" i="29"/>
  <c r="C56" i="29" s="1"/>
  <c r="D13" i="29"/>
  <c r="D56" i="29" s="1"/>
  <c r="E13" i="29"/>
  <c r="E56" i="29" s="1"/>
  <c r="F13" i="29"/>
  <c r="F56" i="29" s="1"/>
  <c r="G13" i="29"/>
  <c r="G56" i="29" s="1"/>
  <c r="H13" i="29"/>
  <c r="H56" i="29" s="1"/>
  <c r="I13" i="29"/>
  <c r="I56" i="29" s="1"/>
  <c r="B4" i="29"/>
  <c r="B63" i="29" s="1"/>
  <c r="B5" i="29"/>
  <c r="B48" i="29" s="1"/>
  <c r="B6" i="29"/>
  <c r="B59" i="29" s="1"/>
  <c r="B7" i="29"/>
  <c r="B49" i="29" s="1"/>
  <c r="B8" i="29"/>
  <c r="B51" i="29" s="1"/>
  <c r="B9" i="29"/>
  <c r="B52" i="29" s="1"/>
  <c r="B10" i="29"/>
  <c r="B53" i="29" s="1"/>
  <c r="B11" i="29"/>
  <c r="B57" i="29" s="1"/>
  <c r="B12" i="29"/>
  <c r="B54" i="29" s="1"/>
  <c r="B13" i="29"/>
  <c r="B56" i="29" s="1"/>
  <c r="B2" i="29"/>
  <c r="B3" i="29"/>
  <c r="B50" i="29" s="1"/>
  <c r="C8" i="31"/>
  <c r="D8" i="31"/>
  <c r="D12" i="31" s="1"/>
  <c r="E8" i="31"/>
  <c r="C19" i="31"/>
  <c r="C13" i="31" s="1"/>
  <c r="E19" i="31"/>
  <c r="E13" i="31" s="1"/>
  <c r="C11" i="31"/>
  <c r="D11" i="31"/>
  <c r="E11" i="31"/>
  <c r="C12" i="31"/>
  <c r="E12" i="31"/>
  <c r="B13" i="31"/>
  <c r="B19" i="31"/>
  <c r="B12" i="31"/>
  <c r="B11" i="31"/>
  <c r="B8" i="31"/>
  <c r="ED13" i="13" l="1"/>
  <c r="EE13" i="13" s="1"/>
  <c r="EF13" i="13" s="1"/>
  <c r="EG13" i="13" s="1"/>
  <c r="EH13" i="13" s="1"/>
  <c r="EI13" i="13" s="1"/>
  <c r="EJ13" i="13" s="1"/>
  <c r="EK13" i="13" s="1"/>
  <c r="EL13" i="13" s="1"/>
  <c r="EM13" i="13" s="1"/>
  <c r="EN13" i="13" s="1"/>
  <c r="EO13" i="13" s="1"/>
  <c r="EP13" i="13" s="1"/>
  <c r="EQ13" i="13" s="1"/>
  <c r="ER13" i="13" s="1"/>
  <c r="ES13" i="13" s="1"/>
  <c r="ET13" i="13" s="1"/>
  <c r="EU13" i="13" s="1"/>
  <c r="EV13" i="13" s="1"/>
  <c r="EW13" i="13" s="1"/>
  <c r="EX13" i="13" s="1"/>
  <c r="EY13" i="13" s="1"/>
  <c r="EZ13" i="13" s="1"/>
  <c r="FA13" i="13" s="1"/>
  <c r="FB13" i="13" s="1"/>
  <c r="FC13" i="13" s="1"/>
  <c r="FD13" i="13" s="1"/>
  <c r="FE13" i="13" s="1"/>
  <c r="FF13" i="13" s="1"/>
  <c r="FG13" i="13" s="1"/>
  <c r="FH13" i="13" s="1"/>
  <c r="FI13" i="13" s="1"/>
  <c r="FJ13" i="13" s="1"/>
  <c r="FK13" i="13" s="1"/>
  <c r="FL13" i="13" s="1"/>
  <c r="FM13" i="13" s="1"/>
  <c r="FN13" i="13" s="1"/>
  <c r="FO13" i="13" s="1"/>
  <c r="FP13" i="13" s="1"/>
  <c r="FQ13" i="13" s="1"/>
  <c r="FR13" i="13" s="1"/>
  <c r="FS13" i="13" s="1"/>
  <c r="FT13" i="13" s="1"/>
  <c r="FU13" i="13" s="1"/>
  <c r="FV13" i="13" s="1"/>
  <c r="FW13" i="13" s="1"/>
  <c r="FX13" i="13" s="1"/>
  <c r="FY13" i="13" s="1"/>
  <c r="FZ13" i="13" s="1"/>
  <c r="GA13" i="13" s="1"/>
  <c r="GB13" i="13" s="1"/>
  <c r="GC13" i="13" s="1"/>
  <c r="GD13" i="13" s="1"/>
  <c r="GE13" i="13" s="1"/>
  <c r="GF13" i="13" s="1"/>
  <c r="GG13" i="13" s="1"/>
  <c r="GH13" i="13" s="1"/>
  <c r="GI13" i="13" s="1"/>
  <c r="GJ13" i="13" s="1"/>
  <c r="GK13" i="13" s="1"/>
  <c r="GL13" i="13" s="1"/>
  <c r="GM13" i="13" s="1"/>
  <c r="GN13" i="13" s="1"/>
  <c r="GO13" i="13" s="1"/>
  <c r="GP13" i="13" s="1"/>
  <c r="GQ13" i="13" s="1"/>
  <c r="GR13" i="13" s="1"/>
  <c r="GS13" i="13" s="1"/>
  <c r="GT13" i="13" s="1"/>
  <c r="GU13" i="13" s="1"/>
  <c r="GV13" i="13" s="1"/>
  <c r="GW13" i="13" s="1"/>
  <c r="GX13" i="13" s="1"/>
  <c r="GY13" i="13" s="1"/>
  <c r="GZ13" i="13" s="1"/>
  <c r="HA13" i="13" s="1"/>
  <c r="HB13" i="13" s="1"/>
  <c r="HC13" i="13" s="1"/>
  <c r="M151" i="29"/>
  <c r="ED24" i="13" s="1"/>
  <c r="EE24" i="13" s="1"/>
  <c r="EF24" i="13" s="1"/>
  <c r="EG24" i="13" s="1"/>
  <c r="EH24" i="13" s="1"/>
  <c r="EI24" i="13" s="1"/>
  <c r="EJ24" i="13" s="1"/>
  <c r="EK24" i="13" s="1"/>
  <c r="EL24" i="13" s="1"/>
  <c r="EM24" i="13" s="1"/>
  <c r="EN24" i="13" s="1"/>
  <c r="EO24" i="13" s="1"/>
  <c r="EP24" i="13" s="1"/>
  <c r="EQ24" i="13" s="1"/>
  <c r="ER24" i="13" s="1"/>
  <c r="ES24" i="13" s="1"/>
  <c r="ET24" i="13" s="1"/>
  <c r="EU24" i="13" s="1"/>
  <c r="EV24" i="13" s="1"/>
  <c r="EW24" i="13" s="1"/>
  <c r="EX24" i="13" s="1"/>
  <c r="EY24" i="13" s="1"/>
  <c r="EZ24" i="13" s="1"/>
  <c r="FA24" i="13" s="1"/>
  <c r="FB24" i="13" s="1"/>
  <c r="FC24" i="13" s="1"/>
  <c r="FD24" i="13" s="1"/>
  <c r="FE24" i="13" s="1"/>
  <c r="FF24" i="13" s="1"/>
  <c r="FG24" i="13" s="1"/>
  <c r="FH24" i="13" s="1"/>
  <c r="FI24" i="13" s="1"/>
  <c r="FJ24" i="13" s="1"/>
  <c r="FK24" i="13" s="1"/>
  <c r="FL24" i="13" s="1"/>
  <c r="FM24" i="13" s="1"/>
  <c r="FN24" i="13" s="1"/>
  <c r="FO24" i="13" s="1"/>
  <c r="FP24" i="13" s="1"/>
  <c r="FQ24" i="13" s="1"/>
  <c r="FR24" i="13" s="1"/>
  <c r="FS24" i="13" s="1"/>
  <c r="FT24" i="13" s="1"/>
  <c r="FU24" i="13" s="1"/>
  <c r="FV24" i="13" s="1"/>
  <c r="FW24" i="13" s="1"/>
  <c r="FX24" i="13" s="1"/>
  <c r="FY24" i="13" s="1"/>
  <c r="FZ24" i="13" s="1"/>
  <c r="GA24" i="13" s="1"/>
  <c r="GB24" i="13" s="1"/>
  <c r="GC24" i="13" s="1"/>
  <c r="GD24" i="13" s="1"/>
  <c r="GE24" i="13" s="1"/>
  <c r="GF24" i="13" s="1"/>
  <c r="GG24" i="13" s="1"/>
  <c r="GH24" i="13" s="1"/>
  <c r="GI24" i="13" s="1"/>
  <c r="GJ24" i="13" s="1"/>
  <c r="GK24" i="13" s="1"/>
  <c r="GL24" i="13" s="1"/>
  <c r="GM24" i="13" s="1"/>
  <c r="GN24" i="13" s="1"/>
  <c r="GO24" i="13" s="1"/>
  <c r="GP24" i="13" s="1"/>
  <c r="GQ24" i="13" s="1"/>
  <c r="GR24" i="13" s="1"/>
  <c r="GS24" i="13" s="1"/>
  <c r="GT24" i="13" s="1"/>
  <c r="GU24" i="13" s="1"/>
  <c r="GV24" i="13" s="1"/>
  <c r="GW24" i="13" s="1"/>
  <c r="GX24" i="13" s="1"/>
  <c r="GY24" i="13" s="1"/>
  <c r="GZ24" i="13" s="1"/>
  <c r="HA24" i="13" s="1"/>
  <c r="HB24" i="13" s="1"/>
  <c r="HC24" i="13" s="1"/>
  <c r="M152" i="29"/>
  <c r="ED25" i="13" s="1"/>
  <c r="EE25" i="13" s="1"/>
  <c r="EF25" i="13" s="1"/>
  <c r="EG25" i="13" s="1"/>
  <c r="EH25" i="13" s="1"/>
  <c r="EI25" i="13" s="1"/>
  <c r="EJ25" i="13" s="1"/>
  <c r="EK25" i="13" s="1"/>
  <c r="EL25" i="13" s="1"/>
  <c r="EM25" i="13" s="1"/>
  <c r="EN25" i="13" s="1"/>
  <c r="EO25" i="13" s="1"/>
  <c r="EP25" i="13" s="1"/>
  <c r="EQ25" i="13" s="1"/>
  <c r="ER25" i="13" s="1"/>
  <c r="ES25" i="13" s="1"/>
  <c r="ET25" i="13" s="1"/>
  <c r="EU25" i="13" s="1"/>
  <c r="EV25" i="13" s="1"/>
  <c r="EW25" i="13" s="1"/>
  <c r="EX25" i="13" s="1"/>
  <c r="EY25" i="13" s="1"/>
  <c r="EZ25" i="13" s="1"/>
  <c r="FA25" i="13" s="1"/>
  <c r="FB25" i="13" s="1"/>
  <c r="FC25" i="13" s="1"/>
  <c r="FD25" i="13" s="1"/>
  <c r="FE25" i="13" s="1"/>
  <c r="FF25" i="13" s="1"/>
  <c r="FG25" i="13" s="1"/>
  <c r="FH25" i="13" s="1"/>
  <c r="FI25" i="13" s="1"/>
  <c r="FJ25" i="13" s="1"/>
  <c r="FK25" i="13" s="1"/>
  <c r="FL25" i="13" s="1"/>
  <c r="FM25" i="13" s="1"/>
  <c r="FN25" i="13" s="1"/>
  <c r="FO25" i="13" s="1"/>
  <c r="FP25" i="13" s="1"/>
  <c r="FQ25" i="13" s="1"/>
  <c r="FR25" i="13" s="1"/>
  <c r="FS25" i="13" s="1"/>
  <c r="FT25" i="13" s="1"/>
  <c r="FU25" i="13" s="1"/>
  <c r="FV25" i="13" s="1"/>
  <c r="FW25" i="13" s="1"/>
  <c r="FX25" i="13" s="1"/>
  <c r="FY25" i="13" s="1"/>
  <c r="FZ25" i="13" s="1"/>
  <c r="GA25" i="13" s="1"/>
  <c r="GB25" i="13" s="1"/>
  <c r="GC25" i="13" s="1"/>
  <c r="GD25" i="13" s="1"/>
  <c r="GE25" i="13" s="1"/>
  <c r="GF25" i="13" s="1"/>
  <c r="GG25" i="13" s="1"/>
  <c r="GH25" i="13" s="1"/>
  <c r="GI25" i="13" s="1"/>
  <c r="GJ25" i="13" s="1"/>
  <c r="GK25" i="13" s="1"/>
  <c r="GL25" i="13" s="1"/>
  <c r="GM25" i="13" s="1"/>
  <c r="GN25" i="13" s="1"/>
  <c r="GO25" i="13" s="1"/>
  <c r="GP25" i="13" s="1"/>
  <c r="GQ25" i="13" s="1"/>
  <c r="GR25" i="13" s="1"/>
  <c r="GS25" i="13" s="1"/>
  <c r="GT25" i="13" s="1"/>
  <c r="GU25" i="13" s="1"/>
  <c r="GV25" i="13" s="1"/>
  <c r="GW25" i="13" s="1"/>
  <c r="GX25" i="13" s="1"/>
  <c r="GY25" i="13" s="1"/>
  <c r="GZ25" i="13" s="1"/>
  <c r="HA25" i="13" s="1"/>
  <c r="HB25" i="13" s="1"/>
  <c r="HC25" i="13" s="1"/>
  <c r="ED4" i="13"/>
  <c r="EE4" i="13" s="1"/>
  <c r="EF4" i="13" s="1"/>
  <c r="EG4" i="13" s="1"/>
  <c r="EH4" i="13" s="1"/>
  <c r="EI4" i="13" s="1"/>
  <c r="EJ4" i="13" s="1"/>
  <c r="EK4" i="13" s="1"/>
  <c r="EL4" i="13" s="1"/>
  <c r="EM4" i="13" s="1"/>
  <c r="EN4" i="13" s="1"/>
  <c r="EO4" i="13" s="1"/>
  <c r="EP4" i="13" s="1"/>
  <c r="EQ4" i="13" s="1"/>
  <c r="ER4" i="13" s="1"/>
  <c r="ES4" i="13" s="1"/>
  <c r="ET4" i="13" s="1"/>
  <c r="EU4" i="13" s="1"/>
  <c r="EV4" i="13" s="1"/>
  <c r="EW4" i="13" s="1"/>
  <c r="EX4" i="13" s="1"/>
  <c r="EY4" i="13" s="1"/>
  <c r="EZ4" i="13" s="1"/>
  <c r="FA4" i="13" s="1"/>
  <c r="FB4" i="13" s="1"/>
  <c r="FC4" i="13" s="1"/>
  <c r="FD4" i="13" s="1"/>
  <c r="FE4" i="13" s="1"/>
  <c r="FF4" i="13" s="1"/>
  <c r="FG4" i="13" s="1"/>
  <c r="FH4" i="13" s="1"/>
  <c r="FI4" i="13" s="1"/>
  <c r="FJ4" i="13" s="1"/>
  <c r="FK4" i="13" s="1"/>
  <c r="FL4" i="13" s="1"/>
  <c r="FM4" i="13" s="1"/>
  <c r="FN4" i="13" s="1"/>
  <c r="FO4" i="13" s="1"/>
  <c r="FP4" i="13" s="1"/>
  <c r="FQ4" i="13" s="1"/>
  <c r="FR4" i="13" s="1"/>
  <c r="FS4" i="13" s="1"/>
  <c r="FT4" i="13" s="1"/>
  <c r="FU4" i="13" s="1"/>
  <c r="FV4" i="13" s="1"/>
  <c r="FW4" i="13" s="1"/>
  <c r="FX4" i="13" s="1"/>
  <c r="FY4" i="13" s="1"/>
  <c r="FZ4" i="13" s="1"/>
  <c r="GA4" i="13" s="1"/>
  <c r="GB4" i="13" s="1"/>
  <c r="GC4" i="13" s="1"/>
  <c r="GD4" i="13" s="1"/>
  <c r="GE4" i="13" s="1"/>
  <c r="GF4" i="13" s="1"/>
  <c r="GG4" i="13" s="1"/>
  <c r="GH4" i="13" s="1"/>
  <c r="GI4" i="13" s="1"/>
  <c r="GJ4" i="13" s="1"/>
  <c r="GK4" i="13" s="1"/>
  <c r="GL4" i="13" s="1"/>
  <c r="GM4" i="13" s="1"/>
  <c r="GN4" i="13" s="1"/>
  <c r="GO4" i="13" s="1"/>
  <c r="GP4" i="13" s="1"/>
  <c r="GQ4" i="13" s="1"/>
  <c r="GR4" i="13" s="1"/>
  <c r="GS4" i="13" s="1"/>
  <c r="GT4" i="13" s="1"/>
  <c r="GU4" i="13" s="1"/>
  <c r="GV4" i="13" s="1"/>
  <c r="GW4" i="13" s="1"/>
  <c r="GX4" i="13" s="1"/>
  <c r="GY4" i="13" s="1"/>
  <c r="GZ4" i="13" s="1"/>
  <c r="HA4" i="13" s="1"/>
  <c r="HB4" i="13" s="1"/>
  <c r="HC4" i="13" s="1"/>
  <c r="I11" i="29"/>
  <c r="I57" i="29" s="1"/>
  <c r="J57" i="29"/>
  <c r="H11" i="29"/>
  <c r="H57" i="29" s="1"/>
  <c r="G57" i="29"/>
  <c r="L41" i="29"/>
  <c r="L114" i="29" s="1"/>
  <c r="L140" i="29" s="1"/>
  <c r="L43" i="29"/>
  <c r="L106" i="29" s="1"/>
  <c r="L132" i="29" s="1"/>
  <c r="EC5" i="13" s="1"/>
  <c r="L39" i="29"/>
  <c r="L118" i="29" s="1"/>
  <c r="L144" i="29" s="1"/>
  <c r="EC17" i="13" s="1"/>
  <c r="M39" i="29"/>
  <c r="M118" i="29" s="1"/>
  <c r="M144" i="29" s="1"/>
  <c r="ED17" i="13" s="1"/>
  <c r="EE17" i="13" s="1"/>
  <c r="EF17" i="13" s="1"/>
  <c r="EG17" i="13" s="1"/>
  <c r="EH17" i="13" s="1"/>
  <c r="EI17" i="13" s="1"/>
  <c r="EJ17" i="13" s="1"/>
  <c r="EK17" i="13" s="1"/>
  <c r="EL17" i="13" s="1"/>
  <c r="EM17" i="13" s="1"/>
  <c r="EN17" i="13" s="1"/>
  <c r="EO17" i="13" s="1"/>
  <c r="EP17" i="13" s="1"/>
  <c r="EQ17" i="13" s="1"/>
  <c r="ER17" i="13" s="1"/>
  <c r="ES17" i="13" s="1"/>
  <c r="ET17" i="13" s="1"/>
  <c r="EU17" i="13" s="1"/>
  <c r="EV17" i="13" s="1"/>
  <c r="EW17" i="13" s="1"/>
  <c r="EX17" i="13" s="1"/>
  <c r="EY17" i="13" s="1"/>
  <c r="EZ17" i="13" s="1"/>
  <c r="FA17" i="13" s="1"/>
  <c r="FB17" i="13" s="1"/>
  <c r="FC17" i="13" s="1"/>
  <c r="FD17" i="13" s="1"/>
  <c r="FE17" i="13" s="1"/>
  <c r="FF17" i="13" s="1"/>
  <c r="FG17" i="13" s="1"/>
  <c r="FH17" i="13" s="1"/>
  <c r="FI17" i="13" s="1"/>
  <c r="FJ17" i="13" s="1"/>
  <c r="FK17" i="13" s="1"/>
  <c r="FL17" i="13" s="1"/>
  <c r="FM17" i="13" s="1"/>
  <c r="FN17" i="13" s="1"/>
  <c r="FO17" i="13" s="1"/>
  <c r="FP17" i="13" s="1"/>
  <c r="FQ17" i="13" s="1"/>
  <c r="FR17" i="13" s="1"/>
  <c r="FS17" i="13" s="1"/>
  <c r="FT17" i="13" s="1"/>
  <c r="FU17" i="13" s="1"/>
  <c r="FV17" i="13" s="1"/>
  <c r="FW17" i="13" s="1"/>
  <c r="FX17" i="13" s="1"/>
  <c r="FY17" i="13" s="1"/>
  <c r="FZ17" i="13" s="1"/>
  <c r="GA17" i="13" s="1"/>
  <c r="GB17" i="13" s="1"/>
  <c r="GC17" i="13" s="1"/>
  <c r="GD17" i="13" s="1"/>
  <c r="GE17" i="13" s="1"/>
  <c r="GF17" i="13" s="1"/>
  <c r="GG17" i="13" s="1"/>
  <c r="GH17" i="13" s="1"/>
  <c r="GI17" i="13" s="1"/>
  <c r="GJ17" i="13" s="1"/>
  <c r="GK17" i="13" s="1"/>
  <c r="GL17" i="13" s="1"/>
  <c r="GM17" i="13" s="1"/>
  <c r="GN17" i="13" s="1"/>
  <c r="GO17" i="13" s="1"/>
  <c r="GP17" i="13" s="1"/>
  <c r="GQ17" i="13" s="1"/>
  <c r="GR17" i="13" s="1"/>
  <c r="GS17" i="13" s="1"/>
  <c r="GT17" i="13" s="1"/>
  <c r="GU17" i="13" s="1"/>
  <c r="GV17" i="13" s="1"/>
  <c r="GW17" i="13" s="1"/>
  <c r="GX17" i="13" s="1"/>
  <c r="GY17" i="13" s="1"/>
  <c r="GZ17" i="13" s="1"/>
  <c r="HA17" i="13" s="1"/>
  <c r="HB17" i="13" s="1"/>
  <c r="HC17" i="13" s="1"/>
  <c r="E43" i="29"/>
  <c r="E106" i="29" s="1"/>
  <c r="E132" i="29" s="1"/>
  <c r="DV5" i="13" s="1"/>
  <c r="E42" i="29"/>
  <c r="E104" i="29" s="1"/>
  <c r="E130" i="29" s="1"/>
  <c r="DV3" i="13" s="1"/>
  <c r="L42" i="29"/>
  <c r="L104" i="29" s="1"/>
  <c r="L130" i="29" s="1"/>
  <c r="EC3" i="13" s="1"/>
  <c r="M42" i="29"/>
  <c r="M104" i="29" s="1"/>
  <c r="M130" i="29" s="1"/>
  <c r="ED3" i="13" s="1"/>
  <c r="EE3" i="13" s="1"/>
  <c r="EF3" i="13" s="1"/>
  <c r="EG3" i="13" s="1"/>
  <c r="EH3" i="13" s="1"/>
  <c r="EI3" i="13" s="1"/>
  <c r="EJ3" i="13" s="1"/>
  <c r="EK3" i="13" s="1"/>
  <c r="EL3" i="13" s="1"/>
  <c r="EM3" i="13" s="1"/>
  <c r="EN3" i="13" s="1"/>
  <c r="EO3" i="13" s="1"/>
  <c r="EP3" i="13" s="1"/>
  <c r="EQ3" i="13" s="1"/>
  <c r="ER3" i="13" s="1"/>
  <c r="ES3" i="13" s="1"/>
  <c r="ET3" i="13" s="1"/>
  <c r="EU3" i="13" s="1"/>
  <c r="EV3" i="13" s="1"/>
  <c r="EW3" i="13" s="1"/>
  <c r="EX3" i="13" s="1"/>
  <c r="EY3" i="13" s="1"/>
  <c r="EZ3" i="13" s="1"/>
  <c r="FA3" i="13" s="1"/>
  <c r="FB3" i="13" s="1"/>
  <c r="FC3" i="13" s="1"/>
  <c r="FD3" i="13" s="1"/>
  <c r="FE3" i="13" s="1"/>
  <c r="FF3" i="13" s="1"/>
  <c r="FG3" i="13" s="1"/>
  <c r="FH3" i="13" s="1"/>
  <c r="FI3" i="13" s="1"/>
  <c r="FJ3" i="13" s="1"/>
  <c r="FK3" i="13" s="1"/>
  <c r="FL3" i="13" s="1"/>
  <c r="FM3" i="13" s="1"/>
  <c r="FN3" i="13" s="1"/>
  <c r="FO3" i="13" s="1"/>
  <c r="FP3" i="13" s="1"/>
  <c r="FQ3" i="13" s="1"/>
  <c r="FR3" i="13" s="1"/>
  <c r="FS3" i="13" s="1"/>
  <c r="FT3" i="13" s="1"/>
  <c r="FU3" i="13" s="1"/>
  <c r="FV3" i="13" s="1"/>
  <c r="FW3" i="13" s="1"/>
  <c r="FX3" i="13" s="1"/>
  <c r="FY3" i="13" s="1"/>
  <c r="FZ3" i="13" s="1"/>
  <c r="GA3" i="13" s="1"/>
  <c r="GB3" i="13" s="1"/>
  <c r="GC3" i="13" s="1"/>
  <c r="GD3" i="13" s="1"/>
  <c r="GE3" i="13" s="1"/>
  <c r="GF3" i="13" s="1"/>
  <c r="GG3" i="13" s="1"/>
  <c r="GH3" i="13" s="1"/>
  <c r="GI3" i="13" s="1"/>
  <c r="GJ3" i="13" s="1"/>
  <c r="GK3" i="13" s="1"/>
  <c r="GL3" i="13" s="1"/>
  <c r="GM3" i="13" s="1"/>
  <c r="GN3" i="13" s="1"/>
  <c r="GO3" i="13" s="1"/>
  <c r="GP3" i="13" s="1"/>
  <c r="GQ3" i="13" s="1"/>
  <c r="GR3" i="13" s="1"/>
  <c r="GS3" i="13" s="1"/>
  <c r="GT3" i="13" s="1"/>
  <c r="GU3" i="13" s="1"/>
  <c r="GV3" i="13" s="1"/>
  <c r="GW3" i="13" s="1"/>
  <c r="GX3" i="13" s="1"/>
  <c r="GY3" i="13" s="1"/>
  <c r="GZ3" i="13" s="1"/>
  <c r="HA3" i="13" s="1"/>
  <c r="HB3" i="13" s="1"/>
  <c r="HC3" i="13" s="1"/>
  <c r="L38" i="29"/>
  <c r="L105" i="29" s="1"/>
  <c r="L131" i="29" s="1"/>
  <c r="M40" i="29"/>
  <c r="M103" i="29" s="1"/>
  <c r="M129" i="29" s="1"/>
  <c r="ED2" i="13" s="1"/>
  <c r="EE2" i="13" s="1"/>
  <c r="EF2" i="13" s="1"/>
  <c r="EG2" i="13" s="1"/>
  <c r="EH2" i="13" s="1"/>
  <c r="EI2" i="13" s="1"/>
  <c r="EJ2" i="13" s="1"/>
  <c r="EK2" i="13" s="1"/>
  <c r="EL2" i="13" s="1"/>
  <c r="EM2" i="13" s="1"/>
  <c r="EN2" i="13" s="1"/>
  <c r="EO2" i="13" s="1"/>
  <c r="EP2" i="13" s="1"/>
  <c r="EQ2" i="13" s="1"/>
  <c r="ER2" i="13" s="1"/>
  <c r="ES2" i="13" s="1"/>
  <c r="ET2" i="13" s="1"/>
  <c r="EU2" i="13" s="1"/>
  <c r="EV2" i="13" s="1"/>
  <c r="EW2" i="13" s="1"/>
  <c r="EX2" i="13" s="1"/>
  <c r="EY2" i="13" s="1"/>
  <c r="EZ2" i="13" s="1"/>
  <c r="FA2" i="13" s="1"/>
  <c r="FB2" i="13" s="1"/>
  <c r="FC2" i="13" s="1"/>
  <c r="FD2" i="13" s="1"/>
  <c r="FE2" i="13" s="1"/>
  <c r="FF2" i="13" s="1"/>
  <c r="FG2" i="13" s="1"/>
  <c r="FH2" i="13" s="1"/>
  <c r="FI2" i="13" s="1"/>
  <c r="FJ2" i="13" s="1"/>
  <c r="FK2" i="13" s="1"/>
  <c r="FL2" i="13" s="1"/>
  <c r="FM2" i="13" s="1"/>
  <c r="FN2" i="13" s="1"/>
  <c r="FO2" i="13" s="1"/>
  <c r="FP2" i="13" s="1"/>
  <c r="FQ2" i="13" s="1"/>
  <c r="FR2" i="13" s="1"/>
  <c r="FS2" i="13" s="1"/>
  <c r="FT2" i="13" s="1"/>
  <c r="FU2" i="13" s="1"/>
  <c r="FV2" i="13" s="1"/>
  <c r="FW2" i="13" s="1"/>
  <c r="FX2" i="13" s="1"/>
  <c r="FY2" i="13" s="1"/>
  <c r="FZ2" i="13" s="1"/>
  <c r="GA2" i="13" s="1"/>
  <c r="GB2" i="13" s="1"/>
  <c r="GC2" i="13" s="1"/>
  <c r="GD2" i="13" s="1"/>
  <c r="GE2" i="13" s="1"/>
  <c r="GF2" i="13" s="1"/>
  <c r="GG2" i="13" s="1"/>
  <c r="GH2" i="13" s="1"/>
  <c r="GI2" i="13" s="1"/>
  <c r="GJ2" i="13" s="1"/>
  <c r="GK2" i="13" s="1"/>
  <c r="GL2" i="13" s="1"/>
  <c r="GM2" i="13" s="1"/>
  <c r="GN2" i="13" s="1"/>
  <c r="GO2" i="13" s="1"/>
  <c r="GP2" i="13" s="1"/>
  <c r="GQ2" i="13" s="1"/>
  <c r="GR2" i="13" s="1"/>
  <c r="GS2" i="13" s="1"/>
  <c r="GT2" i="13" s="1"/>
  <c r="GU2" i="13" s="1"/>
  <c r="GV2" i="13" s="1"/>
  <c r="GW2" i="13" s="1"/>
  <c r="GX2" i="13" s="1"/>
  <c r="GY2" i="13" s="1"/>
  <c r="GZ2" i="13" s="1"/>
  <c r="HA2" i="13" s="1"/>
  <c r="HB2" i="13" s="1"/>
  <c r="HC2" i="13" s="1"/>
  <c r="K44" i="29"/>
  <c r="K111" i="29" s="1"/>
  <c r="K137" i="29" s="1"/>
  <c r="EB10" i="13" s="1"/>
  <c r="J38" i="29"/>
  <c r="J105" i="29" s="1"/>
  <c r="J131" i="29" s="1"/>
  <c r="B39" i="29"/>
  <c r="B118" i="29" s="1"/>
  <c r="B144" i="29" s="1"/>
  <c r="DS17" i="13" s="1"/>
  <c r="D39" i="29"/>
  <c r="D118" i="29" s="1"/>
  <c r="D144" i="29" s="1"/>
  <c r="DU17" i="13" s="1"/>
  <c r="I41" i="29"/>
  <c r="I114" i="29" s="1"/>
  <c r="I140" i="29" s="1"/>
  <c r="M43" i="29"/>
  <c r="M106" i="29" s="1"/>
  <c r="M132" i="29" s="1"/>
  <c r="ED5" i="13" s="1"/>
  <c r="EE5" i="13" s="1"/>
  <c r="EF5" i="13" s="1"/>
  <c r="EG5" i="13" s="1"/>
  <c r="EH5" i="13" s="1"/>
  <c r="EI5" i="13" s="1"/>
  <c r="EJ5" i="13" s="1"/>
  <c r="EK5" i="13" s="1"/>
  <c r="EL5" i="13" s="1"/>
  <c r="EM5" i="13" s="1"/>
  <c r="EN5" i="13" s="1"/>
  <c r="EO5" i="13" s="1"/>
  <c r="EP5" i="13" s="1"/>
  <c r="EQ5" i="13" s="1"/>
  <c r="ER5" i="13" s="1"/>
  <c r="ES5" i="13" s="1"/>
  <c r="ET5" i="13" s="1"/>
  <c r="EU5" i="13" s="1"/>
  <c r="EV5" i="13" s="1"/>
  <c r="EW5" i="13" s="1"/>
  <c r="EX5" i="13" s="1"/>
  <c r="EY5" i="13" s="1"/>
  <c r="EZ5" i="13" s="1"/>
  <c r="FA5" i="13" s="1"/>
  <c r="FB5" i="13" s="1"/>
  <c r="FC5" i="13" s="1"/>
  <c r="FD5" i="13" s="1"/>
  <c r="FE5" i="13" s="1"/>
  <c r="FF5" i="13" s="1"/>
  <c r="FG5" i="13" s="1"/>
  <c r="FH5" i="13" s="1"/>
  <c r="FI5" i="13" s="1"/>
  <c r="FJ5" i="13" s="1"/>
  <c r="FK5" i="13" s="1"/>
  <c r="FL5" i="13" s="1"/>
  <c r="FM5" i="13" s="1"/>
  <c r="FN5" i="13" s="1"/>
  <c r="FO5" i="13" s="1"/>
  <c r="FP5" i="13" s="1"/>
  <c r="FQ5" i="13" s="1"/>
  <c r="FR5" i="13" s="1"/>
  <c r="FS5" i="13" s="1"/>
  <c r="FT5" i="13" s="1"/>
  <c r="FU5" i="13" s="1"/>
  <c r="FV5" i="13" s="1"/>
  <c r="FW5" i="13" s="1"/>
  <c r="FX5" i="13" s="1"/>
  <c r="FY5" i="13" s="1"/>
  <c r="FZ5" i="13" s="1"/>
  <c r="GA5" i="13" s="1"/>
  <c r="GB5" i="13" s="1"/>
  <c r="GC5" i="13" s="1"/>
  <c r="GD5" i="13" s="1"/>
  <c r="GE5" i="13" s="1"/>
  <c r="GF5" i="13" s="1"/>
  <c r="GG5" i="13" s="1"/>
  <c r="GH5" i="13" s="1"/>
  <c r="GI5" i="13" s="1"/>
  <c r="GJ5" i="13" s="1"/>
  <c r="GK5" i="13" s="1"/>
  <c r="GL5" i="13" s="1"/>
  <c r="GM5" i="13" s="1"/>
  <c r="GN5" i="13" s="1"/>
  <c r="GO5" i="13" s="1"/>
  <c r="GP5" i="13" s="1"/>
  <c r="GQ5" i="13" s="1"/>
  <c r="GR5" i="13" s="1"/>
  <c r="GS5" i="13" s="1"/>
  <c r="GT5" i="13" s="1"/>
  <c r="GU5" i="13" s="1"/>
  <c r="GV5" i="13" s="1"/>
  <c r="GW5" i="13" s="1"/>
  <c r="GX5" i="13" s="1"/>
  <c r="GY5" i="13" s="1"/>
  <c r="GZ5" i="13" s="1"/>
  <c r="HA5" i="13" s="1"/>
  <c r="HB5" i="13" s="1"/>
  <c r="HC5" i="13" s="1"/>
  <c r="L40" i="29"/>
  <c r="L103" i="29" s="1"/>
  <c r="L129" i="29" s="1"/>
  <c r="EC2" i="13" s="1"/>
  <c r="F38" i="29"/>
  <c r="F105" i="29" s="1"/>
  <c r="F131" i="29" s="1"/>
  <c r="B42" i="29"/>
  <c r="B104" i="29" s="1"/>
  <c r="B130" i="29" s="1"/>
  <c r="DS3" i="13" s="1"/>
  <c r="E41" i="29"/>
  <c r="E114" i="29" s="1"/>
  <c r="E140" i="29" s="1"/>
  <c r="C44" i="29"/>
  <c r="C111" i="29" s="1"/>
  <c r="C137" i="29" s="1"/>
  <c r="DT10" i="13" s="1"/>
  <c r="I39" i="29"/>
  <c r="I118" i="29" s="1"/>
  <c r="I144" i="29" s="1"/>
  <c r="DZ17" i="13" s="1"/>
  <c r="H39" i="29"/>
  <c r="H118" i="29" s="1"/>
  <c r="H144" i="29" s="1"/>
  <c r="DY17" i="13" s="1"/>
  <c r="M44" i="29"/>
  <c r="M111" i="29" s="1"/>
  <c r="M137" i="29" s="1"/>
  <c r="ED10" i="13" s="1"/>
  <c r="EE10" i="13" s="1"/>
  <c r="EF10" i="13" s="1"/>
  <c r="EG10" i="13" s="1"/>
  <c r="EH10" i="13" s="1"/>
  <c r="EI10" i="13" s="1"/>
  <c r="EJ10" i="13" s="1"/>
  <c r="EK10" i="13" s="1"/>
  <c r="EL10" i="13" s="1"/>
  <c r="EM10" i="13" s="1"/>
  <c r="EN10" i="13" s="1"/>
  <c r="EO10" i="13" s="1"/>
  <c r="EP10" i="13" s="1"/>
  <c r="EQ10" i="13" s="1"/>
  <c r="ER10" i="13" s="1"/>
  <c r="ES10" i="13" s="1"/>
  <c r="ET10" i="13" s="1"/>
  <c r="EU10" i="13" s="1"/>
  <c r="EV10" i="13" s="1"/>
  <c r="EW10" i="13" s="1"/>
  <c r="EX10" i="13" s="1"/>
  <c r="EY10" i="13" s="1"/>
  <c r="EZ10" i="13" s="1"/>
  <c r="FA10" i="13" s="1"/>
  <c r="FB10" i="13" s="1"/>
  <c r="FC10" i="13" s="1"/>
  <c r="FD10" i="13" s="1"/>
  <c r="FE10" i="13" s="1"/>
  <c r="FF10" i="13" s="1"/>
  <c r="FG10" i="13" s="1"/>
  <c r="FH10" i="13" s="1"/>
  <c r="FI10" i="13" s="1"/>
  <c r="FJ10" i="13" s="1"/>
  <c r="FK10" i="13" s="1"/>
  <c r="FL10" i="13" s="1"/>
  <c r="FM10" i="13" s="1"/>
  <c r="FN10" i="13" s="1"/>
  <c r="FO10" i="13" s="1"/>
  <c r="FP10" i="13" s="1"/>
  <c r="FQ10" i="13" s="1"/>
  <c r="FR10" i="13" s="1"/>
  <c r="FS10" i="13" s="1"/>
  <c r="FT10" i="13" s="1"/>
  <c r="FU10" i="13" s="1"/>
  <c r="FV10" i="13" s="1"/>
  <c r="FW10" i="13" s="1"/>
  <c r="FX10" i="13" s="1"/>
  <c r="FY10" i="13" s="1"/>
  <c r="FZ10" i="13" s="1"/>
  <c r="GA10" i="13" s="1"/>
  <c r="GB10" i="13" s="1"/>
  <c r="GC10" i="13" s="1"/>
  <c r="GD10" i="13" s="1"/>
  <c r="GE10" i="13" s="1"/>
  <c r="GF10" i="13" s="1"/>
  <c r="GG10" i="13" s="1"/>
  <c r="GH10" i="13" s="1"/>
  <c r="GI10" i="13" s="1"/>
  <c r="GJ10" i="13" s="1"/>
  <c r="GK10" i="13" s="1"/>
  <c r="GL10" i="13" s="1"/>
  <c r="GM10" i="13" s="1"/>
  <c r="GN10" i="13" s="1"/>
  <c r="GO10" i="13" s="1"/>
  <c r="GP10" i="13" s="1"/>
  <c r="GQ10" i="13" s="1"/>
  <c r="GR10" i="13" s="1"/>
  <c r="GS10" i="13" s="1"/>
  <c r="GT10" i="13" s="1"/>
  <c r="GU10" i="13" s="1"/>
  <c r="GV10" i="13" s="1"/>
  <c r="GW10" i="13" s="1"/>
  <c r="GX10" i="13" s="1"/>
  <c r="GY10" i="13" s="1"/>
  <c r="GZ10" i="13" s="1"/>
  <c r="HA10" i="13" s="1"/>
  <c r="HB10" i="13" s="1"/>
  <c r="HC10" i="13" s="1"/>
  <c r="I43" i="29"/>
  <c r="I106" i="29" s="1"/>
  <c r="I132" i="29" s="1"/>
  <c r="DZ5" i="13" s="1"/>
  <c r="I42" i="29"/>
  <c r="I104" i="29" s="1"/>
  <c r="I130" i="29" s="1"/>
  <c r="DZ3" i="13" s="1"/>
  <c r="I38" i="29"/>
  <c r="I105" i="29" s="1"/>
  <c r="I131" i="29" s="1"/>
  <c r="H43" i="29"/>
  <c r="H106" i="29" s="1"/>
  <c r="H132" i="29" s="1"/>
  <c r="DY5" i="13" s="1"/>
  <c r="H42" i="29"/>
  <c r="H104" i="29" s="1"/>
  <c r="H130" i="29" s="1"/>
  <c r="DY3" i="13" s="1"/>
  <c r="H41" i="29"/>
  <c r="H114" i="29" s="1"/>
  <c r="H140" i="29" s="1"/>
  <c r="K42" i="29"/>
  <c r="K104" i="29" s="1"/>
  <c r="K130" i="29" s="1"/>
  <c r="EB3" i="13" s="1"/>
  <c r="K39" i="29"/>
  <c r="K118" i="29" s="1"/>
  <c r="K144" i="29" s="1"/>
  <c r="EB17" i="13" s="1"/>
  <c r="H44" i="29"/>
  <c r="H111" i="29" s="1"/>
  <c r="H137" i="29" s="1"/>
  <c r="DY10" i="13" s="1"/>
  <c r="H38" i="29"/>
  <c r="H105" i="29" s="1"/>
  <c r="H131" i="29" s="1"/>
  <c r="J39" i="29"/>
  <c r="J118" i="29" s="1"/>
  <c r="J144" i="29" s="1"/>
  <c r="EA17" i="13" s="1"/>
  <c r="B40" i="29"/>
  <c r="B103" i="29" s="1"/>
  <c r="B129" i="29" s="1"/>
  <c r="DS2" i="13" s="1"/>
  <c r="G44" i="29"/>
  <c r="G111" i="29" s="1"/>
  <c r="G137" i="29" s="1"/>
  <c r="DX10" i="13" s="1"/>
  <c r="G43" i="29"/>
  <c r="G106" i="29" s="1"/>
  <c r="G132" i="29" s="1"/>
  <c r="DX5" i="13" s="1"/>
  <c r="G42" i="29"/>
  <c r="G104" i="29" s="1"/>
  <c r="G130" i="29" s="1"/>
  <c r="DX3" i="13" s="1"/>
  <c r="G41" i="29"/>
  <c r="G114" i="29" s="1"/>
  <c r="G140" i="29" s="1"/>
  <c r="G40" i="29"/>
  <c r="G103" i="29" s="1"/>
  <c r="G129" i="29" s="1"/>
  <c r="DX2" i="13" s="1"/>
  <c r="K41" i="29"/>
  <c r="K114" i="29" s="1"/>
  <c r="K140" i="29" s="1"/>
  <c r="C39" i="29"/>
  <c r="C118" i="29" s="1"/>
  <c r="C144" i="29" s="1"/>
  <c r="DT17" i="13" s="1"/>
  <c r="H40" i="29"/>
  <c r="H103" i="29" s="1"/>
  <c r="H129" i="29" s="1"/>
  <c r="DY2" i="13" s="1"/>
  <c r="G38" i="29"/>
  <c r="G105" i="29" s="1"/>
  <c r="G131" i="29" s="1"/>
  <c r="B41" i="29"/>
  <c r="B114" i="29" s="1"/>
  <c r="B140" i="29" s="1"/>
  <c r="F44" i="29"/>
  <c r="F111" i="29" s="1"/>
  <c r="F137" i="29" s="1"/>
  <c r="DW10" i="13" s="1"/>
  <c r="F43" i="29"/>
  <c r="F106" i="29" s="1"/>
  <c r="F132" i="29" s="1"/>
  <c r="DW5" i="13" s="1"/>
  <c r="F42" i="29"/>
  <c r="F104" i="29" s="1"/>
  <c r="F130" i="29" s="1"/>
  <c r="DW3" i="13" s="1"/>
  <c r="F41" i="29"/>
  <c r="F114" i="29" s="1"/>
  <c r="F140" i="29" s="1"/>
  <c r="F40" i="29"/>
  <c r="F103" i="29" s="1"/>
  <c r="F129" i="29" s="1"/>
  <c r="DW2" i="13" s="1"/>
  <c r="K40" i="29"/>
  <c r="K103" i="29" s="1"/>
  <c r="K129" i="29" s="1"/>
  <c r="EB2" i="13" s="1"/>
  <c r="E44" i="29"/>
  <c r="E111" i="29" s="1"/>
  <c r="E137" i="29" s="1"/>
  <c r="DV10" i="13" s="1"/>
  <c r="E40" i="29"/>
  <c r="E103" i="29" s="1"/>
  <c r="E129" i="29" s="1"/>
  <c r="DV2" i="13" s="1"/>
  <c r="E38" i="29"/>
  <c r="E105" i="29" s="1"/>
  <c r="E131" i="29" s="1"/>
  <c r="G39" i="29"/>
  <c r="G118" i="29" s="1"/>
  <c r="G144" i="29" s="1"/>
  <c r="DX17" i="13" s="1"/>
  <c r="B43" i="29"/>
  <c r="B106" i="29" s="1"/>
  <c r="B132" i="29" s="1"/>
  <c r="DS5" i="13" s="1"/>
  <c r="D44" i="29"/>
  <c r="D111" i="29" s="1"/>
  <c r="D137" i="29" s="1"/>
  <c r="DU10" i="13" s="1"/>
  <c r="D43" i="29"/>
  <c r="D106" i="29" s="1"/>
  <c r="D132" i="29" s="1"/>
  <c r="DU5" i="13" s="1"/>
  <c r="D42" i="29"/>
  <c r="D104" i="29" s="1"/>
  <c r="D130" i="29" s="1"/>
  <c r="DU3" i="13" s="1"/>
  <c r="D41" i="29"/>
  <c r="D114" i="29" s="1"/>
  <c r="D140" i="29" s="1"/>
  <c r="D40" i="29"/>
  <c r="D103" i="29" s="1"/>
  <c r="D129" i="29" s="1"/>
  <c r="DU2" i="13" s="1"/>
  <c r="B38" i="29"/>
  <c r="B105" i="29" s="1"/>
  <c r="B131" i="29" s="1"/>
  <c r="D38" i="29"/>
  <c r="D105" i="29" s="1"/>
  <c r="D131" i="29" s="1"/>
  <c r="F39" i="29"/>
  <c r="F118" i="29" s="1"/>
  <c r="F144" i="29" s="1"/>
  <c r="DW17" i="13" s="1"/>
  <c r="B44" i="29"/>
  <c r="B111" i="29" s="1"/>
  <c r="B137" i="29" s="1"/>
  <c r="DS10" i="13" s="1"/>
  <c r="C43" i="29"/>
  <c r="C106" i="29" s="1"/>
  <c r="C132" i="29" s="1"/>
  <c r="DT5" i="13" s="1"/>
  <c r="C42" i="29"/>
  <c r="C104" i="29" s="1"/>
  <c r="C130" i="29" s="1"/>
  <c r="DT3" i="13" s="1"/>
  <c r="C41" i="29"/>
  <c r="C114" i="29" s="1"/>
  <c r="C140" i="29" s="1"/>
  <c r="C40" i="29"/>
  <c r="C103" i="29" s="1"/>
  <c r="C129" i="29" s="1"/>
  <c r="DT2" i="13" s="1"/>
  <c r="K38" i="29"/>
  <c r="K105" i="29" s="1"/>
  <c r="K131" i="29" s="1"/>
  <c r="C38" i="29"/>
  <c r="C105" i="29" s="1"/>
  <c r="C131" i="29" s="1"/>
  <c r="E39" i="29"/>
  <c r="E118" i="29" s="1"/>
  <c r="E144" i="29" s="1"/>
  <c r="DV17" i="13" s="1"/>
  <c r="J44" i="29"/>
  <c r="J111" i="29" s="1"/>
  <c r="J137" i="29" s="1"/>
  <c r="EA10" i="13" s="1"/>
  <c r="J43" i="29"/>
  <c r="J106" i="29" s="1"/>
  <c r="J132" i="29" s="1"/>
  <c r="EA5" i="13" s="1"/>
  <c r="J42" i="29"/>
  <c r="J104" i="29" s="1"/>
  <c r="J130" i="29" s="1"/>
  <c r="EA3" i="13" s="1"/>
  <c r="J41" i="29"/>
  <c r="J114" i="29" s="1"/>
  <c r="J140" i="29" s="1"/>
  <c r="J40" i="29"/>
  <c r="J103" i="29" s="1"/>
  <c r="J129" i="29" s="1"/>
  <c r="EA2" i="13" s="1"/>
  <c r="I44" i="29"/>
  <c r="I111" i="29" s="1"/>
  <c r="I137" i="29" s="1"/>
  <c r="DZ10" i="13" s="1"/>
  <c r="I40" i="29"/>
  <c r="I103" i="29" s="1"/>
  <c r="I129" i="29" s="1"/>
  <c r="DZ2" i="13" s="1"/>
  <c r="K43" i="29"/>
  <c r="K106" i="29" s="1"/>
  <c r="K132" i="29" s="1"/>
  <c r="EB5" i="13" s="1"/>
  <c r="H3" i="29"/>
  <c r="L24" i="29"/>
  <c r="L44" i="29" s="1"/>
  <c r="L111" i="29" s="1"/>
  <c r="L137" i="29" s="1"/>
  <c r="EC10" i="13" s="1"/>
  <c r="E14" i="29"/>
  <c r="D14" i="29"/>
  <c r="F14" i="29"/>
  <c r="B14" i="29"/>
  <c r="G14" i="29"/>
  <c r="C14" i="29"/>
  <c r="J14" i="29"/>
  <c r="K14" i="29"/>
  <c r="M14" i="29"/>
  <c r="L14" i="29"/>
  <c r="D19" i="31"/>
  <c r="D13" i="31" s="1"/>
  <c r="K152" i="29" l="1"/>
  <c r="EB25" i="13" s="1"/>
  <c r="EB4" i="13"/>
  <c r="DU4" i="13"/>
  <c r="D152" i="29"/>
  <c r="DU25" i="13" s="1"/>
  <c r="EB13" i="13"/>
  <c r="K151" i="29"/>
  <c r="EB24" i="13" s="1"/>
  <c r="G152" i="29"/>
  <c r="DX25" i="13" s="1"/>
  <c r="DX4" i="13"/>
  <c r="B152" i="29"/>
  <c r="DS25" i="13" s="1"/>
  <c r="DS4" i="13"/>
  <c r="DZ13" i="13"/>
  <c r="I151" i="29"/>
  <c r="DZ24" i="13" s="1"/>
  <c r="CD17" i="13"/>
  <c r="CZ17" i="13"/>
  <c r="DL17" i="13"/>
  <c r="CE17" i="13"/>
  <c r="DA17" i="13"/>
  <c r="DM17" i="13"/>
  <c r="CF17" i="13"/>
  <c r="DB17" i="13"/>
  <c r="DN17" i="13"/>
  <c r="CG17" i="13"/>
  <c r="DC17" i="13"/>
  <c r="DO17" i="13"/>
  <c r="CH17" i="13"/>
  <c r="DD17" i="13"/>
  <c r="DP17" i="13"/>
  <c r="CI17" i="13"/>
  <c r="DE17" i="13"/>
  <c r="DQ17" i="13"/>
  <c r="CK17" i="13"/>
  <c r="DG17" i="13"/>
  <c r="CL17" i="13"/>
  <c r="DH17" i="13"/>
  <c r="CM17" i="13"/>
  <c r="DI17" i="13"/>
  <c r="CV17" i="13"/>
  <c r="CW17" i="13"/>
  <c r="CP17" i="13"/>
  <c r="BS17" i="13"/>
  <c r="CX17" i="13"/>
  <c r="BT17" i="13"/>
  <c r="CY17" i="13"/>
  <c r="CN17" i="13"/>
  <c r="BU17" i="13"/>
  <c r="DF17" i="13"/>
  <c r="DR17" i="13"/>
  <c r="BV17" i="13"/>
  <c r="DJ17" i="13"/>
  <c r="CA17" i="13"/>
  <c r="BW17" i="13"/>
  <c r="DK17" i="13"/>
  <c r="BX17" i="13"/>
  <c r="CB17" i="13"/>
  <c r="BY17" i="13"/>
  <c r="CC17" i="13"/>
  <c r="BZ17" i="13"/>
  <c r="CJ17" i="13"/>
  <c r="CO17" i="13"/>
  <c r="CR17" i="13"/>
  <c r="CS17" i="13"/>
  <c r="CU17" i="13"/>
  <c r="CQ17" i="13"/>
  <c r="CT17" i="13"/>
  <c r="C151" i="29"/>
  <c r="DT24" i="13" s="1"/>
  <c r="DT13" i="13"/>
  <c r="CK10" i="13"/>
  <c r="DG10" i="13"/>
  <c r="CL10" i="13"/>
  <c r="DH10" i="13"/>
  <c r="CM10" i="13"/>
  <c r="DI10" i="13"/>
  <c r="DL10" i="13"/>
  <c r="CN10" i="13"/>
  <c r="DJ10" i="13"/>
  <c r="DM10" i="13"/>
  <c r="BS10" i="13"/>
  <c r="CO10" i="13"/>
  <c r="DK10" i="13"/>
  <c r="DN10" i="13"/>
  <c r="BT10" i="13"/>
  <c r="CP10" i="13"/>
  <c r="DO10" i="13"/>
  <c r="BV10" i="13"/>
  <c r="CR10" i="13"/>
  <c r="DQ10" i="13"/>
  <c r="BW10" i="13"/>
  <c r="CS10" i="13"/>
  <c r="BX10" i="13"/>
  <c r="CT10" i="13"/>
  <c r="CD10" i="13"/>
  <c r="CY10" i="13"/>
  <c r="CE10" i="13"/>
  <c r="DC10" i="13"/>
  <c r="CF10" i="13"/>
  <c r="CW10" i="13"/>
  <c r="CG10" i="13"/>
  <c r="CH10" i="13"/>
  <c r="CI10" i="13"/>
  <c r="CZ10" i="13"/>
  <c r="DB10" i="13"/>
  <c r="CJ10" i="13"/>
  <c r="CX10" i="13"/>
  <c r="CQ10" i="13"/>
  <c r="DA10" i="13"/>
  <c r="CU10" i="13"/>
  <c r="CV10" i="13"/>
  <c r="DP10" i="13"/>
  <c r="BU10" i="13"/>
  <c r="DR10" i="13"/>
  <c r="CC10" i="13"/>
  <c r="BY10" i="13"/>
  <c r="CB10" i="13"/>
  <c r="BZ10" i="13"/>
  <c r="CA10" i="13"/>
  <c r="DD10" i="13"/>
  <c r="DE10" i="13"/>
  <c r="DF10" i="13"/>
  <c r="DU13" i="13"/>
  <c r="D151" i="29"/>
  <c r="DU24" i="13" s="1"/>
  <c r="EA13" i="13"/>
  <c r="J151" i="29"/>
  <c r="EA24" i="13" s="1"/>
  <c r="L152" i="29"/>
  <c r="EC25" i="13" s="1"/>
  <c r="EC4" i="13"/>
  <c r="I152" i="29"/>
  <c r="DZ25" i="13" s="1"/>
  <c r="DZ4" i="13"/>
  <c r="DS13" i="13"/>
  <c r="B151" i="29"/>
  <c r="DS24" i="13" s="1"/>
  <c r="BV3" i="13"/>
  <c r="CR3" i="13"/>
  <c r="BW3" i="13"/>
  <c r="CS3" i="13"/>
  <c r="BX3" i="13"/>
  <c r="CT3" i="13"/>
  <c r="CX3" i="13"/>
  <c r="BY3" i="13"/>
  <c r="CU3" i="13"/>
  <c r="BZ3" i="13"/>
  <c r="CV3" i="13"/>
  <c r="DL3" i="13"/>
  <c r="CB3" i="13"/>
  <c r="CA3" i="13"/>
  <c r="CW3" i="13"/>
  <c r="DM3" i="13"/>
  <c r="DR3" i="13"/>
  <c r="CC3" i="13"/>
  <c r="CY3" i="13"/>
  <c r="DO3" i="13"/>
  <c r="CD3" i="13"/>
  <c r="CZ3" i="13"/>
  <c r="DP3" i="13"/>
  <c r="CE3" i="13"/>
  <c r="DA3" i="13"/>
  <c r="DQ3" i="13"/>
  <c r="CM3" i="13"/>
  <c r="CN3" i="13"/>
  <c r="DH3" i="13"/>
  <c r="CG3" i="13"/>
  <c r="CO3" i="13"/>
  <c r="DI3" i="13"/>
  <c r="CF3" i="13"/>
  <c r="CP3" i="13"/>
  <c r="BT3" i="13"/>
  <c r="DJ3" i="13"/>
  <c r="CQ3" i="13"/>
  <c r="DB3" i="13"/>
  <c r="DN3" i="13"/>
  <c r="DC3" i="13"/>
  <c r="BU3" i="13"/>
  <c r="DD3" i="13"/>
  <c r="DG3" i="13"/>
  <c r="DK3" i="13"/>
  <c r="DE3" i="13"/>
  <c r="BS3" i="13"/>
  <c r="DF3" i="13"/>
  <c r="CH3" i="13"/>
  <c r="CL3" i="13"/>
  <c r="CI3" i="13"/>
  <c r="CJ3" i="13"/>
  <c r="CK3" i="13"/>
  <c r="DW4" i="13"/>
  <c r="F152" i="29"/>
  <c r="DW25" i="13" s="1"/>
  <c r="BW2" i="13"/>
  <c r="CS2" i="13"/>
  <c r="DN2" i="13"/>
  <c r="BX2" i="13"/>
  <c r="CT2" i="13"/>
  <c r="DO2" i="13"/>
  <c r="CY2" i="13"/>
  <c r="BY2" i="13"/>
  <c r="CU2" i="13"/>
  <c r="DP2" i="13"/>
  <c r="CC2" i="13"/>
  <c r="BZ2" i="13"/>
  <c r="CV2" i="13"/>
  <c r="DQ2" i="13"/>
  <c r="CA2" i="13"/>
  <c r="CW2" i="13"/>
  <c r="CB2" i="13"/>
  <c r="CX2" i="13"/>
  <c r="CD2" i="13"/>
  <c r="CZ2" i="13"/>
  <c r="CE2" i="13"/>
  <c r="DA2" i="13"/>
  <c r="CF2" i="13"/>
  <c r="DB2" i="13"/>
  <c r="CP2" i="13"/>
  <c r="BV2" i="13"/>
  <c r="CQ2" i="13"/>
  <c r="CR2" i="13"/>
  <c r="DJ2" i="13"/>
  <c r="DC2" i="13"/>
  <c r="DL2" i="13"/>
  <c r="CG2" i="13"/>
  <c r="CH2" i="13"/>
  <c r="CI2" i="13"/>
  <c r="CK2" i="13"/>
  <c r="DD2" i="13"/>
  <c r="DM2" i="13"/>
  <c r="DE2" i="13"/>
  <c r="CJ2" i="13"/>
  <c r="DF2" i="13"/>
  <c r="DG2" i="13"/>
  <c r="BU2" i="13"/>
  <c r="DH2" i="13"/>
  <c r="BT2" i="13"/>
  <c r="DR2" i="13"/>
  <c r="DK2" i="13"/>
  <c r="BS2" i="13"/>
  <c r="DI2" i="13"/>
  <c r="CL2" i="13"/>
  <c r="CO2" i="13"/>
  <c r="CM2" i="13"/>
  <c r="CN2" i="13"/>
  <c r="BT5" i="13"/>
  <c r="CP5" i="13"/>
  <c r="BU5" i="13"/>
  <c r="CQ5" i="13"/>
  <c r="BV5" i="13"/>
  <c r="CR5" i="13"/>
  <c r="BZ5" i="13"/>
  <c r="BW5" i="13"/>
  <c r="CS5" i="13"/>
  <c r="BX5" i="13"/>
  <c r="CT5" i="13"/>
  <c r="BY5" i="13"/>
  <c r="CU5" i="13"/>
  <c r="CA5" i="13"/>
  <c r="CW5" i="13"/>
  <c r="DR5" i="13"/>
  <c r="CB5" i="13"/>
  <c r="CX5" i="13"/>
  <c r="CC5" i="13"/>
  <c r="CY5" i="13"/>
  <c r="CG5" i="13"/>
  <c r="DL5" i="13"/>
  <c r="CH5" i="13"/>
  <c r="CI5" i="13"/>
  <c r="CZ5" i="13"/>
  <c r="CJ5" i="13"/>
  <c r="DC5" i="13"/>
  <c r="DM5" i="13"/>
  <c r="DO5" i="13"/>
  <c r="CK5" i="13"/>
  <c r="CL5" i="13"/>
  <c r="DN5" i="13"/>
  <c r="DE5" i="13"/>
  <c r="CM5" i="13"/>
  <c r="DA5" i="13"/>
  <c r="DB5" i="13"/>
  <c r="DF5" i="13"/>
  <c r="DP5" i="13"/>
  <c r="CN5" i="13"/>
  <c r="CO5" i="13"/>
  <c r="DD5" i="13"/>
  <c r="CV5" i="13"/>
  <c r="CE5" i="13"/>
  <c r="CF5" i="13"/>
  <c r="DG5" i="13"/>
  <c r="DH5" i="13"/>
  <c r="DI5" i="13"/>
  <c r="BS5" i="13"/>
  <c r="DJ5" i="13"/>
  <c r="DQ5" i="13"/>
  <c r="DK5" i="13"/>
  <c r="CD5" i="13"/>
  <c r="DV4" i="13"/>
  <c r="E152" i="29"/>
  <c r="DV25" i="13" s="1"/>
  <c r="EC13" i="13"/>
  <c r="L151" i="29"/>
  <c r="EC24" i="13" s="1"/>
  <c r="E151" i="29"/>
  <c r="DV24" i="13" s="1"/>
  <c r="DV13" i="13"/>
  <c r="H152" i="29"/>
  <c r="DY25" i="13" s="1"/>
  <c r="DY4" i="13"/>
  <c r="H151" i="29"/>
  <c r="DY24" i="13" s="1"/>
  <c r="DY13" i="13"/>
  <c r="G151" i="29"/>
  <c r="DX24" i="13" s="1"/>
  <c r="DX13" i="13"/>
  <c r="J152" i="29"/>
  <c r="EA25" i="13" s="1"/>
  <c r="EA4" i="13"/>
  <c r="DT4" i="13"/>
  <c r="C152" i="29"/>
  <c r="DT25" i="13" s="1"/>
  <c r="F151" i="29"/>
  <c r="DW24" i="13" s="1"/>
  <c r="DW13" i="13"/>
  <c r="I3" i="29"/>
  <c r="H50" i="29"/>
  <c r="H14" i="29"/>
  <c r="BU4" i="13" l="1"/>
  <c r="CQ4" i="13"/>
  <c r="BV4" i="13"/>
  <c r="CR4" i="13"/>
  <c r="BW4" i="13"/>
  <c r="CS4" i="13"/>
  <c r="CW4" i="13"/>
  <c r="BX4" i="13"/>
  <c r="CT4" i="13"/>
  <c r="CA4" i="13"/>
  <c r="BY4" i="13"/>
  <c r="CU4" i="13"/>
  <c r="BZ4" i="13"/>
  <c r="CV4" i="13"/>
  <c r="CB4" i="13"/>
  <c r="CX4" i="13"/>
  <c r="CC4" i="13"/>
  <c r="CY4" i="13"/>
  <c r="CD4" i="13"/>
  <c r="CZ4" i="13"/>
  <c r="CJ4" i="13"/>
  <c r="DE4" i="13"/>
  <c r="DF4" i="13"/>
  <c r="CK4" i="13"/>
  <c r="DQ4" i="13"/>
  <c r="CL4" i="13"/>
  <c r="DD4" i="13"/>
  <c r="DJ4" i="13"/>
  <c r="CM4" i="13"/>
  <c r="DP4" i="13"/>
  <c r="DG4" i="13"/>
  <c r="DH4" i="13"/>
  <c r="CN4" i="13"/>
  <c r="CO4" i="13"/>
  <c r="CP4" i="13"/>
  <c r="DL4" i="13"/>
  <c r="DI4" i="13"/>
  <c r="DA4" i="13"/>
  <c r="DM4" i="13"/>
  <c r="DB4" i="13"/>
  <c r="DN4" i="13"/>
  <c r="DR4" i="13"/>
  <c r="DC4" i="13"/>
  <c r="DO4" i="13"/>
  <c r="BS4" i="13"/>
  <c r="BT4" i="13"/>
  <c r="CH4" i="13"/>
  <c r="CE4" i="13"/>
  <c r="CG4" i="13"/>
  <c r="CI4" i="13"/>
  <c r="CF4" i="13"/>
  <c r="DK4" i="13"/>
  <c r="BW24" i="13"/>
  <c r="CS24" i="13"/>
  <c r="DN24" i="13"/>
  <c r="BX24" i="13"/>
  <c r="CT24" i="13"/>
  <c r="DO24" i="13"/>
  <c r="BY24" i="13"/>
  <c r="CU24" i="13"/>
  <c r="DP24" i="13"/>
  <c r="BZ24" i="13"/>
  <c r="CV24" i="13"/>
  <c r="DQ24" i="13"/>
  <c r="DR24" i="13"/>
  <c r="CA24" i="13"/>
  <c r="CW24" i="13"/>
  <c r="CB24" i="13"/>
  <c r="CX24" i="13"/>
  <c r="CD24" i="13"/>
  <c r="CZ24" i="13"/>
  <c r="CE24" i="13"/>
  <c r="DA24" i="13"/>
  <c r="CF24" i="13"/>
  <c r="DB24" i="13"/>
  <c r="CI24" i="13"/>
  <c r="CY24" i="13"/>
  <c r="DD24" i="13"/>
  <c r="BT24" i="13"/>
  <c r="CJ24" i="13"/>
  <c r="DH24" i="13"/>
  <c r="CK24" i="13"/>
  <c r="DC24" i="13"/>
  <c r="BS24" i="13"/>
  <c r="DM24" i="13"/>
  <c r="CL24" i="13"/>
  <c r="DE24" i="13"/>
  <c r="CM24" i="13"/>
  <c r="DG24" i="13"/>
  <c r="CN24" i="13"/>
  <c r="CO24" i="13"/>
  <c r="CP24" i="13"/>
  <c r="DF24" i="13"/>
  <c r="CQ24" i="13"/>
  <c r="CR24" i="13"/>
  <c r="DL24" i="13"/>
  <c r="BV24" i="13"/>
  <c r="CC24" i="13"/>
  <c r="CG24" i="13"/>
  <c r="CH24" i="13"/>
  <c r="DI24" i="13"/>
  <c r="DJ24" i="13"/>
  <c r="DK24" i="13"/>
  <c r="BU24" i="13"/>
  <c r="CH13" i="13"/>
  <c r="DD13" i="13"/>
  <c r="DN13" i="13"/>
  <c r="CI13" i="13"/>
  <c r="DE13" i="13"/>
  <c r="DO13" i="13"/>
  <c r="CJ13" i="13"/>
  <c r="DF13" i="13"/>
  <c r="DP13" i="13"/>
  <c r="CK13" i="13"/>
  <c r="DG13" i="13"/>
  <c r="DQ13" i="13"/>
  <c r="CL13" i="13"/>
  <c r="DH13" i="13"/>
  <c r="CM13" i="13"/>
  <c r="DI13" i="13"/>
  <c r="BS13" i="13"/>
  <c r="CO13" i="13"/>
  <c r="DK13" i="13"/>
  <c r="BT13" i="13"/>
  <c r="CP13" i="13"/>
  <c r="BU13" i="13"/>
  <c r="CQ13" i="13"/>
  <c r="CT13" i="13"/>
  <c r="DR13" i="13"/>
  <c r="CA13" i="13"/>
  <c r="CU13" i="13"/>
  <c r="CV13" i="13"/>
  <c r="BY13" i="13"/>
  <c r="DJ13" i="13"/>
  <c r="CW13" i="13"/>
  <c r="CB13" i="13"/>
  <c r="CX13" i="13"/>
  <c r="CY13" i="13"/>
  <c r="CZ13" i="13"/>
  <c r="CC13" i="13"/>
  <c r="CE13" i="13"/>
  <c r="BV13" i="13"/>
  <c r="DA13" i="13"/>
  <c r="BZ13" i="13"/>
  <c r="BW13" i="13"/>
  <c r="DB13" i="13"/>
  <c r="BX13" i="13"/>
  <c r="DC13" i="13"/>
  <c r="CD13" i="13"/>
  <c r="CR13" i="13"/>
  <c r="CG13" i="13"/>
  <c r="CS13" i="13"/>
  <c r="CN13" i="13"/>
  <c r="CF13" i="13"/>
  <c r="DL13" i="13"/>
  <c r="DM13" i="13"/>
  <c r="BV25" i="13"/>
  <c r="CR25" i="13"/>
  <c r="BW25" i="13"/>
  <c r="CS25" i="13"/>
  <c r="BX25" i="13"/>
  <c r="CT25" i="13"/>
  <c r="BY25" i="13"/>
  <c r="CU25" i="13"/>
  <c r="DM25" i="13"/>
  <c r="BZ25" i="13"/>
  <c r="CV25" i="13"/>
  <c r="DL25" i="13"/>
  <c r="DR25" i="13"/>
  <c r="CA25" i="13"/>
  <c r="CW25" i="13"/>
  <c r="CC25" i="13"/>
  <c r="CY25" i="13"/>
  <c r="DO25" i="13"/>
  <c r="CD25" i="13"/>
  <c r="CZ25" i="13"/>
  <c r="DP25" i="13"/>
  <c r="CE25" i="13"/>
  <c r="DA25" i="13"/>
  <c r="DQ25" i="13"/>
  <c r="BU25" i="13"/>
  <c r="DI25" i="13"/>
  <c r="CB25" i="13"/>
  <c r="DJ25" i="13"/>
  <c r="CF25" i="13"/>
  <c r="DK25" i="13"/>
  <c r="CN25" i="13"/>
  <c r="CG25" i="13"/>
  <c r="CQ25" i="13"/>
  <c r="CH25" i="13"/>
  <c r="CI25" i="13"/>
  <c r="CO25" i="13"/>
  <c r="CJ25" i="13"/>
  <c r="CP25" i="13"/>
  <c r="CX25" i="13"/>
  <c r="CK25" i="13"/>
  <c r="CL25" i="13"/>
  <c r="CM25" i="13"/>
  <c r="DB25" i="13"/>
  <c r="DC25" i="13"/>
  <c r="DN25" i="13"/>
  <c r="DD25" i="13"/>
  <c r="BT25" i="13"/>
  <c r="DG25" i="13"/>
  <c r="BS25" i="13"/>
  <c r="DE25" i="13"/>
  <c r="DF25" i="13"/>
  <c r="DH25" i="13"/>
  <c r="I14" i="29"/>
  <c r="I50" i="29"/>
</calcChain>
</file>

<file path=xl/sharedStrings.xml><?xml version="1.0" encoding="utf-8"?>
<sst xmlns="http://schemas.openxmlformats.org/spreadsheetml/2006/main" count="851" uniqueCount="348">
  <si>
    <t>BHRaSYC BAU Heat Rates and Start Year Capacities</t>
  </si>
  <si>
    <t>Source:</t>
  </si>
  <si>
    <t>National Energy Control Center (Cenace)</t>
  </si>
  <si>
    <t>Generation data for 2022 and 2023</t>
  </si>
  <si>
    <t>Accessed 2024</t>
  </si>
  <si>
    <t>Public area of ​​the market information system</t>
  </si>
  <si>
    <t>https://www.cenace.gob.mx/APSIM.aspx</t>
  </si>
  <si>
    <t>Obtained through the Energy Transition Observatory in Mexico (Obtrenmx.org)</t>
  </si>
  <si>
    <t xml:space="preserve">https://obtrenmx.org/ </t>
  </si>
  <si>
    <t>Energy Secretary (Sener)</t>
  </si>
  <si>
    <t>Capacity data for 2022 and 2023</t>
  </si>
  <si>
    <t>National Electric System Development Program</t>
  </si>
  <si>
    <t>https://www.gob.mx/sener/articulos/programa-de-desarrollo-del-sistema-electrico-nacional-2024-2038</t>
  </si>
  <si>
    <t>Programa de Desarrollo del Sistema Eléctrico Nacional</t>
  </si>
  <si>
    <t>FUEL CONSUMPTION FOR ELECTRICAL GENERATION</t>
  </si>
  <si>
    <t>Data for 2022 and 2023</t>
  </si>
  <si>
    <t>Energy Ministry (SENER)</t>
  </si>
  <si>
    <t>National Energy Balance 2023</t>
  </si>
  <si>
    <t>https://www.gob.mx/cms/uploads/attachment/file/947752/BALANCE_NACIONAL_DE_ENERG_A_PRELIMINAR_2023.pdf</t>
  </si>
  <si>
    <t>CUADRO A.17 CONSUMO DE COMBUSTIBLES PARA GENERACIÓN ELÉCTRICA</t>
  </si>
  <si>
    <t>National council of humanities, sciences and technologies</t>
  </si>
  <si>
    <t>Data for 2012 to 2021</t>
  </si>
  <si>
    <t>Energy futures for Mexico by 2050 The path to a just and sustainable energy transition</t>
  </si>
  <si>
    <t>https://conahcyt.mx/wp-content/uploads/pronaces/micrositios/energia_y_cambio_climatico/energia/cuadernos_tematicos/Cuaderno_9.pdf</t>
  </si>
  <si>
    <t>Notes</t>
  </si>
  <si>
    <r>
      <t xml:space="preserve">Gen2022-2023: </t>
    </r>
    <r>
      <rPr>
        <sz val="11"/>
        <color theme="1"/>
        <rFont val="Calibri"/>
        <family val="2"/>
        <scheme val="minor"/>
      </rPr>
      <t>Preprocessed information in BAU Trans and Distr Loss Perc.xlsx</t>
    </r>
  </si>
  <si>
    <t>The specific uses of each generation technology are included in the heat rate so that this element represents the entire conversion of fuel to net energy injected into the grid.</t>
  </si>
  <si>
    <t>We use natural gas combustion turbines as a proxy for hydrogen combustion turbines, since we would expect most hydrogen plants to be retrofits of gas plants.</t>
  </si>
  <si>
    <t>Unit conversion</t>
  </si>
  <si>
    <t>BTU/PJ</t>
  </si>
  <si>
    <t>BEP</t>
  </si>
  <si>
    <t>BTU</t>
  </si>
  <si>
    <t>PJ</t>
  </si>
  <si>
    <t>Source: https://dof.gob.mx/nota_detalle.php?codigo=5278970&amp;fecha=23/11/2012#gsc.tab=0</t>
  </si>
  <si>
    <t>hard coal</t>
  </si>
  <si>
    <t>Carboeléctrica</t>
  </si>
  <si>
    <t>natural gas steam turbine</t>
  </si>
  <si>
    <t>Combustión Interna</t>
  </si>
  <si>
    <t>natural gas combined cycle</t>
  </si>
  <si>
    <t>Ciclo combinado</t>
  </si>
  <si>
    <t>nuclear</t>
  </si>
  <si>
    <t>Nuclear</t>
  </si>
  <si>
    <t>hydro</t>
  </si>
  <si>
    <t>Hidroeléctrica</t>
  </si>
  <si>
    <t>onshore wind</t>
  </si>
  <si>
    <t>Eólica</t>
  </si>
  <si>
    <t>solar PV</t>
  </si>
  <si>
    <t>Solar</t>
  </si>
  <si>
    <t>solar thermal</t>
  </si>
  <si>
    <t>biomass</t>
  </si>
  <si>
    <t>Biomasa</t>
  </si>
  <si>
    <t>geothermal</t>
  </si>
  <si>
    <t>Geotérmica</t>
  </si>
  <si>
    <t>petroleum</t>
  </si>
  <si>
    <t>natural gas peaker</t>
  </si>
  <si>
    <t>Turbogás</t>
  </si>
  <si>
    <t>lignite</t>
  </si>
  <si>
    <t>offshore wind</t>
  </si>
  <si>
    <t>crude oil</t>
  </si>
  <si>
    <t>heavy or residual fuel oil</t>
  </si>
  <si>
    <t>Termoeléctrica convencional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</si>
  <si>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</si>
  <si>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</si>
  <si>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</si>
  <si>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</si>
  <si>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</si>
  <si>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</si>
  <si>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</si>
  <si>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</si>
  <si>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Eolica</t>
  </si>
  <si>
    <t>Fotovoltaica</t>
  </si>
  <si>
    <t>Carboelectrica</t>
  </si>
  <si>
    <t>Ciclo Combinado</t>
  </si>
  <si>
    <t>Combustion Interna</t>
  </si>
  <si>
    <t>Geotermoelectrica</t>
  </si>
  <si>
    <t>Hidroelectrica</t>
  </si>
  <si>
    <t>Nucleoelectrica</t>
  </si>
  <si>
    <t>Termica Convencional</t>
  </si>
  <si>
    <t>Turbo Gas</t>
  </si>
  <si>
    <t>Cuadro A1.4 Capacidad instalada interconectada de la CFE y del resto de los permisionarios (MW), se excluyen centrales en pruebas</t>
  </si>
  <si>
    <t>Tecnología</t>
  </si>
  <si>
    <t>Geotermoeléctrica</t>
  </si>
  <si>
    <t>Eoloeléctrica</t>
  </si>
  <si>
    <t>Bioenergía</t>
  </si>
  <si>
    <t>Suma limpia renovable</t>
  </si>
  <si>
    <t>Cogeneración eficiente</t>
  </si>
  <si>
    <t>Suma limpia no renovable</t>
  </si>
  <si>
    <t>Total capacidad de energía limpia</t>
  </si>
  <si>
    <t>Porcentaje</t>
  </si>
  <si>
    <t>Termica convencional</t>
  </si>
  <si>
    <t>Turbogas</t>
  </si>
  <si>
    <t>Combsutión interna</t>
  </si>
  <si>
    <t>Total</t>
  </si>
  <si>
    <t>CAP(t,ā)</t>
  </si>
  <si>
    <t>Capacidad instalada por tecnología y año histórico</t>
  </si>
  <si>
    <t>Generación distribuida</t>
  </si>
  <si>
    <t>Eólica offshore</t>
  </si>
  <si>
    <t>Marinas/Oceanicas</t>
  </si>
  <si>
    <t>Ciclo combinado H2</t>
  </si>
  <si>
    <t>Concentración solar</t>
  </si>
  <si>
    <t>GEN.N(t,ā)</t>
  </si>
  <si>
    <t>Generación neta por tecnología y año histórico</t>
  </si>
  <si>
    <t>GEN.B(t,ā)</t>
  </si>
  <si>
    <t>Generación bruta por tecnología y año histórico</t>
  </si>
  <si>
    <t>FP(t,ā)</t>
  </si>
  <si>
    <t>Factor de planta por tecnología y año histórico</t>
  </si>
  <si>
    <t>UP(t,ā)</t>
  </si>
  <si>
    <t>Usos propios por tecnología y año histórico</t>
  </si>
  <si>
    <t>RT(t,ā)</t>
  </si>
  <si>
    <t>Regimen térmico por tecnología y año histórico</t>
  </si>
  <si>
    <t>C.E.GEN(t,e,ā)</t>
  </si>
  <si>
    <t>Consumo energético por tecnología, energético y año histórico</t>
  </si>
  <si>
    <t>Gas seco</t>
  </si>
  <si>
    <t>Coque de petróleo</t>
  </si>
  <si>
    <t>Combustóleo</t>
  </si>
  <si>
    <t>Carbón</t>
  </si>
  <si>
    <t>GLP</t>
  </si>
  <si>
    <t>Diésel</t>
  </si>
  <si>
    <t>Biogás</t>
  </si>
  <si>
    <t>Bagazos</t>
  </si>
  <si>
    <t>Uranio</t>
  </si>
  <si>
    <t>Biogas</t>
  </si>
  <si>
    <t>Coque de petroleo</t>
  </si>
  <si>
    <t>Diesel</t>
  </si>
  <si>
    <t>Combustoleo</t>
  </si>
  <si>
    <t>Bagazo de caña</t>
  </si>
  <si>
    <t>Gas licuado</t>
  </si>
  <si>
    <t>Otros</t>
  </si>
  <si>
    <t>Evolución de la capacidad (MW)</t>
  </si>
  <si>
    <t>Evolución de la generación (MWh)</t>
  </si>
  <si>
    <t>Consumo de combustibles (PJ)</t>
  </si>
  <si>
    <t>Regimen térmico, incluye usos propios (GJ/MWh)</t>
  </si>
  <si>
    <t>Capacity (MW)</t>
  </si>
  <si>
    <t>Heat rate (GJ/MWh)</t>
  </si>
  <si>
    <t>Heat rate (BTU/MWh)</t>
  </si>
  <si>
    <t>Heat Rates (BTU/(MW*hour))</t>
  </si>
  <si>
    <t>Vintage1891</t>
  </si>
  <si>
    <t>Vintage1892</t>
  </si>
  <si>
    <t>Vintage1893</t>
  </si>
  <si>
    <t>Vintage1894</t>
  </si>
  <si>
    <t>Vintage1895</t>
  </si>
  <si>
    <t>Vintage1896</t>
  </si>
  <si>
    <t>Vintage1897</t>
  </si>
  <si>
    <t>Vintage1898</t>
  </si>
  <si>
    <t>Vintage1899</t>
  </si>
  <si>
    <t>Vintage1900</t>
  </si>
  <si>
    <t>Vintage1901</t>
  </si>
  <si>
    <t>Vintage1902</t>
  </si>
  <si>
    <t>Vintage1903</t>
  </si>
  <si>
    <t>Vintage1904</t>
  </si>
  <si>
    <t>Vintage1905</t>
  </si>
  <si>
    <t>Vintage1906</t>
  </si>
  <si>
    <t>Vintage1907</t>
  </si>
  <si>
    <t>Vintage1908</t>
  </si>
  <si>
    <t>Vintage1909</t>
  </si>
  <si>
    <t>Vintage1910</t>
  </si>
  <si>
    <t>Vintage1911</t>
  </si>
  <si>
    <t>Vintage1912</t>
  </si>
  <si>
    <t>Vintage1913</t>
  </si>
  <si>
    <t>Vintage1914</t>
  </si>
  <si>
    <t>Vintage1915</t>
  </si>
  <si>
    <t>Vintage1916</t>
  </si>
  <si>
    <t>Vintage1917</t>
  </si>
  <si>
    <t>Vintage1918</t>
  </si>
  <si>
    <t>Vintage1919</t>
  </si>
  <si>
    <t>Vintage1920</t>
  </si>
  <si>
    <t>Vintage1921</t>
  </si>
  <si>
    <t>Vintage1922</t>
  </si>
  <si>
    <t>Vintage1923</t>
  </si>
  <si>
    <t>Vintage1924</t>
  </si>
  <si>
    <t>Vintage1925</t>
  </si>
  <si>
    <t>Vintage1926</t>
  </si>
  <si>
    <t>Vintage1927</t>
  </si>
  <si>
    <t>Vintage1928</t>
  </si>
  <si>
    <t>Vintage1929</t>
  </si>
  <si>
    <t>Vintage1930</t>
  </si>
  <si>
    <t>Vintage1931</t>
  </si>
  <si>
    <t>Vintage1932</t>
  </si>
  <si>
    <t>Vintage1933</t>
  </si>
  <si>
    <t>Vintage1934</t>
  </si>
  <si>
    <t>Vintage1935</t>
  </si>
  <si>
    <t>Vintage1936</t>
  </si>
  <si>
    <t>Vintage1937</t>
  </si>
  <si>
    <t>Vintage1938</t>
  </si>
  <si>
    <t>Vintage1939</t>
  </si>
  <si>
    <t>Vintage1940</t>
  </si>
  <si>
    <t>Vintage1941</t>
  </si>
  <si>
    <t>Vintage1942</t>
  </si>
  <si>
    <t>Vintage1943</t>
  </si>
  <si>
    <t>Vintage1944</t>
  </si>
  <si>
    <t>Vintage1945</t>
  </si>
  <si>
    <t>Vintage1946</t>
  </si>
  <si>
    <t>Vintage1947</t>
  </si>
  <si>
    <t>Vintage1948</t>
  </si>
  <si>
    <t>Vintage1949</t>
  </si>
  <si>
    <t>Vintage1950</t>
  </si>
  <si>
    <t>Vintage1951</t>
  </si>
  <si>
    <t>Vintage1952</t>
  </si>
  <si>
    <t>Vintage1953</t>
  </si>
  <si>
    <t>Vintage1954</t>
  </si>
  <si>
    <t>Vintage1955</t>
  </si>
  <si>
    <t>Vintage1956</t>
  </si>
  <si>
    <t>Vintage1957</t>
  </si>
  <si>
    <t>Vintage1958</t>
  </si>
  <si>
    <t>Vintage1959</t>
  </si>
  <si>
    <t>Vintage1960</t>
  </si>
  <si>
    <t>Vintage1961</t>
  </si>
  <si>
    <t>Vintage1962</t>
  </si>
  <si>
    <t>Vintage1963</t>
  </si>
  <si>
    <t>Vintage1964</t>
  </si>
  <si>
    <t>Vintage1965</t>
  </si>
  <si>
    <t>Vintage1966</t>
  </si>
  <si>
    <t>Vintage1967</t>
  </si>
  <si>
    <t>Vintage1968</t>
  </si>
  <si>
    <t>Vintage1969</t>
  </si>
  <si>
    <t>Vintage1970</t>
  </si>
  <si>
    <t>Vintage1971</t>
  </si>
  <si>
    <t>Vintage1972</t>
  </si>
  <si>
    <t>Vintage1973</t>
  </si>
  <si>
    <t>Vintage1974</t>
  </si>
  <si>
    <t>Vintage1975</t>
  </si>
  <si>
    <t>Vintage1976</t>
  </si>
  <si>
    <t>Vintage1977</t>
  </si>
  <si>
    <t>Vintage1978</t>
  </si>
  <si>
    <t>Vintage1979</t>
  </si>
  <si>
    <t>Vintage1980</t>
  </si>
  <si>
    <t>Vintage1981</t>
  </si>
  <si>
    <t>Vintage1982</t>
  </si>
  <si>
    <t>Vintage1983</t>
  </si>
  <si>
    <t>Vintage1984</t>
  </si>
  <si>
    <t>Vintage1985</t>
  </si>
  <si>
    <t>Vintage1986</t>
  </si>
  <si>
    <t>Vintage1987</t>
  </si>
  <si>
    <t>Vintage1988</t>
  </si>
  <si>
    <t>Vintage1989</t>
  </si>
  <si>
    <t>Vintage1990</t>
  </si>
  <si>
    <t>Vintage1991</t>
  </si>
  <si>
    <t>Vintage1992</t>
  </si>
  <si>
    <t>Vintage1993</t>
  </si>
  <si>
    <t>Vintage1994</t>
  </si>
  <si>
    <t>Vintage1995</t>
  </si>
  <si>
    <t>Vintage1996</t>
  </si>
  <si>
    <t>Vintage1997</t>
  </si>
  <si>
    <t>Vintage1998</t>
  </si>
  <si>
    <t>Vintage1999</t>
  </si>
  <si>
    <t>Vintage2000</t>
  </si>
  <si>
    <t>Vintage2001</t>
  </si>
  <si>
    <t>Vintage2002</t>
  </si>
  <si>
    <t>Vintage2003</t>
  </si>
  <si>
    <t>Vintage2004</t>
  </si>
  <si>
    <t>Vintage2005</t>
  </si>
  <si>
    <t>Vintage2006</t>
  </si>
  <si>
    <t>Vintage2007</t>
  </si>
  <si>
    <t>Vintage2008</t>
  </si>
  <si>
    <t>Vintage2009</t>
  </si>
  <si>
    <t>Vintage2010</t>
  </si>
  <si>
    <t>Vintage2011</t>
  </si>
  <si>
    <t>Vintage2012</t>
  </si>
  <si>
    <t>Vintage2013</t>
  </si>
  <si>
    <t>Vintage2014</t>
  </si>
  <si>
    <t>Vintage2015</t>
  </si>
  <si>
    <t>Vintage2016</t>
  </si>
  <si>
    <t>Vintage2017</t>
  </si>
  <si>
    <t>Vintage2018</t>
  </si>
  <si>
    <t>Vintage2019</t>
  </si>
  <si>
    <t>Vintage2020</t>
  </si>
  <si>
    <t>Vintage2021</t>
  </si>
  <si>
    <t>Vintage2022</t>
  </si>
  <si>
    <t>Vintage2023</t>
  </si>
  <si>
    <t>Vintage2024</t>
  </si>
  <si>
    <t>Vintage2025</t>
  </si>
  <si>
    <t>Vintage2026</t>
  </si>
  <si>
    <t>Vintage2027</t>
  </si>
  <si>
    <t>Vintage2028</t>
  </si>
  <si>
    <t>Vintage2029</t>
  </si>
  <si>
    <t>Vintage2030</t>
  </si>
  <si>
    <t>Vintage2031</t>
  </si>
  <si>
    <t>Vintage2032</t>
  </si>
  <si>
    <t>Vintage2033</t>
  </si>
  <si>
    <t>Vintage2034</t>
  </si>
  <si>
    <t>Vintage2035</t>
  </si>
  <si>
    <t>Vintage2036</t>
  </si>
  <si>
    <t>Vintage2037</t>
  </si>
  <si>
    <t>Vintage2038</t>
  </si>
  <si>
    <t>Vintage2039</t>
  </si>
  <si>
    <t>Vintage2040</t>
  </si>
  <si>
    <t>Vintage2041</t>
  </si>
  <si>
    <t>Vintage2042</t>
  </si>
  <si>
    <t>Vintage2043</t>
  </si>
  <si>
    <t>Vintage2044</t>
  </si>
  <si>
    <t>Vintage2045</t>
  </si>
  <si>
    <t>Vintage2046</t>
  </si>
  <si>
    <t>Vintage2047</t>
  </si>
  <si>
    <t>Vintage2048</t>
  </si>
  <si>
    <t>Vintage2049</t>
  </si>
  <si>
    <t>Vintage2050</t>
  </si>
  <si>
    <t>Vintage2051</t>
  </si>
  <si>
    <t>Vintage2052</t>
  </si>
  <si>
    <t>Vintage2053</t>
  </si>
  <si>
    <t>Vintage2054</t>
  </si>
  <si>
    <t>Vintage2055</t>
  </si>
  <si>
    <t>Vintage2056</t>
  </si>
  <si>
    <t>Vintage2057</t>
  </si>
  <si>
    <t>Vintage2058</t>
  </si>
  <si>
    <t>Vintage2059</t>
  </si>
  <si>
    <t>Vintage2060</t>
  </si>
  <si>
    <t>Vintage2061</t>
  </si>
  <si>
    <t>Vintage2062</t>
  </si>
  <si>
    <t>Vintage2063</t>
  </si>
  <si>
    <t>Vintage2064</t>
  </si>
  <si>
    <t>Vintage2065</t>
  </si>
  <si>
    <t>Vintage2066</t>
  </si>
  <si>
    <t>Vintage2067</t>
  </si>
  <si>
    <t>Vintage2068</t>
  </si>
  <si>
    <t>Vintage2069</t>
  </si>
  <si>
    <t>Vintage2070</t>
  </si>
  <si>
    <t>Vintage2071</t>
  </si>
  <si>
    <t>Vintage2072</t>
  </si>
  <si>
    <t>Vintage2073</t>
  </si>
  <si>
    <t>Vintage2074</t>
  </si>
  <si>
    <t>Vintage2075</t>
  </si>
  <si>
    <t>Vintage2076</t>
  </si>
  <si>
    <t>Vintage2077</t>
  </si>
  <si>
    <t>Vintage2078</t>
  </si>
  <si>
    <t>Vintage2079</t>
  </si>
  <si>
    <t>Vintage2080</t>
  </si>
  <si>
    <t>Vintage2081</t>
  </si>
  <si>
    <t>Vintage2082</t>
  </si>
  <si>
    <t>Vintage2083</t>
  </si>
  <si>
    <t>Vintage2084</t>
  </si>
  <si>
    <t>Vintage2085</t>
  </si>
  <si>
    <t>Vintage2086</t>
  </si>
  <si>
    <t>Vintage2087</t>
  </si>
  <si>
    <t>Vintage2088</t>
  </si>
  <si>
    <t>Vintage2089</t>
  </si>
  <si>
    <t>Vintage2090</t>
  </si>
  <si>
    <t>Vintage2091</t>
  </si>
  <si>
    <t>Vintage2092</t>
  </si>
  <si>
    <t>Vintage2093</t>
  </si>
  <si>
    <t>Vintage2094</t>
  </si>
  <si>
    <t>Vintage2095</t>
  </si>
  <si>
    <t>Vintage2096</t>
  </si>
  <si>
    <t>Vintage2097</t>
  </si>
  <si>
    <t>Vintage2098</t>
  </si>
  <si>
    <t>Vintage2099</t>
  </si>
  <si>
    <t>Vintage2100</t>
  </si>
  <si>
    <t>Start Year Capacities (MW)</t>
  </si>
  <si>
    <t>Net additions (adjusted for retirements)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</si>
</sst>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</borders>
  <cellStyleXfs count="63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0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1" fillId="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5" fillId="0" borderId="0"/>
    <xf numFmtId="0" fontId="24" fillId="0" borderId="0" applyNumberFormat="0" applyFill="0" applyBorder="0" applyAlignment="0" applyProtection="0"/>
    <xf numFmtId="0" fontId="25" fillId="0" borderId="1" applyNumberFormat="0" applyProtection="0">
      <alignment wrapText="1"/>
    </xf>
    <xf numFmtId="0" fontId="26" fillId="0" borderId="0" applyNumberFormat="0" applyProtection="0">
      <alignment horizontal="left"/>
    </xf>
    <xf numFmtId="0" fontId="24" fillId="0" borderId="11" applyNumberFormat="0" applyFont="0" applyProtection="0">
      <alignment wrapText="1"/>
    </xf>
    <xf numFmtId="0" fontId="25" fillId="0" borderId="12" applyNumberFormat="0" applyProtection="0">
      <alignment wrapText="1"/>
    </xf>
    <xf numFmtId="0" fontId="24" fillId="0" borderId="13" applyNumberFormat="0" applyProtection="0">
      <alignment vertical="top" wrapText="1"/>
    </xf>
    <xf numFmtId="0" fontId="28" fillId="0" borderId="0"/>
    <xf numFmtId="0" fontId="28" fillId="0" borderId="17" applyNumberFormat="0" applyProtection="0">
      <alignment wrapText="1"/>
    </xf>
    <xf numFmtId="0" fontId="29" fillId="0" borderId="15" applyNumberFormat="0" applyProtection="0">
      <alignment wrapText="1"/>
    </xf>
    <xf numFmtId="0" fontId="28" fillId="0" borderId="16" applyNumberFormat="0" applyFont="0" applyProtection="0">
      <alignment wrapText="1"/>
    </xf>
    <xf numFmtId="0" fontId="29" fillId="0" borderId="14" applyNumberFormat="0" applyProtection="0">
      <alignment wrapText="1"/>
    </xf>
    <xf numFmtId="0" fontId="28" fillId="0" borderId="0" applyNumberFormat="0" applyFill="0" applyBorder="0" applyAlignment="0" applyProtection="0"/>
    <xf numFmtId="0" fontId="27" fillId="0" borderId="0" applyNumberFormat="0" applyProtection="0">
      <alignment horizontal="left"/>
    </xf>
    <xf numFmtId="0" fontId="25" fillId="0" borderId="18" applyNumberFormat="0" applyProtection="0">
      <alignment horizontal="left" wrapText="1"/>
    </xf>
    <xf numFmtId="0" fontId="23" fillId="0" borderId="0"/>
    <xf numFmtId="164" fontId="6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4" fontId="0" fillId="0" borderId="0" xfId="0" applyNumberFormat="1"/>
    <xf numFmtId="0" fontId="22" fillId="0" borderId="0" xfId="0" applyFont="1"/>
    <xf numFmtId="0" fontId="1" fillId="0" borderId="0" xfId="0" applyFont="1" applyAlignment="1">
      <alignment wrapText="1"/>
    </xf>
    <xf numFmtId="0" fontId="0" fillId="33" borderId="0" xfId="0" applyFill="1"/>
    <xf numFmtId="0" fontId="0" fillId="0" borderId="10" xfId="0" applyBorder="1" applyAlignment="1">
      <alignment horizontal="right"/>
    </xf>
    <xf numFmtId="3" fontId="0" fillId="0" borderId="0" xfId="0" applyNumberFormat="1"/>
    <xf numFmtId="10" fontId="0" fillId="0" borderId="0" xfId="0" applyNumberFormat="1"/>
    <xf numFmtId="4" fontId="0" fillId="0" borderId="0" xfId="0" applyNumberFormat="1"/>
    <xf numFmtId="1" fontId="0" fillId="0" borderId="0" xfId="0" applyNumberFormat="1"/>
    <xf numFmtId="4" fontId="0" fillId="34" borderId="0" xfId="0" applyNumberFormat="1" applyFill="1"/>
    <xf numFmtId="0" fontId="0" fillId="35" borderId="0" xfId="0" applyFill="1"/>
    <xf numFmtId="11" fontId="0" fillId="33" borderId="0" xfId="0" applyNumberFormat="1" applyFill="1"/>
    <xf numFmtId="0" fontId="0" fillId="33" borderId="10" xfId="0" applyFill="1" applyBorder="1"/>
    <xf numFmtId="0" fontId="0" fillId="36" borderId="0" xfId="0" applyFill="1"/>
    <xf numFmtId="0" fontId="30" fillId="0" borderId="0" xfId="0" applyFont="1" applyAlignment="1">
      <alignment vertical="center"/>
    </xf>
    <xf numFmtId="1" fontId="0" fillId="36" borderId="0" xfId="0" applyNumberFormat="1" applyFill="1"/>
    <xf numFmtId="3" fontId="0" fillId="36" borderId="0" xfId="0" applyNumberFormat="1" applyFill="1"/>
    <xf numFmtId="4" fontId="0" fillId="36" borderId="0" xfId="0" applyNumberFormat="1" applyFill="1"/>
    <xf numFmtId="0" fontId="0" fillId="0" borderId="0" xfId="0" applyAlignment="1">
      <alignment horizontal="left" vertical="top" wrapText="1"/>
    </xf>
    <xf numFmtId="0" fontId="0" fillId="33" borderId="0" xfId="0" applyNumberFormat="1" applyFill="1"/>
  </cellXfs>
  <cellStyles count="63">
    <cellStyle name="20% - Accent1" xfId="22" builtinId="30" customBuiltin="1"/>
    <cellStyle name="20% - Accent2" xfId="25" builtinId="34" customBuiltin="1"/>
    <cellStyle name="20% - Accent3" xfId="28" builtinId="38" customBuiltin="1"/>
    <cellStyle name="20% - Accent4" xfId="31" builtinId="42" customBuiltin="1"/>
    <cellStyle name="20% - Accent5" xfId="34" builtinId="46" customBuiltin="1"/>
    <cellStyle name="20% - Accent6" xfId="37" builtinId="50" customBuiltin="1"/>
    <cellStyle name="40% - Accent1" xfId="23" builtinId="31" customBuiltin="1"/>
    <cellStyle name="40% - Accent2" xfId="26" builtinId="35" customBuiltin="1"/>
    <cellStyle name="40% - Accent3" xfId="29" builtinId="39" customBuiltin="1"/>
    <cellStyle name="40% - Accent4" xfId="32" builtinId="43" customBuiltin="1"/>
    <cellStyle name="40% - Accent5" xfId="35" builtinId="47" customBuiltin="1"/>
    <cellStyle name="40% - Accent6" xfId="38" builtinId="51" customBuiltin="1"/>
    <cellStyle name="60% - Accent1 2" xfId="40" xr:uid="{17A5309E-ECA2-4EDE-ACB9-C5495A4AAE32}"/>
    <cellStyle name="60% - Accent2 2" xfId="41" xr:uid="{5F56F089-2179-418D-84B9-38E74CEBD77C}"/>
    <cellStyle name="60% - Accent3 2" xfId="42" xr:uid="{659DBD7A-A554-4701-ABB6-956F213C0EDB}"/>
    <cellStyle name="60% - Accent4 2" xfId="43" xr:uid="{4F109E96-E245-4D1B-A5FC-8554D8B72D8F}"/>
    <cellStyle name="60% - Accent5 2" xfId="44" xr:uid="{8A3A2AB9-7FAB-49F7-8322-43ADDCC32F16}"/>
    <cellStyle name="60% - Accent6 2" xfId="45" xr:uid="{C5240896-48A0-4828-A5C6-272A8ABC58B6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Bad" xfId="11" builtinId="27" customBuiltin="1"/>
    <cellStyle name="Body: normal cell" xfId="50" xr:uid="{38D10719-F24B-4A2F-B368-D5B2C1DAB640}"/>
    <cellStyle name="Body: normal cell 2" xfId="56" xr:uid="{DAA3EDAD-E509-4EBA-BDE4-0FD868930174}"/>
    <cellStyle name="Calculation" xfId="14" builtinId="22" customBuiltin="1"/>
    <cellStyle name="Check Cell" xfId="16" builtinId="23" customBuiltin="1"/>
    <cellStyle name="Comma 2" xfId="62" xr:uid="{42A8F38E-E52E-42A4-8C6B-493AB5215D8C}"/>
    <cellStyle name="Explanatory Text" xfId="19" builtinId="53" customBuiltin="1"/>
    <cellStyle name="Font: Calibri, 9pt regular" xfId="47" xr:uid="{DAA110EC-07C1-4CBF-9C30-221CE2607087}"/>
    <cellStyle name="Font: Calibri, 9pt regular 2" xfId="58" xr:uid="{AAEC975C-E1B8-4A8D-80BB-7C0B5C8CA5FB}"/>
    <cellStyle name="Footnotes: top row" xfId="52" xr:uid="{7545AC2F-E7D1-4E41-93C2-235DB7973044}"/>
    <cellStyle name="Footnotes: top row 2" xfId="54" xr:uid="{98F5BC14-6E80-4A8E-B690-99706621D6C4}"/>
    <cellStyle name="Good" xfId="10" builtinId="26" customBuiltin="1"/>
    <cellStyle name="Header: bottom row" xfId="48" xr:uid="{81F89FB6-22B8-4EFB-B9F7-985C0F8B3E7D}"/>
    <cellStyle name="Header: bottom row 2" xfId="57" xr:uid="{E4ED1F66-A280-4CA8-8053-429834CAE0D1}"/>
    <cellStyle name="Header: top rows" xfId="60" xr:uid="{01224F4E-6E69-460B-BDE8-02B76B6695CC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Hyperlink" xfId="1" builtinId="8"/>
    <cellStyle name="Input" xfId="12" builtinId="20" customBuiltin="1"/>
    <cellStyle name="Linked Cell" xfId="15" builtinId="24" customBuiltin="1"/>
    <cellStyle name="Neutral 2" xfId="39" xr:uid="{EC11E711-55D7-4E0F-9509-308C4AC5A2AF}"/>
    <cellStyle name="Normal" xfId="0" builtinId="0"/>
    <cellStyle name="Normal 2" xfId="2" xr:uid="{00000000-0005-0000-0000-000002000000}"/>
    <cellStyle name="Normal 2 2" xfId="3" xr:uid="{B51018AA-3E96-4D97-88D2-5B0939ABF983}"/>
    <cellStyle name="Normal 2 3" xfId="53" xr:uid="{85C3CCDB-BF95-4A3A-B980-6CA38139ABDC}"/>
    <cellStyle name="Normal 3" xfId="4" xr:uid="{8DB17973-C8C4-429B-8907-C76A9345D8C0}"/>
    <cellStyle name="Normal 3 2" xfId="46" xr:uid="{9D04E21C-EA48-455E-84AB-DF13F2509071}"/>
    <cellStyle name="Normal 4" xfId="61" xr:uid="{29CA4722-D46F-4118-BD1A-01096E93DCC6}"/>
    <cellStyle name="Note" xfId="18" builtinId="10" customBuiltin="1"/>
    <cellStyle name="Output" xfId="13" builtinId="21" customBuiltin="1"/>
    <cellStyle name="Parent row" xfId="51" xr:uid="{B4F12C90-5A00-4E57-9509-A644237120B0}"/>
    <cellStyle name="Parent row 2" xfId="55" xr:uid="{AE946931-EFC5-48EE-A44B-1908243DA009}"/>
    <cellStyle name="Table title" xfId="49" xr:uid="{480C67E7-7B99-4991-8F31-411BB11B9F3A}"/>
    <cellStyle name="Table title 2" xfId="59" xr:uid="{0DE87C55-4460-4A2C-82F1-CEB021E275E6}"/>
    <cellStyle name="Title" xfId="5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14</xdr:col>
      <xdr:colOff>153272</xdr:colOff>
      <xdr:row>24</xdr:row>
      <xdr:rowOff>76877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74DBE8-B888-3E6E-4EF7-6CA296E5F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5" y="0"/>
          <a:ext cx="6249272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438150</xdr:colOff>
      <xdr:row>15</xdr:row>
      <xdr:rowOff>28792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0DAA57-4833-CF23-6922-B64E931DD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10150" cy="28862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chel%20Goldstein\Desktop\EPS%20Models\US%20EPS\InputData\elec\BHRaSYC\BAU%20Heat%20Rates%20and%20Start%20Year%20CapacitiesUSA.xlsx" TargetMode="External"/><Relationship Id="rId1" Type="http://schemas.openxmlformats.org/officeDocument/2006/relationships/externalLinkPath" Target="/Users/Rachel%20Goldstein/Desktop/EPS%20Models/US%20EPS/InputData/elec/BHRaSYC/BAU%20Heat%20Rates%20and%20Start%20Year%20CapacitiesU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Fuel &amp; Prime Mover Code Lookups"/>
      <sheetName val="ATB Heat Rates"/>
      <sheetName val="Nuclear"/>
      <sheetName val="Biopower"/>
      <sheetName val="Coal_FE"/>
      <sheetName val="Natural Gas_FE"/>
      <sheetName val="Coal_Retrofits"/>
      <sheetName val="Natural Gas_Retrofits"/>
      <sheetName val="BECCS"/>
      <sheetName val="Form 923"/>
      <sheetName val="Form 860"/>
      <sheetName val="Included Plant Filters"/>
      <sheetName val="Heat Rates_post2020"/>
      <sheetName val="BHRaSYC-HeatRates"/>
      <sheetName val="BHRaSYC-StartYearCapac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C1" t="str">
            <v>Vintage2021</v>
          </cell>
          <cell r="D1" t="str">
            <v>Vintage2022</v>
          </cell>
          <cell r="E1" t="str">
            <v>Vintage2023</v>
          </cell>
          <cell r="F1" t="str">
            <v>Vintage2024</v>
          </cell>
          <cell r="G1" t="str">
            <v>Vintage2025</v>
          </cell>
          <cell r="H1" t="str">
            <v>Vintage2026</v>
          </cell>
          <cell r="I1" t="str">
            <v>Vintage2027</v>
          </cell>
          <cell r="J1" t="str">
            <v>Vintage2028</v>
          </cell>
          <cell r="K1" t="str">
            <v>Vintage2029</v>
          </cell>
          <cell r="L1" t="str">
            <v>Vintage2030</v>
          </cell>
          <cell r="M1" t="str">
            <v>Vintage2031</v>
          </cell>
          <cell r="N1" t="str">
            <v>Vintage2032</v>
          </cell>
          <cell r="O1" t="str">
            <v>Vintage2033</v>
          </cell>
          <cell r="P1" t="str">
            <v>Vintage2034</v>
          </cell>
          <cell r="Q1" t="str">
            <v>Vintage2035</v>
          </cell>
          <cell r="R1" t="str">
            <v>Vintage2036</v>
          </cell>
          <cell r="S1" t="str">
            <v>Vintage2037</v>
          </cell>
          <cell r="T1" t="str">
            <v>Vintage2038</v>
          </cell>
          <cell r="U1" t="str">
            <v>Vintage2039</v>
          </cell>
          <cell r="V1" t="str">
            <v>Vintage2040</v>
          </cell>
          <cell r="W1" t="str">
            <v>Vintage2041</v>
          </cell>
          <cell r="X1" t="str">
            <v>Vintage2042</v>
          </cell>
          <cell r="Y1" t="str">
            <v>Vintage2043</v>
          </cell>
          <cell r="Z1" t="str">
            <v>Vintage2044</v>
          </cell>
          <cell r="AA1" t="str">
            <v>Vintage2045</v>
          </cell>
          <cell r="AB1" t="str">
            <v>Vintage2046</v>
          </cell>
          <cell r="AC1" t="str">
            <v>Vintage2047</v>
          </cell>
          <cell r="AD1" t="str">
            <v>Vintage2048</v>
          </cell>
          <cell r="AE1" t="str">
            <v>Vintage2049</v>
          </cell>
          <cell r="AF1" t="str">
            <v>Vintage2050</v>
          </cell>
          <cell r="AG1" t="str">
            <v>Vintage2051</v>
          </cell>
          <cell r="AH1" t="str">
            <v>Vintage2052</v>
          </cell>
          <cell r="AI1" t="str">
            <v>Vintage2053</v>
          </cell>
          <cell r="AJ1" t="str">
            <v>Vintage2054</v>
          </cell>
          <cell r="AK1" t="str">
            <v>Vintage2055</v>
          </cell>
          <cell r="AL1" t="str">
            <v>Vintage2056</v>
          </cell>
          <cell r="AM1" t="str">
            <v>Vintage2057</v>
          </cell>
          <cell r="AN1" t="str">
            <v>Vintage2058</v>
          </cell>
          <cell r="AO1" t="str">
            <v>Vintage2059</v>
          </cell>
          <cell r="AP1" t="str">
            <v>Vintage2060</v>
          </cell>
          <cell r="AQ1" t="str">
            <v>Vintage2061</v>
          </cell>
          <cell r="AR1" t="str">
            <v>Vintage2062</v>
          </cell>
          <cell r="AS1" t="str">
            <v>Vintage2063</v>
          </cell>
          <cell r="AT1" t="str">
            <v>Vintage2064</v>
          </cell>
          <cell r="AU1" t="str">
            <v>Vintage2065</v>
          </cell>
          <cell r="AV1" t="str">
            <v>Vintage2066</v>
          </cell>
          <cell r="AW1" t="str">
            <v>Vintage2067</v>
          </cell>
          <cell r="AX1" t="str">
            <v>Vintage2068</v>
          </cell>
          <cell r="AY1" t="str">
            <v>Vintage2069</v>
          </cell>
          <cell r="AZ1" t="str">
            <v>Vintage2070</v>
          </cell>
          <cell r="BA1" t="str">
            <v>Vintage2071</v>
          </cell>
          <cell r="BB1" t="str">
            <v>Vintage2072</v>
          </cell>
          <cell r="BC1" t="str">
            <v>Vintage2073</v>
          </cell>
          <cell r="BD1" t="str">
            <v>Vintage2074</v>
          </cell>
          <cell r="BE1" t="str">
            <v>Vintage2075</v>
          </cell>
          <cell r="BF1" t="str">
            <v>Vintage2076</v>
          </cell>
          <cell r="BG1" t="str">
            <v>Vintage2077</v>
          </cell>
          <cell r="BH1" t="str">
            <v>Vintage2078</v>
          </cell>
          <cell r="BI1" t="str">
            <v>Vintage2079</v>
          </cell>
          <cell r="BJ1" t="str">
            <v>Vintage2080</v>
          </cell>
          <cell r="BK1" t="str">
            <v>Vintage2081</v>
          </cell>
          <cell r="BL1" t="str">
            <v>Vintage2082</v>
          </cell>
          <cell r="BM1" t="str">
            <v>Vintage2083</v>
          </cell>
          <cell r="BN1" t="str">
            <v>Vintage2084</v>
          </cell>
          <cell r="BO1" t="str">
            <v>Vintage2085</v>
          </cell>
          <cell r="BP1" t="str">
            <v>Vintage2086</v>
          </cell>
          <cell r="BQ1" t="str">
            <v>Vintage2087</v>
          </cell>
          <cell r="BR1" t="str">
            <v>Vintage2088</v>
          </cell>
          <cell r="BS1" t="str">
            <v>Vintage2089</v>
          </cell>
          <cell r="BT1" t="str">
            <v>Vintage2090</v>
          </cell>
          <cell r="BU1" t="str">
            <v>Vintage2091</v>
          </cell>
          <cell r="BV1" t="str">
            <v>Vintage2092</v>
          </cell>
          <cell r="BW1" t="str">
            <v>Vintage2093</v>
          </cell>
          <cell r="BX1" t="str">
            <v>Vintage2094</v>
          </cell>
          <cell r="BY1" t="str">
            <v>Vintage2095</v>
          </cell>
          <cell r="BZ1" t="str">
            <v>Vintage2096</v>
          </cell>
          <cell r="CA1" t="str">
            <v>Vintage2097</v>
          </cell>
          <cell r="CB1" t="str">
            <v>Vintage2098</v>
          </cell>
          <cell r="CC1" t="str">
            <v>Vintage2099</v>
          </cell>
          <cell r="CD1" t="str">
            <v>Vintage2100</v>
          </cell>
        </row>
        <row r="2">
          <cell r="B2" t="str">
            <v>hard coal</v>
          </cell>
          <cell r="C2">
            <v>8490000</v>
          </cell>
          <cell r="D2">
            <v>8490000</v>
          </cell>
          <cell r="E2">
            <v>8466000</v>
          </cell>
          <cell r="F2">
            <v>8442000</v>
          </cell>
          <cell r="G2">
            <v>8419000</v>
          </cell>
          <cell r="H2">
            <v>8395000</v>
          </cell>
          <cell r="I2">
            <v>8371000</v>
          </cell>
          <cell r="J2">
            <v>8346999.9999999991</v>
          </cell>
          <cell r="K2">
            <v>8324000</v>
          </cell>
          <cell r="L2">
            <v>8300000.0000000009</v>
          </cell>
          <cell r="M2">
            <v>8276000</v>
          </cell>
          <cell r="N2">
            <v>8253000</v>
          </cell>
          <cell r="O2">
            <v>8228999.9999999991</v>
          </cell>
          <cell r="P2">
            <v>8205000</v>
          </cell>
          <cell r="Q2">
            <v>8182000</v>
          </cell>
          <cell r="R2">
            <v>8182000</v>
          </cell>
          <cell r="S2">
            <v>8182000</v>
          </cell>
          <cell r="T2">
            <v>8182000</v>
          </cell>
          <cell r="U2">
            <v>8182000</v>
          </cell>
          <cell r="V2">
            <v>8182000</v>
          </cell>
          <cell r="W2">
            <v>8182000</v>
          </cell>
          <cell r="X2">
            <v>8182000</v>
          </cell>
          <cell r="Y2">
            <v>8182000</v>
          </cell>
          <cell r="Z2">
            <v>8182000</v>
          </cell>
          <cell r="AA2">
            <v>8182000</v>
          </cell>
          <cell r="AB2">
            <v>8182000</v>
          </cell>
          <cell r="AC2">
            <v>8182000</v>
          </cell>
          <cell r="AD2">
            <v>8182000</v>
          </cell>
          <cell r="AE2">
            <v>8182000</v>
          </cell>
          <cell r="AF2">
            <v>8182000</v>
          </cell>
          <cell r="AG2">
            <v>8182000</v>
          </cell>
          <cell r="AH2">
            <v>8182000</v>
          </cell>
          <cell r="AI2">
            <v>8182000</v>
          </cell>
          <cell r="AJ2">
            <v>8182000</v>
          </cell>
          <cell r="AK2">
            <v>8182000</v>
          </cell>
          <cell r="AL2">
            <v>8182000</v>
          </cell>
          <cell r="AM2">
            <v>8182000</v>
          </cell>
          <cell r="AN2">
            <v>8182000</v>
          </cell>
          <cell r="AO2">
            <v>8182000</v>
          </cell>
          <cell r="AP2">
            <v>8182000</v>
          </cell>
          <cell r="AQ2">
            <v>8182000</v>
          </cell>
          <cell r="AR2">
            <v>8182000</v>
          </cell>
          <cell r="AS2">
            <v>8182000</v>
          </cell>
          <cell r="AT2">
            <v>8182000</v>
          </cell>
          <cell r="AU2">
            <v>8182000</v>
          </cell>
          <cell r="AV2">
            <v>8182000</v>
          </cell>
          <cell r="AW2">
            <v>8182000</v>
          </cell>
          <cell r="AX2">
            <v>8182000</v>
          </cell>
          <cell r="AY2">
            <v>8182000</v>
          </cell>
          <cell r="AZ2">
            <v>8182000</v>
          </cell>
          <cell r="BA2">
            <v>8182000</v>
          </cell>
          <cell r="BB2">
            <v>8182000</v>
          </cell>
          <cell r="BC2">
            <v>8182000</v>
          </cell>
          <cell r="BD2">
            <v>8182000</v>
          </cell>
          <cell r="BE2">
            <v>8182000</v>
          </cell>
          <cell r="BF2">
            <v>8182000</v>
          </cell>
          <cell r="BG2">
            <v>8182000</v>
          </cell>
          <cell r="BH2">
            <v>8182000</v>
          </cell>
          <cell r="BI2">
            <v>8182000</v>
          </cell>
          <cell r="BJ2">
            <v>8182000</v>
          </cell>
          <cell r="BK2">
            <v>8182000</v>
          </cell>
          <cell r="BL2">
            <v>8182000</v>
          </cell>
          <cell r="BM2">
            <v>8182000</v>
          </cell>
          <cell r="BN2">
            <v>8182000</v>
          </cell>
          <cell r="BO2">
            <v>8182000</v>
          </cell>
          <cell r="BP2">
            <v>8182000</v>
          </cell>
          <cell r="BQ2">
            <v>8182000</v>
          </cell>
          <cell r="BR2">
            <v>8182000</v>
          </cell>
          <cell r="BS2">
            <v>8182000</v>
          </cell>
          <cell r="BT2">
            <v>8182000</v>
          </cell>
          <cell r="BU2">
            <v>8182000</v>
          </cell>
          <cell r="BV2">
            <v>8182000</v>
          </cell>
          <cell r="BW2">
            <v>8182000</v>
          </cell>
          <cell r="BX2">
            <v>8182000</v>
          </cell>
          <cell r="BY2">
            <v>8182000</v>
          </cell>
          <cell r="BZ2">
            <v>8182000</v>
          </cell>
          <cell r="CA2">
            <v>8182000</v>
          </cell>
          <cell r="CB2">
            <v>8182000</v>
          </cell>
          <cell r="CC2">
            <v>8182000</v>
          </cell>
          <cell r="CD2">
            <v>8182000</v>
          </cell>
        </row>
        <row r="3">
          <cell r="B3" t="str">
            <v>natural gas steam turbine</v>
          </cell>
          <cell r="C3">
            <v>9717000</v>
          </cell>
          <cell r="D3">
            <v>9717000</v>
          </cell>
          <cell r="E3">
            <v>9717000</v>
          </cell>
          <cell r="F3">
            <v>9717000</v>
          </cell>
          <cell r="G3">
            <v>9717000</v>
          </cell>
          <cell r="H3">
            <v>9717000</v>
          </cell>
          <cell r="I3">
            <v>9717000</v>
          </cell>
          <cell r="J3">
            <v>9717000</v>
          </cell>
          <cell r="K3">
            <v>9717000</v>
          </cell>
          <cell r="L3">
            <v>9717000</v>
          </cell>
          <cell r="M3">
            <v>9717000</v>
          </cell>
          <cell r="N3">
            <v>9717000</v>
          </cell>
          <cell r="O3">
            <v>9717000</v>
          </cell>
          <cell r="P3">
            <v>9717000</v>
          </cell>
          <cell r="Q3">
            <v>9717000</v>
          </cell>
          <cell r="R3">
            <v>9717000</v>
          </cell>
          <cell r="S3">
            <v>9717000</v>
          </cell>
          <cell r="T3">
            <v>9717000</v>
          </cell>
          <cell r="U3">
            <v>9717000</v>
          </cell>
          <cell r="V3">
            <v>9717000</v>
          </cell>
          <cell r="W3">
            <v>9717000</v>
          </cell>
          <cell r="X3">
            <v>9717000</v>
          </cell>
          <cell r="Y3">
            <v>9717000</v>
          </cell>
          <cell r="Z3">
            <v>9717000</v>
          </cell>
          <cell r="AA3">
            <v>9717000</v>
          </cell>
          <cell r="AB3">
            <v>9717000</v>
          </cell>
          <cell r="AC3">
            <v>9717000</v>
          </cell>
          <cell r="AD3">
            <v>9717000</v>
          </cell>
          <cell r="AE3">
            <v>9717000</v>
          </cell>
          <cell r="AF3">
            <v>9717000</v>
          </cell>
          <cell r="AG3">
            <v>9717000</v>
          </cell>
          <cell r="AH3">
            <v>9717000</v>
          </cell>
          <cell r="AI3">
            <v>9717000</v>
          </cell>
          <cell r="AJ3">
            <v>9717000</v>
          </cell>
          <cell r="AK3">
            <v>9717000</v>
          </cell>
          <cell r="AL3">
            <v>9717000</v>
          </cell>
          <cell r="AM3">
            <v>9717000</v>
          </cell>
          <cell r="AN3">
            <v>9717000</v>
          </cell>
          <cell r="AO3">
            <v>9717000</v>
          </cell>
          <cell r="AP3">
            <v>9717000</v>
          </cell>
          <cell r="AQ3">
            <v>9717000</v>
          </cell>
          <cell r="AR3">
            <v>9717000</v>
          </cell>
          <cell r="AS3">
            <v>9717000</v>
          </cell>
          <cell r="AT3">
            <v>9717000</v>
          </cell>
          <cell r="AU3">
            <v>9717000</v>
          </cell>
          <cell r="AV3">
            <v>9717000</v>
          </cell>
          <cell r="AW3">
            <v>9717000</v>
          </cell>
          <cell r="AX3">
            <v>9717000</v>
          </cell>
          <cell r="AY3">
            <v>9717000</v>
          </cell>
          <cell r="AZ3">
            <v>9717000</v>
          </cell>
          <cell r="BA3">
            <v>9717000</v>
          </cell>
          <cell r="BB3">
            <v>9717000</v>
          </cell>
          <cell r="BC3">
            <v>9717000</v>
          </cell>
          <cell r="BD3">
            <v>9717000</v>
          </cell>
          <cell r="BE3">
            <v>9717000</v>
          </cell>
          <cell r="BF3">
            <v>9717000</v>
          </cell>
          <cell r="BG3">
            <v>9717000</v>
          </cell>
          <cell r="BH3">
            <v>9717000</v>
          </cell>
          <cell r="BI3">
            <v>9717000</v>
          </cell>
          <cell r="BJ3">
            <v>9717000</v>
          </cell>
          <cell r="BK3">
            <v>9717000</v>
          </cell>
          <cell r="BL3">
            <v>9717000</v>
          </cell>
          <cell r="BM3">
            <v>9717000</v>
          </cell>
          <cell r="BN3">
            <v>9717000</v>
          </cell>
          <cell r="BO3">
            <v>9717000</v>
          </cell>
          <cell r="BP3">
            <v>9717000</v>
          </cell>
          <cell r="BQ3">
            <v>9717000</v>
          </cell>
          <cell r="BR3">
            <v>9717000</v>
          </cell>
          <cell r="BS3">
            <v>9717000</v>
          </cell>
          <cell r="BT3">
            <v>9717000</v>
          </cell>
          <cell r="BU3">
            <v>9717000</v>
          </cell>
          <cell r="BV3">
            <v>9717000</v>
          </cell>
          <cell r="BW3">
            <v>9717000</v>
          </cell>
          <cell r="BX3">
            <v>9717000</v>
          </cell>
          <cell r="BY3">
            <v>9717000</v>
          </cell>
          <cell r="BZ3">
            <v>9717000</v>
          </cell>
          <cell r="CA3">
            <v>9717000</v>
          </cell>
          <cell r="CB3">
            <v>9717000</v>
          </cell>
          <cell r="CC3">
            <v>9717000</v>
          </cell>
          <cell r="CD3">
            <v>9717000</v>
          </cell>
        </row>
        <row r="4">
          <cell r="B4" t="str">
            <v>natural gas combined cycle</v>
          </cell>
          <cell r="C4">
            <v>6279500.0000000009</v>
          </cell>
          <cell r="D4">
            <v>6279500.0000000009</v>
          </cell>
          <cell r="E4">
            <v>6267500</v>
          </cell>
          <cell r="F4">
            <v>6254500</v>
          </cell>
          <cell r="G4">
            <v>6242000</v>
          </cell>
          <cell r="H4">
            <v>6229500</v>
          </cell>
          <cell r="I4">
            <v>6217500</v>
          </cell>
          <cell r="J4">
            <v>6204499.9999999991</v>
          </cell>
          <cell r="K4">
            <v>6192000</v>
          </cell>
          <cell r="L4">
            <v>6180000</v>
          </cell>
          <cell r="M4">
            <v>6167000</v>
          </cell>
          <cell r="N4">
            <v>6154500.0000000009</v>
          </cell>
          <cell r="O4">
            <v>6142000</v>
          </cell>
          <cell r="P4">
            <v>6130000</v>
          </cell>
          <cell r="Q4">
            <v>6117000</v>
          </cell>
          <cell r="R4">
            <v>6117000</v>
          </cell>
          <cell r="S4">
            <v>6117000</v>
          </cell>
          <cell r="T4">
            <v>6117000</v>
          </cell>
          <cell r="U4">
            <v>6117000</v>
          </cell>
          <cell r="V4">
            <v>6117000</v>
          </cell>
          <cell r="W4">
            <v>6117000</v>
          </cell>
          <cell r="X4">
            <v>6117000</v>
          </cell>
          <cell r="Y4">
            <v>6117000</v>
          </cell>
          <cell r="Z4">
            <v>6117000</v>
          </cell>
          <cell r="AA4">
            <v>6117000</v>
          </cell>
          <cell r="AB4">
            <v>6117000</v>
          </cell>
          <cell r="AC4">
            <v>6117000</v>
          </cell>
          <cell r="AD4">
            <v>6117000</v>
          </cell>
          <cell r="AE4">
            <v>6117000</v>
          </cell>
          <cell r="AF4">
            <v>6117000</v>
          </cell>
          <cell r="AG4">
            <v>6117000</v>
          </cell>
          <cell r="AH4">
            <v>6117000</v>
          </cell>
          <cell r="AI4">
            <v>6117000</v>
          </cell>
          <cell r="AJ4">
            <v>6117000</v>
          </cell>
          <cell r="AK4">
            <v>6117000</v>
          </cell>
          <cell r="AL4">
            <v>6117000</v>
          </cell>
          <cell r="AM4">
            <v>6117000</v>
          </cell>
          <cell r="AN4">
            <v>6117000</v>
          </cell>
          <cell r="AO4">
            <v>6117000</v>
          </cell>
          <cell r="AP4">
            <v>6117000</v>
          </cell>
          <cell r="AQ4">
            <v>6117000</v>
          </cell>
          <cell r="AR4">
            <v>6117000</v>
          </cell>
          <cell r="AS4">
            <v>6117000</v>
          </cell>
          <cell r="AT4">
            <v>6117000</v>
          </cell>
          <cell r="AU4">
            <v>6117000</v>
          </cell>
          <cell r="AV4">
            <v>6117000</v>
          </cell>
          <cell r="AW4">
            <v>6117000</v>
          </cell>
          <cell r="AX4">
            <v>6117000</v>
          </cell>
          <cell r="AY4">
            <v>6117000</v>
          </cell>
          <cell r="AZ4">
            <v>6117000</v>
          </cell>
          <cell r="BA4">
            <v>6117000</v>
          </cell>
          <cell r="BB4">
            <v>6117000</v>
          </cell>
          <cell r="BC4">
            <v>6117000</v>
          </cell>
          <cell r="BD4">
            <v>6117000</v>
          </cell>
          <cell r="BE4">
            <v>6117000</v>
          </cell>
          <cell r="BF4">
            <v>6117000</v>
          </cell>
          <cell r="BG4">
            <v>6117000</v>
          </cell>
          <cell r="BH4">
            <v>6117000</v>
          </cell>
          <cell r="BI4">
            <v>6117000</v>
          </cell>
          <cell r="BJ4">
            <v>6117000</v>
          </cell>
          <cell r="BK4">
            <v>6117000</v>
          </cell>
          <cell r="BL4">
            <v>6117000</v>
          </cell>
          <cell r="BM4">
            <v>6117000</v>
          </cell>
          <cell r="BN4">
            <v>6117000</v>
          </cell>
          <cell r="BO4">
            <v>6117000</v>
          </cell>
          <cell r="BP4">
            <v>6117000</v>
          </cell>
          <cell r="BQ4">
            <v>6117000</v>
          </cell>
          <cell r="BR4">
            <v>6117000</v>
          </cell>
          <cell r="BS4">
            <v>6117000</v>
          </cell>
          <cell r="BT4">
            <v>6117000</v>
          </cell>
          <cell r="BU4">
            <v>6117000</v>
          </cell>
          <cell r="BV4">
            <v>6117000</v>
          </cell>
          <cell r="BW4">
            <v>6117000</v>
          </cell>
          <cell r="BX4">
            <v>6117000</v>
          </cell>
          <cell r="BY4">
            <v>6117000</v>
          </cell>
          <cell r="BZ4">
            <v>6117000</v>
          </cell>
          <cell r="CA4">
            <v>6117000</v>
          </cell>
          <cell r="CB4">
            <v>6117000</v>
          </cell>
          <cell r="CC4">
            <v>6117000</v>
          </cell>
          <cell r="CD4">
            <v>6117000</v>
          </cell>
        </row>
        <row r="5">
          <cell r="B5" t="str">
            <v>nuclear</v>
          </cell>
          <cell r="C5">
            <v>10447000</v>
          </cell>
          <cell r="D5">
            <v>10447000</v>
          </cell>
          <cell r="E5">
            <v>10447000</v>
          </cell>
          <cell r="F5">
            <v>10447000</v>
          </cell>
          <cell r="G5">
            <v>10447000</v>
          </cell>
          <cell r="H5">
            <v>10447000</v>
          </cell>
          <cell r="I5">
            <v>10447000</v>
          </cell>
          <cell r="J5">
            <v>10447000</v>
          </cell>
          <cell r="K5">
            <v>10447000</v>
          </cell>
          <cell r="L5">
            <v>10447000</v>
          </cell>
          <cell r="M5">
            <v>10447000</v>
          </cell>
          <cell r="N5">
            <v>10447000</v>
          </cell>
          <cell r="O5">
            <v>10447000</v>
          </cell>
          <cell r="P5">
            <v>10447000</v>
          </cell>
          <cell r="Q5">
            <v>10447000</v>
          </cell>
          <cell r="R5">
            <v>10447000</v>
          </cell>
          <cell r="S5">
            <v>10447000</v>
          </cell>
          <cell r="T5">
            <v>10447000</v>
          </cell>
          <cell r="U5">
            <v>10447000</v>
          </cell>
          <cell r="V5">
            <v>10447000</v>
          </cell>
          <cell r="W5">
            <v>10447000</v>
          </cell>
          <cell r="X5">
            <v>10447000</v>
          </cell>
          <cell r="Y5">
            <v>10447000</v>
          </cell>
          <cell r="Z5">
            <v>10447000</v>
          </cell>
          <cell r="AA5">
            <v>10447000</v>
          </cell>
          <cell r="AB5">
            <v>10447000</v>
          </cell>
          <cell r="AC5">
            <v>10447000</v>
          </cell>
          <cell r="AD5">
            <v>10447000</v>
          </cell>
          <cell r="AE5">
            <v>10447000</v>
          </cell>
          <cell r="AF5">
            <v>10447000</v>
          </cell>
          <cell r="AG5">
            <v>10447000</v>
          </cell>
          <cell r="AH5">
            <v>10447000</v>
          </cell>
          <cell r="AI5">
            <v>10447000</v>
          </cell>
          <cell r="AJ5">
            <v>10447000</v>
          </cell>
          <cell r="AK5">
            <v>10447000</v>
          </cell>
          <cell r="AL5">
            <v>10447000</v>
          </cell>
          <cell r="AM5">
            <v>10447000</v>
          </cell>
          <cell r="AN5">
            <v>10447000</v>
          </cell>
          <cell r="AO5">
            <v>10447000</v>
          </cell>
          <cell r="AP5">
            <v>10447000</v>
          </cell>
          <cell r="AQ5">
            <v>10447000</v>
          </cell>
          <cell r="AR5">
            <v>10447000</v>
          </cell>
          <cell r="AS5">
            <v>10447000</v>
          </cell>
          <cell r="AT5">
            <v>10447000</v>
          </cell>
          <cell r="AU5">
            <v>10447000</v>
          </cell>
          <cell r="AV5">
            <v>10447000</v>
          </cell>
          <cell r="AW5">
            <v>10447000</v>
          </cell>
          <cell r="AX5">
            <v>10447000</v>
          </cell>
          <cell r="AY5">
            <v>10447000</v>
          </cell>
          <cell r="AZ5">
            <v>10447000</v>
          </cell>
          <cell r="BA5">
            <v>10447000</v>
          </cell>
          <cell r="BB5">
            <v>10447000</v>
          </cell>
          <cell r="BC5">
            <v>10447000</v>
          </cell>
          <cell r="BD5">
            <v>10447000</v>
          </cell>
          <cell r="BE5">
            <v>10447000</v>
          </cell>
          <cell r="BF5">
            <v>10447000</v>
          </cell>
          <cell r="BG5">
            <v>10447000</v>
          </cell>
          <cell r="BH5">
            <v>10447000</v>
          </cell>
          <cell r="BI5">
            <v>10447000</v>
          </cell>
          <cell r="BJ5">
            <v>10447000</v>
          </cell>
          <cell r="BK5">
            <v>10447000</v>
          </cell>
          <cell r="BL5">
            <v>10447000</v>
          </cell>
          <cell r="BM5">
            <v>10447000</v>
          </cell>
          <cell r="BN5">
            <v>10447000</v>
          </cell>
          <cell r="BO5">
            <v>10447000</v>
          </cell>
          <cell r="BP5">
            <v>10447000</v>
          </cell>
          <cell r="BQ5">
            <v>10447000</v>
          </cell>
          <cell r="BR5">
            <v>10447000</v>
          </cell>
          <cell r="BS5">
            <v>10447000</v>
          </cell>
          <cell r="BT5">
            <v>10447000</v>
          </cell>
          <cell r="BU5">
            <v>10447000</v>
          </cell>
          <cell r="BV5">
            <v>10447000</v>
          </cell>
          <cell r="BW5">
            <v>10447000</v>
          </cell>
          <cell r="BX5">
            <v>10447000</v>
          </cell>
          <cell r="BY5">
            <v>10447000</v>
          </cell>
          <cell r="BZ5">
            <v>10447000</v>
          </cell>
          <cell r="CA5">
            <v>10447000</v>
          </cell>
          <cell r="CB5">
            <v>10447000</v>
          </cell>
          <cell r="CC5">
            <v>10447000</v>
          </cell>
          <cell r="CD5">
            <v>10447000</v>
          </cell>
        </row>
        <row r="6">
          <cell r="B6" t="str">
            <v>hydro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</row>
        <row r="7">
          <cell r="B7" t="str">
            <v>onshore wind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</row>
        <row r="8">
          <cell r="B8" t="str">
            <v>solar PV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</row>
        <row r="9">
          <cell r="B9" t="str">
            <v>solar thermal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</row>
        <row r="10">
          <cell r="B10" t="str">
            <v>biomass</v>
          </cell>
          <cell r="C10">
            <v>13500000</v>
          </cell>
          <cell r="D10">
            <v>13500000</v>
          </cell>
          <cell r="E10">
            <v>13500000</v>
          </cell>
          <cell r="F10">
            <v>13500000</v>
          </cell>
          <cell r="G10">
            <v>13500000</v>
          </cell>
          <cell r="H10">
            <v>13500000</v>
          </cell>
          <cell r="I10">
            <v>13500000</v>
          </cell>
          <cell r="J10">
            <v>13500000</v>
          </cell>
          <cell r="K10">
            <v>13500000</v>
          </cell>
          <cell r="L10">
            <v>13500000</v>
          </cell>
          <cell r="M10">
            <v>13500000</v>
          </cell>
          <cell r="N10">
            <v>13500000</v>
          </cell>
          <cell r="O10">
            <v>13500000</v>
          </cell>
          <cell r="P10">
            <v>13500000</v>
          </cell>
          <cell r="Q10">
            <v>13500000</v>
          </cell>
          <cell r="R10">
            <v>13500000</v>
          </cell>
          <cell r="S10">
            <v>13500000</v>
          </cell>
          <cell r="T10">
            <v>13500000</v>
          </cell>
          <cell r="U10">
            <v>13500000</v>
          </cell>
          <cell r="V10">
            <v>13500000</v>
          </cell>
          <cell r="W10">
            <v>13500000</v>
          </cell>
          <cell r="X10">
            <v>13500000</v>
          </cell>
          <cell r="Y10">
            <v>13500000</v>
          </cell>
          <cell r="Z10">
            <v>13500000</v>
          </cell>
          <cell r="AA10">
            <v>13500000</v>
          </cell>
          <cell r="AB10">
            <v>13500000</v>
          </cell>
          <cell r="AC10">
            <v>13500000</v>
          </cell>
          <cell r="AD10">
            <v>13500000</v>
          </cell>
          <cell r="AE10">
            <v>13500000</v>
          </cell>
          <cell r="AF10">
            <v>13500000</v>
          </cell>
          <cell r="AG10">
            <v>13500000</v>
          </cell>
          <cell r="AH10">
            <v>13500000</v>
          </cell>
          <cell r="AI10">
            <v>13500000</v>
          </cell>
          <cell r="AJ10">
            <v>13500000</v>
          </cell>
          <cell r="AK10">
            <v>13500000</v>
          </cell>
          <cell r="AL10">
            <v>13500000</v>
          </cell>
          <cell r="AM10">
            <v>13500000</v>
          </cell>
          <cell r="AN10">
            <v>13500000</v>
          </cell>
          <cell r="AO10">
            <v>13500000</v>
          </cell>
          <cell r="AP10">
            <v>13500000</v>
          </cell>
          <cell r="AQ10">
            <v>13500000</v>
          </cell>
          <cell r="AR10">
            <v>13500000</v>
          </cell>
          <cell r="AS10">
            <v>13500000</v>
          </cell>
          <cell r="AT10">
            <v>13500000</v>
          </cell>
          <cell r="AU10">
            <v>13500000</v>
          </cell>
          <cell r="AV10">
            <v>13500000</v>
          </cell>
          <cell r="AW10">
            <v>13500000</v>
          </cell>
          <cell r="AX10">
            <v>13500000</v>
          </cell>
          <cell r="AY10">
            <v>13500000</v>
          </cell>
          <cell r="AZ10">
            <v>13500000</v>
          </cell>
          <cell r="BA10">
            <v>13500000</v>
          </cell>
          <cell r="BB10">
            <v>13500000</v>
          </cell>
          <cell r="BC10">
            <v>13500000</v>
          </cell>
          <cell r="BD10">
            <v>13500000</v>
          </cell>
          <cell r="BE10">
            <v>13500000</v>
          </cell>
          <cell r="BF10">
            <v>13500000</v>
          </cell>
          <cell r="BG10">
            <v>13500000</v>
          </cell>
          <cell r="BH10">
            <v>13500000</v>
          </cell>
          <cell r="BI10">
            <v>13500000</v>
          </cell>
          <cell r="BJ10">
            <v>13500000</v>
          </cell>
          <cell r="BK10">
            <v>13500000</v>
          </cell>
          <cell r="BL10">
            <v>13500000</v>
          </cell>
          <cell r="BM10">
            <v>13500000</v>
          </cell>
          <cell r="BN10">
            <v>13500000</v>
          </cell>
          <cell r="BO10">
            <v>13500000</v>
          </cell>
          <cell r="BP10">
            <v>13500000</v>
          </cell>
          <cell r="BQ10">
            <v>13500000</v>
          </cell>
          <cell r="BR10">
            <v>13500000</v>
          </cell>
          <cell r="BS10">
            <v>13500000</v>
          </cell>
          <cell r="BT10">
            <v>13500000</v>
          </cell>
          <cell r="BU10">
            <v>13500000</v>
          </cell>
          <cell r="BV10">
            <v>13500000</v>
          </cell>
          <cell r="BW10">
            <v>13500000</v>
          </cell>
          <cell r="BX10">
            <v>13500000</v>
          </cell>
          <cell r="BY10">
            <v>13500000</v>
          </cell>
          <cell r="BZ10">
            <v>13500000</v>
          </cell>
          <cell r="CA10">
            <v>13500000</v>
          </cell>
          <cell r="CB10">
            <v>13500000</v>
          </cell>
          <cell r="CC10">
            <v>13500000</v>
          </cell>
          <cell r="CD10">
            <v>13500000</v>
          </cell>
        </row>
        <row r="11">
          <cell r="B11" t="str">
            <v>geothermal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</row>
        <row r="12">
          <cell r="B12" t="str">
            <v>petroleum</v>
          </cell>
          <cell r="C12">
            <v>8663571.9120342694</v>
          </cell>
          <cell r="D12">
            <v>8663571.9120342694</v>
          </cell>
          <cell r="E12">
            <v>8663571.9120342694</v>
          </cell>
          <cell r="F12">
            <v>8663571.9120342694</v>
          </cell>
          <cell r="G12">
            <v>8663571.9120342694</v>
          </cell>
          <cell r="H12">
            <v>8663571.9120342694</v>
          </cell>
          <cell r="I12">
            <v>8663571.9120342694</v>
          </cell>
          <cell r="J12">
            <v>8663571.9120342694</v>
          </cell>
          <cell r="K12">
            <v>8663571.9120342694</v>
          </cell>
          <cell r="L12">
            <v>8663571.9120342694</v>
          </cell>
          <cell r="M12">
            <v>8663571.9120342694</v>
          </cell>
          <cell r="N12">
            <v>8663571.9120342694</v>
          </cell>
          <cell r="O12">
            <v>8663571.9120342694</v>
          </cell>
          <cell r="P12">
            <v>8663571.9120342694</v>
          </cell>
          <cell r="Q12">
            <v>8663571.9120342694</v>
          </cell>
          <cell r="R12">
            <v>8663571.9120342694</v>
          </cell>
          <cell r="S12">
            <v>8663571.9120342694</v>
          </cell>
          <cell r="T12">
            <v>8663571.9120342694</v>
          </cell>
          <cell r="U12">
            <v>8663571.9120342694</v>
          </cell>
          <cell r="V12">
            <v>8663571.9120342694</v>
          </cell>
          <cell r="W12">
            <v>8663571.9120342694</v>
          </cell>
          <cell r="X12">
            <v>8663571.9120342694</v>
          </cell>
          <cell r="Y12">
            <v>8663571.9120342694</v>
          </cell>
          <cell r="Z12">
            <v>8663571.9120342694</v>
          </cell>
          <cell r="AA12">
            <v>8663571.9120342694</v>
          </cell>
          <cell r="AB12">
            <v>8663571.9120342694</v>
          </cell>
          <cell r="AC12">
            <v>8663571.9120342694</v>
          </cell>
          <cell r="AD12">
            <v>8663571.9120342694</v>
          </cell>
          <cell r="AE12">
            <v>8663571.9120342694</v>
          </cell>
          <cell r="AF12">
            <v>8663571.9120342694</v>
          </cell>
          <cell r="AG12">
            <v>8663571.9120342694</v>
          </cell>
          <cell r="AH12">
            <v>8663571.9120342694</v>
          </cell>
          <cell r="AI12">
            <v>8663571.9120342694</v>
          </cell>
          <cell r="AJ12">
            <v>8663571.9120342694</v>
          </cell>
          <cell r="AK12">
            <v>8663571.9120342694</v>
          </cell>
          <cell r="AL12">
            <v>8663571.9120342694</v>
          </cell>
          <cell r="AM12">
            <v>8663571.9120342694</v>
          </cell>
          <cell r="AN12">
            <v>8663571.9120342694</v>
          </cell>
          <cell r="AO12">
            <v>8663571.9120342694</v>
          </cell>
          <cell r="AP12">
            <v>8663571.9120342694</v>
          </cell>
          <cell r="AQ12">
            <v>8663571.9120342694</v>
          </cell>
          <cell r="AR12">
            <v>8663571.9120342694</v>
          </cell>
          <cell r="AS12">
            <v>8663571.9120342694</v>
          </cell>
          <cell r="AT12">
            <v>8663571.9120342694</v>
          </cell>
          <cell r="AU12">
            <v>8663571.9120342694</v>
          </cell>
          <cell r="AV12">
            <v>8663571.9120342694</v>
          </cell>
          <cell r="AW12">
            <v>8663571.9120342694</v>
          </cell>
          <cell r="AX12">
            <v>8663571.9120342694</v>
          </cell>
          <cell r="AY12">
            <v>8663571.9120342694</v>
          </cell>
          <cell r="AZ12">
            <v>8663571.9120342694</v>
          </cell>
          <cell r="BA12">
            <v>8663571.9120342694</v>
          </cell>
          <cell r="BB12">
            <v>8663571.9120342694</v>
          </cell>
          <cell r="BC12">
            <v>8663571.9120342694</v>
          </cell>
          <cell r="BD12">
            <v>8663571.9120342694</v>
          </cell>
          <cell r="BE12">
            <v>8663571.9120342694</v>
          </cell>
          <cell r="BF12">
            <v>8663571.9120342694</v>
          </cell>
          <cell r="BG12">
            <v>8663571.9120342694</v>
          </cell>
          <cell r="BH12">
            <v>8663571.9120342694</v>
          </cell>
          <cell r="BI12">
            <v>8663571.9120342694</v>
          </cell>
          <cell r="BJ12">
            <v>8663571.9120342694</v>
          </cell>
          <cell r="BK12">
            <v>8663571.9120342694</v>
          </cell>
          <cell r="BL12">
            <v>8663571.9120342694</v>
          </cell>
          <cell r="BM12">
            <v>8663571.9120342694</v>
          </cell>
          <cell r="BN12">
            <v>8663571.9120342694</v>
          </cell>
          <cell r="BO12">
            <v>8663571.9120342694</v>
          </cell>
          <cell r="BP12">
            <v>8663571.9120342694</v>
          </cell>
          <cell r="BQ12">
            <v>8663571.9120342694</v>
          </cell>
          <cell r="BR12">
            <v>8663571.9120342694</v>
          </cell>
          <cell r="BS12">
            <v>8663571.9120342694</v>
          </cell>
          <cell r="BT12">
            <v>8663571.9120342694</v>
          </cell>
          <cell r="BU12">
            <v>8663571.9120342694</v>
          </cell>
          <cell r="BV12">
            <v>8663571.9120342694</v>
          </cell>
          <cell r="BW12">
            <v>8663571.9120342694</v>
          </cell>
          <cell r="BX12">
            <v>8663571.9120342694</v>
          </cell>
          <cell r="BY12">
            <v>8663571.9120342694</v>
          </cell>
          <cell r="BZ12">
            <v>8663571.9120342694</v>
          </cell>
          <cell r="CA12">
            <v>8663571.9120342694</v>
          </cell>
          <cell r="CB12">
            <v>8663571.9120342694</v>
          </cell>
          <cell r="CC12">
            <v>8663571.9120342694</v>
          </cell>
          <cell r="CD12">
            <v>8663571.9120342694</v>
          </cell>
        </row>
        <row r="13">
          <cell r="B13" t="str">
            <v>natural gas peaker</v>
          </cell>
          <cell r="C13">
            <v>10239472.658680415</v>
          </cell>
          <cell r="D13">
            <v>10239472.658680415</v>
          </cell>
          <cell r="E13">
            <v>10239472.658680415</v>
          </cell>
          <cell r="F13">
            <v>10239472.658680415</v>
          </cell>
          <cell r="G13">
            <v>10239472.658680415</v>
          </cell>
          <cell r="H13">
            <v>10239472.658680415</v>
          </cell>
          <cell r="I13">
            <v>10239472.658680415</v>
          </cell>
          <cell r="J13">
            <v>10239472.658680415</v>
          </cell>
          <cell r="K13">
            <v>10239472.658680415</v>
          </cell>
          <cell r="L13">
            <v>10239472.658680415</v>
          </cell>
          <cell r="M13">
            <v>10239472.658680415</v>
          </cell>
          <cell r="N13">
            <v>10239472.658680415</v>
          </cell>
          <cell r="O13">
            <v>10239472.658680415</v>
          </cell>
          <cell r="P13">
            <v>10239472.658680415</v>
          </cell>
          <cell r="Q13">
            <v>10239472.658680415</v>
          </cell>
          <cell r="R13">
            <v>10239472.658680415</v>
          </cell>
          <cell r="S13">
            <v>10239472.658680415</v>
          </cell>
          <cell r="T13">
            <v>10239472.658680415</v>
          </cell>
          <cell r="U13">
            <v>10239472.658680415</v>
          </cell>
          <cell r="V13">
            <v>10239472.658680415</v>
          </cell>
          <cell r="W13">
            <v>10239472.658680415</v>
          </cell>
          <cell r="X13">
            <v>10239472.658680415</v>
          </cell>
          <cell r="Y13">
            <v>10239472.658680415</v>
          </cell>
          <cell r="Z13">
            <v>10239472.658680415</v>
          </cell>
          <cell r="AA13">
            <v>10239472.658680415</v>
          </cell>
          <cell r="AB13">
            <v>10239472.658680415</v>
          </cell>
          <cell r="AC13">
            <v>10239472.658680415</v>
          </cell>
          <cell r="AD13">
            <v>10239472.658680415</v>
          </cell>
          <cell r="AE13">
            <v>10239472.658680415</v>
          </cell>
          <cell r="AF13">
            <v>10239472.658680415</v>
          </cell>
          <cell r="AG13">
            <v>10239472.658680415</v>
          </cell>
          <cell r="AH13">
            <v>10239472.658680415</v>
          </cell>
          <cell r="AI13">
            <v>10239472.658680415</v>
          </cell>
          <cell r="AJ13">
            <v>10239472.658680415</v>
          </cell>
          <cell r="AK13">
            <v>10239472.658680415</v>
          </cell>
          <cell r="AL13">
            <v>10239472.658680415</v>
          </cell>
          <cell r="AM13">
            <v>10239472.658680415</v>
          </cell>
          <cell r="AN13">
            <v>10239472.658680415</v>
          </cell>
          <cell r="AO13">
            <v>10239472.658680415</v>
          </cell>
          <cell r="AP13">
            <v>10239472.658680415</v>
          </cell>
          <cell r="AQ13">
            <v>10239472.658680415</v>
          </cell>
          <cell r="AR13">
            <v>10239472.658680415</v>
          </cell>
          <cell r="AS13">
            <v>10239472.658680415</v>
          </cell>
          <cell r="AT13">
            <v>10239472.658680415</v>
          </cell>
          <cell r="AU13">
            <v>10239472.658680415</v>
          </cell>
          <cell r="AV13">
            <v>10239472.658680415</v>
          </cell>
          <cell r="AW13">
            <v>10239472.658680415</v>
          </cell>
          <cell r="AX13">
            <v>10239472.658680415</v>
          </cell>
          <cell r="AY13">
            <v>10239472.658680415</v>
          </cell>
          <cell r="AZ13">
            <v>10239472.658680415</v>
          </cell>
          <cell r="BA13">
            <v>10239472.658680415</v>
          </cell>
          <cell r="BB13">
            <v>10239472.658680415</v>
          </cell>
          <cell r="BC13">
            <v>10239472.658680415</v>
          </cell>
          <cell r="BD13">
            <v>10239472.658680415</v>
          </cell>
          <cell r="BE13">
            <v>10239472.658680415</v>
          </cell>
          <cell r="BF13">
            <v>10239472.658680415</v>
          </cell>
          <cell r="BG13">
            <v>10239472.658680415</v>
          </cell>
          <cell r="BH13">
            <v>10239472.658680415</v>
          </cell>
          <cell r="BI13">
            <v>10239472.658680415</v>
          </cell>
          <cell r="BJ13">
            <v>10239472.658680415</v>
          </cell>
          <cell r="BK13">
            <v>10239472.658680415</v>
          </cell>
          <cell r="BL13">
            <v>10239472.658680415</v>
          </cell>
          <cell r="BM13">
            <v>10239472.658680415</v>
          </cell>
          <cell r="BN13">
            <v>10239472.658680415</v>
          </cell>
          <cell r="BO13">
            <v>10239472.658680415</v>
          </cell>
          <cell r="BP13">
            <v>10239472.658680415</v>
          </cell>
          <cell r="BQ13">
            <v>10239472.658680415</v>
          </cell>
          <cell r="BR13">
            <v>10239472.658680415</v>
          </cell>
          <cell r="BS13">
            <v>10239472.658680415</v>
          </cell>
          <cell r="BT13">
            <v>10239472.658680415</v>
          </cell>
          <cell r="BU13">
            <v>10239472.658680415</v>
          </cell>
          <cell r="BV13">
            <v>10239472.658680415</v>
          </cell>
          <cell r="BW13">
            <v>10239472.658680415</v>
          </cell>
          <cell r="BX13">
            <v>10239472.658680415</v>
          </cell>
          <cell r="BY13">
            <v>10239472.658680415</v>
          </cell>
          <cell r="BZ13">
            <v>10239472.658680415</v>
          </cell>
          <cell r="CA13">
            <v>10239472.658680415</v>
          </cell>
          <cell r="CB13">
            <v>10239472.658680415</v>
          </cell>
          <cell r="CC13">
            <v>10239472.658680415</v>
          </cell>
          <cell r="CD13">
            <v>10239472.658680415</v>
          </cell>
        </row>
        <row r="14">
          <cell r="B14" t="str">
            <v>lignite</v>
          </cell>
          <cell r="C14">
            <v>11911123.651684789</v>
          </cell>
          <cell r="D14">
            <v>11911123.651684789</v>
          </cell>
          <cell r="E14">
            <v>11911123.651684789</v>
          </cell>
          <cell r="F14">
            <v>11911123.651684789</v>
          </cell>
          <cell r="G14">
            <v>11911123.651684789</v>
          </cell>
          <cell r="H14">
            <v>11911123.651684789</v>
          </cell>
          <cell r="I14">
            <v>11911123.651684789</v>
          </cell>
          <cell r="J14">
            <v>11911123.651684789</v>
          </cell>
          <cell r="K14">
            <v>11911123.651684789</v>
          </cell>
          <cell r="L14">
            <v>11911123.651684789</v>
          </cell>
          <cell r="M14">
            <v>11911123.651684789</v>
          </cell>
          <cell r="N14">
            <v>11911123.651684789</v>
          </cell>
          <cell r="O14">
            <v>11911123.651684789</v>
          </cell>
          <cell r="P14">
            <v>11911123.651684789</v>
          </cell>
          <cell r="Q14">
            <v>11911123.651684789</v>
          </cell>
          <cell r="R14">
            <v>11911123.651684789</v>
          </cell>
          <cell r="S14">
            <v>11911123.651684789</v>
          </cell>
          <cell r="T14">
            <v>11911123.651684789</v>
          </cell>
          <cell r="U14">
            <v>11911123.651684789</v>
          </cell>
          <cell r="V14">
            <v>11911123.651684789</v>
          </cell>
          <cell r="W14">
            <v>11911123.651684789</v>
          </cell>
          <cell r="X14">
            <v>11911123.651684789</v>
          </cell>
          <cell r="Y14">
            <v>11911123.651684789</v>
          </cell>
          <cell r="Z14">
            <v>11911123.651684789</v>
          </cell>
          <cell r="AA14">
            <v>11911123.651684789</v>
          </cell>
          <cell r="AB14">
            <v>11911123.651684789</v>
          </cell>
          <cell r="AC14">
            <v>11911123.651684789</v>
          </cell>
          <cell r="AD14">
            <v>11911123.651684789</v>
          </cell>
          <cell r="AE14">
            <v>11911123.651684789</v>
          </cell>
          <cell r="AF14">
            <v>11911123.651684789</v>
          </cell>
          <cell r="AG14">
            <v>11911123.651684789</v>
          </cell>
          <cell r="AH14">
            <v>11911123.651684789</v>
          </cell>
          <cell r="AI14">
            <v>11911123.651684789</v>
          </cell>
          <cell r="AJ14">
            <v>11911123.651684789</v>
          </cell>
          <cell r="AK14">
            <v>11911123.651684789</v>
          </cell>
          <cell r="AL14">
            <v>11911123.651684789</v>
          </cell>
          <cell r="AM14">
            <v>11911123.651684789</v>
          </cell>
          <cell r="AN14">
            <v>11911123.651684789</v>
          </cell>
          <cell r="AO14">
            <v>11911123.651684789</v>
          </cell>
          <cell r="AP14">
            <v>11911123.651684789</v>
          </cell>
          <cell r="AQ14">
            <v>11911123.651684789</v>
          </cell>
          <cell r="AR14">
            <v>11911123.651684789</v>
          </cell>
          <cell r="AS14">
            <v>11911123.651684789</v>
          </cell>
          <cell r="AT14">
            <v>11911123.651684789</v>
          </cell>
          <cell r="AU14">
            <v>11911123.651684789</v>
          </cell>
          <cell r="AV14">
            <v>11911123.651684789</v>
          </cell>
          <cell r="AW14">
            <v>11911123.651684789</v>
          </cell>
          <cell r="AX14">
            <v>11911123.651684789</v>
          </cell>
          <cell r="AY14">
            <v>11911123.651684789</v>
          </cell>
          <cell r="AZ14">
            <v>11911123.651684789</v>
          </cell>
          <cell r="BA14">
            <v>11911123.651684789</v>
          </cell>
          <cell r="BB14">
            <v>11911123.651684789</v>
          </cell>
          <cell r="BC14">
            <v>11911123.651684789</v>
          </cell>
          <cell r="BD14">
            <v>11911123.651684789</v>
          </cell>
          <cell r="BE14">
            <v>11911123.651684789</v>
          </cell>
          <cell r="BF14">
            <v>11911123.651684789</v>
          </cell>
          <cell r="BG14">
            <v>11911123.651684789</v>
          </cell>
          <cell r="BH14">
            <v>11911123.651684789</v>
          </cell>
          <cell r="BI14">
            <v>11911123.651684789</v>
          </cell>
          <cell r="BJ14">
            <v>11911123.651684789</v>
          </cell>
          <cell r="BK14">
            <v>11911123.651684789</v>
          </cell>
          <cell r="BL14">
            <v>11911123.651684789</v>
          </cell>
          <cell r="BM14">
            <v>11911123.651684789</v>
          </cell>
          <cell r="BN14">
            <v>11911123.651684789</v>
          </cell>
          <cell r="BO14">
            <v>11911123.651684789</v>
          </cell>
          <cell r="BP14">
            <v>11911123.651684789</v>
          </cell>
          <cell r="BQ14">
            <v>11911123.651684789</v>
          </cell>
          <cell r="BR14">
            <v>11911123.651684789</v>
          </cell>
          <cell r="BS14">
            <v>11911123.651684789</v>
          </cell>
          <cell r="BT14">
            <v>11911123.651684789</v>
          </cell>
          <cell r="BU14">
            <v>11911123.651684789</v>
          </cell>
          <cell r="BV14">
            <v>11911123.651684789</v>
          </cell>
          <cell r="BW14">
            <v>11911123.651684789</v>
          </cell>
          <cell r="BX14">
            <v>11911123.651684789</v>
          </cell>
          <cell r="BY14">
            <v>11911123.651684789</v>
          </cell>
          <cell r="BZ14">
            <v>11911123.651684789</v>
          </cell>
          <cell r="CA14">
            <v>11911123.651684789</v>
          </cell>
          <cell r="CB14">
            <v>11911123.651684789</v>
          </cell>
          <cell r="CC14">
            <v>11911123.651684789</v>
          </cell>
          <cell r="CD14">
            <v>11911123.651684789</v>
          </cell>
        </row>
        <row r="15">
          <cell r="B15" t="str">
            <v>offshore wind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</row>
        <row r="16">
          <cell r="B16" t="str">
            <v>crude oil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</row>
        <row r="17">
          <cell r="B17" t="str">
            <v>heavy or residual fuel oil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</row>
        <row r="18">
          <cell r="B18" t="str">
            <v>municipal solid waste</v>
          </cell>
          <cell r="C18">
            <v>18734116.290621493</v>
          </cell>
          <cell r="D18">
            <v>18734116.290621493</v>
          </cell>
          <cell r="E18">
            <v>18734116.290621493</v>
          </cell>
          <cell r="F18">
            <v>18734116.290621493</v>
          </cell>
          <cell r="G18">
            <v>18734116.290621493</v>
          </cell>
          <cell r="H18">
            <v>18734116.290621493</v>
          </cell>
          <cell r="I18">
            <v>18734116.290621493</v>
          </cell>
          <cell r="J18">
            <v>18734116.290621493</v>
          </cell>
          <cell r="K18">
            <v>18734116.290621493</v>
          </cell>
          <cell r="L18">
            <v>18734116.290621493</v>
          </cell>
          <cell r="M18">
            <v>18734116.290621493</v>
          </cell>
          <cell r="N18">
            <v>18734116.290621493</v>
          </cell>
          <cell r="O18">
            <v>18734116.290621493</v>
          </cell>
          <cell r="P18">
            <v>18734116.290621493</v>
          </cell>
          <cell r="Q18">
            <v>18734116.290621493</v>
          </cell>
          <cell r="R18">
            <v>18734116.290621493</v>
          </cell>
          <cell r="S18">
            <v>18734116.290621493</v>
          </cell>
          <cell r="T18">
            <v>18734116.290621493</v>
          </cell>
          <cell r="U18">
            <v>18734116.290621493</v>
          </cell>
          <cell r="V18">
            <v>18734116.290621493</v>
          </cell>
          <cell r="W18">
            <v>18734116.290621493</v>
          </cell>
          <cell r="X18">
            <v>18734116.290621493</v>
          </cell>
          <cell r="Y18">
            <v>18734116.290621493</v>
          </cell>
          <cell r="Z18">
            <v>18734116.290621493</v>
          </cell>
          <cell r="AA18">
            <v>18734116.290621493</v>
          </cell>
          <cell r="AB18">
            <v>18734116.290621493</v>
          </cell>
          <cell r="AC18">
            <v>18734116.290621493</v>
          </cell>
          <cell r="AD18">
            <v>18734116.290621493</v>
          </cell>
          <cell r="AE18">
            <v>18734116.290621493</v>
          </cell>
          <cell r="AF18">
            <v>18734116.290621493</v>
          </cell>
          <cell r="AG18">
            <v>18734116.290621493</v>
          </cell>
          <cell r="AH18">
            <v>18734116.290621493</v>
          </cell>
          <cell r="AI18">
            <v>18734116.290621493</v>
          </cell>
          <cell r="AJ18">
            <v>18734116.290621493</v>
          </cell>
          <cell r="AK18">
            <v>18734116.290621493</v>
          </cell>
          <cell r="AL18">
            <v>18734116.290621493</v>
          </cell>
          <cell r="AM18">
            <v>18734116.290621493</v>
          </cell>
          <cell r="AN18">
            <v>18734116.290621493</v>
          </cell>
          <cell r="AO18">
            <v>18734116.290621493</v>
          </cell>
          <cell r="AP18">
            <v>18734116.290621493</v>
          </cell>
          <cell r="AQ18">
            <v>18734116.290621493</v>
          </cell>
          <cell r="AR18">
            <v>18734116.290621493</v>
          </cell>
          <cell r="AS18">
            <v>18734116.290621493</v>
          </cell>
          <cell r="AT18">
            <v>18734116.290621493</v>
          </cell>
          <cell r="AU18">
            <v>18734116.290621493</v>
          </cell>
          <cell r="AV18">
            <v>18734116.290621493</v>
          </cell>
          <cell r="AW18">
            <v>18734116.290621493</v>
          </cell>
          <cell r="AX18">
            <v>18734116.290621493</v>
          </cell>
          <cell r="AY18">
            <v>18734116.290621493</v>
          </cell>
          <cell r="AZ18">
            <v>18734116.290621493</v>
          </cell>
          <cell r="BA18">
            <v>18734116.290621493</v>
          </cell>
          <cell r="BB18">
            <v>18734116.290621493</v>
          </cell>
          <cell r="BC18">
            <v>18734116.290621493</v>
          </cell>
          <cell r="BD18">
            <v>18734116.290621493</v>
          </cell>
          <cell r="BE18">
            <v>18734116.290621493</v>
          </cell>
          <cell r="BF18">
            <v>18734116.290621493</v>
          </cell>
          <cell r="BG18">
            <v>18734116.290621493</v>
          </cell>
          <cell r="BH18">
            <v>18734116.290621493</v>
          </cell>
          <cell r="BI18">
            <v>18734116.290621493</v>
          </cell>
          <cell r="BJ18">
            <v>18734116.290621493</v>
          </cell>
          <cell r="BK18">
            <v>18734116.290621493</v>
          </cell>
          <cell r="BL18">
            <v>18734116.290621493</v>
          </cell>
          <cell r="BM18">
            <v>18734116.290621493</v>
          </cell>
          <cell r="BN18">
            <v>18734116.290621493</v>
          </cell>
          <cell r="BO18">
            <v>18734116.290621493</v>
          </cell>
          <cell r="BP18">
            <v>18734116.290621493</v>
          </cell>
          <cell r="BQ18">
            <v>18734116.290621493</v>
          </cell>
          <cell r="BR18">
            <v>18734116.290621493</v>
          </cell>
          <cell r="BS18">
            <v>18734116.290621493</v>
          </cell>
          <cell r="BT18">
            <v>18734116.290621493</v>
          </cell>
          <cell r="BU18">
            <v>18734116.290621493</v>
          </cell>
          <cell r="BV18">
            <v>18734116.290621493</v>
          </cell>
          <cell r="BW18">
            <v>18734116.290621493</v>
          </cell>
          <cell r="BX18">
            <v>18734116.290621493</v>
          </cell>
          <cell r="BY18">
            <v>18734116.290621493</v>
          </cell>
          <cell r="BZ18">
            <v>18734116.290621493</v>
          </cell>
          <cell r="CA18">
            <v>18734116.290621493</v>
          </cell>
          <cell r="CB18">
            <v>18734116.290621493</v>
          </cell>
          <cell r="CC18">
            <v>18734116.290621493</v>
          </cell>
          <cell r="CD18">
            <v>18734116.290621493</v>
          </cell>
        </row>
        <row r="19">
          <cell r="B19" t="str">
            <v>hard coal w CCS</v>
          </cell>
          <cell r="C19">
            <v>11116000</v>
          </cell>
          <cell r="D19">
            <v>11116000</v>
          </cell>
          <cell r="E19">
            <v>11057000</v>
          </cell>
          <cell r="F19">
            <v>10997000</v>
          </cell>
          <cell r="G19">
            <v>10938000</v>
          </cell>
          <cell r="H19">
            <v>10879000</v>
          </cell>
          <cell r="I19">
            <v>10820000</v>
          </cell>
          <cell r="J19">
            <v>10761000</v>
          </cell>
          <cell r="K19">
            <v>10702000</v>
          </cell>
          <cell r="L19">
            <v>10643000</v>
          </cell>
          <cell r="M19">
            <v>10584000</v>
          </cell>
          <cell r="N19">
            <v>10525000</v>
          </cell>
          <cell r="O19">
            <v>10466000</v>
          </cell>
          <cell r="P19">
            <v>10407000</v>
          </cell>
          <cell r="Q19">
            <v>10348000</v>
          </cell>
          <cell r="R19">
            <v>10348000</v>
          </cell>
          <cell r="S19">
            <v>10348000</v>
          </cell>
          <cell r="T19">
            <v>10348000</v>
          </cell>
          <cell r="U19">
            <v>10348000</v>
          </cell>
          <cell r="V19">
            <v>10348000</v>
          </cell>
          <cell r="W19">
            <v>10348000</v>
          </cell>
          <cell r="X19">
            <v>10348000</v>
          </cell>
          <cell r="Y19">
            <v>10348000</v>
          </cell>
          <cell r="Z19">
            <v>10348000</v>
          </cell>
          <cell r="AA19">
            <v>10348000</v>
          </cell>
          <cell r="AB19">
            <v>10348000</v>
          </cell>
          <cell r="AC19">
            <v>10348000</v>
          </cell>
          <cell r="AD19">
            <v>10348000</v>
          </cell>
          <cell r="AE19">
            <v>10348000</v>
          </cell>
          <cell r="AF19">
            <v>10348000</v>
          </cell>
          <cell r="AG19">
            <v>10348000</v>
          </cell>
          <cell r="AH19">
            <v>10348000</v>
          </cell>
          <cell r="AI19">
            <v>10348000</v>
          </cell>
          <cell r="AJ19">
            <v>10348000</v>
          </cell>
          <cell r="AK19">
            <v>10348000</v>
          </cell>
          <cell r="AL19">
            <v>10348000</v>
          </cell>
          <cell r="AM19">
            <v>10348000</v>
          </cell>
          <cell r="AN19">
            <v>10348000</v>
          </cell>
          <cell r="AO19">
            <v>10348000</v>
          </cell>
          <cell r="AP19">
            <v>10348000</v>
          </cell>
          <cell r="AQ19">
            <v>10348000</v>
          </cell>
          <cell r="AR19">
            <v>10348000</v>
          </cell>
          <cell r="AS19">
            <v>10348000</v>
          </cell>
          <cell r="AT19">
            <v>10348000</v>
          </cell>
          <cell r="AU19">
            <v>10348000</v>
          </cell>
          <cell r="AV19">
            <v>10348000</v>
          </cell>
          <cell r="AW19">
            <v>10348000</v>
          </cell>
          <cell r="AX19">
            <v>10348000</v>
          </cell>
          <cell r="AY19">
            <v>10348000</v>
          </cell>
          <cell r="AZ19">
            <v>10348000</v>
          </cell>
          <cell r="BA19">
            <v>10348000</v>
          </cell>
          <cell r="BB19">
            <v>10348000</v>
          </cell>
          <cell r="BC19">
            <v>10348000</v>
          </cell>
          <cell r="BD19">
            <v>10348000</v>
          </cell>
          <cell r="BE19">
            <v>10348000</v>
          </cell>
          <cell r="BF19">
            <v>10348000</v>
          </cell>
          <cell r="BG19">
            <v>10348000</v>
          </cell>
          <cell r="BH19">
            <v>10348000</v>
          </cell>
          <cell r="BI19">
            <v>10348000</v>
          </cell>
          <cell r="BJ19">
            <v>10348000</v>
          </cell>
          <cell r="BK19">
            <v>10348000</v>
          </cell>
          <cell r="BL19">
            <v>10348000</v>
          </cell>
          <cell r="BM19">
            <v>10348000</v>
          </cell>
          <cell r="BN19">
            <v>10348000</v>
          </cell>
          <cell r="BO19">
            <v>10348000</v>
          </cell>
          <cell r="BP19">
            <v>10348000</v>
          </cell>
          <cell r="BQ19">
            <v>10348000</v>
          </cell>
          <cell r="BR19">
            <v>10348000</v>
          </cell>
          <cell r="BS19">
            <v>10348000</v>
          </cell>
          <cell r="BT19">
            <v>10348000</v>
          </cell>
          <cell r="BU19">
            <v>10348000</v>
          </cell>
          <cell r="BV19">
            <v>10348000</v>
          </cell>
          <cell r="BW19">
            <v>10348000</v>
          </cell>
          <cell r="BX19">
            <v>10348000</v>
          </cell>
          <cell r="BY19">
            <v>10348000</v>
          </cell>
          <cell r="BZ19">
            <v>10348000</v>
          </cell>
          <cell r="CA19">
            <v>10348000</v>
          </cell>
          <cell r="CB19">
            <v>10348000</v>
          </cell>
          <cell r="CC19">
            <v>10348000</v>
          </cell>
          <cell r="CD19">
            <v>10348000</v>
          </cell>
        </row>
        <row r="20">
          <cell r="B20" t="str">
            <v>natural gas combined cycle w CCS</v>
          </cell>
          <cell r="C20">
            <v>7113500</v>
          </cell>
          <cell r="D20">
            <v>7113500</v>
          </cell>
          <cell r="E20">
            <v>7088500</v>
          </cell>
          <cell r="F20">
            <v>7064000</v>
          </cell>
          <cell r="G20">
            <v>7039500</v>
          </cell>
          <cell r="H20">
            <v>7015000.0000000009</v>
          </cell>
          <cell r="I20">
            <v>6990000</v>
          </cell>
          <cell r="J20">
            <v>6966000</v>
          </cell>
          <cell r="K20">
            <v>6941000.0000000009</v>
          </cell>
          <cell r="L20">
            <v>6916500</v>
          </cell>
          <cell r="M20">
            <v>6891500.0000000009</v>
          </cell>
          <cell r="N20">
            <v>6867500</v>
          </cell>
          <cell r="O20">
            <v>6842499.9999999991</v>
          </cell>
          <cell r="P20">
            <v>6818000</v>
          </cell>
          <cell r="Q20">
            <v>6793500</v>
          </cell>
          <cell r="R20">
            <v>6793500</v>
          </cell>
          <cell r="S20">
            <v>6793500</v>
          </cell>
          <cell r="T20">
            <v>6793500</v>
          </cell>
          <cell r="U20">
            <v>6793500</v>
          </cell>
          <cell r="V20">
            <v>6793500</v>
          </cell>
          <cell r="W20">
            <v>6793500</v>
          </cell>
          <cell r="X20">
            <v>6793500</v>
          </cell>
          <cell r="Y20">
            <v>6793500</v>
          </cell>
          <cell r="Z20">
            <v>6793500</v>
          </cell>
          <cell r="AA20">
            <v>6793500</v>
          </cell>
          <cell r="AB20">
            <v>6793500</v>
          </cell>
          <cell r="AC20">
            <v>6793500</v>
          </cell>
          <cell r="AD20">
            <v>6793500</v>
          </cell>
          <cell r="AE20">
            <v>6793500</v>
          </cell>
          <cell r="AF20">
            <v>6793500</v>
          </cell>
          <cell r="AG20">
            <v>6793500</v>
          </cell>
          <cell r="AH20">
            <v>6793500</v>
          </cell>
          <cell r="AI20">
            <v>6793500</v>
          </cell>
          <cell r="AJ20">
            <v>6793500</v>
          </cell>
          <cell r="AK20">
            <v>6793500</v>
          </cell>
          <cell r="AL20">
            <v>6793500</v>
          </cell>
          <cell r="AM20">
            <v>6793500</v>
          </cell>
          <cell r="AN20">
            <v>6793500</v>
          </cell>
          <cell r="AO20">
            <v>6793500</v>
          </cell>
          <cell r="AP20">
            <v>6793500</v>
          </cell>
          <cell r="AQ20">
            <v>6793500</v>
          </cell>
          <cell r="AR20">
            <v>6793500</v>
          </cell>
          <cell r="AS20">
            <v>6793500</v>
          </cell>
          <cell r="AT20">
            <v>6793500</v>
          </cell>
          <cell r="AU20">
            <v>6793500</v>
          </cell>
          <cell r="AV20">
            <v>6793500</v>
          </cell>
          <cell r="AW20">
            <v>6793500</v>
          </cell>
          <cell r="AX20">
            <v>6793500</v>
          </cell>
          <cell r="AY20">
            <v>6793500</v>
          </cell>
          <cell r="AZ20">
            <v>6793500</v>
          </cell>
          <cell r="BA20">
            <v>6793500</v>
          </cell>
          <cell r="BB20">
            <v>6793500</v>
          </cell>
          <cell r="BC20">
            <v>6793500</v>
          </cell>
          <cell r="BD20">
            <v>6793500</v>
          </cell>
          <cell r="BE20">
            <v>6793500</v>
          </cell>
          <cell r="BF20">
            <v>6793500</v>
          </cell>
          <cell r="BG20">
            <v>6793500</v>
          </cell>
          <cell r="BH20">
            <v>6793500</v>
          </cell>
          <cell r="BI20">
            <v>6793500</v>
          </cell>
          <cell r="BJ20">
            <v>6793500</v>
          </cell>
          <cell r="BK20">
            <v>6793500</v>
          </cell>
          <cell r="BL20">
            <v>6793500</v>
          </cell>
          <cell r="BM20">
            <v>6793500</v>
          </cell>
          <cell r="BN20">
            <v>6793500</v>
          </cell>
          <cell r="BO20">
            <v>6793500</v>
          </cell>
          <cell r="BP20">
            <v>6793500</v>
          </cell>
          <cell r="BQ20">
            <v>6793500</v>
          </cell>
          <cell r="BR20">
            <v>6793500</v>
          </cell>
          <cell r="BS20">
            <v>6793500</v>
          </cell>
          <cell r="BT20">
            <v>6793500</v>
          </cell>
          <cell r="BU20">
            <v>6793500</v>
          </cell>
          <cell r="BV20">
            <v>6793500</v>
          </cell>
          <cell r="BW20">
            <v>6793500</v>
          </cell>
          <cell r="BX20">
            <v>6793500</v>
          </cell>
          <cell r="BY20">
            <v>6793500</v>
          </cell>
          <cell r="BZ20">
            <v>6793500</v>
          </cell>
          <cell r="CA20">
            <v>6793500</v>
          </cell>
          <cell r="CB20">
            <v>6793500</v>
          </cell>
          <cell r="CC20">
            <v>6793500</v>
          </cell>
          <cell r="CD20">
            <v>6793500</v>
          </cell>
        </row>
        <row r="21">
          <cell r="B21" t="str">
            <v>biomass w CCS</v>
          </cell>
          <cell r="C21">
            <v>15244000</v>
          </cell>
          <cell r="D21">
            <v>15193000</v>
          </cell>
          <cell r="E21">
            <v>15142000</v>
          </cell>
          <cell r="F21">
            <v>15091000</v>
          </cell>
          <cell r="G21">
            <v>15040000</v>
          </cell>
          <cell r="H21">
            <v>14989000</v>
          </cell>
          <cell r="I21">
            <v>14938000</v>
          </cell>
          <cell r="J21">
            <v>14887000</v>
          </cell>
          <cell r="K21">
            <v>14836000</v>
          </cell>
          <cell r="L21">
            <v>14785000</v>
          </cell>
          <cell r="M21">
            <v>14738800</v>
          </cell>
          <cell r="N21">
            <v>14692600</v>
          </cell>
          <cell r="O21">
            <v>14646400</v>
          </cell>
          <cell r="P21">
            <v>14600200</v>
          </cell>
          <cell r="Q21">
            <v>14554000</v>
          </cell>
          <cell r="R21">
            <v>14507800</v>
          </cell>
          <cell r="S21">
            <v>14461600</v>
          </cell>
          <cell r="T21">
            <v>14415400</v>
          </cell>
          <cell r="U21">
            <v>14369200</v>
          </cell>
          <cell r="V21">
            <v>14323000</v>
          </cell>
          <cell r="W21">
            <v>14276800</v>
          </cell>
          <cell r="X21">
            <v>14230600</v>
          </cell>
          <cell r="Y21">
            <v>14184400</v>
          </cell>
          <cell r="Z21">
            <v>14138200</v>
          </cell>
          <cell r="AA21">
            <v>14092000</v>
          </cell>
          <cell r="AB21">
            <v>14045800</v>
          </cell>
          <cell r="AC21">
            <v>13999600</v>
          </cell>
          <cell r="AD21">
            <v>13953400</v>
          </cell>
          <cell r="AE21">
            <v>13907200</v>
          </cell>
          <cell r="AF21">
            <v>13861000</v>
          </cell>
          <cell r="AG21">
            <v>13861000</v>
          </cell>
          <cell r="AH21">
            <v>13861000</v>
          </cell>
          <cell r="AI21">
            <v>13861000</v>
          </cell>
          <cell r="AJ21">
            <v>13861000</v>
          </cell>
          <cell r="AK21">
            <v>13861000</v>
          </cell>
          <cell r="AL21">
            <v>13861000</v>
          </cell>
          <cell r="AM21">
            <v>13861000</v>
          </cell>
          <cell r="AN21">
            <v>13861000</v>
          </cell>
          <cell r="AO21">
            <v>13861000</v>
          </cell>
          <cell r="AP21">
            <v>13861000</v>
          </cell>
          <cell r="AQ21">
            <v>13861000</v>
          </cell>
          <cell r="AR21">
            <v>13861000</v>
          </cell>
          <cell r="AS21">
            <v>13861000</v>
          </cell>
          <cell r="AT21">
            <v>13861000</v>
          </cell>
          <cell r="AU21">
            <v>13861000</v>
          </cell>
          <cell r="AV21">
            <v>13861000</v>
          </cell>
          <cell r="AW21">
            <v>13861000</v>
          </cell>
          <cell r="AX21">
            <v>13861000</v>
          </cell>
          <cell r="AY21">
            <v>13861000</v>
          </cell>
          <cell r="AZ21">
            <v>13861000</v>
          </cell>
          <cell r="BA21">
            <v>13861000</v>
          </cell>
          <cell r="BB21">
            <v>13861000</v>
          </cell>
          <cell r="BC21">
            <v>13861000</v>
          </cell>
          <cell r="BD21">
            <v>13861000</v>
          </cell>
          <cell r="BE21">
            <v>13861000</v>
          </cell>
          <cell r="BF21">
            <v>13861000</v>
          </cell>
          <cell r="BG21">
            <v>13861000</v>
          </cell>
          <cell r="BH21">
            <v>13861000</v>
          </cell>
          <cell r="BI21">
            <v>13861000</v>
          </cell>
          <cell r="BJ21">
            <v>13861000</v>
          </cell>
          <cell r="BK21">
            <v>13861000</v>
          </cell>
          <cell r="BL21">
            <v>13861000</v>
          </cell>
          <cell r="BM21">
            <v>13861000</v>
          </cell>
          <cell r="BN21">
            <v>13861000</v>
          </cell>
          <cell r="BO21">
            <v>13861000</v>
          </cell>
          <cell r="BP21">
            <v>13861000</v>
          </cell>
          <cell r="BQ21">
            <v>13861000</v>
          </cell>
          <cell r="BR21">
            <v>13861000</v>
          </cell>
          <cell r="BS21">
            <v>13861000</v>
          </cell>
          <cell r="BT21">
            <v>13861000</v>
          </cell>
          <cell r="BU21">
            <v>13861000</v>
          </cell>
          <cell r="BV21">
            <v>13861000</v>
          </cell>
          <cell r="BW21">
            <v>13861000</v>
          </cell>
          <cell r="BX21">
            <v>13861000</v>
          </cell>
          <cell r="BY21">
            <v>13861000</v>
          </cell>
          <cell r="BZ21">
            <v>13861000</v>
          </cell>
          <cell r="CA21">
            <v>13861000</v>
          </cell>
          <cell r="CB21">
            <v>13861000</v>
          </cell>
          <cell r="CC21">
            <v>13861000</v>
          </cell>
          <cell r="CD21">
            <v>13861000</v>
          </cell>
        </row>
        <row r="22">
          <cell r="B22" t="str">
            <v>lignite w CCS</v>
          </cell>
          <cell r="C22">
            <v>11116000</v>
          </cell>
          <cell r="D22">
            <v>11116000</v>
          </cell>
          <cell r="E22">
            <v>11057000</v>
          </cell>
          <cell r="F22">
            <v>10997000</v>
          </cell>
          <cell r="G22">
            <v>10938000</v>
          </cell>
          <cell r="H22">
            <v>10879000</v>
          </cell>
          <cell r="I22">
            <v>10820000</v>
          </cell>
          <cell r="J22">
            <v>10761000</v>
          </cell>
          <cell r="K22">
            <v>10702000</v>
          </cell>
          <cell r="L22">
            <v>10643000</v>
          </cell>
          <cell r="M22">
            <v>10584000</v>
          </cell>
          <cell r="N22">
            <v>10525000</v>
          </cell>
          <cell r="O22">
            <v>10466000</v>
          </cell>
          <cell r="P22">
            <v>10407000</v>
          </cell>
          <cell r="Q22">
            <v>10348000</v>
          </cell>
          <cell r="R22">
            <v>10348000</v>
          </cell>
          <cell r="S22">
            <v>10348000</v>
          </cell>
          <cell r="T22">
            <v>10348000</v>
          </cell>
          <cell r="U22">
            <v>10348000</v>
          </cell>
          <cell r="V22">
            <v>10348000</v>
          </cell>
          <cell r="W22">
            <v>10348000</v>
          </cell>
          <cell r="X22">
            <v>10348000</v>
          </cell>
          <cell r="Y22">
            <v>10348000</v>
          </cell>
          <cell r="Z22">
            <v>10348000</v>
          </cell>
          <cell r="AA22">
            <v>10348000</v>
          </cell>
          <cell r="AB22">
            <v>10348000</v>
          </cell>
          <cell r="AC22">
            <v>10348000</v>
          </cell>
          <cell r="AD22">
            <v>10348000</v>
          </cell>
          <cell r="AE22">
            <v>10348000</v>
          </cell>
          <cell r="AF22">
            <v>10348000</v>
          </cell>
          <cell r="AG22">
            <v>10348000</v>
          </cell>
          <cell r="AH22">
            <v>10348000</v>
          </cell>
          <cell r="AI22">
            <v>10348000</v>
          </cell>
          <cell r="AJ22">
            <v>10348000</v>
          </cell>
          <cell r="AK22">
            <v>10348000</v>
          </cell>
          <cell r="AL22">
            <v>10348000</v>
          </cell>
          <cell r="AM22">
            <v>10348000</v>
          </cell>
          <cell r="AN22">
            <v>10348000</v>
          </cell>
          <cell r="AO22">
            <v>10348000</v>
          </cell>
          <cell r="AP22">
            <v>10348000</v>
          </cell>
          <cell r="AQ22">
            <v>10348000</v>
          </cell>
          <cell r="AR22">
            <v>10348000</v>
          </cell>
          <cell r="AS22">
            <v>10348000</v>
          </cell>
          <cell r="AT22">
            <v>10348000</v>
          </cell>
          <cell r="AU22">
            <v>10348000</v>
          </cell>
          <cell r="AV22">
            <v>10348000</v>
          </cell>
          <cell r="AW22">
            <v>10348000</v>
          </cell>
          <cell r="AX22">
            <v>10348000</v>
          </cell>
          <cell r="AY22">
            <v>10348000</v>
          </cell>
          <cell r="AZ22">
            <v>10348000</v>
          </cell>
          <cell r="BA22">
            <v>10348000</v>
          </cell>
          <cell r="BB22">
            <v>10348000</v>
          </cell>
          <cell r="BC22">
            <v>10348000</v>
          </cell>
          <cell r="BD22">
            <v>10348000</v>
          </cell>
          <cell r="BE22">
            <v>10348000</v>
          </cell>
          <cell r="BF22">
            <v>10348000</v>
          </cell>
          <cell r="BG22">
            <v>10348000</v>
          </cell>
          <cell r="BH22">
            <v>10348000</v>
          </cell>
          <cell r="BI22">
            <v>10348000</v>
          </cell>
          <cell r="BJ22">
            <v>10348000</v>
          </cell>
          <cell r="BK22">
            <v>10348000</v>
          </cell>
          <cell r="BL22">
            <v>10348000</v>
          </cell>
          <cell r="BM22">
            <v>10348000</v>
          </cell>
          <cell r="BN22">
            <v>10348000</v>
          </cell>
          <cell r="BO22">
            <v>10348000</v>
          </cell>
          <cell r="BP22">
            <v>10348000</v>
          </cell>
          <cell r="BQ22">
            <v>10348000</v>
          </cell>
          <cell r="BR22">
            <v>10348000</v>
          </cell>
          <cell r="BS22">
            <v>10348000</v>
          </cell>
          <cell r="BT22">
            <v>10348000</v>
          </cell>
          <cell r="BU22">
            <v>10348000</v>
          </cell>
          <cell r="BV22">
            <v>10348000</v>
          </cell>
          <cell r="BW22">
            <v>10348000</v>
          </cell>
          <cell r="BX22">
            <v>10348000</v>
          </cell>
          <cell r="BY22">
            <v>10348000</v>
          </cell>
          <cell r="BZ22">
            <v>10348000</v>
          </cell>
          <cell r="CA22">
            <v>10348000</v>
          </cell>
          <cell r="CB22">
            <v>10348000</v>
          </cell>
          <cell r="CC22">
            <v>10348000</v>
          </cell>
          <cell r="CD22">
            <v>10348000</v>
          </cell>
        </row>
        <row r="23">
          <cell r="B23" t="str">
            <v>small modular reactor</v>
          </cell>
          <cell r="C23">
            <v>10447000</v>
          </cell>
          <cell r="D23">
            <v>10447000</v>
          </cell>
          <cell r="E23">
            <v>10447000</v>
          </cell>
          <cell r="F23">
            <v>10447000</v>
          </cell>
          <cell r="G23">
            <v>10447000</v>
          </cell>
          <cell r="H23">
            <v>10447000</v>
          </cell>
          <cell r="I23">
            <v>10447000</v>
          </cell>
          <cell r="J23">
            <v>10447000</v>
          </cell>
          <cell r="K23">
            <v>10447000</v>
          </cell>
          <cell r="L23">
            <v>10447000</v>
          </cell>
          <cell r="M23">
            <v>10447000</v>
          </cell>
          <cell r="N23">
            <v>10447000</v>
          </cell>
          <cell r="O23">
            <v>10447000</v>
          </cell>
          <cell r="P23">
            <v>10447000</v>
          </cell>
          <cell r="Q23">
            <v>10447000</v>
          </cell>
          <cell r="R23">
            <v>10447000</v>
          </cell>
          <cell r="S23">
            <v>10447000</v>
          </cell>
          <cell r="T23">
            <v>10447000</v>
          </cell>
          <cell r="U23">
            <v>10447000</v>
          </cell>
          <cell r="V23">
            <v>10447000</v>
          </cell>
          <cell r="W23">
            <v>10447000</v>
          </cell>
          <cell r="X23">
            <v>10447000</v>
          </cell>
          <cell r="Y23">
            <v>10447000</v>
          </cell>
          <cell r="Z23">
            <v>10447000</v>
          </cell>
          <cell r="AA23">
            <v>10447000</v>
          </cell>
          <cell r="AB23">
            <v>10447000</v>
          </cell>
          <cell r="AC23">
            <v>10447000</v>
          </cell>
          <cell r="AD23">
            <v>10447000</v>
          </cell>
          <cell r="AE23">
            <v>10447000</v>
          </cell>
          <cell r="AF23">
            <v>10447000</v>
          </cell>
          <cell r="AG23">
            <v>10447000</v>
          </cell>
          <cell r="AH23">
            <v>10447000</v>
          </cell>
          <cell r="AI23">
            <v>10447000</v>
          </cell>
          <cell r="AJ23">
            <v>10447000</v>
          </cell>
          <cell r="AK23">
            <v>10447000</v>
          </cell>
          <cell r="AL23">
            <v>10447000</v>
          </cell>
          <cell r="AM23">
            <v>10447000</v>
          </cell>
          <cell r="AN23">
            <v>10447000</v>
          </cell>
          <cell r="AO23">
            <v>10447000</v>
          </cell>
          <cell r="AP23">
            <v>10447000</v>
          </cell>
          <cell r="AQ23">
            <v>10447000</v>
          </cell>
          <cell r="AR23">
            <v>10447000</v>
          </cell>
          <cell r="AS23">
            <v>10447000</v>
          </cell>
          <cell r="AT23">
            <v>10447000</v>
          </cell>
          <cell r="AU23">
            <v>10447000</v>
          </cell>
          <cell r="AV23">
            <v>10447000</v>
          </cell>
          <cell r="AW23">
            <v>10447000</v>
          </cell>
          <cell r="AX23">
            <v>10447000</v>
          </cell>
          <cell r="AY23">
            <v>10447000</v>
          </cell>
          <cell r="AZ23">
            <v>10447000</v>
          </cell>
          <cell r="BA23">
            <v>10447000</v>
          </cell>
          <cell r="BB23">
            <v>10447000</v>
          </cell>
          <cell r="BC23">
            <v>10447000</v>
          </cell>
          <cell r="BD23">
            <v>10447000</v>
          </cell>
          <cell r="BE23">
            <v>10447000</v>
          </cell>
          <cell r="BF23">
            <v>10447000</v>
          </cell>
          <cell r="BG23">
            <v>10447000</v>
          </cell>
          <cell r="BH23">
            <v>10447000</v>
          </cell>
          <cell r="BI23">
            <v>10447000</v>
          </cell>
          <cell r="BJ23">
            <v>10447000</v>
          </cell>
          <cell r="BK23">
            <v>10447000</v>
          </cell>
          <cell r="BL23">
            <v>10447000</v>
          </cell>
          <cell r="BM23">
            <v>10447000</v>
          </cell>
          <cell r="BN23">
            <v>10447000</v>
          </cell>
          <cell r="BO23">
            <v>10447000</v>
          </cell>
          <cell r="BP23">
            <v>10447000</v>
          </cell>
          <cell r="BQ23">
            <v>10447000</v>
          </cell>
          <cell r="BR23">
            <v>10447000</v>
          </cell>
          <cell r="BS23">
            <v>10447000</v>
          </cell>
          <cell r="BT23">
            <v>10447000</v>
          </cell>
          <cell r="BU23">
            <v>10447000</v>
          </cell>
          <cell r="BV23">
            <v>10447000</v>
          </cell>
          <cell r="BW23">
            <v>10447000</v>
          </cell>
          <cell r="BX23">
            <v>10447000</v>
          </cell>
          <cell r="BY23">
            <v>10447000</v>
          </cell>
          <cell r="BZ23">
            <v>10447000</v>
          </cell>
          <cell r="CA23">
            <v>10447000</v>
          </cell>
          <cell r="CB23">
            <v>10447000</v>
          </cell>
          <cell r="CC23">
            <v>10447000</v>
          </cell>
          <cell r="CD23">
            <v>10447000</v>
          </cell>
        </row>
        <row r="24">
          <cell r="B24" t="str">
            <v>hydrogen combustion turbine</v>
          </cell>
          <cell r="C24">
            <v>10239472.658680415</v>
          </cell>
          <cell r="D24">
            <v>10239472.658680415</v>
          </cell>
          <cell r="E24">
            <v>10239472.658680415</v>
          </cell>
          <cell r="F24">
            <v>10239472.658680415</v>
          </cell>
          <cell r="G24">
            <v>10239472.658680415</v>
          </cell>
          <cell r="H24">
            <v>10239472.658680415</v>
          </cell>
          <cell r="I24">
            <v>10239472.658680415</v>
          </cell>
          <cell r="J24">
            <v>10239472.658680415</v>
          </cell>
          <cell r="K24">
            <v>10239472.658680415</v>
          </cell>
          <cell r="L24">
            <v>10239472.658680415</v>
          </cell>
          <cell r="M24">
            <v>10239472.658680415</v>
          </cell>
          <cell r="N24">
            <v>10239472.658680415</v>
          </cell>
          <cell r="O24">
            <v>10239472.658680415</v>
          </cell>
          <cell r="P24">
            <v>10239472.658680415</v>
          </cell>
          <cell r="Q24">
            <v>10239472.658680415</v>
          </cell>
          <cell r="R24">
            <v>10239472.658680415</v>
          </cell>
          <cell r="S24">
            <v>10239472.658680415</v>
          </cell>
          <cell r="T24">
            <v>10239472.658680415</v>
          </cell>
          <cell r="U24">
            <v>10239472.658680415</v>
          </cell>
          <cell r="V24">
            <v>10239472.658680415</v>
          </cell>
          <cell r="W24">
            <v>10239472.658680415</v>
          </cell>
          <cell r="X24">
            <v>10239472.658680415</v>
          </cell>
          <cell r="Y24">
            <v>10239472.658680415</v>
          </cell>
          <cell r="Z24">
            <v>10239472.658680415</v>
          </cell>
          <cell r="AA24">
            <v>10239472.658680415</v>
          </cell>
          <cell r="AB24">
            <v>10239472.658680415</v>
          </cell>
          <cell r="AC24">
            <v>10239472.658680415</v>
          </cell>
          <cell r="AD24">
            <v>10239472.658680415</v>
          </cell>
          <cell r="AE24">
            <v>10239472.658680415</v>
          </cell>
          <cell r="AF24">
            <v>10239472.658680415</v>
          </cell>
          <cell r="AG24">
            <v>10239472.658680415</v>
          </cell>
          <cell r="AH24">
            <v>10239472.658680415</v>
          </cell>
          <cell r="AI24">
            <v>10239472.658680415</v>
          </cell>
          <cell r="AJ24">
            <v>10239472.658680415</v>
          </cell>
          <cell r="AK24">
            <v>10239472.658680415</v>
          </cell>
          <cell r="AL24">
            <v>10239472.658680415</v>
          </cell>
          <cell r="AM24">
            <v>10239472.658680415</v>
          </cell>
          <cell r="AN24">
            <v>10239472.658680415</v>
          </cell>
          <cell r="AO24">
            <v>10239472.658680415</v>
          </cell>
          <cell r="AP24">
            <v>10239472.658680415</v>
          </cell>
          <cell r="AQ24">
            <v>10239472.658680415</v>
          </cell>
          <cell r="AR24">
            <v>10239472.658680415</v>
          </cell>
          <cell r="AS24">
            <v>10239472.658680415</v>
          </cell>
          <cell r="AT24">
            <v>10239472.658680415</v>
          </cell>
          <cell r="AU24">
            <v>10239472.658680415</v>
          </cell>
          <cell r="AV24">
            <v>10239472.658680415</v>
          </cell>
          <cell r="AW24">
            <v>10239472.658680415</v>
          </cell>
          <cell r="AX24">
            <v>10239472.658680415</v>
          </cell>
          <cell r="AY24">
            <v>10239472.658680415</v>
          </cell>
          <cell r="AZ24">
            <v>10239472.658680415</v>
          </cell>
          <cell r="BA24">
            <v>10239472.658680415</v>
          </cell>
          <cell r="BB24">
            <v>10239472.658680415</v>
          </cell>
          <cell r="BC24">
            <v>10239472.658680415</v>
          </cell>
          <cell r="BD24">
            <v>10239472.658680415</v>
          </cell>
          <cell r="BE24">
            <v>10239472.658680415</v>
          </cell>
          <cell r="BF24">
            <v>10239472.658680415</v>
          </cell>
          <cell r="BG24">
            <v>10239472.658680415</v>
          </cell>
          <cell r="BH24">
            <v>10239472.658680415</v>
          </cell>
          <cell r="BI24">
            <v>10239472.658680415</v>
          </cell>
          <cell r="BJ24">
            <v>10239472.658680415</v>
          </cell>
          <cell r="BK24">
            <v>10239472.658680415</v>
          </cell>
          <cell r="BL24">
            <v>10239472.658680415</v>
          </cell>
          <cell r="BM24">
            <v>10239472.658680415</v>
          </cell>
          <cell r="BN24">
            <v>10239472.658680415</v>
          </cell>
          <cell r="BO24">
            <v>10239472.658680415</v>
          </cell>
          <cell r="BP24">
            <v>10239472.658680415</v>
          </cell>
          <cell r="BQ24">
            <v>10239472.658680415</v>
          </cell>
          <cell r="BR24">
            <v>10239472.658680415</v>
          </cell>
          <cell r="BS24">
            <v>10239472.658680415</v>
          </cell>
          <cell r="BT24">
            <v>10239472.658680415</v>
          </cell>
          <cell r="BU24">
            <v>10239472.658680415</v>
          </cell>
          <cell r="BV24">
            <v>10239472.658680415</v>
          </cell>
          <cell r="BW24">
            <v>10239472.658680415</v>
          </cell>
          <cell r="BX24">
            <v>10239472.658680415</v>
          </cell>
          <cell r="BY24">
            <v>10239472.658680415</v>
          </cell>
          <cell r="BZ24">
            <v>10239472.658680415</v>
          </cell>
          <cell r="CA24">
            <v>10239472.658680415</v>
          </cell>
          <cell r="CB24">
            <v>10239472.658680415</v>
          </cell>
          <cell r="CC24">
            <v>10239472.658680415</v>
          </cell>
          <cell r="CD24">
            <v>10239472.658680415</v>
          </cell>
        </row>
        <row r="25">
          <cell r="B25" t="str">
            <v>hydrogen combined cycle</v>
          </cell>
          <cell r="C25">
            <v>6279500.0000000009</v>
          </cell>
          <cell r="D25">
            <v>6279500.0000000009</v>
          </cell>
          <cell r="E25">
            <v>6267500</v>
          </cell>
          <cell r="F25">
            <v>6254500</v>
          </cell>
          <cell r="G25">
            <v>6242000</v>
          </cell>
          <cell r="H25">
            <v>6229500</v>
          </cell>
          <cell r="I25">
            <v>6217500</v>
          </cell>
          <cell r="J25">
            <v>6204499.9999999991</v>
          </cell>
          <cell r="K25">
            <v>6192000</v>
          </cell>
          <cell r="L25">
            <v>6180000</v>
          </cell>
          <cell r="M25">
            <v>6167000</v>
          </cell>
          <cell r="N25">
            <v>6154500.0000000009</v>
          </cell>
          <cell r="O25">
            <v>6142000</v>
          </cell>
          <cell r="P25">
            <v>6130000</v>
          </cell>
          <cell r="Q25">
            <v>6117000</v>
          </cell>
          <cell r="R25">
            <v>6117000</v>
          </cell>
          <cell r="S25">
            <v>6117000</v>
          </cell>
          <cell r="T25">
            <v>6117000</v>
          </cell>
          <cell r="U25">
            <v>6117000</v>
          </cell>
          <cell r="V25">
            <v>6117000</v>
          </cell>
          <cell r="W25">
            <v>6117000</v>
          </cell>
          <cell r="X25">
            <v>6117000</v>
          </cell>
          <cell r="Y25">
            <v>6117000</v>
          </cell>
          <cell r="Z25">
            <v>6117000</v>
          </cell>
          <cell r="AA25">
            <v>6117000</v>
          </cell>
          <cell r="AB25">
            <v>6117000</v>
          </cell>
          <cell r="AC25">
            <v>6117000</v>
          </cell>
          <cell r="AD25">
            <v>6117000</v>
          </cell>
          <cell r="AE25">
            <v>6117000</v>
          </cell>
          <cell r="AF25">
            <v>6117000</v>
          </cell>
          <cell r="AG25">
            <v>6117000</v>
          </cell>
          <cell r="AH25">
            <v>6117000</v>
          </cell>
          <cell r="AI25">
            <v>6117000</v>
          </cell>
          <cell r="AJ25">
            <v>6117000</v>
          </cell>
          <cell r="AK25">
            <v>6117000</v>
          </cell>
          <cell r="AL25">
            <v>6117000</v>
          </cell>
          <cell r="AM25">
            <v>6117000</v>
          </cell>
          <cell r="AN25">
            <v>6117000</v>
          </cell>
          <cell r="AO25">
            <v>6117000</v>
          </cell>
          <cell r="AP25">
            <v>6117000</v>
          </cell>
          <cell r="AQ25">
            <v>6117000</v>
          </cell>
          <cell r="AR25">
            <v>6117000</v>
          </cell>
          <cell r="AS25">
            <v>6117000</v>
          </cell>
          <cell r="AT25">
            <v>6117000</v>
          </cell>
          <cell r="AU25">
            <v>6117000</v>
          </cell>
          <cell r="AV25">
            <v>6117000</v>
          </cell>
          <cell r="AW25">
            <v>6117000</v>
          </cell>
          <cell r="AX25">
            <v>6117000</v>
          </cell>
          <cell r="AY25">
            <v>6117000</v>
          </cell>
          <cell r="AZ25">
            <v>6117000</v>
          </cell>
          <cell r="BA25">
            <v>6117000</v>
          </cell>
          <cell r="BB25">
            <v>6117000</v>
          </cell>
          <cell r="BC25">
            <v>6117000</v>
          </cell>
          <cell r="BD25">
            <v>6117000</v>
          </cell>
          <cell r="BE25">
            <v>6117000</v>
          </cell>
          <cell r="BF25">
            <v>6117000</v>
          </cell>
          <cell r="BG25">
            <v>6117000</v>
          </cell>
          <cell r="BH25">
            <v>6117000</v>
          </cell>
          <cell r="BI25">
            <v>6117000</v>
          </cell>
          <cell r="BJ25">
            <v>6117000</v>
          </cell>
          <cell r="BK25">
            <v>6117000</v>
          </cell>
          <cell r="BL25">
            <v>6117000</v>
          </cell>
          <cell r="BM25">
            <v>6117000</v>
          </cell>
          <cell r="BN25">
            <v>6117000</v>
          </cell>
          <cell r="BO25">
            <v>6117000</v>
          </cell>
          <cell r="BP25">
            <v>6117000</v>
          </cell>
          <cell r="BQ25">
            <v>6117000</v>
          </cell>
          <cell r="BR25">
            <v>6117000</v>
          </cell>
          <cell r="BS25">
            <v>6117000</v>
          </cell>
          <cell r="BT25">
            <v>6117000</v>
          </cell>
          <cell r="BU25">
            <v>6117000</v>
          </cell>
          <cell r="BV25">
            <v>6117000</v>
          </cell>
          <cell r="BW25">
            <v>6117000</v>
          </cell>
          <cell r="BX25">
            <v>6117000</v>
          </cell>
          <cell r="BY25">
            <v>6117000</v>
          </cell>
          <cell r="BZ25">
            <v>6117000</v>
          </cell>
          <cell r="CA25">
            <v>6117000</v>
          </cell>
          <cell r="CB25">
            <v>6117000</v>
          </cell>
          <cell r="CC25">
            <v>6117000</v>
          </cell>
          <cell r="CD25">
            <v>6117000</v>
          </cell>
        </row>
      </sheetData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ahcyt.mx/wp-content/uploads/pronaces/micrositios/energia_y_cambio_climatico/energia/cuadernos_tematicos/Cuaderno_9.pdf" TargetMode="External"/><Relationship Id="rId2" Type="http://schemas.openxmlformats.org/officeDocument/2006/relationships/hyperlink" Target="https://www.cenace.gob.mx/APSIM.aspx" TargetMode="External"/><Relationship Id="rId1" Type="http://schemas.openxmlformats.org/officeDocument/2006/relationships/hyperlink" Target="https://obtrenmx.org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gob.mx/cms/uploads/attachment/file/947752/BALANCE_NACIONAL_DE_ENERG_A_PRELIMINAR_2023.pdf" TargetMode="External"/><Relationship Id="rId4" Type="http://schemas.openxmlformats.org/officeDocument/2006/relationships/hyperlink" Target="https://www.gob.mx/sener/articulos/programa-de-desarrollo-del-sistema-electrico-nacional-2024-203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opLeftCell="A26" workbookViewId="0">
      <selection activeCell="A31" sqref="A31:XFD31"/>
    </sheetView>
  </sheetViews>
  <sheetFormatPr defaultColWidth="9.140625" defaultRowHeight="15" x14ac:dyDescent="0.25"/>
  <cols>
    <col min="1" max="1" width="10.85546875" customWidth="1"/>
    <col min="2" max="2" width="30.5703125" customWidth="1"/>
    <col min="3" max="3" width="30.7109375" customWidth="1"/>
    <col min="4" max="4" width="9.7109375" bestFit="1" customWidth="1"/>
  </cols>
  <sheetData>
    <row r="1" spans="1:8" x14ac:dyDescent="0.25">
      <c r="A1" s="1" t="s">
        <v>0</v>
      </c>
      <c r="B1" s="1"/>
      <c r="C1" s="1"/>
      <c r="D1" s="5"/>
      <c r="G1" s="6"/>
      <c r="H1" s="6"/>
    </row>
    <row r="2" spans="1:8" x14ac:dyDescent="0.25">
      <c r="G2" s="6"/>
      <c r="H2" s="6"/>
    </row>
    <row r="3" spans="1:8" x14ac:dyDescent="0.25">
      <c r="A3" s="1" t="s">
        <v>1</v>
      </c>
      <c r="B3" s="1" t="s">
        <v>2</v>
      </c>
      <c r="C3" s="1"/>
      <c r="D3" t="s">
        <v>3</v>
      </c>
      <c r="G3" s="6"/>
      <c r="H3" s="6"/>
    </row>
    <row r="4" spans="1:8" x14ac:dyDescent="0.25">
      <c r="B4" t="s">
        <v>4</v>
      </c>
      <c r="G4" s="6"/>
      <c r="H4" s="6"/>
    </row>
    <row r="5" spans="1:8" x14ac:dyDescent="0.25">
      <c r="B5" t="s">
        <v>5</v>
      </c>
      <c r="G5" s="6"/>
      <c r="H5" s="6"/>
    </row>
    <row r="6" spans="1:8" x14ac:dyDescent="0.25">
      <c r="B6" s="3" t="s">
        <v>6</v>
      </c>
      <c r="G6" s="6"/>
      <c r="H6" s="6"/>
    </row>
    <row r="7" spans="1:8" x14ac:dyDescent="0.25">
      <c r="B7" t="s">
        <v>7</v>
      </c>
      <c r="G7" s="6"/>
      <c r="H7" s="6"/>
    </row>
    <row r="8" spans="1:8" x14ac:dyDescent="0.25">
      <c r="B8" s="3" t="s">
        <v>8</v>
      </c>
      <c r="G8" s="6"/>
      <c r="H8" s="6"/>
    </row>
    <row r="9" spans="1:8" x14ac:dyDescent="0.25">
      <c r="B9" s="3"/>
      <c r="G9" s="6"/>
      <c r="H9" s="6"/>
    </row>
    <row r="10" spans="1:8" x14ac:dyDescent="0.25">
      <c r="B10" s="1" t="s">
        <v>9</v>
      </c>
      <c r="D10" t="s">
        <v>10</v>
      </c>
      <c r="G10" s="6"/>
      <c r="H10" s="6"/>
    </row>
    <row r="11" spans="1:8" x14ac:dyDescent="0.25">
      <c r="B11" s="2">
        <v>2024</v>
      </c>
      <c r="G11" s="6"/>
      <c r="H11" s="6"/>
    </row>
    <row r="12" spans="1:8" x14ac:dyDescent="0.25">
      <c r="B12" t="s">
        <v>11</v>
      </c>
      <c r="G12" s="6"/>
      <c r="H12" s="6"/>
    </row>
    <row r="13" spans="1:8" x14ac:dyDescent="0.25">
      <c r="B13" s="3" t="s">
        <v>12</v>
      </c>
      <c r="G13" s="6"/>
      <c r="H13" s="6"/>
    </row>
    <row r="14" spans="1:8" x14ac:dyDescent="0.25">
      <c r="B14" t="s">
        <v>13</v>
      </c>
      <c r="G14" s="6"/>
      <c r="H14" s="6"/>
    </row>
    <row r="15" spans="1:8" x14ac:dyDescent="0.25">
      <c r="G15" s="6"/>
      <c r="H15" s="6"/>
    </row>
    <row r="16" spans="1:8" x14ac:dyDescent="0.25">
      <c r="B16" s="1" t="s">
        <v>14</v>
      </c>
      <c r="D16" t="s">
        <v>15</v>
      </c>
      <c r="G16" s="6"/>
      <c r="H16" s="6"/>
    </row>
    <row r="17" spans="1:8" x14ac:dyDescent="0.25">
      <c r="B17" t="s">
        <v>16</v>
      </c>
      <c r="G17" s="6"/>
      <c r="H17" s="6"/>
    </row>
    <row r="18" spans="1:8" x14ac:dyDescent="0.25">
      <c r="B18">
        <v>2024</v>
      </c>
      <c r="G18" s="6"/>
      <c r="H18" s="6"/>
    </row>
    <row r="19" spans="1:8" x14ac:dyDescent="0.25">
      <c r="B19" t="s">
        <v>17</v>
      </c>
      <c r="G19" s="6"/>
      <c r="H19" s="6"/>
    </row>
    <row r="20" spans="1:8" x14ac:dyDescent="0.25">
      <c r="B20" s="3" t="s">
        <v>18</v>
      </c>
      <c r="G20" s="6"/>
      <c r="H20" s="6"/>
    </row>
    <row r="21" spans="1:8" x14ac:dyDescent="0.25">
      <c r="B21" t="s">
        <v>19</v>
      </c>
      <c r="G21" s="6"/>
      <c r="H21" s="6"/>
    </row>
    <row r="22" spans="1:8" x14ac:dyDescent="0.25">
      <c r="G22" s="6"/>
      <c r="H22" s="6"/>
    </row>
    <row r="23" spans="1:8" x14ac:dyDescent="0.25">
      <c r="B23" s="1" t="s">
        <v>20</v>
      </c>
      <c r="D23" t="s">
        <v>21</v>
      </c>
      <c r="G23" s="6"/>
      <c r="H23" s="6"/>
    </row>
    <row r="24" spans="1:8" x14ac:dyDescent="0.25">
      <c r="B24" s="2">
        <v>2024</v>
      </c>
      <c r="G24" s="6"/>
      <c r="H24" s="6"/>
    </row>
    <row r="25" spans="1:8" x14ac:dyDescent="0.25">
      <c r="B25" t="s">
        <v>22</v>
      </c>
      <c r="G25" s="6"/>
      <c r="H25" s="6"/>
    </row>
    <row r="26" spans="1:8" x14ac:dyDescent="0.25">
      <c r="B26" s="3" t="s">
        <v>23</v>
      </c>
      <c r="G26" s="6"/>
      <c r="H26" s="6"/>
    </row>
    <row r="27" spans="1:8" x14ac:dyDescent="0.25">
      <c r="G27" s="6"/>
      <c r="H27" s="6"/>
    </row>
    <row r="28" spans="1:8" x14ac:dyDescent="0.25">
      <c r="G28" s="6"/>
      <c r="H28" s="6"/>
    </row>
    <row r="29" spans="1:8" x14ac:dyDescent="0.25">
      <c r="A29" s="1" t="s">
        <v>24</v>
      </c>
      <c r="B29" s="1"/>
      <c r="C29" s="1"/>
      <c r="G29" s="6"/>
      <c r="H29" s="6"/>
    </row>
    <row r="30" spans="1:8" x14ac:dyDescent="0.25">
      <c r="A30" s="1"/>
      <c r="B30" s="1" t="s">
        <v>25</v>
      </c>
      <c r="C30" s="1"/>
      <c r="G30" s="6"/>
      <c r="H30" s="6"/>
    </row>
    <row r="31" spans="1:8" x14ac:dyDescent="0.25">
      <c r="A31" s="1"/>
      <c r="B31" t="s">
        <v>26</v>
      </c>
      <c r="C31" s="1"/>
      <c r="G31" s="6"/>
      <c r="H31" s="6"/>
    </row>
    <row r="32" spans="1:8" x14ac:dyDescent="0.25">
      <c r="A32" s="1"/>
      <c r="B32" t="s">
        <v>27</v>
      </c>
      <c r="C32" s="1"/>
      <c r="G32" s="6"/>
      <c r="H32" s="6"/>
    </row>
    <row r="33" spans="1:8" x14ac:dyDescent="0.25">
      <c r="A33" s="1"/>
      <c r="C33" s="1"/>
      <c r="G33" s="6"/>
      <c r="H33" s="6"/>
    </row>
    <row r="34" spans="1:8" x14ac:dyDescent="0.25">
      <c r="A34" s="1" t="s">
        <v>28</v>
      </c>
      <c r="G34" s="6"/>
      <c r="H34" s="6"/>
    </row>
    <row r="35" spans="1:8" x14ac:dyDescent="0.25">
      <c r="A35" t="s">
        <v>29</v>
      </c>
      <c r="B35">
        <f>5414093.87/0.00000571187/1000000</f>
        <v>947867.13808262453</v>
      </c>
      <c r="G35" s="6"/>
      <c r="H35" s="6"/>
    </row>
    <row r="36" spans="1:8" x14ac:dyDescent="0.25">
      <c r="B36">
        <v>1</v>
      </c>
      <c r="C36" t="s">
        <v>30</v>
      </c>
      <c r="D36">
        <v>5414093.8700000001</v>
      </c>
      <c r="E36" t="s">
        <v>31</v>
      </c>
      <c r="G36" s="6"/>
      <c r="H36" s="6"/>
    </row>
    <row r="37" spans="1:8" x14ac:dyDescent="0.25">
      <c r="B37">
        <v>1</v>
      </c>
      <c r="C37" t="s">
        <v>30</v>
      </c>
      <c r="D37">
        <v>5.7118699999999999E-6</v>
      </c>
      <c r="E37" t="s">
        <v>32</v>
      </c>
      <c r="H37" s="6"/>
    </row>
    <row r="38" spans="1:8" x14ac:dyDescent="0.25">
      <c r="A38" t="s">
        <v>33</v>
      </c>
      <c r="H38" s="6"/>
    </row>
    <row r="39" spans="1:8" x14ac:dyDescent="0.25">
      <c r="A39" s="1"/>
      <c r="B39" s="1"/>
      <c r="C39" s="1"/>
      <c r="G39" s="6"/>
      <c r="H39" s="6"/>
    </row>
    <row r="40" spans="1:8" x14ac:dyDescent="0.25">
      <c r="A40" s="1"/>
      <c r="B40" s="1"/>
      <c r="C40" s="1"/>
      <c r="G40" s="6"/>
      <c r="H40" s="6"/>
    </row>
    <row r="41" spans="1:8" x14ac:dyDescent="0.25">
      <c r="A41" s="1"/>
      <c r="B41" t="s">
        <v>34</v>
      </c>
      <c r="C41" t="s">
        <v>35</v>
      </c>
      <c r="G41" s="6"/>
      <c r="H41" s="6"/>
    </row>
    <row r="42" spans="1:8" x14ac:dyDescent="0.25">
      <c r="A42" s="1"/>
      <c r="B42" t="s">
        <v>36</v>
      </c>
      <c r="C42" t="s">
        <v>37</v>
      </c>
      <c r="G42" s="6"/>
      <c r="H42" s="6"/>
    </row>
    <row r="43" spans="1:8" x14ac:dyDescent="0.25">
      <c r="A43" s="1"/>
      <c r="B43" t="s">
        <v>38</v>
      </c>
      <c r="C43" t="s">
        <v>39</v>
      </c>
      <c r="G43" s="6"/>
      <c r="H43" s="6"/>
    </row>
    <row r="44" spans="1:8" x14ac:dyDescent="0.25">
      <c r="A44" s="1"/>
      <c r="B44" t="s">
        <v>40</v>
      </c>
      <c r="C44" t="s">
        <v>41</v>
      </c>
      <c r="G44" s="6"/>
      <c r="H44" s="6"/>
    </row>
    <row r="45" spans="1:8" x14ac:dyDescent="0.25">
      <c r="B45" t="s">
        <v>42</v>
      </c>
      <c r="C45" t="s">
        <v>43</v>
      </c>
      <c r="G45" s="6"/>
      <c r="H45" s="6"/>
    </row>
    <row r="46" spans="1:8" x14ac:dyDescent="0.25">
      <c r="B46" t="s">
        <v>44</v>
      </c>
      <c r="C46" t="s">
        <v>45</v>
      </c>
      <c r="G46" s="6"/>
      <c r="H46" s="6"/>
    </row>
    <row r="47" spans="1:8" x14ac:dyDescent="0.25">
      <c r="B47" t="s">
        <v>46</v>
      </c>
      <c r="C47" t="s">
        <v>47</v>
      </c>
    </row>
    <row r="48" spans="1:8" x14ac:dyDescent="0.25">
      <c r="B48" t="s">
        <v>48</v>
      </c>
    </row>
    <row r="49" spans="2:3" x14ac:dyDescent="0.25">
      <c r="B49" t="s">
        <v>49</v>
      </c>
      <c r="C49" t="s">
        <v>50</v>
      </c>
    </row>
    <row r="50" spans="2:3" x14ac:dyDescent="0.25">
      <c r="B50" t="s">
        <v>51</v>
      </c>
      <c r="C50" t="s">
        <v>52</v>
      </c>
    </row>
    <row r="51" spans="2:3" x14ac:dyDescent="0.25">
      <c r="B51" t="s">
        <v>53</v>
      </c>
    </row>
    <row r="52" spans="2:3" x14ac:dyDescent="0.25">
      <c r="B52" t="s">
        <v>54</v>
      </c>
      <c r="C52" t="s">
        <v>55</v>
      </c>
    </row>
    <row r="53" spans="2:3" x14ac:dyDescent="0.25">
      <c r="B53" t="s">
        <v>56</v>
      </c>
    </row>
    <row r="54" spans="2:3" x14ac:dyDescent="0.25">
      <c r="B54" t="s">
        <v>57</v>
      </c>
    </row>
    <row r="55" spans="2:3" x14ac:dyDescent="0.25">
      <c r="B55" t="s">
        <v>58</v>
      </c>
    </row>
    <row r="56" spans="2:3" x14ac:dyDescent="0.25">
      <c r="B56" t="s">
        <v>59</v>
      </c>
      <c r="C56" t="s">
        <v>60</v>
      </c>
    </row>
    <row r="57" spans="2:3" x14ac:dyDescent="0.25">
      <c r="B57" t="s">
        <v>61</v>
      </c>
    </row>
    <row r="58" spans="2:3" x14ac:dyDescent="0.25">
      <c r="B58" t="s">
        <v>62</v>
      </c>
    </row>
    <row r="59" spans="2:3" x14ac:dyDescent="0.25">
      <c r="B59" t="s">
        <v>63</v>
      </c>
    </row>
    <row r="60" spans="2:3" x14ac:dyDescent="0.25">
      <c r="B60" t="s">
        <v>64</v>
      </c>
    </row>
    <row r="61" spans="2:3" x14ac:dyDescent="0.25">
      <c r="B61" t="s">
        <v>65</v>
      </c>
    </row>
    <row r="62" spans="2:3" x14ac:dyDescent="0.25">
      <c r="B62" t="s">
        <v>66</v>
      </c>
    </row>
    <row r="63" spans="2:3" x14ac:dyDescent="0.25">
      <c r="B63" t="s">
        <v>67</v>
      </c>
    </row>
    <row r="64" spans="2:3" x14ac:dyDescent="0.25">
      <c r="B64" t="s">
        <v>68</v>
      </c>
    </row>
  </sheetData>
  <hyperlinks>
    <hyperlink ref="B8" r:id="rId1" xr:uid="{B34362D0-162F-48E9-B561-F53105D1EEFE}"/>
    <hyperlink ref="B6" r:id="rId2" xr:uid="{46BDE995-950D-41CB-8160-0E0B5EBCC9AD}"/>
    <hyperlink ref="B26" r:id="rId3" xr:uid="{A1631B5D-16B2-42F9-A613-240C53E49A97}"/>
    <hyperlink ref="B13" r:id="rId4" xr:uid="{666E726F-1AFB-4BFA-9585-3CAF6F89EFED}"/>
    <hyperlink ref="B20" r:id="rId5" xr:uid="{DAD71B51-9252-4E96-88F9-CEB3CFF82480}"/>
  </hyperlinks>
  <pageMargins left="0.7" right="0.7" top="0.75" bottom="0.75" header="0.3" footer="0.3"/>
  <pageSetup orientation="portrait" horizontalDpi="0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A4BC-55F6-42ED-8290-6F3955E36CCA}">
  <dimension ref="B1:D12"/>
  <sheetViews>
    <sheetView workbookViewId="0"/>
  </sheetViews>
  <sheetFormatPr defaultColWidth="11.42578125" defaultRowHeight="15" x14ac:dyDescent="0.25"/>
  <sheetData>
    <row r="1" spans="2:4" x14ac:dyDescent="0.25">
      <c r="C1">
        <v>2022</v>
      </c>
      <c r="D1">
        <v>2023</v>
      </c>
    </row>
    <row r="2" spans="2:4" x14ac:dyDescent="0.25">
      <c r="B2" t="s">
        <v>69</v>
      </c>
      <c r="C2" s="10">
        <v>20302337</v>
      </c>
      <c r="D2" s="10">
        <v>20699882</v>
      </c>
    </row>
    <row r="3" spans="2:4" x14ac:dyDescent="0.25">
      <c r="B3" t="s">
        <v>70</v>
      </c>
      <c r="C3" s="10">
        <v>16287206</v>
      </c>
      <c r="D3" s="10">
        <v>18209101</v>
      </c>
    </row>
    <row r="4" spans="2:4" x14ac:dyDescent="0.25">
      <c r="B4" t="s">
        <v>50</v>
      </c>
      <c r="C4" s="10">
        <v>95359</v>
      </c>
      <c r="D4" s="10">
        <v>96959</v>
      </c>
    </row>
    <row r="5" spans="2:4" x14ac:dyDescent="0.25">
      <c r="B5" t="s">
        <v>71</v>
      </c>
      <c r="C5" s="10">
        <v>14191640</v>
      </c>
      <c r="D5" s="10">
        <v>14237878</v>
      </c>
    </row>
    <row r="6" spans="2:4" x14ac:dyDescent="0.25">
      <c r="B6" t="s">
        <v>72</v>
      </c>
      <c r="C6" s="10">
        <v>193994868</v>
      </c>
      <c r="D6" s="10">
        <v>203605022</v>
      </c>
    </row>
    <row r="7" spans="2:4" x14ac:dyDescent="0.25">
      <c r="B7" t="s">
        <v>73</v>
      </c>
      <c r="C7" s="10">
        <v>1843740</v>
      </c>
      <c r="D7" s="10">
        <v>3636195</v>
      </c>
    </row>
    <row r="8" spans="2:4" x14ac:dyDescent="0.25">
      <c r="B8" t="s">
        <v>74</v>
      </c>
      <c r="C8" s="10">
        <v>4368545</v>
      </c>
      <c r="D8" s="10">
        <v>4113284</v>
      </c>
    </row>
    <row r="9" spans="2:4" x14ac:dyDescent="0.25">
      <c r="B9" t="s">
        <v>75</v>
      </c>
      <c r="C9" s="10">
        <v>35551309</v>
      </c>
      <c r="D9" s="10">
        <v>20595830</v>
      </c>
    </row>
    <row r="10" spans="2:4" x14ac:dyDescent="0.25">
      <c r="B10" t="s">
        <v>76</v>
      </c>
      <c r="C10" s="10">
        <v>10538743</v>
      </c>
      <c r="D10" s="10">
        <v>12043391</v>
      </c>
    </row>
    <row r="11" spans="2:4" x14ac:dyDescent="0.25">
      <c r="B11" t="s">
        <v>77</v>
      </c>
      <c r="C11" s="10">
        <v>21116986</v>
      </c>
      <c r="D11" s="10">
        <v>31182145</v>
      </c>
    </row>
    <row r="12" spans="2:4" x14ac:dyDescent="0.25">
      <c r="B12" t="s">
        <v>78</v>
      </c>
      <c r="C12" s="10">
        <v>15486778</v>
      </c>
      <c r="D12" s="10">
        <v>17849573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2F7A-5E47-4873-9573-87C8A473E5A5}">
  <dimension ref="A1:E19"/>
  <sheetViews>
    <sheetView workbookViewId="0">
      <selection sqref="A1:E1"/>
    </sheetView>
  </sheetViews>
  <sheetFormatPr defaultColWidth="11.42578125" defaultRowHeight="15" x14ac:dyDescent="0.25"/>
  <cols>
    <col min="1" max="1" width="21.140625" customWidth="1"/>
    <col min="2" max="5" width="7.140625" bestFit="1" customWidth="1"/>
  </cols>
  <sheetData>
    <row r="1" spans="1:5" ht="30.75" customHeight="1" x14ac:dyDescent="0.25">
      <c r="A1" s="23" t="s">
        <v>79</v>
      </c>
      <c r="B1" s="23"/>
      <c r="C1" s="23"/>
      <c r="D1" s="23"/>
      <c r="E1" s="23"/>
    </row>
    <row r="2" spans="1:5" x14ac:dyDescent="0.25">
      <c r="A2" t="s">
        <v>80</v>
      </c>
      <c r="B2">
        <v>2020</v>
      </c>
      <c r="C2">
        <v>2021</v>
      </c>
      <c r="D2">
        <v>2022</v>
      </c>
      <c r="E2">
        <v>2023</v>
      </c>
    </row>
    <row r="3" spans="1:5" x14ac:dyDescent="0.25">
      <c r="A3" t="s">
        <v>43</v>
      </c>
      <c r="B3" s="10">
        <v>12612</v>
      </c>
      <c r="C3" s="10">
        <v>12614</v>
      </c>
      <c r="D3" s="10">
        <v>12613</v>
      </c>
      <c r="E3" s="10">
        <v>12612</v>
      </c>
    </row>
    <row r="4" spans="1:5" x14ac:dyDescent="0.25">
      <c r="A4" t="s">
        <v>81</v>
      </c>
      <c r="B4" s="10">
        <v>951</v>
      </c>
      <c r="C4" s="10">
        <v>976</v>
      </c>
      <c r="D4" s="10">
        <v>976</v>
      </c>
      <c r="E4" s="10">
        <v>976</v>
      </c>
    </row>
    <row r="5" spans="1:5" x14ac:dyDescent="0.25">
      <c r="A5" t="s">
        <v>82</v>
      </c>
      <c r="B5" s="10">
        <v>6504</v>
      </c>
      <c r="C5" s="10">
        <v>6977</v>
      </c>
      <c r="D5" s="10">
        <v>6921</v>
      </c>
      <c r="E5" s="10">
        <v>7055</v>
      </c>
    </row>
    <row r="6" spans="1:5" x14ac:dyDescent="0.25">
      <c r="A6" t="s">
        <v>70</v>
      </c>
      <c r="B6" s="10">
        <v>5149</v>
      </c>
      <c r="C6" s="10">
        <v>5955</v>
      </c>
      <c r="D6" s="10">
        <v>6535</v>
      </c>
      <c r="E6" s="10">
        <v>7469</v>
      </c>
    </row>
    <row r="7" spans="1:5" x14ac:dyDescent="0.25">
      <c r="A7" t="s">
        <v>83</v>
      </c>
      <c r="B7" s="10">
        <v>378</v>
      </c>
      <c r="C7" s="10">
        <v>378</v>
      </c>
      <c r="D7" s="10">
        <v>408</v>
      </c>
      <c r="E7" s="10">
        <v>407</v>
      </c>
    </row>
    <row r="8" spans="1:5" x14ac:dyDescent="0.25">
      <c r="A8" t="s">
        <v>84</v>
      </c>
      <c r="B8" s="10">
        <f>SUM(B3:B7)</f>
        <v>25594</v>
      </c>
      <c r="C8" s="10">
        <f t="shared" ref="C8:E8" si="0">SUM(C3:C7)</f>
        <v>26900</v>
      </c>
      <c r="D8" s="10">
        <f t="shared" si="0"/>
        <v>27453</v>
      </c>
      <c r="E8" s="10">
        <f t="shared" si="0"/>
        <v>28519</v>
      </c>
    </row>
    <row r="9" spans="1:5" x14ac:dyDescent="0.25">
      <c r="A9" t="s">
        <v>76</v>
      </c>
      <c r="B9" s="10">
        <v>1608</v>
      </c>
      <c r="C9" s="10">
        <v>1608</v>
      </c>
      <c r="D9" s="10">
        <v>1608</v>
      </c>
      <c r="E9" s="10">
        <v>1608</v>
      </c>
    </row>
    <row r="10" spans="1:5" x14ac:dyDescent="0.25">
      <c r="A10" t="s">
        <v>85</v>
      </c>
      <c r="B10" s="10">
        <v>2305</v>
      </c>
      <c r="C10" s="10">
        <v>2305</v>
      </c>
      <c r="D10" s="10">
        <v>2308</v>
      </c>
      <c r="E10" s="10">
        <v>2322</v>
      </c>
    </row>
    <row r="11" spans="1:5" x14ac:dyDescent="0.25">
      <c r="A11" t="s">
        <v>86</v>
      </c>
      <c r="B11" s="10">
        <f>SUM(B9:B10)</f>
        <v>3913</v>
      </c>
      <c r="C11" s="10">
        <f t="shared" ref="C11:E11" si="1">SUM(C9:C10)</f>
        <v>3913</v>
      </c>
      <c r="D11" s="10">
        <f t="shared" si="1"/>
        <v>3916</v>
      </c>
      <c r="E11" s="10">
        <f t="shared" si="1"/>
        <v>3930</v>
      </c>
    </row>
    <row r="12" spans="1:5" x14ac:dyDescent="0.25">
      <c r="A12" t="s">
        <v>87</v>
      </c>
      <c r="B12" s="10">
        <f>B11+B8</f>
        <v>29507</v>
      </c>
      <c r="C12" s="10">
        <f t="shared" ref="C12:E12" si="2">C11+C8</f>
        <v>30813</v>
      </c>
      <c r="D12" s="10">
        <f t="shared" si="2"/>
        <v>31369</v>
      </c>
      <c r="E12" s="10">
        <f t="shared" si="2"/>
        <v>32449</v>
      </c>
    </row>
    <row r="13" spans="1:5" x14ac:dyDescent="0.25">
      <c r="A13" t="s">
        <v>88</v>
      </c>
      <c r="B13" s="11">
        <f>B12/B19</f>
        <v>0.354984240032723</v>
      </c>
      <c r="C13" s="11">
        <f t="shared" ref="C13:E13" si="3">C12/C19</f>
        <v>0.35765025419597463</v>
      </c>
      <c r="D13" s="11">
        <f t="shared" si="3"/>
        <v>0.36002111762748046</v>
      </c>
      <c r="E13" s="11">
        <f t="shared" si="3"/>
        <v>0.36456683182221622</v>
      </c>
    </row>
    <row r="14" spans="1:5" x14ac:dyDescent="0.25">
      <c r="A14" t="s">
        <v>39</v>
      </c>
      <c r="B14" s="10">
        <v>31948</v>
      </c>
      <c r="C14" s="10">
        <v>33640</v>
      </c>
      <c r="D14" s="10">
        <v>34413</v>
      </c>
      <c r="E14" s="10">
        <v>35178</v>
      </c>
    </row>
    <row r="15" spans="1:5" x14ac:dyDescent="0.25">
      <c r="A15" t="s">
        <v>89</v>
      </c>
      <c r="B15" s="10">
        <v>11809</v>
      </c>
      <c r="C15" s="10">
        <v>11793</v>
      </c>
      <c r="D15" s="10">
        <v>11343</v>
      </c>
      <c r="E15" s="10">
        <v>11300</v>
      </c>
    </row>
    <row r="16" spans="1:5" x14ac:dyDescent="0.25">
      <c r="A16" t="s">
        <v>90</v>
      </c>
      <c r="B16" s="10">
        <v>3545</v>
      </c>
      <c r="C16" s="10">
        <v>3744</v>
      </c>
      <c r="D16" s="10">
        <v>3815</v>
      </c>
      <c r="E16" s="10">
        <v>3888</v>
      </c>
    </row>
    <row r="17" spans="1:5" x14ac:dyDescent="0.25">
      <c r="A17" t="s">
        <v>91</v>
      </c>
      <c r="B17" s="10">
        <v>850</v>
      </c>
      <c r="C17" s="10">
        <v>701</v>
      </c>
      <c r="D17" s="10">
        <v>728</v>
      </c>
      <c r="E17" s="10">
        <v>729</v>
      </c>
    </row>
    <row r="18" spans="1:5" x14ac:dyDescent="0.25">
      <c r="A18" t="s">
        <v>35</v>
      </c>
      <c r="B18" s="10">
        <v>5463</v>
      </c>
      <c r="C18" s="10">
        <v>5463</v>
      </c>
      <c r="D18" s="10">
        <v>5463</v>
      </c>
      <c r="E18" s="10">
        <v>5463</v>
      </c>
    </row>
    <row r="19" spans="1:5" x14ac:dyDescent="0.25">
      <c r="A19" t="s">
        <v>92</v>
      </c>
      <c r="B19" s="10">
        <f>SUM(B14:B18,B12)</f>
        <v>83122</v>
      </c>
      <c r="C19" s="10">
        <f t="shared" ref="C19:E19" si="4">SUM(C14:C18,C12)</f>
        <v>86154</v>
      </c>
      <c r="D19" s="10">
        <f t="shared" si="4"/>
        <v>87131</v>
      </c>
      <c r="E19" s="10">
        <f t="shared" si="4"/>
        <v>89007</v>
      </c>
    </row>
  </sheetData>
  <mergeCells count="1">
    <mergeCell ref="A1:E1"/>
  </mergeCells>
  <pageMargins left="0.7" right="0.7" top="0.75" bottom="0.75" header="0.3" footer="0.3"/>
  <ignoredErrors>
    <ignoredError sqref="B8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826F-5D74-44AB-8B47-5F37AC74DD19}">
  <sheetPr>
    <outlinePr summaryBelow="0"/>
  </sheetPr>
  <dimension ref="A1:L122"/>
  <sheetViews>
    <sheetView topLeftCell="A123" workbookViewId="0">
      <selection activeCell="K103" sqref="K103:K122"/>
    </sheetView>
  </sheetViews>
  <sheetFormatPr defaultColWidth="11.42578125" defaultRowHeight="15" outlineLevelRow="2" x14ac:dyDescent="0.25"/>
  <sheetData>
    <row r="1" spans="1:11" collapsed="1" x14ac:dyDescent="0.25">
      <c r="A1" t="s">
        <v>93</v>
      </c>
      <c r="B1" t="s">
        <v>94</v>
      </c>
    </row>
    <row r="2" spans="1:11" hidden="1" outlineLevel="1" x14ac:dyDescent="0.25">
      <c r="B2">
        <v>2012</v>
      </c>
      <c r="C2">
        <v>2013</v>
      </c>
      <c r="D2">
        <v>2014</v>
      </c>
      <c r="E2">
        <v>2015</v>
      </c>
      <c r="F2">
        <v>2016</v>
      </c>
      <c r="G2">
        <v>2017</v>
      </c>
      <c r="H2">
        <v>2018</v>
      </c>
      <c r="I2">
        <v>2019</v>
      </c>
      <c r="J2">
        <v>2020</v>
      </c>
      <c r="K2">
        <v>2021</v>
      </c>
    </row>
    <row r="3" spans="1:11" hidden="1" outlineLevel="1" x14ac:dyDescent="0.25">
      <c r="A3" t="s">
        <v>39</v>
      </c>
      <c r="B3" s="10">
        <v>18029</v>
      </c>
      <c r="C3" s="10">
        <v>22830</v>
      </c>
      <c r="D3" s="10">
        <v>23309</v>
      </c>
      <c r="E3" s="10">
        <v>24043</v>
      </c>
      <c r="F3" s="10">
        <v>27274</v>
      </c>
      <c r="G3" s="10">
        <v>28084</v>
      </c>
      <c r="H3" s="10">
        <v>34860</v>
      </c>
      <c r="I3" s="10">
        <v>38265</v>
      </c>
      <c r="J3" s="10">
        <v>40763</v>
      </c>
      <c r="K3" s="10">
        <v>41613</v>
      </c>
    </row>
    <row r="4" spans="1:11" hidden="1" outlineLevel="1" x14ac:dyDescent="0.25">
      <c r="A4" t="s">
        <v>60</v>
      </c>
      <c r="B4" s="10">
        <v>13765</v>
      </c>
      <c r="C4" s="10">
        <v>15246</v>
      </c>
      <c r="D4" s="10">
        <v>14614</v>
      </c>
      <c r="E4" s="10">
        <v>13881</v>
      </c>
      <c r="F4" s="10">
        <v>14217</v>
      </c>
      <c r="G4" s="10">
        <v>14383</v>
      </c>
      <c r="H4" s="10">
        <v>12503</v>
      </c>
      <c r="I4" s="10">
        <v>12584</v>
      </c>
      <c r="J4" s="10">
        <v>12399</v>
      </c>
      <c r="K4" s="10">
        <v>12399</v>
      </c>
    </row>
    <row r="5" spans="1:11" hidden="1" outlineLevel="1" x14ac:dyDescent="0.25">
      <c r="A5" t="s">
        <v>35</v>
      </c>
      <c r="B5" s="10">
        <v>5378</v>
      </c>
      <c r="C5" s="10">
        <v>5378</v>
      </c>
      <c r="D5" s="10">
        <v>5378</v>
      </c>
      <c r="E5" s="10">
        <v>5378</v>
      </c>
      <c r="F5" s="10">
        <v>5378</v>
      </c>
      <c r="G5" s="10">
        <v>5378</v>
      </c>
      <c r="H5" s="10">
        <v>5498</v>
      </c>
      <c r="I5" s="10">
        <v>5498</v>
      </c>
      <c r="J5" s="10">
        <v>5498</v>
      </c>
      <c r="K5" s="10">
        <v>5498</v>
      </c>
    </row>
    <row r="6" spans="1:11" hidden="1" outlineLevel="1" x14ac:dyDescent="0.25">
      <c r="A6" t="s">
        <v>55</v>
      </c>
      <c r="B6" s="10">
        <v>2658</v>
      </c>
      <c r="C6" s="10">
        <v>3418</v>
      </c>
      <c r="D6" s="10">
        <v>3419</v>
      </c>
      <c r="E6" s="10">
        <v>4904</v>
      </c>
      <c r="F6" s="10">
        <v>5052</v>
      </c>
      <c r="G6" s="10">
        <v>5136</v>
      </c>
      <c r="H6" s="10">
        <v>5087</v>
      </c>
      <c r="I6" s="10">
        <v>5308</v>
      </c>
      <c r="J6" s="10">
        <v>6078</v>
      </c>
      <c r="K6" s="10">
        <v>6078</v>
      </c>
    </row>
    <row r="7" spans="1:11" hidden="1" outlineLevel="1" x14ac:dyDescent="0.25">
      <c r="A7" t="s">
        <v>37</v>
      </c>
      <c r="B7" s="10">
        <v>1052</v>
      </c>
      <c r="C7" s="10">
        <v>1146</v>
      </c>
      <c r="D7" s="10">
        <v>1312</v>
      </c>
      <c r="E7" s="10">
        <v>1163</v>
      </c>
      <c r="F7" s="10">
        <v>1453</v>
      </c>
      <c r="G7" s="10">
        <v>1634</v>
      </c>
      <c r="H7" s="10">
        <v>2045</v>
      </c>
      <c r="I7" s="10">
        <v>2118</v>
      </c>
      <c r="J7" s="10">
        <v>2189</v>
      </c>
      <c r="K7" s="10">
        <v>2190</v>
      </c>
    </row>
    <row r="8" spans="1:11" hidden="1" outlineLevel="1" x14ac:dyDescent="0.25">
      <c r="A8" t="s">
        <v>41</v>
      </c>
      <c r="B8" s="10">
        <v>1610</v>
      </c>
      <c r="C8" s="10">
        <v>1400</v>
      </c>
      <c r="D8" s="10">
        <v>1400</v>
      </c>
      <c r="E8" s="10">
        <v>1510</v>
      </c>
      <c r="F8" s="10">
        <v>1608</v>
      </c>
      <c r="G8" s="10">
        <v>1608</v>
      </c>
      <c r="H8" s="10">
        <v>1634</v>
      </c>
      <c r="I8" s="10">
        <v>1634</v>
      </c>
      <c r="J8" s="10">
        <v>1634</v>
      </c>
      <c r="K8" s="10">
        <v>1634</v>
      </c>
    </row>
    <row r="9" spans="1:11" hidden="1" outlineLevel="1" x14ac:dyDescent="0.25">
      <c r="A9" t="s">
        <v>43</v>
      </c>
      <c r="B9" s="10">
        <v>11498</v>
      </c>
      <c r="C9" s="10">
        <v>11679</v>
      </c>
      <c r="D9" s="10">
        <v>12429</v>
      </c>
      <c r="E9" s="10">
        <v>12489</v>
      </c>
      <c r="F9" s="10">
        <v>12589</v>
      </c>
      <c r="G9" s="10">
        <v>12642</v>
      </c>
      <c r="H9" s="10">
        <v>12641</v>
      </c>
      <c r="I9" s="10">
        <v>12641</v>
      </c>
      <c r="J9" s="10">
        <v>12641</v>
      </c>
      <c r="K9" s="10">
        <v>12643</v>
      </c>
    </row>
    <row r="10" spans="1:11" hidden="1" outlineLevel="1" x14ac:dyDescent="0.25">
      <c r="A10" t="s">
        <v>45</v>
      </c>
      <c r="B10" s="10">
        <v>1158</v>
      </c>
      <c r="C10" s="10">
        <v>1611</v>
      </c>
      <c r="D10" s="10">
        <v>2036</v>
      </c>
      <c r="E10" s="10">
        <v>2805</v>
      </c>
      <c r="F10" s="10">
        <v>3735</v>
      </c>
      <c r="G10" s="10">
        <v>4199</v>
      </c>
      <c r="H10" s="10">
        <v>4855</v>
      </c>
      <c r="I10" s="10">
        <v>6040</v>
      </c>
      <c r="J10" s="10">
        <v>6454</v>
      </c>
      <c r="K10" s="10">
        <v>6454</v>
      </c>
    </row>
    <row r="11" spans="1:11" hidden="1" outlineLevel="1" x14ac:dyDescent="0.25">
      <c r="A11" t="s">
        <v>52</v>
      </c>
      <c r="B11">
        <v>812</v>
      </c>
      <c r="C11">
        <v>823</v>
      </c>
      <c r="D11">
        <v>813</v>
      </c>
      <c r="E11">
        <v>926</v>
      </c>
      <c r="F11">
        <v>909</v>
      </c>
      <c r="G11">
        <v>926</v>
      </c>
      <c r="H11">
        <v>997</v>
      </c>
      <c r="I11">
        <v>997</v>
      </c>
      <c r="J11">
        <v>997</v>
      </c>
      <c r="K11">
        <v>997</v>
      </c>
    </row>
    <row r="12" spans="1:11" hidden="1" outlineLevel="1" x14ac:dyDescent="0.25">
      <c r="A12" t="s">
        <v>47</v>
      </c>
      <c r="B12">
        <v>6</v>
      </c>
      <c r="C12">
        <v>46</v>
      </c>
      <c r="D12">
        <v>56</v>
      </c>
      <c r="E12">
        <v>56</v>
      </c>
      <c r="F12">
        <v>145</v>
      </c>
      <c r="G12">
        <v>214</v>
      </c>
      <c r="H12" s="10">
        <v>1946</v>
      </c>
      <c r="I12" s="10">
        <v>4598</v>
      </c>
      <c r="J12" s="10">
        <v>5630</v>
      </c>
      <c r="K12" s="10">
        <v>6830</v>
      </c>
    </row>
    <row r="13" spans="1:11" hidden="1" outlineLevel="1" x14ac:dyDescent="0.25">
      <c r="A13" t="s">
        <v>50</v>
      </c>
      <c r="B13">
        <v>492</v>
      </c>
      <c r="C13">
        <v>554</v>
      </c>
      <c r="D13">
        <v>685</v>
      </c>
      <c r="E13">
        <v>760</v>
      </c>
      <c r="F13">
        <v>889</v>
      </c>
      <c r="G13" s="10">
        <v>1007</v>
      </c>
      <c r="H13" s="10">
        <v>1082</v>
      </c>
      <c r="I13" s="10">
        <v>1016</v>
      </c>
      <c r="J13" s="10">
        <v>1201</v>
      </c>
      <c r="K13" s="10">
        <v>1201</v>
      </c>
    </row>
    <row r="14" spans="1:11" hidden="1" outlineLevel="1" x14ac:dyDescent="0.25">
      <c r="A14" t="s">
        <v>95</v>
      </c>
      <c r="B14">
        <v>15</v>
      </c>
      <c r="C14">
        <v>29</v>
      </c>
      <c r="D14">
        <v>62</v>
      </c>
      <c r="E14">
        <v>118</v>
      </c>
      <c r="F14">
        <v>248</v>
      </c>
      <c r="G14">
        <v>459</v>
      </c>
      <c r="H14">
        <v>693</v>
      </c>
      <c r="I14" s="10">
        <v>1083</v>
      </c>
      <c r="J14" s="10">
        <v>1551</v>
      </c>
      <c r="K14" s="10">
        <v>2031</v>
      </c>
    </row>
    <row r="15" spans="1:11" hidden="1" outlineLevel="1" x14ac:dyDescent="0.25">
      <c r="A15" t="s">
        <v>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idden="1" outlineLevel="1" x14ac:dyDescent="0.25">
      <c r="A16" t="s">
        <v>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 outlineLevel="1" x14ac:dyDescent="0.25">
      <c r="A17" t="s">
        <v>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 outlineLevel="1" x14ac:dyDescent="0.25">
      <c r="A18" t="s">
        <v>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 outlineLevel="1" x14ac:dyDescent="0.25"/>
    <row r="20" spans="1:11" hidden="1" outlineLevel="1" x14ac:dyDescent="0.25"/>
    <row r="21" spans="1:11" collapsed="1" x14ac:dyDescent="0.25">
      <c r="A21" t="s">
        <v>100</v>
      </c>
      <c r="B21" t="s">
        <v>101</v>
      </c>
    </row>
    <row r="22" spans="1:11" hidden="1" outlineLevel="1" x14ac:dyDescent="0.25">
      <c r="B22">
        <v>2012</v>
      </c>
      <c r="C22">
        <v>2013</v>
      </c>
      <c r="D22">
        <v>2014</v>
      </c>
      <c r="E22">
        <v>2015</v>
      </c>
      <c r="F22">
        <v>2016</v>
      </c>
      <c r="G22">
        <v>2017</v>
      </c>
      <c r="H22">
        <v>2018</v>
      </c>
      <c r="I22">
        <v>2019</v>
      </c>
      <c r="J22">
        <v>2020</v>
      </c>
      <c r="K22">
        <v>2021</v>
      </c>
    </row>
    <row r="23" spans="1:11" hidden="1" outlineLevel="1" x14ac:dyDescent="0.25">
      <c r="A23" t="s">
        <v>39</v>
      </c>
      <c r="B23" s="10">
        <v>129331590</v>
      </c>
      <c r="C23" s="10">
        <v>139162757</v>
      </c>
      <c r="D23" s="10">
        <v>145335722</v>
      </c>
      <c r="E23" s="10">
        <v>151463563</v>
      </c>
      <c r="F23" s="10">
        <v>152587411</v>
      </c>
      <c r="G23" s="10">
        <v>154128126</v>
      </c>
      <c r="H23" s="10">
        <v>159082959</v>
      </c>
      <c r="I23" s="10">
        <v>171368943</v>
      </c>
      <c r="J23" s="10">
        <v>181382154</v>
      </c>
      <c r="K23" s="10">
        <v>184444135</v>
      </c>
    </row>
    <row r="24" spans="1:11" hidden="1" outlineLevel="1" x14ac:dyDescent="0.25">
      <c r="A24" t="s">
        <v>60</v>
      </c>
      <c r="B24" s="10">
        <v>59561147</v>
      </c>
      <c r="C24" s="10">
        <v>55036664</v>
      </c>
      <c r="D24" s="10">
        <v>40410894</v>
      </c>
      <c r="E24" s="10">
        <v>42474410</v>
      </c>
      <c r="F24" s="10">
        <v>42023428</v>
      </c>
      <c r="G24" s="10">
        <v>43947148</v>
      </c>
      <c r="H24" s="10">
        <v>40010763</v>
      </c>
      <c r="I24" s="10">
        <v>38661529</v>
      </c>
      <c r="J24" s="10">
        <v>23095298</v>
      </c>
      <c r="K24" s="10">
        <v>23495780</v>
      </c>
    </row>
    <row r="25" spans="1:11" hidden="1" outlineLevel="1" x14ac:dyDescent="0.25">
      <c r="A25" t="s">
        <v>35</v>
      </c>
      <c r="B25" s="10">
        <v>35018872</v>
      </c>
      <c r="C25" s="10">
        <v>34641891</v>
      </c>
      <c r="D25" s="10">
        <v>34066857</v>
      </c>
      <c r="E25" s="10">
        <v>34056857</v>
      </c>
      <c r="F25" s="10">
        <v>34532398</v>
      </c>
      <c r="G25" s="10">
        <v>28663360</v>
      </c>
      <c r="H25" s="10">
        <v>27344983</v>
      </c>
      <c r="I25" s="10">
        <v>21609445</v>
      </c>
      <c r="J25" s="10">
        <v>12500718</v>
      </c>
      <c r="K25" s="10">
        <v>8703941</v>
      </c>
    </row>
    <row r="26" spans="1:11" hidden="1" outlineLevel="1" x14ac:dyDescent="0.25">
      <c r="A26" t="s">
        <v>55</v>
      </c>
      <c r="B26" s="10">
        <v>7624532</v>
      </c>
      <c r="C26" s="10">
        <v>7088706</v>
      </c>
      <c r="D26" s="10">
        <v>9249223</v>
      </c>
      <c r="E26" s="10">
        <v>11806728</v>
      </c>
      <c r="F26" s="10">
        <v>12719487</v>
      </c>
      <c r="G26" s="10">
        <v>14687034</v>
      </c>
      <c r="H26" s="10">
        <v>14392288</v>
      </c>
      <c r="I26" s="10">
        <v>16352558</v>
      </c>
      <c r="J26" s="10">
        <v>14087648</v>
      </c>
      <c r="K26" s="10">
        <v>15875312</v>
      </c>
    </row>
    <row r="27" spans="1:11" hidden="1" outlineLevel="1" x14ac:dyDescent="0.25">
      <c r="A27" t="s">
        <v>37</v>
      </c>
      <c r="B27" s="10">
        <v>2000855</v>
      </c>
      <c r="C27" s="10">
        <v>2152886</v>
      </c>
      <c r="D27" s="10">
        <v>2339164</v>
      </c>
      <c r="E27" s="10">
        <v>2687125</v>
      </c>
      <c r="F27" s="10">
        <v>3169777</v>
      </c>
      <c r="G27" s="10">
        <v>2333057</v>
      </c>
      <c r="H27" s="10">
        <v>2565641</v>
      </c>
      <c r="I27" s="10">
        <v>3170220</v>
      </c>
      <c r="J27" s="10">
        <v>2871416</v>
      </c>
      <c r="K27" s="10">
        <v>2057546</v>
      </c>
    </row>
    <row r="28" spans="1:11" hidden="1" outlineLevel="1" x14ac:dyDescent="0.25">
      <c r="A28" t="s">
        <v>41</v>
      </c>
      <c r="B28" s="10">
        <v>8192869</v>
      </c>
      <c r="C28" s="10">
        <v>11389115</v>
      </c>
      <c r="D28" s="10">
        <v>9807663</v>
      </c>
      <c r="E28" s="10">
        <v>11734761</v>
      </c>
      <c r="F28" s="10">
        <v>10667410</v>
      </c>
      <c r="G28" s="10">
        <v>10571136</v>
      </c>
      <c r="H28" s="10">
        <v>13198780</v>
      </c>
      <c r="I28" s="10">
        <v>10879189</v>
      </c>
      <c r="J28" s="10">
        <v>10844159</v>
      </c>
      <c r="K28" s="10">
        <v>11604710</v>
      </c>
    </row>
    <row r="29" spans="1:11" hidden="1" outlineLevel="1" x14ac:dyDescent="0.25">
      <c r="A29" t="s">
        <v>43</v>
      </c>
      <c r="B29" s="10">
        <v>32834971</v>
      </c>
      <c r="C29" s="10">
        <v>28869215</v>
      </c>
      <c r="D29" s="10">
        <v>39418150</v>
      </c>
      <c r="E29" s="10">
        <v>31312968</v>
      </c>
      <c r="F29" s="10">
        <v>31202113</v>
      </c>
      <c r="G29" s="10">
        <v>31660121</v>
      </c>
      <c r="H29" s="10">
        <v>32205816</v>
      </c>
      <c r="I29" s="10">
        <v>23601751</v>
      </c>
      <c r="J29" s="10">
        <v>26764499</v>
      </c>
      <c r="K29" s="10">
        <v>34692471</v>
      </c>
    </row>
    <row r="30" spans="1:11" hidden="1" outlineLevel="1" x14ac:dyDescent="0.25">
      <c r="A30" t="s">
        <v>45</v>
      </c>
      <c r="B30" s="10">
        <v>3688311</v>
      </c>
      <c r="C30" s="10">
        <v>4243237</v>
      </c>
      <c r="D30" s="10">
        <v>6512767</v>
      </c>
      <c r="E30" s="10">
        <v>8864169</v>
      </c>
      <c r="F30" s="10">
        <v>10562222</v>
      </c>
      <c r="G30" s="10">
        <v>10454444</v>
      </c>
      <c r="H30" s="10">
        <v>12432938</v>
      </c>
      <c r="I30" s="10">
        <v>16724388</v>
      </c>
      <c r="J30" s="10">
        <v>19611291</v>
      </c>
      <c r="K30" s="10">
        <v>21046312</v>
      </c>
    </row>
    <row r="31" spans="1:11" hidden="1" outlineLevel="1" x14ac:dyDescent="0.25">
      <c r="A31" t="s">
        <v>52</v>
      </c>
      <c r="B31" s="10">
        <v>5886681</v>
      </c>
      <c r="C31" s="10">
        <v>6152271</v>
      </c>
      <c r="D31" s="10">
        <v>6081015</v>
      </c>
      <c r="E31" s="10">
        <v>6417273</v>
      </c>
      <c r="F31" s="10">
        <v>6206302</v>
      </c>
      <c r="G31" s="10">
        <v>5706169</v>
      </c>
      <c r="H31" s="10">
        <v>5024663</v>
      </c>
      <c r="I31" s="10">
        <v>5004941</v>
      </c>
      <c r="J31" s="10">
        <v>4507430</v>
      </c>
      <c r="K31" s="10">
        <v>4198496</v>
      </c>
    </row>
    <row r="32" spans="1:11" hidden="1" outlineLevel="1" x14ac:dyDescent="0.25">
      <c r="A32" t="s">
        <v>47</v>
      </c>
      <c r="B32" s="10">
        <v>2811</v>
      </c>
      <c r="C32" s="10">
        <v>19709</v>
      </c>
      <c r="D32" s="10">
        <v>86148</v>
      </c>
      <c r="E32" s="10">
        <v>79063</v>
      </c>
      <c r="F32" s="10">
        <v>161517</v>
      </c>
      <c r="G32" s="10">
        <v>346947</v>
      </c>
      <c r="H32" s="10">
        <v>2174389</v>
      </c>
      <c r="I32" s="10">
        <v>8391865</v>
      </c>
      <c r="J32" s="10">
        <v>13480212</v>
      </c>
      <c r="K32" s="10">
        <v>17070210</v>
      </c>
    </row>
    <row r="33" spans="1:11" hidden="1" outlineLevel="1" x14ac:dyDescent="0.25">
      <c r="A33" t="s">
        <v>50</v>
      </c>
      <c r="B33" s="10">
        <v>1231312</v>
      </c>
      <c r="C33" s="10">
        <v>1086854</v>
      </c>
      <c r="D33" s="10">
        <v>1406020</v>
      </c>
      <c r="E33" s="10">
        <v>1388420</v>
      </c>
      <c r="F33" s="10">
        <v>1485058</v>
      </c>
      <c r="G33" s="10">
        <v>1884844</v>
      </c>
      <c r="H33" s="10">
        <v>1989116</v>
      </c>
      <c r="I33" s="10">
        <v>1861586</v>
      </c>
      <c r="J33" s="10">
        <v>2216007</v>
      </c>
      <c r="K33" s="10">
        <v>1531996</v>
      </c>
    </row>
    <row r="34" spans="1:11" hidden="1" outlineLevel="1" x14ac:dyDescent="0.25">
      <c r="A34" t="s">
        <v>95</v>
      </c>
      <c r="B34" s="10">
        <v>26047</v>
      </c>
      <c r="C34" s="10">
        <v>51139</v>
      </c>
      <c r="D34" s="10">
        <v>108602</v>
      </c>
      <c r="E34" s="10">
        <v>206329</v>
      </c>
      <c r="F34" s="10">
        <v>432876</v>
      </c>
      <c r="G34" s="10">
        <v>795392</v>
      </c>
      <c r="H34" s="10">
        <v>1199886</v>
      </c>
      <c r="I34" s="10">
        <v>1876363</v>
      </c>
      <c r="J34" s="10">
        <v>2686390</v>
      </c>
      <c r="K34" s="10">
        <v>3517980</v>
      </c>
    </row>
    <row r="35" spans="1:11" hidden="1" outlineLevel="1" x14ac:dyDescent="0.25">
      <c r="A35" t="s">
        <v>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hidden="1" outlineLevel="1" x14ac:dyDescent="0.25">
      <c r="A36" t="s">
        <v>97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hidden="1" outlineLevel="1" x14ac:dyDescent="0.25">
      <c r="A37" t="s">
        <v>98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hidden="1" outlineLevel="1" x14ac:dyDescent="0.25">
      <c r="A38" t="s">
        <v>99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collapsed="1" x14ac:dyDescent="0.25">
      <c r="A39" t="s">
        <v>102</v>
      </c>
      <c r="B39" t="s">
        <v>103</v>
      </c>
    </row>
    <row r="40" spans="1:11" hidden="1" outlineLevel="1" x14ac:dyDescent="0.25">
      <c r="B40">
        <v>2012</v>
      </c>
      <c r="C40">
        <v>2013</v>
      </c>
      <c r="D40">
        <v>2014</v>
      </c>
      <c r="E40">
        <v>2015</v>
      </c>
      <c r="F40">
        <v>2016</v>
      </c>
      <c r="G40">
        <v>2017</v>
      </c>
      <c r="H40">
        <v>2018</v>
      </c>
      <c r="I40">
        <v>2019</v>
      </c>
      <c r="J40">
        <v>2020</v>
      </c>
      <c r="K40">
        <v>2021</v>
      </c>
    </row>
    <row r="41" spans="1:11" hidden="1" outlineLevel="1" x14ac:dyDescent="0.25">
      <c r="A41" t="s">
        <v>39</v>
      </c>
      <c r="B41" s="10">
        <v>132704169</v>
      </c>
      <c r="C41" s="10">
        <v>142791703</v>
      </c>
      <c r="D41" s="10">
        <v>149125640</v>
      </c>
      <c r="E41" s="10">
        <v>155413277</v>
      </c>
      <c r="F41" s="10">
        <v>156566431</v>
      </c>
      <c r="G41" s="10">
        <v>158147324</v>
      </c>
      <c r="H41" s="10">
        <v>163231364</v>
      </c>
      <c r="I41" s="10">
        <v>175837729</v>
      </c>
      <c r="J41" s="10">
        <v>186112055</v>
      </c>
      <c r="K41" s="10">
        <v>189253883</v>
      </c>
    </row>
    <row r="42" spans="1:11" hidden="1" outlineLevel="1" x14ac:dyDescent="0.25">
      <c r="A42" t="s">
        <v>60</v>
      </c>
      <c r="B42" s="10">
        <v>63432622</v>
      </c>
      <c r="C42" s="10">
        <v>58614048</v>
      </c>
      <c r="D42" s="10">
        <v>43037603</v>
      </c>
      <c r="E42" s="10">
        <v>45235248</v>
      </c>
      <c r="F42" s="10">
        <v>44754951</v>
      </c>
      <c r="G42" s="10">
        <v>46803713</v>
      </c>
      <c r="H42" s="10">
        <v>42611463</v>
      </c>
      <c r="I42" s="10">
        <v>41174529</v>
      </c>
      <c r="J42" s="10">
        <v>24596493</v>
      </c>
      <c r="K42" s="10">
        <v>25023006</v>
      </c>
    </row>
    <row r="43" spans="1:11" hidden="1" outlineLevel="1" x14ac:dyDescent="0.25">
      <c r="A43" t="s">
        <v>35</v>
      </c>
      <c r="B43" s="10">
        <v>37575247</v>
      </c>
      <c r="C43" s="10">
        <v>37170747</v>
      </c>
      <c r="D43" s="10">
        <v>36553735</v>
      </c>
      <c r="E43" s="10">
        <v>36543005</v>
      </c>
      <c r="F43" s="10">
        <v>37053261</v>
      </c>
      <c r="G43" s="10">
        <v>30755783</v>
      </c>
      <c r="H43" s="10">
        <v>29341165</v>
      </c>
      <c r="I43" s="10">
        <v>23186933</v>
      </c>
      <c r="J43" s="10">
        <v>13413269</v>
      </c>
      <c r="K43" s="10">
        <v>9339328</v>
      </c>
    </row>
    <row r="44" spans="1:11" hidden="1" outlineLevel="1" x14ac:dyDescent="0.25">
      <c r="A44" t="s">
        <v>55</v>
      </c>
      <c r="B44" s="10">
        <v>7827104</v>
      </c>
      <c r="C44" s="10">
        <v>7277041</v>
      </c>
      <c r="D44" s="10">
        <v>9494960</v>
      </c>
      <c r="E44" s="10">
        <v>12120414</v>
      </c>
      <c r="F44" s="10">
        <v>13057423</v>
      </c>
      <c r="G44" s="10">
        <v>15077244</v>
      </c>
      <c r="H44" s="10">
        <v>14774667</v>
      </c>
      <c r="I44" s="10">
        <v>16787019</v>
      </c>
      <c r="J44" s="10">
        <v>14461934</v>
      </c>
      <c r="K44" s="10">
        <v>16297093</v>
      </c>
    </row>
    <row r="45" spans="1:11" hidden="1" outlineLevel="1" x14ac:dyDescent="0.25">
      <c r="A45" t="s">
        <v>37</v>
      </c>
      <c r="B45" s="10">
        <v>2060881</v>
      </c>
      <c r="C45" s="10">
        <v>2217472</v>
      </c>
      <c r="D45" s="10">
        <v>2409338</v>
      </c>
      <c r="E45" s="10">
        <v>2767739</v>
      </c>
      <c r="F45" s="10">
        <v>3264870</v>
      </c>
      <c r="G45" s="10">
        <v>2403048</v>
      </c>
      <c r="H45" s="10">
        <v>2642610</v>
      </c>
      <c r="I45" s="10">
        <v>3265326</v>
      </c>
      <c r="J45" s="10">
        <v>2957558</v>
      </c>
      <c r="K45" s="10">
        <v>2119272</v>
      </c>
    </row>
    <row r="46" spans="1:11" hidden="1" outlineLevel="1" x14ac:dyDescent="0.25">
      <c r="A46" t="s">
        <v>41</v>
      </c>
      <c r="B46" s="10">
        <v>8479620</v>
      </c>
      <c r="C46" s="10">
        <v>11787734</v>
      </c>
      <c r="D46" s="10">
        <v>10150931</v>
      </c>
      <c r="E46" s="10">
        <v>12145478</v>
      </c>
      <c r="F46" s="10">
        <v>11040769</v>
      </c>
      <c r="G46" s="10">
        <v>10941126</v>
      </c>
      <c r="H46" s="10">
        <v>13660737</v>
      </c>
      <c r="I46" s="10">
        <v>11259961</v>
      </c>
      <c r="J46" s="10">
        <v>11223705</v>
      </c>
      <c r="K46" s="10">
        <v>12010875</v>
      </c>
    </row>
    <row r="47" spans="1:11" hidden="1" outlineLevel="1" x14ac:dyDescent="0.25">
      <c r="A47" t="s">
        <v>43</v>
      </c>
      <c r="B47" s="10">
        <v>33166638</v>
      </c>
      <c r="C47" s="10">
        <v>29160823</v>
      </c>
      <c r="D47" s="10">
        <v>39816313</v>
      </c>
      <c r="E47" s="10">
        <v>31629261</v>
      </c>
      <c r="F47" s="10">
        <v>31517286</v>
      </c>
      <c r="G47" s="10">
        <v>31979920</v>
      </c>
      <c r="H47" s="10">
        <v>32531127</v>
      </c>
      <c r="I47" s="10">
        <v>23840153</v>
      </c>
      <c r="J47" s="10">
        <v>27034847</v>
      </c>
      <c r="K47" s="10">
        <v>35042900</v>
      </c>
    </row>
    <row r="48" spans="1:11" hidden="1" outlineLevel="1" x14ac:dyDescent="0.25">
      <c r="A48" t="s">
        <v>45</v>
      </c>
      <c r="B48" s="10">
        <v>3725567</v>
      </c>
      <c r="C48" s="10">
        <v>4286098</v>
      </c>
      <c r="D48" s="10">
        <v>6578552</v>
      </c>
      <c r="E48" s="10">
        <v>8953706</v>
      </c>
      <c r="F48" s="10">
        <v>10668911</v>
      </c>
      <c r="G48" s="10">
        <v>10560044</v>
      </c>
      <c r="H48" s="10">
        <v>12558523</v>
      </c>
      <c r="I48" s="10">
        <v>16893321</v>
      </c>
      <c r="J48" s="10">
        <v>19809385</v>
      </c>
      <c r="K48" s="10">
        <v>21258901</v>
      </c>
    </row>
    <row r="49" spans="1:11" hidden="1" outlineLevel="1" x14ac:dyDescent="0.25">
      <c r="A49" t="s">
        <v>52</v>
      </c>
      <c r="B49" s="10">
        <v>6186901</v>
      </c>
      <c r="C49" s="10">
        <v>6466036</v>
      </c>
      <c r="D49" s="10">
        <v>6391146</v>
      </c>
      <c r="E49" s="10">
        <v>6744554</v>
      </c>
      <c r="F49" s="10">
        <v>6522823</v>
      </c>
      <c r="G49" s="10">
        <v>5997183</v>
      </c>
      <c r="H49" s="10">
        <v>5280920</v>
      </c>
      <c r="I49" s="10">
        <v>5260193</v>
      </c>
      <c r="J49" s="10">
        <v>4737309</v>
      </c>
      <c r="K49" s="10">
        <v>4412619</v>
      </c>
    </row>
    <row r="50" spans="1:11" hidden="1" outlineLevel="1" x14ac:dyDescent="0.25">
      <c r="A50" t="s">
        <v>47</v>
      </c>
      <c r="B50" s="10">
        <v>2854</v>
      </c>
      <c r="C50" s="10">
        <v>20009</v>
      </c>
      <c r="D50" s="10">
        <v>87460</v>
      </c>
      <c r="E50" s="10">
        <v>80267</v>
      </c>
      <c r="F50" s="10">
        <v>163977</v>
      </c>
      <c r="G50" s="10">
        <v>352230</v>
      </c>
      <c r="H50" s="10">
        <v>2207502</v>
      </c>
      <c r="I50" s="10">
        <v>8519660</v>
      </c>
      <c r="J50" s="10">
        <v>13685494</v>
      </c>
      <c r="K50" s="10">
        <v>17330162</v>
      </c>
    </row>
    <row r="51" spans="1:11" hidden="1" outlineLevel="1" x14ac:dyDescent="0.25">
      <c r="A51" t="s">
        <v>50</v>
      </c>
      <c r="B51" s="10">
        <v>1266521</v>
      </c>
      <c r="C51" s="10">
        <v>1117933</v>
      </c>
      <c r="D51" s="10">
        <v>1446225</v>
      </c>
      <c r="E51" s="10">
        <v>1428122</v>
      </c>
      <c r="F51" s="10">
        <v>1527523</v>
      </c>
      <c r="G51" s="10">
        <v>1938741</v>
      </c>
      <c r="H51" s="10">
        <v>2045995</v>
      </c>
      <c r="I51" s="10">
        <v>1914818</v>
      </c>
      <c r="J51" s="10">
        <v>2279374</v>
      </c>
      <c r="K51" s="10">
        <v>1575803</v>
      </c>
    </row>
    <row r="52" spans="1:11" hidden="1" outlineLevel="1" x14ac:dyDescent="0.25">
      <c r="A52" t="s">
        <v>95</v>
      </c>
      <c r="B52" s="10">
        <v>26310</v>
      </c>
      <c r="C52" s="10">
        <v>51656</v>
      </c>
      <c r="D52" s="10">
        <v>109699</v>
      </c>
      <c r="E52" s="10">
        <v>208413</v>
      </c>
      <c r="F52" s="10">
        <v>437249</v>
      </c>
      <c r="G52" s="10">
        <v>803426</v>
      </c>
      <c r="H52" s="10">
        <v>1212006</v>
      </c>
      <c r="I52" s="10">
        <v>1895316</v>
      </c>
      <c r="J52" s="10">
        <v>2713525</v>
      </c>
      <c r="K52" s="10">
        <v>3553515</v>
      </c>
    </row>
    <row r="53" spans="1:11" hidden="1" outlineLevel="1" x14ac:dyDescent="0.25">
      <c r="A53" t="s">
        <v>96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hidden="1" outlineLevel="1" x14ac:dyDescent="0.25">
      <c r="A54" t="s">
        <v>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hidden="1" outlineLevel="1" x14ac:dyDescent="0.25">
      <c r="A55" t="s">
        <v>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hidden="1" outlineLevel="1" x14ac:dyDescent="0.25">
      <c r="A56" t="s">
        <v>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collapsed="1" x14ac:dyDescent="0.25">
      <c r="A57" t="s">
        <v>104</v>
      </c>
      <c r="B57" t="s">
        <v>105</v>
      </c>
    </row>
    <row r="58" spans="1:11" hidden="1" outlineLevel="1" x14ac:dyDescent="0.25">
      <c r="B58">
        <v>2012</v>
      </c>
      <c r="C58">
        <v>2013</v>
      </c>
      <c r="D58">
        <v>2014</v>
      </c>
      <c r="E58">
        <v>2015</v>
      </c>
      <c r="F58">
        <v>2016</v>
      </c>
      <c r="G58">
        <v>2017</v>
      </c>
      <c r="H58">
        <v>2018</v>
      </c>
      <c r="I58">
        <v>2019</v>
      </c>
      <c r="J58">
        <v>2020</v>
      </c>
      <c r="K58">
        <v>2021</v>
      </c>
    </row>
    <row r="59" spans="1:11" hidden="1" outlineLevel="1" x14ac:dyDescent="0.25">
      <c r="A59" t="s">
        <v>39</v>
      </c>
      <c r="B59" s="11">
        <v>0.81889999999999996</v>
      </c>
      <c r="C59" s="11">
        <v>0.69579999999999997</v>
      </c>
      <c r="D59" s="11">
        <v>0.71179999999999999</v>
      </c>
      <c r="E59" s="11">
        <v>0.71909999999999996</v>
      </c>
      <c r="F59" s="11">
        <v>0.63870000000000005</v>
      </c>
      <c r="G59" s="11">
        <v>0.62649999999999995</v>
      </c>
      <c r="H59" s="11">
        <v>0.52090000000000003</v>
      </c>
      <c r="I59" s="11">
        <v>0.51119999999999999</v>
      </c>
      <c r="J59" s="11">
        <v>0.50800000000000001</v>
      </c>
      <c r="K59" s="11">
        <v>0.50600000000000001</v>
      </c>
    </row>
    <row r="60" spans="1:11" hidden="1" outlineLevel="1" x14ac:dyDescent="0.25">
      <c r="A60" t="s">
        <v>60</v>
      </c>
      <c r="B60" s="11">
        <v>0.49399999999999999</v>
      </c>
      <c r="C60" s="11">
        <v>0.41210000000000002</v>
      </c>
      <c r="D60" s="11">
        <v>0.31569999999999998</v>
      </c>
      <c r="E60" s="11">
        <v>0.3493</v>
      </c>
      <c r="F60" s="11">
        <v>0.33739999999999998</v>
      </c>
      <c r="G60" s="11">
        <v>0.3488</v>
      </c>
      <c r="H60" s="11">
        <v>0.36530000000000001</v>
      </c>
      <c r="I60" s="11">
        <v>0.35070000000000001</v>
      </c>
      <c r="J60" s="11">
        <v>0.21260000000000001</v>
      </c>
      <c r="K60" s="11">
        <v>0.21629999999999999</v>
      </c>
    </row>
    <row r="61" spans="1:11" hidden="1" outlineLevel="1" x14ac:dyDescent="0.25">
      <c r="A61" t="s">
        <v>35</v>
      </c>
      <c r="B61" s="11">
        <v>0.74329999999999996</v>
      </c>
      <c r="C61" s="11">
        <v>0.73529999999999995</v>
      </c>
      <c r="D61" s="11">
        <v>0.72309999999999997</v>
      </c>
      <c r="E61" s="11">
        <v>0.72289999999999999</v>
      </c>
      <c r="F61" s="11">
        <v>0.73299999999999998</v>
      </c>
      <c r="G61" s="11">
        <v>0.60840000000000005</v>
      </c>
      <c r="H61" s="11">
        <v>0.56769999999999998</v>
      </c>
      <c r="I61" s="11">
        <v>0.4486</v>
      </c>
      <c r="J61" s="11">
        <v>0.25950000000000001</v>
      </c>
      <c r="K61" s="11">
        <v>0.1807</v>
      </c>
    </row>
    <row r="62" spans="1:11" hidden="1" outlineLevel="1" x14ac:dyDescent="0.25">
      <c r="A62" t="s">
        <v>55</v>
      </c>
      <c r="B62" s="11">
        <v>0.32740000000000002</v>
      </c>
      <c r="C62" s="11">
        <v>0.23680000000000001</v>
      </c>
      <c r="D62" s="11">
        <v>0.30880000000000002</v>
      </c>
      <c r="E62" s="11">
        <v>0.27479999999999999</v>
      </c>
      <c r="F62" s="11">
        <v>0.28739999999999999</v>
      </c>
      <c r="G62" s="11">
        <v>0.32640000000000002</v>
      </c>
      <c r="H62" s="11">
        <v>0.32300000000000001</v>
      </c>
      <c r="I62" s="11">
        <v>0.35170000000000001</v>
      </c>
      <c r="J62" s="11">
        <v>0.2646</v>
      </c>
      <c r="K62" s="11">
        <v>0.29820000000000002</v>
      </c>
    </row>
    <row r="63" spans="1:11" hidden="1" outlineLevel="1" x14ac:dyDescent="0.25">
      <c r="A63" t="s">
        <v>37</v>
      </c>
      <c r="B63" s="11">
        <v>0.2172</v>
      </c>
      <c r="C63" s="11">
        <v>0.2145</v>
      </c>
      <c r="D63" s="11">
        <v>0.20349999999999999</v>
      </c>
      <c r="E63" s="11">
        <v>0.26379999999999998</v>
      </c>
      <c r="F63" s="11">
        <v>0.249</v>
      </c>
      <c r="G63" s="11">
        <v>0.16300000000000001</v>
      </c>
      <c r="H63" s="11">
        <v>0.14330000000000001</v>
      </c>
      <c r="I63" s="11">
        <v>0.17080000000000001</v>
      </c>
      <c r="J63" s="11">
        <v>0.1497</v>
      </c>
      <c r="K63" s="11">
        <v>0.1072</v>
      </c>
    </row>
    <row r="64" spans="1:11" hidden="1" outlineLevel="1" x14ac:dyDescent="0.25">
      <c r="A64" t="s">
        <v>41</v>
      </c>
      <c r="B64" s="11">
        <v>0.58089999999999997</v>
      </c>
      <c r="C64" s="11">
        <v>0.92869999999999997</v>
      </c>
      <c r="D64" s="11">
        <v>0.79969999999999997</v>
      </c>
      <c r="E64" s="11">
        <v>0.8871</v>
      </c>
      <c r="F64" s="11">
        <v>0.75729999999999997</v>
      </c>
      <c r="G64" s="11">
        <v>0.75049999999999994</v>
      </c>
      <c r="H64" s="11">
        <v>0.92210000000000003</v>
      </c>
      <c r="I64" s="11">
        <v>0.76</v>
      </c>
      <c r="J64" s="11">
        <v>0.75760000000000005</v>
      </c>
      <c r="K64" s="11">
        <v>0.81069999999999998</v>
      </c>
    </row>
    <row r="65" spans="1:11" hidden="1" outlineLevel="1" x14ac:dyDescent="0.25">
      <c r="A65" t="s">
        <v>43</v>
      </c>
      <c r="B65" s="11">
        <v>0.32600000000000001</v>
      </c>
      <c r="C65" s="11">
        <v>0.28220000000000001</v>
      </c>
      <c r="D65" s="11">
        <v>0.36199999999999999</v>
      </c>
      <c r="E65" s="11">
        <v>0.28620000000000001</v>
      </c>
      <c r="F65" s="11">
        <v>0.28289999999999998</v>
      </c>
      <c r="G65" s="11">
        <v>0.28589999999999999</v>
      </c>
      <c r="H65" s="11">
        <v>0.2908</v>
      </c>
      <c r="I65" s="11">
        <v>0.21310000000000001</v>
      </c>
      <c r="J65" s="11">
        <v>0.2417</v>
      </c>
      <c r="K65" s="11">
        <v>0.31319999999999998</v>
      </c>
    </row>
    <row r="66" spans="1:11" hidden="1" outlineLevel="1" x14ac:dyDescent="0.25">
      <c r="A66" t="s">
        <v>45</v>
      </c>
      <c r="B66" s="11">
        <v>0.36370000000000002</v>
      </c>
      <c r="C66" s="11">
        <v>0.30070000000000002</v>
      </c>
      <c r="D66" s="11">
        <v>0.36520000000000002</v>
      </c>
      <c r="E66" s="11">
        <v>0.36070000000000002</v>
      </c>
      <c r="F66" s="11">
        <v>0.32279999999999998</v>
      </c>
      <c r="G66" s="11">
        <v>0.28420000000000001</v>
      </c>
      <c r="H66" s="11">
        <v>0.2923</v>
      </c>
      <c r="I66" s="11">
        <v>0.31609999999999999</v>
      </c>
      <c r="J66" s="11">
        <v>0.34689999999999999</v>
      </c>
      <c r="K66" s="11">
        <v>0.37230000000000002</v>
      </c>
    </row>
    <row r="67" spans="1:11" hidden="1" outlineLevel="1" x14ac:dyDescent="0.25">
      <c r="A67" t="s">
        <v>52</v>
      </c>
      <c r="B67" s="11">
        <v>0.82799999999999996</v>
      </c>
      <c r="C67" s="11">
        <v>0.85340000000000005</v>
      </c>
      <c r="D67" s="11">
        <v>0.8538</v>
      </c>
      <c r="E67" s="11">
        <v>0.79110000000000003</v>
      </c>
      <c r="F67" s="11">
        <v>0.77939999999999998</v>
      </c>
      <c r="G67" s="11">
        <v>0.70340000000000003</v>
      </c>
      <c r="H67" s="11">
        <v>0.57520000000000004</v>
      </c>
      <c r="I67" s="11">
        <v>0.57289999999999996</v>
      </c>
      <c r="J67" s="11">
        <v>0.51600000000000001</v>
      </c>
      <c r="K67" s="11">
        <v>0.48060000000000003</v>
      </c>
    </row>
    <row r="68" spans="1:11" hidden="1" outlineLevel="1" x14ac:dyDescent="0.25">
      <c r="A68" t="s">
        <v>47</v>
      </c>
      <c r="B68" s="11">
        <v>5.3499999999999999E-2</v>
      </c>
      <c r="C68" s="11">
        <v>4.8899999999999999E-2</v>
      </c>
      <c r="D68" s="11">
        <v>0.17560000000000001</v>
      </c>
      <c r="E68" s="11">
        <v>0.16120000000000001</v>
      </c>
      <c r="F68" s="11">
        <v>0.12720000000000001</v>
      </c>
      <c r="G68" s="11">
        <v>0.18509999999999999</v>
      </c>
      <c r="H68" s="11">
        <v>0.1275</v>
      </c>
      <c r="I68" s="11">
        <v>0.2084</v>
      </c>
      <c r="J68" s="11">
        <v>0.27329999999999999</v>
      </c>
      <c r="K68" s="11">
        <v>0.2853</v>
      </c>
    </row>
    <row r="69" spans="1:11" hidden="1" outlineLevel="1" x14ac:dyDescent="0.25">
      <c r="A69" t="s">
        <v>50</v>
      </c>
      <c r="B69" s="11">
        <v>0.28570000000000001</v>
      </c>
      <c r="C69" s="11">
        <v>0.224</v>
      </c>
      <c r="D69" s="11">
        <v>0.23430000000000001</v>
      </c>
      <c r="E69" s="11">
        <v>0.20849999999999999</v>
      </c>
      <c r="F69" s="11">
        <v>0.19070000000000001</v>
      </c>
      <c r="G69" s="11">
        <v>0.2137</v>
      </c>
      <c r="H69" s="11">
        <v>0.20979999999999999</v>
      </c>
      <c r="I69" s="11">
        <v>0.20930000000000001</v>
      </c>
      <c r="J69" s="11">
        <v>0.2107</v>
      </c>
      <c r="K69" s="11">
        <v>0.1457</v>
      </c>
    </row>
    <row r="70" spans="1:11" hidden="1" outlineLevel="1" x14ac:dyDescent="0.25">
      <c r="A70" t="s">
        <v>95</v>
      </c>
      <c r="B70" s="11">
        <v>0.2001</v>
      </c>
      <c r="C70" s="11">
        <v>0.20039999999999999</v>
      </c>
      <c r="D70" s="11">
        <v>0.20039999999999999</v>
      </c>
      <c r="E70" s="11">
        <v>0.20039999999999999</v>
      </c>
      <c r="F70" s="11">
        <v>0.1996</v>
      </c>
      <c r="G70" s="11">
        <v>0.19769999999999999</v>
      </c>
      <c r="H70" s="11">
        <v>0.19769999999999999</v>
      </c>
      <c r="I70" s="11">
        <v>0.19769999999999999</v>
      </c>
      <c r="J70" s="11">
        <v>0.19769999999999999</v>
      </c>
      <c r="K70" s="11">
        <v>0.19769999999999999</v>
      </c>
    </row>
    <row r="71" spans="1:11" hidden="1" outlineLevel="1" x14ac:dyDescent="0.25">
      <c r="A71" t="s">
        <v>96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</row>
    <row r="72" spans="1:11" hidden="1" outlineLevel="1" x14ac:dyDescent="0.25">
      <c r="A72" t="s">
        <v>97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</row>
    <row r="73" spans="1:11" hidden="1" outlineLevel="1" x14ac:dyDescent="0.25">
      <c r="A73" t="s">
        <v>98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</row>
    <row r="74" spans="1:11" hidden="1" outlineLevel="1" x14ac:dyDescent="0.25">
      <c r="A74" t="s">
        <v>99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</row>
    <row r="75" spans="1:11" collapsed="1" x14ac:dyDescent="0.25">
      <c r="A75" t="s">
        <v>106</v>
      </c>
      <c r="B75" t="s">
        <v>107</v>
      </c>
    </row>
    <row r="76" spans="1:11" hidden="1" outlineLevel="1" x14ac:dyDescent="0.25">
      <c r="B76">
        <v>2012</v>
      </c>
      <c r="C76">
        <v>2013</v>
      </c>
      <c r="D76">
        <v>2014</v>
      </c>
      <c r="E76">
        <v>2015</v>
      </c>
      <c r="F76">
        <v>2016</v>
      </c>
      <c r="G76">
        <v>2017</v>
      </c>
      <c r="H76">
        <v>2018</v>
      </c>
      <c r="I76">
        <v>2019</v>
      </c>
      <c r="J76">
        <v>2020</v>
      </c>
      <c r="K76">
        <v>2021</v>
      </c>
    </row>
    <row r="77" spans="1:11" hidden="1" outlineLevel="1" x14ac:dyDescent="0.25">
      <c r="A77" t="s">
        <v>39</v>
      </c>
      <c r="B77" s="10">
        <v>3372579</v>
      </c>
      <c r="C77" s="10">
        <v>3628946</v>
      </c>
      <c r="D77" s="10">
        <v>3789918</v>
      </c>
      <c r="E77" s="10">
        <v>3949714</v>
      </c>
      <c r="F77" s="10">
        <v>3979020</v>
      </c>
      <c r="G77" s="10">
        <v>4019198</v>
      </c>
      <c r="H77" s="10">
        <v>4148405</v>
      </c>
      <c r="I77" s="10">
        <v>4468786</v>
      </c>
      <c r="J77" s="10">
        <v>4729901</v>
      </c>
      <c r="K77" s="10">
        <v>4809748</v>
      </c>
    </row>
    <row r="78" spans="1:11" hidden="1" outlineLevel="1" x14ac:dyDescent="0.25">
      <c r="A78" t="s">
        <v>60</v>
      </c>
      <c r="B78" s="10">
        <v>3871475</v>
      </c>
      <c r="C78" s="10">
        <v>3577384</v>
      </c>
      <c r="D78" s="10">
        <v>2626709</v>
      </c>
      <c r="E78" s="10">
        <v>2760838</v>
      </c>
      <c r="F78" s="10">
        <v>2731523</v>
      </c>
      <c r="G78" s="10">
        <v>2856565</v>
      </c>
      <c r="H78" s="10">
        <v>2600700</v>
      </c>
      <c r="I78" s="10">
        <v>2513000</v>
      </c>
      <c r="J78" s="10">
        <v>1501195</v>
      </c>
      <c r="K78" s="10">
        <v>1527226</v>
      </c>
    </row>
    <row r="79" spans="1:11" hidden="1" outlineLevel="1" x14ac:dyDescent="0.25">
      <c r="A79" t="s">
        <v>35</v>
      </c>
      <c r="B79" s="10">
        <v>2556375</v>
      </c>
      <c r="C79" s="10">
        <v>2528856</v>
      </c>
      <c r="D79" s="10">
        <v>2486878</v>
      </c>
      <c r="E79" s="10">
        <v>2486148</v>
      </c>
      <c r="F79" s="10">
        <v>2520863</v>
      </c>
      <c r="G79" s="10">
        <v>2092423</v>
      </c>
      <c r="H79" s="10">
        <v>1996182</v>
      </c>
      <c r="I79" s="10">
        <v>1577488</v>
      </c>
      <c r="J79" s="10">
        <v>912551</v>
      </c>
      <c r="K79" s="10">
        <v>635387</v>
      </c>
    </row>
    <row r="80" spans="1:11" hidden="1" outlineLevel="1" x14ac:dyDescent="0.25">
      <c r="A80" t="s">
        <v>55</v>
      </c>
      <c r="B80" s="10">
        <v>202572</v>
      </c>
      <c r="C80" s="10">
        <v>188335</v>
      </c>
      <c r="D80" s="10">
        <v>245737</v>
      </c>
      <c r="E80" s="10">
        <v>313686</v>
      </c>
      <c r="F80" s="10">
        <v>337936</v>
      </c>
      <c r="G80" s="10">
        <v>390210</v>
      </c>
      <c r="H80" s="10">
        <v>382379</v>
      </c>
      <c r="I80" s="10">
        <v>434461</v>
      </c>
      <c r="J80" s="10">
        <v>374286</v>
      </c>
      <c r="K80" s="10">
        <v>421781</v>
      </c>
    </row>
    <row r="81" spans="1:11" hidden="1" outlineLevel="1" x14ac:dyDescent="0.25">
      <c r="A81" t="s">
        <v>37</v>
      </c>
      <c r="B81" s="10">
        <v>60026</v>
      </c>
      <c r="C81" s="10">
        <v>64586</v>
      </c>
      <c r="D81" s="10">
        <v>70174</v>
      </c>
      <c r="E81" s="10">
        <v>80614</v>
      </c>
      <c r="F81" s="10">
        <v>95093</v>
      </c>
      <c r="G81" s="10">
        <v>69991</v>
      </c>
      <c r="H81" s="10">
        <v>76969</v>
      </c>
      <c r="I81" s="10">
        <v>95106</v>
      </c>
      <c r="J81" s="10">
        <v>86142</v>
      </c>
      <c r="K81" s="10">
        <v>61726</v>
      </c>
    </row>
    <row r="82" spans="1:11" hidden="1" outlineLevel="1" x14ac:dyDescent="0.25">
      <c r="A82" t="s">
        <v>41</v>
      </c>
      <c r="B82" s="10">
        <v>286751</v>
      </c>
      <c r="C82" s="10">
        <v>398619</v>
      </c>
      <c r="D82" s="10">
        <v>343268</v>
      </c>
      <c r="E82" s="10">
        <v>410717</v>
      </c>
      <c r="F82" s="10">
        <v>373359</v>
      </c>
      <c r="G82" s="10">
        <v>369990</v>
      </c>
      <c r="H82" s="10">
        <v>461957</v>
      </c>
      <c r="I82" s="10">
        <v>380772</v>
      </c>
      <c r="J82" s="10">
        <v>379546</v>
      </c>
      <c r="K82" s="10">
        <v>406165</v>
      </c>
    </row>
    <row r="83" spans="1:11" hidden="1" outlineLevel="1" x14ac:dyDescent="0.25">
      <c r="A83" t="s">
        <v>43</v>
      </c>
      <c r="B83" s="10">
        <v>331667</v>
      </c>
      <c r="C83" s="10">
        <v>291608</v>
      </c>
      <c r="D83" s="10">
        <v>398163</v>
      </c>
      <c r="E83" s="10">
        <v>316293</v>
      </c>
      <c r="F83" s="10">
        <v>315173</v>
      </c>
      <c r="G83" s="10">
        <v>319799</v>
      </c>
      <c r="H83" s="10">
        <v>325311</v>
      </c>
      <c r="I83" s="10">
        <v>238402</v>
      </c>
      <c r="J83" s="10">
        <v>270348</v>
      </c>
      <c r="K83" s="10">
        <v>350429</v>
      </c>
    </row>
    <row r="84" spans="1:11" hidden="1" outlineLevel="1" x14ac:dyDescent="0.25">
      <c r="A84" t="s">
        <v>45</v>
      </c>
      <c r="B84" s="10">
        <v>37256</v>
      </c>
      <c r="C84" s="10">
        <v>42861</v>
      </c>
      <c r="D84" s="10">
        <v>65785</v>
      </c>
      <c r="E84" s="10">
        <v>89537</v>
      </c>
      <c r="F84" s="10">
        <v>106689</v>
      </c>
      <c r="G84" s="10">
        <v>105600</v>
      </c>
      <c r="H84" s="10">
        <v>125585</v>
      </c>
      <c r="I84" s="10">
        <v>168933</v>
      </c>
      <c r="J84" s="10">
        <v>198094</v>
      </c>
      <c r="K84" s="10">
        <v>212589</v>
      </c>
    </row>
    <row r="85" spans="1:11" hidden="1" outlineLevel="1" x14ac:dyDescent="0.25">
      <c r="A85" t="s">
        <v>52</v>
      </c>
      <c r="B85" s="10">
        <v>300220</v>
      </c>
      <c r="C85" s="10">
        <v>313765</v>
      </c>
      <c r="D85" s="10">
        <v>310131</v>
      </c>
      <c r="E85" s="10">
        <v>327281</v>
      </c>
      <c r="F85" s="10">
        <v>316521</v>
      </c>
      <c r="G85" s="10">
        <v>291014</v>
      </c>
      <c r="H85" s="10">
        <v>256257</v>
      </c>
      <c r="I85" s="10">
        <v>255252</v>
      </c>
      <c r="J85" s="10">
        <v>229879</v>
      </c>
      <c r="K85" s="10">
        <v>214123</v>
      </c>
    </row>
    <row r="86" spans="1:11" hidden="1" outlineLevel="1" x14ac:dyDescent="0.25">
      <c r="A86" t="s">
        <v>47</v>
      </c>
      <c r="B86">
        <v>43</v>
      </c>
      <c r="C86">
        <v>300</v>
      </c>
      <c r="D86" s="10">
        <v>1312</v>
      </c>
      <c r="E86" s="10">
        <v>1204</v>
      </c>
      <c r="F86" s="10">
        <v>2460</v>
      </c>
      <c r="G86" s="10">
        <v>5283</v>
      </c>
      <c r="H86" s="10">
        <v>33113</v>
      </c>
      <c r="I86" s="10">
        <v>127795</v>
      </c>
      <c r="J86" s="10">
        <v>205282</v>
      </c>
      <c r="K86" s="10">
        <v>259952</v>
      </c>
    </row>
    <row r="87" spans="1:11" hidden="1" outlineLevel="1" x14ac:dyDescent="0.25">
      <c r="A87" t="s">
        <v>50</v>
      </c>
      <c r="B87" s="10">
        <v>35209</v>
      </c>
      <c r="C87" s="10">
        <v>31079</v>
      </c>
      <c r="D87" s="10">
        <v>40205</v>
      </c>
      <c r="E87" s="10">
        <v>39702</v>
      </c>
      <c r="F87" s="10">
        <v>42465</v>
      </c>
      <c r="G87" s="10">
        <v>53897</v>
      </c>
      <c r="H87" s="10">
        <v>56879</v>
      </c>
      <c r="I87" s="10">
        <v>53232</v>
      </c>
      <c r="J87" s="10">
        <v>63367</v>
      </c>
      <c r="K87" s="10">
        <v>43807</v>
      </c>
    </row>
    <row r="88" spans="1:11" hidden="1" outlineLevel="1" x14ac:dyDescent="0.25">
      <c r="A88" t="s">
        <v>95</v>
      </c>
      <c r="B88">
        <v>263</v>
      </c>
      <c r="C88">
        <v>517</v>
      </c>
      <c r="D88" s="10">
        <v>1097</v>
      </c>
      <c r="E88" s="10">
        <v>2084</v>
      </c>
      <c r="F88" s="10">
        <v>4373</v>
      </c>
      <c r="G88" s="10">
        <v>8034</v>
      </c>
      <c r="H88" s="10">
        <v>12120</v>
      </c>
      <c r="I88" s="10">
        <v>18953</v>
      </c>
      <c r="J88" s="10">
        <v>27135</v>
      </c>
      <c r="K88" s="10">
        <v>35535</v>
      </c>
    </row>
    <row r="89" spans="1:11" hidden="1" outlineLevel="1" x14ac:dyDescent="0.25">
      <c r="A89" t="s">
        <v>96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hidden="1" outlineLevel="1" x14ac:dyDescent="0.25">
      <c r="A90" t="s">
        <v>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hidden="1" outlineLevel="1" x14ac:dyDescent="0.25">
      <c r="A91" t="s">
        <v>98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hidden="1" outlineLevel="1" x14ac:dyDescent="0.25">
      <c r="A92" t="s">
        <v>99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collapsed="1" x14ac:dyDescent="0.25">
      <c r="A93" t="s">
        <v>108</v>
      </c>
      <c r="B93" t="s">
        <v>109</v>
      </c>
    </row>
    <row r="94" spans="1:11" hidden="1" outlineLevel="1" x14ac:dyDescent="0.25">
      <c r="B94">
        <v>2012</v>
      </c>
      <c r="C94">
        <v>2013</v>
      </c>
      <c r="D94">
        <v>2014</v>
      </c>
      <c r="E94">
        <v>2015</v>
      </c>
      <c r="F94">
        <v>2016</v>
      </c>
      <c r="G94">
        <v>2017</v>
      </c>
      <c r="H94">
        <v>2018</v>
      </c>
      <c r="I94">
        <v>2019</v>
      </c>
      <c r="J94">
        <v>2020</v>
      </c>
      <c r="K94">
        <v>2021</v>
      </c>
    </row>
    <row r="95" spans="1:11" hidden="1" outlineLevel="1" x14ac:dyDescent="0.25">
      <c r="A95" t="s">
        <v>39</v>
      </c>
      <c r="B95">
        <v>7.61</v>
      </c>
      <c r="C95">
        <v>7.76</v>
      </c>
      <c r="D95">
        <v>7.59</v>
      </c>
      <c r="E95">
        <v>8.2100000000000009</v>
      </c>
      <c r="F95">
        <v>9.0500000000000007</v>
      </c>
      <c r="G95">
        <v>8.75</v>
      </c>
      <c r="H95">
        <v>9.1199999999999992</v>
      </c>
      <c r="I95">
        <v>8.2200000000000006</v>
      </c>
      <c r="J95">
        <v>8.0399999999999991</v>
      </c>
      <c r="K95">
        <v>8.09</v>
      </c>
    </row>
    <row r="96" spans="1:11" hidden="1" outlineLevel="1" x14ac:dyDescent="0.25">
      <c r="A96" t="s">
        <v>60</v>
      </c>
      <c r="B96">
        <v>10.119999999999999</v>
      </c>
      <c r="C96">
        <v>9.91</v>
      </c>
      <c r="D96">
        <v>9.68</v>
      </c>
      <c r="E96">
        <v>9.41</v>
      </c>
      <c r="F96">
        <v>10.62</v>
      </c>
      <c r="G96">
        <v>10.83</v>
      </c>
      <c r="H96">
        <v>11.08</v>
      </c>
      <c r="I96">
        <v>10.69</v>
      </c>
      <c r="J96">
        <v>13.11</v>
      </c>
      <c r="K96">
        <v>13.25</v>
      </c>
    </row>
    <row r="97" spans="1:12" hidden="1" outlineLevel="1" x14ac:dyDescent="0.25">
      <c r="A97" t="s">
        <v>35</v>
      </c>
      <c r="B97">
        <v>9.35</v>
      </c>
      <c r="C97">
        <v>8.9600000000000009</v>
      </c>
      <c r="D97">
        <v>9.66</v>
      </c>
      <c r="E97">
        <v>9.74</v>
      </c>
      <c r="F97">
        <v>10.06</v>
      </c>
      <c r="G97">
        <v>10.29</v>
      </c>
      <c r="H97">
        <v>10.76</v>
      </c>
      <c r="I97">
        <v>13.23</v>
      </c>
      <c r="J97">
        <v>12.23</v>
      </c>
      <c r="K97">
        <v>10.6</v>
      </c>
    </row>
    <row r="98" spans="1:12" hidden="1" outlineLevel="1" x14ac:dyDescent="0.25">
      <c r="A98" t="s">
        <v>55</v>
      </c>
      <c r="B98">
        <v>10.130000000000001</v>
      </c>
      <c r="C98">
        <v>10.119999999999999</v>
      </c>
      <c r="D98">
        <v>9.4700000000000006</v>
      </c>
      <c r="E98">
        <v>8.77</v>
      </c>
      <c r="F98">
        <v>11.01</v>
      </c>
      <c r="G98">
        <v>11.29</v>
      </c>
      <c r="H98">
        <v>11.54</v>
      </c>
      <c r="I98">
        <v>10.67</v>
      </c>
      <c r="J98">
        <v>10.95</v>
      </c>
      <c r="K98">
        <v>10.210000000000001</v>
      </c>
    </row>
    <row r="99" spans="1:12" hidden="1" outlineLevel="1" x14ac:dyDescent="0.25">
      <c r="A99" t="s">
        <v>37</v>
      </c>
      <c r="B99">
        <v>11.73</v>
      </c>
      <c r="C99">
        <v>11.75</v>
      </c>
      <c r="D99">
        <v>11.01</v>
      </c>
      <c r="E99">
        <v>10.11</v>
      </c>
      <c r="F99">
        <v>12.7</v>
      </c>
      <c r="G99">
        <v>13.05</v>
      </c>
      <c r="H99">
        <v>13.34</v>
      </c>
      <c r="I99">
        <v>12.37</v>
      </c>
      <c r="J99">
        <v>11.75</v>
      </c>
      <c r="K99">
        <v>13.58</v>
      </c>
    </row>
    <row r="100" spans="1:12" hidden="1" outlineLevel="1" x14ac:dyDescent="0.25">
      <c r="A100" t="s">
        <v>41</v>
      </c>
      <c r="B100">
        <v>10.77</v>
      </c>
      <c r="C100">
        <v>10.4</v>
      </c>
      <c r="D100">
        <v>9.91</v>
      </c>
      <c r="E100">
        <v>9.91</v>
      </c>
      <c r="F100">
        <v>9.9600000000000009</v>
      </c>
      <c r="G100">
        <v>10.35</v>
      </c>
      <c r="H100">
        <v>11.42</v>
      </c>
      <c r="I100">
        <v>11.09</v>
      </c>
      <c r="J100">
        <v>11.19</v>
      </c>
      <c r="K100">
        <v>10.41</v>
      </c>
    </row>
    <row r="101" spans="1:12" hidden="1" outlineLevel="1" x14ac:dyDescent="0.25">
      <c r="A101" t="s">
        <v>50</v>
      </c>
      <c r="B101">
        <v>41.82</v>
      </c>
      <c r="C101">
        <v>52.39</v>
      </c>
      <c r="D101">
        <v>47.12</v>
      </c>
      <c r="E101">
        <v>47.9</v>
      </c>
      <c r="F101">
        <v>46.09</v>
      </c>
      <c r="G101">
        <v>33.76</v>
      </c>
      <c r="H101">
        <v>31.58</v>
      </c>
      <c r="I101">
        <v>39.47</v>
      </c>
      <c r="J101">
        <v>38.53</v>
      </c>
      <c r="K101">
        <v>35.26</v>
      </c>
    </row>
    <row r="102" spans="1:12" collapsed="1" x14ac:dyDescent="0.25">
      <c r="A102" t="s">
        <v>110</v>
      </c>
      <c r="B102" t="s">
        <v>111</v>
      </c>
    </row>
    <row r="103" spans="1:12" hidden="1" outlineLevel="1" x14ac:dyDescent="0.25">
      <c r="A103" t="s">
        <v>39</v>
      </c>
      <c r="B103">
        <v>2012</v>
      </c>
      <c r="C103">
        <v>2013</v>
      </c>
      <c r="D103">
        <v>2014</v>
      </c>
      <c r="E103">
        <v>2015</v>
      </c>
      <c r="F103">
        <v>2016</v>
      </c>
      <c r="G103">
        <v>2017</v>
      </c>
      <c r="H103">
        <v>2018</v>
      </c>
      <c r="I103">
        <v>2019</v>
      </c>
      <c r="J103">
        <v>2020</v>
      </c>
      <c r="K103">
        <v>2021</v>
      </c>
    </row>
    <row r="104" spans="1:12" hidden="1" outlineLevel="2" x14ac:dyDescent="0.25">
      <c r="A104" t="s">
        <v>112</v>
      </c>
      <c r="B104" s="12">
        <v>1009.23</v>
      </c>
      <c r="C104" s="12">
        <v>1108.0999999999999</v>
      </c>
      <c r="D104" s="12">
        <v>1131.19</v>
      </c>
      <c r="E104" s="12">
        <v>1275.2</v>
      </c>
      <c r="F104" s="12">
        <v>1416.37</v>
      </c>
      <c r="G104" s="12">
        <v>1383.12</v>
      </c>
      <c r="H104" s="12">
        <v>1488.74</v>
      </c>
      <c r="I104" s="12">
        <v>1445.94</v>
      </c>
      <c r="J104" s="12">
        <v>1496.7</v>
      </c>
      <c r="K104" s="12">
        <v>1531.81</v>
      </c>
      <c r="L104" s="12"/>
    </row>
    <row r="105" spans="1:12" hidden="1" outlineLevel="1" x14ac:dyDescent="0.25">
      <c r="A105" t="s">
        <v>60</v>
      </c>
      <c r="B105">
        <v>2012</v>
      </c>
      <c r="C105">
        <v>2013</v>
      </c>
      <c r="D105">
        <v>2014</v>
      </c>
      <c r="E105">
        <v>2015</v>
      </c>
      <c r="F105">
        <v>2016</v>
      </c>
      <c r="G105">
        <v>2017</v>
      </c>
      <c r="H105">
        <v>2018</v>
      </c>
      <c r="I105">
        <v>2019</v>
      </c>
      <c r="J105">
        <v>2020</v>
      </c>
      <c r="K105">
        <v>2021</v>
      </c>
    </row>
    <row r="106" spans="1:12" hidden="1" outlineLevel="2" x14ac:dyDescent="0.25">
      <c r="A106" t="s">
        <v>113</v>
      </c>
      <c r="B106">
        <v>38.39</v>
      </c>
      <c r="C106">
        <v>36.119999999999997</v>
      </c>
      <c r="D106">
        <v>39</v>
      </c>
      <c r="E106">
        <v>39.340000000000003</v>
      </c>
      <c r="F106">
        <v>34.909999999999997</v>
      </c>
      <c r="G106">
        <v>38.54</v>
      </c>
      <c r="H106">
        <v>38.04</v>
      </c>
      <c r="I106">
        <v>34.33</v>
      </c>
      <c r="J106">
        <v>37.840000000000003</v>
      </c>
      <c r="K106">
        <v>34.619999999999997</v>
      </c>
      <c r="L106" s="12"/>
    </row>
    <row r="107" spans="1:12" hidden="1" outlineLevel="2" x14ac:dyDescent="0.25">
      <c r="A107" t="s">
        <v>114</v>
      </c>
      <c r="B107">
        <v>460.77</v>
      </c>
      <c r="C107">
        <v>413.72</v>
      </c>
      <c r="D107">
        <v>258.52</v>
      </c>
      <c r="E107">
        <v>248.4</v>
      </c>
      <c r="F107">
        <v>273.3</v>
      </c>
      <c r="G107">
        <v>312.37</v>
      </c>
      <c r="H107">
        <v>268.52</v>
      </c>
      <c r="I107">
        <v>258.02999999999997</v>
      </c>
      <c r="J107">
        <v>187.69</v>
      </c>
      <c r="K107">
        <v>193.22</v>
      </c>
      <c r="L107" s="12"/>
    </row>
    <row r="108" spans="1:12" hidden="1" outlineLevel="2" x14ac:dyDescent="0.25">
      <c r="A108" t="s">
        <v>112</v>
      </c>
      <c r="B108">
        <v>142.69</v>
      </c>
      <c r="C108">
        <v>131.30000000000001</v>
      </c>
      <c r="D108">
        <v>119.29</v>
      </c>
      <c r="E108">
        <v>138.13</v>
      </c>
      <c r="F108">
        <v>167.18</v>
      </c>
      <c r="G108">
        <v>156.1</v>
      </c>
      <c r="H108">
        <v>165.6</v>
      </c>
      <c r="I108">
        <v>147.62</v>
      </c>
      <c r="J108">
        <v>97.02</v>
      </c>
      <c r="K108">
        <v>103.72</v>
      </c>
      <c r="L108" s="12"/>
    </row>
    <row r="109" spans="1:12" hidden="1" outlineLevel="1" x14ac:dyDescent="0.25">
      <c r="A109" t="s">
        <v>35</v>
      </c>
      <c r="B109">
        <v>2012</v>
      </c>
      <c r="C109">
        <v>2013</v>
      </c>
      <c r="D109">
        <v>2014</v>
      </c>
      <c r="E109">
        <v>2015</v>
      </c>
      <c r="F109">
        <v>2016</v>
      </c>
      <c r="G109">
        <v>2017</v>
      </c>
      <c r="H109">
        <v>2018</v>
      </c>
      <c r="I109">
        <v>2019</v>
      </c>
      <c r="J109">
        <v>2020</v>
      </c>
      <c r="K109">
        <v>2021</v>
      </c>
      <c r="L109" s="12"/>
    </row>
    <row r="110" spans="1:12" hidden="1" outlineLevel="2" x14ac:dyDescent="0.25">
      <c r="A110" t="s">
        <v>115</v>
      </c>
      <c r="B110">
        <v>351.49</v>
      </c>
      <c r="C110">
        <v>332.87</v>
      </c>
      <c r="D110">
        <v>353.1</v>
      </c>
      <c r="E110">
        <v>356.11</v>
      </c>
      <c r="F110">
        <v>372.85</v>
      </c>
      <c r="G110">
        <v>316.58999999999997</v>
      </c>
      <c r="H110">
        <v>315.70999999999998</v>
      </c>
      <c r="I110">
        <v>306.73</v>
      </c>
      <c r="J110">
        <v>164.1</v>
      </c>
      <c r="K110">
        <v>99.04</v>
      </c>
      <c r="L110" s="12"/>
    </row>
    <row r="111" spans="1:12" hidden="1" outlineLevel="1" x14ac:dyDescent="0.25">
      <c r="A111" t="s">
        <v>55</v>
      </c>
      <c r="B111">
        <v>2012</v>
      </c>
      <c r="C111">
        <v>2013</v>
      </c>
      <c r="D111">
        <v>2014</v>
      </c>
      <c r="E111">
        <v>2015</v>
      </c>
      <c r="F111">
        <v>2016</v>
      </c>
      <c r="G111">
        <v>2017</v>
      </c>
      <c r="H111">
        <v>2018</v>
      </c>
      <c r="I111">
        <v>2019</v>
      </c>
      <c r="J111">
        <v>2020</v>
      </c>
      <c r="K111">
        <v>2021</v>
      </c>
      <c r="L111" s="12"/>
    </row>
    <row r="112" spans="1:12" hidden="1" outlineLevel="2" x14ac:dyDescent="0.25">
      <c r="A112" t="s">
        <v>116</v>
      </c>
      <c r="B112">
        <v>5.53</v>
      </c>
      <c r="C112">
        <v>5.54</v>
      </c>
      <c r="D112">
        <v>5.14</v>
      </c>
      <c r="E112">
        <v>5.09</v>
      </c>
      <c r="F112">
        <v>3.6</v>
      </c>
      <c r="G112">
        <v>2.2999999999999998</v>
      </c>
      <c r="H112">
        <v>3.66</v>
      </c>
      <c r="I112">
        <v>0.36</v>
      </c>
      <c r="J112">
        <v>0</v>
      </c>
      <c r="K112">
        <v>0</v>
      </c>
      <c r="L112" s="12"/>
    </row>
    <row r="113" spans="1:12" hidden="1" outlineLevel="2" x14ac:dyDescent="0.25">
      <c r="A113" t="s">
        <v>117</v>
      </c>
      <c r="B113">
        <v>25.65</v>
      </c>
      <c r="C113">
        <v>21.41</v>
      </c>
      <c r="D113">
        <v>14.21</v>
      </c>
      <c r="E113">
        <v>16.89</v>
      </c>
      <c r="F113">
        <v>23.01</v>
      </c>
      <c r="G113">
        <v>26.57</v>
      </c>
      <c r="H113">
        <v>34.14</v>
      </c>
      <c r="I113">
        <v>42.31</v>
      </c>
      <c r="J113">
        <v>30.22</v>
      </c>
      <c r="K113">
        <v>29.2</v>
      </c>
      <c r="L113" s="12"/>
    </row>
    <row r="114" spans="1:12" hidden="1" outlineLevel="2" x14ac:dyDescent="0.25">
      <c r="A114" t="s">
        <v>112</v>
      </c>
      <c r="B114">
        <v>48.08</v>
      </c>
      <c r="C114">
        <v>46.69</v>
      </c>
      <c r="D114">
        <v>70.599999999999994</v>
      </c>
      <c r="E114">
        <v>84.37</v>
      </c>
      <c r="F114">
        <v>117.2</v>
      </c>
      <c r="G114">
        <v>141.41</v>
      </c>
      <c r="H114">
        <v>132.71</v>
      </c>
      <c r="I114">
        <v>136.47</v>
      </c>
      <c r="J114">
        <v>128.16</v>
      </c>
      <c r="K114">
        <v>137.15</v>
      </c>
      <c r="L114" s="12"/>
    </row>
    <row r="115" spans="1:12" hidden="1" outlineLevel="1" x14ac:dyDescent="0.25">
      <c r="A115" t="s">
        <v>37</v>
      </c>
      <c r="B115">
        <v>2012</v>
      </c>
      <c r="C115">
        <v>2013</v>
      </c>
      <c r="D115">
        <v>2014</v>
      </c>
      <c r="E115">
        <v>2015</v>
      </c>
      <c r="F115">
        <v>2016</v>
      </c>
      <c r="G115">
        <v>2017</v>
      </c>
      <c r="H115">
        <v>2018</v>
      </c>
      <c r="I115">
        <v>2019</v>
      </c>
      <c r="J115">
        <v>2020</v>
      </c>
      <c r="K115">
        <v>2021</v>
      </c>
      <c r="L115" s="12"/>
    </row>
    <row r="116" spans="1:12" hidden="1" outlineLevel="2" x14ac:dyDescent="0.25">
      <c r="A116" t="s">
        <v>118</v>
      </c>
      <c r="B116">
        <v>1.82</v>
      </c>
      <c r="C116">
        <v>1.97</v>
      </c>
      <c r="D116">
        <v>1.94</v>
      </c>
      <c r="E116">
        <v>1.87</v>
      </c>
      <c r="F116">
        <v>1.91</v>
      </c>
      <c r="G116">
        <v>2.52</v>
      </c>
      <c r="H116">
        <v>2.84</v>
      </c>
      <c r="I116">
        <v>2.8</v>
      </c>
      <c r="J116">
        <v>2.5299999999999998</v>
      </c>
      <c r="K116">
        <v>2.71</v>
      </c>
      <c r="L116" s="12"/>
    </row>
    <row r="117" spans="1:12" hidden="1" outlineLevel="2" x14ac:dyDescent="0.25">
      <c r="A117" t="s">
        <v>117</v>
      </c>
      <c r="B117">
        <v>6.73</v>
      </c>
      <c r="C117">
        <v>6.5</v>
      </c>
      <c r="D117">
        <v>3.59</v>
      </c>
      <c r="E117">
        <v>3.81</v>
      </c>
      <c r="F117">
        <v>5.69</v>
      </c>
      <c r="G117">
        <v>4.21</v>
      </c>
      <c r="H117">
        <v>6.07</v>
      </c>
      <c r="I117">
        <v>8.18</v>
      </c>
      <c r="J117">
        <v>4.0999999999999996</v>
      </c>
      <c r="K117">
        <v>3.07</v>
      </c>
      <c r="L117" s="12"/>
    </row>
    <row r="118" spans="1:12" hidden="1" outlineLevel="2" x14ac:dyDescent="0.25">
      <c r="A118" t="s">
        <v>112</v>
      </c>
      <c r="B118">
        <v>15.63</v>
      </c>
      <c r="C118">
        <v>17.579999999999998</v>
      </c>
      <c r="D118">
        <v>21</v>
      </c>
      <c r="E118">
        <v>22.3</v>
      </c>
      <c r="F118">
        <v>33.869999999999997</v>
      </c>
      <c r="G118">
        <v>24.63</v>
      </c>
      <c r="H118">
        <v>26.33</v>
      </c>
      <c r="I118">
        <v>29.42</v>
      </c>
      <c r="J118">
        <v>28.12</v>
      </c>
      <c r="K118">
        <v>23.01</v>
      </c>
      <c r="L118" s="12"/>
    </row>
    <row r="119" spans="1:12" hidden="1" outlineLevel="1" x14ac:dyDescent="0.25">
      <c r="A119" t="s">
        <v>41</v>
      </c>
      <c r="B119">
        <v>2012</v>
      </c>
      <c r="C119">
        <v>2013</v>
      </c>
      <c r="D119">
        <v>2014</v>
      </c>
      <c r="E119">
        <v>2015</v>
      </c>
      <c r="F119">
        <v>2016</v>
      </c>
      <c r="G119">
        <v>2017</v>
      </c>
      <c r="H119">
        <v>2018</v>
      </c>
      <c r="I119">
        <v>2019</v>
      </c>
      <c r="J119">
        <v>2020</v>
      </c>
      <c r="K119">
        <v>2021</v>
      </c>
      <c r="L119" s="12"/>
    </row>
    <row r="120" spans="1:12" hidden="1" outlineLevel="2" x14ac:dyDescent="0.25">
      <c r="A120" t="s">
        <v>41</v>
      </c>
      <c r="B120">
        <v>91.32</v>
      </c>
      <c r="C120">
        <v>122.6</v>
      </c>
      <c r="D120">
        <v>100.6</v>
      </c>
      <c r="E120">
        <v>120.41</v>
      </c>
      <c r="F120">
        <v>109.95</v>
      </c>
      <c r="G120">
        <v>113.22</v>
      </c>
      <c r="H120">
        <v>156</v>
      </c>
      <c r="I120">
        <v>124.82</v>
      </c>
      <c r="J120">
        <v>125.62</v>
      </c>
      <c r="K120">
        <v>124.99</v>
      </c>
      <c r="L120" s="12"/>
    </row>
    <row r="121" spans="1:12" hidden="1" outlineLevel="1" x14ac:dyDescent="0.25">
      <c r="A121" t="s">
        <v>50</v>
      </c>
      <c r="B121">
        <v>2012</v>
      </c>
      <c r="C121">
        <v>2013</v>
      </c>
      <c r="D121">
        <v>2014</v>
      </c>
      <c r="E121">
        <v>2015</v>
      </c>
      <c r="F121">
        <v>2016</v>
      </c>
      <c r="G121">
        <v>2017</v>
      </c>
      <c r="H121">
        <v>2018</v>
      </c>
      <c r="I121">
        <v>2019</v>
      </c>
      <c r="J121">
        <v>2020</v>
      </c>
      <c r="K121">
        <v>2021</v>
      </c>
      <c r="L121" s="12"/>
    </row>
    <row r="122" spans="1:12" hidden="1" outlineLevel="2" x14ac:dyDescent="0.25">
      <c r="A122" t="s">
        <v>119</v>
      </c>
      <c r="B122">
        <v>52.97</v>
      </c>
      <c r="C122">
        <v>58.57</v>
      </c>
      <c r="D122">
        <v>68.150000000000006</v>
      </c>
      <c r="E122">
        <v>68.41</v>
      </c>
      <c r="F122">
        <v>70.41</v>
      </c>
      <c r="G122">
        <v>65.459999999999994</v>
      </c>
      <c r="H122">
        <v>64.61</v>
      </c>
      <c r="I122">
        <v>75.569999999999993</v>
      </c>
      <c r="J122">
        <v>87.82</v>
      </c>
      <c r="K122">
        <v>55.56</v>
      </c>
      <c r="L122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7575-5F8B-4262-8021-787E6CC643B3}">
  <dimension ref="B2:J31"/>
  <sheetViews>
    <sheetView topLeftCell="A13" workbookViewId="0">
      <selection activeCell="D25" sqref="D25:E25"/>
    </sheetView>
  </sheetViews>
  <sheetFormatPr defaultColWidth="11.42578125" defaultRowHeight="15" x14ac:dyDescent="0.25"/>
  <sheetData>
    <row r="2" spans="8:10" x14ac:dyDescent="0.25">
      <c r="I2">
        <v>2022</v>
      </c>
      <c r="J2">
        <v>2023</v>
      </c>
    </row>
    <row r="3" spans="8:10" x14ac:dyDescent="0.25">
      <c r="H3" t="s">
        <v>115</v>
      </c>
      <c r="I3" s="14">
        <v>111.31</v>
      </c>
      <c r="J3" s="14">
        <v>145.12</v>
      </c>
    </row>
    <row r="4" spans="8:10" x14ac:dyDescent="0.25">
      <c r="H4" t="s">
        <v>120</v>
      </c>
      <c r="I4" s="14">
        <v>152.77000000000001</v>
      </c>
      <c r="J4" s="14">
        <v>175.7</v>
      </c>
    </row>
    <row r="5" spans="8:10" x14ac:dyDescent="0.25">
      <c r="H5" t="s">
        <v>121</v>
      </c>
      <c r="I5" s="15">
        <v>2.4</v>
      </c>
      <c r="J5" s="15">
        <v>2.15</v>
      </c>
    </row>
    <row r="6" spans="8:10" x14ac:dyDescent="0.25">
      <c r="H6" t="s">
        <v>122</v>
      </c>
      <c r="I6" s="15">
        <v>37.78</v>
      </c>
      <c r="J6" s="15">
        <v>32.61</v>
      </c>
    </row>
    <row r="7" spans="8:10" x14ac:dyDescent="0.25">
      <c r="H7" t="s">
        <v>123</v>
      </c>
      <c r="I7">
        <v>60</v>
      </c>
      <c r="J7">
        <v>38.76</v>
      </c>
    </row>
    <row r="8" spans="8:10" x14ac:dyDescent="0.25">
      <c r="H8" t="s">
        <v>124</v>
      </c>
      <c r="I8" s="15">
        <v>228.96</v>
      </c>
      <c r="J8" s="15">
        <v>233.27</v>
      </c>
    </row>
    <row r="9" spans="8:10" x14ac:dyDescent="0.25">
      <c r="H9" t="s">
        <v>112</v>
      </c>
      <c r="I9">
        <v>2216.41</v>
      </c>
      <c r="J9">
        <v>2242.4899999999998</v>
      </c>
    </row>
    <row r="10" spans="8:10" x14ac:dyDescent="0.25">
      <c r="H10" t="s">
        <v>125</v>
      </c>
      <c r="I10" s="14">
        <v>48.13</v>
      </c>
      <c r="J10" s="14">
        <v>46.37</v>
      </c>
    </row>
    <row r="11" spans="8:10" x14ac:dyDescent="0.25">
      <c r="H11" t="s">
        <v>126</v>
      </c>
      <c r="I11" s="15">
        <v>0</v>
      </c>
      <c r="J11" s="15">
        <v>0</v>
      </c>
    </row>
    <row r="12" spans="8:10" x14ac:dyDescent="0.25">
      <c r="H12" t="s">
        <v>127</v>
      </c>
      <c r="I12" s="14">
        <v>33.75</v>
      </c>
      <c r="J12" s="14">
        <v>24</v>
      </c>
    </row>
    <row r="18" spans="2:5" x14ac:dyDescent="0.25">
      <c r="B18" t="s">
        <v>39</v>
      </c>
    </row>
    <row r="19" spans="2:5" x14ac:dyDescent="0.25">
      <c r="B19" t="s">
        <v>112</v>
      </c>
      <c r="C19">
        <v>1531.81</v>
      </c>
    </row>
    <row r="20" spans="2:5" x14ac:dyDescent="0.25">
      <c r="B20" t="s">
        <v>60</v>
      </c>
    </row>
    <row r="21" spans="2:5" x14ac:dyDescent="0.25">
      <c r="B21" t="s">
        <v>113</v>
      </c>
      <c r="C21">
        <v>34.619999999999997</v>
      </c>
    </row>
    <row r="22" spans="2:5" x14ac:dyDescent="0.25">
      <c r="B22" t="s">
        <v>114</v>
      </c>
      <c r="C22">
        <v>193.22</v>
      </c>
    </row>
    <row r="23" spans="2:5" x14ac:dyDescent="0.25">
      <c r="B23" t="s">
        <v>112</v>
      </c>
      <c r="C23">
        <v>103.72</v>
      </c>
    </row>
    <row r="24" spans="2:5" x14ac:dyDescent="0.25">
      <c r="B24" t="s">
        <v>55</v>
      </c>
    </row>
    <row r="25" spans="2:5" x14ac:dyDescent="0.25">
      <c r="B25" t="s">
        <v>116</v>
      </c>
      <c r="C25">
        <v>0</v>
      </c>
    </row>
    <row r="26" spans="2:5" x14ac:dyDescent="0.25">
      <c r="B26" t="s">
        <v>117</v>
      </c>
      <c r="C26">
        <v>29.2</v>
      </c>
    </row>
    <row r="27" spans="2:5" x14ac:dyDescent="0.25">
      <c r="B27" t="s">
        <v>112</v>
      </c>
      <c r="C27">
        <v>137.15</v>
      </c>
    </row>
    <row r="28" spans="2:5" x14ac:dyDescent="0.25">
      <c r="B28" t="s">
        <v>37</v>
      </c>
    </row>
    <row r="29" spans="2:5" x14ac:dyDescent="0.25">
      <c r="B29" t="s">
        <v>118</v>
      </c>
      <c r="C29">
        <v>2.71</v>
      </c>
    </row>
    <row r="30" spans="2:5" x14ac:dyDescent="0.25">
      <c r="B30" t="s">
        <v>117</v>
      </c>
      <c r="C30">
        <v>3.07</v>
      </c>
      <c r="D30">
        <f>I7</f>
        <v>60</v>
      </c>
      <c r="E30">
        <f>J7</f>
        <v>38.76</v>
      </c>
    </row>
    <row r="31" spans="2:5" x14ac:dyDescent="0.25">
      <c r="B31" t="s">
        <v>112</v>
      </c>
      <c r="C31">
        <v>23.01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A05A-B507-4BF4-9958-335FBEE9CF8D}">
  <sheetPr>
    <outlinePr summaryBelow="0"/>
  </sheetPr>
  <dimension ref="A1:P152"/>
  <sheetViews>
    <sheetView topLeftCell="A66" workbookViewId="0">
      <selection activeCell="B75" sqref="B75:B98"/>
    </sheetView>
  </sheetViews>
  <sheetFormatPr defaultColWidth="11.42578125" defaultRowHeight="15" outlineLevelRow="1" x14ac:dyDescent="0.25"/>
  <cols>
    <col min="1" max="1" width="20" customWidth="1"/>
    <col min="2" max="2" width="11.7109375" bestFit="1" customWidth="1"/>
    <col min="10" max="10" width="11.85546875" bestFit="1" customWidth="1"/>
  </cols>
  <sheetData>
    <row r="1" spans="1:13" collapsed="1" x14ac:dyDescent="0.25">
      <c r="A1" t="s">
        <v>128</v>
      </c>
    </row>
    <row r="2" spans="1:13" hidden="1" outlineLevel="1" x14ac:dyDescent="0.25">
      <c r="B2" s="13">
        <f>'2012-2021'!B2</f>
        <v>2012</v>
      </c>
      <c r="C2" s="13">
        <f>'2012-2021'!C2</f>
        <v>2013</v>
      </c>
      <c r="D2" s="13">
        <f>'2012-2021'!D2</f>
        <v>2014</v>
      </c>
      <c r="E2" s="13">
        <f>'2012-2021'!E2</f>
        <v>2015</v>
      </c>
      <c r="F2" s="13">
        <f>'2012-2021'!F2</f>
        <v>2016</v>
      </c>
      <c r="G2" s="13">
        <f>'2012-2021'!G2</f>
        <v>2017</v>
      </c>
      <c r="H2" s="13">
        <f>'2012-2021'!H2</f>
        <v>2018</v>
      </c>
      <c r="I2" s="13">
        <f>'2012-2021'!I2</f>
        <v>2019</v>
      </c>
      <c r="J2" s="13">
        <f>'2012-2021'!J2</f>
        <v>2020</v>
      </c>
      <c r="K2" s="13">
        <f>'2012-2021'!K2</f>
        <v>2021</v>
      </c>
      <c r="L2" s="13">
        <v>2022</v>
      </c>
      <c r="M2" s="13">
        <v>2023</v>
      </c>
    </row>
    <row r="3" spans="1:13" hidden="1" outlineLevel="1" x14ac:dyDescent="0.25">
      <c r="A3" t="s">
        <v>39</v>
      </c>
      <c r="B3" s="10">
        <f>'2012-2021'!B3</f>
        <v>18029</v>
      </c>
      <c r="C3" s="10">
        <f>'2012-2021'!C3</f>
        <v>22830</v>
      </c>
      <c r="D3" s="10">
        <f>'2012-2021'!D3</f>
        <v>23309</v>
      </c>
      <c r="E3" s="10">
        <f>'2012-2021'!E3</f>
        <v>24043</v>
      </c>
      <c r="F3" s="10">
        <f>'2012-2021'!F3</f>
        <v>27274</v>
      </c>
      <c r="G3" s="10">
        <f>'2012-2021'!G3</f>
        <v>28084</v>
      </c>
      <c r="H3" s="10">
        <f>AVERAGE(G3,J3)</f>
        <v>30016</v>
      </c>
      <c r="I3" s="10">
        <f>AVERAGE(H3,K3)</f>
        <v>31828</v>
      </c>
      <c r="J3" s="10">
        <f>'Cap2020-2023'!B14</f>
        <v>31948</v>
      </c>
      <c r="K3" s="10">
        <f>'Cap2020-2023'!C14</f>
        <v>33640</v>
      </c>
      <c r="L3" s="10">
        <f>'Cap2020-2023'!D14</f>
        <v>34413</v>
      </c>
      <c r="M3" s="10">
        <f>'Cap2020-2023'!E14</f>
        <v>35178</v>
      </c>
    </row>
    <row r="4" spans="1:13" hidden="1" outlineLevel="1" x14ac:dyDescent="0.25">
      <c r="A4" t="s">
        <v>60</v>
      </c>
      <c r="B4" s="10">
        <f>'2012-2021'!B4</f>
        <v>13765</v>
      </c>
      <c r="C4" s="10">
        <f>'2012-2021'!C4</f>
        <v>15246</v>
      </c>
      <c r="D4" s="10">
        <f>'2012-2021'!D4</f>
        <v>14614</v>
      </c>
      <c r="E4" s="10">
        <f>'2012-2021'!E4</f>
        <v>13881</v>
      </c>
      <c r="F4" s="10">
        <f>'2012-2021'!F4</f>
        <v>14217</v>
      </c>
      <c r="G4" s="10">
        <f>'2012-2021'!G4</f>
        <v>14383</v>
      </c>
      <c r="H4" s="10">
        <f>'2012-2021'!H4</f>
        <v>12503</v>
      </c>
      <c r="I4" s="10">
        <f>'2012-2021'!I4</f>
        <v>12584</v>
      </c>
      <c r="J4" s="10">
        <f>'2012-2021'!J4</f>
        <v>12399</v>
      </c>
      <c r="K4" s="10">
        <f>'2012-2021'!K4</f>
        <v>12399</v>
      </c>
      <c r="L4" s="10">
        <f>'Cap2020-2023'!D15</f>
        <v>11343</v>
      </c>
      <c r="M4" s="10">
        <f>'Cap2020-2023'!E15</f>
        <v>11300</v>
      </c>
    </row>
    <row r="5" spans="1:13" hidden="1" outlineLevel="1" x14ac:dyDescent="0.25">
      <c r="A5" t="s">
        <v>35</v>
      </c>
      <c r="B5" s="10">
        <f>'2012-2021'!B5</f>
        <v>5378</v>
      </c>
      <c r="C5" s="10">
        <f>'2012-2021'!C5</f>
        <v>5378</v>
      </c>
      <c r="D5" s="10">
        <f>'2012-2021'!D5</f>
        <v>5378</v>
      </c>
      <c r="E5" s="10">
        <f>'2012-2021'!E5</f>
        <v>5378</v>
      </c>
      <c r="F5" s="10">
        <f>'2012-2021'!F5</f>
        <v>5378</v>
      </c>
      <c r="G5" s="10">
        <f>'2012-2021'!G5</f>
        <v>5378</v>
      </c>
      <c r="H5" s="10">
        <f>'2012-2021'!H5</f>
        <v>5498</v>
      </c>
      <c r="I5" s="10">
        <f>'2012-2021'!I5</f>
        <v>5498</v>
      </c>
      <c r="J5" s="10">
        <f>'2012-2021'!J5</f>
        <v>5498</v>
      </c>
      <c r="K5" s="10">
        <f>'2012-2021'!K5</f>
        <v>5498</v>
      </c>
      <c r="L5" s="10">
        <f>'Cap2020-2023'!D18</f>
        <v>5463</v>
      </c>
      <c r="M5" s="10">
        <f>'Cap2020-2023'!E18</f>
        <v>5463</v>
      </c>
    </row>
    <row r="6" spans="1:13" hidden="1" outlineLevel="1" x14ac:dyDescent="0.25">
      <c r="A6" t="s">
        <v>55</v>
      </c>
      <c r="B6" s="10">
        <f>'2012-2021'!B6</f>
        <v>2658</v>
      </c>
      <c r="C6" s="10">
        <f>'2012-2021'!C6</f>
        <v>3418</v>
      </c>
      <c r="D6" s="10">
        <f>'2012-2021'!D6</f>
        <v>3419</v>
      </c>
      <c r="E6" s="10">
        <f>'2012-2021'!E6</f>
        <v>4904</v>
      </c>
      <c r="F6" s="10">
        <f>'2012-2021'!F6</f>
        <v>5052</v>
      </c>
      <c r="G6" s="10">
        <f>'2012-2021'!G6</f>
        <v>5136</v>
      </c>
      <c r="H6" s="10">
        <f>'2012-2021'!H6</f>
        <v>5087</v>
      </c>
      <c r="I6" s="10">
        <f>'2012-2021'!I6</f>
        <v>5308</v>
      </c>
      <c r="J6" s="10">
        <f>'Cap2020-2023'!B16+'Cap2020-2023'!B10*0.5</f>
        <v>4697.5</v>
      </c>
      <c r="K6" s="10">
        <f>'Cap2020-2023'!C16+'Cap2020-2023'!C10*0.5</f>
        <v>4896.5</v>
      </c>
      <c r="L6" s="10">
        <f>'Cap2020-2023'!D16+'Cap2020-2023'!D10*0.5</f>
        <v>4969</v>
      </c>
      <c r="M6" s="10">
        <f>'Cap2020-2023'!E16+'Cap2020-2023'!E10*0.5</f>
        <v>5049</v>
      </c>
    </row>
    <row r="7" spans="1:13" hidden="1" outlineLevel="1" x14ac:dyDescent="0.25">
      <c r="A7" t="s">
        <v>37</v>
      </c>
      <c r="B7" s="10">
        <f>'2012-2021'!B7</f>
        <v>1052</v>
      </c>
      <c r="C7" s="10">
        <f>'2012-2021'!C7</f>
        <v>1146</v>
      </c>
      <c r="D7" s="10">
        <f>'2012-2021'!D7</f>
        <v>1312</v>
      </c>
      <c r="E7" s="10">
        <f>'2012-2021'!E7</f>
        <v>1163</v>
      </c>
      <c r="F7" s="10">
        <f>'2012-2021'!F7</f>
        <v>1453</v>
      </c>
      <c r="G7" s="10">
        <f>'2012-2021'!G7</f>
        <v>1634</v>
      </c>
      <c r="H7" s="10">
        <f>'2012-2021'!H7</f>
        <v>2045</v>
      </c>
      <c r="I7" s="10">
        <f>'2012-2021'!I7</f>
        <v>2118</v>
      </c>
      <c r="J7" s="10">
        <f>'Cap2020-2023'!B17+'Cap2020-2023'!B10*0.25</f>
        <v>1426.25</v>
      </c>
      <c r="K7" s="10">
        <f>'Cap2020-2023'!C17+'Cap2020-2023'!C10*0.25</f>
        <v>1277.25</v>
      </c>
      <c r="L7" s="10">
        <f>'Cap2020-2023'!D17+'Cap2020-2023'!D10*0.25</f>
        <v>1305</v>
      </c>
      <c r="M7" s="10">
        <f>'Cap2020-2023'!E17+'Cap2020-2023'!E10*0.25</f>
        <v>1309.5</v>
      </c>
    </row>
    <row r="8" spans="1:13" hidden="1" outlineLevel="1" x14ac:dyDescent="0.25">
      <c r="A8" t="s">
        <v>41</v>
      </c>
      <c r="B8" s="10">
        <f>'2012-2021'!B8</f>
        <v>1610</v>
      </c>
      <c r="C8" s="10">
        <f>'2012-2021'!C8</f>
        <v>1400</v>
      </c>
      <c r="D8" s="10">
        <f>'2012-2021'!D8</f>
        <v>1400</v>
      </c>
      <c r="E8" s="10">
        <f>'2012-2021'!E8</f>
        <v>1510</v>
      </c>
      <c r="F8" s="10">
        <f>'2012-2021'!F8</f>
        <v>1608</v>
      </c>
      <c r="G8" s="10">
        <f>'2012-2021'!G8</f>
        <v>1608</v>
      </c>
      <c r="H8" s="10">
        <f>'2012-2021'!H8</f>
        <v>1634</v>
      </c>
      <c r="I8" s="10">
        <f>'2012-2021'!I8</f>
        <v>1634</v>
      </c>
      <c r="J8" s="10">
        <f>'2012-2021'!J8</f>
        <v>1634</v>
      </c>
      <c r="K8" s="10">
        <f>'2012-2021'!K8</f>
        <v>1634</v>
      </c>
      <c r="L8" s="10">
        <f>'Cap2020-2023'!D9</f>
        <v>1608</v>
      </c>
      <c r="M8" s="10">
        <f>'Cap2020-2023'!E9</f>
        <v>1608</v>
      </c>
    </row>
    <row r="9" spans="1:13" hidden="1" outlineLevel="1" x14ac:dyDescent="0.25">
      <c r="A9" t="s">
        <v>43</v>
      </c>
      <c r="B9" s="10">
        <f>'2012-2021'!B9</f>
        <v>11498</v>
      </c>
      <c r="C9" s="10">
        <f>'2012-2021'!C9</f>
        <v>11679</v>
      </c>
      <c r="D9" s="10">
        <f>'2012-2021'!D9</f>
        <v>12429</v>
      </c>
      <c r="E9" s="10">
        <f>'2012-2021'!E9</f>
        <v>12489</v>
      </c>
      <c r="F9" s="10">
        <f>'2012-2021'!F9</f>
        <v>12589</v>
      </c>
      <c r="G9" s="10">
        <f>'2012-2021'!G9</f>
        <v>12642</v>
      </c>
      <c r="H9" s="10">
        <f>'2012-2021'!H9</f>
        <v>12641</v>
      </c>
      <c r="I9" s="10">
        <f>'2012-2021'!I9</f>
        <v>12641</v>
      </c>
      <c r="J9" s="10">
        <f>'2012-2021'!J9</f>
        <v>12641</v>
      </c>
      <c r="K9" s="10">
        <f>'2012-2021'!K9</f>
        <v>12643</v>
      </c>
      <c r="L9" s="10">
        <f>'Cap2020-2023'!D3</f>
        <v>12613</v>
      </c>
      <c r="M9" s="10">
        <f>'Cap2020-2023'!E3</f>
        <v>12612</v>
      </c>
    </row>
    <row r="10" spans="1:13" hidden="1" outlineLevel="1" x14ac:dyDescent="0.25">
      <c r="A10" t="s">
        <v>45</v>
      </c>
      <c r="B10" s="10">
        <f>'2012-2021'!B10</f>
        <v>1158</v>
      </c>
      <c r="C10" s="10">
        <f>'2012-2021'!C10</f>
        <v>1611</v>
      </c>
      <c r="D10" s="10">
        <f>'2012-2021'!D10</f>
        <v>2036</v>
      </c>
      <c r="E10" s="10">
        <f>'2012-2021'!E10</f>
        <v>2805</v>
      </c>
      <c r="F10" s="10">
        <f>'2012-2021'!F10</f>
        <v>3735</v>
      </c>
      <c r="G10" s="10">
        <f>'2012-2021'!G10</f>
        <v>4199</v>
      </c>
      <c r="H10" s="10">
        <f>'2012-2021'!H10</f>
        <v>4855</v>
      </c>
      <c r="I10" s="10">
        <f>'2012-2021'!I10</f>
        <v>6040</v>
      </c>
      <c r="J10" s="10">
        <f>'2012-2021'!J10</f>
        <v>6454</v>
      </c>
      <c r="K10" s="10">
        <f>'2012-2021'!K10</f>
        <v>6454</v>
      </c>
      <c r="L10" s="10">
        <f>'Cap2020-2023'!D5</f>
        <v>6921</v>
      </c>
      <c r="M10" s="10">
        <f>'Cap2020-2023'!E5</f>
        <v>7055</v>
      </c>
    </row>
    <row r="11" spans="1:13" hidden="1" outlineLevel="1" x14ac:dyDescent="0.25">
      <c r="A11" t="s">
        <v>52</v>
      </c>
      <c r="B11" s="10">
        <f>'2012-2021'!B11</f>
        <v>812</v>
      </c>
      <c r="C11" s="10">
        <f>'2012-2021'!C11</f>
        <v>823</v>
      </c>
      <c r="D11" s="10">
        <f>'2012-2021'!D11</f>
        <v>813</v>
      </c>
      <c r="E11" s="10">
        <f>'2012-2021'!E11</f>
        <v>926</v>
      </c>
      <c r="F11" s="10">
        <f>'2012-2021'!F11</f>
        <v>909</v>
      </c>
      <c r="G11" s="10">
        <f>'2012-2021'!G11</f>
        <v>926</v>
      </c>
      <c r="H11" s="10">
        <f>G11</f>
        <v>926</v>
      </c>
      <c r="I11" s="10">
        <f>J11</f>
        <v>951</v>
      </c>
      <c r="J11" s="10">
        <f>'Cap2020-2023'!B4</f>
        <v>951</v>
      </c>
      <c r="K11" s="10">
        <f>'Cap2020-2023'!C4</f>
        <v>976</v>
      </c>
      <c r="L11" s="10">
        <f>'Cap2020-2023'!D4</f>
        <v>976</v>
      </c>
      <c r="M11" s="10">
        <f>'Cap2020-2023'!E4</f>
        <v>976</v>
      </c>
    </row>
    <row r="12" spans="1:13" hidden="1" outlineLevel="1" x14ac:dyDescent="0.25">
      <c r="A12" t="s">
        <v>47</v>
      </c>
      <c r="B12" s="10">
        <f>'2012-2021'!B12</f>
        <v>6</v>
      </c>
      <c r="C12" s="10">
        <f>'2012-2021'!C12</f>
        <v>46</v>
      </c>
      <c r="D12" s="10">
        <f>'2012-2021'!D12</f>
        <v>56</v>
      </c>
      <c r="E12" s="10">
        <f>'2012-2021'!E12</f>
        <v>56</v>
      </c>
      <c r="F12" s="10">
        <f>'2012-2021'!F12</f>
        <v>145</v>
      </c>
      <c r="G12" s="10">
        <f>'2012-2021'!G12</f>
        <v>214</v>
      </c>
      <c r="H12" s="10">
        <f>'2012-2021'!H12</f>
        <v>1946</v>
      </c>
      <c r="I12" s="10">
        <f>'2012-2021'!I12</f>
        <v>4598</v>
      </c>
      <c r="J12" s="10">
        <f>'2012-2021'!J12</f>
        <v>5630</v>
      </c>
      <c r="K12" s="10">
        <f>'Cap2020-2023'!C6</f>
        <v>5955</v>
      </c>
      <c r="L12" s="10">
        <f>'Cap2020-2023'!D6</f>
        <v>6535</v>
      </c>
      <c r="M12" s="10">
        <f>'Cap2020-2023'!E6</f>
        <v>7469</v>
      </c>
    </row>
    <row r="13" spans="1:13" hidden="1" outlineLevel="1" x14ac:dyDescent="0.25">
      <c r="A13" t="s">
        <v>50</v>
      </c>
      <c r="B13" s="10">
        <f>'2012-2021'!B13</f>
        <v>492</v>
      </c>
      <c r="C13" s="10">
        <f>'2012-2021'!C13</f>
        <v>554</v>
      </c>
      <c r="D13" s="10">
        <f>'2012-2021'!D13</f>
        <v>685</v>
      </c>
      <c r="E13" s="10">
        <f>'2012-2021'!E13</f>
        <v>760</v>
      </c>
      <c r="F13" s="10">
        <f>'2012-2021'!F13</f>
        <v>889</v>
      </c>
      <c r="G13" s="10">
        <f>'2012-2021'!G13</f>
        <v>1007</v>
      </c>
      <c r="H13" s="10">
        <f>'2012-2021'!H13</f>
        <v>1082</v>
      </c>
      <c r="I13" s="10">
        <f>'2012-2021'!I13</f>
        <v>1016</v>
      </c>
      <c r="J13" s="10">
        <f>'Cap2020-2023'!B7+'Cap2020-2023'!B10*0.25</f>
        <v>954.25</v>
      </c>
      <c r="K13" s="10">
        <f>'Cap2020-2023'!C7+'Cap2020-2023'!C10*0.277</f>
        <v>1016.485</v>
      </c>
      <c r="L13" s="10">
        <f>'Cap2020-2023'!D7+'Cap2020-2023'!D10*0.277</f>
        <v>1047.316</v>
      </c>
      <c r="M13" s="10">
        <f>'Cap2020-2023'!E7+'Cap2020-2023'!E10*0.277</f>
        <v>1050.194</v>
      </c>
    </row>
    <row r="14" spans="1:13" hidden="1" outlineLevel="1" x14ac:dyDescent="0.25">
      <c r="B14" s="10">
        <f>SUM(B3:B13)</f>
        <v>56458</v>
      </c>
      <c r="C14" s="10">
        <f t="shared" ref="C14:M14" si="0">SUM(C3:C13)</f>
        <v>64131</v>
      </c>
      <c r="D14" s="10">
        <f t="shared" si="0"/>
        <v>65451</v>
      </c>
      <c r="E14" s="10">
        <f t="shared" si="0"/>
        <v>67915</v>
      </c>
      <c r="F14" s="10">
        <f t="shared" si="0"/>
        <v>73249</v>
      </c>
      <c r="G14" s="10">
        <f t="shared" si="0"/>
        <v>75211</v>
      </c>
      <c r="H14" s="10">
        <f t="shared" si="0"/>
        <v>78233</v>
      </c>
      <c r="I14" s="10">
        <f t="shared" si="0"/>
        <v>84216</v>
      </c>
      <c r="J14" s="10">
        <f t="shared" si="0"/>
        <v>84233</v>
      </c>
      <c r="K14" s="10">
        <f t="shared" si="0"/>
        <v>86389.235000000001</v>
      </c>
      <c r="L14" s="10">
        <f t="shared" si="0"/>
        <v>87193.316000000006</v>
      </c>
      <c r="M14" s="10">
        <f t="shared" si="0"/>
        <v>89069.694000000003</v>
      </c>
    </row>
    <row r="15" spans="1:13" hidden="1" outlineLevel="1" x14ac:dyDescent="0.25"/>
    <row r="16" spans="1:13" collapsed="1" x14ac:dyDescent="0.25">
      <c r="A16" t="s">
        <v>129</v>
      </c>
      <c r="J16" s="10"/>
      <c r="K16" s="10"/>
      <c r="L16" s="10"/>
      <c r="M16" s="10"/>
    </row>
    <row r="17" spans="1:13" hidden="1" outlineLevel="1" x14ac:dyDescent="0.25">
      <c r="B17" s="13">
        <v>2012</v>
      </c>
      <c r="C17" s="13">
        <v>2013</v>
      </c>
      <c r="D17" s="13">
        <v>2014</v>
      </c>
      <c r="E17" s="13">
        <v>2015</v>
      </c>
      <c r="F17" s="13">
        <v>2016</v>
      </c>
      <c r="G17" s="13">
        <v>2017</v>
      </c>
      <c r="H17" s="13">
        <v>2018</v>
      </c>
      <c r="I17" s="13">
        <v>2019</v>
      </c>
      <c r="J17" s="13">
        <v>2020</v>
      </c>
      <c r="K17" s="13">
        <v>2021</v>
      </c>
      <c r="L17" s="13">
        <v>2022</v>
      </c>
      <c r="M17" s="13">
        <v>2023</v>
      </c>
    </row>
    <row r="18" spans="1:13" hidden="1" outlineLevel="1" x14ac:dyDescent="0.25">
      <c r="A18" t="s">
        <v>39</v>
      </c>
      <c r="B18" s="10">
        <f>'2012-2021'!B23</f>
        <v>129331590</v>
      </c>
      <c r="C18" s="10">
        <f>'2012-2021'!C23</f>
        <v>139162757</v>
      </c>
      <c r="D18" s="10">
        <f>'2012-2021'!D23</f>
        <v>145335722</v>
      </c>
      <c r="E18" s="10">
        <f>'2012-2021'!E23</f>
        <v>151463563</v>
      </c>
      <c r="F18" s="10">
        <f>'2012-2021'!F23</f>
        <v>152587411</v>
      </c>
      <c r="G18" s="10">
        <f>'2012-2021'!G23</f>
        <v>154128126</v>
      </c>
      <c r="H18" s="10">
        <f>'2012-2021'!H23</f>
        <v>159082959</v>
      </c>
      <c r="I18" s="10">
        <f>'2012-2021'!I23</f>
        <v>171368943</v>
      </c>
      <c r="J18" s="10">
        <f>'2012-2021'!J23</f>
        <v>181382154</v>
      </c>
      <c r="K18" s="10">
        <f>'2012-2021'!K23</f>
        <v>184444135</v>
      </c>
      <c r="L18" s="10">
        <f>'Gen2022-2023'!C6</f>
        <v>193994868</v>
      </c>
      <c r="M18" s="10">
        <f>'Gen2022-2023'!D6</f>
        <v>203605022</v>
      </c>
    </row>
    <row r="19" spans="1:13" hidden="1" outlineLevel="1" x14ac:dyDescent="0.25">
      <c r="A19" t="s">
        <v>60</v>
      </c>
      <c r="B19" s="10">
        <f>'2012-2021'!B24</f>
        <v>59561147</v>
      </c>
      <c r="C19" s="10">
        <f>'2012-2021'!C24</f>
        <v>55036664</v>
      </c>
      <c r="D19" s="10">
        <f>'2012-2021'!D24</f>
        <v>40410894</v>
      </c>
      <c r="E19" s="10">
        <f>'2012-2021'!E24</f>
        <v>42474410</v>
      </c>
      <c r="F19" s="10">
        <f>'2012-2021'!F24</f>
        <v>42023428</v>
      </c>
      <c r="G19" s="10">
        <f>'2012-2021'!G24</f>
        <v>43947148</v>
      </c>
      <c r="H19" s="10">
        <f>'2012-2021'!H24</f>
        <v>40010763</v>
      </c>
      <c r="I19" s="10">
        <f>'2012-2021'!I24</f>
        <v>38661529</v>
      </c>
      <c r="J19" s="10">
        <f>'2012-2021'!J24</f>
        <v>23095298</v>
      </c>
      <c r="K19" s="10">
        <f>'2012-2021'!K24</f>
        <v>23495780</v>
      </c>
      <c r="L19" s="10">
        <f>'Gen2022-2023'!C11</f>
        <v>21116986</v>
      </c>
      <c r="M19" s="10">
        <f>'Gen2022-2023'!D11</f>
        <v>31182145</v>
      </c>
    </row>
    <row r="20" spans="1:13" hidden="1" outlineLevel="1" x14ac:dyDescent="0.25">
      <c r="A20" t="s">
        <v>35</v>
      </c>
      <c r="B20" s="10">
        <f>'2012-2021'!B25</f>
        <v>35018872</v>
      </c>
      <c r="C20" s="10">
        <f>'2012-2021'!C25</f>
        <v>34641891</v>
      </c>
      <c r="D20" s="10">
        <f>'2012-2021'!D25</f>
        <v>34066857</v>
      </c>
      <c r="E20" s="10">
        <f>'2012-2021'!E25</f>
        <v>34056857</v>
      </c>
      <c r="F20" s="10">
        <f>'2012-2021'!F25</f>
        <v>34532398</v>
      </c>
      <c r="G20" s="10">
        <f>'2012-2021'!G25</f>
        <v>28663360</v>
      </c>
      <c r="H20" s="10">
        <f>'2012-2021'!H25</f>
        <v>27344983</v>
      </c>
      <c r="I20" s="10">
        <f>'2012-2021'!I25</f>
        <v>21609445</v>
      </c>
      <c r="J20" s="10">
        <f>'2012-2021'!J25</f>
        <v>12500718</v>
      </c>
      <c r="K20" s="10">
        <f>'2012-2021'!K25</f>
        <v>8703941</v>
      </c>
      <c r="L20" s="10">
        <f>'Gen2022-2023'!C5</f>
        <v>14191640</v>
      </c>
      <c r="M20" s="10">
        <f>'Gen2022-2023'!D5</f>
        <v>14237878</v>
      </c>
    </row>
    <row r="21" spans="1:13" hidden="1" outlineLevel="1" x14ac:dyDescent="0.25">
      <c r="A21" t="s">
        <v>55</v>
      </c>
      <c r="B21" s="10">
        <f>'2012-2021'!B26</f>
        <v>7624532</v>
      </c>
      <c r="C21" s="10">
        <f>'2012-2021'!C26</f>
        <v>7088706</v>
      </c>
      <c r="D21" s="10">
        <f>'2012-2021'!D26</f>
        <v>9249223</v>
      </c>
      <c r="E21" s="10">
        <f>'2012-2021'!E26</f>
        <v>11806728</v>
      </c>
      <c r="F21" s="10">
        <f>'2012-2021'!F26</f>
        <v>12719487</v>
      </c>
      <c r="G21" s="10">
        <f>'2012-2021'!G26</f>
        <v>14687034</v>
      </c>
      <c r="H21" s="10">
        <f>'2012-2021'!H26</f>
        <v>14392288</v>
      </c>
      <c r="I21" s="10">
        <f>'2012-2021'!I26</f>
        <v>16352558</v>
      </c>
      <c r="J21" s="10">
        <f>'2012-2021'!J26</f>
        <v>14087648</v>
      </c>
      <c r="K21" s="10">
        <f>'2012-2021'!K26</f>
        <v>15875312</v>
      </c>
      <c r="L21" s="10">
        <f>'Gen2022-2023'!C12</f>
        <v>15486778</v>
      </c>
      <c r="M21" s="10">
        <f>'Gen2022-2023'!D12</f>
        <v>17849573</v>
      </c>
    </row>
    <row r="22" spans="1:13" hidden="1" outlineLevel="1" x14ac:dyDescent="0.25">
      <c r="A22" t="s">
        <v>37</v>
      </c>
      <c r="B22" s="10">
        <f>'2012-2021'!B27</f>
        <v>2000855</v>
      </c>
      <c r="C22" s="10">
        <f>'2012-2021'!C27</f>
        <v>2152886</v>
      </c>
      <c r="D22" s="10">
        <f>'2012-2021'!D27</f>
        <v>2339164</v>
      </c>
      <c r="E22" s="10">
        <f>'2012-2021'!E27</f>
        <v>2687125</v>
      </c>
      <c r="F22" s="10">
        <f>'2012-2021'!F27</f>
        <v>3169777</v>
      </c>
      <c r="G22" s="10">
        <f>'2012-2021'!G27</f>
        <v>2333057</v>
      </c>
      <c r="H22" s="10">
        <f>'2012-2021'!H27</f>
        <v>2565641</v>
      </c>
      <c r="I22" s="10">
        <f>'2012-2021'!I27</f>
        <v>3170220</v>
      </c>
      <c r="J22" s="10">
        <f>'2012-2021'!J27</f>
        <v>2871416</v>
      </c>
      <c r="K22" s="10">
        <f>'2012-2021'!K27</f>
        <v>2057546</v>
      </c>
      <c r="L22" s="10">
        <f>'Gen2022-2023'!C7</f>
        <v>1843740</v>
      </c>
      <c r="M22" s="10">
        <f>'Gen2022-2023'!D7</f>
        <v>3636195</v>
      </c>
    </row>
    <row r="23" spans="1:13" hidden="1" outlineLevel="1" x14ac:dyDescent="0.25">
      <c r="A23" t="s">
        <v>41</v>
      </c>
      <c r="B23" s="10">
        <f>'2012-2021'!B28</f>
        <v>8192869</v>
      </c>
      <c r="C23" s="10">
        <f>'2012-2021'!C28</f>
        <v>11389115</v>
      </c>
      <c r="D23" s="10">
        <f>'2012-2021'!D28</f>
        <v>9807663</v>
      </c>
      <c r="E23" s="10">
        <f>'2012-2021'!E28</f>
        <v>11734761</v>
      </c>
      <c r="F23" s="10">
        <f>'2012-2021'!F28</f>
        <v>10667410</v>
      </c>
      <c r="G23" s="10">
        <f>'2012-2021'!G28</f>
        <v>10571136</v>
      </c>
      <c r="H23" s="10">
        <f>'2012-2021'!H28</f>
        <v>13198780</v>
      </c>
      <c r="I23" s="10">
        <f>'2012-2021'!I28</f>
        <v>10879189</v>
      </c>
      <c r="J23" s="10">
        <f>'2012-2021'!J28</f>
        <v>10844159</v>
      </c>
      <c r="K23" s="10">
        <f>'2012-2021'!K28</f>
        <v>11604710</v>
      </c>
      <c r="L23" s="10">
        <f>'Gen2022-2023'!C10</f>
        <v>10538743</v>
      </c>
      <c r="M23" s="10">
        <f>'Gen2022-2023'!D10</f>
        <v>12043391</v>
      </c>
    </row>
    <row r="24" spans="1:13" hidden="1" outlineLevel="1" x14ac:dyDescent="0.25">
      <c r="A24" t="s">
        <v>50</v>
      </c>
      <c r="B24" s="10">
        <f>'2012-2021'!B33</f>
        <v>1231312</v>
      </c>
      <c r="C24" s="10">
        <f>'2012-2021'!C33</f>
        <v>1086854</v>
      </c>
      <c r="D24" s="10">
        <f>'2012-2021'!D33</f>
        <v>1406020</v>
      </c>
      <c r="E24" s="10">
        <f>'2012-2021'!E33</f>
        <v>1388420</v>
      </c>
      <c r="F24" s="10">
        <f>'2012-2021'!F33</f>
        <v>1485058</v>
      </c>
      <c r="G24" s="10">
        <f>'2012-2021'!G33</f>
        <v>1884844</v>
      </c>
      <c r="H24" s="10">
        <f>'2012-2021'!H33</f>
        <v>1989116</v>
      </c>
      <c r="I24" s="10">
        <f>'2012-2021'!I33</f>
        <v>1861586</v>
      </c>
      <c r="J24" s="10">
        <f>'2012-2021'!J33</f>
        <v>2216007</v>
      </c>
      <c r="K24" s="10">
        <f>'2012-2021'!K33</f>
        <v>1531996</v>
      </c>
      <c r="L24" s="10">
        <f>'Gen2022-2023'!C4+$K24</f>
        <v>1627355</v>
      </c>
      <c r="M24" s="10">
        <f>'Gen2022-2023'!D4+$K24</f>
        <v>1628955</v>
      </c>
    </row>
    <row r="25" spans="1:13" hidden="1" outlineLevel="1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collapsed="1" x14ac:dyDescent="0.25">
      <c r="A26" t="s">
        <v>130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hidden="1" outlineLevel="1" x14ac:dyDescent="0.25">
      <c r="B27" s="13">
        <v>2012</v>
      </c>
      <c r="C27" s="13">
        <v>2013</v>
      </c>
      <c r="D27" s="13">
        <v>2014</v>
      </c>
      <c r="E27" s="13">
        <v>2015</v>
      </c>
      <c r="F27" s="13">
        <v>2016</v>
      </c>
      <c r="G27" s="13">
        <v>2017</v>
      </c>
      <c r="H27" s="13">
        <v>2018</v>
      </c>
      <c r="I27" s="13">
        <v>2019</v>
      </c>
      <c r="J27" s="13">
        <v>2020</v>
      </c>
      <c r="K27" s="13">
        <v>2021</v>
      </c>
      <c r="L27" s="13">
        <v>2022</v>
      </c>
      <c r="M27" s="13">
        <v>2023</v>
      </c>
    </row>
    <row r="28" spans="1:13" hidden="1" outlineLevel="1" x14ac:dyDescent="0.25">
      <c r="A28" t="s">
        <v>39</v>
      </c>
      <c r="B28" s="12">
        <f>'2012-2021'!B104</f>
        <v>1009.23</v>
      </c>
      <c r="C28" s="12">
        <f>'2012-2021'!C104</f>
        <v>1108.0999999999999</v>
      </c>
      <c r="D28" s="12">
        <f>'2012-2021'!D104</f>
        <v>1131.19</v>
      </c>
      <c r="E28" s="12">
        <f>'2012-2021'!E104</f>
        <v>1275.2</v>
      </c>
      <c r="F28" s="12">
        <f>'2012-2021'!F104</f>
        <v>1416.37</v>
      </c>
      <c r="G28" s="12">
        <f>'2012-2021'!G104</f>
        <v>1383.12</v>
      </c>
      <c r="H28" s="12">
        <f>'2012-2021'!H104</f>
        <v>1488.74</v>
      </c>
      <c r="I28" s="12">
        <f>'2012-2021'!I104</f>
        <v>1445.94</v>
      </c>
      <c r="J28" s="12">
        <f>'2012-2021'!J104</f>
        <v>1496.7</v>
      </c>
      <c r="K28" s="12">
        <f>'2012-2021'!K104</f>
        <v>1531.81</v>
      </c>
      <c r="L28" s="12">
        <f>'BNE23'!I9*0.85</f>
        <v>1883.9484999999997</v>
      </c>
      <c r="M28" s="12">
        <f>'BNE23'!J9*0.9</f>
        <v>2018.2409999999998</v>
      </c>
    </row>
    <row r="29" spans="1:13" hidden="1" outlineLevel="1" x14ac:dyDescent="0.25">
      <c r="A29" t="s">
        <v>60</v>
      </c>
      <c r="B29">
        <f>SUM('2012-2021'!B106:B108)</f>
        <v>641.84999999999991</v>
      </c>
      <c r="C29">
        <f>SUM('2012-2021'!C106:C108)</f>
        <v>581.1400000000001</v>
      </c>
      <c r="D29">
        <f>SUM('2012-2021'!D106:D108)</f>
        <v>416.81</v>
      </c>
      <c r="E29">
        <f>SUM('2012-2021'!E106:E108)</f>
        <v>425.87</v>
      </c>
      <c r="F29">
        <f>SUM('2012-2021'!F106:F108)</f>
        <v>475.39000000000004</v>
      </c>
      <c r="G29">
        <f>SUM('2012-2021'!G106:G108)</f>
        <v>507.01</v>
      </c>
      <c r="H29">
        <f>SUM('2012-2021'!H106:H108)</f>
        <v>472.15999999999997</v>
      </c>
      <c r="I29">
        <f>SUM('2012-2021'!I106:I108)</f>
        <v>439.97999999999996</v>
      </c>
      <c r="J29" s="12">
        <f>SUM('2012-2021'!J106:J108)</f>
        <v>322.55</v>
      </c>
      <c r="K29" s="12">
        <f>SUM('2012-2021'!K106:K108)</f>
        <v>331.56</v>
      </c>
      <c r="L29" s="12">
        <f>'BNE23'!I6+'BNE23'!I8+'BNE23'!I9*0.025</f>
        <v>322.15025000000003</v>
      </c>
      <c r="M29" s="12">
        <f>'BNE23'!J6+'BNE23'!J8+'BNE23'!J9*0.075</f>
        <v>434.06674999999996</v>
      </c>
    </row>
    <row r="30" spans="1:13" hidden="1" outlineLevel="1" x14ac:dyDescent="0.25">
      <c r="A30" t="s">
        <v>35</v>
      </c>
      <c r="B30">
        <f>'2012-2021'!B110</f>
        <v>351.49</v>
      </c>
      <c r="C30">
        <f>'2012-2021'!C110</f>
        <v>332.87</v>
      </c>
      <c r="D30">
        <f>'2012-2021'!D110</f>
        <v>353.1</v>
      </c>
      <c r="E30">
        <f>'2012-2021'!E110</f>
        <v>356.11</v>
      </c>
      <c r="F30">
        <f>'2012-2021'!F110</f>
        <v>372.85</v>
      </c>
      <c r="G30">
        <f>'2012-2021'!G110</f>
        <v>316.58999999999997</v>
      </c>
      <c r="H30">
        <f>'2012-2021'!H110</f>
        <v>315.70999999999998</v>
      </c>
      <c r="I30">
        <f>'2012-2021'!I110</f>
        <v>306.73</v>
      </c>
      <c r="J30" s="12">
        <f>'2012-2021'!J110</f>
        <v>164.1</v>
      </c>
      <c r="K30" s="12">
        <f>'2012-2021'!K110</f>
        <v>99.04</v>
      </c>
      <c r="L30" s="12">
        <f>'BNE23'!I3+'BNE23'!I12</f>
        <v>145.06</v>
      </c>
      <c r="M30" s="12">
        <f>'BNE23'!J3+'BNE23'!J12</f>
        <v>169.12</v>
      </c>
    </row>
    <row r="31" spans="1:13" hidden="1" outlineLevel="1" x14ac:dyDescent="0.25">
      <c r="A31" t="s">
        <v>55</v>
      </c>
      <c r="B31">
        <f>SUM('2012-2021'!B112:B114)</f>
        <v>79.259999999999991</v>
      </c>
      <c r="C31">
        <f>SUM('2012-2021'!C112:C114)</f>
        <v>73.64</v>
      </c>
      <c r="D31">
        <f>SUM('2012-2021'!D112:D114)</f>
        <v>89.949999999999989</v>
      </c>
      <c r="E31">
        <f>SUM('2012-2021'!E112:E114)</f>
        <v>106.35000000000001</v>
      </c>
      <c r="F31">
        <f>SUM('2012-2021'!F112:F114)</f>
        <v>143.81</v>
      </c>
      <c r="G31">
        <f>SUM('2012-2021'!G112:G114)</f>
        <v>170.28</v>
      </c>
      <c r="H31">
        <f>SUM('2012-2021'!H112:H114)</f>
        <v>170.51</v>
      </c>
      <c r="I31">
        <f>SUM('2012-2021'!I112:I114)</f>
        <v>179.14</v>
      </c>
      <c r="J31" s="12">
        <f>SUM('2012-2021'!J112:J114)</f>
        <v>158.38</v>
      </c>
      <c r="K31" s="12">
        <f>SUM('2012-2021'!K112:K114)</f>
        <v>166.35</v>
      </c>
      <c r="L31" s="12">
        <f>'BNE23'!I11+'BNE23'!I7*0.9+'BNE23'!I9*0.05</f>
        <v>164.82049999999998</v>
      </c>
      <c r="M31" s="12">
        <f>'BNE23'!J11+'BNE23'!J7*0.9+'BNE23'!J9*0.075</f>
        <v>203.07074999999998</v>
      </c>
    </row>
    <row r="32" spans="1:13" hidden="1" outlineLevel="1" x14ac:dyDescent="0.25">
      <c r="A32" t="s">
        <v>37</v>
      </c>
      <c r="B32">
        <f>SUM('2012-2021'!B116:B118)</f>
        <v>24.18</v>
      </c>
      <c r="C32">
        <f>SUM('2012-2021'!C116:C118)</f>
        <v>26.049999999999997</v>
      </c>
      <c r="D32">
        <f>SUM('2012-2021'!D116:D118)</f>
        <v>26.53</v>
      </c>
      <c r="E32">
        <f>SUM('2012-2021'!E116:E118)</f>
        <v>27.98</v>
      </c>
      <c r="F32">
        <f>SUM('2012-2021'!F116:F118)</f>
        <v>41.47</v>
      </c>
      <c r="G32">
        <f>SUM('2012-2021'!G116:G118)</f>
        <v>31.36</v>
      </c>
      <c r="H32">
        <f>SUM('2012-2021'!H116:H118)</f>
        <v>35.239999999999995</v>
      </c>
      <c r="I32">
        <f>SUM('2012-2021'!I116:I118)</f>
        <v>40.400000000000006</v>
      </c>
      <c r="J32" s="12">
        <f>SUM('2012-2021'!J116:J118)</f>
        <v>34.75</v>
      </c>
      <c r="K32" s="12">
        <f>SUM('2012-2021'!K116:K118)</f>
        <v>28.79</v>
      </c>
      <c r="L32" s="12">
        <f>'BNE23'!I5+'BNE23'!I7*0.1+'BNE23'!I9*0.01</f>
        <v>30.564099999999996</v>
      </c>
      <c r="M32" s="12">
        <f>'BNE23'!J5+'BNE23'!J7*0.1+'BNE23'!J9*0.02</f>
        <v>50.875799999999998</v>
      </c>
    </row>
    <row r="33" spans="1:15" hidden="1" outlineLevel="1" x14ac:dyDescent="0.25">
      <c r="A33" t="s">
        <v>41</v>
      </c>
      <c r="B33">
        <f>'2012-2021'!B120</f>
        <v>91.32</v>
      </c>
      <c r="C33">
        <f>'2012-2021'!C120</f>
        <v>122.6</v>
      </c>
      <c r="D33">
        <f>'2012-2021'!D120</f>
        <v>100.6</v>
      </c>
      <c r="E33">
        <f>'2012-2021'!E120</f>
        <v>120.41</v>
      </c>
      <c r="F33">
        <f>'2012-2021'!F120</f>
        <v>109.95</v>
      </c>
      <c r="G33">
        <f>'2012-2021'!G120</f>
        <v>113.22</v>
      </c>
      <c r="H33">
        <f>'2012-2021'!H120</f>
        <v>156</v>
      </c>
      <c r="I33">
        <f>'2012-2021'!I120</f>
        <v>124.82</v>
      </c>
      <c r="J33" s="12">
        <f>'2012-2021'!J120</f>
        <v>125.62</v>
      </c>
      <c r="K33" s="12">
        <f>'2012-2021'!K120</f>
        <v>124.99</v>
      </c>
      <c r="L33" s="12">
        <f>'BNE23'!I4</f>
        <v>152.77000000000001</v>
      </c>
      <c r="M33" s="12">
        <f>'BNE23'!J4</f>
        <v>175.7</v>
      </c>
    </row>
    <row r="34" spans="1:15" hidden="1" outlineLevel="1" x14ac:dyDescent="0.25">
      <c r="A34" t="s">
        <v>50</v>
      </c>
      <c r="B34">
        <f>'2012-2021'!B122</f>
        <v>52.97</v>
      </c>
      <c r="C34">
        <f>'2012-2021'!C122</f>
        <v>58.57</v>
      </c>
      <c r="D34">
        <f>'2012-2021'!D122</f>
        <v>68.150000000000006</v>
      </c>
      <c r="E34">
        <f>'2012-2021'!E122</f>
        <v>68.41</v>
      </c>
      <c r="F34">
        <f>'2012-2021'!F122</f>
        <v>70.41</v>
      </c>
      <c r="G34">
        <f>'2012-2021'!G122</f>
        <v>65.459999999999994</v>
      </c>
      <c r="H34">
        <f>'2012-2021'!H122</f>
        <v>64.61</v>
      </c>
      <c r="I34">
        <f>'2012-2021'!I122</f>
        <v>75.569999999999993</v>
      </c>
      <c r="J34" s="12">
        <f>'2012-2021'!J122</f>
        <v>87.82</v>
      </c>
      <c r="K34" s="12">
        <f>'2012-2021'!K122</f>
        <v>55.56</v>
      </c>
      <c r="L34" s="12">
        <f>'BNE23'!I10</f>
        <v>48.13</v>
      </c>
      <c r="M34" s="12">
        <f>'BNE23'!J10</f>
        <v>46.37</v>
      </c>
    </row>
    <row r="35" spans="1:15" hidden="1" outlineLevel="1" x14ac:dyDescent="0.25"/>
    <row r="36" spans="1:15" collapsed="1" x14ac:dyDescent="0.25">
      <c r="A36" t="s">
        <v>131</v>
      </c>
    </row>
    <row r="37" spans="1:15" hidden="1" outlineLevel="1" x14ac:dyDescent="0.25">
      <c r="B37" s="13">
        <v>2012</v>
      </c>
      <c r="C37" s="13">
        <v>2013</v>
      </c>
      <c r="D37" s="13">
        <v>2014</v>
      </c>
      <c r="E37" s="13">
        <v>2015</v>
      </c>
      <c r="F37" s="13">
        <v>2016</v>
      </c>
      <c r="G37" s="13">
        <v>2017</v>
      </c>
      <c r="H37" s="13">
        <v>2018</v>
      </c>
      <c r="I37" s="13">
        <v>2019</v>
      </c>
      <c r="J37" s="13">
        <v>2020</v>
      </c>
      <c r="K37" s="13">
        <v>2021</v>
      </c>
      <c r="L37" s="13">
        <v>2022</v>
      </c>
      <c r="M37" s="13">
        <v>2023</v>
      </c>
    </row>
    <row r="38" spans="1:15" hidden="1" outlineLevel="1" x14ac:dyDescent="0.25">
      <c r="A38" t="s">
        <v>39</v>
      </c>
      <c r="B38" s="12">
        <f>B28/B18*1000000</f>
        <v>7.8034299276766026</v>
      </c>
      <c r="C38" s="12">
        <f t="shared" ref="C38:K38" si="1">C28/C18*1000000</f>
        <v>7.9626189067237281</v>
      </c>
      <c r="D38" s="12">
        <f t="shared" si="1"/>
        <v>7.78328950676008</v>
      </c>
      <c r="E38" s="12">
        <f t="shared" si="1"/>
        <v>8.4191866000141573</v>
      </c>
      <c r="F38" s="12">
        <f t="shared" si="1"/>
        <v>9.2823516089410543</v>
      </c>
      <c r="G38" s="12">
        <f t="shared" si="1"/>
        <v>8.9738325891278272</v>
      </c>
      <c r="H38" s="12">
        <f t="shared" si="1"/>
        <v>9.3582619367797903</v>
      </c>
      <c r="I38" s="12">
        <f t="shared" si="1"/>
        <v>8.4375848662379855</v>
      </c>
      <c r="J38" s="12">
        <f t="shared" si="1"/>
        <v>8.2516386920843399</v>
      </c>
      <c r="K38" s="12">
        <f t="shared" si="1"/>
        <v>8.3050079093054379</v>
      </c>
      <c r="L38" s="12">
        <f t="shared" ref="L38:M38" si="2">L28/L18*1000000</f>
        <v>9.7113316420308582</v>
      </c>
      <c r="M38" s="12">
        <f t="shared" si="2"/>
        <v>9.9125305465206051</v>
      </c>
    </row>
    <row r="39" spans="1:15" hidden="1" outlineLevel="1" x14ac:dyDescent="0.25">
      <c r="A39" t="s">
        <v>60</v>
      </c>
      <c r="B39" s="12">
        <f t="shared" ref="B39:K44" si="3">B29/B19*1000000</f>
        <v>10.776320341849694</v>
      </c>
      <c r="C39" s="12">
        <f t="shared" si="3"/>
        <v>10.559142901539238</v>
      </c>
      <c r="D39" s="12">
        <f t="shared" si="3"/>
        <v>10.314297921743577</v>
      </c>
      <c r="E39" s="12">
        <f t="shared" si="3"/>
        <v>10.026507725475176</v>
      </c>
      <c r="F39" s="12">
        <f t="shared" si="3"/>
        <v>11.312499303959687</v>
      </c>
      <c r="G39" s="12">
        <f t="shared" si="3"/>
        <v>11.53681235469478</v>
      </c>
      <c r="H39" s="12">
        <f t="shared" si="3"/>
        <v>11.800824693095706</v>
      </c>
      <c r="I39" s="12">
        <f t="shared" si="3"/>
        <v>11.38030521245034</v>
      </c>
      <c r="J39" s="12">
        <f t="shared" si="3"/>
        <v>13.966046248894473</v>
      </c>
      <c r="K39" s="12">
        <f t="shared" si="3"/>
        <v>14.111470229973213</v>
      </c>
      <c r="L39" s="12">
        <f t="shared" ref="L39:M41" si="4">L29/L19*1000000</f>
        <v>15.255503318513354</v>
      </c>
      <c r="M39" s="12">
        <f t="shared" si="4"/>
        <v>13.920362117487427</v>
      </c>
    </row>
    <row r="40" spans="1:15" hidden="1" outlineLevel="1" x14ac:dyDescent="0.25">
      <c r="A40" t="s">
        <v>35</v>
      </c>
      <c r="B40" s="12">
        <f t="shared" si="3"/>
        <v>10.03715939222714</v>
      </c>
      <c r="C40" s="12">
        <f t="shared" si="3"/>
        <v>9.6088865356686224</v>
      </c>
      <c r="D40" s="12">
        <f t="shared" si="3"/>
        <v>10.364912736152913</v>
      </c>
      <c r="E40" s="12">
        <f t="shared" si="3"/>
        <v>10.456337764814881</v>
      </c>
      <c r="F40" s="12">
        <f t="shared" si="3"/>
        <v>10.797107110835455</v>
      </c>
      <c r="G40" s="12">
        <f t="shared" si="3"/>
        <v>11.045111250041865</v>
      </c>
      <c r="H40" s="12">
        <f t="shared" si="3"/>
        <v>11.545445100477846</v>
      </c>
      <c r="I40" s="12">
        <f t="shared" si="3"/>
        <v>14.194256261556001</v>
      </c>
      <c r="J40" s="12">
        <f t="shared" si="3"/>
        <v>13.127245970991426</v>
      </c>
      <c r="K40" s="12">
        <f t="shared" si="3"/>
        <v>11.378753601385856</v>
      </c>
      <c r="L40" s="12">
        <f t="shared" si="4"/>
        <v>10.221510692210343</v>
      </c>
      <c r="M40" s="12">
        <f t="shared" si="4"/>
        <v>11.878174542582821</v>
      </c>
    </row>
    <row r="41" spans="1:15" hidden="1" outlineLevel="1" x14ac:dyDescent="0.25">
      <c r="A41" t="s">
        <v>55</v>
      </c>
      <c r="B41" s="12">
        <f t="shared" si="3"/>
        <v>10.395392136855087</v>
      </c>
      <c r="C41" s="12">
        <f t="shared" si="3"/>
        <v>10.38835578736091</v>
      </c>
      <c r="D41" s="12">
        <f t="shared" si="3"/>
        <v>9.7251412361881631</v>
      </c>
      <c r="E41" s="12">
        <f t="shared" si="3"/>
        <v>9.0075760193679404</v>
      </c>
      <c r="F41" s="12">
        <f t="shared" si="3"/>
        <v>11.306273594210207</v>
      </c>
      <c r="G41" s="12">
        <f t="shared" si="3"/>
        <v>11.593899762198413</v>
      </c>
      <c r="H41" s="12">
        <f t="shared" si="3"/>
        <v>11.847317118723582</v>
      </c>
      <c r="I41" s="12">
        <f t="shared" si="3"/>
        <v>10.954861007066905</v>
      </c>
      <c r="J41" s="12">
        <f t="shared" si="3"/>
        <v>11.242472838617205</v>
      </c>
      <c r="K41" s="12">
        <f t="shared" si="3"/>
        <v>10.478534217154284</v>
      </c>
      <c r="L41" s="12">
        <f t="shared" si="4"/>
        <v>10.642659176750643</v>
      </c>
      <c r="M41" s="12">
        <f t="shared" si="4"/>
        <v>11.376784755579305</v>
      </c>
    </row>
    <row r="42" spans="1:15" hidden="1" outlineLevel="1" x14ac:dyDescent="0.25">
      <c r="A42" t="s">
        <v>37</v>
      </c>
      <c r="B42" s="12">
        <f t="shared" si="3"/>
        <v>12.084833733578895</v>
      </c>
      <c r="C42" s="12">
        <f t="shared" si="3"/>
        <v>12.100036880726615</v>
      </c>
      <c r="D42" s="12">
        <f t="shared" si="3"/>
        <v>11.341658814858642</v>
      </c>
      <c r="E42" s="12">
        <f t="shared" si="3"/>
        <v>10.412615713820534</v>
      </c>
      <c r="F42" s="12">
        <f t="shared" si="3"/>
        <v>13.082939273015105</v>
      </c>
      <c r="G42" s="12">
        <f t="shared" si="3"/>
        <v>13.441591868522714</v>
      </c>
      <c r="H42" s="12">
        <f t="shared" si="3"/>
        <v>13.735358922000387</v>
      </c>
      <c r="I42" s="12">
        <f t="shared" si="3"/>
        <v>12.743595081729346</v>
      </c>
      <c r="J42" s="12">
        <f t="shared" si="3"/>
        <v>12.102043033820248</v>
      </c>
      <c r="K42" s="12">
        <f t="shared" si="3"/>
        <v>13.992396767800086</v>
      </c>
      <c r="L42" s="12">
        <f t="shared" ref="L42:M42" si="5">L32/L22*1000000</f>
        <v>16.577228893444843</v>
      </c>
      <c r="M42" s="12">
        <f t="shared" si="5"/>
        <v>13.991493855527549</v>
      </c>
    </row>
    <row r="43" spans="1:15" hidden="1" outlineLevel="1" x14ac:dyDescent="0.25">
      <c r="A43" t="s">
        <v>41</v>
      </c>
      <c r="B43" s="12">
        <f t="shared" si="3"/>
        <v>11.14627855028562</v>
      </c>
      <c r="C43" s="12">
        <f t="shared" si="3"/>
        <v>10.764664330810602</v>
      </c>
      <c r="D43" s="12">
        <f t="shared" si="3"/>
        <v>10.257285553143495</v>
      </c>
      <c r="E43" s="12">
        <f t="shared" si="3"/>
        <v>10.260967394223027</v>
      </c>
      <c r="F43" s="12">
        <f t="shared" si="3"/>
        <v>10.307094224371239</v>
      </c>
      <c r="G43" s="12">
        <f t="shared" si="3"/>
        <v>10.710296414689964</v>
      </c>
      <c r="H43" s="12">
        <f t="shared" si="3"/>
        <v>11.819274205646281</v>
      </c>
      <c r="I43" s="12">
        <f t="shared" si="3"/>
        <v>11.473281694067452</v>
      </c>
      <c r="J43" s="12">
        <f t="shared" si="3"/>
        <v>11.584116389293074</v>
      </c>
      <c r="K43" s="12">
        <f t="shared" si="3"/>
        <v>10.770626754136897</v>
      </c>
      <c r="L43" s="12">
        <f t="shared" ref="L43:M43" si="6">L33/L23*1000000</f>
        <v>14.496036197106241</v>
      </c>
      <c r="M43" s="12">
        <f t="shared" si="6"/>
        <v>14.588914368054644</v>
      </c>
    </row>
    <row r="44" spans="1:15" hidden="1" outlineLevel="1" x14ac:dyDescent="0.25">
      <c r="A44" t="s">
        <v>50</v>
      </c>
      <c r="B44" s="12">
        <f t="shared" si="3"/>
        <v>43.019153553282997</v>
      </c>
      <c r="C44" s="12">
        <f t="shared" si="3"/>
        <v>53.88948285602298</v>
      </c>
      <c r="D44" s="12">
        <f t="shared" si="3"/>
        <v>48.470149784498091</v>
      </c>
      <c r="E44" s="12">
        <f t="shared" si="3"/>
        <v>49.271834171216199</v>
      </c>
      <c r="F44" s="12">
        <f t="shared" si="3"/>
        <v>47.412289621011432</v>
      </c>
      <c r="G44" s="12">
        <f t="shared" si="3"/>
        <v>34.729664630070175</v>
      </c>
      <c r="H44" s="12">
        <f t="shared" si="3"/>
        <v>32.481765769316617</v>
      </c>
      <c r="I44" s="12">
        <f t="shared" si="3"/>
        <v>40.59441787808889</v>
      </c>
      <c r="J44" s="12">
        <f t="shared" si="3"/>
        <v>39.629838714408393</v>
      </c>
      <c r="K44" s="12">
        <f t="shared" si="3"/>
        <v>36.26641322823297</v>
      </c>
      <c r="L44" s="12">
        <f t="shared" ref="L44:M44" si="7">L34/L24*1000000</f>
        <v>29.575599669402191</v>
      </c>
      <c r="M44" s="12">
        <f t="shared" si="7"/>
        <v>28.466102501296842</v>
      </c>
    </row>
    <row r="45" spans="1:15" hidden="1" outlineLevel="1" x14ac:dyDescent="0.25"/>
    <row r="46" spans="1:15" x14ac:dyDescent="0.25">
      <c r="A46" t="s">
        <v>132</v>
      </c>
    </row>
    <row r="47" spans="1:15" outlineLevel="1" x14ac:dyDescent="0.25">
      <c r="B47" s="13">
        <v>2012</v>
      </c>
      <c r="C47" s="13">
        <v>2013</v>
      </c>
      <c r="D47" s="13">
        <v>2014</v>
      </c>
      <c r="E47" s="13">
        <v>2015</v>
      </c>
      <c r="F47" s="13">
        <v>2016</v>
      </c>
      <c r="G47" s="13">
        <v>2017</v>
      </c>
      <c r="H47" s="13">
        <v>2018</v>
      </c>
      <c r="I47" s="13">
        <v>2019</v>
      </c>
      <c r="J47" s="13">
        <v>2020</v>
      </c>
      <c r="K47" s="20">
        <v>2021</v>
      </c>
      <c r="L47" s="20">
        <v>2022</v>
      </c>
      <c r="M47" s="20">
        <v>2023</v>
      </c>
    </row>
    <row r="48" spans="1:15" outlineLevel="1" x14ac:dyDescent="0.25">
      <c r="A48" t="s">
        <v>34</v>
      </c>
      <c r="B48" s="10">
        <f>B5</f>
        <v>5378</v>
      </c>
      <c r="C48" s="10">
        <f t="shared" ref="C48:M48" si="8">C5</f>
        <v>5378</v>
      </c>
      <c r="D48" s="10">
        <f t="shared" si="8"/>
        <v>5378</v>
      </c>
      <c r="E48" s="10">
        <f t="shared" si="8"/>
        <v>5378</v>
      </c>
      <c r="F48" s="10">
        <f t="shared" si="8"/>
        <v>5378</v>
      </c>
      <c r="G48" s="10">
        <f t="shared" si="8"/>
        <v>5378</v>
      </c>
      <c r="H48" s="10">
        <f t="shared" si="8"/>
        <v>5498</v>
      </c>
      <c r="I48" s="10">
        <f t="shared" si="8"/>
        <v>5498</v>
      </c>
      <c r="J48" s="10">
        <f t="shared" si="8"/>
        <v>5498</v>
      </c>
      <c r="K48" s="21">
        <f t="shared" si="8"/>
        <v>5498</v>
      </c>
      <c r="L48" s="21">
        <f t="shared" si="8"/>
        <v>5463</v>
      </c>
      <c r="M48" s="21">
        <f t="shared" si="8"/>
        <v>5463</v>
      </c>
      <c r="O48" s="10"/>
    </row>
    <row r="49" spans="1:15" outlineLevel="1" x14ac:dyDescent="0.25">
      <c r="A49" t="s">
        <v>36</v>
      </c>
      <c r="B49" s="10">
        <f>B7</f>
        <v>1052</v>
      </c>
      <c r="C49" s="10">
        <f t="shared" ref="C49:M49" si="9">C7</f>
        <v>1146</v>
      </c>
      <c r="D49" s="10">
        <f t="shared" si="9"/>
        <v>1312</v>
      </c>
      <c r="E49" s="10">
        <f t="shared" si="9"/>
        <v>1163</v>
      </c>
      <c r="F49" s="10">
        <f t="shared" si="9"/>
        <v>1453</v>
      </c>
      <c r="G49" s="10">
        <f t="shared" si="9"/>
        <v>1634</v>
      </c>
      <c r="H49" s="10">
        <f t="shared" si="9"/>
        <v>2045</v>
      </c>
      <c r="I49" s="10">
        <f t="shared" si="9"/>
        <v>2118</v>
      </c>
      <c r="J49" s="10">
        <f t="shared" si="9"/>
        <v>1426.25</v>
      </c>
      <c r="K49" s="21">
        <f t="shared" si="9"/>
        <v>1277.25</v>
      </c>
      <c r="L49" s="21">
        <f t="shared" si="9"/>
        <v>1305</v>
      </c>
      <c r="M49" s="21">
        <f t="shared" si="9"/>
        <v>1309.5</v>
      </c>
      <c r="O49" s="10"/>
    </row>
    <row r="50" spans="1:15" outlineLevel="1" x14ac:dyDescent="0.25">
      <c r="A50" t="s">
        <v>38</v>
      </c>
      <c r="B50" s="10">
        <f>B3</f>
        <v>18029</v>
      </c>
      <c r="C50" s="10">
        <f t="shared" ref="C50:M50" si="10">C3</f>
        <v>22830</v>
      </c>
      <c r="D50" s="10">
        <f t="shared" si="10"/>
        <v>23309</v>
      </c>
      <c r="E50" s="10">
        <f t="shared" si="10"/>
        <v>24043</v>
      </c>
      <c r="F50" s="10">
        <f t="shared" si="10"/>
        <v>27274</v>
      </c>
      <c r="G50" s="10">
        <f t="shared" si="10"/>
        <v>28084</v>
      </c>
      <c r="H50" s="10">
        <f t="shared" si="10"/>
        <v>30016</v>
      </c>
      <c r="I50" s="10">
        <f t="shared" si="10"/>
        <v>31828</v>
      </c>
      <c r="J50" s="10">
        <f t="shared" si="10"/>
        <v>31948</v>
      </c>
      <c r="K50" s="21">
        <f t="shared" si="10"/>
        <v>33640</v>
      </c>
      <c r="L50" s="21">
        <f t="shared" si="10"/>
        <v>34413</v>
      </c>
      <c r="M50" s="21">
        <f t="shared" si="10"/>
        <v>35178</v>
      </c>
      <c r="O50" s="10"/>
    </row>
    <row r="51" spans="1:15" outlineLevel="1" x14ac:dyDescent="0.25">
      <c r="A51" t="s">
        <v>40</v>
      </c>
      <c r="B51" s="10">
        <f>B8</f>
        <v>1610</v>
      </c>
      <c r="C51" s="10">
        <f t="shared" ref="C51:M51" si="11">C8</f>
        <v>1400</v>
      </c>
      <c r="D51" s="10">
        <f t="shared" si="11"/>
        <v>1400</v>
      </c>
      <c r="E51" s="10">
        <f t="shared" si="11"/>
        <v>1510</v>
      </c>
      <c r="F51" s="10">
        <f t="shared" si="11"/>
        <v>1608</v>
      </c>
      <c r="G51" s="10">
        <f t="shared" si="11"/>
        <v>1608</v>
      </c>
      <c r="H51" s="10">
        <f t="shared" si="11"/>
        <v>1634</v>
      </c>
      <c r="I51" s="10">
        <f t="shared" si="11"/>
        <v>1634</v>
      </c>
      <c r="J51" s="10">
        <f t="shared" si="11"/>
        <v>1634</v>
      </c>
      <c r="K51" s="21">
        <f t="shared" si="11"/>
        <v>1634</v>
      </c>
      <c r="L51" s="21">
        <f t="shared" si="11"/>
        <v>1608</v>
      </c>
      <c r="M51" s="21">
        <f t="shared" si="11"/>
        <v>1608</v>
      </c>
      <c r="O51" s="10"/>
    </row>
    <row r="52" spans="1:15" outlineLevel="1" x14ac:dyDescent="0.25">
      <c r="A52" t="s">
        <v>42</v>
      </c>
      <c r="B52" s="10">
        <f>B9</f>
        <v>11498</v>
      </c>
      <c r="C52" s="10">
        <f t="shared" ref="C52:M52" si="12">C9</f>
        <v>11679</v>
      </c>
      <c r="D52" s="10">
        <f t="shared" si="12"/>
        <v>12429</v>
      </c>
      <c r="E52" s="10">
        <f t="shared" si="12"/>
        <v>12489</v>
      </c>
      <c r="F52" s="10">
        <f t="shared" si="12"/>
        <v>12589</v>
      </c>
      <c r="G52" s="10">
        <f t="shared" si="12"/>
        <v>12642</v>
      </c>
      <c r="H52" s="10">
        <f t="shared" si="12"/>
        <v>12641</v>
      </c>
      <c r="I52" s="10">
        <f t="shared" si="12"/>
        <v>12641</v>
      </c>
      <c r="J52" s="10">
        <f t="shared" si="12"/>
        <v>12641</v>
      </c>
      <c r="K52" s="21">
        <f t="shared" si="12"/>
        <v>12643</v>
      </c>
      <c r="L52" s="21">
        <f t="shared" si="12"/>
        <v>12613</v>
      </c>
      <c r="M52" s="21">
        <f t="shared" si="12"/>
        <v>12612</v>
      </c>
      <c r="O52" s="10"/>
    </row>
    <row r="53" spans="1:15" outlineLevel="1" x14ac:dyDescent="0.25">
      <c r="A53" t="s">
        <v>44</v>
      </c>
      <c r="B53" s="10">
        <f>B10</f>
        <v>1158</v>
      </c>
      <c r="C53" s="10">
        <f t="shared" ref="C53:M53" si="13">C10</f>
        <v>1611</v>
      </c>
      <c r="D53" s="10">
        <f t="shared" si="13"/>
        <v>2036</v>
      </c>
      <c r="E53" s="10">
        <f t="shared" si="13"/>
        <v>2805</v>
      </c>
      <c r="F53" s="10">
        <f t="shared" si="13"/>
        <v>3735</v>
      </c>
      <c r="G53" s="10">
        <f t="shared" si="13"/>
        <v>4199</v>
      </c>
      <c r="H53" s="10">
        <f t="shared" si="13"/>
        <v>4855</v>
      </c>
      <c r="I53" s="10">
        <f t="shared" si="13"/>
        <v>6040</v>
      </c>
      <c r="J53" s="10">
        <f t="shared" si="13"/>
        <v>6454</v>
      </c>
      <c r="K53" s="21">
        <f t="shared" si="13"/>
        <v>6454</v>
      </c>
      <c r="L53" s="21">
        <f t="shared" si="13"/>
        <v>6921</v>
      </c>
      <c r="M53" s="21">
        <f t="shared" si="13"/>
        <v>7055</v>
      </c>
      <c r="O53" s="10"/>
    </row>
    <row r="54" spans="1:15" outlineLevel="1" x14ac:dyDescent="0.25">
      <c r="A54" t="s">
        <v>46</v>
      </c>
      <c r="B54" s="10">
        <f>B12</f>
        <v>6</v>
      </c>
      <c r="C54" s="10">
        <f t="shared" ref="C54:M54" si="14">C12</f>
        <v>46</v>
      </c>
      <c r="D54" s="10">
        <f t="shared" si="14"/>
        <v>56</v>
      </c>
      <c r="E54" s="10">
        <f t="shared" si="14"/>
        <v>56</v>
      </c>
      <c r="F54" s="10">
        <f t="shared" si="14"/>
        <v>145</v>
      </c>
      <c r="G54" s="10">
        <f t="shared" si="14"/>
        <v>214</v>
      </c>
      <c r="H54" s="10">
        <f t="shared" si="14"/>
        <v>1946</v>
      </c>
      <c r="I54" s="10">
        <f t="shared" si="14"/>
        <v>4598</v>
      </c>
      <c r="J54" s="10">
        <f t="shared" si="14"/>
        <v>5630</v>
      </c>
      <c r="K54" s="21">
        <f t="shared" si="14"/>
        <v>5955</v>
      </c>
      <c r="L54" s="21">
        <f t="shared" si="14"/>
        <v>6535</v>
      </c>
      <c r="M54" s="21">
        <f t="shared" si="14"/>
        <v>7469</v>
      </c>
      <c r="O54" s="10"/>
    </row>
    <row r="55" spans="1:15" outlineLevel="1" x14ac:dyDescent="0.25">
      <c r="A55" t="s">
        <v>48</v>
      </c>
      <c r="K55" s="18"/>
      <c r="L55" s="18"/>
      <c r="M55" s="18"/>
      <c r="O55" s="10"/>
    </row>
    <row r="56" spans="1:15" outlineLevel="1" x14ac:dyDescent="0.25">
      <c r="A56" t="s">
        <v>49</v>
      </c>
      <c r="B56" s="10">
        <f>B13</f>
        <v>492</v>
      </c>
      <c r="C56" s="10">
        <f t="shared" ref="C56:M56" si="15">C13</f>
        <v>554</v>
      </c>
      <c r="D56" s="10">
        <f t="shared" si="15"/>
        <v>685</v>
      </c>
      <c r="E56" s="10">
        <f t="shared" si="15"/>
        <v>760</v>
      </c>
      <c r="F56" s="10">
        <f t="shared" si="15"/>
        <v>889</v>
      </c>
      <c r="G56" s="10">
        <f t="shared" si="15"/>
        <v>1007</v>
      </c>
      <c r="H56" s="10">
        <f t="shared" si="15"/>
        <v>1082</v>
      </c>
      <c r="I56" s="10">
        <f t="shared" si="15"/>
        <v>1016</v>
      </c>
      <c r="J56" s="10">
        <f t="shared" si="15"/>
        <v>954.25</v>
      </c>
      <c r="K56" s="21">
        <f t="shared" si="15"/>
        <v>1016.485</v>
      </c>
      <c r="L56" s="21">
        <f t="shared" si="15"/>
        <v>1047.316</v>
      </c>
      <c r="M56" s="21">
        <f t="shared" si="15"/>
        <v>1050.194</v>
      </c>
      <c r="O56" s="10"/>
    </row>
    <row r="57" spans="1:15" outlineLevel="1" x14ac:dyDescent="0.25">
      <c r="A57" t="s">
        <v>51</v>
      </c>
      <c r="B57" s="10">
        <f>B11</f>
        <v>812</v>
      </c>
      <c r="C57" s="10">
        <f t="shared" ref="C57:M57" si="16">C11</f>
        <v>823</v>
      </c>
      <c r="D57" s="10">
        <f t="shared" si="16"/>
        <v>813</v>
      </c>
      <c r="E57" s="10">
        <f t="shared" si="16"/>
        <v>926</v>
      </c>
      <c r="F57" s="10">
        <f t="shared" si="16"/>
        <v>909</v>
      </c>
      <c r="G57" s="10">
        <f t="shared" si="16"/>
        <v>926</v>
      </c>
      <c r="H57" s="10">
        <f t="shared" si="16"/>
        <v>926</v>
      </c>
      <c r="I57" s="10">
        <f t="shared" si="16"/>
        <v>951</v>
      </c>
      <c r="J57" s="10">
        <f t="shared" si="16"/>
        <v>951</v>
      </c>
      <c r="K57" s="21">
        <f t="shared" si="16"/>
        <v>976</v>
      </c>
      <c r="L57" s="21">
        <f t="shared" si="16"/>
        <v>976</v>
      </c>
      <c r="M57" s="21">
        <f t="shared" si="16"/>
        <v>976</v>
      </c>
      <c r="O57" s="10"/>
    </row>
    <row r="58" spans="1:15" outlineLevel="1" x14ac:dyDescent="0.25">
      <c r="A58" t="s">
        <v>53</v>
      </c>
      <c r="K58" s="18"/>
      <c r="L58" s="18"/>
      <c r="M58" s="18"/>
      <c r="O58" s="10"/>
    </row>
    <row r="59" spans="1:15" outlineLevel="1" x14ac:dyDescent="0.25">
      <c r="A59" t="s">
        <v>54</v>
      </c>
      <c r="B59" s="10">
        <f>B6</f>
        <v>2658</v>
      </c>
      <c r="C59" s="10">
        <f t="shared" ref="C59:M59" si="17">C6</f>
        <v>3418</v>
      </c>
      <c r="D59" s="10">
        <f t="shared" si="17"/>
        <v>3419</v>
      </c>
      <c r="E59" s="10">
        <f t="shared" si="17"/>
        <v>4904</v>
      </c>
      <c r="F59" s="10">
        <f t="shared" si="17"/>
        <v>5052</v>
      </c>
      <c r="G59" s="10">
        <f t="shared" si="17"/>
        <v>5136</v>
      </c>
      <c r="H59" s="10">
        <f t="shared" si="17"/>
        <v>5087</v>
      </c>
      <c r="I59" s="10">
        <f t="shared" si="17"/>
        <v>5308</v>
      </c>
      <c r="J59" s="10">
        <f t="shared" si="17"/>
        <v>4697.5</v>
      </c>
      <c r="K59" s="21">
        <f t="shared" si="17"/>
        <v>4896.5</v>
      </c>
      <c r="L59" s="21">
        <f t="shared" si="17"/>
        <v>4969</v>
      </c>
      <c r="M59" s="21">
        <f t="shared" si="17"/>
        <v>5049</v>
      </c>
      <c r="O59" s="10"/>
    </row>
    <row r="60" spans="1:15" outlineLevel="1" x14ac:dyDescent="0.25">
      <c r="A60" t="s">
        <v>56</v>
      </c>
      <c r="K60" s="18"/>
      <c r="L60" s="18"/>
      <c r="M60" s="18"/>
      <c r="O60" s="10"/>
    </row>
    <row r="61" spans="1:15" outlineLevel="1" x14ac:dyDescent="0.25">
      <c r="A61" t="s">
        <v>57</v>
      </c>
      <c r="K61" s="18"/>
      <c r="L61" s="18"/>
      <c r="M61" s="18"/>
      <c r="O61" s="10"/>
    </row>
    <row r="62" spans="1:15" outlineLevel="1" x14ac:dyDescent="0.25">
      <c r="A62" t="s">
        <v>58</v>
      </c>
      <c r="K62" s="18"/>
      <c r="L62" s="18"/>
      <c r="M62" s="18"/>
      <c r="O62" s="10"/>
    </row>
    <row r="63" spans="1:15" outlineLevel="1" x14ac:dyDescent="0.25">
      <c r="A63" t="s">
        <v>59</v>
      </c>
      <c r="B63" s="10">
        <f>B4</f>
        <v>13765</v>
      </c>
      <c r="C63" s="10">
        <f t="shared" ref="C63:M63" si="18">C4</f>
        <v>15246</v>
      </c>
      <c r="D63" s="10">
        <f t="shared" si="18"/>
        <v>14614</v>
      </c>
      <c r="E63" s="10">
        <f t="shared" si="18"/>
        <v>13881</v>
      </c>
      <c r="F63" s="10">
        <f t="shared" si="18"/>
        <v>14217</v>
      </c>
      <c r="G63" s="10">
        <f t="shared" si="18"/>
        <v>14383</v>
      </c>
      <c r="H63" s="10">
        <f t="shared" si="18"/>
        <v>12503</v>
      </c>
      <c r="I63" s="10">
        <f t="shared" si="18"/>
        <v>12584</v>
      </c>
      <c r="J63" s="10">
        <f t="shared" si="18"/>
        <v>12399</v>
      </c>
      <c r="K63" s="21">
        <f t="shared" si="18"/>
        <v>12399</v>
      </c>
      <c r="L63" s="21">
        <f t="shared" si="18"/>
        <v>11343</v>
      </c>
      <c r="M63" s="21">
        <f t="shared" si="18"/>
        <v>11300</v>
      </c>
      <c r="O63" s="10"/>
    </row>
    <row r="64" spans="1:15" outlineLevel="1" x14ac:dyDescent="0.25">
      <c r="A64" t="s">
        <v>61</v>
      </c>
      <c r="K64" s="18"/>
      <c r="L64" s="18"/>
      <c r="M64" s="18"/>
    </row>
    <row r="65" spans="1:16" outlineLevel="1" x14ac:dyDescent="0.25">
      <c r="A65" t="s">
        <v>62</v>
      </c>
      <c r="K65" s="21"/>
      <c r="L65" s="18"/>
      <c r="M65" s="18"/>
    </row>
    <row r="66" spans="1:16" outlineLevel="1" x14ac:dyDescent="0.25">
      <c r="A66" t="s">
        <v>63</v>
      </c>
      <c r="K66" s="18"/>
      <c r="L66" s="18"/>
      <c r="M66" s="18"/>
      <c r="O66" s="10"/>
    </row>
    <row r="67" spans="1:16" outlineLevel="1" x14ac:dyDescent="0.25">
      <c r="A67" t="s">
        <v>64</v>
      </c>
      <c r="K67" s="18"/>
      <c r="L67" s="21"/>
      <c r="M67" s="18"/>
    </row>
    <row r="68" spans="1:16" outlineLevel="1" x14ac:dyDescent="0.25">
      <c r="A68" t="s">
        <v>65</v>
      </c>
      <c r="K68" s="18"/>
      <c r="L68" s="18"/>
      <c r="M68" s="18"/>
    </row>
    <row r="69" spans="1:16" outlineLevel="1" x14ac:dyDescent="0.25">
      <c r="A69" t="s">
        <v>66</v>
      </c>
      <c r="K69" s="18"/>
      <c r="L69" s="18"/>
      <c r="M69" s="18"/>
    </row>
    <row r="70" spans="1:16" outlineLevel="1" x14ac:dyDescent="0.25">
      <c r="A70" t="s">
        <v>67</v>
      </c>
      <c r="K70" s="18"/>
      <c r="L70" s="18"/>
      <c r="M70" s="18"/>
    </row>
    <row r="71" spans="1:16" outlineLevel="1" x14ac:dyDescent="0.25">
      <c r="A71" t="s">
        <v>68</v>
      </c>
      <c r="K71" s="18"/>
      <c r="L71" s="18"/>
      <c r="M71" s="18"/>
    </row>
    <row r="72" spans="1:16" outlineLevel="1" x14ac:dyDescent="0.25">
      <c r="B72" s="10"/>
      <c r="C72" s="10"/>
      <c r="D72" s="10"/>
      <c r="E72" s="10"/>
      <c r="F72" s="10"/>
      <c r="G72" s="10"/>
      <c r="H72" s="10"/>
      <c r="I72" s="10"/>
      <c r="J72" s="10"/>
      <c r="K72" s="21"/>
      <c r="L72" s="21"/>
      <c r="M72" s="21"/>
    </row>
    <row r="73" spans="1:16" outlineLevel="1" x14ac:dyDescent="0.25">
      <c r="A73" t="s">
        <v>347</v>
      </c>
      <c r="K73" s="18"/>
      <c r="L73" s="18"/>
      <c r="M73" s="18"/>
    </row>
    <row r="74" spans="1:16" outlineLevel="1" x14ac:dyDescent="0.25">
      <c r="B74" s="13">
        <v>2012</v>
      </c>
      <c r="C74" s="13">
        <v>2013</v>
      </c>
      <c r="D74" s="13">
        <v>2014</v>
      </c>
      <c r="E74" s="13">
        <v>2015</v>
      </c>
      <c r="F74" s="13">
        <v>2016</v>
      </c>
      <c r="G74" s="13">
        <v>2017</v>
      </c>
      <c r="H74" s="13">
        <v>2018</v>
      </c>
      <c r="I74" s="13">
        <v>2019</v>
      </c>
      <c r="J74" s="13">
        <v>2020</v>
      </c>
      <c r="K74" s="20">
        <v>2021</v>
      </c>
      <c r="L74" s="20">
        <v>2022</v>
      </c>
      <c r="M74" s="20">
        <v>2023</v>
      </c>
    </row>
    <row r="75" spans="1:16" outlineLevel="1" x14ac:dyDescent="0.25">
      <c r="A75" t="s">
        <v>34</v>
      </c>
      <c r="B75" s="10">
        <f>J48-SUM(C75:J75)</f>
        <v>5378</v>
      </c>
      <c r="C75" s="10">
        <f>MAX(0,C48-B48)</f>
        <v>0</v>
      </c>
      <c r="D75" s="10">
        <f t="shared" ref="D75:K75" si="19">MAX(0,D48-C48)</f>
        <v>0</v>
      </c>
      <c r="E75" s="10">
        <f t="shared" si="19"/>
        <v>0</v>
      </c>
      <c r="F75" s="10">
        <f t="shared" si="19"/>
        <v>0</v>
      </c>
      <c r="G75" s="10">
        <f t="shared" si="19"/>
        <v>0</v>
      </c>
      <c r="H75" s="10">
        <f t="shared" si="19"/>
        <v>120</v>
      </c>
      <c r="I75" s="10">
        <f t="shared" si="19"/>
        <v>0</v>
      </c>
      <c r="J75" s="10">
        <f t="shared" si="19"/>
        <v>0</v>
      </c>
      <c r="K75" s="21">
        <f t="shared" si="19"/>
        <v>0</v>
      </c>
      <c r="L75" s="21">
        <f t="shared" ref="L75:M75" si="20">MAX(0,L48-K48)</f>
        <v>0</v>
      </c>
      <c r="M75" s="21">
        <f t="shared" si="20"/>
        <v>0</v>
      </c>
      <c r="O75" s="10"/>
      <c r="P75" s="10"/>
    </row>
    <row r="76" spans="1:16" outlineLevel="1" x14ac:dyDescent="0.25">
      <c r="A76" t="s">
        <v>36</v>
      </c>
      <c r="B76" s="10">
        <f t="shared" ref="B76:B98" si="21">J49-SUM(C76:J76)</f>
        <v>211.25</v>
      </c>
      <c r="C76" s="10">
        <f t="shared" ref="C76:K76" si="22">MAX(0,C49-B49)</f>
        <v>94</v>
      </c>
      <c r="D76" s="10">
        <f t="shared" si="22"/>
        <v>166</v>
      </c>
      <c r="E76" s="10">
        <f t="shared" si="22"/>
        <v>0</v>
      </c>
      <c r="F76" s="10">
        <f t="shared" si="22"/>
        <v>290</v>
      </c>
      <c r="G76" s="10">
        <f t="shared" si="22"/>
        <v>181</v>
      </c>
      <c r="H76" s="10">
        <f t="shared" si="22"/>
        <v>411</v>
      </c>
      <c r="I76" s="10">
        <f t="shared" si="22"/>
        <v>73</v>
      </c>
      <c r="J76" s="10">
        <f t="shared" si="22"/>
        <v>0</v>
      </c>
      <c r="K76" s="21">
        <f t="shared" si="22"/>
        <v>0</v>
      </c>
      <c r="L76" s="21">
        <f t="shared" ref="L76:M98" si="23">MAX(0,L49-K49)</f>
        <v>27.75</v>
      </c>
      <c r="M76" s="21">
        <f t="shared" si="23"/>
        <v>4.5</v>
      </c>
      <c r="O76" s="10"/>
      <c r="P76" s="10"/>
    </row>
    <row r="77" spans="1:16" outlineLevel="1" x14ac:dyDescent="0.25">
      <c r="A77" t="s">
        <v>38</v>
      </c>
      <c r="B77" s="10">
        <f t="shared" si="21"/>
        <v>18029</v>
      </c>
      <c r="C77" s="10">
        <f t="shared" ref="C77:K77" si="24">MAX(0,C50-B50)</f>
        <v>4801</v>
      </c>
      <c r="D77" s="10">
        <f t="shared" si="24"/>
        <v>479</v>
      </c>
      <c r="E77" s="10">
        <f t="shared" si="24"/>
        <v>734</v>
      </c>
      <c r="F77" s="10">
        <f t="shared" si="24"/>
        <v>3231</v>
      </c>
      <c r="G77" s="10">
        <f t="shared" si="24"/>
        <v>810</v>
      </c>
      <c r="H77" s="10">
        <f t="shared" si="24"/>
        <v>1932</v>
      </c>
      <c r="I77" s="10">
        <f t="shared" si="24"/>
        <v>1812</v>
      </c>
      <c r="J77" s="10">
        <f t="shared" si="24"/>
        <v>120</v>
      </c>
      <c r="K77" s="21">
        <f t="shared" si="24"/>
        <v>1692</v>
      </c>
      <c r="L77" s="21">
        <f t="shared" si="23"/>
        <v>773</v>
      </c>
      <c r="M77" s="21">
        <f t="shared" si="23"/>
        <v>765</v>
      </c>
      <c r="O77" s="10"/>
      <c r="P77" s="10"/>
    </row>
    <row r="78" spans="1:16" outlineLevel="1" x14ac:dyDescent="0.25">
      <c r="A78" t="s">
        <v>40</v>
      </c>
      <c r="B78" s="10">
        <f t="shared" si="21"/>
        <v>1400</v>
      </c>
      <c r="C78" s="10">
        <f t="shared" ref="C78:K78" si="25">MAX(0,C51-B51)</f>
        <v>0</v>
      </c>
      <c r="D78" s="10">
        <f t="shared" si="25"/>
        <v>0</v>
      </c>
      <c r="E78" s="10">
        <f t="shared" si="25"/>
        <v>110</v>
      </c>
      <c r="F78" s="10">
        <f t="shared" si="25"/>
        <v>98</v>
      </c>
      <c r="G78" s="10">
        <f t="shared" si="25"/>
        <v>0</v>
      </c>
      <c r="H78" s="10">
        <f t="shared" si="25"/>
        <v>26</v>
      </c>
      <c r="I78" s="10">
        <f t="shared" si="25"/>
        <v>0</v>
      </c>
      <c r="J78" s="10">
        <f t="shared" si="25"/>
        <v>0</v>
      </c>
      <c r="K78" s="21">
        <f t="shared" si="25"/>
        <v>0</v>
      </c>
      <c r="L78" s="21">
        <f t="shared" si="23"/>
        <v>0</v>
      </c>
      <c r="M78" s="21">
        <f t="shared" si="23"/>
        <v>0</v>
      </c>
      <c r="O78" s="10"/>
      <c r="P78" s="10"/>
    </row>
    <row r="79" spans="1:16" outlineLevel="1" x14ac:dyDescent="0.25">
      <c r="A79" t="s">
        <v>42</v>
      </c>
      <c r="B79" s="10">
        <f t="shared" si="21"/>
        <v>11497</v>
      </c>
      <c r="C79" s="10">
        <f t="shared" ref="C79:K79" si="26">MAX(0,C52-B52)</f>
        <v>181</v>
      </c>
      <c r="D79" s="10">
        <f t="shared" si="26"/>
        <v>750</v>
      </c>
      <c r="E79" s="10">
        <f t="shared" si="26"/>
        <v>60</v>
      </c>
      <c r="F79" s="10">
        <f t="shared" si="26"/>
        <v>100</v>
      </c>
      <c r="G79" s="10">
        <f t="shared" si="26"/>
        <v>53</v>
      </c>
      <c r="H79" s="10">
        <f t="shared" si="26"/>
        <v>0</v>
      </c>
      <c r="I79" s="10">
        <f t="shared" si="26"/>
        <v>0</v>
      </c>
      <c r="J79" s="10">
        <f t="shared" si="26"/>
        <v>0</v>
      </c>
      <c r="K79" s="21">
        <f t="shared" si="26"/>
        <v>2</v>
      </c>
      <c r="L79" s="21">
        <f t="shared" si="23"/>
        <v>0</v>
      </c>
      <c r="M79" s="21">
        <f t="shared" si="23"/>
        <v>0</v>
      </c>
      <c r="O79" s="10"/>
      <c r="P79" s="10"/>
    </row>
    <row r="80" spans="1:16" outlineLevel="1" x14ac:dyDescent="0.25">
      <c r="A80" t="s">
        <v>44</v>
      </c>
      <c r="B80" s="10">
        <f t="shared" si="21"/>
        <v>1158</v>
      </c>
      <c r="C80" s="10">
        <f t="shared" ref="C80:K80" si="27">MAX(0,C53-B53)</f>
        <v>453</v>
      </c>
      <c r="D80" s="10">
        <f t="shared" si="27"/>
        <v>425</v>
      </c>
      <c r="E80" s="10">
        <f t="shared" si="27"/>
        <v>769</v>
      </c>
      <c r="F80" s="10">
        <f t="shared" si="27"/>
        <v>930</v>
      </c>
      <c r="G80" s="10">
        <f t="shared" si="27"/>
        <v>464</v>
      </c>
      <c r="H80" s="10">
        <f t="shared" si="27"/>
        <v>656</v>
      </c>
      <c r="I80" s="10">
        <f t="shared" si="27"/>
        <v>1185</v>
      </c>
      <c r="J80" s="10">
        <f t="shared" si="27"/>
        <v>414</v>
      </c>
      <c r="K80" s="21">
        <f t="shared" si="27"/>
        <v>0</v>
      </c>
      <c r="L80" s="21">
        <f t="shared" si="23"/>
        <v>467</v>
      </c>
      <c r="M80" s="21">
        <f t="shared" si="23"/>
        <v>134</v>
      </c>
      <c r="O80" s="10"/>
      <c r="P80" s="10"/>
    </row>
    <row r="81" spans="1:16" outlineLevel="1" x14ac:dyDescent="0.25">
      <c r="A81" t="s">
        <v>46</v>
      </c>
      <c r="B81" s="10">
        <f t="shared" si="21"/>
        <v>6</v>
      </c>
      <c r="C81" s="10">
        <f t="shared" ref="C81:K81" si="28">MAX(0,C54-B54)</f>
        <v>40</v>
      </c>
      <c r="D81" s="10">
        <f t="shared" si="28"/>
        <v>10</v>
      </c>
      <c r="E81" s="10">
        <f t="shared" si="28"/>
        <v>0</v>
      </c>
      <c r="F81" s="10">
        <f t="shared" si="28"/>
        <v>89</v>
      </c>
      <c r="G81" s="10">
        <f t="shared" si="28"/>
        <v>69</v>
      </c>
      <c r="H81" s="10">
        <f t="shared" si="28"/>
        <v>1732</v>
      </c>
      <c r="I81" s="10">
        <f t="shared" si="28"/>
        <v>2652</v>
      </c>
      <c r="J81" s="10">
        <f t="shared" si="28"/>
        <v>1032</v>
      </c>
      <c r="K81" s="21">
        <f t="shared" si="28"/>
        <v>325</v>
      </c>
      <c r="L81" s="21">
        <f t="shared" si="23"/>
        <v>580</v>
      </c>
      <c r="M81" s="21">
        <f t="shared" si="23"/>
        <v>934</v>
      </c>
      <c r="O81" s="10"/>
      <c r="P81" s="10"/>
    </row>
    <row r="82" spans="1:16" outlineLevel="1" x14ac:dyDescent="0.25">
      <c r="A82" t="s">
        <v>48</v>
      </c>
      <c r="B82" s="10">
        <f t="shared" si="21"/>
        <v>0</v>
      </c>
      <c r="C82" s="10">
        <f t="shared" ref="C82:K82" si="29">MAX(0,C55-B55)</f>
        <v>0</v>
      </c>
      <c r="D82" s="10">
        <f t="shared" si="29"/>
        <v>0</v>
      </c>
      <c r="E82" s="10">
        <f t="shared" si="29"/>
        <v>0</v>
      </c>
      <c r="F82" s="10">
        <f t="shared" si="29"/>
        <v>0</v>
      </c>
      <c r="G82" s="10">
        <f t="shared" si="29"/>
        <v>0</v>
      </c>
      <c r="H82" s="10">
        <f t="shared" si="29"/>
        <v>0</v>
      </c>
      <c r="I82" s="10">
        <f t="shared" si="29"/>
        <v>0</v>
      </c>
      <c r="J82" s="10">
        <f t="shared" si="29"/>
        <v>0</v>
      </c>
      <c r="K82" s="21">
        <f t="shared" si="29"/>
        <v>0</v>
      </c>
      <c r="L82" s="21">
        <f t="shared" si="23"/>
        <v>0</v>
      </c>
      <c r="M82" s="21">
        <f t="shared" si="23"/>
        <v>0</v>
      </c>
      <c r="O82" s="10"/>
      <c r="P82" s="10"/>
    </row>
    <row r="83" spans="1:16" outlineLevel="1" x14ac:dyDescent="0.25">
      <c r="A83" t="s">
        <v>49</v>
      </c>
      <c r="B83" s="10">
        <f t="shared" si="21"/>
        <v>364.25</v>
      </c>
      <c r="C83" s="10">
        <f t="shared" ref="C83:K83" si="30">MAX(0,C56-B56)</f>
        <v>62</v>
      </c>
      <c r="D83" s="10">
        <f t="shared" si="30"/>
        <v>131</v>
      </c>
      <c r="E83" s="10">
        <f t="shared" si="30"/>
        <v>75</v>
      </c>
      <c r="F83" s="10">
        <f t="shared" si="30"/>
        <v>129</v>
      </c>
      <c r="G83" s="10">
        <f t="shared" si="30"/>
        <v>118</v>
      </c>
      <c r="H83" s="10">
        <f t="shared" si="30"/>
        <v>75</v>
      </c>
      <c r="I83" s="10">
        <f t="shared" si="30"/>
        <v>0</v>
      </c>
      <c r="J83" s="10">
        <f t="shared" si="30"/>
        <v>0</v>
      </c>
      <c r="K83" s="21">
        <f t="shared" si="30"/>
        <v>62.235000000000014</v>
      </c>
      <c r="L83" s="21">
        <f t="shared" si="23"/>
        <v>30.831000000000017</v>
      </c>
      <c r="M83" s="21">
        <f t="shared" si="23"/>
        <v>2.8779999999999291</v>
      </c>
      <c r="O83" s="10"/>
      <c r="P83" s="10"/>
    </row>
    <row r="84" spans="1:16" outlineLevel="1" x14ac:dyDescent="0.25">
      <c r="A84" t="s">
        <v>51</v>
      </c>
      <c r="B84" s="10">
        <f t="shared" si="21"/>
        <v>785</v>
      </c>
      <c r="C84" s="10">
        <f t="shared" ref="C84:K84" si="31">MAX(0,C57-B57)</f>
        <v>11</v>
      </c>
      <c r="D84" s="10">
        <f t="shared" si="31"/>
        <v>0</v>
      </c>
      <c r="E84" s="10">
        <f t="shared" si="31"/>
        <v>113</v>
      </c>
      <c r="F84" s="10">
        <f t="shared" si="31"/>
        <v>0</v>
      </c>
      <c r="G84" s="10">
        <f t="shared" si="31"/>
        <v>17</v>
      </c>
      <c r="H84" s="10">
        <f t="shared" si="31"/>
        <v>0</v>
      </c>
      <c r="I84" s="10">
        <f t="shared" si="31"/>
        <v>25</v>
      </c>
      <c r="J84" s="10">
        <f t="shared" si="31"/>
        <v>0</v>
      </c>
      <c r="K84" s="21">
        <f t="shared" si="31"/>
        <v>25</v>
      </c>
      <c r="L84" s="21">
        <f t="shared" si="23"/>
        <v>0</v>
      </c>
      <c r="M84" s="21">
        <f t="shared" si="23"/>
        <v>0</v>
      </c>
      <c r="O84" s="10"/>
      <c r="P84" s="10"/>
    </row>
    <row r="85" spans="1:16" outlineLevel="1" x14ac:dyDescent="0.25">
      <c r="A85" t="s">
        <v>53</v>
      </c>
      <c r="B85" s="10">
        <f t="shared" si="21"/>
        <v>0</v>
      </c>
      <c r="C85" s="10">
        <f t="shared" ref="C85:K85" si="32">MAX(0,C58-B58)</f>
        <v>0</v>
      </c>
      <c r="D85" s="10">
        <f t="shared" si="32"/>
        <v>0</v>
      </c>
      <c r="E85" s="10">
        <f t="shared" si="32"/>
        <v>0</v>
      </c>
      <c r="F85" s="10">
        <f t="shared" si="32"/>
        <v>0</v>
      </c>
      <c r="G85" s="10">
        <f t="shared" si="32"/>
        <v>0</v>
      </c>
      <c r="H85" s="10">
        <f t="shared" si="32"/>
        <v>0</v>
      </c>
      <c r="I85" s="10">
        <f t="shared" si="32"/>
        <v>0</v>
      </c>
      <c r="J85" s="10">
        <f t="shared" si="32"/>
        <v>0</v>
      </c>
      <c r="K85" s="21">
        <f t="shared" si="32"/>
        <v>0</v>
      </c>
      <c r="L85" s="21">
        <f t="shared" si="23"/>
        <v>0</v>
      </c>
      <c r="M85" s="21">
        <f t="shared" si="23"/>
        <v>0</v>
      </c>
      <c r="O85" s="10"/>
      <c r="P85" s="10"/>
    </row>
    <row r="86" spans="1:16" outlineLevel="1" x14ac:dyDescent="0.25">
      <c r="A86" t="s">
        <v>54</v>
      </c>
      <c r="B86" s="10">
        <f t="shared" si="21"/>
        <v>1998.5</v>
      </c>
      <c r="C86" s="10">
        <f t="shared" ref="C86:K86" si="33">MAX(0,C59-B59)</f>
        <v>760</v>
      </c>
      <c r="D86" s="10">
        <f t="shared" si="33"/>
        <v>1</v>
      </c>
      <c r="E86" s="10">
        <f t="shared" si="33"/>
        <v>1485</v>
      </c>
      <c r="F86" s="10">
        <f t="shared" si="33"/>
        <v>148</v>
      </c>
      <c r="G86" s="10">
        <f t="shared" si="33"/>
        <v>84</v>
      </c>
      <c r="H86" s="10">
        <f t="shared" si="33"/>
        <v>0</v>
      </c>
      <c r="I86" s="10">
        <f t="shared" si="33"/>
        <v>221</v>
      </c>
      <c r="J86" s="10">
        <f t="shared" si="33"/>
        <v>0</v>
      </c>
      <c r="K86" s="21">
        <f t="shared" si="33"/>
        <v>199</v>
      </c>
      <c r="L86" s="21">
        <f t="shared" si="23"/>
        <v>72.5</v>
      </c>
      <c r="M86" s="21">
        <f t="shared" si="23"/>
        <v>80</v>
      </c>
      <c r="O86" s="10"/>
      <c r="P86" s="10"/>
    </row>
    <row r="87" spans="1:16" outlineLevel="1" x14ac:dyDescent="0.25">
      <c r="A87" t="s">
        <v>56</v>
      </c>
      <c r="B87" s="10">
        <f t="shared" si="21"/>
        <v>0</v>
      </c>
      <c r="C87" s="10">
        <f t="shared" ref="C87:K87" si="34">MAX(0,C60-B60)</f>
        <v>0</v>
      </c>
      <c r="D87" s="10">
        <f t="shared" si="34"/>
        <v>0</v>
      </c>
      <c r="E87" s="10">
        <f t="shared" si="34"/>
        <v>0</v>
      </c>
      <c r="F87" s="10">
        <f t="shared" si="34"/>
        <v>0</v>
      </c>
      <c r="G87" s="10">
        <f t="shared" si="34"/>
        <v>0</v>
      </c>
      <c r="H87" s="10">
        <f t="shared" si="34"/>
        <v>0</v>
      </c>
      <c r="I87" s="10">
        <f t="shared" si="34"/>
        <v>0</v>
      </c>
      <c r="J87" s="10">
        <f t="shared" si="34"/>
        <v>0</v>
      </c>
      <c r="K87" s="21">
        <f t="shared" si="34"/>
        <v>0</v>
      </c>
      <c r="L87" s="21">
        <f t="shared" si="23"/>
        <v>0</v>
      </c>
      <c r="M87" s="21">
        <f t="shared" si="23"/>
        <v>0</v>
      </c>
      <c r="O87" s="10"/>
      <c r="P87" s="10"/>
    </row>
    <row r="88" spans="1:16" outlineLevel="1" x14ac:dyDescent="0.25">
      <c r="A88" t="s">
        <v>57</v>
      </c>
      <c r="B88" s="10">
        <f t="shared" si="21"/>
        <v>0</v>
      </c>
      <c r="C88" s="10">
        <f t="shared" ref="C88:K88" si="35">MAX(0,C61-B61)</f>
        <v>0</v>
      </c>
      <c r="D88" s="10">
        <f t="shared" si="35"/>
        <v>0</v>
      </c>
      <c r="E88" s="10">
        <f t="shared" si="35"/>
        <v>0</v>
      </c>
      <c r="F88" s="10">
        <f t="shared" si="35"/>
        <v>0</v>
      </c>
      <c r="G88" s="10">
        <f t="shared" si="35"/>
        <v>0</v>
      </c>
      <c r="H88" s="10">
        <f t="shared" si="35"/>
        <v>0</v>
      </c>
      <c r="I88" s="10">
        <f t="shared" si="35"/>
        <v>0</v>
      </c>
      <c r="J88" s="10">
        <f t="shared" si="35"/>
        <v>0</v>
      </c>
      <c r="K88" s="21">
        <f t="shared" si="35"/>
        <v>0</v>
      </c>
      <c r="L88" s="21">
        <f t="shared" si="23"/>
        <v>0</v>
      </c>
      <c r="M88" s="21">
        <f t="shared" si="23"/>
        <v>0</v>
      </c>
      <c r="O88" s="10"/>
      <c r="P88" s="10"/>
    </row>
    <row r="89" spans="1:16" outlineLevel="1" x14ac:dyDescent="0.25">
      <c r="A89" t="s">
        <v>58</v>
      </c>
      <c r="B89" s="10">
        <f t="shared" si="21"/>
        <v>0</v>
      </c>
      <c r="C89" s="10">
        <f t="shared" ref="C89:K89" si="36">MAX(0,C62-B62)</f>
        <v>0</v>
      </c>
      <c r="D89" s="10">
        <f t="shared" si="36"/>
        <v>0</v>
      </c>
      <c r="E89" s="10">
        <f t="shared" si="36"/>
        <v>0</v>
      </c>
      <c r="F89" s="10">
        <f t="shared" si="36"/>
        <v>0</v>
      </c>
      <c r="G89" s="10">
        <f t="shared" si="36"/>
        <v>0</v>
      </c>
      <c r="H89" s="10">
        <f t="shared" si="36"/>
        <v>0</v>
      </c>
      <c r="I89" s="10">
        <f t="shared" si="36"/>
        <v>0</v>
      </c>
      <c r="J89" s="10">
        <f t="shared" si="36"/>
        <v>0</v>
      </c>
      <c r="K89" s="21">
        <f t="shared" si="36"/>
        <v>0</v>
      </c>
      <c r="L89" s="21">
        <f t="shared" si="23"/>
        <v>0</v>
      </c>
      <c r="M89" s="21">
        <f t="shared" si="23"/>
        <v>0</v>
      </c>
      <c r="O89" s="10"/>
      <c r="P89" s="10"/>
    </row>
    <row r="90" spans="1:16" outlineLevel="1" x14ac:dyDescent="0.25">
      <c r="A90" t="s">
        <v>59</v>
      </c>
      <c r="B90" s="10">
        <f t="shared" si="21"/>
        <v>10335</v>
      </c>
      <c r="C90" s="10">
        <f t="shared" ref="C90:K90" si="37">MAX(0,C63-B63)</f>
        <v>1481</v>
      </c>
      <c r="D90" s="10">
        <f t="shared" si="37"/>
        <v>0</v>
      </c>
      <c r="E90" s="10">
        <f t="shared" si="37"/>
        <v>0</v>
      </c>
      <c r="F90" s="10">
        <f t="shared" si="37"/>
        <v>336</v>
      </c>
      <c r="G90" s="10">
        <f t="shared" si="37"/>
        <v>166</v>
      </c>
      <c r="H90" s="10">
        <f t="shared" si="37"/>
        <v>0</v>
      </c>
      <c r="I90" s="10">
        <f t="shared" si="37"/>
        <v>81</v>
      </c>
      <c r="J90" s="10">
        <f t="shared" si="37"/>
        <v>0</v>
      </c>
      <c r="K90" s="21">
        <f t="shared" si="37"/>
        <v>0</v>
      </c>
      <c r="L90" s="21">
        <f t="shared" si="23"/>
        <v>0</v>
      </c>
      <c r="M90" s="21">
        <f t="shared" si="23"/>
        <v>0</v>
      </c>
      <c r="O90" s="10"/>
      <c r="P90" s="10"/>
    </row>
    <row r="91" spans="1:16" outlineLevel="1" x14ac:dyDescent="0.25">
      <c r="A91" t="s">
        <v>61</v>
      </c>
      <c r="B91" s="10">
        <f t="shared" si="21"/>
        <v>0</v>
      </c>
      <c r="C91" s="10">
        <f t="shared" ref="C91:K91" si="38">MAX(0,C64-B64)</f>
        <v>0</v>
      </c>
      <c r="D91" s="10">
        <f t="shared" si="38"/>
        <v>0</v>
      </c>
      <c r="E91" s="10">
        <f t="shared" si="38"/>
        <v>0</v>
      </c>
      <c r="F91" s="10">
        <f t="shared" si="38"/>
        <v>0</v>
      </c>
      <c r="G91" s="10">
        <f t="shared" si="38"/>
        <v>0</v>
      </c>
      <c r="H91" s="10">
        <f t="shared" si="38"/>
        <v>0</v>
      </c>
      <c r="I91" s="10">
        <f t="shared" si="38"/>
        <v>0</v>
      </c>
      <c r="J91" s="10">
        <f t="shared" si="38"/>
        <v>0</v>
      </c>
      <c r="K91" s="21">
        <f t="shared" si="38"/>
        <v>0</v>
      </c>
      <c r="L91" s="21">
        <f t="shared" si="23"/>
        <v>0</v>
      </c>
      <c r="M91" s="21">
        <f t="shared" si="23"/>
        <v>0</v>
      </c>
      <c r="O91" s="10"/>
      <c r="P91" s="10"/>
    </row>
    <row r="92" spans="1:16" outlineLevel="1" x14ac:dyDescent="0.25">
      <c r="A92" t="s">
        <v>62</v>
      </c>
      <c r="B92" s="10">
        <f t="shared" si="21"/>
        <v>0</v>
      </c>
      <c r="C92" s="10">
        <f t="shared" ref="C92:K92" si="39">MAX(0,C65-B65)</f>
        <v>0</v>
      </c>
      <c r="D92" s="10">
        <f t="shared" si="39"/>
        <v>0</v>
      </c>
      <c r="E92" s="10">
        <f t="shared" si="39"/>
        <v>0</v>
      </c>
      <c r="F92" s="10">
        <f t="shared" si="39"/>
        <v>0</v>
      </c>
      <c r="G92" s="10">
        <f t="shared" si="39"/>
        <v>0</v>
      </c>
      <c r="H92" s="10">
        <f t="shared" si="39"/>
        <v>0</v>
      </c>
      <c r="I92" s="10">
        <f t="shared" si="39"/>
        <v>0</v>
      </c>
      <c r="J92" s="10">
        <f t="shared" si="39"/>
        <v>0</v>
      </c>
      <c r="K92" s="21">
        <f t="shared" si="39"/>
        <v>0</v>
      </c>
      <c r="L92" s="21">
        <f t="shared" si="23"/>
        <v>0</v>
      </c>
      <c r="M92" s="21">
        <f t="shared" si="23"/>
        <v>0</v>
      </c>
      <c r="O92" s="10"/>
      <c r="P92" s="10"/>
    </row>
    <row r="93" spans="1:16" outlineLevel="1" x14ac:dyDescent="0.25">
      <c r="A93" t="s">
        <v>63</v>
      </c>
      <c r="B93" s="10">
        <f t="shared" si="21"/>
        <v>0</v>
      </c>
      <c r="C93" s="10">
        <f t="shared" ref="C93:K93" si="40">MAX(0,C66-B66)</f>
        <v>0</v>
      </c>
      <c r="D93" s="10">
        <f t="shared" si="40"/>
        <v>0</v>
      </c>
      <c r="E93" s="10">
        <f t="shared" si="40"/>
        <v>0</v>
      </c>
      <c r="F93" s="10">
        <f t="shared" si="40"/>
        <v>0</v>
      </c>
      <c r="G93" s="10">
        <f t="shared" si="40"/>
        <v>0</v>
      </c>
      <c r="H93" s="10">
        <f t="shared" si="40"/>
        <v>0</v>
      </c>
      <c r="I93" s="10">
        <f t="shared" si="40"/>
        <v>0</v>
      </c>
      <c r="J93" s="10">
        <f t="shared" si="40"/>
        <v>0</v>
      </c>
      <c r="K93" s="21">
        <f t="shared" si="40"/>
        <v>0</v>
      </c>
      <c r="L93" s="21">
        <f t="shared" si="23"/>
        <v>0</v>
      </c>
      <c r="M93" s="21">
        <f t="shared" si="23"/>
        <v>0</v>
      </c>
      <c r="O93" s="10"/>
      <c r="P93" s="10"/>
    </row>
    <row r="94" spans="1:16" outlineLevel="1" x14ac:dyDescent="0.25">
      <c r="A94" t="s">
        <v>64</v>
      </c>
      <c r="B94" s="10">
        <f t="shared" si="21"/>
        <v>0</v>
      </c>
      <c r="C94" s="10">
        <f t="shared" ref="C94:K94" si="41">MAX(0,C67-B67)</f>
        <v>0</v>
      </c>
      <c r="D94" s="10">
        <f t="shared" si="41"/>
        <v>0</v>
      </c>
      <c r="E94" s="10">
        <f t="shared" si="41"/>
        <v>0</v>
      </c>
      <c r="F94" s="10">
        <f t="shared" si="41"/>
        <v>0</v>
      </c>
      <c r="G94" s="10">
        <f t="shared" si="41"/>
        <v>0</v>
      </c>
      <c r="H94" s="10">
        <f t="shared" si="41"/>
        <v>0</v>
      </c>
      <c r="I94" s="10">
        <f t="shared" si="41"/>
        <v>0</v>
      </c>
      <c r="J94" s="10">
        <f t="shared" si="41"/>
        <v>0</v>
      </c>
      <c r="K94" s="21">
        <f t="shared" si="41"/>
        <v>0</v>
      </c>
      <c r="L94" s="21">
        <f t="shared" si="23"/>
        <v>0</v>
      </c>
      <c r="M94" s="21">
        <f t="shared" si="23"/>
        <v>0</v>
      </c>
      <c r="O94" s="10"/>
      <c r="P94" s="10"/>
    </row>
    <row r="95" spans="1:16" outlineLevel="1" x14ac:dyDescent="0.25">
      <c r="A95" t="s">
        <v>65</v>
      </c>
      <c r="B95" s="10">
        <f t="shared" si="21"/>
        <v>0</v>
      </c>
      <c r="C95" s="10">
        <f t="shared" ref="C95:K95" si="42">MAX(0,C68-B68)</f>
        <v>0</v>
      </c>
      <c r="D95" s="10">
        <f t="shared" si="42"/>
        <v>0</v>
      </c>
      <c r="E95" s="10">
        <f t="shared" si="42"/>
        <v>0</v>
      </c>
      <c r="F95" s="10">
        <f t="shared" si="42"/>
        <v>0</v>
      </c>
      <c r="G95" s="10">
        <f t="shared" si="42"/>
        <v>0</v>
      </c>
      <c r="H95" s="10">
        <f t="shared" si="42"/>
        <v>0</v>
      </c>
      <c r="I95" s="10">
        <f t="shared" si="42"/>
        <v>0</v>
      </c>
      <c r="J95" s="10">
        <f t="shared" si="42"/>
        <v>0</v>
      </c>
      <c r="K95" s="21">
        <f t="shared" si="42"/>
        <v>0</v>
      </c>
      <c r="L95" s="21">
        <f t="shared" si="23"/>
        <v>0</v>
      </c>
      <c r="M95" s="21">
        <f t="shared" si="23"/>
        <v>0</v>
      </c>
      <c r="O95" s="10"/>
      <c r="P95" s="10"/>
    </row>
    <row r="96" spans="1:16" outlineLevel="1" x14ac:dyDescent="0.25">
      <c r="A96" t="s">
        <v>66</v>
      </c>
      <c r="B96" s="10">
        <f t="shared" si="21"/>
        <v>0</v>
      </c>
      <c r="C96" s="10">
        <f t="shared" ref="C96:K96" si="43">MAX(0,C69-B69)</f>
        <v>0</v>
      </c>
      <c r="D96" s="10">
        <f t="shared" si="43"/>
        <v>0</v>
      </c>
      <c r="E96" s="10">
        <f t="shared" si="43"/>
        <v>0</v>
      </c>
      <c r="F96" s="10">
        <f t="shared" si="43"/>
        <v>0</v>
      </c>
      <c r="G96" s="10">
        <f t="shared" si="43"/>
        <v>0</v>
      </c>
      <c r="H96" s="10">
        <f t="shared" si="43"/>
        <v>0</v>
      </c>
      <c r="I96" s="10">
        <f t="shared" si="43"/>
        <v>0</v>
      </c>
      <c r="J96" s="10">
        <f t="shared" si="43"/>
        <v>0</v>
      </c>
      <c r="K96" s="21">
        <f t="shared" si="43"/>
        <v>0</v>
      </c>
      <c r="L96" s="21">
        <f t="shared" si="23"/>
        <v>0</v>
      </c>
      <c r="M96" s="21">
        <f t="shared" si="23"/>
        <v>0</v>
      </c>
      <c r="O96" s="10"/>
      <c r="P96" s="10"/>
    </row>
    <row r="97" spans="1:16" outlineLevel="1" x14ac:dyDescent="0.25">
      <c r="A97" t="s">
        <v>67</v>
      </c>
      <c r="B97" s="10">
        <f t="shared" si="21"/>
        <v>0</v>
      </c>
      <c r="C97" s="10">
        <f t="shared" ref="C97:K97" si="44">MAX(0,C70-B70)</f>
        <v>0</v>
      </c>
      <c r="D97" s="10">
        <f t="shared" si="44"/>
        <v>0</v>
      </c>
      <c r="E97" s="10">
        <f t="shared" si="44"/>
        <v>0</v>
      </c>
      <c r="F97" s="10">
        <f t="shared" si="44"/>
        <v>0</v>
      </c>
      <c r="G97" s="10">
        <f t="shared" si="44"/>
        <v>0</v>
      </c>
      <c r="H97" s="10">
        <f t="shared" si="44"/>
        <v>0</v>
      </c>
      <c r="I97" s="10">
        <f t="shared" si="44"/>
        <v>0</v>
      </c>
      <c r="J97" s="10">
        <f t="shared" si="44"/>
        <v>0</v>
      </c>
      <c r="K97" s="21">
        <f t="shared" si="44"/>
        <v>0</v>
      </c>
      <c r="L97" s="21">
        <f t="shared" si="23"/>
        <v>0</v>
      </c>
      <c r="M97" s="21">
        <f t="shared" si="23"/>
        <v>0</v>
      </c>
      <c r="O97" s="10"/>
      <c r="P97" s="10"/>
    </row>
    <row r="98" spans="1:16" outlineLevel="1" x14ac:dyDescent="0.25">
      <c r="A98" t="s">
        <v>68</v>
      </c>
      <c r="B98" s="10">
        <f t="shared" si="21"/>
        <v>0</v>
      </c>
      <c r="C98" s="10">
        <f t="shared" ref="C98:K98" si="45">MAX(0,C71-B71)</f>
        <v>0</v>
      </c>
      <c r="D98" s="10">
        <f t="shared" si="45"/>
        <v>0</v>
      </c>
      <c r="E98" s="10">
        <f t="shared" si="45"/>
        <v>0</v>
      </c>
      <c r="F98" s="10">
        <f t="shared" si="45"/>
        <v>0</v>
      </c>
      <c r="G98" s="10">
        <f t="shared" si="45"/>
        <v>0</v>
      </c>
      <c r="H98" s="10">
        <f t="shared" si="45"/>
        <v>0</v>
      </c>
      <c r="I98" s="10">
        <f t="shared" si="45"/>
        <v>0</v>
      </c>
      <c r="J98" s="10">
        <f t="shared" si="45"/>
        <v>0</v>
      </c>
      <c r="K98" s="21">
        <f t="shared" si="45"/>
        <v>0</v>
      </c>
      <c r="L98" s="21">
        <f t="shared" si="23"/>
        <v>0</v>
      </c>
      <c r="M98" s="21">
        <f t="shared" si="23"/>
        <v>0</v>
      </c>
      <c r="O98" s="10"/>
      <c r="P98" s="10"/>
    </row>
    <row r="99" spans="1:16" outlineLevel="1" x14ac:dyDescent="0.25">
      <c r="K99" s="18"/>
      <c r="L99" s="18"/>
      <c r="M99" s="18"/>
    </row>
    <row r="100" spans="1:16" outlineLevel="1" x14ac:dyDescent="0.25">
      <c r="K100" s="18"/>
      <c r="L100" s="18"/>
      <c r="M100" s="18"/>
    </row>
    <row r="101" spans="1:16" x14ac:dyDescent="0.25">
      <c r="A101" t="s">
        <v>133</v>
      </c>
      <c r="K101" s="18"/>
      <c r="L101" s="18"/>
      <c r="M101" s="18"/>
    </row>
    <row r="102" spans="1:16" outlineLevel="1" x14ac:dyDescent="0.25">
      <c r="B102" s="13">
        <v>2012</v>
      </c>
      <c r="C102" s="13">
        <v>2013</v>
      </c>
      <c r="D102" s="13">
        <v>2014</v>
      </c>
      <c r="E102" s="13">
        <v>2015</v>
      </c>
      <c r="F102" s="13">
        <v>2016</v>
      </c>
      <c r="G102" s="13">
        <v>2017</v>
      </c>
      <c r="H102" s="13">
        <v>2018</v>
      </c>
      <c r="I102" s="13">
        <v>2019</v>
      </c>
      <c r="J102" s="13">
        <v>2020</v>
      </c>
      <c r="K102" s="20">
        <v>2021</v>
      </c>
      <c r="L102" s="20">
        <v>2022</v>
      </c>
      <c r="M102" s="20">
        <v>2023</v>
      </c>
    </row>
    <row r="103" spans="1:16" outlineLevel="1" x14ac:dyDescent="0.25">
      <c r="A103" t="s">
        <v>34</v>
      </c>
      <c r="B103" s="12">
        <f>B40</f>
        <v>10.03715939222714</v>
      </c>
      <c r="C103" s="12">
        <f t="shared" ref="C103:M103" si="46">C40</f>
        <v>9.6088865356686224</v>
      </c>
      <c r="D103" s="12">
        <f t="shared" si="46"/>
        <v>10.364912736152913</v>
      </c>
      <c r="E103" s="12">
        <f t="shared" si="46"/>
        <v>10.456337764814881</v>
      </c>
      <c r="F103" s="12">
        <f t="shared" si="46"/>
        <v>10.797107110835455</v>
      </c>
      <c r="G103" s="12">
        <f t="shared" si="46"/>
        <v>11.045111250041865</v>
      </c>
      <c r="H103" s="12">
        <f t="shared" si="46"/>
        <v>11.545445100477846</v>
      </c>
      <c r="I103" s="12">
        <f t="shared" si="46"/>
        <v>14.194256261556001</v>
      </c>
      <c r="J103" s="12">
        <f t="shared" si="46"/>
        <v>13.127245970991426</v>
      </c>
      <c r="K103" s="22">
        <f t="shared" si="46"/>
        <v>11.378753601385856</v>
      </c>
      <c r="L103" s="22">
        <f t="shared" si="46"/>
        <v>10.221510692210343</v>
      </c>
      <c r="M103" s="22">
        <f t="shared" si="46"/>
        <v>11.878174542582821</v>
      </c>
    </row>
    <row r="104" spans="1:16" outlineLevel="1" x14ac:dyDescent="0.25">
      <c r="A104" t="s">
        <v>36</v>
      </c>
      <c r="B104" s="12">
        <f>B42</f>
        <v>12.084833733578895</v>
      </c>
      <c r="C104" s="12">
        <f t="shared" ref="C104:M104" si="47">C42</f>
        <v>12.100036880726615</v>
      </c>
      <c r="D104" s="12">
        <f t="shared" si="47"/>
        <v>11.341658814858642</v>
      </c>
      <c r="E104" s="12">
        <f t="shared" si="47"/>
        <v>10.412615713820534</v>
      </c>
      <c r="F104" s="12">
        <f t="shared" si="47"/>
        <v>13.082939273015105</v>
      </c>
      <c r="G104" s="12">
        <f t="shared" si="47"/>
        <v>13.441591868522714</v>
      </c>
      <c r="H104" s="12">
        <f t="shared" si="47"/>
        <v>13.735358922000387</v>
      </c>
      <c r="I104" s="12">
        <f t="shared" si="47"/>
        <v>12.743595081729346</v>
      </c>
      <c r="J104" s="12">
        <f t="shared" si="47"/>
        <v>12.102043033820248</v>
      </c>
      <c r="K104" s="22">
        <f t="shared" si="47"/>
        <v>13.992396767800086</v>
      </c>
      <c r="L104" s="22">
        <f t="shared" si="47"/>
        <v>16.577228893444843</v>
      </c>
      <c r="M104" s="22">
        <f t="shared" si="47"/>
        <v>13.991493855527549</v>
      </c>
    </row>
    <row r="105" spans="1:16" outlineLevel="1" x14ac:dyDescent="0.25">
      <c r="A105" t="s">
        <v>38</v>
      </c>
      <c r="B105" s="12">
        <f>B38</f>
        <v>7.8034299276766026</v>
      </c>
      <c r="C105" s="12">
        <f t="shared" ref="C105:M105" si="48">C38</f>
        <v>7.9626189067237281</v>
      </c>
      <c r="D105" s="12">
        <f t="shared" si="48"/>
        <v>7.78328950676008</v>
      </c>
      <c r="E105" s="12">
        <f t="shared" si="48"/>
        <v>8.4191866000141573</v>
      </c>
      <c r="F105" s="12">
        <f t="shared" si="48"/>
        <v>9.2823516089410543</v>
      </c>
      <c r="G105" s="12">
        <f t="shared" si="48"/>
        <v>8.9738325891278272</v>
      </c>
      <c r="H105" s="12">
        <f t="shared" si="48"/>
        <v>9.3582619367797903</v>
      </c>
      <c r="I105" s="12">
        <f t="shared" si="48"/>
        <v>8.4375848662379855</v>
      </c>
      <c r="J105" s="12">
        <f t="shared" si="48"/>
        <v>8.2516386920843399</v>
      </c>
      <c r="K105" s="22">
        <f t="shared" si="48"/>
        <v>8.3050079093054379</v>
      </c>
      <c r="L105" s="22">
        <f t="shared" si="48"/>
        <v>9.7113316420308582</v>
      </c>
      <c r="M105" s="22">
        <f t="shared" si="48"/>
        <v>9.9125305465206051</v>
      </c>
    </row>
    <row r="106" spans="1:16" outlineLevel="1" x14ac:dyDescent="0.25">
      <c r="A106" t="s">
        <v>40</v>
      </c>
      <c r="B106" s="12">
        <f>B43</f>
        <v>11.14627855028562</v>
      </c>
      <c r="C106" s="12">
        <f t="shared" ref="C106:M106" si="49">C43</f>
        <v>10.764664330810602</v>
      </c>
      <c r="D106" s="12">
        <f t="shared" si="49"/>
        <v>10.257285553143495</v>
      </c>
      <c r="E106" s="12">
        <f t="shared" si="49"/>
        <v>10.260967394223027</v>
      </c>
      <c r="F106" s="12">
        <f t="shared" si="49"/>
        <v>10.307094224371239</v>
      </c>
      <c r="G106" s="12">
        <f t="shared" si="49"/>
        <v>10.710296414689964</v>
      </c>
      <c r="H106" s="12">
        <f t="shared" si="49"/>
        <v>11.819274205646281</v>
      </c>
      <c r="I106" s="12">
        <f t="shared" si="49"/>
        <v>11.473281694067452</v>
      </c>
      <c r="J106" s="12">
        <f t="shared" si="49"/>
        <v>11.584116389293074</v>
      </c>
      <c r="K106" s="22">
        <f t="shared" si="49"/>
        <v>10.770626754136897</v>
      </c>
      <c r="L106" s="22">
        <f t="shared" si="49"/>
        <v>14.496036197106241</v>
      </c>
      <c r="M106" s="22">
        <f t="shared" si="49"/>
        <v>14.588914368054644</v>
      </c>
    </row>
    <row r="107" spans="1:16" outlineLevel="1" x14ac:dyDescent="0.25">
      <c r="A107" t="s">
        <v>42</v>
      </c>
      <c r="K107" s="18"/>
      <c r="L107" s="18"/>
      <c r="M107" s="18"/>
    </row>
    <row r="108" spans="1:16" outlineLevel="1" x14ac:dyDescent="0.25">
      <c r="A108" t="s">
        <v>44</v>
      </c>
      <c r="K108" s="18"/>
      <c r="L108" s="18"/>
      <c r="M108" s="18"/>
    </row>
    <row r="109" spans="1:16" outlineLevel="1" x14ac:dyDescent="0.25">
      <c r="A109" t="s">
        <v>46</v>
      </c>
      <c r="K109" s="18"/>
      <c r="L109" s="18"/>
      <c r="M109" s="18"/>
    </row>
    <row r="110" spans="1:16" outlineLevel="1" x14ac:dyDescent="0.25">
      <c r="A110" t="s">
        <v>48</v>
      </c>
      <c r="K110" s="18"/>
      <c r="L110" s="18"/>
      <c r="M110" s="18"/>
    </row>
    <row r="111" spans="1:16" outlineLevel="1" x14ac:dyDescent="0.25">
      <c r="A111" t="s">
        <v>49</v>
      </c>
      <c r="B111" s="12">
        <f>B44</f>
        <v>43.019153553282997</v>
      </c>
      <c r="C111" s="12">
        <f t="shared" ref="C111:M111" si="50">C44</f>
        <v>53.88948285602298</v>
      </c>
      <c r="D111" s="12">
        <f t="shared" si="50"/>
        <v>48.470149784498091</v>
      </c>
      <c r="E111" s="12">
        <f t="shared" si="50"/>
        <v>49.271834171216199</v>
      </c>
      <c r="F111" s="12">
        <f t="shared" si="50"/>
        <v>47.412289621011432</v>
      </c>
      <c r="G111" s="12">
        <f t="shared" si="50"/>
        <v>34.729664630070175</v>
      </c>
      <c r="H111" s="12">
        <f t="shared" si="50"/>
        <v>32.481765769316617</v>
      </c>
      <c r="I111" s="12">
        <f t="shared" si="50"/>
        <v>40.59441787808889</v>
      </c>
      <c r="J111" s="12">
        <f t="shared" si="50"/>
        <v>39.629838714408393</v>
      </c>
      <c r="K111" s="22">
        <f t="shared" si="50"/>
        <v>36.26641322823297</v>
      </c>
      <c r="L111" s="22">
        <f t="shared" si="50"/>
        <v>29.575599669402191</v>
      </c>
      <c r="M111" s="22">
        <f t="shared" si="50"/>
        <v>28.466102501296842</v>
      </c>
    </row>
    <row r="112" spans="1:16" outlineLevel="1" x14ac:dyDescent="0.25">
      <c r="A112" t="s">
        <v>51</v>
      </c>
      <c r="K112" s="18"/>
      <c r="L112" s="18"/>
      <c r="M112" s="18"/>
    </row>
    <row r="113" spans="1:13" outlineLevel="1" x14ac:dyDescent="0.25">
      <c r="A113" t="s">
        <v>53</v>
      </c>
      <c r="K113" s="18"/>
      <c r="L113" s="18"/>
      <c r="M113" s="18"/>
    </row>
    <row r="114" spans="1:13" outlineLevel="1" x14ac:dyDescent="0.25">
      <c r="A114" t="s">
        <v>54</v>
      </c>
      <c r="B114" s="12">
        <f>B41</f>
        <v>10.395392136855087</v>
      </c>
      <c r="C114" s="12">
        <f t="shared" ref="C114:M114" si="51">C41</f>
        <v>10.38835578736091</v>
      </c>
      <c r="D114" s="12">
        <f t="shared" si="51"/>
        <v>9.7251412361881631</v>
      </c>
      <c r="E114" s="12">
        <f t="shared" si="51"/>
        <v>9.0075760193679404</v>
      </c>
      <c r="F114" s="12">
        <f t="shared" si="51"/>
        <v>11.306273594210207</v>
      </c>
      <c r="G114" s="12">
        <f t="shared" si="51"/>
        <v>11.593899762198413</v>
      </c>
      <c r="H114" s="12">
        <f t="shared" si="51"/>
        <v>11.847317118723582</v>
      </c>
      <c r="I114" s="12">
        <f t="shared" si="51"/>
        <v>10.954861007066905</v>
      </c>
      <c r="J114" s="12">
        <f t="shared" si="51"/>
        <v>11.242472838617205</v>
      </c>
      <c r="K114" s="22">
        <f t="shared" si="51"/>
        <v>10.478534217154284</v>
      </c>
      <c r="L114" s="22">
        <f t="shared" si="51"/>
        <v>10.642659176750643</v>
      </c>
      <c r="M114" s="22">
        <f t="shared" si="51"/>
        <v>11.376784755579305</v>
      </c>
    </row>
    <row r="115" spans="1:13" outlineLevel="1" x14ac:dyDescent="0.25">
      <c r="A115" t="s">
        <v>56</v>
      </c>
      <c r="K115" s="18"/>
      <c r="L115" s="18"/>
      <c r="M115" s="18"/>
    </row>
    <row r="116" spans="1:13" outlineLevel="1" x14ac:dyDescent="0.25">
      <c r="A116" t="s">
        <v>57</v>
      </c>
      <c r="K116" s="18"/>
      <c r="L116" s="18"/>
      <c r="M116" s="18"/>
    </row>
    <row r="117" spans="1:13" outlineLevel="1" x14ac:dyDescent="0.25">
      <c r="A117" t="s">
        <v>58</v>
      </c>
      <c r="K117" s="18"/>
      <c r="L117" s="18"/>
      <c r="M117" s="18"/>
    </row>
    <row r="118" spans="1:13" outlineLevel="1" x14ac:dyDescent="0.25">
      <c r="A118" t="s">
        <v>59</v>
      </c>
      <c r="B118" s="12">
        <f>B39</f>
        <v>10.776320341849694</v>
      </c>
      <c r="C118" s="12">
        <f t="shared" ref="C118:M118" si="52">C39</f>
        <v>10.559142901539238</v>
      </c>
      <c r="D118" s="12">
        <f t="shared" si="52"/>
        <v>10.314297921743577</v>
      </c>
      <c r="E118" s="12">
        <f t="shared" si="52"/>
        <v>10.026507725475176</v>
      </c>
      <c r="F118" s="12">
        <f t="shared" si="52"/>
        <v>11.312499303959687</v>
      </c>
      <c r="G118" s="12">
        <f t="shared" si="52"/>
        <v>11.53681235469478</v>
      </c>
      <c r="H118" s="12">
        <f t="shared" si="52"/>
        <v>11.800824693095706</v>
      </c>
      <c r="I118" s="12">
        <f t="shared" si="52"/>
        <v>11.38030521245034</v>
      </c>
      <c r="J118" s="12">
        <f t="shared" si="52"/>
        <v>13.966046248894473</v>
      </c>
      <c r="K118" s="22">
        <f t="shared" si="52"/>
        <v>14.111470229973213</v>
      </c>
      <c r="L118" s="22">
        <f t="shared" si="52"/>
        <v>15.255503318513354</v>
      </c>
      <c r="M118" s="22">
        <f t="shared" si="52"/>
        <v>13.920362117487427</v>
      </c>
    </row>
    <row r="119" spans="1:13" outlineLevel="1" x14ac:dyDescent="0.25">
      <c r="A119" t="s">
        <v>61</v>
      </c>
    </row>
    <row r="120" spans="1:13" outlineLevel="1" x14ac:dyDescent="0.25">
      <c r="A120" t="s">
        <v>62</v>
      </c>
    </row>
    <row r="121" spans="1:13" outlineLevel="1" x14ac:dyDescent="0.25">
      <c r="A121" t="s">
        <v>63</v>
      </c>
    </row>
    <row r="122" spans="1:13" outlineLevel="1" x14ac:dyDescent="0.25">
      <c r="A122" t="s">
        <v>64</v>
      </c>
    </row>
    <row r="123" spans="1:13" outlineLevel="1" x14ac:dyDescent="0.25">
      <c r="A123" t="s">
        <v>65</v>
      </c>
    </row>
    <row r="124" spans="1:13" outlineLevel="1" x14ac:dyDescent="0.25">
      <c r="A124" t="s">
        <v>66</v>
      </c>
    </row>
    <row r="125" spans="1:13" outlineLevel="1" x14ac:dyDescent="0.25">
      <c r="A125" t="s">
        <v>67</v>
      </c>
    </row>
    <row r="126" spans="1:13" outlineLevel="1" x14ac:dyDescent="0.25">
      <c r="A126" t="s">
        <v>68</v>
      </c>
    </row>
    <row r="127" spans="1:13" x14ac:dyDescent="0.25">
      <c r="A127" t="s">
        <v>134</v>
      </c>
    </row>
    <row r="128" spans="1:13" outlineLevel="1" x14ac:dyDescent="0.25">
      <c r="B128" s="13">
        <v>2012</v>
      </c>
      <c r="C128" s="13">
        <v>2013</v>
      </c>
      <c r="D128" s="13">
        <v>2014</v>
      </c>
      <c r="E128" s="13">
        <v>2015</v>
      </c>
      <c r="F128" s="13">
        <v>2016</v>
      </c>
      <c r="G128" s="13">
        <v>2017</v>
      </c>
      <c r="H128" s="13">
        <v>2018</v>
      </c>
      <c r="I128" s="13">
        <v>2019</v>
      </c>
      <c r="J128" s="13">
        <v>2020</v>
      </c>
      <c r="K128" s="13">
        <v>2021</v>
      </c>
      <c r="L128" s="13">
        <v>2022</v>
      </c>
      <c r="M128" s="13">
        <v>2023</v>
      </c>
    </row>
    <row r="129" spans="1:13" outlineLevel="1" x14ac:dyDescent="0.25">
      <c r="A129" t="s">
        <v>34</v>
      </c>
      <c r="B129" s="10">
        <f>IF(B103="","",B103*About!$B$35)</f>
        <v>9513893.5475894753</v>
      </c>
      <c r="C129" s="10">
        <f>IF(C103="","",C103*About!$B$35)</f>
        <v>9107947.7807248812</v>
      </c>
      <c r="D129" s="10">
        <f>IF(D103="","",D103*About!$B$35)</f>
        <v>9824560.171693407</v>
      </c>
      <c r="E129" s="10">
        <f>IF(E103="","",E103*About!$B$35)</f>
        <v>9911218.9519603495</v>
      </c>
      <c r="F129" s="10">
        <f>IF(F103="","",F103*About!$B$35)</f>
        <v>10234223.016719157</v>
      </c>
      <c r="G129" s="10">
        <f>IF(G103="","",G103*About!$B$35)</f>
        <v>10469297.990381382</v>
      </c>
      <c r="H129" s="10">
        <f>IF(H103="","",H103*About!$B$35)</f>
        <v>10943548.005279996</v>
      </c>
      <c r="I129" s="10">
        <f>IF(I103="","",I103*About!$B$35)</f>
        <v>13454269.05985246</v>
      </c>
      <c r="J129" s="10">
        <f>IF(J103="","",J103*About!$B$35)</f>
        <v>12442885.069430307</v>
      </c>
      <c r="K129" s="10">
        <f>IF(K103="","",K103*About!$B$35)</f>
        <v>10785546.611092968</v>
      </c>
      <c r="L129" s="10">
        <f>IF(L103="","",L103*About!$B$35)</f>
        <v>9688634.0867063645</v>
      </c>
      <c r="M129" s="10">
        <f>IF(M103="","",M103*About!$B$35)</f>
        <v>11258931.309323866</v>
      </c>
    </row>
    <row r="130" spans="1:13" outlineLevel="1" x14ac:dyDescent="0.25">
      <c r="A130" t="s">
        <v>36</v>
      </c>
      <c r="B130" s="10">
        <f>IF(B104="","",B104*About!$B$35)</f>
        <v>11454816.765251786</v>
      </c>
      <c r="C130" s="10">
        <f>IF(C104="","",C104*About!$B$35)</f>
        <v>11469227.328828543</v>
      </c>
      <c r="D130" s="10">
        <f>IF(D104="","",D104*About!$B$35)</f>
        <v>10750385.681949632</v>
      </c>
      <c r="E130" s="10">
        <f>IF(E104="","",E104*About!$B$35)</f>
        <v>9869776.2566132341</v>
      </c>
      <c r="F130" s="10">
        <f>IF(F104="","",F104*About!$B$35)</f>
        <v>12400888.206421601</v>
      </c>
      <c r="G130" s="10">
        <f>IF(G104="","",G104*About!$B$35)</f>
        <v>12740843.215691302</v>
      </c>
      <c r="H130" s="10">
        <f>IF(H104="","",H104*About!$B$35)</f>
        <v>13019295.35193415</v>
      </c>
      <c r="I130" s="10">
        <f>IF(I104="","",I104*About!$B$35)</f>
        <v>12079234.999002606</v>
      </c>
      <c r="J130" s="10">
        <f>IF(J104="","",J104*About!$B$35)</f>
        <v>11471128.895419961</v>
      </c>
      <c r="K130" s="10">
        <f>IF(K104="","",K104*About!$B$35)</f>
        <v>13262933.079211233</v>
      </c>
      <c r="L130" s="10">
        <f>IF(L104="","",L104*About!$B$35)</f>
        <v>15713010.508570157</v>
      </c>
      <c r="M130" s="10">
        <f>IF(M104="","",M104*About!$B$35)</f>
        <v>13262077.238339525</v>
      </c>
    </row>
    <row r="131" spans="1:13" outlineLevel="1" x14ac:dyDescent="0.25">
      <c r="A131" t="s">
        <v>38</v>
      </c>
      <c r="B131" s="10">
        <f>IF(B105="","",B105*About!$B$35)</f>
        <v>7396614.7927751234</v>
      </c>
      <c r="C131" s="10">
        <f>IF(C105="","",C105*About!$B$35)</f>
        <v>7547504.7947588172</v>
      </c>
      <c r="D131" s="10">
        <f>IF(D105="","",D105*About!$B$35)</f>
        <v>7377524.3496411992</v>
      </c>
      <c r="E131" s="10">
        <f>IF(E105="","",E105*About!$B$35)</f>
        <v>7980270.3075390011</v>
      </c>
      <c r="F131" s="10">
        <f>IF(F105="","",F105*About!$B$35)</f>
        <v>8798436.0542436019</v>
      </c>
      <c r="G131" s="10">
        <f>IF(G105="","",G105*About!$B$35)</f>
        <v>8506001.0138891824</v>
      </c>
      <c r="H131" s="10">
        <f>IF(H105="","",H105*About!$B$35)</f>
        <v>8870388.9594430197</v>
      </c>
      <c r="I131" s="10">
        <f>IF(I105="","",I105*About!$B$35)</f>
        <v>7997709.4194902638</v>
      </c>
      <c r="J131" s="10">
        <f>IF(J105="","",J105*About!$B$35)</f>
        <v>7821457.1515578339</v>
      </c>
      <c r="K131" s="10">
        <f>IF(K105="","",K105*About!$B$35)</f>
        <v>7872044.0787469065</v>
      </c>
      <c r="L131" s="10">
        <f>IF(L105="","",L105*About!$B$35)</f>
        <v>9205052.1305030249</v>
      </c>
      <c r="M131" s="10">
        <f>IF(M105="","",M105*About!$B$35)</f>
        <v>9395761.9602870792</v>
      </c>
    </row>
    <row r="132" spans="1:13" outlineLevel="1" x14ac:dyDescent="0.25">
      <c r="A132" t="s">
        <v>40</v>
      </c>
      <c r="B132" s="10">
        <f>IF(B106="","",B106*About!$B$35)</f>
        <v>10565191.149730977</v>
      </c>
      <c r="C132" s="10">
        <f>IF(C106="","",C106*About!$B$35)</f>
        <v>10203471.571665555</v>
      </c>
      <c r="D132" s="10">
        <f>IF(D106="","",D106*About!$B$35)</f>
        <v>9722543.9017543755</v>
      </c>
      <c r="E132" s="10">
        <f>IF(E106="","",E106*About!$B$35)</f>
        <v>9726033.7979213055</v>
      </c>
      <c r="F132" s="10">
        <f>IF(F106="","",F106*About!$B$35)</f>
        <v>9769755.9044027142</v>
      </c>
      <c r="G132" s="10">
        <f>IF(G106="","",G106*About!$B$35)</f>
        <v>10151938.01060877</v>
      </c>
      <c r="H132" s="10">
        <f>IF(H106="","",H106*About!$B$35)</f>
        <v>11203101.615519725</v>
      </c>
      <c r="I132" s="10">
        <f>IF(I106="","",I106*About!$B$35)</f>
        <v>10875146.683771482</v>
      </c>
      <c r="J132" s="10">
        <f>IF(J106="","",J106*About!$B$35)</f>
        <v>10980203.249135252</v>
      </c>
      <c r="K132" s="10">
        <f>IF(K106="","",K106*About!$B$35)</f>
        <v>10209123.156799888</v>
      </c>
      <c r="L132" s="10">
        <f>IF(L106="","",L106*About!$B$35)</f>
        <v>13740316.343693225</v>
      </c>
      <c r="M132" s="10">
        <f>IF(M106="","",M106*About!$B$35)</f>
        <v>13828352.509780437</v>
      </c>
    </row>
    <row r="133" spans="1:13" outlineLevel="1" x14ac:dyDescent="0.25">
      <c r="A133" t="s">
        <v>42</v>
      </c>
      <c r="B133" s="10" t="str">
        <f>IF(B107="","",B107*About!$B$35)</f>
        <v/>
      </c>
      <c r="C133" s="10" t="str">
        <f>IF(C107="","",C107*About!$B$35)</f>
        <v/>
      </c>
      <c r="D133" s="10" t="str">
        <f>IF(D107="","",D107*About!$B$35)</f>
        <v/>
      </c>
      <c r="E133" s="10" t="str">
        <f>IF(E107="","",E107*About!$B$35)</f>
        <v/>
      </c>
      <c r="F133" s="10" t="str">
        <f>IF(F107="","",F107*About!$B$35)</f>
        <v/>
      </c>
      <c r="G133" s="10" t="str">
        <f>IF(G107="","",G107*About!$B$35)</f>
        <v/>
      </c>
      <c r="H133" s="10" t="str">
        <f>IF(H107="","",H107*About!$B$35)</f>
        <v/>
      </c>
      <c r="I133" s="10" t="str">
        <f>IF(I107="","",I107*About!$B$35)</f>
        <v/>
      </c>
      <c r="J133" s="10" t="str">
        <f>IF(J107="","",J107*About!$B$35)</f>
        <v/>
      </c>
      <c r="K133" s="10" t="str">
        <f>IF(K107="","",K107*About!$B$35)</f>
        <v/>
      </c>
      <c r="L133" s="10" t="str">
        <f>IF(L107="","",L107*About!$B$35)</f>
        <v/>
      </c>
      <c r="M133" s="10" t="str">
        <f>IF(M107="","",M107*About!$B$35)</f>
        <v/>
      </c>
    </row>
    <row r="134" spans="1:13" outlineLevel="1" x14ac:dyDescent="0.25">
      <c r="A134" t="s">
        <v>44</v>
      </c>
      <c r="B134" s="10" t="str">
        <f>IF(B108="","",B108*About!$B$35)</f>
        <v/>
      </c>
      <c r="C134" s="10" t="str">
        <f>IF(C108="","",C108*About!$B$35)</f>
        <v/>
      </c>
      <c r="D134" s="10" t="str">
        <f>IF(D108="","",D108*About!$B$35)</f>
        <v/>
      </c>
      <c r="E134" s="10" t="str">
        <f>IF(E108="","",E108*About!$B$35)</f>
        <v/>
      </c>
      <c r="F134" s="10" t="str">
        <f>IF(F108="","",F108*About!$B$35)</f>
        <v/>
      </c>
      <c r="G134" s="10" t="str">
        <f>IF(G108="","",G108*About!$B$35)</f>
        <v/>
      </c>
      <c r="H134" s="10" t="str">
        <f>IF(H108="","",H108*About!$B$35)</f>
        <v/>
      </c>
      <c r="I134" s="10" t="str">
        <f>IF(I108="","",I108*About!$B$35)</f>
        <v/>
      </c>
      <c r="J134" s="10" t="str">
        <f>IF(J108="","",J108*About!$B$35)</f>
        <v/>
      </c>
      <c r="K134" s="10" t="str">
        <f>IF(K108="","",K108*About!$B$35)</f>
        <v/>
      </c>
      <c r="L134" s="10" t="str">
        <f>IF(L108="","",L108*About!$B$35)</f>
        <v/>
      </c>
      <c r="M134" s="10" t="str">
        <f>IF(M108="","",M108*About!$B$35)</f>
        <v/>
      </c>
    </row>
    <row r="135" spans="1:13" outlineLevel="1" x14ac:dyDescent="0.25">
      <c r="A135" t="s">
        <v>46</v>
      </c>
      <c r="B135" s="10" t="str">
        <f>IF(B109="","",B109*About!$B$35)</f>
        <v/>
      </c>
      <c r="C135" s="10" t="str">
        <f>IF(C109="","",C109*About!$B$35)</f>
        <v/>
      </c>
      <c r="D135" s="10" t="str">
        <f>IF(D109="","",D109*About!$B$35)</f>
        <v/>
      </c>
      <c r="E135" s="10" t="str">
        <f>IF(E109="","",E109*About!$B$35)</f>
        <v/>
      </c>
      <c r="F135" s="10" t="str">
        <f>IF(F109="","",F109*About!$B$35)</f>
        <v/>
      </c>
      <c r="G135" s="10" t="str">
        <f>IF(G109="","",G109*About!$B$35)</f>
        <v/>
      </c>
      <c r="H135" s="10" t="str">
        <f>IF(H109="","",H109*About!$B$35)</f>
        <v/>
      </c>
      <c r="I135" s="10" t="str">
        <f>IF(I109="","",I109*About!$B$35)</f>
        <v/>
      </c>
      <c r="J135" s="10" t="str">
        <f>IF(J109="","",J109*About!$B$35)</f>
        <v/>
      </c>
      <c r="K135" s="10" t="str">
        <f>IF(K109="","",K109*About!$B$35)</f>
        <v/>
      </c>
      <c r="L135" s="10" t="str">
        <f>IF(L109="","",L109*About!$B$35)</f>
        <v/>
      </c>
      <c r="M135" s="10" t="str">
        <f>IF(M109="","",M109*About!$B$35)</f>
        <v/>
      </c>
    </row>
    <row r="136" spans="1:13" outlineLevel="1" x14ac:dyDescent="0.25">
      <c r="A136" t="s">
        <v>48</v>
      </c>
      <c r="B136" s="10" t="str">
        <f>IF(B110="","",B110*About!$B$35)</f>
        <v/>
      </c>
      <c r="C136" s="10" t="str">
        <f>IF(C110="","",C110*About!$B$35)</f>
        <v/>
      </c>
      <c r="D136" s="10" t="str">
        <f>IF(D110="","",D110*About!$B$35)</f>
        <v/>
      </c>
      <c r="E136" s="10" t="str">
        <f>IF(E110="","",E110*About!$B$35)</f>
        <v/>
      </c>
      <c r="F136" s="10" t="str">
        <f>IF(F110="","",F110*About!$B$35)</f>
        <v/>
      </c>
      <c r="G136" s="10" t="str">
        <f>IF(G110="","",G110*About!$B$35)</f>
        <v/>
      </c>
      <c r="H136" s="10" t="str">
        <f>IF(H110="","",H110*About!$B$35)</f>
        <v/>
      </c>
      <c r="I136" s="10" t="str">
        <f>IF(I110="","",I110*About!$B$35)</f>
        <v/>
      </c>
      <c r="J136" s="10" t="str">
        <f>IF(J110="","",J110*About!$B$35)</f>
        <v/>
      </c>
      <c r="K136" s="10" t="str">
        <f>IF(K110="","",K110*About!$B$35)</f>
        <v/>
      </c>
      <c r="L136" s="10" t="str">
        <f>IF(L110="","",L110*About!$B$35)</f>
        <v/>
      </c>
      <c r="M136" s="10" t="str">
        <f>IF(M110="","",M110*About!$B$35)</f>
        <v/>
      </c>
    </row>
    <row r="137" spans="1:13" outlineLevel="1" x14ac:dyDescent="0.25">
      <c r="A137" t="s">
        <v>49</v>
      </c>
      <c r="B137" s="10">
        <f>IF(B111="","",B111*About!$B$35)</f>
        <v>40776441.96128732</v>
      </c>
      <c r="C137" s="10">
        <f>IF(C111="","",C111*About!$B$35)</f>
        <v>51080069.887491159</v>
      </c>
      <c r="D137" s="10">
        <f>IF(D111="","",D111*About!$B$35)</f>
        <v>45943262.158668347</v>
      </c>
      <c r="E137" s="10">
        <f>IF(E111="","",E111*About!$B$35)</f>
        <v>46703152.443952359</v>
      </c>
      <c r="F137" s="10">
        <f>IF(F111="","",F111*About!$B$35)</f>
        <v>44940551.273012631</v>
      </c>
      <c r="G137" s="10">
        <f>IF(G111="","",G111*About!$B$35)</f>
        <v>32919107.819473967</v>
      </c>
      <c r="H137" s="10">
        <f>IF(H111="","",H111*About!$B$35)</f>
        <v>30788398.359632302</v>
      </c>
      <c r="I137" s="10">
        <f>IF(I111="","",I111*About!$B$35)</f>
        <v>38478114.696234241</v>
      </c>
      <c r="J137" s="10">
        <f>IF(J111="","",J111*About!$B$35)</f>
        <v>37563821.804902278</v>
      </c>
      <c r="K137" s="10">
        <f>IF(K111="","",K111*About!$B$35)</f>
        <v>34375741.315167025</v>
      </c>
      <c r="L137" s="10">
        <f>IF(L111="","",L111*About!$B$35)</f>
        <v>28033739.015713669</v>
      </c>
      <c r="M137" s="10">
        <f>IF(M111="","",M111*About!$B$35)</f>
        <v>26982083.110270876</v>
      </c>
    </row>
    <row r="138" spans="1:13" outlineLevel="1" x14ac:dyDescent="0.25">
      <c r="A138" t="s">
        <v>51</v>
      </c>
      <c r="B138" s="10" t="str">
        <f>IF(B112="","",B112*About!$B$35)</f>
        <v/>
      </c>
      <c r="C138" s="10" t="str">
        <f>IF(C112="","",C112*About!$B$35)</f>
        <v/>
      </c>
      <c r="D138" s="10" t="str">
        <f>IF(D112="","",D112*About!$B$35)</f>
        <v/>
      </c>
      <c r="E138" s="10" t="str">
        <f>IF(E112="","",E112*About!$B$35)</f>
        <v/>
      </c>
      <c r="F138" s="10" t="str">
        <f>IF(F112="","",F112*About!$B$35)</f>
        <v/>
      </c>
      <c r="G138" s="10" t="str">
        <f>IF(G112="","",G112*About!$B$35)</f>
        <v/>
      </c>
      <c r="H138" s="10" t="str">
        <f>IF(H112="","",H112*About!$B$35)</f>
        <v/>
      </c>
      <c r="I138" s="10" t="str">
        <f>IF(I112="","",I112*About!$B$35)</f>
        <v/>
      </c>
      <c r="J138" s="10" t="str">
        <f>IF(J112="","",J112*About!$B$35)</f>
        <v/>
      </c>
      <c r="K138" s="10" t="str">
        <f>IF(K112="","",K112*About!$B$35)</f>
        <v/>
      </c>
      <c r="L138" s="10" t="str">
        <f>IF(L112="","",L112*About!$B$35)</f>
        <v/>
      </c>
      <c r="M138" s="10" t="str">
        <f>IF(M112="","",M112*About!$B$35)</f>
        <v/>
      </c>
    </row>
    <row r="139" spans="1:13" outlineLevel="1" x14ac:dyDescent="0.25">
      <c r="A139" t="s">
        <v>53</v>
      </c>
      <c r="B139" s="10" t="str">
        <f>IF(B113="","",B113*About!$B$35)</f>
        <v/>
      </c>
      <c r="C139" s="10" t="str">
        <f>IF(C113="","",C113*About!$B$35)</f>
        <v/>
      </c>
      <c r="D139" s="10" t="str">
        <f>IF(D113="","",D113*About!$B$35)</f>
        <v/>
      </c>
      <c r="E139" s="10" t="str">
        <f>IF(E113="","",E113*About!$B$35)</f>
        <v/>
      </c>
      <c r="F139" s="10" t="str">
        <f>IF(F113="","",F113*About!$B$35)</f>
        <v/>
      </c>
      <c r="G139" s="10" t="str">
        <f>IF(G113="","",G113*About!$B$35)</f>
        <v/>
      </c>
      <c r="H139" s="10" t="str">
        <f>IF(H113="","",H113*About!$B$35)</f>
        <v/>
      </c>
      <c r="I139" s="10" t="str">
        <f>IF(I113="","",I113*About!$B$35)</f>
        <v/>
      </c>
      <c r="J139" s="10" t="str">
        <f>IF(J113="","",J113*About!$B$35)</f>
        <v/>
      </c>
      <c r="K139" s="10" t="str">
        <f>IF(K113="","",K113*About!$B$35)</f>
        <v/>
      </c>
      <c r="L139" s="10" t="str">
        <f>IF(L113="","",L113*About!$B$35)</f>
        <v/>
      </c>
      <c r="M139" s="10" t="str">
        <f>IF(M113="","",M113*About!$B$35)</f>
        <v/>
      </c>
    </row>
    <row r="140" spans="1:13" outlineLevel="1" x14ac:dyDescent="0.25">
      <c r="A140" t="s">
        <v>54</v>
      </c>
      <c r="B140" s="10">
        <f>IF(B114="","",B114*About!$B$35)</f>
        <v>9853450.5940074492</v>
      </c>
      <c r="C140" s="10">
        <f>IF(C114="","",C114*About!$B$35)</f>
        <v>9846781.0695498548</v>
      </c>
      <c r="D140" s="10">
        <f>IF(D114="","",D114*About!$B$35)</f>
        <v>9218141.7909949906</v>
      </c>
      <c r="E140" s="10">
        <f>IF(E114="","",E114*About!$B$35)</f>
        <v>8537985.3025399689</v>
      </c>
      <c r="F140" s="10">
        <f>IF(F114="","",F114*About!$B$35)</f>
        <v>10716845.194123179</v>
      </c>
      <c r="G140" s="10">
        <f>IF(G114="","",G114*About!$B$35)</f>
        <v>10989476.586811831</v>
      </c>
      <c r="H140" s="10">
        <f>IF(H114="","",H114*About!$B$35)</f>
        <v>11229682.571281807</v>
      </c>
      <c r="I140" s="10">
        <f>IF(I114="","",I114*About!$B$35)</f>
        <v>10383752.750861445</v>
      </c>
      <c r="J140" s="10">
        <f>IF(J114="","",J114*About!$B$35)</f>
        <v>10656370.55451173</v>
      </c>
      <c r="K140" s="10">
        <f>IF(K114="","",K114*About!$B$35)</f>
        <v>9932258.2397148851</v>
      </c>
      <c r="L140" s="10">
        <f>IF(L114="","",L114*About!$B$35)</f>
        <v>10087826.895455413</v>
      </c>
      <c r="M140" s="10">
        <f>IF(M114="","",M114*About!$B$35)</f>
        <v>10783680.406852987</v>
      </c>
    </row>
    <row r="141" spans="1:13" outlineLevel="1" x14ac:dyDescent="0.25">
      <c r="A141" t="s">
        <v>56</v>
      </c>
      <c r="B141" s="10" t="str">
        <f>IF(B115="","",B115*About!$B$35)</f>
        <v/>
      </c>
      <c r="C141" s="10" t="str">
        <f>IF(C115="","",C115*About!$B$35)</f>
        <v/>
      </c>
      <c r="D141" s="10" t="str">
        <f>IF(D115="","",D115*About!$B$35)</f>
        <v/>
      </c>
      <c r="E141" s="10" t="str">
        <f>IF(E115="","",E115*About!$B$35)</f>
        <v/>
      </c>
      <c r="F141" s="10" t="str">
        <f>IF(F115="","",F115*About!$B$35)</f>
        <v/>
      </c>
      <c r="G141" s="10" t="str">
        <f>IF(G115="","",G115*About!$B$35)</f>
        <v/>
      </c>
      <c r="H141" s="10" t="str">
        <f>IF(H115="","",H115*About!$B$35)</f>
        <v/>
      </c>
      <c r="I141" s="10" t="str">
        <f>IF(I115="","",I115*About!$B$35)</f>
        <v/>
      </c>
      <c r="J141" s="10" t="str">
        <f>IF(J115="","",J115*About!$B$35)</f>
        <v/>
      </c>
      <c r="K141" s="10" t="str">
        <f>IF(K115="","",K115*About!$B$35)</f>
        <v/>
      </c>
      <c r="L141" s="10" t="str">
        <f>IF(L115="","",L115*About!$B$35)</f>
        <v/>
      </c>
      <c r="M141" s="10" t="str">
        <f>IF(M115="","",M115*About!$B$35)</f>
        <v/>
      </c>
    </row>
    <row r="142" spans="1:13" outlineLevel="1" x14ac:dyDescent="0.25">
      <c r="A142" t="s">
        <v>57</v>
      </c>
      <c r="B142" s="10" t="str">
        <f>IF(B116="","",B116*About!$B$35)</f>
        <v/>
      </c>
      <c r="C142" s="10" t="str">
        <f>IF(C116="","",C116*About!$B$35)</f>
        <v/>
      </c>
      <c r="D142" s="10" t="str">
        <f>IF(D116="","",D116*About!$B$35)</f>
        <v/>
      </c>
      <c r="E142" s="10" t="str">
        <f>IF(E116="","",E116*About!$B$35)</f>
        <v/>
      </c>
      <c r="F142" s="10" t="str">
        <f>IF(F116="","",F116*About!$B$35)</f>
        <v/>
      </c>
      <c r="G142" s="10" t="str">
        <f>IF(G116="","",G116*About!$B$35)</f>
        <v/>
      </c>
      <c r="H142" s="10" t="str">
        <f>IF(H116="","",H116*About!$B$35)</f>
        <v/>
      </c>
      <c r="I142" s="10" t="str">
        <f>IF(I116="","",I116*About!$B$35)</f>
        <v/>
      </c>
      <c r="J142" s="10" t="str">
        <f>IF(J116="","",J116*About!$B$35)</f>
        <v/>
      </c>
      <c r="K142" s="10" t="str">
        <f>IF(K116="","",K116*About!$B$35)</f>
        <v/>
      </c>
      <c r="L142" s="10" t="str">
        <f>IF(L116="","",L116*About!$B$35)</f>
        <v/>
      </c>
      <c r="M142" s="10" t="str">
        <f>IF(M116="","",M116*About!$B$35)</f>
        <v/>
      </c>
    </row>
    <row r="143" spans="1:13" outlineLevel="1" x14ac:dyDescent="0.25">
      <c r="A143" t="s">
        <v>58</v>
      </c>
      <c r="B143" s="10" t="str">
        <f>IF(B117="","",B117*About!$B$35)</f>
        <v/>
      </c>
      <c r="C143" s="10" t="str">
        <f>IF(C117="","",C117*About!$B$35)</f>
        <v/>
      </c>
      <c r="D143" s="10" t="str">
        <f>IF(D117="","",D117*About!$B$35)</f>
        <v/>
      </c>
      <c r="E143" s="10" t="str">
        <f>IF(E117="","",E117*About!$B$35)</f>
        <v/>
      </c>
      <c r="F143" s="10" t="str">
        <f>IF(F117="","",F117*About!$B$35)</f>
        <v/>
      </c>
      <c r="G143" s="10" t="str">
        <f>IF(G117="","",G117*About!$B$35)</f>
        <v/>
      </c>
      <c r="H143" s="10" t="str">
        <f>IF(H117="","",H117*About!$B$35)</f>
        <v/>
      </c>
      <c r="I143" s="10" t="str">
        <f>IF(I117="","",I117*About!$B$35)</f>
        <v/>
      </c>
      <c r="J143" s="10" t="str">
        <f>IF(J117="","",J117*About!$B$35)</f>
        <v/>
      </c>
      <c r="K143" s="10" t="str">
        <f>IF(K117="","",K117*About!$B$35)</f>
        <v/>
      </c>
      <c r="L143" s="10" t="str">
        <f>IF(L117="","",L117*About!$B$35)</f>
        <v/>
      </c>
      <c r="M143" s="10" t="str">
        <f>IF(M117="","",M117*About!$B$35)</f>
        <v/>
      </c>
    </row>
    <row r="144" spans="1:13" outlineLevel="1" x14ac:dyDescent="0.25">
      <c r="A144" t="s">
        <v>59</v>
      </c>
      <c r="B144" s="10">
        <f>IF(B118="","",B118*About!$B$35)</f>
        <v>10214519.921490639</v>
      </c>
      <c r="C144" s="10">
        <f>IF(C118="","",C118*About!$B$35)</f>
        <v>10008664.562687457</v>
      </c>
      <c r="D144" s="10">
        <f>IF(D118="","",D118*About!$B$35)</f>
        <v>9776584.0524146464</v>
      </c>
      <c r="E144" s="10">
        <f>IF(E118="","",E118*About!$B$35)</f>
        <v>9503797.1827094797</v>
      </c>
      <c r="F144" s="10">
        <f>IF(F118="","",F118*About!$B$35)</f>
        <v>10722746.339805949</v>
      </c>
      <c r="G144" s="10">
        <f>IF(G118="","",G118*About!$B$35)</f>
        <v>10935365.309240805</v>
      </c>
      <c r="H144" s="10">
        <f>IF(H118="","",H118*About!$B$35)</f>
        <v>11185613.928859392</v>
      </c>
      <c r="I144" s="10">
        <f>IF(I118="","",I118*About!$B$35)</f>
        <v>10787017.332232079</v>
      </c>
      <c r="J144" s="10">
        <f>IF(J118="","",J118*About!$B$35)</f>
        <v>13237956.288269179</v>
      </c>
      <c r="K144" s="10">
        <f>IF(K118="","",K118*About!$B$35)</f>
        <v>13375798.901022865</v>
      </c>
      <c r="L144" s="10">
        <f>IF(L118="","",L118*About!$B$35)</f>
        <v>14460190.270529233</v>
      </c>
      <c r="M144" s="10">
        <f>IF(M118="","",M118*About!$B$35)</f>
        <v>13194653.801376591</v>
      </c>
    </row>
    <row r="145" spans="1:13" outlineLevel="1" x14ac:dyDescent="0.25">
      <c r="A145" t="s">
        <v>61</v>
      </c>
      <c r="B145" s="10" t="str">
        <f>IF(B119="","",B119*About!$B$35)</f>
        <v/>
      </c>
      <c r="C145" s="10" t="str">
        <f>IF(C119="","",C119*About!$B$35)</f>
        <v/>
      </c>
      <c r="D145" s="10" t="str">
        <f>IF(D119="","",D119*About!$B$35)</f>
        <v/>
      </c>
      <c r="E145" s="10" t="str">
        <f>IF(E119="","",E119*About!$B$35)</f>
        <v/>
      </c>
      <c r="F145" s="10" t="str">
        <f>IF(F119="","",F119*About!$B$35)</f>
        <v/>
      </c>
      <c r="G145" s="10" t="str">
        <f>IF(G119="","",G119*About!$B$35)</f>
        <v/>
      </c>
      <c r="H145" s="10" t="str">
        <f>IF(H119="","",H119*About!$B$35)</f>
        <v/>
      </c>
      <c r="I145" s="10" t="str">
        <f>IF(I119="","",I119*About!$B$35)</f>
        <v/>
      </c>
      <c r="J145" s="10" t="str">
        <f>IF(J119="","",J119*About!$B$35)</f>
        <v/>
      </c>
      <c r="K145" s="10" t="str">
        <f>IF(K119="","",K119*About!$B$35)</f>
        <v/>
      </c>
      <c r="L145" s="10" t="str">
        <f>IF(L119="","",L119*About!$B$35)</f>
        <v/>
      </c>
      <c r="M145" s="10" t="str">
        <f>IF(M119="","",M119*About!$B$35)</f>
        <v/>
      </c>
    </row>
    <row r="146" spans="1:13" outlineLevel="1" x14ac:dyDescent="0.25">
      <c r="A146" t="s">
        <v>62</v>
      </c>
      <c r="B146" s="10" t="str">
        <f>IF(B120="","",B120*About!$B$35)</f>
        <v/>
      </c>
      <c r="C146" s="10" t="str">
        <f>IF(C120="","",C120*About!$B$35)</f>
        <v/>
      </c>
      <c r="D146" s="10" t="str">
        <f>IF(D120="","",D120*About!$B$35)</f>
        <v/>
      </c>
      <c r="E146" s="10" t="str">
        <f>IF(E120="","",E120*About!$B$35)</f>
        <v/>
      </c>
      <c r="F146" s="10" t="str">
        <f>IF(F120="","",F120*About!$B$35)</f>
        <v/>
      </c>
      <c r="G146" s="10" t="str">
        <f>IF(G120="","",G120*About!$B$35)</f>
        <v/>
      </c>
      <c r="H146" s="10" t="str">
        <f>IF(H120="","",H120*About!$B$35)</f>
        <v/>
      </c>
      <c r="I146" s="10" t="str">
        <f>IF(I120="","",I120*About!$B$35)</f>
        <v/>
      </c>
      <c r="J146" s="10" t="str">
        <f>IF(J120="","",J120*About!$B$35)</f>
        <v/>
      </c>
      <c r="K146" s="10" t="str">
        <f>IF(K120="","",K120*About!$B$35)</f>
        <v/>
      </c>
      <c r="L146" s="10" t="str">
        <f>IF(L120="","",L120*About!$B$35)</f>
        <v/>
      </c>
      <c r="M146" s="10" t="str">
        <f>IF(M120="","",M120*About!$B$35)</f>
        <v/>
      </c>
    </row>
    <row r="147" spans="1:13" outlineLevel="1" x14ac:dyDescent="0.25">
      <c r="A147" t="s">
        <v>63</v>
      </c>
      <c r="B147" s="10" t="str">
        <f>IF(B121="","",B121*About!$B$35)</f>
        <v/>
      </c>
      <c r="C147" s="10" t="str">
        <f>IF(C121="","",C121*About!$B$35)</f>
        <v/>
      </c>
      <c r="D147" s="10" t="str">
        <f>IF(D121="","",D121*About!$B$35)</f>
        <v/>
      </c>
      <c r="E147" s="10" t="str">
        <f>IF(E121="","",E121*About!$B$35)</f>
        <v/>
      </c>
      <c r="F147" s="10" t="str">
        <f>IF(F121="","",F121*About!$B$35)</f>
        <v/>
      </c>
      <c r="G147" s="10" t="str">
        <f>IF(G121="","",G121*About!$B$35)</f>
        <v/>
      </c>
      <c r="H147" s="10" t="str">
        <f>IF(H121="","",H121*About!$B$35)</f>
        <v/>
      </c>
      <c r="I147" s="10" t="str">
        <f>IF(I121="","",I121*About!$B$35)</f>
        <v/>
      </c>
      <c r="J147" s="10" t="str">
        <f>IF(J121="","",J121*About!$B$35)</f>
        <v/>
      </c>
      <c r="K147" s="10" t="str">
        <f>IF(K121="","",K121*About!$B$35)</f>
        <v/>
      </c>
      <c r="L147" s="10" t="str">
        <f>IF(L121="","",L121*About!$B$35)</f>
        <v/>
      </c>
      <c r="M147" s="10" t="str">
        <f>IF(M121="","",M121*About!$B$35)</f>
        <v/>
      </c>
    </row>
    <row r="148" spans="1:13" outlineLevel="1" x14ac:dyDescent="0.25">
      <c r="A148" t="s">
        <v>64</v>
      </c>
      <c r="B148" s="10" t="str">
        <f>IF(B122="","",B122*About!$B$35)</f>
        <v/>
      </c>
      <c r="C148" s="10" t="str">
        <f>IF(C122="","",C122*About!$B$35)</f>
        <v/>
      </c>
      <c r="D148" s="10" t="str">
        <f>IF(D122="","",D122*About!$B$35)</f>
        <v/>
      </c>
      <c r="E148" s="10" t="str">
        <f>IF(E122="","",E122*About!$B$35)</f>
        <v/>
      </c>
      <c r="F148" s="10" t="str">
        <f>IF(F122="","",F122*About!$B$35)</f>
        <v/>
      </c>
      <c r="G148" s="10" t="str">
        <f>IF(G122="","",G122*About!$B$35)</f>
        <v/>
      </c>
      <c r="H148" s="10" t="str">
        <f>IF(H122="","",H122*About!$B$35)</f>
        <v/>
      </c>
      <c r="I148" s="10" t="str">
        <f>IF(I122="","",I122*About!$B$35)</f>
        <v/>
      </c>
      <c r="J148" s="10" t="str">
        <f>IF(J122="","",J122*About!$B$35)</f>
        <v/>
      </c>
      <c r="K148" s="10" t="str">
        <f>IF(K122="","",K122*About!$B$35)</f>
        <v/>
      </c>
      <c r="L148" s="10" t="str">
        <f>IF(L122="","",L122*About!$B$35)</f>
        <v/>
      </c>
      <c r="M148" s="10" t="str">
        <f>IF(M122="","",M122*About!$B$35)</f>
        <v/>
      </c>
    </row>
    <row r="149" spans="1:13" outlineLevel="1" x14ac:dyDescent="0.25">
      <c r="A149" t="s">
        <v>65</v>
      </c>
      <c r="B149" s="10" t="str">
        <f>IF(B123="","",B123*About!$B$35)</f>
        <v/>
      </c>
      <c r="C149" s="10" t="str">
        <f>IF(C123="","",C123*About!$B$35)</f>
        <v/>
      </c>
      <c r="D149" s="10" t="str">
        <f>IF(D123="","",D123*About!$B$35)</f>
        <v/>
      </c>
      <c r="E149" s="10" t="str">
        <f>IF(E123="","",E123*About!$B$35)</f>
        <v/>
      </c>
      <c r="F149" s="10" t="str">
        <f>IF(F123="","",F123*About!$B$35)</f>
        <v/>
      </c>
      <c r="G149" s="10" t="str">
        <f>IF(G123="","",G123*About!$B$35)</f>
        <v/>
      </c>
      <c r="H149" s="10" t="str">
        <f>IF(H123="","",H123*About!$B$35)</f>
        <v/>
      </c>
      <c r="I149" s="10" t="str">
        <f>IF(I123="","",I123*About!$B$35)</f>
        <v/>
      </c>
      <c r="J149" s="10" t="str">
        <f>IF(J123="","",J123*About!$B$35)</f>
        <v/>
      </c>
      <c r="K149" s="10" t="str">
        <f>IF(K123="","",K123*About!$B$35)</f>
        <v/>
      </c>
      <c r="L149" s="10" t="str">
        <f>IF(L123="","",L123*About!$B$35)</f>
        <v/>
      </c>
      <c r="M149" s="10" t="str">
        <f>IF(M123="","",M123*About!$B$35)</f>
        <v/>
      </c>
    </row>
    <row r="150" spans="1:13" outlineLevel="1" x14ac:dyDescent="0.25">
      <c r="A150" t="s">
        <v>66</v>
      </c>
      <c r="B150" s="10" t="str">
        <f>IF(B124="","",B124*About!$B$35)</f>
        <v/>
      </c>
      <c r="C150" s="10" t="str">
        <f>IF(C124="","",C124*About!$B$35)</f>
        <v/>
      </c>
      <c r="D150" s="10" t="str">
        <f>IF(D124="","",D124*About!$B$35)</f>
        <v/>
      </c>
      <c r="E150" s="10" t="str">
        <f>IF(E124="","",E124*About!$B$35)</f>
        <v/>
      </c>
      <c r="F150" s="10" t="str">
        <f>IF(F124="","",F124*About!$B$35)</f>
        <v/>
      </c>
      <c r="G150" s="10" t="str">
        <f>IF(G124="","",G124*About!$B$35)</f>
        <v/>
      </c>
      <c r="H150" s="10" t="str">
        <f>IF(H124="","",H124*About!$B$35)</f>
        <v/>
      </c>
      <c r="I150" s="10" t="str">
        <f>IF(I124="","",I124*About!$B$35)</f>
        <v/>
      </c>
      <c r="J150" s="10" t="str">
        <f>IF(J124="","",J124*About!$B$35)</f>
        <v/>
      </c>
      <c r="K150" s="10" t="str">
        <f>IF(K124="","",K124*About!$B$35)</f>
        <v/>
      </c>
      <c r="L150" s="10" t="str">
        <f>IF(L124="","",L124*About!$B$35)</f>
        <v/>
      </c>
      <c r="M150" s="10" t="str">
        <f>IF(M124="","",M124*About!$B$35)</f>
        <v/>
      </c>
    </row>
    <row r="151" spans="1:13" outlineLevel="1" x14ac:dyDescent="0.25">
      <c r="A151" t="s">
        <v>67</v>
      </c>
      <c r="B151" s="10">
        <f>B140</f>
        <v>9853450.5940074492</v>
      </c>
      <c r="C151" s="10">
        <f t="shared" ref="C151:M151" si="53">C140</f>
        <v>9846781.0695498548</v>
      </c>
      <c r="D151" s="10">
        <f t="shared" si="53"/>
        <v>9218141.7909949906</v>
      </c>
      <c r="E151" s="10">
        <f t="shared" si="53"/>
        <v>8537985.3025399689</v>
      </c>
      <c r="F151" s="10">
        <f t="shared" si="53"/>
        <v>10716845.194123179</v>
      </c>
      <c r="G151" s="10">
        <f t="shared" si="53"/>
        <v>10989476.586811831</v>
      </c>
      <c r="H151" s="10">
        <f t="shared" si="53"/>
        <v>11229682.571281807</v>
      </c>
      <c r="I151" s="10">
        <f t="shared" si="53"/>
        <v>10383752.750861445</v>
      </c>
      <c r="J151" s="10">
        <f t="shared" si="53"/>
        <v>10656370.55451173</v>
      </c>
      <c r="K151" s="10">
        <f t="shared" si="53"/>
        <v>9932258.2397148851</v>
      </c>
      <c r="L151" s="10">
        <f t="shared" si="53"/>
        <v>10087826.895455413</v>
      </c>
      <c r="M151" s="10">
        <f t="shared" si="53"/>
        <v>10783680.406852987</v>
      </c>
    </row>
    <row r="152" spans="1:13" outlineLevel="1" x14ac:dyDescent="0.25">
      <c r="A152" t="s">
        <v>68</v>
      </c>
      <c r="B152" s="10">
        <f>B131</f>
        <v>7396614.7927751234</v>
      </c>
      <c r="C152" s="10">
        <f t="shared" ref="C152:M152" si="54">C131</f>
        <v>7547504.7947588172</v>
      </c>
      <c r="D152" s="10">
        <f t="shared" si="54"/>
        <v>7377524.3496411992</v>
      </c>
      <c r="E152" s="10">
        <f t="shared" si="54"/>
        <v>7980270.3075390011</v>
      </c>
      <c r="F152" s="10">
        <f t="shared" si="54"/>
        <v>8798436.0542436019</v>
      </c>
      <c r="G152" s="10">
        <f t="shared" si="54"/>
        <v>8506001.0138891824</v>
      </c>
      <c r="H152" s="10">
        <f t="shared" si="54"/>
        <v>8870388.9594430197</v>
      </c>
      <c r="I152" s="10">
        <f t="shared" si="54"/>
        <v>7997709.4194902638</v>
      </c>
      <c r="J152" s="10">
        <f t="shared" si="54"/>
        <v>7821457.1515578339</v>
      </c>
      <c r="K152" s="10">
        <f t="shared" si="54"/>
        <v>7872044.0787469065</v>
      </c>
      <c r="L152" s="10">
        <f t="shared" si="54"/>
        <v>9205052.1305030249</v>
      </c>
      <c r="M152" s="10">
        <f t="shared" si="54"/>
        <v>9395761.9602870792</v>
      </c>
    </row>
  </sheetData>
  <pageMargins left="0.7" right="0.7" top="0.75" bottom="0.75" header="0.3" footer="0.3"/>
  <ignoredErrors>
    <ignoredError sqref="B29:K29 B31:K32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A01B-17F9-4A25-8125-FA3CA3E4B751}">
  <sheetPr>
    <tabColor theme="8" tint="-0.249977111117893"/>
  </sheetPr>
  <dimension ref="A1:HC25"/>
  <sheetViews>
    <sheetView topLeftCell="DY1" workbookViewId="0">
      <selection activeCell="ED6" sqref="ED6"/>
    </sheetView>
  </sheetViews>
  <sheetFormatPr defaultColWidth="9.140625" defaultRowHeight="15" x14ac:dyDescent="0.25"/>
  <cols>
    <col min="1" max="1" width="36.28515625" customWidth="1"/>
    <col min="2" max="211" width="13.28515625" customWidth="1"/>
  </cols>
  <sheetData>
    <row r="1" spans="1:211" x14ac:dyDescent="0.25">
      <c r="A1" s="7" t="s">
        <v>135</v>
      </c>
      <c r="B1" s="4" t="s">
        <v>136</v>
      </c>
      <c r="C1" s="4" t="s">
        <v>137</v>
      </c>
      <c r="D1" s="4" t="s">
        <v>138</v>
      </c>
      <c r="E1" s="4" t="s">
        <v>139</v>
      </c>
      <c r="F1" s="4" t="s">
        <v>140</v>
      </c>
      <c r="G1" s="4" t="s">
        <v>141</v>
      </c>
      <c r="H1" s="4" t="s">
        <v>142</v>
      </c>
      <c r="I1" s="4" t="s">
        <v>143</v>
      </c>
      <c r="J1" s="4" t="s">
        <v>144</v>
      </c>
      <c r="K1" s="4" t="s">
        <v>145</v>
      </c>
      <c r="L1" s="4" t="s">
        <v>146</v>
      </c>
      <c r="M1" s="4" t="s">
        <v>147</v>
      </c>
      <c r="N1" s="4" t="s">
        <v>148</v>
      </c>
      <c r="O1" s="4" t="s">
        <v>149</v>
      </c>
      <c r="P1" s="4" t="s">
        <v>150</v>
      </c>
      <c r="Q1" s="4" t="s">
        <v>151</v>
      </c>
      <c r="R1" s="4" t="s">
        <v>152</v>
      </c>
      <c r="S1" s="4" t="s">
        <v>153</v>
      </c>
      <c r="T1" s="4" t="s">
        <v>154</v>
      </c>
      <c r="U1" s="4" t="s">
        <v>155</v>
      </c>
      <c r="V1" s="4" t="s">
        <v>156</v>
      </c>
      <c r="W1" s="4" t="s">
        <v>157</v>
      </c>
      <c r="X1" s="4" t="s">
        <v>158</v>
      </c>
      <c r="Y1" s="4" t="s">
        <v>159</v>
      </c>
      <c r="Z1" s="4" t="s">
        <v>160</v>
      </c>
      <c r="AA1" s="4" t="s">
        <v>161</v>
      </c>
      <c r="AB1" s="4" t="s">
        <v>162</v>
      </c>
      <c r="AC1" s="4" t="s">
        <v>163</v>
      </c>
      <c r="AD1" s="4" t="s">
        <v>164</v>
      </c>
      <c r="AE1" s="4" t="s">
        <v>165</v>
      </c>
      <c r="AF1" s="4" t="s">
        <v>166</v>
      </c>
      <c r="AG1" s="4" t="s">
        <v>167</v>
      </c>
      <c r="AH1" s="4" t="s">
        <v>168</v>
      </c>
      <c r="AI1" s="4" t="s">
        <v>169</v>
      </c>
      <c r="AJ1" s="4" t="s">
        <v>170</v>
      </c>
      <c r="AK1" s="4" t="s">
        <v>171</v>
      </c>
      <c r="AL1" s="4" t="s">
        <v>172</v>
      </c>
      <c r="AM1" s="4" t="s">
        <v>173</v>
      </c>
      <c r="AN1" s="4" t="s">
        <v>174</v>
      </c>
      <c r="AO1" s="4" t="s">
        <v>175</v>
      </c>
      <c r="AP1" s="4" t="s">
        <v>176</v>
      </c>
      <c r="AQ1" s="4" t="s">
        <v>177</v>
      </c>
      <c r="AR1" s="4" t="s">
        <v>178</v>
      </c>
      <c r="AS1" s="4" t="s">
        <v>179</v>
      </c>
      <c r="AT1" s="4" t="s">
        <v>180</v>
      </c>
      <c r="AU1" s="4" t="s">
        <v>181</v>
      </c>
      <c r="AV1" s="4" t="s">
        <v>182</v>
      </c>
      <c r="AW1" s="4" t="s">
        <v>183</v>
      </c>
      <c r="AX1" s="4" t="s">
        <v>184</v>
      </c>
      <c r="AY1" s="4" t="s">
        <v>185</v>
      </c>
      <c r="AZ1" s="4" t="s">
        <v>186</v>
      </c>
      <c r="BA1" s="4" t="s">
        <v>187</v>
      </c>
      <c r="BB1" s="4" t="s">
        <v>188</v>
      </c>
      <c r="BC1" s="4" t="s">
        <v>189</v>
      </c>
      <c r="BD1" s="4" t="s">
        <v>190</v>
      </c>
      <c r="BE1" s="4" t="s">
        <v>191</v>
      </c>
      <c r="BF1" s="4" t="s">
        <v>192</v>
      </c>
      <c r="BG1" s="4" t="s">
        <v>193</v>
      </c>
      <c r="BH1" s="4" t="s">
        <v>194</v>
      </c>
      <c r="BI1" s="4" t="s">
        <v>195</v>
      </c>
      <c r="BJ1" s="4" t="s">
        <v>196</v>
      </c>
      <c r="BK1" s="4" t="s">
        <v>197</v>
      </c>
      <c r="BL1" s="4" t="s">
        <v>198</v>
      </c>
      <c r="BM1" s="4" t="s">
        <v>199</v>
      </c>
      <c r="BN1" s="4" t="s">
        <v>200</v>
      </c>
      <c r="BO1" s="4" t="s">
        <v>201</v>
      </c>
      <c r="BP1" s="4" t="s">
        <v>202</v>
      </c>
      <c r="BQ1" s="4" t="s">
        <v>203</v>
      </c>
      <c r="BR1" s="4" t="s">
        <v>204</v>
      </c>
      <c r="BS1" s="4" t="s">
        <v>205</v>
      </c>
      <c r="BT1" s="4" t="s">
        <v>206</v>
      </c>
      <c r="BU1" s="4" t="s">
        <v>207</v>
      </c>
      <c r="BV1" s="4" t="s">
        <v>208</v>
      </c>
      <c r="BW1" s="4" t="s">
        <v>209</v>
      </c>
      <c r="BX1" s="4" t="s">
        <v>210</v>
      </c>
      <c r="BY1" s="4" t="s">
        <v>211</v>
      </c>
      <c r="BZ1" s="4" t="s">
        <v>212</v>
      </c>
      <c r="CA1" s="4" t="s">
        <v>213</v>
      </c>
      <c r="CB1" s="4" t="s">
        <v>214</v>
      </c>
      <c r="CC1" s="4" t="s">
        <v>215</v>
      </c>
      <c r="CD1" s="4" t="s">
        <v>216</v>
      </c>
      <c r="CE1" s="4" t="s">
        <v>217</v>
      </c>
      <c r="CF1" s="4" t="s">
        <v>218</v>
      </c>
      <c r="CG1" s="4" t="s">
        <v>219</v>
      </c>
      <c r="CH1" s="4" t="s">
        <v>220</v>
      </c>
      <c r="CI1" s="4" t="s">
        <v>221</v>
      </c>
      <c r="CJ1" s="4" t="s">
        <v>222</v>
      </c>
      <c r="CK1" s="4" t="s">
        <v>223</v>
      </c>
      <c r="CL1" s="4" t="s">
        <v>224</v>
      </c>
      <c r="CM1" s="4" t="s">
        <v>225</v>
      </c>
      <c r="CN1" s="4" t="s">
        <v>226</v>
      </c>
      <c r="CO1" s="4" t="s">
        <v>227</v>
      </c>
      <c r="CP1" s="4" t="s">
        <v>228</v>
      </c>
      <c r="CQ1" s="4" t="s">
        <v>229</v>
      </c>
      <c r="CR1" s="4" t="s">
        <v>230</v>
      </c>
      <c r="CS1" s="4" t="s">
        <v>231</v>
      </c>
      <c r="CT1" s="4" t="s">
        <v>232</v>
      </c>
      <c r="CU1" s="4" t="s">
        <v>233</v>
      </c>
      <c r="CV1" s="4" t="s">
        <v>234</v>
      </c>
      <c r="CW1" s="4" t="s">
        <v>235</v>
      </c>
      <c r="CX1" s="4" t="s">
        <v>236</v>
      </c>
      <c r="CY1" s="4" t="s">
        <v>237</v>
      </c>
      <c r="CZ1" s="4" t="s">
        <v>238</v>
      </c>
      <c r="DA1" s="4" t="s">
        <v>239</v>
      </c>
      <c r="DB1" s="4" t="s">
        <v>240</v>
      </c>
      <c r="DC1" s="4" t="s">
        <v>241</v>
      </c>
      <c r="DD1" s="4" t="s">
        <v>242</v>
      </c>
      <c r="DE1" s="4" t="s">
        <v>243</v>
      </c>
      <c r="DF1" s="4" t="s">
        <v>244</v>
      </c>
      <c r="DG1" s="4" t="s">
        <v>245</v>
      </c>
      <c r="DH1" s="4" t="s">
        <v>246</v>
      </c>
      <c r="DI1" s="4" t="s">
        <v>247</v>
      </c>
      <c r="DJ1" s="4" t="s">
        <v>248</v>
      </c>
      <c r="DK1" s="4" t="s">
        <v>249</v>
      </c>
      <c r="DL1" s="4" t="s">
        <v>250</v>
      </c>
      <c r="DM1" s="4" t="s">
        <v>251</v>
      </c>
      <c r="DN1" s="4" t="s">
        <v>252</v>
      </c>
      <c r="DO1" s="4" t="s">
        <v>253</v>
      </c>
      <c r="DP1" s="4" t="s">
        <v>254</v>
      </c>
      <c r="DQ1" s="4" t="s">
        <v>255</v>
      </c>
      <c r="DR1" s="4" t="s">
        <v>256</v>
      </c>
      <c r="DS1" s="4" t="s">
        <v>257</v>
      </c>
      <c r="DT1" s="4" t="s">
        <v>258</v>
      </c>
      <c r="DU1" s="4" t="s">
        <v>259</v>
      </c>
      <c r="DV1" s="4" t="s">
        <v>260</v>
      </c>
      <c r="DW1" s="4" t="s">
        <v>261</v>
      </c>
      <c r="DX1" s="4" t="s">
        <v>262</v>
      </c>
      <c r="DY1" s="4" t="s">
        <v>263</v>
      </c>
      <c r="DZ1" s="4" t="s">
        <v>264</v>
      </c>
      <c r="EA1" s="4" t="s">
        <v>265</v>
      </c>
      <c r="EB1" s="9" t="s">
        <v>266</v>
      </c>
      <c r="EC1" s="4" t="s">
        <v>267</v>
      </c>
      <c r="ED1" s="4" t="s">
        <v>268</v>
      </c>
      <c r="EE1" s="4" t="s">
        <v>269</v>
      </c>
      <c r="EF1" s="4" t="s">
        <v>270</v>
      </c>
      <c r="EG1" s="4" t="s">
        <v>271</v>
      </c>
      <c r="EH1" s="4" t="s">
        <v>272</v>
      </c>
      <c r="EI1" s="4" t="s">
        <v>273</v>
      </c>
      <c r="EJ1" s="4" t="s">
        <v>274</v>
      </c>
      <c r="EK1" s="4" t="s">
        <v>275</v>
      </c>
      <c r="EL1" s="4" t="s">
        <v>276</v>
      </c>
      <c r="EM1" s="4" t="s">
        <v>277</v>
      </c>
      <c r="EN1" s="4" t="s">
        <v>278</v>
      </c>
      <c r="EO1" s="4" t="s">
        <v>279</v>
      </c>
      <c r="EP1" s="4" t="s">
        <v>280</v>
      </c>
      <c r="EQ1" s="4" t="s">
        <v>281</v>
      </c>
      <c r="ER1" s="4" t="s">
        <v>282</v>
      </c>
      <c r="ES1" s="4" t="s">
        <v>283</v>
      </c>
      <c r="ET1" s="4" t="s">
        <v>284</v>
      </c>
      <c r="EU1" s="4" t="s">
        <v>285</v>
      </c>
      <c r="EV1" s="4" t="s">
        <v>286</v>
      </c>
      <c r="EW1" s="4" t="s">
        <v>287</v>
      </c>
      <c r="EX1" s="4" t="s">
        <v>288</v>
      </c>
      <c r="EY1" s="4" t="s">
        <v>289</v>
      </c>
      <c r="EZ1" s="4" t="s">
        <v>290</v>
      </c>
      <c r="FA1" s="4" t="s">
        <v>291</v>
      </c>
      <c r="FB1" s="4" t="s">
        <v>292</v>
      </c>
      <c r="FC1" s="4" t="s">
        <v>293</v>
      </c>
      <c r="FD1" s="4" t="s">
        <v>294</v>
      </c>
      <c r="FE1" s="4" t="s">
        <v>295</v>
      </c>
      <c r="FF1" s="4" t="s">
        <v>296</v>
      </c>
      <c r="FG1" s="4" t="s">
        <v>297</v>
      </c>
      <c r="FH1" s="4" t="s">
        <v>298</v>
      </c>
      <c r="FI1" s="4" t="s">
        <v>299</v>
      </c>
      <c r="FJ1" s="4" t="s">
        <v>300</v>
      </c>
      <c r="FK1" s="4" t="s">
        <v>301</v>
      </c>
      <c r="FL1" s="4" t="s">
        <v>302</v>
      </c>
      <c r="FM1" s="4" t="s">
        <v>303</v>
      </c>
      <c r="FN1" s="4" t="s">
        <v>304</v>
      </c>
      <c r="FO1" s="4" t="s">
        <v>305</v>
      </c>
      <c r="FP1" s="4" t="s">
        <v>306</v>
      </c>
      <c r="FQ1" s="4" t="s">
        <v>307</v>
      </c>
      <c r="FR1" s="4" t="s">
        <v>308</v>
      </c>
      <c r="FS1" s="4" t="s">
        <v>309</v>
      </c>
      <c r="FT1" s="4" t="s">
        <v>310</v>
      </c>
      <c r="FU1" s="4" t="s">
        <v>311</v>
      </c>
      <c r="FV1" s="4" t="s">
        <v>312</v>
      </c>
      <c r="FW1" s="4" t="s">
        <v>313</v>
      </c>
      <c r="FX1" s="4" t="s">
        <v>314</v>
      </c>
      <c r="FY1" s="4" t="s">
        <v>315</v>
      </c>
      <c r="FZ1" s="4" t="s">
        <v>316</v>
      </c>
      <c r="GA1" s="4" t="s">
        <v>317</v>
      </c>
      <c r="GB1" s="4" t="s">
        <v>318</v>
      </c>
      <c r="GC1" s="4" t="s">
        <v>319</v>
      </c>
      <c r="GD1" s="4" t="s">
        <v>320</v>
      </c>
      <c r="GE1" s="4" t="s">
        <v>321</v>
      </c>
      <c r="GF1" s="4" t="s">
        <v>322</v>
      </c>
      <c r="GG1" s="4" t="s">
        <v>323</v>
      </c>
      <c r="GH1" s="4" t="s">
        <v>324</v>
      </c>
      <c r="GI1" s="4" t="s">
        <v>325</v>
      </c>
      <c r="GJ1" s="4" t="s">
        <v>326</v>
      </c>
      <c r="GK1" s="4" t="s">
        <v>327</v>
      </c>
      <c r="GL1" s="4" t="s">
        <v>328</v>
      </c>
      <c r="GM1" s="4" t="s">
        <v>329</v>
      </c>
      <c r="GN1" s="4" t="s">
        <v>330</v>
      </c>
      <c r="GO1" s="4" t="s">
        <v>331</v>
      </c>
      <c r="GP1" s="4" t="s">
        <v>332</v>
      </c>
      <c r="GQ1" s="4" t="s">
        <v>333</v>
      </c>
      <c r="GR1" s="4" t="s">
        <v>334</v>
      </c>
      <c r="GS1" s="4" t="s">
        <v>335</v>
      </c>
      <c r="GT1" s="4" t="s">
        <v>336</v>
      </c>
      <c r="GU1" s="4" t="s">
        <v>337</v>
      </c>
      <c r="GV1" s="4" t="s">
        <v>338</v>
      </c>
      <c r="GW1" s="4" t="s">
        <v>339</v>
      </c>
      <c r="GX1" s="4" t="s">
        <v>340</v>
      </c>
      <c r="GY1" s="4" t="s">
        <v>341</v>
      </c>
      <c r="GZ1" s="4" t="s">
        <v>342</v>
      </c>
      <c r="HA1" s="4" t="s">
        <v>343</v>
      </c>
      <c r="HB1" s="4" t="s">
        <v>344</v>
      </c>
      <c r="HC1" s="4" t="s">
        <v>345</v>
      </c>
    </row>
    <row r="2" spans="1:211" x14ac:dyDescent="0.25">
      <c r="A2" t="s">
        <v>34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16">
        <f t="shared" ref="BS2:DK7" si="0">$DS2</f>
        <v>9513893.5475894753</v>
      </c>
      <c r="BT2" s="16">
        <f t="shared" si="0"/>
        <v>9513893.5475894753</v>
      </c>
      <c r="BU2" s="16">
        <f t="shared" si="0"/>
        <v>9513893.5475894753</v>
      </c>
      <c r="BV2" s="16">
        <f t="shared" si="0"/>
        <v>9513893.5475894753</v>
      </c>
      <c r="BW2" s="16">
        <f t="shared" si="0"/>
        <v>9513893.5475894753</v>
      </c>
      <c r="BX2" s="16">
        <f t="shared" si="0"/>
        <v>9513893.5475894753</v>
      </c>
      <c r="BY2" s="16">
        <f t="shared" si="0"/>
        <v>9513893.5475894753</v>
      </c>
      <c r="BZ2" s="16">
        <f t="shared" si="0"/>
        <v>9513893.5475894753</v>
      </c>
      <c r="CA2" s="16">
        <f t="shared" si="0"/>
        <v>9513893.5475894753</v>
      </c>
      <c r="CB2" s="16">
        <f t="shared" si="0"/>
        <v>9513893.5475894753</v>
      </c>
      <c r="CC2" s="16">
        <f t="shared" si="0"/>
        <v>9513893.5475894753</v>
      </c>
      <c r="CD2" s="16">
        <f t="shared" si="0"/>
        <v>9513893.5475894753</v>
      </c>
      <c r="CE2" s="16">
        <f t="shared" si="0"/>
        <v>9513893.5475894753</v>
      </c>
      <c r="CF2" s="16">
        <f t="shared" si="0"/>
        <v>9513893.5475894753</v>
      </c>
      <c r="CG2" s="16">
        <f t="shared" si="0"/>
        <v>9513893.5475894753</v>
      </c>
      <c r="CH2" s="16">
        <f t="shared" si="0"/>
        <v>9513893.5475894753</v>
      </c>
      <c r="CI2" s="16">
        <f t="shared" si="0"/>
        <v>9513893.5475894753</v>
      </c>
      <c r="CJ2" s="16">
        <f t="shared" si="0"/>
        <v>9513893.5475894753</v>
      </c>
      <c r="CK2" s="16">
        <f t="shared" si="0"/>
        <v>9513893.5475894753</v>
      </c>
      <c r="CL2" s="16">
        <f t="shared" si="0"/>
        <v>9513893.5475894753</v>
      </c>
      <c r="CM2" s="16">
        <f t="shared" si="0"/>
        <v>9513893.5475894753</v>
      </c>
      <c r="CN2" s="16">
        <f t="shared" si="0"/>
        <v>9513893.5475894753</v>
      </c>
      <c r="CO2" s="16">
        <f t="shared" si="0"/>
        <v>9513893.5475894753</v>
      </c>
      <c r="CP2" s="16">
        <f t="shared" si="0"/>
        <v>9513893.5475894753</v>
      </c>
      <c r="CQ2" s="16">
        <f t="shared" si="0"/>
        <v>9513893.5475894753</v>
      </c>
      <c r="CR2" s="16">
        <f t="shared" si="0"/>
        <v>9513893.5475894753</v>
      </c>
      <c r="CS2" s="16">
        <f t="shared" si="0"/>
        <v>9513893.5475894753</v>
      </c>
      <c r="CT2" s="16">
        <f t="shared" si="0"/>
        <v>9513893.5475894753</v>
      </c>
      <c r="CU2" s="16">
        <f t="shared" si="0"/>
        <v>9513893.5475894753</v>
      </c>
      <c r="CV2" s="16">
        <f t="shared" si="0"/>
        <v>9513893.5475894753</v>
      </c>
      <c r="CW2" s="16">
        <f t="shared" si="0"/>
        <v>9513893.5475894753</v>
      </c>
      <c r="CX2" s="16">
        <f t="shared" si="0"/>
        <v>9513893.5475894753</v>
      </c>
      <c r="CY2" s="16">
        <f t="shared" si="0"/>
        <v>9513893.5475894753</v>
      </c>
      <c r="CZ2" s="16">
        <f t="shared" si="0"/>
        <v>9513893.5475894753</v>
      </c>
      <c r="DA2" s="16">
        <f t="shared" si="0"/>
        <v>9513893.5475894753</v>
      </c>
      <c r="DB2" s="16">
        <f t="shared" si="0"/>
        <v>9513893.5475894753</v>
      </c>
      <c r="DC2" s="16">
        <f t="shared" si="0"/>
        <v>9513893.5475894753</v>
      </c>
      <c r="DD2" s="16">
        <f t="shared" si="0"/>
        <v>9513893.5475894753</v>
      </c>
      <c r="DE2" s="16">
        <f t="shared" si="0"/>
        <v>9513893.5475894753</v>
      </c>
      <c r="DF2" s="16">
        <f t="shared" si="0"/>
        <v>9513893.5475894753</v>
      </c>
      <c r="DG2" s="16">
        <f t="shared" si="0"/>
        <v>9513893.5475894753</v>
      </c>
      <c r="DH2" s="16">
        <f t="shared" si="0"/>
        <v>9513893.5475894753</v>
      </c>
      <c r="DI2" s="16">
        <f t="shared" si="0"/>
        <v>9513893.5475894753</v>
      </c>
      <c r="DJ2" s="16">
        <f t="shared" si="0"/>
        <v>9513893.5475894753</v>
      </c>
      <c r="DK2" s="16">
        <f t="shared" si="0"/>
        <v>9513893.5475894753</v>
      </c>
      <c r="DL2" s="16">
        <f t="shared" ref="DL2:DQ17" si="1">$DS2</f>
        <v>9513893.5475894753</v>
      </c>
      <c r="DM2" s="16">
        <f t="shared" si="1"/>
        <v>9513893.5475894753</v>
      </c>
      <c r="DN2" s="16">
        <f t="shared" si="1"/>
        <v>9513893.5475894753</v>
      </c>
      <c r="DO2" s="16">
        <f t="shared" si="1"/>
        <v>9513893.5475894753</v>
      </c>
      <c r="DP2" s="16">
        <f t="shared" si="1"/>
        <v>9513893.5475894753</v>
      </c>
      <c r="DQ2" s="16">
        <f t="shared" si="1"/>
        <v>9513893.5475894753</v>
      </c>
      <c r="DR2" s="16">
        <f>$DS2</f>
        <v>9513893.5475894753</v>
      </c>
      <c r="DS2" s="16">
        <f>IF(Calculations!B129="",0,Calculations!B129)</f>
        <v>9513893.5475894753</v>
      </c>
      <c r="DT2" s="16">
        <f>IF(Calculations!C129="",0,Calculations!C129)</f>
        <v>9107947.7807248812</v>
      </c>
      <c r="DU2" s="16">
        <f>IF(Calculations!D129="",0,Calculations!D129)</f>
        <v>9824560.171693407</v>
      </c>
      <c r="DV2" s="16">
        <f>IF(Calculations!E129="",0,Calculations!E129)</f>
        <v>9911218.9519603495</v>
      </c>
      <c r="DW2" s="16">
        <f>IF(Calculations!F129="",0,Calculations!F129)</f>
        <v>10234223.016719157</v>
      </c>
      <c r="DX2" s="16">
        <f>IF(Calculations!G129="",0,Calculations!G129)</f>
        <v>10469297.990381382</v>
      </c>
      <c r="DY2" s="16">
        <f>IF(Calculations!H129="",0,Calculations!H129)</f>
        <v>10943548.005279996</v>
      </c>
      <c r="DZ2" s="16">
        <f>IF(Calculations!I129="",0,Calculations!I129)</f>
        <v>13454269.05985246</v>
      </c>
      <c r="EA2" s="16">
        <f>IF(Calculations!J129="",0,Calculations!J129)</f>
        <v>12442885.069430307</v>
      </c>
      <c r="EB2" s="16">
        <f>IF(Calculations!K129="",0,Calculations!K129)</f>
        <v>10785546.611092968</v>
      </c>
      <c r="EC2" s="16">
        <f>IF(Calculations!L129="",0,Calculations!L129)</f>
        <v>9688634.0867063645</v>
      </c>
      <c r="ED2" s="16">
        <f>IF(Calculations!M129="",0,Calculations!M129)</f>
        <v>11258931.309323866</v>
      </c>
      <c r="EE2" s="16">
        <f>ED2</f>
        <v>11258931.309323866</v>
      </c>
      <c r="EF2" s="16">
        <f t="shared" ref="EF2:GQ3" si="2">EE2</f>
        <v>11258931.309323866</v>
      </c>
      <c r="EG2" s="16">
        <f t="shared" si="2"/>
        <v>11258931.309323866</v>
      </c>
      <c r="EH2" s="16">
        <f t="shared" si="2"/>
        <v>11258931.309323866</v>
      </c>
      <c r="EI2" s="16">
        <f t="shared" si="2"/>
        <v>11258931.309323866</v>
      </c>
      <c r="EJ2" s="16">
        <f t="shared" si="2"/>
        <v>11258931.309323866</v>
      </c>
      <c r="EK2" s="16">
        <f t="shared" si="2"/>
        <v>11258931.309323866</v>
      </c>
      <c r="EL2" s="16">
        <f t="shared" si="2"/>
        <v>11258931.309323866</v>
      </c>
      <c r="EM2" s="16">
        <f t="shared" si="2"/>
        <v>11258931.309323866</v>
      </c>
      <c r="EN2" s="16">
        <f t="shared" si="2"/>
        <v>11258931.309323866</v>
      </c>
      <c r="EO2" s="16">
        <f t="shared" si="2"/>
        <v>11258931.309323866</v>
      </c>
      <c r="EP2" s="16">
        <f t="shared" si="2"/>
        <v>11258931.309323866</v>
      </c>
      <c r="EQ2" s="16">
        <f t="shared" si="2"/>
        <v>11258931.309323866</v>
      </c>
      <c r="ER2" s="16">
        <f t="shared" si="2"/>
        <v>11258931.309323866</v>
      </c>
      <c r="ES2" s="16">
        <f t="shared" si="2"/>
        <v>11258931.309323866</v>
      </c>
      <c r="ET2" s="16">
        <f t="shared" si="2"/>
        <v>11258931.309323866</v>
      </c>
      <c r="EU2" s="16">
        <f t="shared" si="2"/>
        <v>11258931.309323866</v>
      </c>
      <c r="EV2" s="16">
        <f t="shared" si="2"/>
        <v>11258931.309323866</v>
      </c>
      <c r="EW2" s="16">
        <f t="shared" si="2"/>
        <v>11258931.309323866</v>
      </c>
      <c r="EX2" s="16">
        <f t="shared" si="2"/>
        <v>11258931.309323866</v>
      </c>
      <c r="EY2" s="16">
        <f t="shared" si="2"/>
        <v>11258931.309323866</v>
      </c>
      <c r="EZ2" s="16">
        <f t="shared" si="2"/>
        <v>11258931.309323866</v>
      </c>
      <c r="FA2" s="16">
        <f t="shared" si="2"/>
        <v>11258931.309323866</v>
      </c>
      <c r="FB2" s="16">
        <f t="shared" si="2"/>
        <v>11258931.309323866</v>
      </c>
      <c r="FC2" s="16">
        <f t="shared" si="2"/>
        <v>11258931.309323866</v>
      </c>
      <c r="FD2" s="16">
        <f t="shared" si="2"/>
        <v>11258931.309323866</v>
      </c>
      <c r="FE2" s="16">
        <f t="shared" si="2"/>
        <v>11258931.309323866</v>
      </c>
      <c r="FF2" s="16">
        <f t="shared" si="2"/>
        <v>11258931.309323866</v>
      </c>
      <c r="FG2" s="16">
        <f t="shared" si="2"/>
        <v>11258931.309323866</v>
      </c>
      <c r="FH2" s="16">
        <f t="shared" si="2"/>
        <v>11258931.309323866</v>
      </c>
      <c r="FI2" s="16">
        <f t="shared" si="2"/>
        <v>11258931.309323866</v>
      </c>
      <c r="FJ2" s="16">
        <f t="shared" si="2"/>
        <v>11258931.309323866</v>
      </c>
      <c r="FK2" s="16">
        <f t="shared" si="2"/>
        <v>11258931.309323866</v>
      </c>
      <c r="FL2" s="16">
        <f t="shared" si="2"/>
        <v>11258931.309323866</v>
      </c>
      <c r="FM2" s="16">
        <f t="shared" si="2"/>
        <v>11258931.309323866</v>
      </c>
      <c r="FN2" s="16">
        <f t="shared" si="2"/>
        <v>11258931.309323866</v>
      </c>
      <c r="FO2" s="16">
        <f t="shared" si="2"/>
        <v>11258931.309323866</v>
      </c>
      <c r="FP2" s="16">
        <f t="shared" si="2"/>
        <v>11258931.309323866</v>
      </c>
      <c r="FQ2" s="16">
        <f t="shared" si="2"/>
        <v>11258931.309323866</v>
      </c>
      <c r="FR2" s="16">
        <f t="shared" si="2"/>
        <v>11258931.309323866</v>
      </c>
      <c r="FS2" s="16">
        <f t="shared" si="2"/>
        <v>11258931.309323866</v>
      </c>
      <c r="FT2" s="16">
        <f t="shared" si="2"/>
        <v>11258931.309323866</v>
      </c>
      <c r="FU2" s="16">
        <f t="shared" si="2"/>
        <v>11258931.309323866</v>
      </c>
      <c r="FV2" s="16">
        <f t="shared" si="2"/>
        <v>11258931.309323866</v>
      </c>
      <c r="FW2" s="16">
        <f t="shared" si="2"/>
        <v>11258931.309323866</v>
      </c>
      <c r="FX2" s="16">
        <f t="shared" si="2"/>
        <v>11258931.309323866</v>
      </c>
      <c r="FY2" s="16">
        <f t="shared" si="2"/>
        <v>11258931.309323866</v>
      </c>
      <c r="FZ2" s="16">
        <f t="shared" si="2"/>
        <v>11258931.309323866</v>
      </c>
      <c r="GA2" s="16">
        <f t="shared" si="2"/>
        <v>11258931.309323866</v>
      </c>
      <c r="GB2" s="16">
        <f t="shared" si="2"/>
        <v>11258931.309323866</v>
      </c>
      <c r="GC2" s="16">
        <f t="shared" si="2"/>
        <v>11258931.309323866</v>
      </c>
      <c r="GD2" s="16">
        <f t="shared" si="2"/>
        <v>11258931.309323866</v>
      </c>
      <c r="GE2" s="16">
        <f t="shared" si="2"/>
        <v>11258931.309323866</v>
      </c>
      <c r="GF2" s="16">
        <f t="shared" si="2"/>
        <v>11258931.309323866</v>
      </c>
      <c r="GG2" s="16">
        <f t="shared" si="2"/>
        <v>11258931.309323866</v>
      </c>
      <c r="GH2" s="16">
        <f t="shared" si="2"/>
        <v>11258931.309323866</v>
      </c>
      <c r="GI2" s="16">
        <f t="shared" si="2"/>
        <v>11258931.309323866</v>
      </c>
      <c r="GJ2" s="16">
        <f t="shared" si="2"/>
        <v>11258931.309323866</v>
      </c>
      <c r="GK2" s="16">
        <f t="shared" si="2"/>
        <v>11258931.309323866</v>
      </c>
      <c r="GL2" s="16">
        <f t="shared" si="2"/>
        <v>11258931.309323866</v>
      </c>
      <c r="GM2" s="16">
        <f t="shared" si="2"/>
        <v>11258931.309323866</v>
      </c>
      <c r="GN2" s="16">
        <f t="shared" si="2"/>
        <v>11258931.309323866</v>
      </c>
      <c r="GO2" s="16">
        <f t="shared" si="2"/>
        <v>11258931.309323866</v>
      </c>
      <c r="GP2" s="16">
        <f t="shared" si="2"/>
        <v>11258931.309323866</v>
      </c>
      <c r="GQ2" s="16">
        <f t="shared" si="2"/>
        <v>11258931.309323866</v>
      </c>
      <c r="GR2" s="16">
        <f t="shared" ref="GR2:HC6" si="3">GQ2</f>
        <v>11258931.309323866</v>
      </c>
      <c r="GS2" s="16">
        <f t="shared" si="3"/>
        <v>11258931.309323866</v>
      </c>
      <c r="GT2" s="16">
        <f t="shared" si="3"/>
        <v>11258931.309323866</v>
      </c>
      <c r="GU2" s="16">
        <f t="shared" si="3"/>
        <v>11258931.309323866</v>
      </c>
      <c r="GV2" s="16">
        <f t="shared" si="3"/>
        <v>11258931.309323866</v>
      </c>
      <c r="GW2" s="16">
        <f t="shared" si="3"/>
        <v>11258931.309323866</v>
      </c>
      <c r="GX2" s="16">
        <f t="shared" si="3"/>
        <v>11258931.309323866</v>
      </c>
      <c r="GY2" s="16">
        <f t="shared" si="3"/>
        <v>11258931.309323866</v>
      </c>
      <c r="GZ2" s="16">
        <f t="shared" si="3"/>
        <v>11258931.309323866</v>
      </c>
      <c r="HA2" s="16">
        <f t="shared" si="3"/>
        <v>11258931.309323866</v>
      </c>
      <c r="HB2" s="16">
        <f t="shared" si="3"/>
        <v>11258931.309323866</v>
      </c>
      <c r="HC2" s="16">
        <f t="shared" si="3"/>
        <v>11258931.309323866</v>
      </c>
    </row>
    <row r="3" spans="1:211" x14ac:dyDescent="0.25">
      <c r="A3" t="s">
        <v>36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16">
        <f t="shared" si="0"/>
        <v>11454816.765251786</v>
      </c>
      <c r="BT3" s="16">
        <f t="shared" si="0"/>
        <v>11454816.765251786</v>
      </c>
      <c r="BU3" s="16">
        <f t="shared" si="0"/>
        <v>11454816.765251786</v>
      </c>
      <c r="BV3" s="16">
        <f t="shared" si="0"/>
        <v>11454816.765251786</v>
      </c>
      <c r="BW3" s="16">
        <f t="shared" si="0"/>
        <v>11454816.765251786</v>
      </c>
      <c r="BX3" s="16">
        <f t="shared" si="0"/>
        <v>11454816.765251786</v>
      </c>
      <c r="BY3" s="16">
        <f t="shared" si="0"/>
        <v>11454816.765251786</v>
      </c>
      <c r="BZ3" s="16">
        <f t="shared" si="0"/>
        <v>11454816.765251786</v>
      </c>
      <c r="CA3" s="16">
        <f t="shared" si="0"/>
        <v>11454816.765251786</v>
      </c>
      <c r="CB3" s="16">
        <f t="shared" si="0"/>
        <v>11454816.765251786</v>
      </c>
      <c r="CC3" s="16">
        <f t="shared" si="0"/>
        <v>11454816.765251786</v>
      </c>
      <c r="CD3" s="16">
        <f t="shared" si="0"/>
        <v>11454816.765251786</v>
      </c>
      <c r="CE3" s="16">
        <f t="shared" si="0"/>
        <v>11454816.765251786</v>
      </c>
      <c r="CF3" s="16">
        <f t="shared" si="0"/>
        <v>11454816.765251786</v>
      </c>
      <c r="CG3" s="16">
        <f t="shared" si="0"/>
        <v>11454816.765251786</v>
      </c>
      <c r="CH3" s="16">
        <f t="shared" si="0"/>
        <v>11454816.765251786</v>
      </c>
      <c r="CI3" s="16">
        <f t="shared" si="0"/>
        <v>11454816.765251786</v>
      </c>
      <c r="CJ3" s="16">
        <f t="shared" si="0"/>
        <v>11454816.765251786</v>
      </c>
      <c r="CK3" s="16">
        <f t="shared" si="0"/>
        <v>11454816.765251786</v>
      </c>
      <c r="CL3" s="16">
        <f t="shared" si="0"/>
        <v>11454816.765251786</v>
      </c>
      <c r="CM3" s="16">
        <f t="shared" si="0"/>
        <v>11454816.765251786</v>
      </c>
      <c r="CN3" s="16">
        <f t="shared" si="0"/>
        <v>11454816.765251786</v>
      </c>
      <c r="CO3" s="16">
        <f t="shared" si="0"/>
        <v>11454816.765251786</v>
      </c>
      <c r="CP3" s="16">
        <f t="shared" si="0"/>
        <v>11454816.765251786</v>
      </c>
      <c r="CQ3" s="16">
        <f t="shared" si="0"/>
        <v>11454816.765251786</v>
      </c>
      <c r="CR3" s="16">
        <f t="shared" si="0"/>
        <v>11454816.765251786</v>
      </c>
      <c r="CS3" s="16">
        <f t="shared" si="0"/>
        <v>11454816.765251786</v>
      </c>
      <c r="CT3" s="16">
        <f t="shared" si="0"/>
        <v>11454816.765251786</v>
      </c>
      <c r="CU3" s="16">
        <f t="shared" si="0"/>
        <v>11454816.765251786</v>
      </c>
      <c r="CV3" s="16">
        <f t="shared" si="0"/>
        <v>11454816.765251786</v>
      </c>
      <c r="CW3" s="16">
        <f t="shared" si="0"/>
        <v>11454816.765251786</v>
      </c>
      <c r="CX3" s="16">
        <f t="shared" si="0"/>
        <v>11454816.765251786</v>
      </c>
      <c r="CY3" s="16">
        <f t="shared" si="0"/>
        <v>11454816.765251786</v>
      </c>
      <c r="CZ3" s="16">
        <f t="shared" si="0"/>
        <v>11454816.765251786</v>
      </c>
      <c r="DA3" s="16">
        <f t="shared" si="0"/>
        <v>11454816.765251786</v>
      </c>
      <c r="DB3" s="16">
        <f t="shared" si="0"/>
        <v>11454816.765251786</v>
      </c>
      <c r="DC3" s="16">
        <f t="shared" si="0"/>
        <v>11454816.765251786</v>
      </c>
      <c r="DD3" s="16">
        <f t="shared" si="0"/>
        <v>11454816.765251786</v>
      </c>
      <c r="DE3" s="16">
        <f t="shared" si="0"/>
        <v>11454816.765251786</v>
      </c>
      <c r="DF3" s="16">
        <f t="shared" si="0"/>
        <v>11454816.765251786</v>
      </c>
      <c r="DG3" s="16">
        <f t="shared" si="0"/>
        <v>11454816.765251786</v>
      </c>
      <c r="DH3" s="16">
        <f t="shared" si="0"/>
        <v>11454816.765251786</v>
      </c>
      <c r="DI3" s="16">
        <f t="shared" si="0"/>
        <v>11454816.765251786</v>
      </c>
      <c r="DJ3" s="16">
        <f t="shared" si="0"/>
        <v>11454816.765251786</v>
      </c>
      <c r="DK3" s="16">
        <f t="shared" si="0"/>
        <v>11454816.765251786</v>
      </c>
      <c r="DL3" s="16">
        <f t="shared" si="1"/>
        <v>11454816.765251786</v>
      </c>
      <c r="DM3" s="16">
        <f t="shared" si="1"/>
        <v>11454816.765251786</v>
      </c>
      <c r="DN3" s="16">
        <f t="shared" si="1"/>
        <v>11454816.765251786</v>
      </c>
      <c r="DO3" s="16">
        <f t="shared" si="1"/>
        <v>11454816.765251786</v>
      </c>
      <c r="DP3" s="16">
        <f t="shared" si="1"/>
        <v>11454816.765251786</v>
      </c>
      <c r="DQ3" s="16">
        <f t="shared" si="1"/>
        <v>11454816.765251786</v>
      </c>
      <c r="DR3" s="16">
        <f t="shared" ref="DR3:DR25" si="4">$DS3</f>
        <v>11454816.765251786</v>
      </c>
      <c r="DS3" s="16">
        <f>IF(Calculations!B130="",0,Calculations!B130)</f>
        <v>11454816.765251786</v>
      </c>
      <c r="DT3" s="16">
        <f>IF(Calculations!C130="",0,Calculations!C130)</f>
        <v>11469227.328828543</v>
      </c>
      <c r="DU3" s="16">
        <f>IF(Calculations!D130="",0,Calculations!D130)</f>
        <v>10750385.681949632</v>
      </c>
      <c r="DV3" s="16">
        <f>IF(Calculations!E130="",0,Calculations!E130)</f>
        <v>9869776.2566132341</v>
      </c>
      <c r="DW3" s="16">
        <f>IF(Calculations!F130="",0,Calculations!F130)</f>
        <v>12400888.206421601</v>
      </c>
      <c r="DX3" s="16">
        <f>IF(Calculations!G130="",0,Calculations!G130)</f>
        <v>12740843.215691302</v>
      </c>
      <c r="DY3" s="16">
        <f>IF(Calculations!H130="",0,Calculations!H130)</f>
        <v>13019295.35193415</v>
      </c>
      <c r="DZ3" s="16">
        <f>IF(Calculations!I130="",0,Calculations!I130)</f>
        <v>12079234.999002606</v>
      </c>
      <c r="EA3" s="16">
        <f>IF(Calculations!J130="",0,Calculations!J130)</f>
        <v>11471128.895419961</v>
      </c>
      <c r="EB3" s="16">
        <f>IF(Calculations!K130="",0,Calculations!K130)</f>
        <v>13262933.079211233</v>
      </c>
      <c r="EC3" s="16">
        <f>IF(Calculations!L130="",0,Calculations!L130)</f>
        <v>15713010.508570157</v>
      </c>
      <c r="ED3" s="16">
        <f>IF(Calculations!M130="",0,Calculations!M130)</f>
        <v>13262077.238339525</v>
      </c>
      <c r="EE3" s="16">
        <f t="shared" ref="EE3:ET25" si="5">ED3</f>
        <v>13262077.238339525</v>
      </c>
      <c r="EF3" s="16">
        <f t="shared" si="5"/>
        <v>13262077.238339525</v>
      </c>
      <c r="EG3" s="16">
        <f t="shared" si="5"/>
        <v>13262077.238339525</v>
      </c>
      <c r="EH3" s="16">
        <f t="shared" si="5"/>
        <v>13262077.238339525</v>
      </c>
      <c r="EI3" s="16">
        <f t="shared" si="5"/>
        <v>13262077.238339525</v>
      </c>
      <c r="EJ3" s="16">
        <f t="shared" si="5"/>
        <v>13262077.238339525</v>
      </c>
      <c r="EK3" s="16">
        <f t="shared" si="5"/>
        <v>13262077.238339525</v>
      </c>
      <c r="EL3" s="16">
        <f t="shared" si="5"/>
        <v>13262077.238339525</v>
      </c>
      <c r="EM3" s="16">
        <f t="shared" si="5"/>
        <v>13262077.238339525</v>
      </c>
      <c r="EN3" s="16">
        <f t="shared" si="5"/>
        <v>13262077.238339525</v>
      </c>
      <c r="EO3" s="16">
        <f t="shared" si="5"/>
        <v>13262077.238339525</v>
      </c>
      <c r="EP3" s="16">
        <f t="shared" si="5"/>
        <v>13262077.238339525</v>
      </c>
      <c r="EQ3" s="16">
        <f t="shared" si="5"/>
        <v>13262077.238339525</v>
      </c>
      <c r="ER3" s="16">
        <f t="shared" si="5"/>
        <v>13262077.238339525</v>
      </c>
      <c r="ES3" s="16">
        <f t="shared" si="5"/>
        <v>13262077.238339525</v>
      </c>
      <c r="ET3" s="16">
        <f t="shared" si="5"/>
        <v>13262077.238339525</v>
      </c>
      <c r="EU3" s="16">
        <f t="shared" si="2"/>
        <v>13262077.238339525</v>
      </c>
      <c r="EV3" s="16">
        <f t="shared" si="2"/>
        <v>13262077.238339525</v>
      </c>
      <c r="EW3" s="16">
        <f t="shared" si="2"/>
        <v>13262077.238339525</v>
      </c>
      <c r="EX3" s="16">
        <f t="shared" si="2"/>
        <v>13262077.238339525</v>
      </c>
      <c r="EY3" s="16">
        <f t="shared" si="2"/>
        <v>13262077.238339525</v>
      </c>
      <c r="EZ3" s="16">
        <f t="shared" si="2"/>
        <v>13262077.238339525</v>
      </c>
      <c r="FA3" s="16">
        <f t="shared" si="2"/>
        <v>13262077.238339525</v>
      </c>
      <c r="FB3" s="16">
        <f t="shared" si="2"/>
        <v>13262077.238339525</v>
      </c>
      <c r="FC3" s="16">
        <f t="shared" si="2"/>
        <v>13262077.238339525</v>
      </c>
      <c r="FD3" s="16">
        <f t="shared" si="2"/>
        <v>13262077.238339525</v>
      </c>
      <c r="FE3" s="16">
        <f t="shared" si="2"/>
        <v>13262077.238339525</v>
      </c>
      <c r="FF3" s="16">
        <f t="shared" si="2"/>
        <v>13262077.238339525</v>
      </c>
      <c r="FG3" s="16">
        <f t="shared" si="2"/>
        <v>13262077.238339525</v>
      </c>
      <c r="FH3" s="16">
        <f t="shared" si="2"/>
        <v>13262077.238339525</v>
      </c>
      <c r="FI3" s="16">
        <f t="shared" si="2"/>
        <v>13262077.238339525</v>
      </c>
      <c r="FJ3" s="16">
        <f t="shared" si="2"/>
        <v>13262077.238339525</v>
      </c>
      <c r="FK3" s="16">
        <f t="shared" si="2"/>
        <v>13262077.238339525</v>
      </c>
      <c r="FL3" s="16">
        <f t="shared" si="2"/>
        <v>13262077.238339525</v>
      </c>
      <c r="FM3" s="16">
        <f t="shared" si="2"/>
        <v>13262077.238339525</v>
      </c>
      <c r="FN3" s="16">
        <f t="shared" si="2"/>
        <v>13262077.238339525</v>
      </c>
      <c r="FO3" s="16">
        <f t="shared" si="2"/>
        <v>13262077.238339525</v>
      </c>
      <c r="FP3" s="16">
        <f t="shared" si="2"/>
        <v>13262077.238339525</v>
      </c>
      <c r="FQ3" s="16">
        <f t="shared" si="2"/>
        <v>13262077.238339525</v>
      </c>
      <c r="FR3" s="16">
        <f t="shared" si="2"/>
        <v>13262077.238339525</v>
      </c>
      <c r="FS3" s="16">
        <f t="shared" si="2"/>
        <v>13262077.238339525</v>
      </c>
      <c r="FT3" s="16">
        <f t="shared" si="2"/>
        <v>13262077.238339525</v>
      </c>
      <c r="FU3" s="16">
        <f t="shared" si="2"/>
        <v>13262077.238339525</v>
      </c>
      <c r="FV3" s="16">
        <f t="shared" si="2"/>
        <v>13262077.238339525</v>
      </c>
      <c r="FW3" s="16">
        <f t="shared" si="2"/>
        <v>13262077.238339525</v>
      </c>
      <c r="FX3" s="16">
        <f t="shared" si="2"/>
        <v>13262077.238339525</v>
      </c>
      <c r="FY3" s="16">
        <f t="shared" si="2"/>
        <v>13262077.238339525</v>
      </c>
      <c r="FZ3" s="16">
        <f t="shared" si="2"/>
        <v>13262077.238339525</v>
      </c>
      <c r="GA3" s="16">
        <f t="shared" si="2"/>
        <v>13262077.238339525</v>
      </c>
      <c r="GB3" s="16">
        <f t="shared" si="2"/>
        <v>13262077.238339525</v>
      </c>
      <c r="GC3" s="16">
        <f t="shared" si="2"/>
        <v>13262077.238339525</v>
      </c>
      <c r="GD3" s="16">
        <f t="shared" si="2"/>
        <v>13262077.238339525</v>
      </c>
      <c r="GE3" s="16">
        <f t="shared" si="2"/>
        <v>13262077.238339525</v>
      </c>
      <c r="GF3" s="16">
        <f t="shared" si="2"/>
        <v>13262077.238339525</v>
      </c>
      <c r="GG3" s="16">
        <f t="shared" si="2"/>
        <v>13262077.238339525</v>
      </c>
      <c r="GH3" s="16">
        <f t="shared" si="2"/>
        <v>13262077.238339525</v>
      </c>
      <c r="GI3" s="16">
        <f t="shared" si="2"/>
        <v>13262077.238339525</v>
      </c>
      <c r="GJ3" s="16">
        <f t="shared" si="2"/>
        <v>13262077.238339525</v>
      </c>
      <c r="GK3" s="16">
        <f t="shared" si="2"/>
        <v>13262077.238339525</v>
      </c>
      <c r="GL3" s="16">
        <f t="shared" si="2"/>
        <v>13262077.238339525</v>
      </c>
      <c r="GM3" s="16">
        <f t="shared" si="2"/>
        <v>13262077.238339525</v>
      </c>
      <c r="GN3" s="16">
        <f t="shared" si="2"/>
        <v>13262077.238339525</v>
      </c>
      <c r="GO3" s="16">
        <f t="shared" si="2"/>
        <v>13262077.238339525</v>
      </c>
      <c r="GP3" s="16">
        <f t="shared" si="2"/>
        <v>13262077.238339525</v>
      </c>
      <c r="GQ3" s="16">
        <f t="shared" si="2"/>
        <v>13262077.238339525</v>
      </c>
      <c r="GR3" s="16">
        <f t="shared" si="3"/>
        <v>13262077.238339525</v>
      </c>
      <c r="GS3" s="16">
        <f t="shared" si="3"/>
        <v>13262077.238339525</v>
      </c>
      <c r="GT3" s="16">
        <f t="shared" si="3"/>
        <v>13262077.238339525</v>
      </c>
      <c r="GU3" s="16">
        <f t="shared" si="3"/>
        <v>13262077.238339525</v>
      </c>
      <c r="GV3" s="16">
        <f t="shared" si="3"/>
        <v>13262077.238339525</v>
      </c>
      <c r="GW3" s="16">
        <f t="shared" si="3"/>
        <v>13262077.238339525</v>
      </c>
      <c r="GX3" s="16">
        <f t="shared" si="3"/>
        <v>13262077.238339525</v>
      </c>
      <c r="GY3" s="16">
        <f t="shared" si="3"/>
        <v>13262077.238339525</v>
      </c>
      <c r="GZ3" s="16">
        <f t="shared" si="3"/>
        <v>13262077.238339525</v>
      </c>
      <c r="HA3" s="16">
        <f t="shared" si="3"/>
        <v>13262077.238339525</v>
      </c>
      <c r="HB3" s="16">
        <f t="shared" si="3"/>
        <v>13262077.238339525</v>
      </c>
      <c r="HC3" s="16">
        <f t="shared" si="3"/>
        <v>13262077.238339525</v>
      </c>
    </row>
    <row r="4" spans="1:211" x14ac:dyDescent="0.25">
      <c r="A4" t="s">
        <v>38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16">
        <f t="shared" si="0"/>
        <v>7396614.7927751234</v>
      </c>
      <c r="BT4" s="16">
        <f t="shared" si="0"/>
        <v>7396614.7927751234</v>
      </c>
      <c r="BU4" s="16">
        <f t="shared" si="0"/>
        <v>7396614.7927751234</v>
      </c>
      <c r="BV4" s="16">
        <f t="shared" si="0"/>
        <v>7396614.7927751234</v>
      </c>
      <c r="BW4" s="16">
        <f t="shared" si="0"/>
        <v>7396614.7927751234</v>
      </c>
      <c r="BX4" s="16">
        <f t="shared" si="0"/>
        <v>7396614.7927751234</v>
      </c>
      <c r="BY4" s="16">
        <f t="shared" si="0"/>
        <v>7396614.7927751234</v>
      </c>
      <c r="BZ4" s="16">
        <f t="shared" si="0"/>
        <v>7396614.7927751234</v>
      </c>
      <c r="CA4" s="16">
        <f t="shared" si="0"/>
        <v>7396614.7927751234</v>
      </c>
      <c r="CB4" s="16">
        <f t="shared" si="0"/>
        <v>7396614.7927751234</v>
      </c>
      <c r="CC4" s="16">
        <f t="shared" si="0"/>
        <v>7396614.7927751234</v>
      </c>
      <c r="CD4" s="16">
        <f t="shared" si="0"/>
        <v>7396614.7927751234</v>
      </c>
      <c r="CE4" s="16">
        <f t="shared" si="0"/>
        <v>7396614.7927751234</v>
      </c>
      <c r="CF4" s="16">
        <f t="shared" si="0"/>
        <v>7396614.7927751234</v>
      </c>
      <c r="CG4" s="16">
        <f t="shared" si="0"/>
        <v>7396614.7927751234</v>
      </c>
      <c r="CH4" s="16">
        <f t="shared" si="0"/>
        <v>7396614.7927751234</v>
      </c>
      <c r="CI4" s="16">
        <f t="shared" si="0"/>
        <v>7396614.7927751234</v>
      </c>
      <c r="CJ4" s="16">
        <f t="shared" si="0"/>
        <v>7396614.7927751234</v>
      </c>
      <c r="CK4" s="16">
        <f t="shared" si="0"/>
        <v>7396614.7927751234</v>
      </c>
      <c r="CL4" s="16">
        <f t="shared" si="0"/>
        <v>7396614.7927751234</v>
      </c>
      <c r="CM4" s="16">
        <f t="shared" si="0"/>
        <v>7396614.7927751234</v>
      </c>
      <c r="CN4" s="16">
        <f t="shared" si="0"/>
        <v>7396614.7927751234</v>
      </c>
      <c r="CO4" s="16">
        <f t="shared" si="0"/>
        <v>7396614.7927751234</v>
      </c>
      <c r="CP4" s="16">
        <f t="shared" si="0"/>
        <v>7396614.7927751234</v>
      </c>
      <c r="CQ4" s="16">
        <f t="shared" si="0"/>
        <v>7396614.7927751234</v>
      </c>
      <c r="CR4" s="16">
        <f t="shared" si="0"/>
        <v>7396614.7927751234</v>
      </c>
      <c r="CS4" s="16">
        <f t="shared" si="0"/>
        <v>7396614.7927751234</v>
      </c>
      <c r="CT4" s="16">
        <f t="shared" si="0"/>
        <v>7396614.7927751234</v>
      </c>
      <c r="CU4" s="16">
        <f t="shared" si="0"/>
        <v>7396614.7927751234</v>
      </c>
      <c r="CV4" s="16">
        <f t="shared" si="0"/>
        <v>7396614.7927751234</v>
      </c>
      <c r="CW4" s="16">
        <f t="shared" si="0"/>
        <v>7396614.7927751234</v>
      </c>
      <c r="CX4" s="16">
        <f t="shared" si="0"/>
        <v>7396614.7927751234</v>
      </c>
      <c r="CY4" s="16">
        <f t="shared" si="0"/>
        <v>7396614.7927751234</v>
      </c>
      <c r="CZ4" s="16">
        <f t="shared" si="0"/>
        <v>7396614.7927751234</v>
      </c>
      <c r="DA4" s="16">
        <f t="shared" si="0"/>
        <v>7396614.7927751234</v>
      </c>
      <c r="DB4" s="16">
        <f t="shared" si="0"/>
        <v>7396614.7927751234</v>
      </c>
      <c r="DC4" s="16">
        <f t="shared" si="0"/>
        <v>7396614.7927751234</v>
      </c>
      <c r="DD4" s="16">
        <f t="shared" si="0"/>
        <v>7396614.7927751234</v>
      </c>
      <c r="DE4" s="16">
        <f t="shared" si="0"/>
        <v>7396614.7927751234</v>
      </c>
      <c r="DF4" s="16">
        <f t="shared" si="0"/>
        <v>7396614.7927751234</v>
      </c>
      <c r="DG4" s="16">
        <f t="shared" si="0"/>
        <v>7396614.7927751234</v>
      </c>
      <c r="DH4" s="16">
        <f t="shared" si="0"/>
        <v>7396614.7927751234</v>
      </c>
      <c r="DI4" s="16">
        <f t="shared" si="0"/>
        <v>7396614.7927751234</v>
      </c>
      <c r="DJ4" s="16">
        <f t="shared" si="0"/>
        <v>7396614.7927751234</v>
      </c>
      <c r="DK4" s="16">
        <f t="shared" si="0"/>
        <v>7396614.7927751234</v>
      </c>
      <c r="DL4" s="16">
        <f t="shared" si="1"/>
        <v>7396614.7927751234</v>
      </c>
      <c r="DM4" s="16">
        <f t="shared" si="1"/>
        <v>7396614.7927751234</v>
      </c>
      <c r="DN4" s="16">
        <f t="shared" si="1"/>
        <v>7396614.7927751234</v>
      </c>
      <c r="DO4" s="16">
        <f t="shared" si="1"/>
        <v>7396614.7927751234</v>
      </c>
      <c r="DP4" s="16">
        <f t="shared" si="1"/>
        <v>7396614.7927751234</v>
      </c>
      <c r="DQ4" s="16">
        <f t="shared" si="1"/>
        <v>7396614.7927751234</v>
      </c>
      <c r="DR4" s="16">
        <f t="shared" si="4"/>
        <v>7396614.7927751234</v>
      </c>
      <c r="DS4" s="16">
        <f>IF(Calculations!B131="",0,Calculations!B131)</f>
        <v>7396614.7927751234</v>
      </c>
      <c r="DT4" s="16">
        <f>IF(Calculations!C131="",0,Calculations!C131)</f>
        <v>7547504.7947588172</v>
      </c>
      <c r="DU4" s="16">
        <f>IF(Calculations!D131="",0,Calculations!D131)</f>
        <v>7377524.3496411992</v>
      </c>
      <c r="DV4" s="16">
        <f>IF(Calculations!E131="",0,Calculations!E131)</f>
        <v>7980270.3075390011</v>
      </c>
      <c r="DW4" s="16">
        <f>IF(Calculations!F131="",0,Calculations!F131)</f>
        <v>8798436.0542436019</v>
      </c>
      <c r="DX4" s="16">
        <f>IF(Calculations!G131="",0,Calculations!G131)</f>
        <v>8506001.0138891824</v>
      </c>
      <c r="DY4" s="16">
        <f>IF(Calculations!H131="",0,Calculations!H131)</f>
        <v>8870388.9594430197</v>
      </c>
      <c r="DZ4" s="16">
        <f>IF(Calculations!I131="",0,Calculations!I131)</f>
        <v>7997709.4194902638</v>
      </c>
      <c r="EA4" s="16">
        <f>IF(Calculations!J131="",0,Calculations!J131)</f>
        <v>7821457.1515578339</v>
      </c>
      <c r="EB4" s="16">
        <f>IF(Calculations!K131="",0,Calculations!K131)</f>
        <v>7872044.0787469065</v>
      </c>
      <c r="EC4" s="16">
        <f>IF(Calculations!L131="",0,Calculations!L131)</f>
        <v>9205052.1305030249</v>
      </c>
      <c r="ED4" s="16">
        <f>IF(Calculations!M131="",0,Calculations!M131)</f>
        <v>9395761.9602870792</v>
      </c>
      <c r="EE4" s="16">
        <f t="shared" si="5"/>
        <v>9395761.9602870792</v>
      </c>
      <c r="EF4" s="16">
        <f t="shared" ref="EF4:GQ7" si="6">EE4</f>
        <v>9395761.9602870792</v>
      </c>
      <c r="EG4" s="16">
        <f t="shared" si="6"/>
        <v>9395761.9602870792</v>
      </c>
      <c r="EH4" s="16">
        <f t="shared" si="6"/>
        <v>9395761.9602870792</v>
      </c>
      <c r="EI4" s="16">
        <f t="shared" si="6"/>
        <v>9395761.9602870792</v>
      </c>
      <c r="EJ4" s="16">
        <f t="shared" si="6"/>
        <v>9395761.9602870792</v>
      </c>
      <c r="EK4" s="16">
        <f t="shared" si="6"/>
        <v>9395761.9602870792</v>
      </c>
      <c r="EL4" s="16">
        <f t="shared" si="6"/>
        <v>9395761.9602870792</v>
      </c>
      <c r="EM4" s="16">
        <f t="shared" si="6"/>
        <v>9395761.9602870792</v>
      </c>
      <c r="EN4" s="16">
        <f t="shared" si="6"/>
        <v>9395761.9602870792</v>
      </c>
      <c r="EO4" s="16">
        <f t="shared" si="6"/>
        <v>9395761.9602870792</v>
      </c>
      <c r="EP4" s="16">
        <f t="shared" si="6"/>
        <v>9395761.9602870792</v>
      </c>
      <c r="EQ4" s="16">
        <f t="shared" si="6"/>
        <v>9395761.9602870792</v>
      </c>
      <c r="ER4" s="16">
        <f t="shared" si="6"/>
        <v>9395761.9602870792</v>
      </c>
      <c r="ES4" s="16">
        <f t="shared" si="6"/>
        <v>9395761.9602870792</v>
      </c>
      <c r="ET4" s="16">
        <f t="shared" si="6"/>
        <v>9395761.9602870792</v>
      </c>
      <c r="EU4" s="16">
        <f t="shared" si="6"/>
        <v>9395761.9602870792</v>
      </c>
      <c r="EV4" s="16">
        <f t="shared" si="6"/>
        <v>9395761.9602870792</v>
      </c>
      <c r="EW4" s="16">
        <f t="shared" si="6"/>
        <v>9395761.9602870792</v>
      </c>
      <c r="EX4" s="16">
        <f t="shared" si="6"/>
        <v>9395761.9602870792</v>
      </c>
      <c r="EY4" s="16">
        <f t="shared" si="6"/>
        <v>9395761.9602870792</v>
      </c>
      <c r="EZ4" s="16">
        <f t="shared" si="6"/>
        <v>9395761.9602870792</v>
      </c>
      <c r="FA4" s="16">
        <f t="shared" si="6"/>
        <v>9395761.9602870792</v>
      </c>
      <c r="FB4" s="16">
        <f t="shared" si="6"/>
        <v>9395761.9602870792</v>
      </c>
      <c r="FC4" s="16">
        <f t="shared" si="6"/>
        <v>9395761.9602870792</v>
      </c>
      <c r="FD4" s="16">
        <f t="shared" si="6"/>
        <v>9395761.9602870792</v>
      </c>
      <c r="FE4" s="16">
        <f t="shared" si="6"/>
        <v>9395761.9602870792</v>
      </c>
      <c r="FF4" s="16">
        <f t="shared" si="6"/>
        <v>9395761.9602870792</v>
      </c>
      <c r="FG4" s="16">
        <f t="shared" si="6"/>
        <v>9395761.9602870792</v>
      </c>
      <c r="FH4" s="16">
        <f t="shared" si="6"/>
        <v>9395761.9602870792</v>
      </c>
      <c r="FI4" s="16">
        <f t="shared" si="6"/>
        <v>9395761.9602870792</v>
      </c>
      <c r="FJ4" s="16">
        <f t="shared" si="6"/>
        <v>9395761.9602870792</v>
      </c>
      <c r="FK4" s="16">
        <f t="shared" si="6"/>
        <v>9395761.9602870792</v>
      </c>
      <c r="FL4" s="16">
        <f t="shared" si="6"/>
        <v>9395761.9602870792</v>
      </c>
      <c r="FM4" s="16">
        <f t="shared" si="6"/>
        <v>9395761.9602870792</v>
      </c>
      <c r="FN4" s="16">
        <f t="shared" si="6"/>
        <v>9395761.9602870792</v>
      </c>
      <c r="FO4" s="16">
        <f t="shared" si="6"/>
        <v>9395761.9602870792</v>
      </c>
      <c r="FP4" s="16">
        <f t="shared" si="6"/>
        <v>9395761.9602870792</v>
      </c>
      <c r="FQ4" s="16">
        <f t="shared" si="6"/>
        <v>9395761.9602870792</v>
      </c>
      <c r="FR4" s="16">
        <f t="shared" si="6"/>
        <v>9395761.9602870792</v>
      </c>
      <c r="FS4" s="16">
        <f t="shared" si="6"/>
        <v>9395761.9602870792</v>
      </c>
      <c r="FT4" s="16">
        <f t="shared" si="6"/>
        <v>9395761.9602870792</v>
      </c>
      <c r="FU4" s="16">
        <f t="shared" si="6"/>
        <v>9395761.9602870792</v>
      </c>
      <c r="FV4" s="16">
        <f t="shared" si="6"/>
        <v>9395761.9602870792</v>
      </c>
      <c r="FW4" s="16">
        <f t="shared" si="6"/>
        <v>9395761.9602870792</v>
      </c>
      <c r="FX4" s="16">
        <f t="shared" si="6"/>
        <v>9395761.9602870792</v>
      </c>
      <c r="FY4" s="16">
        <f t="shared" si="6"/>
        <v>9395761.9602870792</v>
      </c>
      <c r="FZ4" s="16">
        <f t="shared" si="6"/>
        <v>9395761.9602870792</v>
      </c>
      <c r="GA4" s="16">
        <f t="shared" si="6"/>
        <v>9395761.9602870792</v>
      </c>
      <c r="GB4" s="16">
        <f t="shared" si="6"/>
        <v>9395761.9602870792</v>
      </c>
      <c r="GC4" s="16">
        <f t="shared" si="6"/>
        <v>9395761.9602870792</v>
      </c>
      <c r="GD4" s="16">
        <f t="shared" si="6"/>
        <v>9395761.9602870792</v>
      </c>
      <c r="GE4" s="16">
        <f t="shared" si="6"/>
        <v>9395761.9602870792</v>
      </c>
      <c r="GF4" s="16">
        <f t="shared" si="6"/>
        <v>9395761.9602870792</v>
      </c>
      <c r="GG4" s="16">
        <f t="shared" si="6"/>
        <v>9395761.9602870792</v>
      </c>
      <c r="GH4" s="16">
        <f t="shared" si="6"/>
        <v>9395761.9602870792</v>
      </c>
      <c r="GI4" s="16">
        <f t="shared" si="6"/>
        <v>9395761.9602870792</v>
      </c>
      <c r="GJ4" s="16">
        <f t="shared" si="6"/>
        <v>9395761.9602870792</v>
      </c>
      <c r="GK4" s="16">
        <f t="shared" si="6"/>
        <v>9395761.9602870792</v>
      </c>
      <c r="GL4" s="16">
        <f t="shared" si="6"/>
        <v>9395761.9602870792</v>
      </c>
      <c r="GM4" s="16">
        <f t="shared" si="6"/>
        <v>9395761.9602870792</v>
      </c>
      <c r="GN4" s="16">
        <f t="shared" si="6"/>
        <v>9395761.9602870792</v>
      </c>
      <c r="GO4" s="16">
        <f t="shared" si="6"/>
        <v>9395761.9602870792</v>
      </c>
      <c r="GP4" s="16">
        <f t="shared" si="6"/>
        <v>9395761.9602870792</v>
      </c>
      <c r="GQ4" s="16">
        <f t="shared" si="6"/>
        <v>9395761.9602870792</v>
      </c>
      <c r="GR4" s="16">
        <f t="shared" si="3"/>
        <v>9395761.9602870792</v>
      </c>
      <c r="GS4" s="16">
        <f t="shared" si="3"/>
        <v>9395761.9602870792</v>
      </c>
      <c r="GT4" s="16">
        <f t="shared" si="3"/>
        <v>9395761.9602870792</v>
      </c>
      <c r="GU4" s="16">
        <f t="shared" si="3"/>
        <v>9395761.9602870792</v>
      </c>
      <c r="GV4" s="16">
        <f t="shared" si="3"/>
        <v>9395761.9602870792</v>
      </c>
      <c r="GW4" s="16">
        <f t="shared" si="3"/>
        <v>9395761.9602870792</v>
      </c>
      <c r="GX4" s="16">
        <f t="shared" si="3"/>
        <v>9395761.9602870792</v>
      </c>
      <c r="GY4" s="16">
        <f t="shared" si="3"/>
        <v>9395761.9602870792</v>
      </c>
      <c r="GZ4" s="16">
        <f t="shared" si="3"/>
        <v>9395761.9602870792</v>
      </c>
      <c r="HA4" s="16">
        <f t="shared" si="3"/>
        <v>9395761.9602870792</v>
      </c>
      <c r="HB4" s="16">
        <f t="shared" si="3"/>
        <v>9395761.9602870792</v>
      </c>
      <c r="HC4" s="16">
        <f t="shared" si="3"/>
        <v>9395761.9602870792</v>
      </c>
    </row>
    <row r="5" spans="1:211" x14ac:dyDescent="0.25">
      <c r="A5" t="s">
        <v>40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16">
        <f t="shared" si="0"/>
        <v>10565191.149730977</v>
      </c>
      <c r="BT5" s="16">
        <f t="shared" si="0"/>
        <v>10565191.149730977</v>
      </c>
      <c r="BU5" s="16">
        <f t="shared" si="0"/>
        <v>10565191.149730977</v>
      </c>
      <c r="BV5" s="16">
        <f t="shared" si="0"/>
        <v>10565191.149730977</v>
      </c>
      <c r="BW5" s="16">
        <f t="shared" si="0"/>
        <v>10565191.149730977</v>
      </c>
      <c r="BX5" s="16">
        <f t="shared" si="0"/>
        <v>10565191.149730977</v>
      </c>
      <c r="BY5" s="16">
        <f t="shared" si="0"/>
        <v>10565191.149730977</v>
      </c>
      <c r="BZ5" s="16">
        <f t="shared" si="0"/>
        <v>10565191.149730977</v>
      </c>
      <c r="CA5" s="16">
        <f t="shared" si="0"/>
        <v>10565191.149730977</v>
      </c>
      <c r="CB5" s="16">
        <f t="shared" si="0"/>
        <v>10565191.149730977</v>
      </c>
      <c r="CC5" s="16">
        <f t="shared" si="0"/>
        <v>10565191.149730977</v>
      </c>
      <c r="CD5" s="16">
        <f t="shared" si="0"/>
        <v>10565191.149730977</v>
      </c>
      <c r="CE5" s="16">
        <f t="shared" si="0"/>
        <v>10565191.149730977</v>
      </c>
      <c r="CF5" s="16">
        <f t="shared" si="0"/>
        <v>10565191.149730977</v>
      </c>
      <c r="CG5" s="16">
        <f t="shared" si="0"/>
        <v>10565191.149730977</v>
      </c>
      <c r="CH5" s="16">
        <f t="shared" si="0"/>
        <v>10565191.149730977</v>
      </c>
      <c r="CI5" s="16">
        <f t="shared" si="0"/>
        <v>10565191.149730977</v>
      </c>
      <c r="CJ5" s="16">
        <f t="shared" si="0"/>
        <v>10565191.149730977</v>
      </c>
      <c r="CK5" s="16">
        <f t="shared" si="0"/>
        <v>10565191.149730977</v>
      </c>
      <c r="CL5" s="16">
        <f t="shared" si="0"/>
        <v>10565191.149730977</v>
      </c>
      <c r="CM5" s="16">
        <f t="shared" si="0"/>
        <v>10565191.149730977</v>
      </c>
      <c r="CN5" s="16">
        <f t="shared" si="0"/>
        <v>10565191.149730977</v>
      </c>
      <c r="CO5" s="16">
        <f t="shared" si="0"/>
        <v>10565191.149730977</v>
      </c>
      <c r="CP5" s="16">
        <f t="shared" si="0"/>
        <v>10565191.149730977</v>
      </c>
      <c r="CQ5" s="16">
        <f t="shared" si="0"/>
        <v>10565191.149730977</v>
      </c>
      <c r="CR5" s="16">
        <f t="shared" si="0"/>
        <v>10565191.149730977</v>
      </c>
      <c r="CS5" s="16">
        <f t="shared" si="0"/>
        <v>10565191.149730977</v>
      </c>
      <c r="CT5" s="16">
        <f t="shared" si="0"/>
        <v>10565191.149730977</v>
      </c>
      <c r="CU5" s="16">
        <f t="shared" si="0"/>
        <v>10565191.149730977</v>
      </c>
      <c r="CV5" s="16">
        <f t="shared" si="0"/>
        <v>10565191.149730977</v>
      </c>
      <c r="CW5" s="16">
        <f t="shared" si="0"/>
        <v>10565191.149730977</v>
      </c>
      <c r="CX5" s="16">
        <f t="shared" si="0"/>
        <v>10565191.149730977</v>
      </c>
      <c r="CY5" s="16">
        <f t="shared" si="0"/>
        <v>10565191.149730977</v>
      </c>
      <c r="CZ5" s="16">
        <f t="shared" si="0"/>
        <v>10565191.149730977</v>
      </c>
      <c r="DA5" s="16">
        <f t="shared" si="0"/>
        <v>10565191.149730977</v>
      </c>
      <c r="DB5" s="16">
        <f t="shared" si="0"/>
        <v>10565191.149730977</v>
      </c>
      <c r="DC5" s="16">
        <f t="shared" si="0"/>
        <v>10565191.149730977</v>
      </c>
      <c r="DD5" s="16">
        <f t="shared" si="0"/>
        <v>10565191.149730977</v>
      </c>
      <c r="DE5" s="16">
        <f t="shared" si="0"/>
        <v>10565191.149730977</v>
      </c>
      <c r="DF5" s="16">
        <f t="shared" si="0"/>
        <v>10565191.149730977</v>
      </c>
      <c r="DG5" s="16">
        <f t="shared" si="0"/>
        <v>10565191.149730977</v>
      </c>
      <c r="DH5" s="16">
        <f t="shared" si="0"/>
        <v>10565191.149730977</v>
      </c>
      <c r="DI5" s="16">
        <f t="shared" si="0"/>
        <v>10565191.149730977</v>
      </c>
      <c r="DJ5" s="16">
        <f t="shared" si="0"/>
        <v>10565191.149730977</v>
      </c>
      <c r="DK5" s="16">
        <f t="shared" si="0"/>
        <v>10565191.149730977</v>
      </c>
      <c r="DL5" s="16">
        <f t="shared" si="1"/>
        <v>10565191.149730977</v>
      </c>
      <c r="DM5" s="16">
        <f t="shared" si="1"/>
        <v>10565191.149730977</v>
      </c>
      <c r="DN5" s="16">
        <f t="shared" si="1"/>
        <v>10565191.149730977</v>
      </c>
      <c r="DO5" s="16">
        <f t="shared" si="1"/>
        <v>10565191.149730977</v>
      </c>
      <c r="DP5" s="16">
        <f t="shared" si="1"/>
        <v>10565191.149730977</v>
      </c>
      <c r="DQ5" s="16">
        <f t="shared" si="1"/>
        <v>10565191.149730977</v>
      </c>
      <c r="DR5" s="16">
        <f t="shared" si="4"/>
        <v>10565191.149730977</v>
      </c>
      <c r="DS5" s="16">
        <f>IF(Calculations!B132="",0,Calculations!B132)</f>
        <v>10565191.149730977</v>
      </c>
      <c r="DT5" s="16">
        <f>IF(Calculations!C132="",0,Calculations!C132)</f>
        <v>10203471.571665555</v>
      </c>
      <c r="DU5" s="16">
        <f>IF(Calculations!D132="",0,Calculations!D132)</f>
        <v>9722543.9017543755</v>
      </c>
      <c r="DV5" s="16">
        <f>IF(Calculations!E132="",0,Calculations!E132)</f>
        <v>9726033.7979213055</v>
      </c>
      <c r="DW5" s="16">
        <f>IF(Calculations!F132="",0,Calculations!F132)</f>
        <v>9769755.9044027142</v>
      </c>
      <c r="DX5" s="16">
        <f>IF(Calculations!G132="",0,Calculations!G132)</f>
        <v>10151938.01060877</v>
      </c>
      <c r="DY5" s="16">
        <f>IF(Calculations!H132="",0,Calculations!H132)</f>
        <v>11203101.615519725</v>
      </c>
      <c r="DZ5" s="16">
        <f>IF(Calculations!I132="",0,Calculations!I132)</f>
        <v>10875146.683771482</v>
      </c>
      <c r="EA5" s="16">
        <f>IF(Calculations!J132="",0,Calculations!J132)</f>
        <v>10980203.249135252</v>
      </c>
      <c r="EB5" s="16">
        <f>IF(Calculations!K132="",0,Calculations!K132)</f>
        <v>10209123.156799888</v>
      </c>
      <c r="EC5" s="16">
        <f>IF(Calculations!L132="",0,Calculations!L132)</f>
        <v>13740316.343693225</v>
      </c>
      <c r="ED5" s="16">
        <f>IF(Calculations!M132="",0,Calculations!M132)</f>
        <v>13828352.509780437</v>
      </c>
      <c r="EE5" s="16">
        <f t="shared" si="5"/>
        <v>13828352.509780437</v>
      </c>
      <c r="EF5" s="16">
        <f t="shared" si="6"/>
        <v>13828352.509780437</v>
      </c>
      <c r="EG5" s="16">
        <f t="shared" si="6"/>
        <v>13828352.509780437</v>
      </c>
      <c r="EH5" s="16">
        <f t="shared" si="6"/>
        <v>13828352.509780437</v>
      </c>
      <c r="EI5" s="16">
        <f t="shared" si="6"/>
        <v>13828352.509780437</v>
      </c>
      <c r="EJ5" s="16">
        <f t="shared" si="6"/>
        <v>13828352.509780437</v>
      </c>
      <c r="EK5" s="16">
        <f t="shared" si="6"/>
        <v>13828352.509780437</v>
      </c>
      <c r="EL5" s="16">
        <f t="shared" si="6"/>
        <v>13828352.509780437</v>
      </c>
      <c r="EM5" s="16">
        <f t="shared" si="6"/>
        <v>13828352.509780437</v>
      </c>
      <c r="EN5" s="16">
        <f t="shared" si="6"/>
        <v>13828352.509780437</v>
      </c>
      <c r="EO5" s="16">
        <f t="shared" si="6"/>
        <v>13828352.509780437</v>
      </c>
      <c r="EP5" s="16">
        <f t="shared" si="6"/>
        <v>13828352.509780437</v>
      </c>
      <c r="EQ5" s="16">
        <f t="shared" si="6"/>
        <v>13828352.509780437</v>
      </c>
      <c r="ER5" s="16">
        <f t="shared" si="6"/>
        <v>13828352.509780437</v>
      </c>
      <c r="ES5" s="16">
        <f t="shared" si="6"/>
        <v>13828352.509780437</v>
      </c>
      <c r="ET5" s="16">
        <f t="shared" si="6"/>
        <v>13828352.509780437</v>
      </c>
      <c r="EU5" s="16">
        <f t="shared" si="6"/>
        <v>13828352.509780437</v>
      </c>
      <c r="EV5" s="16">
        <f t="shared" si="6"/>
        <v>13828352.509780437</v>
      </c>
      <c r="EW5" s="16">
        <f t="shared" si="6"/>
        <v>13828352.509780437</v>
      </c>
      <c r="EX5" s="16">
        <f t="shared" si="6"/>
        <v>13828352.509780437</v>
      </c>
      <c r="EY5" s="16">
        <f t="shared" si="6"/>
        <v>13828352.509780437</v>
      </c>
      <c r="EZ5" s="16">
        <f t="shared" si="6"/>
        <v>13828352.509780437</v>
      </c>
      <c r="FA5" s="16">
        <f t="shared" si="6"/>
        <v>13828352.509780437</v>
      </c>
      <c r="FB5" s="16">
        <f t="shared" si="6"/>
        <v>13828352.509780437</v>
      </c>
      <c r="FC5" s="16">
        <f t="shared" si="6"/>
        <v>13828352.509780437</v>
      </c>
      <c r="FD5" s="16">
        <f t="shared" si="6"/>
        <v>13828352.509780437</v>
      </c>
      <c r="FE5" s="16">
        <f t="shared" si="6"/>
        <v>13828352.509780437</v>
      </c>
      <c r="FF5" s="16">
        <f t="shared" si="6"/>
        <v>13828352.509780437</v>
      </c>
      <c r="FG5" s="16">
        <f t="shared" si="6"/>
        <v>13828352.509780437</v>
      </c>
      <c r="FH5" s="16">
        <f t="shared" si="6"/>
        <v>13828352.509780437</v>
      </c>
      <c r="FI5" s="16">
        <f t="shared" si="6"/>
        <v>13828352.509780437</v>
      </c>
      <c r="FJ5" s="16">
        <f t="shared" si="6"/>
        <v>13828352.509780437</v>
      </c>
      <c r="FK5" s="16">
        <f t="shared" si="6"/>
        <v>13828352.509780437</v>
      </c>
      <c r="FL5" s="16">
        <f t="shared" si="6"/>
        <v>13828352.509780437</v>
      </c>
      <c r="FM5" s="16">
        <f t="shared" si="6"/>
        <v>13828352.509780437</v>
      </c>
      <c r="FN5" s="16">
        <f t="shared" si="6"/>
        <v>13828352.509780437</v>
      </c>
      <c r="FO5" s="16">
        <f t="shared" si="6"/>
        <v>13828352.509780437</v>
      </c>
      <c r="FP5" s="16">
        <f t="shared" si="6"/>
        <v>13828352.509780437</v>
      </c>
      <c r="FQ5" s="16">
        <f t="shared" si="6"/>
        <v>13828352.509780437</v>
      </c>
      <c r="FR5" s="16">
        <f t="shared" si="6"/>
        <v>13828352.509780437</v>
      </c>
      <c r="FS5" s="16">
        <f t="shared" si="6"/>
        <v>13828352.509780437</v>
      </c>
      <c r="FT5" s="16">
        <f t="shared" si="6"/>
        <v>13828352.509780437</v>
      </c>
      <c r="FU5" s="16">
        <f t="shared" si="6"/>
        <v>13828352.509780437</v>
      </c>
      <c r="FV5" s="16">
        <f t="shared" si="6"/>
        <v>13828352.509780437</v>
      </c>
      <c r="FW5" s="16">
        <f t="shared" si="6"/>
        <v>13828352.509780437</v>
      </c>
      <c r="FX5" s="16">
        <f t="shared" si="6"/>
        <v>13828352.509780437</v>
      </c>
      <c r="FY5" s="16">
        <f t="shared" si="6"/>
        <v>13828352.509780437</v>
      </c>
      <c r="FZ5" s="16">
        <f t="shared" si="6"/>
        <v>13828352.509780437</v>
      </c>
      <c r="GA5" s="16">
        <f t="shared" si="6"/>
        <v>13828352.509780437</v>
      </c>
      <c r="GB5" s="16">
        <f t="shared" si="6"/>
        <v>13828352.509780437</v>
      </c>
      <c r="GC5" s="16">
        <f t="shared" si="6"/>
        <v>13828352.509780437</v>
      </c>
      <c r="GD5" s="16">
        <f t="shared" si="6"/>
        <v>13828352.509780437</v>
      </c>
      <c r="GE5" s="16">
        <f t="shared" si="6"/>
        <v>13828352.509780437</v>
      </c>
      <c r="GF5" s="16">
        <f t="shared" si="6"/>
        <v>13828352.509780437</v>
      </c>
      <c r="GG5" s="16">
        <f t="shared" si="6"/>
        <v>13828352.509780437</v>
      </c>
      <c r="GH5" s="16">
        <f t="shared" si="6"/>
        <v>13828352.509780437</v>
      </c>
      <c r="GI5" s="16">
        <f t="shared" si="6"/>
        <v>13828352.509780437</v>
      </c>
      <c r="GJ5" s="16">
        <f t="shared" si="6"/>
        <v>13828352.509780437</v>
      </c>
      <c r="GK5" s="16">
        <f t="shared" si="6"/>
        <v>13828352.509780437</v>
      </c>
      <c r="GL5" s="16">
        <f t="shared" si="6"/>
        <v>13828352.509780437</v>
      </c>
      <c r="GM5" s="16">
        <f t="shared" si="6"/>
        <v>13828352.509780437</v>
      </c>
      <c r="GN5" s="16">
        <f t="shared" si="6"/>
        <v>13828352.509780437</v>
      </c>
      <c r="GO5" s="16">
        <f t="shared" si="6"/>
        <v>13828352.509780437</v>
      </c>
      <c r="GP5" s="16">
        <f t="shared" si="6"/>
        <v>13828352.509780437</v>
      </c>
      <c r="GQ5" s="16">
        <f t="shared" si="6"/>
        <v>13828352.509780437</v>
      </c>
      <c r="GR5" s="16">
        <f t="shared" si="3"/>
        <v>13828352.509780437</v>
      </c>
      <c r="GS5" s="16">
        <f t="shared" si="3"/>
        <v>13828352.509780437</v>
      </c>
      <c r="GT5" s="16">
        <f t="shared" si="3"/>
        <v>13828352.509780437</v>
      </c>
      <c r="GU5" s="16">
        <f t="shared" si="3"/>
        <v>13828352.509780437</v>
      </c>
      <c r="GV5" s="16">
        <f t="shared" si="3"/>
        <v>13828352.509780437</v>
      </c>
      <c r="GW5" s="16">
        <f t="shared" si="3"/>
        <v>13828352.509780437</v>
      </c>
      <c r="GX5" s="16">
        <f t="shared" si="3"/>
        <v>13828352.509780437</v>
      </c>
      <c r="GY5" s="16">
        <f t="shared" si="3"/>
        <v>13828352.509780437</v>
      </c>
      <c r="GZ5" s="16">
        <f t="shared" si="3"/>
        <v>13828352.509780437</v>
      </c>
      <c r="HA5" s="16">
        <f t="shared" si="3"/>
        <v>13828352.509780437</v>
      </c>
      <c r="HB5" s="16">
        <f t="shared" si="3"/>
        <v>13828352.509780437</v>
      </c>
      <c r="HC5" s="16">
        <f t="shared" si="3"/>
        <v>13828352.509780437</v>
      </c>
    </row>
    <row r="6" spans="1:211" x14ac:dyDescent="0.25">
      <c r="A6" s="18" t="s">
        <v>42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16">
        <f t="shared" si="0"/>
        <v>0</v>
      </c>
      <c r="BT6" s="16">
        <f t="shared" si="0"/>
        <v>0</v>
      </c>
      <c r="BU6" s="16">
        <f t="shared" si="0"/>
        <v>0</v>
      </c>
      <c r="BV6" s="16">
        <f t="shared" si="0"/>
        <v>0</v>
      </c>
      <c r="BW6" s="16">
        <f t="shared" si="0"/>
        <v>0</v>
      </c>
      <c r="BX6" s="16">
        <f t="shared" si="0"/>
        <v>0</v>
      </c>
      <c r="BY6" s="16">
        <f t="shared" si="0"/>
        <v>0</v>
      </c>
      <c r="BZ6" s="16">
        <f t="shared" si="0"/>
        <v>0</v>
      </c>
      <c r="CA6" s="16">
        <f t="shared" si="0"/>
        <v>0</v>
      </c>
      <c r="CB6" s="16">
        <f t="shared" si="0"/>
        <v>0</v>
      </c>
      <c r="CC6" s="16">
        <f t="shared" si="0"/>
        <v>0</v>
      </c>
      <c r="CD6" s="16">
        <f t="shared" si="0"/>
        <v>0</v>
      </c>
      <c r="CE6" s="16">
        <f t="shared" si="0"/>
        <v>0</v>
      </c>
      <c r="CF6" s="16">
        <f t="shared" si="0"/>
        <v>0</v>
      </c>
      <c r="CG6" s="16">
        <f t="shared" si="0"/>
        <v>0</v>
      </c>
      <c r="CH6" s="16">
        <f t="shared" si="0"/>
        <v>0</v>
      </c>
      <c r="CI6" s="16">
        <f t="shared" si="0"/>
        <v>0</v>
      </c>
      <c r="CJ6" s="16">
        <f t="shared" si="0"/>
        <v>0</v>
      </c>
      <c r="CK6" s="16">
        <f t="shared" si="0"/>
        <v>0</v>
      </c>
      <c r="CL6" s="16">
        <f t="shared" si="0"/>
        <v>0</v>
      </c>
      <c r="CM6" s="16">
        <f t="shared" si="0"/>
        <v>0</v>
      </c>
      <c r="CN6" s="16">
        <f t="shared" si="0"/>
        <v>0</v>
      </c>
      <c r="CO6" s="16">
        <f t="shared" si="0"/>
        <v>0</v>
      </c>
      <c r="CP6" s="16">
        <f t="shared" si="0"/>
        <v>0</v>
      </c>
      <c r="CQ6" s="16">
        <f t="shared" si="0"/>
        <v>0</v>
      </c>
      <c r="CR6" s="16">
        <f t="shared" si="0"/>
        <v>0</v>
      </c>
      <c r="CS6" s="16">
        <f t="shared" si="0"/>
        <v>0</v>
      </c>
      <c r="CT6" s="16">
        <f t="shared" si="0"/>
        <v>0</v>
      </c>
      <c r="CU6" s="16">
        <f t="shared" si="0"/>
        <v>0</v>
      </c>
      <c r="CV6" s="16">
        <f t="shared" si="0"/>
        <v>0</v>
      </c>
      <c r="CW6" s="16">
        <f t="shared" si="0"/>
        <v>0</v>
      </c>
      <c r="CX6" s="16">
        <f t="shared" si="0"/>
        <v>0</v>
      </c>
      <c r="CY6" s="16">
        <f t="shared" si="0"/>
        <v>0</v>
      </c>
      <c r="CZ6" s="16">
        <f t="shared" si="0"/>
        <v>0</v>
      </c>
      <c r="DA6" s="16">
        <f t="shared" si="0"/>
        <v>0</v>
      </c>
      <c r="DB6" s="16">
        <f t="shared" si="0"/>
        <v>0</v>
      </c>
      <c r="DC6" s="16">
        <f t="shared" si="0"/>
        <v>0</v>
      </c>
      <c r="DD6" s="16">
        <f t="shared" si="0"/>
        <v>0</v>
      </c>
      <c r="DE6" s="16">
        <f t="shared" si="0"/>
        <v>0</v>
      </c>
      <c r="DF6" s="16">
        <f t="shared" si="0"/>
        <v>0</v>
      </c>
      <c r="DG6" s="16">
        <f t="shared" si="0"/>
        <v>0</v>
      </c>
      <c r="DH6" s="16">
        <f t="shared" si="0"/>
        <v>0</v>
      </c>
      <c r="DI6" s="16">
        <f t="shared" si="0"/>
        <v>0</v>
      </c>
      <c r="DJ6" s="16">
        <f t="shared" si="0"/>
        <v>0</v>
      </c>
      <c r="DK6" s="16">
        <f t="shared" si="0"/>
        <v>0</v>
      </c>
      <c r="DL6" s="16">
        <f t="shared" si="1"/>
        <v>0</v>
      </c>
      <c r="DM6" s="16">
        <f t="shared" si="1"/>
        <v>0</v>
      </c>
      <c r="DN6" s="16">
        <f t="shared" si="1"/>
        <v>0</v>
      </c>
      <c r="DO6" s="16">
        <f t="shared" si="1"/>
        <v>0</v>
      </c>
      <c r="DP6" s="16">
        <f t="shared" si="1"/>
        <v>0</v>
      </c>
      <c r="DQ6" s="16">
        <f t="shared" si="1"/>
        <v>0</v>
      </c>
      <c r="DR6" s="16">
        <f t="shared" si="4"/>
        <v>0</v>
      </c>
      <c r="DS6" s="16">
        <f>IF(Calculations!B133="",0,Calculations!B133)</f>
        <v>0</v>
      </c>
      <c r="DT6" s="16">
        <f>IF(Calculations!C133="",0,Calculations!C133)</f>
        <v>0</v>
      </c>
      <c r="DU6" s="16">
        <f>IF(Calculations!D133="",0,Calculations!D133)</f>
        <v>0</v>
      </c>
      <c r="DV6" s="16">
        <f>IF(Calculations!E133="",0,Calculations!E133)</f>
        <v>0</v>
      </c>
      <c r="DW6" s="16">
        <f>IF(Calculations!F133="",0,Calculations!F133)</f>
        <v>0</v>
      </c>
      <c r="DX6" s="16">
        <f>IF(Calculations!G133="",0,Calculations!G133)</f>
        <v>0</v>
      </c>
      <c r="DY6" s="16">
        <f>IF(Calculations!H133="",0,Calculations!H133)</f>
        <v>0</v>
      </c>
      <c r="DZ6" s="16">
        <f>IF(Calculations!I133="",0,Calculations!I133)</f>
        <v>0</v>
      </c>
      <c r="EA6" s="16">
        <f>IF(Calculations!J133="",0,Calculations!J133)</f>
        <v>0</v>
      </c>
      <c r="EB6" s="16">
        <f>IF(Calculations!K133="",0,Calculations!K133)</f>
        <v>0</v>
      </c>
      <c r="EC6" s="16">
        <f>IF(Calculations!L133="",0,Calculations!L133)</f>
        <v>0</v>
      </c>
      <c r="ED6" s="16">
        <f>IF(Calculations!M133="",0,Calculations!M133)</f>
        <v>0</v>
      </c>
      <c r="EE6" s="16">
        <f t="shared" si="5"/>
        <v>0</v>
      </c>
      <c r="EF6" s="16">
        <f t="shared" si="6"/>
        <v>0</v>
      </c>
      <c r="EG6" s="16">
        <f t="shared" si="6"/>
        <v>0</v>
      </c>
      <c r="EH6" s="16">
        <f t="shared" si="6"/>
        <v>0</v>
      </c>
      <c r="EI6" s="16">
        <f t="shared" si="6"/>
        <v>0</v>
      </c>
      <c r="EJ6" s="16">
        <f t="shared" si="6"/>
        <v>0</v>
      </c>
      <c r="EK6" s="16">
        <f t="shared" si="6"/>
        <v>0</v>
      </c>
      <c r="EL6" s="16">
        <f t="shared" si="6"/>
        <v>0</v>
      </c>
      <c r="EM6" s="16">
        <f t="shared" si="6"/>
        <v>0</v>
      </c>
      <c r="EN6" s="16">
        <f t="shared" si="6"/>
        <v>0</v>
      </c>
      <c r="EO6" s="16">
        <f t="shared" si="6"/>
        <v>0</v>
      </c>
      <c r="EP6" s="16">
        <f t="shared" si="6"/>
        <v>0</v>
      </c>
      <c r="EQ6" s="16">
        <f t="shared" si="6"/>
        <v>0</v>
      </c>
      <c r="ER6" s="16">
        <f t="shared" si="6"/>
        <v>0</v>
      </c>
      <c r="ES6" s="16">
        <f t="shared" si="6"/>
        <v>0</v>
      </c>
      <c r="ET6" s="16">
        <f t="shared" si="6"/>
        <v>0</v>
      </c>
      <c r="EU6" s="16">
        <f t="shared" si="6"/>
        <v>0</v>
      </c>
      <c r="EV6" s="16">
        <f t="shared" si="6"/>
        <v>0</v>
      </c>
      <c r="EW6" s="16">
        <f t="shared" si="6"/>
        <v>0</v>
      </c>
      <c r="EX6" s="16">
        <f t="shared" si="6"/>
        <v>0</v>
      </c>
      <c r="EY6" s="16">
        <f t="shared" si="6"/>
        <v>0</v>
      </c>
      <c r="EZ6" s="16">
        <f t="shared" si="6"/>
        <v>0</v>
      </c>
      <c r="FA6" s="16">
        <f t="shared" si="6"/>
        <v>0</v>
      </c>
      <c r="FB6" s="16">
        <f t="shared" si="6"/>
        <v>0</v>
      </c>
      <c r="FC6" s="16">
        <f t="shared" si="6"/>
        <v>0</v>
      </c>
      <c r="FD6" s="16">
        <f t="shared" si="6"/>
        <v>0</v>
      </c>
      <c r="FE6" s="16">
        <f t="shared" si="6"/>
        <v>0</v>
      </c>
      <c r="FF6" s="16">
        <f t="shared" si="6"/>
        <v>0</v>
      </c>
      <c r="FG6" s="16">
        <f t="shared" si="6"/>
        <v>0</v>
      </c>
      <c r="FH6" s="16">
        <f t="shared" si="6"/>
        <v>0</v>
      </c>
      <c r="FI6" s="16">
        <f t="shared" si="6"/>
        <v>0</v>
      </c>
      <c r="FJ6" s="16">
        <f t="shared" si="6"/>
        <v>0</v>
      </c>
      <c r="FK6" s="16">
        <f t="shared" si="6"/>
        <v>0</v>
      </c>
      <c r="FL6" s="16">
        <f t="shared" si="6"/>
        <v>0</v>
      </c>
      <c r="FM6" s="16">
        <f t="shared" si="6"/>
        <v>0</v>
      </c>
      <c r="FN6" s="16">
        <f t="shared" si="6"/>
        <v>0</v>
      </c>
      <c r="FO6" s="16">
        <f t="shared" si="6"/>
        <v>0</v>
      </c>
      <c r="FP6" s="16">
        <f t="shared" si="6"/>
        <v>0</v>
      </c>
      <c r="FQ6" s="16">
        <f t="shared" si="6"/>
        <v>0</v>
      </c>
      <c r="FR6" s="16">
        <f t="shared" si="6"/>
        <v>0</v>
      </c>
      <c r="FS6" s="16">
        <f t="shared" si="6"/>
        <v>0</v>
      </c>
      <c r="FT6" s="16">
        <f t="shared" si="6"/>
        <v>0</v>
      </c>
      <c r="FU6" s="16">
        <f t="shared" si="6"/>
        <v>0</v>
      </c>
      <c r="FV6" s="16">
        <f t="shared" si="6"/>
        <v>0</v>
      </c>
      <c r="FW6" s="16">
        <f t="shared" si="6"/>
        <v>0</v>
      </c>
      <c r="FX6" s="16">
        <f t="shared" si="6"/>
        <v>0</v>
      </c>
      <c r="FY6" s="16">
        <f t="shared" si="6"/>
        <v>0</v>
      </c>
      <c r="FZ6" s="16">
        <f t="shared" si="6"/>
        <v>0</v>
      </c>
      <c r="GA6" s="16">
        <f t="shared" si="6"/>
        <v>0</v>
      </c>
      <c r="GB6" s="16">
        <f t="shared" si="6"/>
        <v>0</v>
      </c>
      <c r="GC6" s="16">
        <f t="shared" si="6"/>
        <v>0</v>
      </c>
      <c r="GD6" s="16">
        <f t="shared" si="6"/>
        <v>0</v>
      </c>
      <c r="GE6" s="16">
        <f t="shared" si="6"/>
        <v>0</v>
      </c>
      <c r="GF6" s="16">
        <f t="shared" si="6"/>
        <v>0</v>
      </c>
      <c r="GG6" s="16">
        <f t="shared" si="6"/>
        <v>0</v>
      </c>
      <c r="GH6" s="16">
        <f t="shared" si="6"/>
        <v>0</v>
      </c>
      <c r="GI6" s="16">
        <f t="shared" si="6"/>
        <v>0</v>
      </c>
      <c r="GJ6" s="16">
        <f t="shared" si="6"/>
        <v>0</v>
      </c>
      <c r="GK6" s="16">
        <f t="shared" si="6"/>
        <v>0</v>
      </c>
      <c r="GL6" s="16">
        <f t="shared" si="6"/>
        <v>0</v>
      </c>
      <c r="GM6" s="16">
        <f t="shared" si="6"/>
        <v>0</v>
      </c>
      <c r="GN6" s="16">
        <f t="shared" si="6"/>
        <v>0</v>
      </c>
      <c r="GO6" s="16">
        <f t="shared" si="6"/>
        <v>0</v>
      </c>
      <c r="GP6" s="16">
        <f t="shared" si="6"/>
        <v>0</v>
      </c>
      <c r="GQ6" s="16">
        <f t="shared" si="6"/>
        <v>0</v>
      </c>
      <c r="GR6" s="16">
        <f t="shared" si="3"/>
        <v>0</v>
      </c>
      <c r="GS6" s="16">
        <f t="shared" si="3"/>
        <v>0</v>
      </c>
      <c r="GT6" s="16">
        <f t="shared" si="3"/>
        <v>0</v>
      </c>
      <c r="GU6" s="16">
        <f t="shared" si="3"/>
        <v>0</v>
      </c>
      <c r="GV6" s="16">
        <f t="shared" si="3"/>
        <v>0</v>
      </c>
      <c r="GW6" s="16">
        <f t="shared" si="3"/>
        <v>0</v>
      </c>
      <c r="GX6" s="16">
        <f t="shared" si="3"/>
        <v>0</v>
      </c>
      <c r="GY6" s="16">
        <f t="shared" si="3"/>
        <v>0</v>
      </c>
      <c r="GZ6" s="16">
        <f t="shared" si="3"/>
        <v>0</v>
      </c>
      <c r="HA6" s="16">
        <f t="shared" si="3"/>
        <v>0</v>
      </c>
      <c r="HB6" s="16">
        <f t="shared" si="3"/>
        <v>0</v>
      </c>
      <c r="HC6" s="16">
        <f t="shared" si="3"/>
        <v>0</v>
      </c>
    </row>
    <row r="7" spans="1:211" x14ac:dyDescent="0.25">
      <c r="A7" s="18" t="s">
        <v>44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16">
        <f t="shared" si="0"/>
        <v>0</v>
      </c>
      <c r="BT7" s="16">
        <f t="shared" si="0"/>
        <v>0</v>
      </c>
      <c r="BU7" s="16">
        <f t="shared" si="0"/>
        <v>0</v>
      </c>
      <c r="BV7" s="16">
        <f t="shared" si="0"/>
        <v>0</v>
      </c>
      <c r="BW7" s="16">
        <f t="shared" si="0"/>
        <v>0</v>
      </c>
      <c r="BX7" s="16">
        <f t="shared" si="0"/>
        <v>0</v>
      </c>
      <c r="BY7" s="16">
        <f t="shared" si="0"/>
        <v>0</v>
      </c>
      <c r="BZ7" s="16">
        <f t="shared" si="0"/>
        <v>0</v>
      </c>
      <c r="CA7" s="16">
        <f t="shared" si="0"/>
        <v>0</v>
      </c>
      <c r="CB7" s="16">
        <f t="shared" si="0"/>
        <v>0</v>
      </c>
      <c r="CC7" s="16">
        <f t="shared" si="0"/>
        <v>0</v>
      </c>
      <c r="CD7" s="16">
        <f t="shared" si="0"/>
        <v>0</v>
      </c>
      <c r="CE7" s="16">
        <f t="shared" si="0"/>
        <v>0</v>
      </c>
      <c r="CF7" s="16">
        <f t="shared" si="0"/>
        <v>0</v>
      </c>
      <c r="CG7" s="16">
        <f t="shared" si="0"/>
        <v>0</v>
      </c>
      <c r="CH7" s="16">
        <f t="shared" si="0"/>
        <v>0</v>
      </c>
      <c r="CI7" s="16">
        <f t="shared" si="0"/>
        <v>0</v>
      </c>
      <c r="CJ7" s="16">
        <f t="shared" si="0"/>
        <v>0</v>
      </c>
      <c r="CK7" s="16">
        <f t="shared" si="0"/>
        <v>0</v>
      </c>
      <c r="CL7" s="16">
        <f t="shared" si="0"/>
        <v>0</v>
      </c>
      <c r="CM7" s="16">
        <f t="shared" si="0"/>
        <v>0</v>
      </c>
      <c r="CN7" s="16">
        <f t="shared" si="0"/>
        <v>0</v>
      </c>
      <c r="CO7" s="16">
        <f t="shared" si="0"/>
        <v>0</v>
      </c>
      <c r="CP7" s="16">
        <f t="shared" si="0"/>
        <v>0</v>
      </c>
      <c r="CQ7" s="16">
        <f t="shared" si="0"/>
        <v>0</v>
      </c>
      <c r="CR7" s="16">
        <f t="shared" si="0"/>
        <v>0</v>
      </c>
      <c r="CS7" s="16">
        <f t="shared" si="0"/>
        <v>0</v>
      </c>
      <c r="CT7" s="16">
        <f t="shared" si="0"/>
        <v>0</v>
      </c>
      <c r="CU7" s="16">
        <f t="shared" si="0"/>
        <v>0</v>
      </c>
      <c r="CV7" s="16">
        <f t="shared" si="0"/>
        <v>0</v>
      </c>
      <c r="CW7" s="16">
        <f t="shared" ref="BS7:DK13" si="7">$DS7</f>
        <v>0</v>
      </c>
      <c r="CX7" s="16">
        <f t="shared" si="7"/>
        <v>0</v>
      </c>
      <c r="CY7" s="16">
        <f t="shared" si="7"/>
        <v>0</v>
      </c>
      <c r="CZ7" s="16">
        <f t="shared" si="7"/>
        <v>0</v>
      </c>
      <c r="DA7" s="16">
        <f t="shared" si="7"/>
        <v>0</v>
      </c>
      <c r="DB7" s="16">
        <f t="shared" si="7"/>
        <v>0</v>
      </c>
      <c r="DC7" s="16">
        <f t="shared" si="7"/>
        <v>0</v>
      </c>
      <c r="DD7" s="16">
        <f t="shared" si="7"/>
        <v>0</v>
      </c>
      <c r="DE7" s="16">
        <f t="shared" si="7"/>
        <v>0</v>
      </c>
      <c r="DF7" s="16">
        <f t="shared" si="7"/>
        <v>0</v>
      </c>
      <c r="DG7" s="16">
        <f t="shared" si="7"/>
        <v>0</v>
      </c>
      <c r="DH7" s="16">
        <f t="shared" si="7"/>
        <v>0</v>
      </c>
      <c r="DI7" s="16">
        <f t="shared" si="7"/>
        <v>0</v>
      </c>
      <c r="DJ7" s="16">
        <f t="shared" si="7"/>
        <v>0</v>
      </c>
      <c r="DK7" s="16">
        <f t="shared" si="7"/>
        <v>0</v>
      </c>
      <c r="DL7" s="16">
        <f t="shared" si="1"/>
        <v>0</v>
      </c>
      <c r="DM7" s="16">
        <f t="shared" si="1"/>
        <v>0</v>
      </c>
      <c r="DN7" s="16">
        <f t="shared" si="1"/>
        <v>0</v>
      </c>
      <c r="DO7" s="16">
        <f t="shared" si="1"/>
        <v>0</v>
      </c>
      <c r="DP7" s="16">
        <f t="shared" si="1"/>
        <v>0</v>
      </c>
      <c r="DQ7" s="16">
        <f t="shared" si="1"/>
        <v>0</v>
      </c>
      <c r="DR7" s="16">
        <f t="shared" si="4"/>
        <v>0</v>
      </c>
      <c r="DS7" s="16">
        <f>IF(Calculations!B134="",0,Calculations!B134)</f>
        <v>0</v>
      </c>
      <c r="DT7" s="16">
        <f>IF(Calculations!C134="",0,Calculations!C134)</f>
        <v>0</v>
      </c>
      <c r="DU7" s="16">
        <f>IF(Calculations!D134="",0,Calculations!D134)</f>
        <v>0</v>
      </c>
      <c r="DV7" s="16">
        <f>IF(Calculations!E134="",0,Calculations!E134)</f>
        <v>0</v>
      </c>
      <c r="DW7" s="16">
        <f>IF(Calculations!F134="",0,Calculations!F134)</f>
        <v>0</v>
      </c>
      <c r="DX7" s="16">
        <f>IF(Calculations!G134="",0,Calculations!G134)</f>
        <v>0</v>
      </c>
      <c r="DY7" s="16">
        <f>IF(Calculations!H134="",0,Calculations!H134)</f>
        <v>0</v>
      </c>
      <c r="DZ7" s="16">
        <f>IF(Calculations!I134="",0,Calculations!I134)</f>
        <v>0</v>
      </c>
      <c r="EA7" s="16">
        <f>IF(Calculations!J134="",0,Calculations!J134)</f>
        <v>0</v>
      </c>
      <c r="EB7" s="16">
        <f>IF(Calculations!K134="",0,Calculations!K134)</f>
        <v>0</v>
      </c>
      <c r="EC7" s="16">
        <f>IF(Calculations!L134="",0,Calculations!L134)</f>
        <v>0</v>
      </c>
      <c r="ED7" s="16">
        <f>IF(Calculations!M134="",0,Calculations!M134)</f>
        <v>0</v>
      </c>
      <c r="EE7" s="16">
        <f t="shared" si="5"/>
        <v>0</v>
      </c>
      <c r="EF7" s="16">
        <f t="shared" si="6"/>
        <v>0</v>
      </c>
      <c r="EG7" s="16">
        <f t="shared" si="6"/>
        <v>0</v>
      </c>
      <c r="EH7" s="16">
        <f t="shared" si="6"/>
        <v>0</v>
      </c>
      <c r="EI7" s="16">
        <f t="shared" si="6"/>
        <v>0</v>
      </c>
      <c r="EJ7" s="16">
        <f t="shared" si="6"/>
        <v>0</v>
      </c>
      <c r="EK7" s="16">
        <f t="shared" si="6"/>
        <v>0</v>
      </c>
      <c r="EL7" s="16">
        <f t="shared" si="6"/>
        <v>0</v>
      </c>
      <c r="EM7" s="16">
        <f t="shared" si="6"/>
        <v>0</v>
      </c>
      <c r="EN7" s="16">
        <f t="shared" si="6"/>
        <v>0</v>
      </c>
      <c r="EO7" s="16">
        <f t="shared" si="6"/>
        <v>0</v>
      </c>
      <c r="EP7" s="16">
        <f t="shared" si="6"/>
        <v>0</v>
      </c>
      <c r="EQ7" s="16">
        <f t="shared" si="6"/>
        <v>0</v>
      </c>
      <c r="ER7" s="16">
        <f t="shared" si="6"/>
        <v>0</v>
      </c>
      <c r="ES7" s="16">
        <f t="shared" si="6"/>
        <v>0</v>
      </c>
      <c r="ET7" s="16">
        <f t="shared" si="6"/>
        <v>0</v>
      </c>
      <c r="EU7" s="16">
        <f t="shared" si="6"/>
        <v>0</v>
      </c>
      <c r="EV7" s="16">
        <f t="shared" si="6"/>
        <v>0</v>
      </c>
      <c r="EW7" s="16">
        <f t="shared" si="6"/>
        <v>0</v>
      </c>
      <c r="EX7" s="16">
        <f t="shared" si="6"/>
        <v>0</v>
      </c>
      <c r="EY7" s="16">
        <f t="shared" si="6"/>
        <v>0</v>
      </c>
      <c r="EZ7" s="16">
        <f t="shared" si="6"/>
        <v>0</v>
      </c>
      <c r="FA7" s="16">
        <f t="shared" si="6"/>
        <v>0</v>
      </c>
      <c r="FB7" s="16">
        <f t="shared" si="6"/>
        <v>0</v>
      </c>
      <c r="FC7" s="16">
        <f t="shared" si="6"/>
        <v>0</v>
      </c>
      <c r="FD7" s="16">
        <f t="shared" si="6"/>
        <v>0</v>
      </c>
      <c r="FE7" s="16">
        <f t="shared" si="6"/>
        <v>0</v>
      </c>
      <c r="FF7" s="16">
        <f t="shared" si="6"/>
        <v>0</v>
      </c>
      <c r="FG7" s="16">
        <f t="shared" si="6"/>
        <v>0</v>
      </c>
      <c r="FH7" s="16">
        <f t="shared" si="6"/>
        <v>0</v>
      </c>
      <c r="FI7" s="16">
        <f t="shared" si="6"/>
        <v>0</v>
      </c>
      <c r="FJ7" s="16">
        <f t="shared" si="6"/>
        <v>0</v>
      </c>
      <c r="FK7" s="16">
        <f t="shared" si="6"/>
        <v>0</v>
      </c>
      <c r="FL7" s="16">
        <f t="shared" si="6"/>
        <v>0</v>
      </c>
      <c r="FM7" s="16">
        <f t="shared" si="6"/>
        <v>0</v>
      </c>
      <c r="FN7" s="16">
        <f t="shared" si="6"/>
        <v>0</v>
      </c>
      <c r="FO7" s="16">
        <f t="shared" si="6"/>
        <v>0</v>
      </c>
      <c r="FP7" s="16">
        <f t="shared" si="6"/>
        <v>0</v>
      </c>
      <c r="FQ7" s="16">
        <f t="shared" si="6"/>
        <v>0</v>
      </c>
      <c r="FR7" s="16">
        <f t="shared" si="6"/>
        <v>0</v>
      </c>
      <c r="FS7" s="16">
        <f t="shared" si="6"/>
        <v>0</v>
      </c>
      <c r="FT7" s="16">
        <f t="shared" si="6"/>
        <v>0</v>
      </c>
      <c r="FU7" s="16">
        <f t="shared" si="6"/>
        <v>0</v>
      </c>
      <c r="FV7" s="16">
        <f t="shared" si="6"/>
        <v>0</v>
      </c>
      <c r="FW7" s="16">
        <f t="shared" si="6"/>
        <v>0</v>
      </c>
      <c r="FX7" s="16">
        <f t="shared" si="6"/>
        <v>0</v>
      </c>
      <c r="FY7" s="16">
        <f t="shared" si="6"/>
        <v>0</v>
      </c>
      <c r="FZ7" s="16">
        <f t="shared" si="6"/>
        <v>0</v>
      </c>
      <c r="GA7" s="16">
        <f t="shared" si="6"/>
        <v>0</v>
      </c>
      <c r="GB7" s="16">
        <f t="shared" si="6"/>
        <v>0</v>
      </c>
      <c r="GC7" s="16">
        <f t="shared" si="6"/>
        <v>0</v>
      </c>
      <c r="GD7" s="16">
        <f t="shared" si="6"/>
        <v>0</v>
      </c>
      <c r="GE7" s="16">
        <f t="shared" si="6"/>
        <v>0</v>
      </c>
      <c r="GF7" s="16">
        <f t="shared" si="6"/>
        <v>0</v>
      </c>
      <c r="GG7" s="16">
        <f t="shared" si="6"/>
        <v>0</v>
      </c>
      <c r="GH7" s="16">
        <f t="shared" si="6"/>
        <v>0</v>
      </c>
      <c r="GI7" s="16">
        <f t="shared" si="6"/>
        <v>0</v>
      </c>
      <c r="GJ7" s="16">
        <f t="shared" si="6"/>
        <v>0</v>
      </c>
      <c r="GK7" s="16">
        <f t="shared" si="6"/>
        <v>0</v>
      </c>
      <c r="GL7" s="16">
        <f t="shared" si="6"/>
        <v>0</v>
      </c>
      <c r="GM7" s="16">
        <f t="shared" si="6"/>
        <v>0</v>
      </c>
      <c r="GN7" s="16">
        <f t="shared" si="6"/>
        <v>0</v>
      </c>
      <c r="GO7" s="16">
        <f t="shared" si="6"/>
        <v>0</v>
      </c>
      <c r="GP7" s="16">
        <f t="shared" si="6"/>
        <v>0</v>
      </c>
      <c r="GQ7" s="16">
        <f t="shared" ref="GQ7:HC10" si="8">GP7</f>
        <v>0</v>
      </c>
      <c r="GR7" s="16">
        <f t="shared" si="8"/>
        <v>0</v>
      </c>
      <c r="GS7" s="16">
        <f t="shared" si="8"/>
        <v>0</v>
      </c>
      <c r="GT7" s="16">
        <f t="shared" si="8"/>
        <v>0</v>
      </c>
      <c r="GU7" s="16">
        <f t="shared" si="8"/>
        <v>0</v>
      </c>
      <c r="GV7" s="16">
        <f t="shared" si="8"/>
        <v>0</v>
      </c>
      <c r="GW7" s="16">
        <f t="shared" si="8"/>
        <v>0</v>
      </c>
      <c r="GX7" s="16">
        <f t="shared" si="8"/>
        <v>0</v>
      </c>
      <c r="GY7" s="16">
        <f t="shared" si="8"/>
        <v>0</v>
      </c>
      <c r="GZ7" s="16">
        <f t="shared" si="8"/>
        <v>0</v>
      </c>
      <c r="HA7" s="16">
        <f t="shared" si="8"/>
        <v>0</v>
      </c>
      <c r="HB7" s="16">
        <f t="shared" si="8"/>
        <v>0</v>
      </c>
      <c r="HC7" s="16">
        <f t="shared" si="8"/>
        <v>0</v>
      </c>
    </row>
    <row r="8" spans="1:211" x14ac:dyDescent="0.25">
      <c r="A8" s="18" t="s">
        <v>46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16">
        <f t="shared" si="7"/>
        <v>0</v>
      </c>
      <c r="BT8" s="16">
        <f t="shared" si="7"/>
        <v>0</v>
      </c>
      <c r="BU8" s="16">
        <f t="shared" si="7"/>
        <v>0</v>
      </c>
      <c r="BV8" s="16">
        <f t="shared" si="7"/>
        <v>0</v>
      </c>
      <c r="BW8" s="16">
        <f t="shared" si="7"/>
        <v>0</v>
      </c>
      <c r="BX8" s="16">
        <f t="shared" si="7"/>
        <v>0</v>
      </c>
      <c r="BY8" s="16">
        <f t="shared" si="7"/>
        <v>0</v>
      </c>
      <c r="BZ8" s="16">
        <f t="shared" si="7"/>
        <v>0</v>
      </c>
      <c r="CA8" s="16">
        <f t="shared" si="7"/>
        <v>0</v>
      </c>
      <c r="CB8" s="16">
        <f t="shared" si="7"/>
        <v>0</v>
      </c>
      <c r="CC8" s="16">
        <f t="shared" si="7"/>
        <v>0</v>
      </c>
      <c r="CD8" s="16">
        <f t="shared" si="7"/>
        <v>0</v>
      </c>
      <c r="CE8" s="16">
        <f t="shared" si="7"/>
        <v>0</v>
      </c>
      <c r="CF8" s="16">
        <f t="shared" si="7"/>
        <v>0</v>
      </c>
      <c r="CG8" s="16">
        <f t="shared" si="7"/>
        <v>0</v>
      </c>
      <c r="CH8" s="16">
        <f t="shared" si="7"/>
        <v>0</v>
      </c>
      <c r="CI8" s="16">
        <f t="shared" si="7"/>
        <v>0</v>
      </c>
      <c r="CJ8" s="16">
        <f t="shared" si="7"/>
        <v>0</v>
      </c>
      <c r="CK8" s="16">
        <f t="shared" si="7"/>
        <v>0</v>
      </c>
      <c r="CL8" s="16">
        <f t="shared" si="7"/>
        <v>0</v>
      </c>
      <c r="CM8" s="16">
        <f t="shared" si="7"/>
        <v>0</v>
      </c>
      <c r="CN8" s="16">
        <f t="shared" si="7"/>
        <v>0</v>
      </c>
      <c r="CO8" s="16">
        <f t="shared" si="7"/>
        <v>0</v>
      </c>
      <c r="CP8" s="16">
        <f t="shared" si="7"/>
        <v>0</v>
      </c>
      <c r="CQ8" s="16">
        <f t="shared" si="7"/>
        <v>0</v>
      </c>
      <c r="CR8" s="16">
        <f t="shared" si="7"/>
        <v>0</v>
      </c>
      <c r="CS8" s="16">
        <f t="shared" si="7"/>
        <v>0</v>
      </c>
      <c r="CT8" s="16">
        <f t="shared" si="7"/>
        <v>0</v>
      </c>
      <c r="CU8" s="16">
        <f t="shared" si="7"/>
        <v>0</v>
      </c>
      <c r="CV8" s="16">
        <f t="shared" si="7"/>
        <v>0</v>
      </c>
      <c r="CW8" s="16">
        <f t="shared" si="7"/>
        <v>0</v>
      </c>
      <c r="CX8" s="16">
        <f t="shared" si="7"/>
        <v>0</v>
      </c>
      <c r="CY8" s="16">
        <f t="shared" si="7"/>
        <v>0</v>
      </c>
      <c r="CZ8" s="16">
        <f t="shared" si="7"/>
        <v>0</v>
      </c>
      <c r="DA8" s="16">
        <f t="shared" si="7"/>
        <v>0</v>
      </c>
      <c r="DB8" s="16">
        <f t="shared" si="7"/>
        <v>0</v>
      </c>
      <c r="DC8" s="16">
        <f t="shared" si="7"/>
        <v>0</v>
      </c>
      <c r="DD8" s="16">
        <f t="shared" si="7"/>
        <v>0</v>
      </c>
      <c r="DE8" s="16">
        <f t="shared" si="7"/>
        <v>0</v>
      </c>
      <c r="DF8" s="16">
        <f t="shared" si="7"/>
        <v>0</v>
      </c>
      <c r="DG8" s="16">
        <f t="shared" si="7"/>
        <v>0</v>
      </c>
      <c r="DH8" s="16">
        <f t="shared" si="7"/>
        <v>0</v>
      </c>
      <c r="DI8" s="16">
        <f t="shared" si="7"/>
        <v>0</v>
      </c>
      <c r="DJ8" s="16">
        <f t="shared" si="7"/>
        <v>0</v>
      </c>
      <c r="DK8" s="16">
        <f t="shared" si="7"/>
        <v>0</v>
      </c>
      <c r="DL8" s="16">
        <f t="shared" si="1"/>
        <v>0</v>
      </c>
      <c r="DM8" s="16">
        <f t="shared" si="1"/>
        <v>0</v>
      </c>
      <c r="DN8" s="16">
        <f t="shared" si="1"/>
        <v>0</v>
      </c>
      <c r="DO8" s="16">
        <f t="shared" si="1"/>
        <v>0</v>
      </c>
      <c r="DP8" s="16">
        <f t="shared" si="1"/>
        <v>0</v>
      </c>
      <c r="DQ8" s="16">
        <f t="shared" si="1"/>
        <v>0</v>
      </c>
      <c r="DR8" s="16">
        <f t="shared" si="4"/>
        <v>0</v>
      </c>
      <c r="DS8" s="16">
        <f>IF(Calculations!B135="",0,Calculations!B135)</f>
        <v>0</v>
      </c>
      <c r="DT8" s="16">
        <f>IF(Calculations!C135="",0,Calculations!C135)</f>
        <v>0</v>
      </c>
      <c r="DU8" s="16">
        <f>IF(Calculations!D135="",0,Calculations!D135)</f>
        <v>0</v>
      </c>
      <c r="DV8" s="16">
        <f>IF(Calculations!E135="",0,Calculations!E135)</f>
        <v>0</v>
      </c>
      <c r="DW8" s="16">
        <f>IF(Calculations!F135="",0,Calculations!F135)</f>
        <v>0</v>
      </c>
      <c r="DX8" s="16">
        <f>IF(Calculations!G135="",0,Calculations!G135)</f>
        <v>0</v>
      </c>
      <c r="DY8" s="16">
        <f>IF(Calculations!H135="",0,Calculations!H135)</f>
        <v>0</v>
      </c>
      <c r="DZ8" s="16">
        <f>IF(Calculations!I135="",0,Calculations!I135)</f>
        <v>0</v>
      </c>
      <c r="EA8" s="16">
        <f>IF(Calculations!J135="",0,Calculations!J135)</f>
        <v>0</v>
      </c>
      <c r="EB8" s="16">
        <f>IF(Calculations!K135="",0,Calculations!K135)</f>
        <v>0</v>
      </c>
      <c r="EC8" s="16">
        <f>IF(Calculations!L135="",0,Calculations!L135)</f>
        <v>0</v>
      </c>
      <c r="ED8" s="16">
        <f>IF(Calculations!M135="",0,Calculations!M135)</f>
        <v>0</v>
      </c>
      <c r="EE8" s="16">
        <f t="shared" si="5"/>
        <v>0</v>
      </c>
      <c r="EF8" s="16">
        <f t="shared" ref="EF8:GQ11" si="9">EE8</f>
        <v>0</v>
      </c>
      <c r="EG8" s="16">
        <f t="shared" si="9"/>
        <v>0</v>
      </c>
      <c r="EH8" s="16">
        <f t="shared" si="9"/>
        <v>0</v>
      </c>
      <c r="EI8" s="16">
        <f t="shared" si="9"/>
        <v>0</v>
      </c>
      <c r="EJ8" s="16">
        <f t="shared" si="9"/>
        <v>0</v>
      </c>
      <c r="EK8" s="16">
        <f t="shared" si="9"/>
        <v>0</v>
      </c>
      <c r="EL8" s="16">
        <f t="shared" si="9"/>
        <v>0</v>
      </c>
      <c r="EM8" s="16">
        <f t="shared" si="9"/>
        <v>0</v>
      </c>
      <c r="EN8" s="16">
        <f t="shared" si="9"/>
        <v>0</v>
      </c>
      <c r="EO8" s="16">
        <f t="shared" si="9"/>
        <v>0</v>
      </c>
      <c r="EP8" s="16">
        <f t="shared" si="9"/>
        <v>0</v>
      </c>
      <c r="EQ8" s="16">
        <f t="shared" si="9"/>
        <v>0</v>
      </c>
      <c r="ER8" s="16">
        <f t="shared" si="9"/>
        <v>0</v>
      </c>
      <c r="ES8" s="16">
        <f t="shared" si="9"/>
        <v>0</v>
      </c>
      <c r="ET8" s="16">
        <f t="shared" si="9"/>
        <v>0</v>
      </c>
      <c r="EU8" s="16">
        <f t="shared" si="9"/>
        <v>0</v>
      </c>
      <c r="EV8" s="16">
        <f t="shared" si="9"/>
        <v>0</v>
      </c>
      <c r="EW8" s="16">
        <f t="shared" si="9"/>
        <v>0</v>
      </c>
      <c r="EX8" s="16">
        <f t="shared" si="9"/>
        <v>0</v>
      </c>
      <c r="EY8" s="16">
        <f t="shared" si="9"/>
        <v>0</v>
      </c>
      <c r="EZ8" s="16">
        <f t="shared" si="9"/>
        <v>0</v>
      </c>
      <c r="FA8" s="16">
        <f t="shared" si="9"/>
        <v>0</v>
      </c>
      <c r="FB8" s="16">
        <f t="shared" si="9"/>
        <v>0</v>
      </c>
      <c r="FC8" s="16">
        <f t="shared" si="9"/>
        <v>0</v>
      </c>
      <c r="FD8" s="16">
        <f t="shared" si="9"/>
        <v>0</v>
      </c>
      <c r="FE8" s="16">
        <f t="shared" si="9"/>
        <v>0</v>
      </c>
      <c r="FF8" s="16">
        <f t="shared" si="9"/>
        <v>0</v>
      </c>
      <c r="FG8" s="16">
        <f t="shared" si="9"/>
        <v>0</v>
      </c>
      <c r="FH8" s="16">
        <f t="shared" si="9"/>
        <v>0</v>
      </c>
      <c r="FI8" s="16">
        <f t="shared" si="9"/>
        <v>0</v>
      </c>
      <c r="FJ8" s="16">
        <f t="shared" si="9"/>
        <v>0</v>
      </c>
      <c r="FK8" s="16">
        <f t="shared" si="9"/>
        <v>0</v>
      </c>
      <c r="FL8" s="16">
        <f t="shared" si="9"/>
        <v>0</v>
      </c>
      <c r="FM8" s="16">
        <f t="shared" si="9"/>
        <v>0</v>
      </c>
      <c r="FN8" s="16">
        <f t="shared" si="9"/>
        <v>0</v>
      </c>
      <c r="FO8" s="16">
        <f t="shared" si="9"/>
        <v>0</v>
      </c>
      <c r="FP8" s="16">
        <f t="shared" si="9"/>
        <v>0</v>
      </c>
      <c r="FQ8" s="16">
        <f t="shared" si="9"/>
        <v>0</v>
      </c>
      <c r="FR8" s="16">
        <f t="shared" si="9"/>
        <v>0</v>
      </c>
      <c r="FS8" s="16">
        <f t="shared" si="9"/>
        <v>0</v>
      </c>
      <c r="FT8" s="16">
        <f t="shared" si="9"/>
        <v>0</v>
      </c>
      <c r="FU8" s="16">
        <f t="shared" si="9"/>
        <v>0</v>
      </c>
      <c r="FV8" s="16">
        <f t="shared" si="9"/>
        <v>0</v>
      </c>
      <c r="FW8" s="16">
        <f t="shared" si="9"/>
        <v>0</v>
      </c>
      <c r="FX8" s="16">
        <f t="shared" si="9"/>
        <v>0</v>
      </c>
      <c r="FY8" s="16">
        <f t="shared" si="9"/>
        <v>0</v>
      </c>
      <c r="FZ8" s="16">
        <f t="shared" si="9"/>
        <v>0</v>
      </c>
      <c r="GA8" s="16">
        <f t="shared" si="9"/>
        <v>0</v>
      </c>
      <c r="GB8" s="16">
        <f t="shared" si="9"/>
        <v>0</v>
      </c>
      <c r="GC8" s="16">
        <f t="shared" si="9"/>
        <v>0</v>
      </c>
      <c r="GD8" s="16">
        <f t="shared" si="9"/>
        <v>0</v>
      </c>
      <c r="GE8" s="16">
        <f t="shared" si="9"/>
        <v>0</v>
      </c>
      <c r="GF8" s="16">
        <f t="shared" si="9"/>
        <v>0</v>
      </c>
      <c r="GG8" s="16">
        <f t="shared" si="9"/>
        <v>0</v>
      </c>
      <c r="GH8" s="16">
        <f t="shared" si="9"/>
        <v>0</v>
      </c>
      <c r="GI8" s="16">
        <f t="shared" si="9"/>
        <v>0</v>
      </c>
      <c r="GJ8" s="16">
        <f t="shared" si="9"/>
        <v>0</v>
      </c>
      <c r="GK8" s="16">
        <f t="shared" si="9"/>
        <v>0</v>
      </c>
      <c r="GL8" s="16">
        <f t="shared" si="9"/>
        <v>0</v>
      </c>
      <c r="GM8" s="16">
        <f t="shared" si="9"/>
        <v>0</v>
      </c>
      <c r="GN8" s="16">
        <f t="shared" si="9"/>
        <v>0</v>
      </c>
      <c r="GO8" s="16">
        <f t="shared" si="9"/>
        <v>0</v>
      </c>
      <c r="GP8" s="16">
        <f t="shared" si="9"/>
        <v>0</v>
      </c>
      <c r="GQ8" s="16">
        <f t="shared" si="9"/>
        <v>0</v>
      </c>
      <c r="GR8" s="16">
        <f t="shared" si="8"/>
        <v>0</v>
      </c>
      <c r="GS8" s="16">
        <f t="shared" si="8"/>
        <v>0</v>
      </c>
      <c r="GT8" s="16">
        <f t="shared" si="8"/>
        <v>0</v>
      </c>
      <c r="GU8" s="16">
        <f t="shared" si="8"/>
        <v>0</v>
      </c>
      <c r="GV8" s="16">
        <f t="shared" si="8"/>
        <v>0</v>
      </c>
      <c r="GW8" s="16">
        <f t="shared" si="8"/>
        <v>0</v>
      </c>
      <c r="GX8" s="16">
        <f t="shared" si="8"/>
        <v>0</v>
      </c>
      <c r="GY8" s="16">
        <f t="shared" si="8"/>
        <v>0</v>
      </c>
      <c r="GZ8" s="16">
        <f t="shared" si="8"/>
        <v>0</v>
      </c>
      <c r="HA8" s="16">
        <f t="shared" si="8"/>
        <v>0</v>
      </c>
      <c r="HB8" s="16">
        <f t="shared" si="8"/>
        <v>0</v>
      </c>
      <c r="HC8" s="16">
        <f t="shared" si="8"/>
        <v>0</v>
      </c>
    </row>
    <row r="9" spans="1:211" x14ac:dyDescent="0.25">
      <c r="A9" s="18" t="s">
        <v>48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16">
        <f t="shared" si="7"/>
        <v>0</v>
      </c>
      <c r="BT9" s="16">
        <f t="shared" si="7"/>
        <v>0</v>
      </c>
      <c r="BU9" s="16">
        <f t="shared" si="7"/>
        <v>0</v>
      </c>
      <c r="BV9" s="16">
        <f t="shared" si="7"/>
        <v>0</v>
      </c>
      <c r="BW9" s="16">
        <f t="shared" si="7"/>
        <v>0</v>
      </c>
      <c r="BX9" s="16">
        <f t="shared" si="7"/>
        <v>0</v>
      </c>
      <c r="BY9" s="16">
        <f t="shared" si="7"/>
        <v>0</v>
      </c>
      <c r="BZ9" s="16">
        <f t="shared" si="7"/>
        <v>0</v>
      </c>
      <c r="CA9" s="16">
        <f t="shared" si="7"/>
        <v>0</v>
      </c>
      <c r="CB9" s="16">
        <f t="shared" si="7"/>
        <v>0</v>
      </c>
      <c r="CC9" s="16">
        <f t="shared" si="7"/>
        <v>0</v>
      </c>
      <c r="CD9" s="16">
        <f t="shared" si="7"/>
        <v>0</v>
      </c>
      <c r="CE9" s="16">
        <f t="shared" si="7"/>
        <v>0</v>
      </c>
      <c r="CF9" s="16">
        <f t="shared" si="7"/>
        <v>0</v>
      </c>
      <c r="CG9" s="16">
        <f t="shared" si="7"/>
        <v>0</v>
      </c>
      <c r="CH9" s="16">
        <f t="shared" si="7"/>
        <v>0</v>
      </c>
      <c r="CI9" s="16">
        <f t="shared" si="7"/>
        <v>0</v>
      </c>
      <c r="CJ9" s="16">
        <f t="shared" si="7"/>
        <v>0</v>
      </c>
      <c r="CK9" s="16">
        <f t="shared" si="7"/>
        <v>0</v>
      </c>
      <c r="CL9" s="16">
        <f t="shared" si="7"/>
        <v>0</v>
      </c>
      <c r="CM9" s="16">
        <f t="shared" si="7"/>
        <v>0</v>
      </c>
      <c r="CN9" s="16">
        <f t="shared" si="7"/>
        <v>0</v>
      </c>
      <c r="CO9" s="16">
        <f t="shared" si="7"/>
        <v>0</v>
      </c>
      <c r="CP9" s="16">
        <f t="shared" si="7"/>
        <v>0</v>
      </c>
      <c r="CQ9" s="16">
        <f t="shared" si="7"/>
        <v>0</v>
      </c>
      <c r="CR9" s="16">
        <f t="shared" si="7"/>
        <v>0</v>
      </c>
      <c r="CS9" s="16">
        <f t="shared" si="7"/>
        <v>0</v>
      </c>
      <c r="CT9" s="16">
        <f t="shared" si="7"/>
        <v>0</v>
      </c>
      <c r="CU9" s="16">
        <f t="shared" si="7"/>
        <v>0</v>
      </c>
      <c r="CV9" s="16">
        <f t="shared" si="7"/>
        <v>0</v>
      </c>
      <c r="CW9" s="16">
        <f t="shared" si="7"/>
        <v>0</v>
      </c>
      <c r="CX9" s="16">
        <f t="shared" si="7"/>
        <v>0</v>
      </c>
      <c r="CY9" s="16">
        <f t="shared" si="7"/>
        <v>0</v>
      </c>
      <c r="CZ9" s="16">
        <f t="shared" si="7"/>
        <v>0</v>
      </c>
      <c r="DA9" s="16">
        <f t="shared" si="7"/>
        <v>0</v>
      </c>
      <c r="DB9" s="16">
        <f t="shared" si="7"/>
        <v>0</v>
      </c>
      <c r="DC9" s="16">
        <f t="shared" si="7"/>
        <v>0</v>
      </c>
      <c r="DD9" s="16">
        <f t="shared" si="7"/>
        <v>0</v>
      </c>
      <c r="DE9" s="16">
        <f t="shared" si="7"/>
        <v>0</v>
      </c>
      <c r="DF9" s="16">
        <f t="shared" si="7"/>
        <v>0</v>
      </c>
      <c r="DG9" s="16">
        <f t="shared" si="7"/>
        <v>0</v>
      </c>
      <c r="DH9" s="16">
        <f t="shared" si="7"/>
        <v>0</v>
      </c>
      <c r="DI9" s="16">
        <f t="shared" si="7"/>
        <v>0</v>
      </c>
      <c r="DJ9" s="16">
        <f t="shared" si="7"/>
        <v>0</v>
      </c>
      <c r="DK9" s="16">
        <f t="shared" si="7"/>
        <v>0</v>
      </c>
      <c r="DL9" s="16">
        <f t="shared" si="1"/>
        <v>0</v>
      </c>
      <c r="DM9" s="16">
        <f t="shared" si="1"/>
        <v>0</v>
      </c>
      <c r="DN9" s="16">
        <f t="shared" si="1"/>
        <v>0</v>
      </c>
      <c r="DO9" s="16">
        <f t="shared" si="1"/>
        <v>0</v>
      </c>
      <c r="DP9" s="16">
        <f t="shared" si="1"/>
        <v>0</v>
      </c>
      <c r="DQ9" s="16">
        <f t="shared" si="1"/>
        <v>0</v>
      </c>
      <c r="DR9" s="16">
        <f t="shared" si="4"/>
        <v>0</v>
      </c>
      <c r="DS9" s="16">
        <f>IF(Calculations!B136="",0,Calculations!B136)</f>
        <v>0</v>
      </c>
      <c r="DT9" s="16">
        <f>IF(Calculations!C136="",0,Calculations!C136)</f>
        <v>0</v>
      </c>
      <c r="DU9" s="16">
        <f>IF(Calculations!D136="",0,Calculations!D136)</f>
        <v>0</v>
      </c>
      <c r="DV9" s="16">
        <f>IF(Calculations!E136="",0,Calculations!E136)</f>
        <v>0</v>
      </c>
      <c r="DW9" s="16">
        <f>IF(Calculations!F136="",0,Calculations!F136)</f>
        <v>0</v>
      </c>
      <c r="DX9" s="16">
        <f>IF(Calculations!G136="",0,Calculations!G136)</f>
        <v>0</v>
      </c>
      <c r="DY9" s="16">
        <f>IF(Calculations!H136="",0,Calculations!H136)</f>
        <v>0</v>
      </c>
      <c r="DZ9" s="16">
        <f>IF(Calculations!I136="",0,Calculations!I136)</f>
        <v>0</v>
      </c>
      <c r="EA9" s="16">
        <f>IF(Calculations!J136="",0,Calculations!J136)</f>
        <v>0</v>
      </c>
      <c r="EB9" s="16">
        <f>IF(Calculations!K136="",0,Calculations!K136)</f>
        <v>0</v>
      </c>
      <c r="EC9" s="16">
        <f>IF(Calculations!L136="",0,Calculations!L136)</f>
        <v>0</v>
      </c>
      <c r="ED9" s="16">
        <f>IF(Calculations!M136="",0,Calculations!M136)</f>
        <v>0</v>
      </c>
      <c r="EE9" s="16">
        <f t="shared" si="5"/>
        <v>0</v>
      </c>
      <c r="EF9" s="16">
        <f t="shared" si="9"/>
        <v>0</v>
      </c>
      <c r="EG9" s="16">
        <f t="shared" si="9"/>
        <v>0</v>
      </c>
      <c r="EH9" s="16">
        <f t="shared" si="9"/>
        <v>0</v>
      </c>
      <c r="EI9" s="16">
        <f t="shared" si="9"/>
        <v>0</v>
      </c>
      <c r="EJ9" s="16">
        <f t="shared" si="9"/>
        <v>0</v>
      </c>
      <c r="EK9" s="16">
        <f t="shared" si="9"/>
        <v>0</v>
      </c>
      <c r="EL9" s="16">
        <f t="shared" si="9"/>
        <v>0</v>
      </c>
      <c r="EM9" s="16">
        <f t="shared" si="9"/>
        <v>0</v>
      </c>
      <c r="EN9" s="16">
        <f t="shared" si="9"/>
        <v>0</v>
      </c>
      <c r="EO9" s="16">
        <f t="shared" si="9"/>
        <v>0</v>
      </c>
      <c r="EP9" s="16">
        <f t="shared" si="9"/>
        <v>0</v>
      </c>
      <c r="EQ9" s="16">
        <f t="shared" si="9"/>
        <v>0</v>
      </c>
      <c r="ER9" s="16">
        <f t="shared" si="9"/>
        <v>0</v>
      </c>
      <c r="ES9" s="16">
        <f t="shared" si="9"/>
        <v>0</v>
      </c>
      <c r="ET9" s="16">
        <f t="shared" si="9"/>
        <v>0</v>
      </c>
      <c r="EU9" s="16">
        <f t="shared" si="9"/>
        <v>0</v>
      </c>
      <c r="EV9" s="16">
        <f t="shared" si="9"/>
        <v>0</v>
      </c>
      <c r="EW9" s="16">
        <f t="shared" si="9"/>
        <v>0</v>
      </c>
      <c r="EX9" s="16">
        <f t="shared" si="9"/>
        <v>0</v>
      </c>
      <c r="EY9" s="16">
        <f t="shared" si="9"/>
        <v>0</v>
      </c>
      <c r="EZ9" s="16">
        <f t="shared" si="9"/>
        <v>0</v>
      </c>
      <c r="FA9" s="16">
        <f t="shared" si="9"/>
        <v>0</v>
      </c>
      <c r="FB9" s="16">
        <f t="shared" si="9"/>
        <v>0</v>
      </c>
      <c r="FC9" s="16">
        <f t="shared" si="9"/>
        <v>0</v>
      </c>
      <c r="FD9" s="16">
        <f t="shared" si="9"/>
        <v>0</v>
      </c>
      <c r="FE9" s="16">
        <f t="shared" si="9"/>
        <v>0</v>
      </c>
      <c r="FF9" s="16">
        <f t="shared" si="9"/>
        <v>0</v>
      </c>
      <c r="FG9" s="16">
        <f t="shared" si="9"/>
        <v>0</v>
      </c>
      <c r="FH9" s="16">
        <f t="shared" si="9"/>
        <v>0</v>
      </c>
      <c r="FI9" s="16">
        <f t="shared" si="9"/>
        <v>0</v>
      </c>
      <c r="FJ9" s="16">
        <f t="shared" si="9"/>
        <v>0</v>
      </c>
      <c r="FK9" s="16">
        <f t="shared" si="9"/>
        <v>0</v>
      </c>
      <c r="FL9" s="16">
        <f t="shared" si="9"/>
        <v>0</v>
      </c>
      <c r="FM9" s="16">
        <f t="shared" si="9"/>
        <v>0</v>
      </c>
      <c r="FN9" s="16">
        <f t="shared" si="9"/>
        <v>0</v>
      </c>
      <c r="FO9" s="16">
        <f t="shared" si="9"/>
        <v>0</v>
      </c>
      <c r="FP9" s="16">
        <f t="shared" si="9"/>
        <v>0</v>
      </c>
      <c r="FQ9" s="16">
        <f t="shared" si="9"/>
        <v>0</v>
      </c>
      <c r="FR9" s="16">
        <f t="shared" si="9"/>
        <v>0</v>
      </c>
      <c r="FS9" s="16">
        <f t="shared" si="9"/>
        <v>0</v>
      </c>
      <c r="FT9" s="16">
        <f t="shared" si="9"/>
        <v>0</v>
      </c>
      <c r="FU9" s="16">
        <f t="shared" si="9"/>
        <v>0</v>
      </c>
      <c r="FV9" s="16">
        <f t="shared" si="9"/>
        <v>0</v>
      </c>
      <c r="FW9" s="16">
        <f t="shared" si="9"/>
        <v>0</v>
      </c>
      <c r="FX9" s="16">
        <f t="shared" si="9"/>
        <v>0</v>
      </c>
      <c r="FY9" s="16">
        <f t="shared" si="9"/>
        <v>0</v>
      </c>
      <c r="FZ9" s="16">
        <f t="shared" si="9"/>
        <v>0</v>
      </c>
      <c r="GA9" s="16">
        <f t="shared" si="9"/>
        <v>0</v>
      </c>
      <c r="GB9" s="16">
        <f t="shared" si="9"/>
        <v>0</v>
      </c>
      <c r="GC9" s="16">
        <f t="shared" si="9"/>
        <v>0</v>
      </c>
      <c r="GD9" s="16">
        <f t="shared" si="9"/>
        <v>0</v>
      </c>
      <c r="GE9" s="16">
        <f t="shared" si="9"/>
        <v>0</v>
      </c>
      <c r="GF9" s="16">
        <f t="shared" si="9"/>
        <v>0</v>
      </c>
      <c r="GG9" s="16">
        <f t="shared" si="9"/>
        <v>0</v>
      </c>
      <c r="GH9" s="16">
        <f t="shared" si="9"/>
        <v>0</v>
      </c>
      <c r="GI9" s="16">
        <f t="shared" si="9"/>
        <v>0</v>
      </c>
      <c r="GJ9" s="16">
        <f t="shared" si="9"/>
        <v>0</v>
      </c>
      <c r="GK9" s="16">
        <f t="shared" si="9"/>
        <v>0</v>
      </c>
      <c r="GL9" s="16">
        <f t="shared" si="9"/>
        <v>0</v>
      </c>
      <c r="GM9" s="16">
        <f t="shared" si="9"/>
        <v>0</v>
      </c>
      <c r="GN9" s="16">
        <f t="shared" si="9"/>
        <v>0</v>
      </c>
      <c r="GO9" s="16">
        <f t="shared" si="9"/>
        <v>0</v>
      </c>
      <c r="GP9" s="16">
        <f t="shared" si="9"/>
        <v>0</v>
      </c>
      <c r="GQ9" s="16">
        <f t="shared" si="9"/>
        <v>0</v>
      </c>
      <c r="GR9" s="16">
        <f t="shared" si="8"/>
        <v>0</v>
      </c>
      <c r="GS9" s="16">
        <f t="shared" si="8"/>
        <v>0</v>
      </c>
      <c r="GT9" s="16">
        <f t="shared" si="8"/>
        <v>0</v>
      </c>
      <c r="GU9" s="16">
        <f t="shared" si="8"/>
        <v>0</v>
      </c>
      <c r="GV9" s="16">
        <f t="shared" si="8"/>
        <v>0</v>
      </c>
      <c r="GW9" s="16">
        <f t="shared" si="8"/>
        <v>0</v>
      </c>
      <c r="GX9" s="16">
        <f t="shared" si="8"/>
        <v>0</v>
      </c>
      <c r="GY9" s="16">
        <f t="shared" si="8"/>
        <v>0</v>
      </c>
      <c r="GZ9" s="16">
        <f t="shared" si="8"/>
        <v>0</v>
      </c>
      <c r="HA9" s="16">
        <f t="shared" si="8"/>
        <v>0</v>
      </c>
      <c r="HB9" s="16">
        <f t="shared" si="8"/>
        <v>0</v>
      </c>
      <c r="HC9" s="16">
        <f t="shared" si="8"/>
        <v>0</v>
      </c>
    </row>
    <row r="10" spans="1:211" x14ac:dyDescent="0.25">
      <c r="A10" t="s">
        <v>49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16">
        <f t="shared" si="7"/>
        <v>40776441.96128732</v>
      </c>
      <c r="BT10" s="16">
        <f t="shared" si="7"/>
        <v>40776441.96128732</v>
      </c>
      <c r="BU10" s="16">
        <f t="shared" si="7"/>
        <v>40776441.96128732</v>
      </c>
      <c r="BV10" s="16">
        <f t="shared" si="7"/>
        <v>40776441.96128732</v>
      </c>
      <c r="BW10" s="16">
        <f t="shared" si="7"/>
        <v>40776441.96128732</v>
      </c>
      <c r="BX10" s="16">
        <f t="shared" si="7"/>
        <v>40776441.96128732</v>
      </c>
      <c r="BY10" s="16">
        <f t="shared" si="7"/>
        <v>40776441.96128732</v>
      </c>
      <c r="BZ10" s="16">
        <f t="shared" si="7"/>
        <v>40776441.96128732</v>
      </c>
      <c r="CA10" s="16">
        <f t="shared" si="7"/>
        <v>40776441.96128732</v>
      </c>
      <c r="CB10" s="16">
        <f t="shared" si="7"/>
        <v>40776441.96128732</v>
      </c>
      <c r="CC10" s="16">
        <f t="shared" si="7"/>
        <v>40776441.96128732</v>
      </c>
      <c r="CD10" s="16">
        <f t="shared" si="7"/>
        <v>40776441.96128732</v>
      </c>
      <c r="CE10" s="16">
        <f t="shared" si="7"/>
        <v>40776441.96128732</v>
      </c>
      <c r="CF10" s="16">
        <f t="shared" si="7"/>
        <v>40776441.96128732</v>
      </c>
      <c r="CG10" s="16">
        <f t="shared" si="7"/>
        <v>40776441.96128732</v>
      </c>
      <c r="CH10" s="16">
        <f t="shared" si="7"/>
        <v>40776441.96128732</v>
      </c>
      <c r="CI10" s="16">
        <f t="shared" si="7"/>
        <v>40776441.96128732</v>
      </c>
      <c r="CJ10" s="16">
        <f t="shared" si="7"/>
        <v>40776441.96128732</v>
      </c>
      <c r="CK10" s="16">
        <f t="shared" si="7"/>
        <v>40776441.96128732</v>
      </c>
      <c r="CL10" s="16">
        <f t="shared" si="7"/>
        <v>40776441.96128732</v>
      </c>
      <c r="CM10" s="16">
        <f t="shared" si="7"/>
        <v>40776441.96128732</v>
      </c>
      <c r="CN10" s="16">
        <f t="shared" si="7"/>
        <v>40776441.96128732</v>
      </c>
      <c r="CO10" s="16">
        <f t="shared" si="7"/>
        <v>40776441.96128732</v>
      </c>
      <c r="CP10" s="16">
        <f t="shared" si="7"/>
        <v>40776441.96128732</v>
      </c>
      <c r="CQ10" s="16">
        <f t="shared" si="7"/>
        <v>40776441.96128732</v>
      </c>
      <c r="CR10" s="16">
        <f t="shared" si="7"/>
        <v>40776441.96128732</v>
      </c>
      <c r="CS10" s="16">
        <f t="shared" si="7"/>
        <v>40776441.96128732</v>
      </c>
      <c r="CT10" s="16">
        <f t="shared" si="7"/>
        <v>40776441.96128732</v>
      </c>
      <c r="CU10" s="16">
        <f t="shared" si="7"/>
        <v>40776441.96128732</v>
      </c>
      <c r="CV10" s="16">
        <f t="shared" si="7"/>
        <v>40776441.96128732</v>
      </c>
      <c r="CW10" s="16">
        <f t="shared" si="7"/>
        <v>40776441.96128732</v>
      </c>
      <c r="CX10" s="16">
        <f t="shared" si="7"/>
        <v>40776441.96128732</v>
      </c>
      <c r="CY10" s="16">
        <f t="shared" si="7"/>
        <v>40776441.96128732</v>
      </c>
      <c r="CZ10" s="16">
        <f t="shared" si="7"/>
        <v>40776441.96128732</v>
      </c>
      <c r="DA10" s="16">
        <f t="shared" si="7"/>
        <v>40776441.96128732</v>
      </c>
      <c r="DB10" s="16">
        <f t="shared" si="7"/>
        <v>40776441.96128732</v>
      </c>
      <c r="DC10" s="16">
        <f t="shared" si="7"/>
        <v>40776441.96128732</v>
      </c>
      <c r="DD10" s="16">
        <f t="shared" si="7"/>
        <v>40776441.96128732</v>
      </c>
      <c r="DE10" s="16">
        <f t="shared" si="7"/>
        <v>40776441.96128732</v>
      </c>
      <c r="DF10" s="16">
        <f t="shared" si="7"/>
        <v>40776441.96128732</v>
      </c>
      <c r="DG10" s="16">
        <f t="shared" si="7"/>
        <v>40776441.96128732</v>
      </c>
      <c r="DH10" s="16">
        <f t="shared" si="7"/>
        <v>40776441.96128732</v>
      </c>
      <c r="DI10" s="16">
        <f t="shared" si="7"/>
        <v>40776441.96128732</v>
      </c>
      <c r="DJ10" s="16">
        <f t="shared" si="7"/>
        <v>40776441.96128732</v>
      </c>
      <c r="DK10" s="16">
        <f t="shared" si="7"/>
        <v>40776441.96128732</v>
      </c>
      <c r="DL10" s="16">
        <f t="shared" si="1"/>
        <v>40776441.96128732</v>
      </c>
      <c r="DM10" s="16">
        <f t="shared" si="1"/>
        <v>40776441.96128732</v>
      </c>
      <c r="DN10" s="16">
        <f t="shared" si="1"/>
        <v>40776441.96128732</v>
      </c>
      <c r="DO10" s="16">
        <f t="shared" si="1"/>
        <v>40776441.96128732</v>
      </c>
      <c r="DP10" s="16">
        <f t="shared" si="1"/>
        <v>40776441.96128732</v>
      </c>
      <c r="DQ10" s="16">
        <f t="shared" si="1"/>
        <v>40776441.96128732</v>
      </c>
      <c r="DR10" s="16">
        <f t="shared" si="4"/>
        <v>40776441.96128732</v>
      </c>
      <c r="DS10" s="16">
        <f>IF(Calculations!B137="",0,Calculations!B137)</f>
        <v>40776441.96128732</v>
      </c>
      <c r="DT10" s="16">
        <f>IF(Calculations!C137="",0,Calculations!C137)</f>
        <v>51080069.887491159</v>
      </c>
      <c r="DU10" s="16">
        <f>IF(Calculations!D137="",0,Calculations!D137)</f>
        <v>45943262.158668347</v>
      </c>
      <c r="DV10" s="16">
        <f>IF(Calculations!E137="",0,Calculations!E137)</f>
        <v>46703152.443952359</v>
      </c>
      <c r="DW10" s="16">
        <f>IF(Calculations!F137="",0,Calculations!F137)</f>
        <v>44940551.273012631</v>
      </c>
      <c r="DX10" s="16">
        <f>IF(Calculations!G137="",0,Calculations!G137)</f>
        <v>32919107.819473967</v>
      </c>
      <c r="DY10" s="16">
        <f>IF(Calculations!H137="",0,Calculations!H137)</f>
        <v>30788398.359632302</v>
      </c>
      <c r="DZ10" s="16">
        <f>IF(Calculations!I137="",0,Calculations!I137)</f>
        <v>38478114.696234241</v>
      </c>
      <c r="EA10" s="16">
        <f>IF(Calculations!J137="",0,Calculations!J137)</f>
        <v>37563821.804902278</v>
      </c>
      <c r="EB10" s="16">
        <f>IF(Calculations!K137="",0,Calculations!K137)</f>
        <v>34375741.315167025</v>
      </c>
      <c r="EC10" s="16">
        <f>IF(Calculations!L137="",0,Calculations!L137)</f>
        <v>28033739.015713669</v>
      </c>
      <c r="ED10" s="16">
        <f>IF(Calculations!M137="",0,Calculations!M137)</f>
        <v>26982083.110270876</v>
      </c>
      <c r="EE10" s="16">
        <f t="shared" si="5"/>
        <v>26982083.110270876</v>
      </c>
      <c r="EF10" s="16">
        <f t="shared" si="9"/>
        <v>26982083.110270876</v>
      </c>
      <c r="EG10" s="16">
        <f t="shared" si="9"/>
        <v>26982083.110270876</v>
      </c>
      <c r="EH10" s="16">
        <f t="shared" si="9"/>
        <v>26982083.110270876</v>
      </c>
      <c r="EI10" s="16">
        <f t="shared" si="9"/>
        <v>26982083.110270876</v>
      </c>
      <c r="EJ10" s="16">
        <f t="shared" si="9"/>
        <v>26982083.110270876</v>
      </c>
      <c r="EK10" s="16">
        <f t="shared" si="9"/>
        <v>26982083.110270876</v>
      </c>
      <c r="EL10" s="16">
        <f t="shared" si="9"/>
        <v>26982083.110270876</v>
      </c>
      <c r="EM10" s="16">
        <f t="shared" si="9"/>
        <v>26982083.110270876</v>
      </c>
      <c r="EN10" s="16">
        <f t="shared" si="9"/>
        <v>26982083.110270876</v>
      </c>
      <c r="EO10" s="16">
        <f t="shared" si="9"/>
        <v>26982083.110270876</v>
      </c>
      <c r="EP10" s="16">
        <f t="shared" si="9"/>
        <v>26982083.110270876</v>
      </c>
      <c r="EQ10" s="16">
        <f t="shared" si="9"/>
        <v>26982083.110270876</v>
      </c>
      <c r="ER10" s="16">
        <f t="shared" si="9"/>
        <v>26982083.110270876</v>
      </c>
      <c r="ES10" s="16">
        <f t="shared" si="9"/>
        <v>26982083.110270876</v>
      </c>
      <c r="ET10" s="16">
        <f t="shared" si="9"/>
        <v>26982083.110270876</v>
      </c>
      <c r="EU10" s="16">
        <f t="shared" si="9"/>
        <v>26982083.110270876</v>
      </c>
      <c r="EV10" s="16">
        <f t="shared" si="9"/>
        <v>26982083.110270876</v>
      </c>
      <c r="EW10" s="16">
        <f t="shared" si="9"/>
        <v>26982083.110270876</v>
      </c>
      <c r="EX10" s="16">
        <f t="shared" si="9"/>
        <v>26982083.110270876</v>
      </c>
      <c r="EY10" s="16">
        <f t="shared" si="9"/>
        <v>26982083.110270876</v>
      </c>
      <c r="EZ10" s="16">
        <f t="shared" si="9"/>
        <v>26982083.110270876</v>
      </c>
      <c r="FA10" s="16">
        <f t="shared" si="9"/>
        <v>26982083.110270876</v>
      </c>
      <c r="FB10" s="16">
        <f t="shared" si="9"/>
        <v>26982083.110270876</v>
      </c>
      <c r="FC10" s="16">
        <f t="shared" si="9"/>
        <v>26982083.110270876</v>
      </c>
      <c r="FD10" s="16">
        <f t="shared" si="9"/>
        <v>26982083.110270876</v>
      </c>
      <c r="FE10" s="16">
        <f t="shared" si="9"/>
        <v>26982083.110270876</v>
      </c>
      <c r="FF10" s="16">
        <f t="shared" si="9"/>
        <v>26982083.110270876</v>
      </c>
      <c r="FG10" s="16">
        <f t="shared" si="9"/>
        <v>26982083.110270876</v>
      </c>
      <c r="FH10" s="16">
        <f t="shared" si="9"/>
        <v>26982083.110270876</v>
      </c>
      <c r="FI10" s="16">
        <f t="shared" si="9"/>
        <v>26982083.110270876</v>
      </c>
      <c r="FJ10" s="16">
        <f t="shared" si="9"/>
        <v>26982083.110270876</v>
      </c>
      <c r="FK10" s="16">
        <f t="shared" si="9"/>
        <v>26982083.110270876</v>
      </c>
      <c r="FL10" s="16">
        <f t="shared" si="9"/>
        <v>26982083.110270876</v>
      </c>
      <c r="FM10" s="16">
        <f t="shared" si="9"/>
        <v>26982083.110270876</v>
      </c>
      <c r="FN10" s="16">
        <f t="shared" si="9"/>
        <v>26982083.110270876</v>
      </c>
      <c r="FO10" s="16">
        <f t="shared" si="9"/>
        <v>26982083.110270876</v>
      </c>
      <c r="FP10" s="16">
        <f t="shared" si="9"/>
        <v>26982083.110270876</v>
      </c>
      <c r="FQ10" s="16">
        <f t="shared" si="9"/>
        <v>26982083.110270876</v>
      </c>
      <c r="FR10" s="16">
        <f t="shared" si="9"/>
        <v>26982083.110270876</v>
      </c>
      <c r="FS10" s="16">
        <f t="shared" si="9"/>
        <v>26982083.110270876</v>
      </c>
      <c r="FT10" s="16">
        <f t="shared" si="9"/>
        <v>26982083.110270876</v>
      </c>
      <c r="FU10" s="16">
        <f t="shared" si="9"/>
        <v>26982083.110270876</v>
      </c>
      <c r="FV10" s="16">
        <f t="shared" si="9"/>
        <v>26982083.110270876</v>
      </c>
      <c r="FW10" s="16">
        <f t="shared" si="9"/>
        <v>26982083.110270876</v>
      </c>
      <c r="FX10" s="16">
        <f t="shared" si="9"/>
        <v>26982083.110270876</v>
      </c>
      <c r="FY10" s="16">
        <f t="shared" si="9"/>
        <v>26982083.110270876</v>
      </c>
      <c r="FZ10" s="16">
        <f t="shared" si="9"/>
        <v>26982083.110270876</v>
      </c>
      <c r="GA10" s="16">
        <f t="shared" si="9"/>
        <v>26982083.110270876</v>
      </c>
      <c r="GB10" s="16">
        <f t="shared" si="9"/>
        <v>26982083.110270876</v>
      </c>
      <c r="GC10" s="16">
        <f t="shared" si="9"/>
        <v>26982083.110270876</v>
      </c>
      <c r="GD10" s="16">
        <f t="shared" si="9"/>
        <v>26982083.110270876</v>
      </c>
      <c r="GE10" s="16">
        <f t="shared" si="9"/>
        <v>26982083.110270876</v>
      </c>
      <c r="GF10" s="16">
        <f t="shared" si="9"/>
        <v>26982083.110270876</v>
      </c>
      <c r="GG10" s="16">
        <f t="shared" si="9"/>
        <v>26982083.110270876</v>
      </c>
      <c r="GH10" s="16">
        <f t="shared" si="9"/>
        <v>26982083.110270876</v>
      </c>
      <c r="GI10" s="16">
        <f t="shared" si="9"/>
        <v>26982083.110270876</v>
      </c>
      <c r="GJ10" s="16">
        <f t="shared" si="9"/>
        <v>26982083.110270876</v>
      </c>
      <c r="GK10" s="16">
        <f t="shared" si="9"/>
        <v>26982083.110270876</v>
      </c>
      <c r="GL10" s="16">
        <f t="shared" si="9"/>
        <v>26982083.110270876</v>
      </c>
      <c r="GM10" s="16">
        <f t="shared" si="9"/>
        <v>26982083.110270876</v>
      </c>
      <c r="GN10" s="16">
        <f t="shared" si="9"/>
        <v>26982083.110270876</v>
      </c>
      <c r="GO10" s="16">
        <f t="shared" si="9"/>
        <v>26982083.110270876</v>
      </c>
      <c r="GP10" s="16">
        <f t="shared" si="9"/>
        <v>26982083.110270876</v>
      </c>
      <c r="GQ10" s="16">
        <f t="shared" si="9"/>
        <v>26982083.110270876</v>
      </c>
      <c r="GR10" s="16">
        <f t="shared" si="8"/>
        <v>26982083.110270876</v>
      </c>
      <c r="GS10" s="16">
        <f t="shared" si="8"/>
        <v>26982083.110270876</v>
      </c>
      <c r="GT10" s="16">
        <f t="shared" si="8"/>
        <v>26982083.110270876</v>
      </c>
      <c r="GU10" s="16">
        <f t="shared" si="8"/>
        <v>26982083.110270876</v>
      </c>
      <c r="GV10" s="16">
        <f t="shared" si="8"/>
        <v>26982083.110270876</v>
      </c>
      <c r="GW10" s="16">
        <f t="shared" si="8"/>
        <v>26982083.110270876</v>
      </c>
      <c r="GX10" s="16">
        <f t="shared" si="8"/>
        <v>26982083.110270876</v>
      </c>
      <c r="GY10" s="16">
        <f t="shared" si="8"/>
        <v>26982083.110270876</v>
      </c>
      <c r="GZ10" s="16">
        <f t="shared" si="8"/>
        <v>26982083.110270876</v>
      </c>
      <c r="HA10" s="16">
        <f t="shared" si="8"/>
        <v>26982083.110270876</v>
      </c>
      <c r="HB10" s="16">
        <f t="shared" si="8"/>
        <v>26982083.110270876</v>
      </c>
      <c r="HC10" s="16">
        <f t="shared" si="8"/>
        <v>26982083.110270876</v>
      </c>
    </row>
    <row r="11" spans="1:211" x14ac:dyDescent="0.25">
      <c r="A11" s="18" t="s">
        <v>51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16">
        <f t="shared" si="7"/>
        <v>0</v>
      </c>
      <c r="BT11" s="16">
        <f t="shared" si="7"/>
        <v>0</v>
      </c>
      <c r="BU11" s="16">
        <f t="shared" si="7"/>
        <v>0</v>
      </c>
      <c r="BV11" s="16">
        <f t="shared" si="7"/>
        <v>0</v>
      </c>
      <c r="BW11" s="16">
        <f t="shared" si="7"/>
        <v>0</v>
      </c>
      <c r="BX11" s="16">
        <f t="shared" si="7"/>
        <v>0</v>
      </c>
      <c r="BY11" s="16">
        <f t="shared" si="7"/>
        <v>0</v>
      </c>
      <c r="BZ11" s="16">
        <f t="shared" si="7"/>
        <v>0</v>
      </c>
      <c r="CA11" s="16">
        <f t="shared" si="7"/>
        <v>0</v>
      </c>
      <c r="CB11" s="16">
        <f t="shared" si="7"/>
        <v>0</v>
      </c>
      <c r="CC11" s="16">
        <f t="shared" si="7"/>
        <v>0</v>
      </c>
      <c r="CD11" s="16">
        <f t="shared" si="7"/>
        <v>0</v>
      </c>
      <c r="CE11" s="16">
        <f t="shared" si="7"/>
        <v>0</v>
      </c>
      <c r="CF11" s="16">
        <f t="shared" si="7"/>
        <v>0</v>
      </c>
      <c r="CG11" s="16">
        <f t="shared" si="7"/>
        <v>0</v>
      </c>
      <c r="CH11" s="16">
        <f t="shared" si="7"/>
        <v>0</v>
      </c>
      <c r="CI11" s="16">
        <f t="shared" si="7"/>
        <v>0</v>
      </c>
      <c r="CJ11" s="16">
        <f t="shared" si="7"/>
        <v>0</v>
      </c>
      <c r="CK11" s="16">
        <f t="shared" si="7"/>
        <v>0</v>
      </c>
      <c r="CL11" s="16">
        <f t="shared" si="7"/>
        <v>0</v>
      </c>
      <c r="CM11" s="16">
        <f t="shared" si="7"/>
        <v>0</v>
      </c>
      <c r="CN11" s="16">
        <f t="shared" si="7"/>
        <v>0</v>
      </c>
      <c r="CO11" s="16">
        <f t="shared" si="7"/>
        <v>0</v>
      </c>
      <c r="CP11" s="16">
        <f t="shared" si="7"/>
        <v>0</v>
      </c>
      <c r="CQ11" s="16">
        <f t="shared" si="7"/>
        <v>0</v>
      </c>
      <c r="CR11" s="16">
        <f t="shared" si="7"/>
        <v>0</v>
      </c>
      <c r="CS11" s="16">
        <f t="shared" si="7"/>
        <v>0</v>
      </c>
      <c r="CT11" s="16">
        <f t="shared" si="7"/>
        <v>0</v>
      </c>
      <c r="CU11" s="16">
        <f t="shared" si="7"/>
        <v>0</v>
      </c>
      <c r="CV11" s="16">
        <f t="shared" si="7"/>
        <v>0</v>
      </c>
      <c r="CW11" s="16">
        <f t="shared" si="7"/>
        <v>0</v>
      </c>
      <c r="CX11" s="16">
        <f t="shared" si="7"/>
        <v>0</v>
      </c>
      <c r="CY11" s="16">
        <f t="shared" si="7"/>
        <v>0</v>
      </c>
      <c r="CZ11" s="16">
        <f t="shared" si="7"/>
        <v>0</v>
      </c>
      <c r="DA11" s="16">
        <f t="shared" si="7"/>
        <v>0</v>
      </c>
      <c r="DB11" s="16">
        <f t="shared" si="7"/>
        <v>0</v>
      </c>
      <c r="DC11" s="16">
        <f t="shared" si="7"/>
        <v>0</v>
      </c>
      <c r="DD11" s="16">
        <f t="shared" si="7"/>
        <v>0</v>
      </c>
      <c r="DE11" s="16">
        <f t="shared" si="7"/>
        <v>0</v>
      </c>
      <c r="DF11" s="16">
        <f t="shared" si="7"/>
        <v>0</v>
      </c>
      <c r="DG11" s="16">
        <f t="shared" si="7"/>
        <v>0</v>
      </c>
      <c r="DH11" s="16">
        <f t="shared" si="7"/>
        <v>0</v>
      </c>
      <c r="DI11" s="16">
        <f t="shared" si="7"/>
        <v>0</v>
      </c>
      <c r="DJ11" s="16">
        <f t="shared" si="7"/>
        <v>0</v>
      </c>
      <c r="DK11" s="16">
        <f t="shared" si="7"/>
        <v>0</v>
      </c>
      <c r="DL11" s="16">
        <f t="shared" si="1"/>
        <v>0</v>
      </c>
      <c r="DM11" s="16">
        <f t="shared" si="1"/>
        <v>0</v>
      </c>
      <c r="DN11" s="16">
        <f t="shared" si="1"/>
        <v>0</v>
      </c>
      <c r="DO11" s="16">
        <f t="shared" si="1"/>
        <v>0</v>
      </c>
      <c r="DP11" s="16">
        <f t="shared" si="1"/>
        <v>0</v>
      </c>
      <c r="DQ11" s="16">
        <f t="shared" si="1"/>
        <v>0</v>
      </c>
      <c r="DR11" s="16">
        <f t="shared" si="4"/>
        <v>0</v>
      </c>
      <c r="DS11" s="16">
        <f>IF(Calculations!B138="",0,Calculations!B138)</f>
        <v>0</v>
      </c>
      <c r="DT11" s="16">
        <f>IF(Calculations!C138="",0,Calculations!C138)</f>
        <v>0</v>
      </c>
      <c r="DU11" s="16">
        <f>IF(Calculations!D138="",0,Calculations!D138)</f>
        <v>0</v>
      </c>
      <c r="DV11" s="16">
        <f>IF(Calculations!E138="",0,Calculations!E138)</f>
        <v>0</v>
      </c>
      <c r="DW11" s="16">
        <f>IF(Calculations!F138="",0,Calculations!F138)</f>
        <v>0</v>
      </c>
      <c r="DX11" s="16">
        <f>IF(Calculations!G138="",0,Calculations!G138)</f>
        <v>0</v>
      </c>
      <c r="DY11" s="16">
        <f>IF(Calculations!H138="",0,Calculations!H138)</f>
        <v>0</v>
      </c>
      <c r="DZ11" s="16">
        <f>IF(Calculations!I138="",0,Calculations!I138)</f>
        <v>0</v>
      </c>
      <c r="EA11" s="16">
        <f>IF(Calculations!J138="",0,Calculations!J138)</f>
        <v>0</v>
      </c>
      <c r="EB11" s="16">
        <f>IF(Calculations!K138="",0,Calculations!K138)</f>
        <v>0</v>
      </c>
      <c r="EC11" s="16">
        <f>IF(Calculations!L138="",0,Calculations!L138)</f>
        <v>0</v>
      </c>
      <c r="ED11" s="16">
        <f>IF(Calculations!M138="",0,Calculations!M138)</f>
        <v>0</v>
      </c>
      <c r="EE11" s="16">
        <f t="shared" si="5"/>
        <v>0</v>
      </c>
      <c r="EF11" s="16">
        <f t="shared" si="9"/>
        <v>0</v>
      </c>
      <c r="EG11" s="16">
        <f t="shared" si="9"/>
        <v>0</v>
      </c>
      <c r="EH11" s="16">
        <f t="shared" si="9"/>
        <v>0</v>
      </c>
      <c r="EI11" s="16">
        <f t="shared" si="9"/>
        <v>0</v>
      </c>
      <c r="EJ11" s="16">
        <f t="shared" si="9"/>
        <v>0</v>
      </c>
      <c r="EK11" s="16">
        <f t="shared" si="9"/>
        <v>0</v>
      </c>
      <c r="EL11" s="16">
        <f t="shared" si="9"/>
        <v>0</v>
      </c>
      <c r="EM11" s="16">
        <f t="shared" si="9"/>
        <v>0</v>
      </c>
      <c r="EN11" s="16">
        <f t="shared" si="9"/>
        <v>0</v>
      </c>
      <c r="EO11" s="16">
        <f t="shared" si="9"/>
        <v>0</v>
      </c>
      <c r="EP11" s="16">
        <f t="shared" si="9"/>
        <v>0</v>
      </c>
      <c r="EQ11" s="16">
        <f t="shared" si="9"/>
        <v>0</v>
      </c>
      <c r="ER11" s="16">
        <f t="shared" si="9"/>
        <v>0</v>
      </c>
      <c r="ES11" s="16">
        <f t="shared" si="9"/>
        <v>0</v>
      </c>
      <c r="ET11" s="16">
        <f t="shared" si="9"/>
        <v>0</v>
      </c>
      <c r="EU11" s="16">
        <f t="shared" si="9"/>
        <v>0</v>
      </c>
      <c r="EV11" s="16">
        <f t="shared" si="9"/>
        <v>0</v>
      </c>
      <c r="EW11" s="16">
        <f t="shared" si="9"/>
        <v>0</v>
      </c>
      <c r="EX11" s="16">
        <f t="shared" si="9"/>
        <v>0</v>
      </c>
      <c r="EY11" s="16">
        <f t="shared" si="9"/>
        <v>0</v>
      </c>
      <c r="EZ11" s="16">
        <f t="shared" si="9"/>
        <v>0</v>
      </c>
      <c r="FA11" s="16">
        <f t="shared" si="9"/>
        <v>0</v>
      </c>
      <c r="FB11" s="16">
        <f t="shared" si="9"/>
        <v>0</v>
      </c>
      <c r="FC11" s="16">
        <f t="shared" si="9"/>
        <v>0</v>
      </c>
      <c r="FD11" s="16">
        <f t="shared" si="9"/>
        <v>0</v>
      </c>
      <c r="FE11" s="16">
        <f t="shared" si="9"/>
        <v>0</v>
      </c>
      <c r="FF11" s="16">
        <f t="shared" si="9"/>
        <v>0</v>
      </c>
      <c r="FG11" s="16">
        <f t="shared" si="9"/>
        <v>0</v>
      </c>
      <c r="FH11" s="16">
        <f t="shared" si="9"/>
        <v>0</v>
      </c>
      <c r="FI11" s="16">
        <f t="shared" si="9"/>
        <v>0</v>
      </c>
      <c r="FJ11" s="16">
        <f t="shared" si="9"/>
        <v>0</v>
      </c>
      <c r="FK11" s="16">
        <f t="shared" si="9"/>
        <v>0</v>
      </c>
      <c r="FL11" s="16">
        <f t="shared" si="9"/>
        <v>0</v>
      </c>
      <c r="FM11" s="16">
        <f t="shared" si="9"/>
        <v>0</v>
      </c>
      <c r="FN11" s="16">
        <f t="shared" si="9"/>
        <v>0</v>
      </c>
      <c r="FO11" s="16">
        <f t="shared" si="9"/>
        <v>0</v>
      </c>
      <c r="FP11" s="16">
        <f t="shared" si="9"/>
        <v>0</v>
      </c>
      <c r="FQ11" s="16">
        <f t="shared" si="9"/>
        <v>0</v>
      </c>
      <c r="FR11" s="16">
        <f t="shared" si="9"/>
        <v>0</v>
      </c>
      <c r="FS11" s="16">
        <f t="shared" si="9"/>
        <v>0</v>
      </c>
      <c r="FT11" s="16">
        <f t="shared" si="9"/>
        <v>0</v>
      </c>
      <c r="FU11" s="16">
        <f t="shared" si="9"/>
        <v>0</v>
      </c>
      <c r="FV11" s="16">
        <f t="shared" si="9"/>
        <v>0</v>
      </c>
      <c r="FW11" s="16">
        <f t="shared" si="9"/>
        <v>0</v>
      </c>
      <c r="FX11" s="16">
        <f t="shared" si="9"/>
        <v>0</v>
      </c>
      <c r="FY11" s="16">
        <f t="shared" si="9"/>
        <v>0</v>
      </c>
      <c r="FZ11" s="16">
        <f t="shared" si="9"/>
        <v>0</v>
      </c>
      <c r="GA11" s="16">
        <f t="shared" si="9"/>
        <v>0</v>
      </c>
      <c r="GB11" s="16">
        <f t="shared" si="9"/>
        <v>0</v>
      </c>
      <c r="GC11" s="16">
        <f t="shared" si="9"/>
        <v>0</v>
      </c>
      <c r="GD11" s="16">
        <f t="shared" si="9"/>
        <v>0</v>
      </c>
      <c r="GE11" s="16">
        <f t="shared" si="9"/>
        <v>0</v>
      </c>
      <c r="GF11" s="16">
        <f t="shared" si="9"/>
        <v>0</v>
      </c>
      <c r="GG11" s="16">
        <f t="shared" si="9"/>
        <v>0</v>
      </c>
      <c r="GH11" s="16">
        <f t="shared" si="9"/>
        <v>0</v>
      </c>
      <c r="GI11" s="16">
        <f t="shared" si="9"/>
        <v>0</v>
      </c>
      <c r="GJ11" s="16">
        <f t="shared" si="9"/>
        <v>0</v>
      </c>
      <c r="GK11" s="16">
        <f t="shared" si="9"/>
        <v>0</v>
      </c>
      <c r="GL11" s="16">
        <f t="shared" si="9"/>
        <v>0</v>
      </c>
      <c r="GM11" s="16">
        <f t="shared" si="9"/>
        <v>0</v>
      </c>
      <c r="GN11" s="16">
        <f t="shared" si="9"/>
        <v>0</v>
      </c>
      <c r="GO11" s="16">
        <f t="shared" si="9"/>
        <v>0</v>
      </c>
      <c r="GP11" s="16">
        <f t="shared" si="9"/>
        <v>0</v>
      </c>
      <c r="GQ11" s="16">
        <f t="shared" ref="GQ11:HC13" si="10">GP11</f>
        <v>0</v>
      </c>
      <c r="GR11" s="16">
        <f t="shared" si="10"/>
        <v>0</v>
      </c>
      <c r="GS11" s="16">
        <f t="shared" si="10"/>
        <v>0</v>
      </c>
      <c r="GT11" s="16">
        <f t="shared" si="10"/>
        <v>0</v>
      </c>
      <c r="GU11" s="16">
        <f t="shared" si="10"/>
        <v>0</v>
      </c>
      <c r="GV11" s="16">
        <f t="shared" si="10"/>
        <v>0</v>
      </c>
      <c r="GW11" s="16">
        <f t="shared" si="10"/>
        <v>0</v>
      </c>
      <c r="GX11" s="16">
        <f t="shared" si="10"/>
        <v>0</v>
      </c>
      <c r="GY11" s="16">
        <f t="shared" si="10"/>
        <v>0</v>
      </c>
      <c r="GZ11" s="16">
        <f t="shared" si="10"/>
        <v>0</v>
      </c>
      <c r="HA11" s="16">
        <f t="shared" si="10"/>
        <v>0</v>
      </c>
      <c r="HB11" s="16">
        <f t="shared" si="10"/>
        <v>0</v>
      </c>
      <c r="HC11" s="16">
        <f t="shared" si="10"/>
        <v>0</v>
      </c>
    </row>
    <row r="12" spans="1:211" x14ac:dyDescent="0.25">
      <c r="A12" t="s">
        <v>53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16">
        <f t="shared" si="7"/>
        <v>0</v>
      </c>
      <c r="BT12" s="16">
        <f t="shared" si="7"/>
        <v>0</v>
      </c>
      <c r="BU12" s="16">
        <f t="shared" si="7"/>
        <v>0</v>
      </c>
      <c r="BV12" s="16">
        <f t="shared" si="7"/>
        <v>0</v>
      </c>
      <c r="BW12" s="16">
        <f t="shared" si="7"/>
        <v>0</v>
      </c>
      <c r="BX12" s="16">
        <f t="shared" si="7"/>
        <v>0</v>
      </c>
      <c r="BY12" s="16">
        <f t="shared" si="7"/>
        <v>0</v>
      </c>
      <c r="BZ12" s="16">
        <f t="shared" si="7"/>
        <v>0</v>
      </c>
      <c r="CA12" s="16">
        <f t="shared" si="7"/>
        <v>0</v>
      </c>
      <c r="CB12" s="16">
        <f t="shared" si="7"/>
        <v>0</v>
      </c>
      <c r="CC12" s="16">
        <f t="shared" si="7"/>
        <v>0</v>
      </c>
      <c r="CD12" s="16">
        <f t="shared" si="7"/>
        <v>0</v>
      </c>
      <c r="CE12" s="16">
        <f t="shared" si="7"/>
        <v>0</v>
      </c>
      <c r="CF12" s="16">
        <f t="shared" si="7"/>
        <v>0</v>
      </c>
      <c r="CG12" s="16">
        <f t="shared" si="7"/>
        <v>0</v>
      </c>
      <c r="CH12" s="16">
        <f t="shared" si="7"/>
        <v>0</v>
      </c>
      <c r="CI12" s="16">
        <f t="shared" si="7"/>
        <v>0</v>
      </c>
      <c r="CJ12" s="16">
        <f t="shared" si="7"/>
        <v>0</v>
      </c>
      <c r="CK12" s="16">
        <f t="shared" si="7"/>
        <v>0</v>
      </c>
      <c r="CL12" s="16">
        <f t="shared" si="7"/>
        <v>0</v>
      </c>
      <c r="CM12" s="16">
        <f t="shared" si="7"/>
        <v>0</v>
      </c>
      <c r="CN12" s="16">
        <f t="shared" si="7"/>
        <v>0</v>
      </c>
      <c r="CO12" s="16">
        <f t="shared" si="7"/>
        <v>0</v>
      </c>
      <c r="CP12" s="16">
        <f t="shared" si="7"/>
        <v>0</v>
      </c>
      <c r="CQ12" s="16">
        <f t="shared" si="7"/>
        <v>0</v>
      </c>
      <c r="CR12" s="16">
        <f t="shared" si="7"/>
        <v>0</v>
      </c>
      <c r="CS12" s="16">
        <f t="shared" si="7"/>
        <v>0</v>
      </c>
      <c r="CT12" s="16">
        <f t="shared" si="7"/>
        <v>0</v>
      </c>
      <c r="CU12" s="16">
        <f t="shared" si="7"/>
        <v>0</v>
      </c>
      <c r="CV12" s="16">
        <f t="shared" si="7"/>
        <v>0</v>
      </c>
      <c r="CW12" s="16">
        <f t="shared" si="7"/>
        <v>0</v>
      </c>
      <c r="CX12" s="16">
        <f t="shared" si="7"/>
        <v>0</v>
      </c>
      <c r="CY12" s="16">
        <f t="shared" si="7"/>
        <v>0</v>
      </c>
      <c r="CZ12" s="16">
        <f t="shared" si="7"/>
        <v>0</v>
      </c>
      <c r="DA12" s="16">
        <f t="shared" si="7"/>
        <v>0</v>
      </c>
      <c r="DB12" s="16">
        <f t="shared" si="7"/>
        <v>0</v>
      </c>
      <c r="DC12" s="16">
        <f t="shared" si="7"/>
        <v>0</v>
      </c>
      <c r="DD12" s="16">
        <f t="shared" si="7"/>
        <v>0</v>
      </c>
      <c r="DE12" s="16">
        <f t="shared" si="7"/>
        <v>0</v>
      </c>
      <c r="DF12" s="16">
        <f t="shared" si="7"/>
        <v>0</v>
      </c>
      <c r="DG12" s="16">
        <f t="shared" si="7"/>
        <v>0</v>
      </c>
      <c r="DH12" s="16">
        <f t="shared" si="7"/>
        <v>0</v>
      </c>
      <c r="DI12" s="16">
        <f t="shared" si="7"/>
        <v>0</v>
      </c>
      <c r="DJ12" s="16">
        <f t="shared" si="7"/>
        <v>0</v>
      </c>
      <c r="DK12" s="16">
        <f t="shared" si="7"/>
        <v>0</v>
      </c>
      <c r="DL12" s="16">
        <f t="shared" si="1"/>
        <v>0</v>
      </c>
      <c r="DM12" s="16">
        <f t="shared" si="1"/>
        <v>0</v>
      </c>
      <c r="DN12" s="16">
        <f t="shared" si="1"/>
        <v>0</v>
      </c>
      <c r="DO12" s="16">
        <f t="shared" si="1"/>
        <v>0</v>
      </c>
      <c r="DP12" s="16">
        <f t="shared" si="1"/>
        <v>0</v>
      </c>
      <c r="DQ12" s="16">
        <f t="shared" si="1"/>
        <v>0</v>
      </c>
      <c r="DR12" s="16">
        <f t="shared" si="4"/>
        <v>0</v>
      </c>
      <c r="DS12" s="16">
        <f>IF(Calculations!B139="",0,Calculations!B139)</f>
        <v>0</v>
      </c>
      <c r="DT12" s="16">
        <f>IF(Calculations!C139="",0,Calculations!C139)</f>
        <v>0</v>
      </c>
      <c r="DU12" s="16">
        <f>IF(Calculations!D139="",0,Calculations!D139)</f>
        <v>0</v>
      </c>
      <c r="DV12" s="16">
        <f>IF(Calculations!E139="",0,Calculations!E139)</f>
        <v>0</v>
      </c>
      <c r="DW12" s="16">
        <f>IF(Calculations!F139="",0,Calculations!F139)</f>
        <v>0</v>
      </c>
      <c r="DX12" s="16">
        <f>IF(Calculations!G139="",0,Calculations!G139)</f>
        <v>0</v>
      </c>
      <c r="DY12" s="16">
        <f>IF(Calculations!H139="",0,Calculations!H139)</f>
        <v>0</v>
      </c>
      <c r="DZ12" s="16">
        <f>IF(Calculations!I139="",0,Calculations!I139)</f>
        <v>0</v>
      </c>
      <c r="EA12" s="16">
        <f>IF(Calculations!J139="",0,Calculations!J139)</f>
        <v>0</v>
      </c>
      <c r="EB12" s="17">
        <f>INDEX('[1]Heat Rates_post2020'!$C$2:$CD$25,MATCH($A12,'[1]Heat Rates_post2020'!$B$2:$B$25,0),MATCH(EB$1,'[1]Heat Rates_post2020'!$C$1:$CD$1,0))</f>
        <v>8663571.9120342694</v>
      </c>
      <c r="EC12" s="8">
        <f>INDEX('[1]Heat Rates_post2020'!$C$2:$CD$25,MATCH($A12,'[1]Heat Rates_post2020'!$B$2:$B$25,0),MATCH(EC$1,'[1]Heat Rates_post2020'!$C$1:$CD$1,0))</f>
        <v>8663571.9120342694</v>
      </c>
      <c r="ED12" s="8">
        <f>INDEX('[1]Heat Rates_post2020'!$C$2:$CD$25,MATCH($A12,'[1]Heat Rates_post2020'!$B$2:$B$25,0),MATCH(ED$1,'[1]Heat Rates_post2020'!$C$1:$CD$1,0))</f>
        <v>8663571.9120342694</v>
      </c>
      <c r="EE12" s="8">
        <f>INDEX('[1]Heat Rates_post2020'!$C$2:$CD$25,MATCH($A12,'[1]Heat Rates_post2020'!$B$2:$B$25,0),MATCH(EE$1,'[1]Heat Rates_post2020'!$C$1:$CD$1,0))</f>
        <v>8663571.9120342694</v>
      </c>
      <c r="EF12" s="8">
        <f>INDEX('[1]Heat Rates_post2020'!$C$2:$CD$25,MATCH($A12,'[1]Heat Rates_post2020'!$B$2:$B$25,0),MATCH(EF$1,'[1]Heat Rates_post2020'!$C$1:$CD$1,0))</f>
        <v>8663571.9120342694</v>
      </c>
      <c r="EG12" s="8">
        <f>INDEX('[1]Heat Rates_post2020'!$C$2:$CD$25,MATCH($A12,'[1]Heat Rates_post2020'!$B$2:$B$25,0),MATCH(EG$1,'[1]Heat Rates_post2020'!$C$1:$CD$1,0))</f>
        <v>8663571.9120342694</v>
      </c>
      <c r="EH12" s="8">
        <f>INDEX('[1]Heat Rates_post2020'!$C$2:$CD$25,MATCH($A12,'[1]Heat Rates_post2020'!$B$2:$B$25,0),MATCH(EH$1,'[1]Heat Rates_post2020'!$C$1:$CD$1,0))</f>
        <v>8663571.9120342694</v>
      </c>
      <c r="EI12" s="8">
        <f>INDEX('[1]Heat Rates_post2020'!$C$2:$CD$25,MATCH($A12,'[1]Heat Rates_post2020'!$B$2:$B$25,0),MATCH(EI$1,'[1]Heat Rates_post2020'!$C$1:$CD$1,0))</f>
        <v>8663571.9120342694</v>
      </c>
      <c r="EJ12" s="8">
        <f>INDEX('[1]Heat Rates_post2020'!$C$2:$CD$25,MATCH($A12,'[1]Heat Rates_post2020'!$B$2:$B$25,0),MATCH(EJ$1,'[1]Heat Rates_post2020'!$C$1:$CD$1,0))</f>
        <v>8663571.9120342694</v>
      </c>
      <c r="EK12" s="8">
        <f>INDEX('[1]Heat Rates_post2020'!$C$2:$CD$25,MATCH($A12,'[1]Heat Rates_post2020'!$B$2:$B$25,0),MATCH(EK$1,'[1]Heat Rates_post2020'!$C$1:$CD$1,0))</f>
        <v>8663571.9120342694</v>
      </c>
      <c r="EL12" s="8">
        <f>INDEX('[1]Heat Rates_post2020'!$C$2:$CD$25,MATCH($A12,'[1]Heat Rates_post2020'!$B$2:$B$25,0),MATCH(EL$1,'[1]Heat Rates_post2020'!$C$1:$CD$1,0))</f>
        <v>8663571.9120342694</v>
      </c>
      <c r="EM12" s="8">
        <f>INDEX('[1]Heat Rates_post2020'!$C$2:$CD$25,MATCH($A12,'[1]Heat Rates_post2020'!$B$2:$B$25,0),MATCH(EM$1,'[1]Heat Rates_post2020'!$C$1:$CD$1,0))</f>
        <v>8663571.9120342694</v>
      </c>
      <c r="EN12" s="8">
        <f>INDEX('[1]Heat Rates_post2020'!$C$2:$CD$25,MATCH($A12,'[1]Heat Rates_post2020'!$B$2:$B$25,0),MATCH(EN$1,'[1]Heat Rates_post2020'!$C$1:$CD$1,0))</f>
        <v>8663571.9120342694</v>
      </c>
      <c r="EO12" s="8">
        <f>INDEX('[1]Heat Rates_post2020'!$C$2:$CD$25,MATCH($A12,'[1]Heat Rates_post2020'!$B$2:$B$25,0),MATCH(EO$1,'[1]Heat Rates_post2020'!$C$1:$CD$1,0))</f>
        <v>8663571.9120342694</v>
      </c>
      <c r="EP12" s="8">
        <f>INDEX('[1]Heat Rates_post2020'!$C$2:$CD$25,MATCH($A12,'[1]Heat Rates_post2020'!$B$2:$B$25,0),MATCH(EP$1,'[1]Heat Rates_post2020'!$C$1:$CD$1,0))</f>
        <v>8663571.9120342694</v>
      </c>
      <c r="EQ12" s="8">
        <f>INDEX('[1]Heat Rates_post2020'!$C$2:$CD$25,MATCH($A12,'[1]Heat Rates_post2020'!$B$2:$B$25,0),MATCH(EQ$1,'[1]Heat Rates_post2020'!$C$1:$CD$1,0))</f>
        <v>8663571.9120342694</v>
      </c>
      <c r="ER12" s="8">
        <f>INDEX('[1]Heat Rates_post2020'!$C$2:$CD$25,MATCH($A12,'[1]Heat Rates_post2020'!$B$2:$B$25,0),MATCH(ER$1,'[1]Heat Rates_post2020'!$C$1:$CD$1,0))</f>
        <v>8663571.9120342694</v>
      </c>
      <c r="ES12" s="8">
        <f>INDEX('[1]Heat Rates_post2020'!$C$2:$CD$25,MATCH($A12,'[1]Heat Rates_post2020'!$B$2:$B$25,0),MATCH(ES$1,'[1]Heat Rates_post2020'!$C$1:$CD$1,0))</f>
        <v>8663571.9120342694</v>
      </c>
      <c r="ET12" s="8">
        <f>INDEX('[1]Heat Rates_post2020'!$C$2:$CD$25,MATCH($A12,'[1]Heat Rates_post2020'!$B$2:$B$25,0),MATCH(ET$1,'[1]Heat Rates_post2020'!$C$1:$CD$1,0))</f>
        <v>8663571.9120342694</v>
      </c>
      <c r="EU12" s="8">
        <f>INDEX('[1]Heat Rates_post2020'!$C$2:$CD$25,MATCH($A12,'[1]Heat Rates_post2020'!$B$2:$B$25,0),MATCH(EU$1,'[1]Heat Rates_post2020'!$C$1:$CD$1,0))</f>
        <v>8663571.9120342694</v>
      </c>
      <c r="EV12" s="8">
        <f>INDEX('[1]Heat Rates_post2020'!$C$2:$CD$25,MATCH($A12,'[1]Heat Rates_post2020'!$B$2:$B$25,0),MATCH(EV$1,'[1]Heat Rates_post2020'!$C$1:$CD$1,0))</f>
        <v>8663571.9120342694</v>
      </c>
      <c r="EW12" s="8">
        <f>INDEX('[1]Heat Rates_post2020'!$C$2:$CD$25,MATCH($A12,'[1]Heat Rates_post2020'!$B$2:$B$25,0),MATCH(EW$1,'[1]Heat Rates_post2020'!$C$1:$CD$1,0))</f>
        <v>8663571.9120342694</v>
      </c>
      <c r="EX12" s="8">
        <f>INDEX('[1]Heat Rates_post2020'!$C$2:$CD$25,MATCH($A12,'[1]Heat Rates_post2020'!$B$2:$B$25,0),MATCH(EX$1,'[1]Heat Rates_post2020'!$C$1:$CD$1,0))</f>
        <v>8663571.9120342694</v>
      </c>
      <c r="EY12" s="8">
        <f>INDEX('[1]Heat Rates_post2020'!$C$2:$CD$25,MATCH($A12,'[1]Heat Rates_post2020'!$B$2:$B$25,0),MATCH(EY$1,'[1]Heat Rates_post2020'!$C$1:$CD$1,0))</f>
        <v>8663571.9120342694</v>
      </c>
      <c r="EZ12" s="8">
        <f>INDEX('[1]Heat Rates_post2020'!$C$2:$CD$25,MATCH($A12,'[1]Heat Rates_post2020'!$B$2:$B$25,0),MATCH(EZ$1,'[1]Heat Rates_post2020'!$C$1:$CD$1,0))</f>
        <v>8663571.9120342694</v>
      </c>
      <c r="FA12" s="8">
        <f>INDEX('[1]Heat Rates_post2020'!$C$2:$CD$25,MATCH($A12,'[1]Heat Rates_post2020'!$B$2:$B$25,0),MATCH(FA$1,'[1]Heat Rates_post2020'!$C$1:$CD$1,0))</f>
        <v>8663571.9120342694</v>
      </c>
      <c r="FB12" s="8">
        <f>INDEX('[1]Heat Rates_post2020'!$C$2:$CD$25,MATCH($A12,'[1]Heat Rates_post2020'!$B$2:$B$25,0),MATCH(FB$1,'[1]Heat Rates_post2020'!$C$1:$CD$1,0))</f>
        <v>8663571.9120342694</v>
      </c>
      <c r="FC12" s="8">
        <f>INDEX('[1]Heat Rates_post2020'!$C$2:$CD$25,MATCH($A12,'[1]Heat Rates_post2020'!$B$2:$B$25,0),MATCH(FC$1,'[1]Heat Rates_post2020'!$C$1:$CD$1,0))</f>
        <v>8663571.9120342694</v>
      </c>
      <c r="FD12" s="8">
        <f>INDEX('[1]Heat Rates_post2020'!$C$2:$CD$25,MATCH($A12,'[1]Heat Rates_post2020'!$B$2:$B$25,0),MATCH(FD$1,'[1]Heat Rates_post2020'!$C$1:$CD$1,0))</f>
        <v>8663571.9120342694</v>
      </c>
      <c r="FE12" s="8">
        <f>INDEX('[1]Heat Rates_post2020'!$C$2:$CD$25,MATCH($A12,'[1]Heat Rates_post2020'!$B$2:$B$25,0),MATCH(FE$1,'[1]Heat Rates_post2020'!$C$1:$CD$1,0))</f>
        <v>8663571.9120342694</v>
      </c>
      <c r="FF12" s="8">
        <f>INDEX('[1]Heat Rates_post2020'!$C$2:$CD$25,MATCH($A12,'[1]Heat Rates_post2020'!$B$2:$B$25,0),MATCH(FF$1,'[1]Heat Rates_post2020'!$C$1:$CD$1,0))</f>
        <v>8663571.9120342694</v>
      </c>
      <c r="FG12" s="8">
        <f>INDEX('[1]Heat Rates_post2020'!$C$2:$CD$25,MATCH($A12,'[1]Heat Rates_post2020'!$B$2:$B$25,0),MATCH(FG$1,'[1]Heat Rates_post2020'!$C$1:$CD$1,0))</f>
        <v>8663571.9120342694</v>
      </c>
      <c r="FH12" s="8">
        <f>INDEX('[1]Heat Rates_post2020'!$C$2:$CD$25,MATCH($A12,'[1]Heat Rates_post2020'!$B$2:$B$25,0),MATCH(FH$1,'[1]Heat Rates_post2020'!$C$1:$CD$1,0))</f>
        <v>8663571.9120342694</v>
      </c>
      <c r="FI12" s="8">
        <f>INDEX('[1]Heat Rates_post2020'!$C$2:$CD$25,MATCH($A12,'[1]Heat Rates_post2020'!$B$2:$B$25,0),MATCH(FI$1,'[1]Heat Rates_post2020'!$C$1:$CD$1,0))</f>
        <v>8663571.9120342694</v>
      </c>
      <c r="FJ12" s="8">
        <f>INDEX('[1]Heat Rates_post2020'!$C$2:$CD$25,MATCH($A12,'[1]Heat Rates_post2020'!$B$2:$B$25,0),MATCH(FJ$1,'[1]Heat Rates_post2020'!$C$1:$CD$1,0))</f>
        <v>8663571.9120342694</v>
      </c>
      <c r="FK12" s="8">
        <f>INDEX('[1]Heat Rates_post2020'!$C$2:$CD$25,MATCH($A12,'[1]Heat Rates_post2020'!$B$2:$B$25,0),MATCH(FK$1,'[1]Heat Rates_post2020'!$C$1:$CD$1,0))</f>
        <v>8663571.9120342694</v>
      </c>
      <c r="FL12" s="8">
        <f>INDEX('[1]Heat Rates_post2020'!$C$2:$CD$25,MATCH($A12,'[1]Heat Rates_post2020'!$B$2:$B$25,0),MATCH(FL$1,'[1]Heat Rates_post2020'!$C$1:$CD$1,0))</f>
        <v>8663571.9120342694</v>
      </c>
      <c r="FM12" s="8">
        <f>INDEX('[1]Heat Rates_post2020'!$C$2:$CD$25,MATCH($A12,'[1]Heat Rates_post2020'!$B$2:$B$25,0),MATCH(FM$1,'[1]Heat Rates_post2020'!$C$1:$CD$1,0))</f>
        <v>8663571.9120342694</v>
      </c>
      <c r="FN12" s="8">
        <f>INDEX('[1]Heat Rates_post2020'!$C$2:$CD$25,MATCH($A12,'[1]Heat Rates_post2020'!$B$2:$B$25,0),MATCH(FN$1,'[1]Heat Rates_post2020'!$C$1:$CD$1,0))</f>
        <v>8663571.9120342694</v>
      </c>
      <c r="FO12" s="8">
        <f>INDEX('[1]Heat Rates_post2020'!$C$2:$CD$25,MATCH($A12,'[1]Heat Rates_post2020'!$B$2:$B$25,0),MATCH(FO$1,'[1]Heat Rates_post2020'!$C$1:$CD$1,0))</f>
        <v>8663571.9120342694</v>
      </c>
      <c r="FP12" s="8">
        <f>INDEX('[1]Heat Rates_post2020'!$C$2:$CD$25,MATCH($A12,'[1]Heat Rates_post2020'!$B$2:$B$25,0),MATCH(FP$1,'[1]Heat Rates_post2020'!$C$1:$CD$1,0))</f>
        <v>8663571.9120342694</v>
      </c>
      <c r="FQ12" s="8">
        <f>INDEX('[1]Heat Rates_post2020'!$C$2:$CD$25,MATCH($A12,'[1]Heat Rates_post2020'!$B$2:$B$25,0),MATCH(FQ$1,'[1]Heat Rates_post2020'!$C$1:$CD$1,0))</f>
        <v>8663571.9120342694</v>
      </c>
      <c r="FR12" s="8">
        <f>INDEX('[1]Heat Rates_post2020'!$C$2:$CD$25,MATCH($A12,'[1]Heat Rates_post2020'!$B$2:$B$25,0),MATCH(FR$1,'[1]Heat Rates_post2020'!$C$1:$CD$1,0))</f>
        <v>8663571.9120342694</v>
      </c>
      <c r="FS12" s="8">
        <f>INDEX('[1]Heat Rates_post2020'!$C$2:$CD$25,MATCH($A12,'[1]Heat Rates_post2020'!$B$2:$B$25,0),MATCH(FS$1,'[1]Heat Rates_post2020'!$C$1:$CD$1,0))</f>
        <v>8663571.9120342694</v>
      </c>
      <c r="FT12" s="8">
        <f>INDEX('[1]Heat Rates_post2020'!$C$2:$CD$25,MATCH($A12,'[1]Heat Rates_post2020'!$B$2:$B$25,0),MATCH(FT$1,'[1]Heat Rates_post2020'!$C$1:$CD$1,0))</f>
        <v>8663571.9120342694</v>
      </c>
      <c r="FU12" s="8">
        <f>INDEX('[1]Heat Rates_post2020'!$C$2:$CD$25,MATCH($A12,'[1]Heat Rates_post2020'!$B$2:$B$25,0),MATCH(FU$1,'[1]Heat Rates_post2020'!$C$1:$CD$1,0))</f>
        <v>8663571.9120342694</v>
      </c>
      <c r="FV12" s="8">
        <f>INDEX('[1]Heat Rates_post2020'!$C$2:$CD$25,MATCH($A12,'[1]Heat Rates_post2020'!$B$2:$B$25,0),MATCH(FV$1,'[1]Heat Rates_post2020'!$C$1:$CD$1,0))</f>
        <v>8663571.9120342694</v>
      </c>
      <c r="FW12" s="8">
        <f>INDEX('[1]Heat Rates_post2020'!$C$2:$CD$25,MATCH($A12,'[1]Heat Rates_post2020'!$B$2:$B$25,0),MATCH(FW$1,'[1]Heat Rates_post2020'!$C$1:$CD$1,0))</f>
        <v>8663571.9120342694</v>
      </c>
      <c r="FX12" s="8">
        <f>INDEX('[1]Heat Rates_post2020'!$C$2:$CD$25,MATCH($A12,'[1]Heat Rates_post2020'!$B$2:$B$25,0),MATCH(FX$1,'[1]Heat Rates_post2020'!$C$1:$CD$1,0))</f>
        <v>8663571.9120342694</v>
      </c>
      <c r="FY12" s="8">
        <f>INDEX('[1]Heat Rates_post2020'!$C$2:$CD$25,MATCH($A12,'[1]Heat Rates_post2020'!$B$2:$B$25,0),MATCH(FY$1,'[1]Heat Rates_post2020'!$C$1:$CD$1,0))</f>
        <v>8663571.9120342694</v>
      </c>
      <c r="FZ12" s="8">
        <f>INDEX('[1]Heat Rates_post2020'!$C$2:$CD$25,MATCH($A12,'[1]Heat Rates_post2020'!$B$2:$B$25,0),MATCH(FZ$1,'[1]Heat Rates_post2020'!$C$1:$CD$1,0))</f>
        <v>8663571.9120342694</v>
      </c>
      <c r="GA12" s="8">
        <f>INDEX('[1]Heat Rates_post2020'!$C$2:$CD$25,MATCH($A12,'[1]Heat Rates_post2020'!$B$2:$B$25,0),MATCH(GA$1,'[1]Heat Rates_post2020'!$C$1:$CD$1,0))</f>
        <v>8663571.9120342694</v>
      </c>
      <c r="GB12" s="8">
        <f>INDEX('[1]Heat Rates_post2020'!$C$2:$CD$25,MATCH($A12,'[1]Heat Rates_post2020'!$B$2:$B$25,0),MATCH(GB$1,'[1]Heat Rates_post2020'!$C$1:$CD$1,0))</f>
        <v>8663571.9120342694</v>
      </c>
      <c r="GC12" s="8">
        <f>INDEX('[1]Heat Rates_post2020'!$C$2:$CD$25,MATCH($A12,'[1]Heat Rates_post2020'!$B$2:$B$25,0),MATCH(GC$1,'[1]Heat Rates_post2020'!$C$1:$CD$1,0))</f>
        <v>8663571.9120342694</v>
      </c>
      <c r="GD12" s="8">
        <f>INDEX('[1]Heat Rates_post2020'!$C$2:$CD$25,MATCH($A12,'[1]Heat Rates_post2020'!$B$2:$B$25,0),MATCH(GD$1,'[1]Heat Rates_post2020'!$C$1:$CD$1,0))</f>
        <v>8663571.9120342694</v>
      </c>
      <c r="GE12" s="8">
        <f>INDEX('[1]Heat Rates_post2020'!$C$2:$CD$25,MATCH($A12,'[1]Heat Rates_post2020'!$B$2:$B$25,0),MATCH(GE$1,'[1]Heat Rates_post2020'!$C$1:$CD$1,0))</f>
        <v>8663571.9120342694</v>
      </c>
      <c r="GF12" s="8">
        <f>INDEX('[1]Heat Rates_post2020'!$C$2:$CD$25,MATCH($A12,'[1]Heat Rates_post2020'!$B$2:$B$25,0),MATCH(GF$1,'[1]Heat Rates_post2020'!$C$1:$CD$1,0))</f>
        <v>8663571.9120342694</v>
      </c>
      <c r="GG12" s="8">
        <f>INDEX('[1]Heat Rates_post2020'!$C$2:$CD$25,MATCH($A12,'[1]Heat Rates_post2020'!$B$2:$B$25,0),MATCH(GG$1,'[1]Heat Rates_post2020'!$C$1:$CD$1,0))</f>
        <v>8663571.9120342694</v>
      </c>
      <c r="GH12" s="8">
        <f>INDEX('[1]Heat Rates_post2020'!$C$2:$CD$25,MATCH($A12,'[1]Heat Rates_post2020'!$B$2:$B$25,0),MATCH(GH$1,'[1]Heat Rates_post2020'!$C$1:$CD$1,0))</f>
        <v>8663571.9120342694</v>
      </c>
      <c r="GI12" s="8">
        <f>INDEX('[1]Heat Rates_post2020'!$C$2:$CD$25,MATCH($A12,'[1]Heat Rates_post2020'!$B$2:$B$25,0),MATCH(GI$1,'[1]Heat Rates_post2020'!$C$1:$CD$1,0))</f>
        <v>8663571.9120342694</v>
      </c>
      <c r="GJ12" s="8">
        <f>INDEX('[1]Heat Rates_post2020'!$C$2:$CD$25,MATCH($A12,'[1]Heat Rates_post2020'!$B$2:$B$25,0),MATCH(GJ$1,'[1]Heat Rates_post2020'!$C$1:$CD$1,0))</f>
        <v>8663571.9120342694</v>
      </c>
      <c r="GK12" s="8">
        <f>INDEX('[1]Heat Rates_post2020'!$C$2:$CD$25,MATCH($A12,'[1]Heat Rates_post2020'!$B$2:$B$25,0),MATCH(GK$1,'[1]Heat Rates_post2020'!$C$1:$CD$1,0))</f>
        <v>8663571.9120342694</v>
      </c>
      <c r="GL12" s="8">
        <f>INDEX('[1]Heat Rates_post2020'!$C$2:$CD$25,MATCH($A12,'[1]Heat Rates_post2020'!$B$2:$B$25,0),MATCH(GL$1,'[1]Heat Rates_post2020'!$C$1:$CD$1,0))</f>
        <v>8663571.9120342694</v>
      </c>
      <c r="GM12" s="8">
        <f>INDEX('[1]Heat Rates_post2020'!$C$2:$CD$25,MATCH($A12,'[1]Heat Rates_post2020'!$B$2:$B$25,0),MATCH(GM$1,'[1]Heat Rates_post2020'!$C$1:$CD$1,0))</f>
        <v>8663571.9120342694</v>
      </c>
      <c r="GN12" s="8">
        <f>INDEX('[1]Heat Rates_post2020'!$C$2:$CD$25,MATCH($A12,'[1]Heat Rates_post2020'!$B$2:$B$25,0),MATCH(GN$1,'[1]Heat Rates_post2020'!$C$1:$CD$1,0))</f>
        <v>8663571.9120342694</v>
      </c>
      <c r="GO12" s="8">
        <f>INDEX('[1]Heat Rates_post2020'!$C$2:$CD$25,MATCH($A12,'[1]Heat Rates_post2020'!$B$2:$B$25,0),MATCH(GO$1,'[1]Heat Rates_post2020'!$C$1:$CD$1,0))</f>
        <v>8663571.9120342694</v>
      </c>
      <c r="GP12" s="8">
        <f>INDEX('[1]Heat Rates_post2020'!$C$2:$CD$25,MATCH($A12,'[1]Heat Rates_post2020'!$B$2:$B$25,0),MATCH(GP$1,'[1]Heat Rates_post2020'!$C$1:$CD$1,0))</f>
        <v>8663571.9120342694</v>
      </c>
      <c r="GQ12" s="8">
        <f>INDEX('[1]Heat Rates_post2020'!$C$2:$CD$25,MATCH($A12,'[1]Heat Rates_post2020'!$B$2:$B$25,0),MATCH(GQ$1,'[1]Heat Rates_post2020'!$C$1:$CD$1,0))</f>
        <v>8663571.9120342694</v>
      </c>
      <c r="GR12" s="8">
        <f>INDEX('[1]Heat Rates_post2020'!$C$2:$CD$25,MATCH($A12,'[1]Heat Rates_post2020'!$B$2:$B$25,0),MATCH(GR$1,'[1]Heat Rates_post2020'!$C$1:$CD$1,0))</f>
        <v>8663571.9120342694</v>
      </c>
      <c r="GS12" s="8">
        <f>INDEX('[1]Heat Rates_post2020'!$C$2:$CD$25,MATCH($A12,'[1]Heat Rates_post2020'!$B$2:$B$25,0),MATCH(GS$1,'[1]Heat Rates_post2020'!$C$1:$CD$1,0))</f>
        <v>8663571.9120342694</v>
      </c>
      <c r="GT12" s="8">
        <f>INDEX('[1]Heat Rates_post2020'!$C$2:$CD$25,MATCH($A12,'[1]Heat Rates_post2020'!$B$2:$B$25,0),MATCH(GT$1,'[1]Heat Rates_post2020'!$C$1:$CD$1,0))</f>
        <v>8663571.9120342694</v>
      </c>
      <c r="GU12" s="8">
        <f>INDEX('[1]Heat Rates_post2020'!$C$2:$CD$25,MATCH($A12,'[1]Heat Rates_post2020'!$B$2:$B$25,0),MATCH(GU$1,'[1]Heat Rates_post2020'!$C$1:$CD$1,0))</f>
        <v>8663571.9120342694</v>
      </c>
      <c r="GV12" s="8">
        <f>INDEX('[1]Heat Rates_post2020'!$C$2:$CD$25,MATCH($A12,'[1]Heat Rates_post2020'!$B$2:$B$25,0),MATCH(GV$1,'[1]Heat Rates_post2020'!$C$1:$CD$1,0))</f>
        <v>8663571.9120342694</v>
      </c>
      <c r="GW12" s="8">
        <f>INDEX('[1]Heat Rates_post2020'!$C$2:$CD$25,MATCH($A12,'[1]Heat Rates_post2020'!$B$2:$B$25,0),MATCH(GW$1,'[1]Heat Rates_post2020'!$C$1:$CD$1,0))</f>
        <v>8663571.9120342694</v>
      </c>
      <c r="GX12" s="8">
        <f>INDEX('[1]Heat Rates_post2020'!$C$2:$CD$25,MATCH($A12,'[1]Heat Rates_post2020'!$B$2:$B$25,0),MATCH(GX$1,'[1]Heat Rates_post2020'!$C$1:$CD$1,0))</f>
        <v>8663571.9120342694</v>
      </c>
      <c r="GY12" s="8">
        <f>INDEX('[1]Heat Rates_post2020'!$C$2:$CD$25,MATCH($A12,'[1]Heat Rates_post2020'!$B$2:$B$25,0),MATCH(GY$1,'[1]Heat Rates_post2020'!$C$1:$CD$1,0))</f>
        <v>8663571.9120342694</v>
      </c>
      <c r="GZ12" s="8">
        <f>INDEX('[1]Heat Rates_post2020'!$C$2:$CD$25,MATCH($A12,'[1]Heat Rates_post2020'!$B$2:$B$25,0),MATCH(GZ$1,'[1]Heat Rates_post2020'!$C$1:$CD$1,0))</f>
        <v>8663571.9120342694</v>
      </c>
      <c r="HA12" s="8">
        <f>INDEX('[1]Heat Rates_post2020'!$C$2:$CD$25,MATCH($A12,'[1]Heat Rates_post2020'!$B$2:$B$25,0),MATCH(HA$1,'[1]Heat Rates_post2020'!$C$1:$CD$1,0))</f>
        <v>8663571.9120342694</v>
      </c>
      <c r="HB12" s="8">
        <f>INDEX('[1]Heat Rates_post2020'!$C$2:$CD$25,MATCH($A12,'[1]Heat Rates_post2020'!$B$2:$B$25,0),MATCH(HB$1,'[1]Heat Rates_post2020'!$C$1:$CD$1,0))</f>
        <v>8663571.9120342694</v>
      </c>
      <c r="HC12" s="8">
        <f>INDEX('[1]Heat Rates_post2020'!$C$2:$CD$25,MATCH($A12,'[1]Heat Rates_post2020'!$B$2:$B$25,0),MATCH(HC$1,'[1]Heat Rates_post2020'!$C$1:$CD$1,0))</f>
        <v>8663571.9120342694</v>
      </c>
    </row>
    <row r="13" spans="1:211" x14ac:dyDescent="0.25">
      <c r="A13" t="s">
        <v>54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16">
        <f t="shared" si="7"/>
        <v>9853450.5940074492</v>
      </c>
      <c r="BT13" s="16">
        <f t="shared" si="7"/>
        <v>9853450.5940074492</v>
      </c>
      <c r="BU13" s="16">
        <f t="shared" si="7"/>
        <v>9853450.5940074492</v>
      </c>
      <c r="BV13" s="16">
        <f t="shared" si="7"/>
        <v>9853450.5940074492</v>
      </c>
      <c r="BW13" s="16">
        <f t="shared" si="7"/>
        <v>9853450.5940074492</v>
      </c>
      <c r="BX13" s="16">
        <f t="shared" si="7"/>
        <v>9853450.5940074492</v>
      </c>
      <c r="BY13" s="16">
        <f t="shared" si="7"/>
        <v>9853450.5940074492</v>
      </c>
      <c r="BZ13" s="16">
        <f t="shared" si="7"/>
        <v>9853450.5940074492</v>
      </c>
      <c r="CA13" s="16">
        <f t="shared" si="7"/>
        <v>9853450.5940074492</v>
      </c>
      <c r="CB13" s="16">
        <f t="shared" si="7"/>
        <v>9853450.5940074492</v>
      </c>
      <c r="CC13" s="16">
        <f t="shared" si="7"/>
        <v>9853450.5940074492</v>
      </c>
      <c r="CD13" s="16">
        <f t="shared" si="7"/>
        <v>9853450.5940074492</v>
      </c>
      <c r="CE13" s="16">
        <f t="shared" si="7"/>
        <v>9853450.5940074492</v>
      </c>
      <c r="CF13" s="16">
        <f t="shared" si="7"/>
        <v>9853450.5940074492</v>
      </c>
      <c r="CG13" s="16">
        <f t="shared" si="7"/>
        <v>9853450.5940074492</v>
      </c>
      <c r="CH13" s="16">
        <f t="shared" ref="BS13:DK18" si="11">$DS13</f>
        <v>9853450.5940074492</v>
      </c>
      <c r="CI13" s="16">
        <f t="shared" si="11"/>
        <v>9853450.5940074492</v>
      </c>
      <c r="CJ13" s="16">
        <f t="shared" si="11"/>
        <v>9853450.5940074492</v>
      </c>
      <c r="CK13" s="16">
        <f t="shared" si="11"/>
        <v>9853450.5940074492</v>
      </c>
      <c r="CL13" s="16">
        <f t="shared" si="11"/>
        <v>9853450.5940074492</v>
      </c>
      <c r="CM13" s="16">
        <f t="shared" si="11"/>
        <v>9853450.5940074492</v>
      </c>
      <c r="CN13" s="16">
        <f t="shared" si="11"/>
        <v>9853450.5940074492</v>
      </c>
      <c r="CO13" s="16">
        <f t="shared" si="11"/>
        <v>9853450.5940074492</v>
      </c>
      <c r="CP13" s="16">
        <f t="shared" si="11"/>
        <v>9853450.5940074492</v>
      </c>
      <c r="CQ13" s="16">
        <f t="shared" si="11"/>
        <v>9853450.5940074492</v>
      </c>
      <c r="CR13" s="16">
        <f t="shared" si="11"/>
        <v>9853450.5940074492</v>
      </c>
      <c r="CS13" s="16">
        <f t="shared" si="11"/>
        <v>9853450.5940074492</v>
      </c>
      <c r="CT13" s="16">
        <f t="shared" si="11"/>
        <v>9853450.5940074492</v>
      </c>
      <c r="CU13" s="16">
        <f t="shared" si="11"/>
        <v>9853450.5940074492</v>
      </c>
      <c r="CV13" s="16">
        <f t="shared" si="11"/>
        <v>9853450.5940074492</v>
      </c>
      <c r="CW13" s="16">
        <f t="shared" si="11"/>
        <v>9853450.5940074492</v>
      </c>
      <c r="CX13" s="16">
        <f t="shared" si="11"/>
        <v>9853450.5940074492</v>
      </c>
      <c r="CY13" s="16">
        <f t="shared" si="11"/>
        <v>9853450.5940074492</v>
      </c>
      <c r="CZ13" s="16">
        <f t="shared" si="11"/>
        <v>9853450.5940074492</v>
      </c>
      <c r="DA13" s="16">
        <f t="shared" si="11"/>
        <v>9853450.5940074492</v>
      </c>
      <c r="DB13" s="16">
        <f t="shared" si="11"/>
        <v>9853450.5940074492</v>
      </c>
      <c r="DC13" s="16">
        <f t="shared" si="11"/>
        <v>9853450.5940074492</v>
      </c>
      <c r="DD13" s="16">
        <f t="shared" si="11"/>
        <v>9853450.5940074492</v>
      </c>
      <c r="DE13" s="16">
        <f t="shared" si="11"/>
        <v>9853450.5940074492</v>
      </c>
      <c r="DF13" s="16">
        <f t="shared" si="11"/>
        <v>9853450.5940074492</v>
      </c>
      <c r="DG13" s="16">
        <f t="shared" si="11"/>
        <v>9853450.5940074492</v>
      </c>
      <c r="DH13" s="16">
        <f t="shared" si="11"/>
        <v>9853450.5940074492</v>
      </c>
      <c r="DI13" s="16">
        <f t="shared" si="11"/>
        <v>9853450.5940074492</v>
      </c>
      <c r="DJ13" s="16">
        <f t="shared" si="11"/>
        <v>9853450.5940074492</v>
      </c>
      <c r="DK13" s="16">
        <f t="shared" si="11"/>
        <v>9853450.5940074492</v>
      </c>
      <c r="DL13" s="16">
        <f t="shared" si="1"/>
        <v>9853450.5940074492</v>
      </c>
      <c r="DM13" s="16">
        <f t="shared" si="1"/>
        <v>9853450.5940074492</v>
      </c>
      <c r="DN13" s="16">
        <f t="shared" si="1"/>
        <v>9853450.5940074492</v>
      </c>
      <c r="DO13" s="16">
        <f t="shared" si="1"/>
        <v>9853450.5940074492</v>
      </c>
      <c r="DP13" s="16">
        <f t="shared" si="1"/>
        <v>9853450.5940074492</v>
      </c>
      <c r="DQ13" s="16">
        <f t="shared" si="1"/>
        <v>9853450.5940074492</v>
      </c>
      <c r="DR13" s="16">
        <f t="shared" si="4"/>
        <v>9853450.5940074492</v>
      </c>
      <c r="DS13" s="16">
        <f>IF(Calculations!B140="",0,Calculations!B140)</f>
        <v>9853450.5940074492</v>
      </c>
      <c r="DT13" s="16">
        <f>IF(Calculations!C140="",0,Calculations!C140)</f>
        <v>9846781.0695498548</v>
      </c>
      <c r="DU13" s="16">
        <f>IF(Calculations!D140="",0,Calculations!D140)</f>
        <v>9218141.7909949906</v>
      </c>
      <c r="DV13" s="16">
        <f>IF(Calculations!E140="",0,Calculations!E140)</f>
        <v>8537985.3025399689</v>
      </c>
      <c r="DW13" s="16">
        <f>IF(Calculations!F140="",0,Calculations!F140)</f>
        <v>10716845.194123179</v>
      </c>
      <c r="DX13" s="16">
        <f>IF(Calculations!G140="",0,Calculations!G140)</f>
        <v>10989476.586811831</v>
      </c>
      <c r="DY13" s="16">
        <f>IF(Calculations!H140="",0,Calculations!H140)</f>
        <v>11229682.571281807</v>
      </c>
      <c r="DZ13" s="16">
        <f>IF(Calculations!I140="",0,Calculations!I140)</f>
        <v>10383752.750861445</v>
      </c>
      <c r="EA13" s="16">
        <f>IF(Calculations!J140="",0,Calculations!J140)</f>
        <v>10656370.55451173</v>
      </c>
      <c r="EB13" s="16">
        <f>IF(Calculations!K140="",0,Calculations!K140)</f>
        <v>9932258.2397148851</v>
      </c>
      <c r="EC13" s="16">
        <f>IF(Calculations!L140="",0,Calculations!L140)</f>
        <v>10087826.895455413</v>
      </c>
      <c r="ED13" s="16">
        <f>IF(Calculations!M140="",0,Calculations!M140)</f>
        <v>10783680.406852987</v>
      </c>
      <c r="EE13" s="16">
        <f t="shared" si="5"/>
        <v>10783680.406852987</v>
      </c>
      <c r="EF13" s="16">
        <f t="shared" ref="EF13:GQ15" si="12">EE13</f>
        <v>10783680.406852987</v>
      </c>
      <c r="EG13" s="16">
        <f t="shared" si="12"/>
        <v>10783680.406852987</v>
      </c>
      <c r="EH13" s="16">
        <f t="shared" si="12"/>
        <v>10783680.406852987</v>
      </c>
      <c r="EI13" s="16">
        <f t="shared" si="12"/>
        <v>10783680.406852987</v>
      </c>
      <c r="EJ13" s="16">
        <f t="shared" si="12"/>
        <v>10783680.406852987</v>
      </c>
      <c r="EK13" s="16">
        <f t="shared" si="12"/>
        <v>10783680.406852987</v>
      </c>
      <c r="EL13" s="16">
        <f t="shared" si="12"/>
        <v>10783680.406852987</v>
      </c>
      <c r="EM13" s="16">
        <f t="shared" si="12"/>
        <v>10783680.406852987</v>
      </c>
      <c r="EN13" s="16">
        <f t="shared" si="12"/>
        <v>10783680.406852987</v>
      </c>
      <c r="EO13" s="16">
        <f t="shared" si="12"/>
        <v>10783680.406852987</v>
      </c>
      <c r="EP13" s="16">
        <f t="shared" si="12"/>
        <v>10783680.406852987</v>
      </c>
      <c r="EQ13" s="16">
        <f t="shared" si="12"/>
        <v>10783680.406852987</v>
      </c>
      <c r="ER13" s="16">
        <f t="shared" si="12"/>
        <v>10783680.406852987</v>
      </c>
      <c r="ES13" s="16">
        <f t="shared" si="12"/>
        <v>10783680.406852987</v>
      </c>
      <c r="ET13" s="16">
        <f t="shared" si="12"/>
        <v>10783680.406852987</v>
      </c>
      <c r="EU13" s="16">
        <f t="shared" si="12"/>
        <v>10783680.406852987</v>
      </c>
      <c r="EV13" s="16">
        <f t="shared" si="12"/>
        <v>10783680.406852987</v>
      </c>
      <c r="EW13" s="16">
        <f t="shared" si="12"/>
        <v>10783680.406852987</v>
      </c>
      <c r="EX13" s="16">
        <f t="shared" si="12"/>
        <v>10783680.406852987</v>
      </c>
      <c r="EY13" s="16">
        <f t="shared" si="12"/>
        <v>10783680.406852987</v>
      </c>
      <c r="EZ13" s="16">
        <f t="shared" si="12"/>
        <v>10783680.406852987</v>
      </c>
      <c r="FA13" s="16">
        <f t="shared" si="12"/>
        <v>10783680.406852987</v>
      </c>
      <c r="FB13" s="16">
        <f t="shared" si="12"/>
        <v>10783680.406852987</v>
      </c>
      <c r="FC13" s="16">
        <f t="shared" si="12"/>
        <v>10783680.406852987</v>
      </c>
      <c r="FD13" s="16">
        <f t="shared" si="12"/>
        <v>10783680.406852987</v>
      </c>
      <c r="FE13" s="16">
        <f t="shared" si="12"/>
        <v>10783680.406852987</v>
      </c>
      <c r="FF13" s="16">
        <f t="shared" si="12"/>
        <v>10783680.406852987</v>
      </c>
      <c r="FG13" s="16">
        <f t="shared" si="12"/>
        <v>10783680.406852987</v>
      </c>
      <c r="FH13" s="16">
        <f t="shared" si="12"/>
        <v>10783680.406852987</v>
      </c>
      <c r="FI13" s="16">
        <f t="shared" si="12"/>
        <v>10783680.406852987</v>
      </c>
      <c r="FJ13" s="16">
        <f t="shared" si="12"/>
        <v>10783680.406852987</v>
      </c>
      <c r="FK13" s="16">
        <f t="shared" si="12"/>
        <v>10783680.406852987</v>
      </c>
      <c r="FL13" s="16">
        <f t="shared" si="12"/>
        <v>10783680.406852987</v>
      </c>
      <c r="FM13" s="16">
        <f t="shared" si="12"/>
        <v>10783680.406852987</v>
      </c>
      <c r="FN13" s="16">
        <f t="shared" si="12"/>
        <v>10783680.406852987</v>
      </c>
      <c r="FO13" s="16">
        <f t="shared" si="12"/>
        <v>10783680.406852987</v>
      </c>
      <c r="FP13" s="16">
        <f t="shared" si="12"/>
        <v>10783680.406852987</v>
      </c>
      <c r="FQ13" s="16">
        <f t="shared" si="12"/>
        <v>10783680.406852987</v>
      </c>
      <c r="FR13" s="16">
        <f t="shared" si="12"/>
        <v>10783680.406852987</v>
      </c>
      <c r="FS13" s="16">
        <f t="shared" si="12"/>
        <v>10783680.406852987</v>
      </c>
      <c r="FT13" s="16">
        <f t="shared" si="12"/>
        <v>10783680.406852987</v>
      </c>
      <c r="FU13" s="16">
        <f t="shared" si="12"/>
        <v>10783680.406852987</v>
      </c>
      <c r="FV13" s="16">
        <f t="shared" si="12"/>
        <v>10783680.406852987</v>
      </c>
      <c r="FW13" s="16">
        <f t="shared" si="12"/>
        <v>10783680.406852987</v>
      </c>
      <c r="FX13" s="16">
        <f t="shared" si="12"/>
        <v>10783680.406852987</v>
      </c>
      <c r="FY13" s="16">
        <f t="shared" si="12"/>
        <v>10783680.406852987</v>
      </c>
      <c r="FZ13" s="16">
        <f t="shared" si="12"/>
        <v>10783680.406852987</v>
      </c>
      <c r="GA13" s="16">
        <f t="shared" si="12"/>
        <v>10783680.406852987</v>
      </c>
      <c r="GB13" s="16">
        <f t="shared" si="12"/>
        <v>10783680.406852987</v>
      </c>
      <c r="GC13" s="16">
        <f t="shared" si="12"/>
        <v>10783680.406852987</v>
      </c>
      <c r="GD13" s="16">
        <f t="shared" si="12"/>
        <v>10783680.406852987</v>
      </c>
      <c r="GE13" s="16">
        <f t="shared" si="12"/>
        <v>10783680.406852987</v>
      </c>
      <c r="GF13" s="16">
        <f t="shared" si="12"/>
        <v>10783680.406852987</v>
      </c>
      <c r="GG13" s="16">
        <f t="shared" si="12"/>
        <v>10783680.406852987</v>
      </c>
      <c r="GH13" s="16">
        <f t="shared" si="12"/>
        <v>10783680.406852987</v>
      </c>
      <c r="GI13" s="16">
        <f t="shared" si="12"/>
        <v>10783680.406852987</v>
      </c>
      <c r="GJ13" s="16">
        <f t="shared" si="12"/>
        <v>10783680.406852987</v>
      </c>
      <c r="GK13" s="16">
        <f t="shared" si="12"/>
        <v>10783680.406852987</v>
      </c>
      <c r="GL13" s="16">
        <f t="shared" si="12"/>
        <v>10783680.406852987</v>
      </c>
      <c r="GM13" s="16">
        <f t="shared" si="12"/>
        <v>10783680.406852987</v>
      </c>
      <c r="GN13" s="16">
        <f t="shared" si="12"/>
        <v>10783680.406852987</v>
      </c>
      <c r="GO13" s="16">
        <f t="shared" si="12"/>
        <v>10783680.406852987</v>
      </c>
      <c r="GP13" s="16">
        <f t="shared" si="12"/>
        <v>10783680.406852987</v>
      </c>
      <c r="GQ13" s="16">
        <f t="shared" si="12"/>
        <v>10783680.406852987</v>
      </c>
      <c r="GR13" s="16">
        <f t="shared" si="10"/>
        <v>10783680.406852987</v>
      </c>
      <c r="GS13" s="16">
        <f t="shared" si="10"/>
        <v>10783680.406852987</v>
      </c>
      <c r="GT13" s="16">
        <f t="shared" si="10"/>
        <v>10783680.406852987</v>
      </c>
      <c r="GU13" s="16">
        <f t="shared" si="10"/>
        <v>10783680.406852987</v>
      </c>
      <c r="GV13" s="16">
        <f t="shared" si="10"/>
        <v>10783680.406852987</v>
      </c>
      <c r="GW13" s="16">
        <f t="shared" si="10"/>
        <v>10783680.406852987</v>
      </c>
      <c r="GX13" s="16">
        <f t="shared" si="10"/>
        <v>10783680.406852987</v>
      </c>
      <c r="GY13" s="16">
        <f t="shared" si="10"/>
        <v>10783680.406852987</v>
      </c>
      <c r="GZ13" s="16">
        <f t="shared" si="10"/>
        <v>10783680.406852987</v>
      </c>
      <c r="HA13" s="16">
        <f t="shared" si="10"/>
        <v>10783680.406852987</v>
      </c>
      <c r="HB13" s="16">
        <f t="shared" si="10"/>
        <v>10783680.406852987</v>
      </c>
      <c r="HC13" s="16">
        <f t="shared" si="10"/>
        <v>10783680.406852987</v>
      </c>
    </row>
    <row r="14" spans="1:211" x14ac:dyDescent="0.25">
      <c r="A14" t="s">
        <v>56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16">
        <f t="shared" si="11"/>
        <v>0</v>
      </c>
      <c r="BT14" s="16">
        <f t="shared" si="11"/>
        <v>0</v>
      </c>
      <c r="BU14" s="16">
        <f t="shared" si="11"/>
        <v>0</v>
      </c>
      <c r="BV14" s="16">
        <f t="shared" si="11"/>
        <v>0</v>
      </c>
      <c r="BW14" s="16">
        <f t="shared" si="11"/>
        <v>0</v>
      </c>
      <c r="BX14" s="16">
        <f t="shared" si="11"/>
        <v>0</v>
      </c>
      <c r="BY14" s="16">
        <f t="shared" si="11"/>
        <v>0</v>
      </c>
      <c r="BZ14" s="16">
        <f t="shared" si="11"/>
        <v>0</v>
      </c>
      <c r="CA14" s="16">
        <f t="shared" si="11"/>
        <v>0</v>
      </c>
      <c r="CB14" s="16">
        <f t="shared" si="11"/>
        <v>0</v>
      </c>
      <c r="CC14" s="16">
        <f t="shared" si="11"/>
        <v>0</v>
      </c>
      <c r="CD14" s="16">
        <f t="shared" si="11"/>
        <v>0</v>
      </c>
      <c r="CE14" s="16">
        <f t="shared" si="11"/>
        <v>0</v>
      </c>
      <c r="CF14" s="16">
        <f t="shared" si="11"/>
        <v>0</v>
      </c>
      <c r="CG14" s="16">
        <f t="shared" si="11"/>
        <v>0</v>
      </c>
      <c r="CH14" s="16">
        <f t="shared" si="11"/>
        <v>0</v>
      </c>
      <c r="CI14" s="16">
        <f t="shared" si="11"/>
        <v>0</v>
      </c>
      <c r="CJ14" s="16">
        <f t="shared" si="11"/>
        <v>0</v>
      </c>
      <c r="CK14" s="16">
        <f t="shared" si="11"/>
        <v>0</v>
      </c>
      <c r="CL14" s="16">
        <f t="shared" si="11"/>
        <v>0</v>
      </c>
      <c r="CM14" s="16">
        <f t="shared" si="11"/>
        <v>0</v>
      </c>
      <c r="CN14" s="16">
        <f t="shared" si="11"/>
        <v>0</v>
      </c>
      <c r="CO14" s="16">
        <f t="shared" si="11"/>
        <v>0</v>
      </c>
      <c r="CP14" s="16">
        <f t="shared" si="11"/>
        <v>0</v>
      </c>
      <c r="CQ14" s="16">
        <f t="shared" si="11"/>
        <v>0</v>
      </c>
      <c r="CR14" s="16">
        <f t="shared" si="11"/>
        <v>0</v>
      </c>
      <c r="CS14" s="16">
        <f t="shared" si="11"/>
        <v>0</v>
      </c>
      <c r="CT14" s="16">
        <f t="shared" si="11"/>
        <v>0</v>
      </c>
      <c r="CU14" s="16">
        <f t="shared" si="11"/>
        <v>0</v>
      </c>
      <c r="CV14" s="16">
        <f t="shared" si="11"/>
        <v>0</v>
      </c>
      <c r="CW14" s="16">
        <f t="shared" si="11"/>
        <v>0</v>
      </c>
      <c r="CX14" s="16">
        <f t="shared" si="11"/>
        <v>0</v>
      </c>
      <c r="CY14" s="16">
        <f t="shared" si="11"/>
        <v>0</v>
      </c>
      <c r="CZ14" s="16">
        <f t="shared" si="11"/>
        <v>0</v>
      </c>
      <c r="DA14" s="16">
        <f t="shared" si="11"/>
        <v>0</v>
      </c>
      <c r="DB14" s="16">
        <f t="shared" si="11"/>
        <v>0</v>
      </c>
      <c r="DC14" s="16">
        <f t="shared" si="11"/>
        <v>0</v>
      </c>
      <c r="DD14" s="16">
        <f t="shared" si="11"/>
        <v>0</v>
      </c>
      <c r="DE14" s="16">
        <f t="shared" si="11"/>
        <v>0</v>
      </c>
      <c r="DF14" s="16">
        <f t="shared" si="11"/>
        <v>0</v>
      </c>
      <c r="DG14" s="16">
        <f t="shared" si="11"/>
        <v>0</v>
      </c>
      <c r="DH14" s="16">
        <f t="shared" si="11"/>
        <v>0</v>
      </c>
      <c r="DI14" s="16">
        <f t="shared" si="11"/>
        <v>0</v>
      </c>
      <c r="DJ14" s="16">
        <f t="shared" si="11"/>
        <v>0</v>
      </c>
      <c r="DK14" s="16">
        <f t="shared" si="11"/>
        <v>0</v>
      </c>
      <c r="DL14" s="16">
        <f t="shared" si="1"/>
        <v>0</v>
      </c>
      <c r="DM14" s="16">
        <f t="shared" si="1"/>
        <v>0</v>
      </c>
      <c r="DN14" s="16">
        <f t="shared" si="1"/>
        <v>0</v>
      </c>
      <c r="DO14" s="16">
        <f t="shared" si="1"/>
        <v>0</v>
      </c>
      <c r="DP14" s="16">
        <f t="shared" si="1"/>
        <v>0</v>
      </c>
      <c r="DQ14" s="16">
        <f t="shared" si="1"/>
        <v>0</v>
      </c>
      <c r="DR14" s="16">
        <f t="shared" si="4"/>
        <v>0</v>
      </c>
      <c r="DS14" s="16">
        <f>IF(Calculations!B141="",0,Calculations!B141)</f>
        <v>0</v>
      </c>
      <c r="DT14" s="16">
        <f>IF(Calculations!C141="",0,Calculations!C141)</f>
        <v>0</v>
      </c>
      <c r="DU14" s="16">
        <f>IF(Calculations!D141="",0,Calculations!D141)</f>
        <v>0</v>
      </c>
      <c r="DV14" s="16">
        <f>IF(Calculations!E141="",0,Calculations!E141)</f>
        <v>0</v>
      </c>
      <c r="DW14" s="16">
        <f>IF(Calculations!F141="",0,Calculations!F141)</f>
        <v>0</v>
      </c>
      <c r="DX14" s="16">
        <f>IF(Calculations!G141="",0,Calculations!G141)</f>
        <v>0</v>
      </c>
      <c r="DY14" s="16">
        <f>IF(Calculations!H141="",0,Calculations!H141)</f>
        <v>0</v>
      </c>
      <c r="DZ14" s="16">
        <f>IF(Calculations!I141="",0,Calculations!I141)</f>
        <v>0</v>
      </c>
      <c r="EA14" s="16">
        <f>IF(Calculations!J141="",0,Calculations!J141)</f>
        <v>0</v>
      </c>
      <c r="EB14" s="17">
        <f>INDEX('[1]Heat Rates_post2020'!$C$2:$CD$25,MATCH($A14,'[1]Heat Rates_post2020'!$B$2:$B$25,0),MATCH(EB$1,'[1]Heat Rates_post2020'!$C$1:$CD$1,0))</f>
        <v>11911123.651684789</v>
      </c>
      <c r="EC14" s="8">
        <f>INDEX('[1]Heat Rates_post2020'!$C$2:$CD$25,MATCH($A14,'[1]Heat Rates_post2020'!$B$2:$B$25,0),MATCH(EC$1,'[1]Heat Rates_post2020'!$C$1:$CD$1,0))</f>
        <v>11911123.651684789</v>
      </c>
      <c r="ED14" s="8">
        <f>INDEX('[1]Heat Rates_post2020'!$C$2:$CD$25,MATCH($A14,'[1]Heat Rates_post2020'!$B$2:$B$25,0),MATCH(ED$1,'[1]Heat Rates_post2020'!$C$1:$CD$1,0))</f>
        <v>11911123.651684789</v>
      </c>
      <c r="EE14" s="8">
        <f>INDEX('[1]Heat Rates_post2020'!$C$2:$CD$25,MATCH($A14,'[1]Heat Rates_post2020'!$B$2:$B$25,0),MATCH(EE$1,'[1]Heat Rates_post2020'!$C$1:$CD$1,0))</f>
        <v>11911123.651684789</v>
      </c>
      <c r="EF14" s="8">
        <f>INDEX('[1]Heat Rates_post2020'!$C$2:$CD$25,MATCH($A14,'[1]Heat Rates_post2020'!$B$2:$B$25,0),MATCH(EF$1,'[1]Heat Rates_post2020'!$C$1:$CD$1,0))</f>
        <v>11911123.651684789</v>
      </c>
      <c r="EG14" s="8">
        <f>INDEX('[1]Heat Rates_post2020'!$C$2:$CD$25,MATCH($A14,'[1]Heat Rates_post2020'!$B$2:$B$25,0),MATCH(EG$1,'[1]Heat Rates_post2020'!$C$1:$CD$1,0))</f>
        <v>11911123.651684789</v>
      </c>
      <c r="EH14" s="8">
        <f>INDEX('[1]Heat Rates_post2020'!$C$2:$CD$25,MATCH($A14,'[1]Heat Rates_post2020'!$B$2:$B$25,0),MATCH(EH$1,'[1]Heat Rates_post2020'!$C$1:$CD$1,0))</f>
        <v>11911123.651684789</v>
      </c>
      <c r="EI14" s="8">
        <f>INDEX('[1]Heat Rates_post2020'!$C$2:$CD$25,MATCH($A14,'[1]Heat Rates_post2020'!$B$2:$B$25,0),MATCH(EI$1,'[1]Heat Rates_post2020'!$C$1:$CD$1,0))</f>
        <v>11911123.651684789</v>
      </c>
      <c r="EJ14" s="8">
        <f>INDEX('[1]Heat Rates_post2020'!$C$2:$CD$25,MATCH($A14,'[1]Heat Rates_post2020'!$B$2:$B$25,0),MATCH(EJ$1,'[1]Heat Rates_post2020'!$C$1:$CD$1,0))</f>
        <v>11911123.651684789</v>
      </c>
      <c r="EK14" s="8">
        <f>INDEX('[1]Heat Rates_post2020'!$C$2:$CD$25,MATCH($A14,'[1]Heat Rates_post2020'!$B$2:$B$25,0),MATCH(EK$1,'[1]Heat Rates_post2020'!$C$1:$CD$1,0))</f>
        <v>11911123.651684789</v>
      </c>
      <c r="EL14" s="8">
        <f>INDEX('[1]Heat Rates_post2020'!$C$2:$CD$25,MATCH($A14,'[1]Heat Rates_post2020'!$B$2:$B$25,0),MATCH(EL$1,'[1]Heat Rates_post2020'!$C$1:$CD$1,0))</f>
        <v>11911123.651684789</v>
      </c>
      <c r="EM14" s="8">
        <f>INDEX('[1]Heat Rates_post2020'!$C$2:$CD$25,MATCH($A14,'[1]Heat Rates_post2020'!$B$2:$B$25,0),MATCH(EM$1,'[1]Heat Rates_post2020'!$C$1:$CD$1,0))</f>
        <v>11911123.651684789</v>
      </c>
      <c r="EN14" s="8">
        <f>INDEX('[1]Heat Rates_post2020'!$C$2:$CD$25,MATCH($A14,'[1]Heat Rates_post2020'!$B$2:$B$25,0),MATCH(EN$1,'[1]Heat Rates_post2020'!$C$1:$CD$1,0))</f>
        <v>11911123.651684789</v>
      </c>
      <c r="EO14" s="8">
        <f>INDEX('[1]Heat Rates_post2020'!$C$2:$CD$25,MATCH($A14,'[1]Heat Rates_post2020'!$B$2:$B$25,0),MATCH(EO$1,'[1]Heat Rates_post2020'!$C$1:$CD$1,0))</f>
        <v>11911123.651684789</v>
      </c>
      <c r="EP14" s="8">
        <f>INDEX('[1]Heat Rates_post2020'!$C$2:$CD$25,MATCH($A14,'[1]Heat Rates_post2020'!$B$2:$B$25,0),MATCH(EP$1,'[1]Heat Rates_post2020'!$C$1:$CD$1,0))</f>
        <v>11911123.651684789</v>
      </c>
      <c r="EQ14" s="8">
        <f>INDEX('[1]Heat Rates_post2020'!$C$2:$CD$25,MATCH($A14,'[1]Heat Rates_post2020'!$B$2:$B$25,0),MATCH(EQ$1,'[1]Heat Rates_post2020'!$C$1:$CD$1,0))</f>
        <v>11911123.651684789</v>
      </c>
      <c r="ER14" s="8">
        <f>INDEX('[1]Heat Rates_post2020'!$C$2:$CD$25,MATCH($A14,'[1]Heat Rates_post2020'!$B$2:$B$25,0),MATCH(ER$1,'[1]Heat Rates_post2020'!$C$1:$CD$1,0))</f>
        <v>11911123.651684789</v>
      </c>
      <c r="ES14" s="8">
        <f>INDEX('[1]Heat Rates_post2020'!$C$2:$CD$25,MATCH($A14,'[1]Heat Rates_post2020'!$B$2:$B$25,0),MATCH(ES$1,'[1]Heat Rates_post2020'!$C$1:$CD$1,0))</f>
        <v>11911123.651684789</v>
      </c>
      <c r="ET14" s="8">
        <f>INDEX('[1]Heat Rates_post2020'!$C$2:$CD$25,MATCH($A14,'[1]Heat Rates_post2020'!$B$2:$B$25,0),MATCH(ET$1,'[1]Heat Rates_post2020'!$C$1:$CD$1,0))</f>
        <v>11911123.651684789</v>
      </c>
      <c r="EU14" s="8">
        <f>INDEX('[1]Heat Rates_post2020'!$C$2:$CD$25,MATCH($A14,'[1]Heat Rates_post2020'!$B$2:$B$25,0),MATCH(EU$1,'[1]Heat Rates_post2020'!$C$1:$CD$1,0))</f>
        <v>11911123.651684789</v>
      </c>
      <c r="EV14" s="8">
        <f>INDEX('[1]Heat Rates_post2020'!$C$2:$CD$25,MATCH($A14,'[1]Heat Rates_post2020'!$B$2:$B$25,0),MATCH(EV$1,'[1]Heat Rates_post2020'!$C$1:$CD$1,0))</f>
        <v>11911123.651684789</v>
      </c>
      <c r="EW14" s="8">
        <f>INDEX('[1]Heat Rates_post2020'!$C$2:$CD$25,MATCH($A14,'[1]Heat Rates_post2020'!$B$2:$B$25,0),MATCH(EW$1,'[1]Heat Rates_post2020'!$C$1:$CD$1,0))</f>
        <v>11911123.651684789</v>
      </c>
      <c r="EX14" s="8">
        <f>INDEX('[1]Heat Rates_post2020'!$C$2:$CD$25,MATCH($A14,'[1]Heat Rates_post2020'!$B$2:$B$25,0),MATCH(EX$1,'[1]Heat Rates_post2020'!$C$1:$CD$1,0))</f>
        <v>11911123.651684789</v>
      </c>
      <c r="EY14" s="8">
        <f>INDEX('[1]Heat Rates_post2020'!$C$2:$CD$25,MATCH($A14,'[1]Heat Rates_post2020'!$B$2:$B$25,0),MATCH(EY$1,'[1]Heat Rates_post2020'!$C$1:$CD$1,0))</f>
        <v>11911123.651684789</v>
      </c>
      <c r="EZ14" s="8">
        <f>INDEX('[1]Heat Rates_post2020'!$C$2:$CD$25,MATCH($A14,'[1]Heat Rates_post2020'!$B$2:$B$25,0),MATCH(EZ$1,'[1]Heat Rates_post2020'!$C$1:$CD$1,0))</f>
        <v>11911123.651684789</v>
      </c>
      <c r="FA14" s="8">
        <f>INDEX('[1]Heat Rates_post2020'!$C$2:$CD$25,MATCH($A14,'[1]Heat Rates_post2020'!$B$2:$B$25,0),MATCH(FA$1,'[1]Heat Rates_post2020'!$C$1:$CD$1,0))</f>
        <v>11911123.651684789</v>
      </c>
      <c r="FB14" s="8">
        <f>INDEX('[1]Heat Rates_post2020'!$C$2:$CD$25,MATCH($A14,'[1]Heat Rates_post2020'!$B$2:$B$25,0),MATCH(FB$1,'[1]Heat Rates_post2020'!$C$1:$CD$1,0))</f>
        <v>11911123.651684789</v>
      </c>
      <c r="FC14" s="8">
        <f>INDEX('[1]Heat Rates_post2020'!$C$2:$CD$25,MATCH($A14,'[1]Heat Rates_post2020'!$B$2:$B$25,0),MATCH(FC$1,'[1]Heat Rates_post2020'!$C$1:$CD$1,0))</f>
        <v>11911123.651684789</v>
      </c>
      <c r="FD14" s="8">
        <f>INDEX('[1]Heat Rates_post2020'!$C$2:$CD$25,MATCH($A14,'[1]Heat Rates_post2020'!$B$2:$B$25,0),MATCH(FD$1,'[1]Heat Rates_post2020'!$C$1:$CD$1,0))</f>
        <v>11911123.651684789</v>
      </c>
      <c r="FE14" s="8">
        <f>INDEX('[1]Heat Rates_post2020'!$C$2:$CD$25,MATCH($A14,'[1]Heat Rates_post2020'!$B$2:$B$25,0),MATCH(FE$1,'[1]Heat Rates_post2020'!$C$1:$CD$1,0))</f>
        <v>11911123.651684789</v>
      </c>
      <c r="FF14" s="8">
        <f>INDEX('[1]Heat Rates_post2020'!$C$2:$CD$25,MATCH($A14,'[1]Heat Rates_post2020'!$B$2:$B$25,0),MATCH(FF$1,'[1]Heat Rates_post2020'!$C$1:$CD$1,0))</f>
        <v>11911123.651684789</v>
      </c>
      <c r="FG14" s="8">
        <f>INDEX('[1]Heat Rates_post2020'!$C$2:$CD$25,MATCH($A14,'[1]Heat Rates_post2020'!$B$2:$B$25,0),MATCH(FG$1,'[1]Heat Rates_post2020'!$C$1:$CD$1,0))</f>
        <v>11911123.651684789</v>
      </c>
      <c r="FH14" s="8">
        <f>INDEX('[1]Heat Rates_post2020'!$C$2:$CD$25,MATCH($A14,'[1]Heat Rates_post2020'!$B$2:$B$25,0),MATCH(FH$1,'[1]Heat Rates_post2020'!$C$1:$CD$1,0))</f>
        <v>11911123.651684789</v>
      </c>
      <c r="FI14" s="8">
        <f>INDEX('[1]Heat Rates_post2020'!$C$2:$CD$25,MATCH($A14,'[1]Heat Rates_post2020'!$B$2:$B$25,0),MATCH(FI$1,'[1]Heat Rates_post2020'!$C$1:$CD$1,0))</f>
        <v>11911123.651684789</v>
      </c>
      <c r="FJ14" s="8">
        <f>INDEX('[1]Heat Rates_post2020'!$C$2:$CD$25,MATCH($A14,'[1]Heat Rates_post2020'!$B$2:$B$25,0),MATCH(FJ$1,'[1]Heat Rates_post2020'!$C$1:$CD$1,0))</f>
        <v>11911123.651684789</v>
      </c>
      <c r="FK14" s="8">
        <f>INDEX('[1]Heat Rates_post2020'!$C$2:$CD$25,MATCH($A14,'[1]Heat Rates_post2020'!$B$2:$B$25,0),MATCH(FK$1,'[1]Heat Rates_post2020'!$C$1:$CD$1,0))</f>
        <v>11911123.651684789</v>
      </c>
      <c r="FL14" s="8">
        <f>INDEX('[1]Heat Rates_post2020'!$C$2:$CD$25,MATCH($A14,'[1]Heat Rates_post2020'!$B$2:$B$25,0),MATCH(FL$1,'[1]Heat Rates_post2020'!$C$1:$CD$1,0))</f>
        <v>11911123.651684789</v>
      </c>
      <c r="FM14" s="8">
        <f>INDEX('[1]Heat Rates_post2020'!$C$2:$CD$25,MATCH($A14,'[1]Heat Rates_post2020'!$B$2:$B$25,0),MATCH(FM$1,'[1]Heat Rates_post2020'!$C$1:$CD$1,0))</f>
        <v>11911123.651684789</v>
      </c>
      <c r="FN14" s="8">
        <f>INDEX('[1]Heat Rates_post2020'!$C$2:$CD$25,MATCH($A14,'[1]Heat Rates_post2020'!$B$2:$B$25,0),MATCH(FN$1,'[1]Heat Rates_post2020'!$C$1:$CD$1,0))</f>
        <v>11911123.651684789</v>
      </c>
      <c r="FO14" s="8">
        <f>INDEX('[1]Heat Rates_post2020'!$C$2:$CD$25,MATCH($A14,'[1]Heat Rates_post2020'!$B$2:$B$25,0),MATCH(FO$1,'[1]Heat Rates_post2020'!$C$1:$CD$1,0))</f>
        <v>11911123.651684789</v>
      </c>
      <c r="FP14" s="8">
        <f>INDEX('[1]Heat Rates_post2020'!$C$2:$CD$25,MATCH($A14,'[1]Heat Rates_post2020'!$B$2:$B$25,0),MATCH(FP$1,'[1]Heat Rates_post2020'!$C$1:$CD$1,0))</f>
        <v>11911123.651684789</v>
      </c>
      <c r="FQ14" s="8">
        <f>INDEX('[1]Heat Rates_post2020'!$C$2:$CD$25,MATCH($A14,'[1]Heat Rates_post2020'!$B$2:$B$25,0),MATCH(FQ$1,'[1]Heat Rates_post2020'!$C$1:$CD$1,0))</f>
        <v>11911123.651684789</v>
      </c>
      <c r="FR14" s="8">
        <f>INDEX('[1]Heat Rates_post2020'!$C$2:$CD$25,MATCH($A14,'[1]Heat Rates_post2020'!$B$2:$B$25,0),MATCH(FR$1,'[1]Heat Rates_post2020'!$C$1:$CD$1,0))</f>
        <v>11911123.651684789</v>
      </c>
      <c r="FS14" s="8">
        <f>INDEX('[1]Heat Rates_post2020'!$C$2:$CD$25,MATCH($A14,'[1]Heat Rates_post2020'!$B$2:$B$25,0),MATCH(FS$1,'[1]Heat Rates_post2020'!$C$1:$CD$1,0))</f>
        <v>11911123.651684789</v>
      </c>
      <c r="FT14" s="8">
        <f>INDEX('[1]Heat Rates_post2020'!$C$2:$CD$25,MATCH($A14,'[1]Heat Rates_post2020'!$B$2:$B$25,0),MATCH(FT$1,'[1]Heat Rates_post2020'!$C$1:$CD$1,0))</f>
        <v>11911123.651684789</v>
      </c>
      <c r="FU14" s="8">
        <f>INDEX('[1]Heat Rates_post2020'!$C$2:$CD$25,MATCH($A14,'[1]Heat Rates_post2020'!$B$2:$B$25,0),MATCH(FU$1,'[1]Heat Rates_post2020'!$C$1:$CD$1,0))</f>
        <v>11911123.651684789</v>
      </c>
      <c r="FV14" s="8">
        <f>INDEX('[1]Heat Rates_post2020'!$C$2:$CD$25,MATCH($A14,'[1]Heat Rates_post2020'!$B$2:$B$25,0),MATCH(FV$1,'[1]Heat Rates_post2020'!$C$1:$CD$1,0))</f>
        <v>11911123.651684789</v>
      </c>
      <c r="FW14" s="8">
        <f>INDEX('[1]Heat Rates_post2020'!$C$2:$CD$25,MATCH($A14,'[1]Heat Rates_post2020'!$B$2:$B$25,0),MATCH(FW$1,'[1]Heat Rates_post2020'!$C$1:$CD$1,0))</f>
        <v>11911123.651684789</v>
      </c>
      <c r="FX14" s="8">
        <f>INDEX('[1]Heat Rates_post2020'!$C$2:$CD$25,MATCH($A14,'[1]Heat Rates_post2020'!$B$2:$B$25,0),MATCH(FX$1,'[1]Heat Rates_post2020'!$C$1:$CD$1,0))</f>
        <v>11911123.651684789</v>
      </c>
      <c r="FY14" s="8">
        <f>INDEX('[1]Heat Rates_post2020'!$C$2:$CD$25,MATCH($A14,'[1]Heat Rates_post2020'!$B$2:$B$25,0),MATCH(FY$1,'[1]Heat Rates_post2020'!$C$1:$CD$1,0))</f>
        <v>11911123.651684789</v>
      </c>
      <c r="FZ14" s="8">
        <f>INDEX('[1]Heat Rates_post2020'!$C$2:$CD$25,MATCH($A14,'[1]Heat Rates_post2020'!$B$2:$B$25,0),MATCH(FZ$1,'[1]Heat Rates_post2020'!$C$1:$CD$1,0))</f>
        <v>11911123.651684789</v>
      </c>
      <c r="GA14" s="8">
        <f>INDEX('[1]Heat Rates_post2020'!$C$2:$CD$25,MATCH($A14,'[1]Heat Rates_post2020'!$B$2:$B$25,0),MATCH(GA$1,'[1]Heat Rates_post2020'!$C$1:$CD$1,0))</f>
        <v>11911123.651684789</v>
      </c>
      <c r="GB14" s="8">
        <f>INDEX('[1]Heat Rates_post2020'!$C$2:$CD$25,MATCH($A14,'[1]Heat Rates_post2020'!$B$2:$B$25,0),MATCH(GB$1,'[1]Heat Rates_post2020'!$C$1:$CD$1,0))</f>
        <v>11911123.651684789</v>
      </c>
      <c r="GC14" s="8">
        <f>INDEX('[1]Heat Rates_post2020'!$C$2:$CD$25,MATCH($A14,'[1]Heat Rates_post2020'!$B$2:$B$25,0),MATCH(GC$1,'[1]Heat Rates_post2020'!$C$1:$CD$1,0))</f>
        <v>11911123.651684789</v>
      </c>
      <c r="GD14" s="8">
        <f>INDEX('[1]Heat Rates_post2020'!$C$2:$CD$25,MATCH($A14,'[1]Heat Rates_post2020'!$B$2:$B$25,0),MATCH(GD$1,'[1]Heat Rates_post2020'!$C$1:$CD$1,0))</f>
        <v>11911123.651684789</v>
      </c>
      <c r="GE14" s="8">
        <f>INDEX('[1]Heat Rates_post2020'!$C$2:$CD$25,MATCH($A14,'[1]Heat Rates_post2020'!$B$2:$B$25,0),MATCH(GE$1,'[1]Heat Rates_post2020'!$C$1:$CD$1,0))</f>
        <v>11911123.651684789</v>
      </c>
      <c r="GF14" s="8">
        <f>INDEX('[1]Heat Rates_post2020'!$C$2:$CD$25,MATCH($A14,'[1]Heat Rates_post2020'!$B$2:$B$25,0),MATCH(GF$1,'[1]Heat Rates_post2020'!$C$1:$CD$1,0))</f>
        <v>11911123.651684789</v>
      </c>
      <c r="GG14" s="8">
        <f>INDEX('[1]Heat Rates_post2020'!$C$2:$CD$25,MATCH($A14,'[1]Heat Rates_post2020'!$B$2:$B$25,0),MATCH(GG$1,'[1]Heat Rates_post2020'!$C$1:$CD$1,0))</f>
        <v>11911123.651684789</v>
      </c>
      <c r="GH14" s="8">
        <f>INDEX('[1]Heat Rates_post2020'!$C$2:$CD$25,MATCH($A14,'[1]Heat Rates_post2020'!$B$2:$B$25,0),MATCH(GH$1,'[1]Heat Rates_post2020'!$C$1:$CD$1,0))</f>
        <v>11911123.651684789</v>
      </c>
      <c r="GI14" s="8">
        <f>INDEX('[1]Heat Rates_post2020'!$C$2:$CD$25,MATCH($A14,'[1]Heat Rates_post2020'!$B$2:$B$25,0),MATCH(GI$1,'[1]Heat Rates_post2020'!$C$1:$CD$1,0))</f>
        <v>11911123.651684789</v>
      </c>
      <c r="GJ14" s="8">
        <f>INDEX('[1]Heat Rates_post2020'!$C$2:$CD$25,MATCH($A14,'[1]Heat Rates_post2020'!$B$2:$B$25,0),MATCH(GJ$1,'[1]Heat Rates_post2020'!$C$1:$CD$1,0))</f>
        <v>11911123.651684789</v>
      </c>
      <c r="GK14" s="8">
        <f>INDEX('[1]Heat Rates_post2020'!$C$2:$CD$25,MATCH($A14,'[1]Heat Rates_post2020'!$B$2:$B$25,0),MATCH(GK$1,'[1]Heat Rates_post2020'!$C$1:$CD$1,0))</f>
        <v>11911123.651684789</v>
      </c>
      <c r="GL14" s="8">
        <f>INDEX('[1]Heat Rates_post2020'!$C$2:$CD$25,MATCH($A14,'[1]Heat Rates_post2020'!$B$2:$B$25,0),MATCH(GL$1,'[1]Heat Rates_post2020'!$C$1:$CD$1,0))</f>
        <v>11911123.651684789</v>
      </c>
      <c r="GM14" s="8">
        <f>INDEX('[1]Heat Rates_post2020'!$C$2:$CD$25,MATCH($A14,'[1]Heat Rates_post2020'!$B$2:$B$25,0),MATCH(GM$1,'[1]Heat Rates_post2020'!$C$1:$CD$1,0))</f>
        <v>11911123.651684789</v>
      </c>
      <c r="GN14" s="8">
        <f>INDEX('[1]Heat Rates_post2020'!$C$2:$CD$25,MATCH($A14,'[1]Heat Rates_post2020'!$B$2:$B$25,0),MATCH(GN$1,'[1]Heat Rates_post2020'!$C$1:$CD$1,0))</f>
        <v>11911123.651684789</v>
      </c>
      <c r="GO14" s="8">
        <f>INDEX('[1]Heat Rates_post2020'!$C$2:$CD$25,MATCH($A14,'[1]Heat Rates_post2020'!$B$2:$B$25,0),MATCH(GO$1,'[1]Heat Rates_post2020'!$C$1:$CD$1,0))</f>
        <v>11911123.651684789</v>
      </c>
      <c r="GP14" s="8">
        <f>INDEX('[1]Heat Rates_post2020'!$C$2:$CD$25,MATCH($A14,'[1]Heat Rates_post2020'!$B$2:$B$25,0),MATCH(GP$1,'[1]Heat Rates_post2020'!$C$1:$CD$1,0))</f>
        <v>11911123.651684789</v>
      </c>
      <c r="GQ14" s="8">
        <f>INDEX('[1]Heat Rates_post2020'!$C$2:$CD$25,MATCH($A14,'[1]Heat Rates_post2020'!$B$2:$B$25,0),MATCH(GQ$1,'[1]Heat Rates_post2020'!$C$1:$CD$1,0))</f>
        <v>11911123.651684789</v>
      </c>
      <c r="GR14" s="8">
        <f>INDEX('[1]Heat Rates_post2020'!$C$2:$CD$25,MATCH($A14,'[1]Heat Rates_post2020'!$B$2:$B$25,0),MATCH(GR$1,'[1]Heat Rates_post2020'!$C$1:$CD$1,0))</f>
        <v>11911123.651684789</v>
      </c>
      <c r="GS14" s="8">
        <f>INDEX('[1]Heat Rates_post2020'!$C$2:$CD$25,MATCH($A14,'[1]Heat Rates_post2020'!$B$2:$B$25,0),MATCH(GS$1,'[1]Heat Rates_post2020'!$C$1:$CD$1,0))</f>
        <v>11911123.651684789</v>
      </c>
      <c r="GT14" s="8">
        <f>INDEX('[1]Heat Rates_post2020'!$C$2:$CD$25,MATCH($A14,'[1]Heat Rates_post2020'!$B$2:$B$25,0),MATCH(GT$1,'[1]Heat Rates_post2020'!$C$1:$CD$1,0))</f>
        <v>11911123.651684789</v>
      </c>
      <c r="GU14" s="8">
        <f>INDEX('[1]Heat Rates_post2020'!$C$2:$CD$25,MATCH($A14,'[1]Heat Rates_post2020'!$B$2:$B$25,0),MATCH(GU$1,'[1]Heat Rates_post2020'!$C$1:$CD$1,0))</f>
        <v>11911123.651684789</v>
      </c>
      <c r="GV14" s="8">
        <f>INDEX('[1]Heat Rates_post2020'!$C$2:$CD$25,MATCH($A14,'[1]Heat Rates_post2020'!$B$2:$B$25,0),MATCH(GV$1,'[1]Heat Rates_post2020'!$C$1:$CD$1,0))</f>
        <v>11911123.651684789</v>
      </c>
      <c r="GW14" s="8">
        <f>INDEX('[1]Heat Rates_post2020'!$C$2:$CD$25,MATCH($A14,'[1]Heat Rates_post2020'!$B$2:$B$25,0),MATCH(GW$1,'[1]Heat Rates_post2020'!$C$1:$CD$1,0))</f>
        <v>11911123.651684789</v>
      </c>
      <c r="GX14" s="8">
        <f>INDEX('[1]Heat Rates_post2020'!$C$2:$CD$25,MATCH($A14,'[1]Heat Rates_post2020'!$B$2:$B$25,0),MATCH(GX$1,'[1]Heat Rates_post2020'!$C$1:$CD$1,0))</f>
        <v>11911123.651684789</v>
      </c>
      <c r="GY14" s="8">
        <f>INDEX('[1]Heat Rates_post2020'!$C$2:$CD$25,MATCH($A14,'[1]Heat Rates_post2020'!$B$2:$B$25,0),MATCH(GY$1,'[1]Heat Rates_post2020'!$C$1:$CD$1,0))</f>
        <v>11911123.651684789</v>
      </c>
      <c r="GZ14" s="8">
        <f>INDEX('[1]Heat Rates_post2020'!$C$2:$CD$25,MATCH($A14,'[1]Heat Rates_post2020'!$B$2:$B$25,0),MATCH(GZ$1,'[1]Heat Rates_post2020'!$C$1:$CD$1,0))</f>
        <v>11911123.651684789</v>
      </c>
      <c r="HA14" s="8">
        <f>INDEX('[1]Heat Rates_post2020'!$C$2:$CD$25,MATCH($A14,'[1]Heat Rates_post2020'!$B$2:$B$25,0),MATCH(HA$1,'[1]Heat Rates_post2020'!$C$1:$CD$1,0))</f>
        <v>11911123.651684789</v>
      </c>
      <c r="HB14" s="8">
        <f>INDEX('[1]Heat Rates_post2020'!$C$2:$CD$25,MATCH($A14,'[1]Heat Rates_post2020'!$B$2:$B$25,0),MATCH(HB$1,'[1]Heat Rates_post2020'!$C$1:$CD$1,0))</f>
        <v>11911123.651684789</v>
      </c>
      <c r="HC14" s="8">
        <f>INDEX('[1]Heat Rates_post2020'!$C$2:$CD$25,MATCH($A14,'[1]Heat Rates_post2020'!$B$2:$B$25,0),MATCH(HC$1,'[1]Heat Rates_post2020'!$C$1:$CD$1,0))</f>
        <v>11911123.651684789</v>
      </c>
    </row>
    <row r="15" spans="1:211" x14ac:dyDescent="0.25">
      <c r="A15" s="18" t="s">
        <v>57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16">
        <f t="shared" si="11"/>
        <v>0</v>
      </c>
      <c r="BT15" s="16">
        <f t="shared" si="11"/>
        <v>0</v>
      </c>
      <c r="BU15" s="16">
        <f t="shared" si="11"/>
        <v>0</v>
      </c>
      <c r="BV15" s="16">
        <f t="shared" si="11"/>
        <v>0</v>
      </c>
      <c r="BW15" s="16">
        <f t="shared" si="11"/>
        <v>0</v>
      </c>
      <c r="BX15" s="16">
        <f t="shared" si="11"/>
        <v>0</v>
      </c>
      <c r="BY15" s="16">
        <f t="shared" si="11"/>
        <v>0</v>
      </c>
      <c r="BZ15" s="16">
        <f t="shared" si="11"/>
        <v>0</v>
      </c>
      <c r="CA15" s="16">
        <f t="shared" si="11"/>
        <v>0</v>
      </c>
      <c r="CB15" s="16">
        <f t="shared" si="11"/>
        <v>0</v>
      </c>
      <c r="CC15" s="16">
        <f t="shared" si="11"/>
        <v>0</v>
      </c>
      <c r="CD15" s="16">
        <f t="shared" si="11"/>
        <v>0</v>
      </c>
      <c r="CE15" s="16">
        <f t="shared" si="11"/>
        <v>0</v>
      </c>
      <c r="CF15" s="16">
        <f t="shared" si="11"/>
        <v>0</v>
      </c>
      <c r="CG15" s="16">
        <f t="shared" si="11"/>
        <v>0</v>
      </c>
      <c r="CH15" s="16">
        <f t="shared" si="11"/>
        <v>0</v>
      </c>
      <c r="CI15" s="16">
        <f t="shared" si="11"/>
        <v>0</v>
      </c>
      <c r="CJ15" s="16">
        <f t="shared" si="11"/>
        <v>0</v>
      </c>
      <c r="CK15" s="16">
        <f t="shared" si="11"/>
        <v>0</v>
      </c>
      <c r="CL15" s="16">
        <f t="shared" si="11"/>
        <v>0</v>
      </c>
      <c r="CM15" s="16">
        <f t="shared" si="11"/>
        <v>0</v>
      </c>
      <c r="CN15" s="16">
        <f t="shared" si="11"/>
        <v>0</v>
      </c>
      <c r="CO15" s="16">
        <f t="shared" si="11"/>
        <v>0</v>
      </c>
      <c r="CP15" s="16">
        <f t="shared" si="11"/>
        <v>0</v>
      </c>
      <c r="CQ15" s="16">
        <f t="shared" si="11"/>
        <v>0</v>
      </c>
      <c r="CR15" s="16">
        <f t="shared" si="11"/>
        <v>0</v>
      </c>
      <c r="CS15" s="16">
        <f t="shared" si="11"/>
        <v>0</v>
      </c>
      <c r="CT15" s="16">
        <f t="shared" si="11"/>
        <v>0</v>
      </c>
      <c r="CU15" s="16">
        <f t="shared" si="11"/>
        <v>0</v>
      </c>
      <c r="CV15" s="16">
        <f t="shared" si="11"/>
        <v>0</v>
      </c>
      <c r="CW15" s="16">
        <f t="shared" si="11"/>
        <v>0</v>
      </c>
      <c r="CX15" s="16">
        <f t="shared" si="11"/>
        <v>0</v>
      </c>
      <c r="CY15" s="16">
        <f t="shared" si="11"/>
        <v>0</v>
      </c>
      <c r="CZ15" s="16">
        <f t="shared" si="11"/>
        <v>0</v>
      </c>
      <c r="DA15" s="16">
        <f t="shared" si="11"/>
        <v>0</v>
      </c>
      <c r="DB15" s="16">
        <f t="shared" si="11"/>
        <v>0</v>
      </c>
      <c r="DC15" s="16">
        <f t="shared" si="11"/>
        <v>0</v>
      </c>
      <c r="DD15" s="16">
        <f t="shared" si="11"/>
        <v>0</v>
      </c>
      <c r="DE15" s="16">
        <f t="shared" si="11"/>
        <v>0</v>
      </c>
      <c r="DF15" s="16">
        <f t="shared" si="11"/>
        <v>0</v>
      </c>
      <c r="DG15" s="16">
        <f t="shared" si="11"/>
        <v>0</v>
      </c>
      <c r="DH15" s="16">
        <f t="shared" si="11"/>
        <v>0</v>
      </c>
      <c r="DI15" s="16">
        <f t="shared" si="11"/>
        <v>0</v>
      </c>
      <c r="DJ15" s="16">
        <f t="shared" si="11"/>
        <v>0</v>
      </c>
      <c r="DK15" s="16">
        <f t="shared" si="11"/>
        <v>0</v>
      </c>
      <c r="DL15" s="16">
        <f t="shared" si="1"/>
        <v>0</v>
      </c>
      <c r="DM15" s="16">
        <f t="shared" si="1"/>
        <v>0</v>
      </c>
      <c r="DN15" s="16">
        <f t="shared" si="1"/>
        <v>0</v>
      </c>
      <c r="DO15" s="16">
        <f t="shared" si="1"/>
        <v>0</v>
      </c>
      <c r="DP15" s="16">
        <f t="shared" si="1"/>
        <v>0</v>
      </c>
      <c r="DQ15" s="16">
        <f t="shared" si="1"/>
        <v>0</v>
      </c>
      <c r="DR15" s="16">
        <f t="shared" si="4"/>
        <v>0</v>
      </c>
      <c r="DS15" s="16">
        <f>IF(Calculations!B142="",0,Calculations!B142)</f>
        <v>0</v>
      </c>
      <c r="DT15" s="16">
        <f>IF(Calculations!C142="",0,Calculations!C142)</f>
        <v>0</v>
      </c>
      <c r="DU15" s="16">
        <f>IF(Calculations!D142="",0,Calculations!D142)</f>
        <v>0</v>
      </c>
      <c r="DV15" s="16">
        <f>IF(Calculations!E142="",0,Calculations!E142)</f>
        <v>0</v>
      </c>
      <c r="DW15" s="16">
        <f>IF(Calculations!F142="",0,Calculations!F142)</f>
        <v>0</v>
      </c>
      <c r="DX15" s="16">
        <f>IF(Calculations!G142="",0,Calculations!G142)</f>
        <v>0</v>
      </c>
      <c r="DY15" s="16">
        <f>IF(Calculations!H142="",0,Calculations!H142)</f>
        <v>0</v>
      </c>
      <c r="DZ15" s="16">
        <f>IF(Calculations!I142="",0,Calculations!I142)</f>
        <v>0</v>
      </c>
      <c r="EA15" s="16">
        <f>IF(Calculations!J142="",0,Calculations!J142)</f>
        <v>0</v>
      </c>
      <c r="EB15" s="16">
        <f>IF(Calculations!K142="",0,Calculations!K142)</f>
        <v>0</v>
      </c>
      <c r="EC15" s="16">
        <f>IF(Calculations!L142="",0,Calculations!L142)</f>
        <v>0</v>
      </c>
      <c r="ED15" s="16">
        <f>IF(Calculations!M142="",0,Calculations!M142)</f>
        <v>0</v>
      </c>
      <c r="EE15" s="16">
        <f t="shared" si="5"/>
        <v>0</v>
      </c>
      <c r="EF15" s="16">
        <f t="shared" si="12"/>
        <v>0</v>
      </c>
      <c r="EG15" s="16">
        <f t="shared" si="12"/>
        <v>0</v>
      </c>
      <c r="EH15" s="16">
        <f t="shared" si="12"/>
        <v>0</v>
      </c>
      <c r="EI15" s="16">
        <f t="shared" si="12"/>
        <v>0</v>
      </c>
      <c r="EJ15" s="16">
        <f t="shared" si="12"/>
        <v>0</v>
      </c>
      <c r="EK15" s="16">
        <f t="shared" si="12"/>
        <v>0</v>
      </c>
      <c r="EL15" s="16">
        <f t="shared" si="12"/>
        <v>0</v>
      </c>
      <c r="EM15" s="16">
        <f t="shared" si="12"/>
        <v>0</v>
      </c>
      <c r="EN15" s="16">
        <f t="shared" si="12"/>
        <v>0</v>
      </c>
      <c r="EO15" s="16">
        <f t="shared" si="12"/>
        <v>0</v>
      </c>
      <c r="EP15" s="16">
        <f t="shared" si="12"/>
        <v>0</v>
      </c>
      <c r="EQ15" s="16">
        <f t="shared" si="12"/>
        <v>0</v>
      </c>
      <c r="ER15" s="16">
        <f t="shared" si="12"/>
        <v>0</v>
      </c>
      <c r="ES15" s="16">
        <f t="shared" si="12"/>
        <v>0</v>
      </c>
      <c r="ET15" s="16">
        <f t="shared" si="12"/>
        <v>0</v>
      </c>
      <c r="EU15" s="16">
        <f t="shared" si="12"/>
        <v>0</v>
      </c>
      <c r="EV15" s="16">
        <f t="shared" si="12"/>
        <v>0</v>
      </c>
      <c r="EW15" s="16">
        <f t="shared" si="12"/>
        <v>0</v>
      </c>
      <c r="EX15" s="16">
        <f t="shared" si="12"/>
        <v>0</v>
      </c>
      <c r="EY15" s="16">
        <f t="shared" si="12"/>
        <v>0</v>
      </c>
      <c r="EZ15" s="16">
        <f t="shared" si="12"/>
        <v>0</v>
      </c>
      <c r="FA15" s="16">
        <f t="shared" si="12"/>
        <v>0</v>
      </c>
      <c r="FB15" s="16">
        <f t="shared" si="12"/>
        <v>0</v>
      </c>
      <c r="FC15" s="16">
        <f t="shared" si="12"/>
        <v>0</v>
      </c>
      <c r="FD15" s="16">
        <f t="shared" si="12"/>
        <v>0</v>
      </c>
      <c r="FE15" s="16">
        <f t="shared" si="12"/>
        <v>0</v>
      </c>
      <c r="FF15" s="16">
        <f t="shared" si="12"/>
        <v>0</v>
      </c>
      <c r="FG15" s="16">
        <f t="shared" si="12"/>
        <v>0</v>
      </c>
      <c r="FH15" s="16">
        <f t="shared" si="12"/>
        <v>0</v>
      </c>
      <c r="FI15" s="16">
        <f t="shared" si="12"/>
        <v>0</v>
      </c>
      <c r="FJ15" s="16">
        <f t="shared" si="12"/>
        <v>0</v>
      </c>
      <c r="FK15" s="16">
        <f t="shared" si="12"/>
        <v>0</v>
      </c>
      <c r="FL15" s="16">
        <f t="shared" si="12"/>
        <v>0</v>
      </c>
      <c r="FM15" s="16">
        <f t="shared" si="12"/>
        <v>0</v>
      </c>
      <c r="FN15" s="16">
        <f t="shared" si="12"/>
        <v>0</v>
      </c>
      <c r="FO15" s="16">
        <f t="shared" si="12"/>
        <v>0</v>
      </c>
      <c r="FP15" s="16">
        <f t="shared" si="12"/>
        <v>0</v>
      </c>
      <c r="FQ15" s="16">
        <f t="shared" si="12"/>
        <v>0</v>
      </c>
      <c r="FR15" s="16">
        <f t="shared" si="12"/>
        <v>0</v>
      </c>
      <c r="FS15" s="16">
        <f t="shared" si="12"/>
        <v>0</v>
      </c>
      <c r="FT15" s="16">
        <f t="shared" si="12"/>
        <v>0</v>
      </c>
      <c r="FU15" s="16">
        <f t="shared" si="12"/>
        <v>0</v>
      </c>
      <c r="FV15" s="16">
        <f t="shared" si="12"/>
        <v>0</v>
      </c>
      <c r="FW15" s="16">
        <f t="shared" si="12"/>
        <v>0</v>
      </c>
      <c r="FX15" s="16">
        <f t="shared" si="12"/>
        <v>0</v>
      </c>
      <c r="FY15" s="16">
        <f t="shared" si="12"/>
        <v>0</v>
      </c>
      <c r="FZ15" s="16">
        <f t="shared" si="12"/>
        <v>0</v>
      </c>
      <c r="GA15" s="16">
        <f t="shared" si="12"/>
        <v>0</v>
      </c>
      <c r="GB15" s="16">
        <f t="shared" si="12"/>
        <v>0</v>
      </c>
      <c r="GC15" s="16">
        <f t="shared" si="12"/>
        <v>0</v>
      </c>
      <c r="GD15" s="16">
        <f t="shared" si="12"/>
        <v>0</v>
      </c>
      <c r="GE15" s="16">
        <f t="shared" si="12"/>
        <v>0</v>
      </c>
      <c r="GF15" s="16">
        <f t="shared" si="12"/>
        <v>0</v>
      </c>
      <c r="GG15" s="16">
        <f t="shared" si="12"/>
        <v>0</v>
      </c>
      <c r="GH15" s="16">
        <f t="shared" si="12"/>
        <v>0</v>
      </c>
      <c r="GI15" s="16">
        <f t="shared" si="12"/>
        <v>0</v>
      </c>
      <c r="GJ15" s="16">
        <f t="shared" si="12"/>
        <v>0</v>
      </c>
      <c r="GK15" s="16">
        <f t="shared" si="12"/>
        <v>0</v>
      </c>
      <c r="GL15" s="16">
        <f t="shared" si="12"/>
        <v>0</v>
      </c>
      <c r="GM15" s="16">
        <f t="shared" si="12"/>
        <v>0</v>
      </c>
      <c r="GN15" s="16">
        <f t="shared" si="12"/>
        <v>0</v>
      </c>
      <c r="GO15" s="16">
        <f t="shared" si="12"/>
        <v>0</v>
      </c>
      <c r="GP15" s="16">
        <f t="shared" si="12"/>
        <v>0</v>
      </c>
      <c r="GQ15" s="16">
        <f t="shared" ref="GQ15:HC17" si="13">GP15</f>
        <v>0</v>
      </c>
      <c r="GR15" s="16">
        <f t="shared" si="13"/>
        <v>0</v>
      </c>
      <c r="GS15" s="16">
        <f t="shared" si="13"/>
        <v>0</v>
      </c>
      <c r="GT15" s="16">
        <f t="shared" si="13"/>
        <v>0</v>
      </c>
      <c r="GU15" s="16">
        <f t="shared" si="13"/>
        <v>0</v>
      </c>
      <c r="GV15" s="16">
        <f t="shared" si="13"/>
        <v>0</v>
      </c>
      <c r="GW15" s="16">
        <f t="shared" si="13"/>
        <v>0</v>
      </c>
      <c r="GX15" s="16">
        <f t="shared" si="13"/>
        <v>0</v>
      </c>
      <c r="GY15" s="16">
        <f t="shared" si="13"/>
        <v>0</v>
      </c>
      <c r="GZ15" s="16">
        <f t="shared" si="13"/>
        <v>0</v>
      </c>
      <c r="HA15" s="16">
        <f t="shared" si="13"/>
        <v>0</v>
      </c>
      <c r="HB15" s="16">
        <f t="shared" si="13"/>
        <v>0</v>
      </c>
      <c r="HC15" s="16">
        <f t="shared" si="13"/>
        <v>0</v>
      </c>
    </row>
    <row r="16" spans="1:211" x14ac:dyDescent="0.25">
      <c r="A16" s="18" t="s">
        <v>58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16">
        <f t="shared" si="11"/>
        <v>0</v>
      </c>
      <c r="BT16" s="16">
        <f t="shared" si="11"/>
        <v>0</v>
      </c>
      <c r="BU16" s="16">
        <f t="shared" si="11"/>
        <v>0</v>
      </c>
      <c r="BV16" s="16">
        <f t="shared" si="11"/>
        <v>0</v>
      </c>
      <c r="BW16" s="16">
        <f t="shared" si="11"/>
        <v>0</v>
      </c>
      <c r="BX16" s="16">
        <f t="shared" si="11"/>
        <v>0</v>
      </c>
      <c r="BY16" s="16">
        <f t="shared" si="11"/>
        <v>0</v>
      </c>
      <c r="BZ16" s="16">
        <f t="shared" si="11"/>
        <v>0</v>
      </c>
      <c r="CA16" s="16">
        <f t="shared" si="11"/>
        <v>0</v>
      </c>
      <c r="CB16" s="16">
        <f t="shared" si="11"/>
        <v>0</v>
      </c>
      <c r="CC16" s="16">
        <f t="shared" si="11"/>
        <v>0</v>
      </c>
      <c r="CD16" s="16">
        <f t="shared" si="11"/>
        <v>0</v>
      </c>
      <c r="CE16" s="16">
        <f t="shared" si="11"/>
        <v>0</v>
      </c>
      <c r="CF16" s="16">
        <f t="shared" si="11"/>
        <v>0</v>
      </c>
      <c r="CG16" s="16">
        <f t="shared" si="11"/>
        <v>0</v>
      </c>
      <c r="CH16" s="16">
        <f t="shared" si="11"/>
        <v>0</v>
      </c>
      <c r="CI16" s="16">
        <f t="shared" si="11"/>
        <v>0</v>
      </c>
      <c r="CJ16" s="16">
        <f t="shared" si="11"/>
        <v>0</v>
      </c>
      <c r="CK16" s="16">
        <f t="shared" si="11"/>
        <v>0</v>
      </c>
      <c r="CL16" s="16">
        <f t="shared" si="11"/>
        <v>0</v>
      </c>
      <c r="CM16" s="16">
        <f t="shared" si="11"/>
        <v>0</v>
      </c>
      <c r="CN16" s="16">
        <f t="shared" si="11"/>
        <v>0</v>
      </c>
      <c r="CO16" s="16">
        <f t="shared" si="11"/>
        <v>0</v>
      </c>
      <c r="CP16" s="16">
        <f t="shared" si="11"/>
        <v>0</v>
      </c>
      <c r="CQ16" s="16">
        <f t="shared" si="11"/>
        <v>0</v>
      </c>
      <c r="CR16" s="16">
        <f t="shared" si="11"/>
        <v>0</v>
      </c>
      <c r="CS16" s="16">
        <f t="shared" si="11"/>
        <v>0</v>
      </c>
      <c r="CT16" s="16">
        <f t="shared" si="11"/>
        <v>0</v>
      </c>
      <c r="CU16" s="16">
        <f t="shared" si="11"/>
        <v>0</v>
      </c>
      <c r="CV16" s="16">
        <f t="shared" si="11"/>
        <v>0</v>
      </c>
      <c r="CW16" s="16">
        <f t="shared" si="11"/>
        <v>0</v>
      </c>
      <c r="CX16" s="16">
        <f t="shared" si="11"/>
        <v>0</v>
      </c>
      <c r="CY16" s="16">
        <f t="shared" si="11"/>
        <v>0</v>
      </c>
      <c r="CZ16" s="16">
        <f t="shared" si="11"/>
        <v>0</v>
      </c>
      <c r="DA16" s="16">
        <f t="shared" si="11"/>
        <v>0</v>
      </c>
      <c r="DB16" s="16">
        <f t="shared" si="11"/>
        <v>0</v>
      </c>
      <c r="DC16" s="16">
        <f t="shared" si="11"/>
        <v>0</v>
      </c>
      <c r="DD16" s="16">
        <f t="shared" si="11"/>
        <v>0</v>
      </c>
      <c r="DE16" s="16">
        <f t="shared" si="11"/>
        <v>0</v>
      </c>
      <c r="DF16" s="16">
        <f t="shared" si="11"/>
        <v>0</v>
      </c>
      <c r="DG16" s="16">
        <f t="shared" si="11"/>
        <v>0</v>
      </c>
      <c r="DH16" s="16">
        <f t="shared" si="11"/>
        <v>0</v>
      </c>
      <c r="DI16" s="16">
        <f t="shared" si="11"/>
        <v>0</v>
      </c>
      <c r="DJ16" s="16">
        <f t="shared" si="11"/>
        <v>0</v>
      </c>
      <c r="DK16" s="16">
        <f t="shared" si="11"/>
        <v>0</v>
      </c>
      <c r="DL16" s="16">
        <f t="shared" si="1"/>
        <v>0</v>
      </c>
      <c r="DM16" s="16">
        <f t="shared" si="1"/>
        <v>0</v>
      </c>
      <c r="DN16" s="16">
        <f t="shared" si="1"/>
        <v>0</v>
      </c>
      <c r="DO16" s="16">
        <f t="shared" si="1"/>
        <v>0</v>
      </c>
      <c r="DP16" s="16">
        <f t="shared" si="1"/>
        <v>0</v>
      </c>
      <c r="DQ16" s="16">
        <f t="shared" si="1"/>
        <v>0</v>
      </c>
      <c r="DR16" s="16">
        <f t="shared" si="4"/>
        <v>0</v>
      </c>
      <c r="DS16" s="16">
        <f>IF(Calculations!B143="",0,Calculations!B143)</f>
        <v>0</v>
      </c>
      <c r="DT16" s="16">
        <f>IF(Calculations!C143="",0,Calculations!C143)</f>
        <v>0</v>
      </c>
      <c r="DU16" s="16">
        <f>IF(Calculations!D143="",0,Calculations!D143)</f>
        <v>0</v>
      </c>
      <c r="DV16" s="16">
        <f>IF(Calculations!E143="",0,Calculations!E143)</f>
        <v>0</v>
      </c>
      <c r="DW16" s="16">
        <f>IF(Calculations!F143="",0,Calculations!F143)</f>
        <v>0</v>
      </c>
      <c r="DX16" s="16">
        <f>IF(Calculations!G143="",0,Calculations!G143)</f>
        <v>0</v>
      </c>
      <c r="DY16" s="16">
        <f>IF(Calculations!H143="",0,Calculations!H143)</f>
        <v>0</v>
      </c>
      <c r="DZ16" s="16">
        <f>IF(Calculations!I143="",0,Calculations!I143)</f>
        <v>0</v>
      </c>
      <c r="EA16" s="16">
        <f>IF(Calculations!J143="",0,Calculations!J143)</f>
        <v>0</v>
      </c>
      <c r="EB16" s="16">
        <f>IF(Calculations!K143="",0,Calculations!K143)</f>
        <v>0</v>
      </c>
      <c r="EC16" s="16">
        <f>IF(Calculations!L143="",0,Calculations!L143)</f>
        <v>0</v>
      </c>
      <c r="ED16" s="16">
        <f>IF(Calculations!M143="",0,Calculations!M143)</f>
        <v>0</v>
      </c>
      <c r="EE16" s="16">
        <f t="shared" si="5"/>
        <v>0</v>
      </c>
      <c r="EF16" s="16">
        <f t="shared" ref="EF16:GQ17" si="14">EE16</f>
        <v>0</v>
      </c>
      <c r="EG16" s="16">
        <f t="shared" si="14"/>
        <v>0</v>
      </c>
      <c r="EH16" s="16">
        <f t="shared" si="14"/>
        <v>0</v>
      </c>
      <c r="EI16" s="16">
        <f t="shared" si="14"/>
        <v>0</v>
      </c>
      <c r="EJ16" s="16">
        <f t="shared" si="14"/>
        <v>0</v>
      </c>
      <c r="EK16" s="16">
        <f t="shared" si="14"/>
        <v>0</v>
      </c>
      <c r="EL16" s="16">
        <f t="shared" si="14"/>
        <v>0</v>
      </c>
      <c r="EM16" s="16">
        <f t="shared" si="14"/>
        <v>0</v>
      </c>
      <c r="EN16" s="16">
        <f t="shared" si="14"/>
        <v>0</v>
      </c>
      <c r="EO16" s="16">
        <f t="shared" si="14"/>
        <v>0</v>
      </c>
      <c r="EP16" s="16">
        <f t="shared" si="14"/>
        <v>0</v>
      </c>
      <c r="EQ16" s="16">
        <f t="shared" si="14"/>
        <v>0</v>
      </c>
      <c r="ER16" s="16">
        <f t="shared" si="14"/>
        <v>0</v>
      </c>
      <c r="ES16" s="16">
        <f t="shared" si="14"/>
        <v>0</v>
      </c>
      <c r="ET16" s="16">
        <f t="shared" si="14"/>
        <v>0</v>
      </c>
      <c r="EU16" s="16">
        <f t="shared" si="14"/>
        <v>0</v>
      </c>
      <c r="EV16" s="16">
        <f t="shared" si="14"/>
        <v>0</v>
      </c>
      <c r="EW16" s="16">
        <f t="shared" si="14"/>
        <v>0</v>
      </c>
      <c r="EX16" s="16">
        <f t="shared" si="14"/>
        <v>0</v>
      </c>
      <c r="EY16" s="16">
        <f t="shared" si="14"/>
        <v>0</v>
      </c>
      <c r="EZ16" s="16">
        <f t="shared" si="14"/>
        <v>0</v>
      </c>
      <c r="FA16" s="16">
        <f t="shared" si="14"/>
        <v>0</v>
      </c>
      <c r="FB16" s="16">
        <f t="shared" si="14"/>
        <v>0</v>
      </c>
      <c r="FC16" s="16">
        <f t="shared" si="14"/>
        <v>0</v>
      </c>
      <c r="FD16" s="16">
        <f t="shared" si="14"/>
        <v>0</v>
      </c>
      <c r="FE16" s="16">
        <f t="shared" si="14"/>
        <v>0</v>
      </c>
      <c r="FF16" s="16">
        <f t="shared" si="14"/>
        <v>0</v>
      </c>
      <c r="FG16" s="16">
        <f t="shared" si="14"/>
        <v>0</v>
      </c>
      <c r="FH16" s="16">
        <f t="shared" si="14"/>
        <v>0</v>
      </c>
      <c r="FI16" s="16">
        <f t="shared" si="14"/>
        <v>0</v>
      </c>
      <c r="FJ16" s="16">
        <f t="shared" si="14"/>
        <v>0</v>
      </c>
      <c r="FK16" s="16">
        <f t="shared" si="14"/>
        <v>0</v>
      </c>
      <c r="FL16" s="16">
        <f t="shared" si="14"/>
        <v>0</v>
      </c>
      <c r="FM16" s="16">
        <f t="shared" si="14"/>
        <v>0</v>
      </c>
      <c r="FN16" s="16">
        <f t="shared" si="14"/>
        <v>0</v>
      </c>
      <c r="FO16" s="16">
        <f t="shared" si="14"/>
        <v>0</v>
      </c>
      <c r="FP16" s="16">
        <f t="shared" si="14"/>
        <v>0</v>
      </c>
      <c r="FQ16" s="16">
        <f t="shared" si="14"/>
        <v>0</v>
      </c>
      <c r="FR16" s="16">
        <f t="shared" si="14"/>
        <v>0</v>
      </c>
      <c r="FS16" s="16">
        <f t="shared" si="14"/>
        <v>0</v>
      </c>
      <c r="FT16" s="16">
        <f t="shared" si="14"/>
        <v>0</v>
      </c>
      <c r="FU16" s="16">
        <f t="shared" si="14"/>
        <v>0</v>
      </c>
      <c r="FV16" s="16">
        <f t="shared" si="14"/>
        <v>0</v>
      </c>
      <c r="FW16" s="16">
        <f t="shared" si="14"/>
        <v>0</v>
      </c>
      <c r="FX16" s="16">
        <f t="shared" si="14"/>
        <v>0</v>
      </c>
      <c r="FY16" s="16">
        <f t="shared" si="14"/>
        <v>0</v>
      </c>
      <c r="FZ16" s="16">
        <f t="shared" si="14"/>
        <v>0</v>
      </c>
      <c r="GA16" s="16">
        <f t="shared" si="14"/>
        <v>0</v>
      </c>
      <c r="GB16" s="16">
        <f t="shared" si="14"/>
        <v>0</v>
      </c>
      <c r="GC16" s="16">
        <f t="shared" si="14"/>
        <v>0</v>
      </c>
      <c r="GD16" s="16">
        <f t="shared" si="14"/>
        <v>0</v>
      </c>
      <c r="GE16" s="16">
        <f t="shared" si="14"/>
        <v>0</v>
      </c>
      <c r="GF16" s="16">
        <f t="shared" si="14"/>
        <v>0</v>
      </c>
      <c r="GG16" s="16">
        <f t="shared" si="14"/>
        <v>0</v>
      </c>
      <c r="GH16" s="16">
        <f t="shared" si="14"/>
        <v>0</v>
      </c>
      <c r="GI16" s="16">
        <f t="shared" si="14"/>
        <v>0</v>
      </c>
      <c r="GJ16" s="16">
        <f t="shared" si="14"/>
        <v>0</v>
      </c>
      <c r="GK16" s="16">
        <f t="shared" si="14"/>
        <v>0</v>
      </c>
      <c r="GL16" s="16">
        <f t="shared" si="14"/>
        <v>0</v>
      </c>
      <c r="GM16" s="16">
        <f t="shared" si="14"/>
        <v>0</v>
      </c>
      <c r="GN16" s="16">
        <f t="shared" si="14"/>
        <v>0</v>
      </c>
      <c r="GO16" s="16">
        <f t="shared" si="14"/>
        <v>0</v>
      </c>
      <c r="GP16" s="16">
        <f t="shared" si="14"/>
        <v>0</v>
      </c>
      <c r="GQ16" s="16">
        <f t="shared" si="14"/>
        <v>0</v>
      </c>
      <c r="GR16" s="16">
        <f t="shared" si="13"/>
        <v>0</v>
      </c>
      <c r="GS16" s="16">
        <f t="shared" si="13"/>
        <v>0</v>
      </c>
      <c r="GT16" s="16">
        <f t="shared" si="13"/>
        <v>0</v>
      </c>
      <c r="GU16" s="16">
        <f t="shared" si="13"/>
        <v>0</v>
      </c>
      <c r="GV16" s="16">
        <f t="shared" si="13"/>
        <v>0</v>
      </c>
      <c r="GW16" s="16">
        <f t="shared" si="13"/>
        <v>0</v>
      </c>
      <c r="GX16" s="16">
        <f t="shared" si="13"/>
        <v>0</v>
      </c>
      <c r="GY16" s="16">
        <f t="shared" si="13"/>
        <v>0</v>
      </c>
      <c r="GZ16" s="16">
        <f t="shared" si="13"/>
        <v>0</v>
      </c>
      <c r="HA16" s="16">
        <f t="shared" si="13"/>
        <v>0</v>
      </c>
      <c r="HB16" s="16">
        <f t="shared" si="13"/>
        <v>0</v>
      </c>
      <c r="HC16" s="16">
        <f t="shared" si="13"/>
        <v>0</v>
      </c>
    </row>
    <row r="17" spans="1:211" x14ac:dyDescent="0.25">
      <c r="A17" t="s">
        <v>59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16">
        <f t="shared" si="11"/>
        <v>10214519.921490639</v>
      </c>
      <c r="BT17" s="16">
        <f t="shared" si="11"/>
        <v>10214519.921490639</v>
      </c>
      <c r="BU17" s="16">
        <f t="shared" si="11"/>
        <v>10214519.921490639</v>
      </c>
      <c r="BV17" s="16">
        <f t="shared" si="11"/>
        <v>10214519.921490639</v>
      </c>
      <c r="BW17" s="16">
        <f t="shared" si="11"/>
        <v>10214519.921490639</v>
      </c>
      <c r="BX17" s="16">
        <f t="shared" si="11"/>
        <v>10214519.921490639</v>
      </c>
      <c r="BY17" s="16">
        <f t="shared" si="11"/>
        <v>10214519.921490639</v>
      </c>
      <c r="BZ17" s="16">
        <f t="shared" si="11"/>
        <v>10214519.921490639</v>
      </c>
      <c r="CA17" s="16">
        <f t="shared" si="11"/>
        <v>10214519.921490639</v>
      </c>
      <c r="CB17" s="16">
        <f t="shared" si="11"/>
        <v>10214519.921490639</v>
      </c>
      <c r="CC17" s="16">
        <f t="shared" si="11"/>
        <v>10214519.921490639</v>
      </c>
      <c r="CD17" s="16">
        <f t="shared" si="11"/>
        <v>10214519.921490639</v>
      </c>
      <c r="CE17" s="16">
        <f t="shared" si="11"/>
        <v>10214519.921490639</v>
      </c>
      <c r="CF17" s="16">
        <f t="shared" si="11"/>
        <v>10214519.921490639</v>
      </c>
      <c r="CG17" s="16">
        <f t="shared" si="11"/>
        <v>10214519.921490639</v>
      </c>
      <c r="CH17" s="16">
        <f t="shared" si="11"/>
        <v>10214519.921490639</v>
      </c>
      <c r="CI17" s="16">
        <f t="shared" si="11"/>
        <v>10214519.921490639</v>
      </c>
      <c r="CJ17" s="16">
        <f t="shared" si="11"/>
        <v>10214519.921490639</v>
      </c>
      <c r="CK17" s="16">
        <f t="shared" si="11"/>
        <v>10214519.921490639</v>
      </c>
      <c r="CL17" s="16">
        <f t="shared" si="11"/>
        <v>10214519.921490639</v>
      </c>
      <c r="CM17" s="16">
        <f t="shared" si="11"/>
        <v>10214519.921490639</v>
      </c>
      <c r="CN17" s="16">
        <f t="shared" si="11"/>
        <v>10214519.921490639</v>
      </c>
      <c r="CO17" s="16">
        <f t="shared" si="11"/>
        <v>10214519.921490639</v>
      </c>
      <c r="CP17" s="16">
        <f t="shared" si="11"/>
        <v>10214519.921490639</v>
      </c>
      <c r="CQ17" s="16">
        <f t="shared" si="11"/>
        <v>10214519.921490639</v>
      </c>
      <c r="CR17" s="16">
        <f t="shared" si="11"/>
        <v>10214519.921490639</v>
      </c>
      <c r="CS17" s="16">
        <f t="shared" si="11"/>
        <v>10214519.921490639</v>
      </c>
      <c r="CT17" s="16">
        <f t="shared" si="11"/>
        <v>10214519.921490639</v>
      </c>
      <c r="CU17" s="16">
        <f t="shared" si="11"/>
        <v>10214519.921490639</v>
      </c>
      <c r="CV17" s="16">
        <f t="shared" si="11"/>
        <v>10214519.921490639</v>
      </c>
      <c r="CW17" s="16">
        <f t="shared" si="11"/>
        <v>10214519.921490639</v>
      </c>
      <c r="CX17" s="16">
        <f t="shared" si="11"/>
        <v>10214519.921490639</v>
      </c>
      <c r="CY17" s="16">
        <f t="shared" si="11"/>
        <v>10214519.921490639</v>
      </c>
      <c r="CZ17" s="16">
        <f t="shared" si="11"/>
        <v>10214519.921490639</v>
      </c>
      <c r="DA17" s="16">
        <f t="shared" si="11"/>
        <v>10214519.921490639</v>
      </c>
      <c r="DB17" s="16">
        <f t="shared" si="11"/>
        <v>10214519.921490639</v>
      </c>
      <c r="DC17" s="16">
        <f t="shared" si="11"/>
        <v>10214519.921490639</v>
      </c>
      <c r="DD17" s="16">
        <f t="shared" si="11"/>
        <v>10214519.921490639</v>
      </c>
      <c r="DE17" s="16">
        <f t="shared" si="11"/>
        <v>10214519.921490639</v>
      </c>
      <c r="DF17" s="16">
        <f t="shared" si="11"/>
        <v>10214519.921490639</v>
      </c>
      <c r="DG17" s="16">
        <f t="shared" si="11"/>
        <v>10214519.921490639</v>
      </c>
      <c r="DH17" s="16">
        <f t="shared" si="11"/>
        <v>10214519.921490639</v>
      </c>
      <c r="DI17" s="16">
        <f t="shared" si="11"/>
        <v>10214519.921490639</v>
      </c>
      <c r="DJ17" s="16">
        <f t="shared" si="11"/>
        <v>10214519.921490639</v>
      </c>
      <c r="DK17" s="16">
        <f t="shared" si="11"/>
        <v>10214519.921490639</v>
      </c>
      <c r="DL17" s="16">
        <f t="shared" si="1"/>
        <v>10214519.921490639</v>
      </c>
      <c r="DM17" s="16">
        <f t="shared" si="1"/>
        <v>10214519.921490639</v>
      </c>
      <c r="DN17" s="16">
        <f t="shared" si="1"/>
        <v>10214519.921490639</v>
      </c>
      <c r="DO17" s="16">
        <f t="shared" si="1"/>
        <v>10214519.921490639</v>
      </c>
      <c r="DP17" s="16">
        <f t="shared" si="1"/>
        <v>10214519.921490639</v>
      </c>
      <c r="DQ17" s="16">
        <f t="shared" si="1"/>
        <v>10214519.921490639</v>
      </c>
      <c r="DR17" s="16">
        <f t="shared" si="4"/>
        <v>10214519.921490639</v>
      </c>
      <c r="DS17" s="16">
        <f>IF(Calculations!B144="",0,Calculations!B144)</f>
        <v>10214519.921490639</v>
      </c>
      <c r="DT17" s="16">
        <f>IF(Calculations!C144="",0,Calculations!C144)</f>
        <v>10008664.562687457</v>
      </c>
      <c r="DU17" s="16">
        <f>IF(Calculations!D144="",0,Calculations!D144)</f>
        <v>9776584.0524146464</v>
      </c>
      <c r="DV17" s="16">
        <f>IF(Calculations!E144="",0,Calculations!E144)</f>
        <v>9503797.1827094797</v>
      </c>
      <c r="DW17" s="16">
        <f>IF(Calculations!F144="",0,Calculations!F144)</f>
        <v>10722746.339805949</v>
      </c>
      <c r="DX17" s="16">
        <f>IF(Calculations!G144="",0,Calculations!G144)</f>
        <v>10935365.309240805</v>
      </c>
      <c r="DY17" s="16">
        <f>IF(Calculations!H144="",0,Calculations!H144)</f>
        <v>11185613.928859392</v>
      </c>
      <c r="DZ17" s="16">
        <f>IF(Calculations!I144="",0,Calculations!I144)</f>
        <v>10787017.332232079</v>
      </c>
      <c r="EA17" s="16">
        <f>IF(Calculations!J144="",0,Calculations!J144)</f>
        <v>13237956.288269179</v>
      </c>
      <c r="EB17" s="16">
        <f>IF(Calculations!K144="",0,Calculations!K144)</f>
        <v>13375798.901022865</v>
      </c>
      <c r="EC17" s="16">
        <f>IF(Calculations!L144="",0,Calculations!L144)</f>
        <v>14460190.270529233</v>
      </c>
      <c r="ED17" s="16">
        <f>IF(Calculations!M144="",0,Calculations!M144)</f>
        <v>13194653.801376591</v>
      </c>
      <c r="EE17" s="16">
        <f t="shared" si="5"/>
        <v>13194653.801376591</v>
      </c>
      <c r="EF17" s="16">
        <f t="shared" si="14"/>
        <v>13194653.801376591</v>
      </c>
      <c r="EG17" s="16">
        <f t="shared" si="14"/>
        <v>13194653.801376591</v>
      </c>
      <c r="EH17" s="16">
        <f t="shared" si="14"/>
        <v>13194653.801376591</v>
      </c>
      <c r="EI17" s="16">
        <f t="shared" si="14"/>
        <v>13194653.801376591</v>
      </c>
      <c r="EJ17" s="16">
        <f t="shared" si="14"/>
        <v>13194653.801376591</v>
      </c>
      <c r="EK17" s="16">
        <f t="shared" si="14"/>
        <v>13194653.801376591</v>
      </c>
      <c r="EL17" s="16">
        <f t="shared" si="14"/>
        <v>13194653.801376591</v>
      </c>
      <c r="EM17" s="16">
        <f t="shared" si="14"/>
        <v>13194653.801376591</v>
      </c>
      <c r="EN17" s="16">
        <f t="shared" si="14"/>
        <v>13194653.801376591</v>
      </c>
      <c r="EO17" s="16">
        <f t="shared" si="14"/>
        <v>13194653.801376591</v>
      </c>
      <c r="EP17" s="16">
        <f t="shared" si="14"/>
        <v>13194653.801376591</v>
      </c>
      <c r="EQ17" s="16">
        <f t="shared" si="14"/>
        <v>13194653.801376591</v>
      </c>
      <c r="ER17" s="16">
        <f t="shared" si="14"/>
        <v>13194653.801376591</v>
      </c>
      <c r="ES17" s="16">
        <f t="shared" si="14"/>
        <v>13194653.801376591</v>
      </c>
      <c r="ET17" s="16">
        <f t="shared" si="14"/>
        <v>13194653.801376591</v>
      </c>
      <c r="EU17" s="16">
        <f t="shared" si="14"/>
        <v>13194653.801376591</v>
      </c>
      <c r="EV17" s="16">
        <f t="shared" si="14"/>
        <v>13194653.801376591</v>
      </c>
      <c r="EW17" s="16">
        <f t="shared" si="14"/>
        <v>13194653.801376591</v>
      </c>
      <c r="EX17" s="16">
        <f t="shared" si="14"/>
        <v>13194653.801376591</v>
      </c>
      <c r="EY17" s="16">
        <f t="shared" si="14"/>
        <v>13194653.801376591</v>
      </c>
      <c r="EZ17" s="16">
        <f t="shared" si="14"/>
        <v>13194653.801376591</v>
      </c>
      <c r="FA17" s="16">
        <f t="shared" si="14"/>
        <v>13194653.801376591</v>
      </c>
      <c r="FB17" s="16">
        <f t="shared" si="14"/>
        <v>13194653.801376591</v>
      </c>
      <c r="FC17" s="16">
        <f t="shared" si="14"/>
        <v>13194653.801376591</v>
      </c>
      <c r="FD17" s="16">
        <f t="shared" si="14"/>
        <v>13194653.801376591</v>
      </c>
      <c r="FE17" s="16">
        <f t="shared" si="14"/>
        <v>13194653.801376591</v>
      </c>
      <c r="FF17" s="16">
        <f t="shared" si="14"/>
        <v>13194653.801376591</v>
      </c>
      <c r="FG17" s="16">
        <f t="shared" si="14"/>
        <v>13194653.801376591</v>
      </c>
      <c r="FH17" s="16">
        <f t="shared" si="14"/>
        <v>13194653.801376591</v>
      </c>
      <c r="FI17" s="16">
        <f t="shared" si="14"/>
        <v>13194653.801376591</v>
      </c>
      <c r="FJ17" s="16">
        <f t="shared" si="14"/>
        <v>13194653.801376591</v>
      </c>
      <c r="FK17" s="16">
        <f t="shared" si="14"/>
        <v>13194653.801376591</v>
      </c>
      <c r="FL17" s="16">
        <f t="shared" si="14"/>
        <v>13194653.801376591</v>
      </c>
      <c r="FM17" s="16">
        <f t="shared" si="14"/>
        <v>13194653.801376591</v>
      </c>
      <c r="FN17" s="16">
        <f t="shared" si="14"/>
        <v>13194653.801376591</v>
      </c>
      <c r="FO17" s="16">
        <f t="shared" si="14"/>
        <v>13194653.801376591</v>
      </c>
      <c r="FP17" s="16">
        <f t="shared" si="14"/>
        <v>13194653.801376591</v>
      </c>
      <c r="FQ17" s="16">
        <f t="shared" si="14"/>
        <v>13194653.801376591</v>
      </c>
      <c r="FR17" s="16">
        <f t="shared" si="14"/>
        <v>13194653.801376591</v>
      </c>
      <c r="FS17" s="16">
        <f t="shared" si="14"/>
        <v>13194653.801376591</v>
      </c>
      <c r="FT17" s="16">
        <f t="shared" si="14"/>
        <v>13194653.801376591</v>
      </c>
      <c r="FU17" s="16">
        <f t="shared" si="14"/>
        <v>13194653.801376591</v>
      </c>
      <c r="FV17" s="16">
        <f t="shared" si="14"/>
        <v>13194653.801376591</v>
      </c>
      <c r="FW17" s="16">
        <f t="shared" si="14"/>
        <v>13194653.801376591</v>
      </c>
      <c r="FX17" s="16">
        <f t="shared" si="14"/>
        <v>13194653.801376591</v>
      </c>
      <c r="FY17" s="16">
        <f t="shared" si="14"/>
        <v>13194653.801376591</v>
      </c>
      <c r="FZ17" s="16">
        <f t="shared" si="14"/>
        <v>13194653.801376591</v>
      </c>
      <c r="GA17" s="16">
        <f t="shared" si="14"/>
        <v>13194653.801376591</v>
      </c>
      <c r="GB17" s="16">
        <f t="shared" si="14"/>
        <v>13194653.801376591</v>
      </c>
      <c r="GC17" s="16">
        <f t="shared" si="14"/>
        <v>13194653.801376591</v>
      </c>
      <c r="GD17" s="16">
        <f t="shared" si="14"/>
        <v>13194653.801376591</v>
      </c>
      <c r="GE17" s="16">
        <f t="shared" si="14"/>
        <v>13194653.801376591</v>
      </c>
      <c r="GF17" s="16">
        <f t="shared" si="14"/>
        <v>13194653.801376591</v>
      </c>
      <c r="GG17" s="16">
        <f t="shared" si="14"/>
        <v>13194653.801376591</v>
      </c>
      <c r="GH17" s="16">
        <f t="shared" si="14"/>
        <v>13194653.801376591</v>
      </c>
      <c r="GI17" s="16">
        <f t="shared" si="14"/>
        <v>13194653.801376591</v>
      </c>
      <c r="GJ17" s="16">
        <f t="shared" si="14"/>
        <v>13194653.801376591</v>
      </c>
      <c r="GK17" s="16">
        <f t="shared" si="14"/>
        <v>13194653.801376591</v>
      </c>
      <c r="GL17" s="16">
        <f t="shared" si="14"/>
        <v>13194653.801376591</v>
      </c>
      <c r="GM17" s="16">
        <f t="shared" si="14"/>
        <v>13194653.801376591</v>
      </c>
      <c r="GN17" s="16">
        <f t="shared" si="14"/>
        <v>13194653.801376591</v>
      </c>
      <c r="GO17" s="16">
        <f t="shared" si="14"/>
        <v>13194653.801376591</v>
      </c>
      <c r="GP17" s="16">
        <f t="shared" si="14"/>
        <v>13194653.801376591</v>
      </c>
      <c r="GQ17" s="16">
        <f t="shared" si="14"/>
        <v>13194653.801376591</v>
      </c>
      <c r="GR17" s="16">
        <f t="shared" si="13"/>
        <v>13194653.801376591</v>
      </c>
      <c r="GS17" s="16">
        <f t="shared" si="13"/>
        <v>13194653.801376591</v>
      </c>
      <c r="GT17" s="16">
        <f t="shared" si="13"/>
        <v>13194653.801376591</v>
      </c>
      <c r="GU17" s="16">
        <f t="shared" si="13"/>
        <v>13194653.801376591</v>
      </c>
      <c r="GV17" s="16">
        <f t="shared" si="13"/>
        <v>13194653.801376591</v>
      </c>
      <c r="GW17" s="16">
        <f t="shared" si="13"/>
        <v>13194653.801376591</v>
      </c>
      <c r="GX17" s="16">
        <f t="shared" si="13"/>
        <v>13194653.801376591</v>
      </c>
      <c r="GY17" s="16">
        <f t="shared" si="13"/>
        <v>13194653.801376591</v>
      </c>
      <c r="GZ17" s="16">
        <f t="shared" si="13"/>
        <v>13194653.801376591</v>
      </c>
      <c r="HA17" s="16">
        <f t="shared" si="13"/>
        <v>13194653.801376591</v>
      </c>
      <c r="HB17" s="16">
        <f t="shared" si="13"/>
        <v>13194653.801376591</v>
      </c>
      <c r="HC17" s="16">
        <f t="shared" si="13"/>
        <v>13194653.801376591</v>
      </c>
    </row>
    <row r="18" spans="1:211" x14ac:dyDescent="0.25">
      <c r="A18" t="s">
        <v>61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16">
        <f t="shared" si="11"/>
        <v>0</v>
      </c>
      <c r="BT18" s="16">
        <f t="shared" si="11"/>
        <v>0</v>
      </c>
      <c r="BU18" s="16">
        <f t="shared" si="11"/>
        <v>0</v>
      </c>
      <c r="BV18" s="16">
        <f t="shared" si="11"/>
        <v>0</v>
      </c>
      <c r="BW18" s="16">
        <f t="shared" si="11"/>
        <v>0</v>
      </c>
      <c r="BX18" s="16">
        <f t="shared" si="11"/>
        <v>0</v>
      </c>
      <c r="BY18" s="16">
        <f t="shared" si="11"/>
        <v>0</v>
      </c>
      <c r="BZ18" s="16">
        <f t="shared" si="11"/>
        <v>0</v>
      </c>
      <c r="CA18" s="16">
        <f t="shared" si="11"/>
        <v>0</v>
      </c>
      <c r="CB18" s="16">
        <f t="shared" si="11"/>
        <v>0</v>
      </c>
      <c r="CC18" s="16">
        <f t="shared" si="11"/>
        <v>0</v>
      </c>
      <c r="CD18" s="16">
        <f t="shared" si="11"/>
        <v>0</v>
      </c>
      <c r="CE18" s="16">
        <f t="shared" si="11"/>
        <v>0</v>
      </c>
      <c r="CF18" s="16">
        <f t="shared" si="11"/>
        <v>0</v>
      </c>
      <c r="CG18" s="16">
        <f t="shared" si="11"/>
        <v>0</v>
      </c>
      <c r="CH18" s="16">
        <f t="shared" si="11"/>
        <v>0</v>
      </c>
      <c r="CI18" s="16">
        <f t="shared" si="11"/>
        <v>0</v>
      </c>
      <c r="CJ18" s="16">
        <f t="shared" si="11"/>
        <v>0</v>
      </c>
      <c r="CK18" s="16">
        <f t="shared" si="11"/>
        <v>0</v>
      </c>
      <c r="CL18" s="16">
        <f t="shared" si="11"/>
        <v>0</v>
      </c>
      <c r="CM18" s="16">
        <f t="shared" si="11"/>
        <v>0</v>
      </c>
      <c r="CN18" s="16">
        <f t="shared" si="11"/>
        <v>0</v>
      </c>
      <c r="CO18" s="16">
        <f t="shared" si="11"/>
        <v>0</v>
      </c>
      <c r="CP18" s="16">
        <f t="shared" si="11"/>
        <v>0</v>
      </c>
      <c r="CQ18" s="16">
        <f t="shared" si="11"/>
        <v>0</v>
      </c>
      <c r="CR18" s="16">
        <f t="shared" si="11"/>
        <v>0</v>
      </c>
      <c r="CS18" s="16">
        <f t="shared" si="11"/>
        <v>0</v>
      </c>
      <c r="CT18" s="16">
        <f t="shared" si="11"/>
        <v>0</v>
      </c>
      <c r="CU18" s="16">
        <f t="shared" si="11"/>
        <v>0</v>
      </c>
      <c r="CV18" s="16">
        <f t="shared" si="11"/>
        <v>0</v>
      </c>
      <c r="CW18" s="16">
        <f t="shared" si="11"/>
        <v>0</v>
      </c>
      <c r="CX18" s="16">
        <f t="shared" si="11"/>
        <v>0</v>
      </c>
      <c r="CY18" s="16">
        <f t="shared" si="11"/>
        <v>0</v>
      </c>
      <c r="CZ18" s="16">
        <f t="shared" si="11"/>
        <v>0</v>
      </c>
      <c r="DA18" s="16">
        <f t="shared" si="11"/>
        <v>0</v>
      </c>
      <c r="DB18" s="16">
        <f t="shared" si="11"/>
        <v>0</v>
      </c>
      <c r="DC18" s="16">
        <f t="shared" si="11"/>
        <v>0</v>
      </c>
      <c r="DD18" s="16">
        <f t="shared" si="11"/>
        <v>0</v>
      </c>
      <c r="DE18" s="16">
        <f t="shared" si="11"/>
        <v>0</v>
      </c>
      <c r="DF18" s="16">
        <f t="shared" si="11"/>
        <v>0</v>
      </c>
      <c r="DG18" s="16">
        <f t="shared" si="11"/>
        <v>0</v>
      </c>
      <c r="DH18" s="16">
        <f t="shared" si="11"/>
        <v>0</v>
      </c>
      <c r="DI18" s="16">
        <f t="shared" si="11"/>
        <v>0</v>
      </c>
      <c r="DJ18" s="16">
        <f t="shared" si="11"/>
        <v>0</v>
      </c>
      <c r="DK18" s="16">
        <f t="shared" si="11"/>
        <v>0</v>
      </c>
      <c r="DL18" s="16">
        <f t="shared" ref="DL18:DQ25" si="15">$DS18</f>
        <v>0</v>
      </c>
      <c r="DM18" s="16">
        <f t="shared" si="15"/>
        <v>0</v>
      </c>
      <c r="DN18" s="16">
        <f t="shared" si="15"/>
        <v>0</v>
      </c>
      <c r="DO18" s="16">
        <f t="shared" si="15"/>
        <v>0</v>
      </c>
      <c r="DP18" s="16">
        <f t="shared" si="15"/>
        <v>0</v>
      </c>
      <c r="DQ18" s="16">
        <f t="shared" si="15"/>
        <v>0</v>
      </c>
      <c r="DR18" s="16">
        <f t="shared" si="4"/>
        <v>0</v>
      </c>
      <c r="DS18" s="16">
        <f>IF(Calculations!B145="",0,Calculations!B145)</f>
        <v>0</v>
      </c>
      <c r="DT18" s="16">
        <f>IF(Calculations!C145="",0,Calculations!C145)</f>
        <v>0</v>
      </c>
      <c r="DU18" s="16">
        <f>IF(Calculations!D145="",0,Calculations!D145)</f>
        <v>0</v>
      </c>
      <c r="DV18" s="16">
        <f>IF(Calculations!E145="",0,Calculations!E145)</f>
        <v>0</v>
      </c>
      <c r="DW18" s="16">
        <f>IF(Calculations!F145="",0,Calculations!F145)</f>
        <v>0</v>
      </c>
      <c r="DX18" s="16">
        <f>IF(Calculations!G145="",0,Calculations!G145)</f>
        <v>0</v>
      </c>
      <c r="DY18" s="16">
        <f>IF(Calculations!H145="",0,Calculations!H145)</f>
        <v>0</v>
      </c>
      <c r="DZ18" s="16">
        <f>IF(Calculations!I145="",0,Calculations!I145)</f>
        <v>0</v>
      </c>
      <c r="EA18" s="16">
        <f>IF(Calculations!J145="",0,Calculations!J145)</f>
        <v>0</v>
      </c>
      <c r="EB18" s="17">
        <f>INDEX('[1]Heat Rates_post2020'!$C$2:$CD$25,MATCH($A18,'[1]Heat Rates_post2020'!$B$2:$B$25,0),MATCH(EB$1,'[1]Heat Rates_post2020'!$C$1:$CD$1,0))</f>
        <v>18734116.290621493</v>
      </c>
      <c r="EC18" s="8">
        <f>INDEX('[1]Heat Rates_post2020'!$C$2:$CD$25,MATCH($A18,'[1]Heat Rates_post2020'!$B$2:$B$25,0),MATCH(EC$1,'[1]Heat Rates_post2020'!$C$1:$CD$1,0))</f>
        <v>18734116.290621493</v>
      </c>
      <c r="ED18" s="8">
        <f>INDEX('[1]Heat Rates_post2020'!$C$2:$CD$25,MATCH($A18,'[1]Heat Rates_post2020'!$B$2:$B$25,0),MATCH(ED$1,'[1]Heat Rates_post2020'!$C$1:$CD$1,0))</f>
        <v>18734116.290621493</v>
      </c>
      <c r="EE18" s="8">
        <f>INDEX('[1]Heat Rates_post2020'!$C$2:$CD$25,MATCH($A18,'[1]Heat Rates_post2020'!$B$2:$B$25,0),MATCH(EE$1,'[1]Heat Rates_post2020'!$C$1:$CD$1,0))</f>
        <v>18734116.290621493</v>
      </c>
      <c r="EF18" s="8">
        <f>INDEX('[1]Heat Rates_post2020'!$C$2:$CD$25,MATCH($A18,'[1]Heat Rates_post2020'!$B$2:$B$25,0),MATCH(EF$1,'[1]Heat Rates_post2020'!$C$1:$CD$1,0))</f>
        <v>18734116.290621493</v>
      </c>
      <c r="EG18" s="8">
        <f>INDEX('[1]Heat Rates_post2020'!$C$2:$CD$25,MATCH($A18,'[1]Heat Rates_post2020'!$B$2:$B$25,0),MATCH(EG$1,'[1]Heat Rates_post2020'!$C$1:$CD$1,0))</f>
        <v>18734116.290621493</v>
      </c>
      <c r="EH18" s="8">
        <f>INDEX('[1]Heat Rates_post2020'!$C$2:$CD$25,MATCH($A18,'[1]Heat Rates_post2020'!$B$2:$B$25,0),MATCH(EH$1,'[1]Heat Rates_post2020'!$C$1:$CD$1,0))</f>
        <v>18734116.290621493</v>
      </c>
      <c r="EI18" s="8">
        <f>INDEX('[1]Heat Rates_post2020'!$C$2:$CD$25,MATCH($A18,'[1]Heat Rates_post2020'!$B$2:$B$25,0),MATCH(EI$1,'[1]Heat Rates_post2020'!$C$1:$CD$1,0))</f>
        <v>18734116.290621493</v>
      </c>
      <c r="EJ18" s="8">
        <f>INDEX('[1]Heat Rates_post2020'!$C$2:$CD$25,MATCH($A18,'[1]Heat Rates_post2020'!$B$2:$B$25,0),MATCH(EJ$1,'[1]Heat Rates_post2020'!$C$1:$CD$1,0))</f>
        <v>18734116.290621493</v>
      </c>
      <c r="EK18" s="8">
        <f>INDEX('[1]Heat Rates_post2020'!$C$2:$CD$25,MATCH($A18,'[1]Heat Rates_post2020'!$B$2:$B$25,0),MATCH(EK$1,'[1]Heat Rates_post2020'!$C$1:$CD$1,0))</f>
        <v>18734116.290621493</v>
      </c>
      <c r="EL18" s="8">
        <f>INDEX('[1]Heat Rates_post2020'!$C$2:$CD$25,MATCH($A18,'[1]Heat Rates_post2020'!$B$2:$B$25,0),MATCH(EL$1,'[1]Heat Rates_post2020'!$C$1:$CD$1,0))</f>
        <v>18734116.290621493</v>
      </c>
      <c r="EM18" s="8">
        <f>INDEX('[1]Heat Rates_post2020'!$C$2:$CD$25,MATCH($A18,'[1]Heat Rates_post2020'!$B$2:$B$25,0),MATCH(EM$1,'[1]Heat Rates_post2020'!$C$1:$CD$1,0))</f>
        <v>18734116.290621493</v>
      </c>
      <c r="EN18" s="8">
        <f>INDEX('[1]Heat Rates_post2020'!$C$2:$CD$25,MATCH($A18,'[1]Heat Rates_post2020'!$B$2:$B$25,0),MATCH(EN$1,'[1]Heat Rates_post2020'!$C$1:$CD$1,0))</f>
        <v>18734116.290621493</v>
      </c>
      <c r="EO18" s="8">
        <f>INDEX('[1]Heat Rates_post2020'!$C$2:$CD$25,MATCH($A18,'[1]Heat Rates_post2020'!$B$2:$B$25,0),MATCH(EO$1,'[1]Heat Rates_post2020'!$C$1:$CD$1,0))</f>
        <v>18734116.290621493</v>
      </c>
      <c r="EP18" s="8">
        <f>INDEX('[1]Heat Rates_post2020'!$C$2:$CD$25,MATCH($A18,'[1]Heat Rates_post2020'!$B$2:$B$25,0),MATCH(EP$1,'[1]Heat Rates_post2020'!$C$1:$CD$1,0))</f>
        <v>18734116.290621493</v>
      </c>
      <c r="EQ18" s="8">
        <f>INDEX('[1]Heat Rates_post2020'!$C$2:$CD$25,MATCH($A18,'[1]Heat Rates_post2020'!$B$2:$B$25,0),MATCH(EQ$1,'[1]Heat Rates_post2020'!$C$1:$CD$1,0))</f>
        <v>18734116.290621493</v>
      </c>
      <c r="ER18" s="8">
        <f>INDEX('[1]Heat Rates_post2020'!$C$2:$CD$25,MATCH($A18,'[1]Heat Rates_post2020'!$B$2:$B$25,0),MATCH(ER$1,'[1]Heat Rates_post2020'!$C$1:$CD$1,0))</f>
        <v>18734116.290621493</v>
      </c>
      <c r="ES18" s="8">
        <f>INDEX('[1]Heat Rates_post2020'!$C$2:$CD$25,MATCH($A18,'[1]Heat Rates_post2020'!$B$2:$B$25,0),MATCH(ES$1,'[1]Heat Rates_post2020'!$C$1:$CD$1,0))</f>
        <v>18734116.290621493</v>
      </c>
      <c r="ET18" s="8">
        <f>INDEX('[1]Heat Rates_post2020'!$C$2:$CD$25,MATCH($A18,'[1]Heat Rates_post2020'!$B$2:$B$25,0),MATCH(ET$1,'[1]Heat Rates_post2020'!$C$1:$CD$1,0))</f>
        <v>18734116.290621493</v>
      </c>
      <c r="EU18" s="8">
        <f>INDEX('[1]Heat Rates_post2020'!$C$2:$CD$25,MATCH($A18,'[1]Heat Rates_post2020'!$B$2:$B$25,0),MATCH(EU$1,'[1]Heat Rates_post2020'!$C$1:$CD$1,0))</f>
        <v>18734116.290621493</v>
      </c>
      <c r="EV18" s="8">
        <f>INDEX('[1]Heat Rates_post2020'!$C$2:$CD$25,MATCH($A18,'[1]Heat Rates_post2020'!$B$2:$B$25,0),MATCH(EV$1,'[1]Heat Rates_post2020'!$C$1:$CD$1,0))</f>
        <v>18734116.290621493</v>
      </c>
      <c r="EW18" s="8">
        <f>INDEX('[1]Heat Rates_post2020'!$C$2:$CD$25,MATCH($A18,'[1]Heat Rates_post2020'!$B$2:$B$25,0),MATCH(EW$1,'[1]Heat Rates_post2020'!$C$1:$CD$1,0))</f>
        <v>18734116.290621493</v>
      </c>
      <c r="EX18" s="8">
        <f>INDEX('[1]Heat Rates_post2020'!$C$2:$CD$25,MATCH($A18,'[1]Heat Rates_post2020'!$B$2:$B$25,0),MATCH(EX$1,'[1]Heat Rates_post2020'!$C$1:$CD$1,0))</f>
        <v>18734116.290621493</v>
      </c>
      <c r="EY18" s="8">
        <f>INDEX('[1]Heat Rates_post2020'!$C$2:$CD$25,MATCH($A18,'[1]Heat Rates_post2020'!$B$2:$B$25,0),MATCH(EY$1,'[1]Heat Rates_post2020'!$C$1:$CD$1,0))</f>
        <v>18734116.290621493</v>
      </c>
      <c r="EZ18" s="8">
        <f>INDEX('[1]Heat Rates_post2020'!$C$2:$CD$25,MATCH($A18,'[1]Heat Rates_post2020'!$B$2:$B$25,0),MATCH(EZ$1,'[1]Heat Rates_post2020'!$C$1:$CD$1,0))</f>
        <v>18734116.290621493</v>
      </c>
      <c r="FA18" s="8">
        <f>INDEX('[1]Heat Rates_post2020'!$C$2:$CD$25,MATCH($A18,'[1]Heat Rates_post2020'!$B$2:$B$25,0),MATCH(FA$1,'[1]Heat Rates_post2020'!$C$1:$CD$1,0))</f>
        <v>18734116.290621493</v>
      </c>
      <c r="FB18" s="8">
        <f>INDEX('[1]Heat Rates_post2020'!$C$2:$CD$25,MATCH($A18,'[1]Heat Rates_post2020'!$B$2:$B$25,0),MATCH(FB$1,'[1]Heat Rates_post2020'!$C$1:$CD$1,0))</f>
        <v>18734116.290621493</v>
      </c>
      <c r="FC18" s="8">
        <f>INDEX('[1]Heat Rates_post2020'!$C$2:$CD$25,MATCH($A18,'[1]Heat Rates_post2020'!$B$2:$B$25,0),MATCH(FC$1,'[1]Heat Rates_post2020'!$C$1:$CD$1,0))</f>
        <v>18734116.290621493</v>
      </c>
      <c r="FD18" s="8">
        <f>INDEX('[1]Heat Rates_post2020'!$C$2:$CD$25,MATCH($A18,'[1]Heat Rates_post2020'!$B$2:$B$25,0),MATCH(FD$1,'[1]Heat Rates_post2020'!$C$1:$CD$1,0))</f>
        <v>18734116.290621493</v>
      </c>
      <c r="FE18" s="8">
        <f>INDEX('[1]Heat Rates_post2020'!$C$2:$CD$25,MATCH($A18,'[1]Heat Rates_post2020'!$B$2:$B$25,0),MATCH(FE$1,'[1]Heat Rates_post2020'!$C$1:$CD$1,0))</f>
        <v>18734116.290621493</v>
      </c>
      <c r="FF18" s="8">
        <f>INDEX('[1]Heat Rates_post2020'!$C$2:$CD$25,MATCH($A18,'[1]Heat Rates_post2020'!$B$2:$B$25,0),MATCH(FF$1,'[1]Heat Rates_post2020'!$C$1:$CD$1,0))</f>
        <v>18734116.290621493</v>
      </c>
      <c r="FG18" s="8">
        <f>INDEX('[1]Heat Rates_post2020'!$C$2:$CD$25,MATCH($A18,'[1]Heat Rates_post2020'!$B$2:$B$25,0),MATCH(FG$1,'[1]Heat Rates_post2020'!$C$1:$CD$1,0))</f>
        <v>18734116.290621493</v>
      </c>
      <c r="FH18" s="8">
        <f>INDEX('[1]Heat Rates_post2020'!$C$2:$CD$25,MATCH($A18,'[1]Heat Rates_post2020'!$B$2:$B$25,0),MATCH(FH$1,'[1]Heat Rates_post2020'!$C$1:$CD$1,0))</f>
        <v>18734116.290621493</v>
      </c>
      <c r="FI18" s="8">
        <f>INDEX('[1]Heat Rates_post2020'!$C$2:$CD$25,MATCH($A18,'[1]Heat Rates_post2020'!$B$2:$B$25,0),MATCH(FI$1,'[1]Heat Rates_post2020'!$C$1:$CD$1,0))</f>
        <v>18734116.290621493</v>
      </c>
      <c r="FJ18" s="8">
        <f>INDEX('[1]Heat Rates_post2020'!$C$2:$CD$25,MATCH($A18,'[1]Heat Rates_post2020'!$B$2:$B$25,0),MATCH(FJ$1,'[1]Heat Rates_post2020'!$C$1:$CD$1,0))</f>
        <v>18734116.290621493</v>
      </c>
      <c r="FK18" s="8">
        <f>INDEX('[1]Heat Rates_post2020'!$C$2:$CD$25,MATCH($A18,'[1]Heat Rates_post2020'!$B$2:$B$25,0),MATCH(FK$1,'[1]Heat Rates_post2020'!$C$1:$CD$1,0))</f>
        <v>18734116.290621493</v>
      </c>
      <c r="FL18" s="8">
        <f>INDEX('[1]Heat Rates_post2020'!$C$2:$CD$25,MATCH($A18,'[1]Heat Rates_post2020'!$B$2:$B$25,0),MATCH(FL$1,'[1]Heat Rates_post2020'!$C$1:$CD$1,0))</f>
        <v>18734116.290621493</v>
      </c>
      <c r="FM18" s="8">
        <f>INDEX('[1]Heat Rates_post2020'!$C$2:$CD$25,MATCH($A18,'[1]Heat Rates_post2020'!$B$2:$B$25,0),MATCH(FM$1,'[1]Heat Rates_post2020'!$C$1:$CD$1,0))</f>
        <v>18734116.290621493</v>
      </c>
      <c r="FN18" s="8">
        <f>INDEX('[1]Heat Rates_post2020'!$C$2:$CD$25,MATCH($A18,'[1]Heat Rates_post2020'!$B$2:$B$25,0),MATCH(FN$1,'[1]Heat Rates_post2020'!$C$1:$CD$1,0))</f>
        <v>18734116.290621493</v>
      </c>
      <c r="FO18" s="8">
        <f>INDEX('[1]Heat Rates_post2020'!$C$2:$CD$25,MATCH($A18,'[1]Heat Rates_post2020'!$B$2:$B$25,0),MATCH(FO$1,'[1]Heat Rates_post2020'!$C$1:$CD$1,0))</f>
        <v>18734116.290621493</v>
      </c>
      <c r="FP18" s="8">
        <f>INDEX('[1]Heat Rates_post2020'!$C$2:$CD$25,MATCH($A18,'[1]Heat Rates_post2020'!$B$2:$B$25,0),MATCH(FP$1,'[1]Heat Rates_post2020'!$C$1:$CD$1,0))</f>
        <v>18734116.290621493</v>
      </c>
      <c r="FQ18" s="8">
        <f>INDEX('[1]Heat Rates_post2020'!$C$2:$CD$25,MATCH($A18,'[1]Heat Rates_post2020'!$B$2:$B$25,0),MATCH(FQ$1,'[1]Heat Rates_post2020'!$C$1:$CD$1,0))</f>
        <v>18734116.290621493</v>
      </c>
      <c r="FR18" s="8">
        <f>INDEX('[1]Heat Rates_post2020'!$C$2:$CD$25,MATCH($A18,'[1]Heat Rates_post2020'!$B$2:$B$25,0),MATCH(FR$1,'[1]Heat Rates_post2020'!$C$1:$CD$1,0))</f>
        <v>18734116.290621493</v>
      </c>
      <c r="FS18" s="8">
        <f>INDEX('[1]Heat Rates_post2020'!$C$2:$CD$25,MATCH($A18,'[1]Heat Rates_post2020'!$B$2:$B$25,0),MATCH(FS$1,'[1]Heat Rates_post2020'!$C$1:$CD$1,0))</f>
        <v>18734116.290621493</v>
      </c>
      <c r="FT18" s="8">
        <f>INDEX('[1]Heat Rates_post2020'!$C$2:$CD$25,MATCH($A18,'[1]Heat Rates_post2020'!$B$2:$B$25,0),MATCH(FT$1,'[1]Heat Rates_post2020'!$C$1:$CD$1,0))</f>
        <v>18734116.290621493</v>
      </c>
      <c r="FU18" s="8">
        <f>INDEX('[1]Heat Rates_post2020'!$C$2:$CD$25,MATCH($A18,'[1]Heat Rates_post2020'!$B$2:$B$25,0),MATCH(FU$1,'[1]Heat Rates_post2020'!$C$1:$CD$1,0))</f>
        <v>18734116.290621493</v>
      </c>
      <c r="FV18" s="8">
        <f>INDEX('[1]Heat Rates_post2020'!$C$2:$CD$25,MATCH($A18,'[1]Heat Rates_post2020'!$B$2:$B$25,0),MATCH(FV$1,'[1]Heat Rates_post2020'!$C$1:$CD$1,0))</f>
        <v>18734116.290621493</v>
      </c>
      <c r="FW18" s="8">
        <f>INDEX('[1]Heat Rates_post2020'!$C$2:$CD$25,MATCH($A18,'[1]Heat Rates_post2020'!$B$2:$B$25,0),MATCH(FW$1,'[1]Heat Rates_post2020'!$C$1:$CD$1,0))</f>
        <v>18734116.290621493</v>
      </c>
      <c r="FX18" s="8">
        <f>INDEX('[1]Heat Rates_post2020'!$C$2:$CD$25,MATCH($A18,'[1]Heat Rates_post2020'!$B$2:$B$25,0),MATCH(FX$1,'[1]Heat Rates_post2020'!$C$1:$CD$1,0))</f>
        <v>18734116.290621493</v>
      </c>
      <c r="FY18" s="8">
        <f>INDEX('[1]Heat Rates_post2020'!$C$2:$CD$25,MATCH($A18,'[1]Heat Rates_post2020'!$B$2:$B$25,0),MATCH(FY$1,'[1]Heat Rates_post2020'!$C$1:$CD$1,0))</f>
        <v>18734116.290621493</v>
      </c>
      <c r="FZ18" s="8">
        <f>INDEX('[1]Heat Rates_post2020'!$C$2:$CD$25,MATCH($A18,'[1]Heat Rates_post2020'!$B$2:$B$25,0),MATCH(FZ$1,'[1]Heat Rates_post2020'!$C$1:$CD$1,0))</f>
        <v>18734116.290621493</v>
      </c>
      <c r="GA18" s="8">
        <f>INDEX('[1]Heat Rates_post2020'!$C$2:$CD$25,MATCH($A18,'[1]Heat Rates_post2020'!$B$2:$B$25,0),MATCH(GA$1,'[1]Heat Rates_post2020'!$C$1:$CD$1,0))</f>
        <v>18734116.290621493</v>
      </c>
      <c r="GB18" s="8">
        <f>INDEX('[1]Heat Rates_post2020'!$C$2:$CD$25,MATCH($A18,'[1]Heat Rates_post2020'!$B$2:$B$25,0),MATCH(GB$1,'[1]Heat Rates_post2020'!$C$1:$CD$1,0))</f>
        <v>18734116.290621493</v>
      </c>
      <c r="GC18" s="8">
        <f>INDEX('[1]Heat Rates_post2020'!$C$2:$CD$25,MATCH($A18,'[1]Heat Rates_post2020'!$B$2:$B$25,0),MATCH(GC$1,'[1]Heat Rates_post2020'!$C$1:$CD$1,0))</f>
        <v>18734116.290621493</v>
      </c>
      <c r="GD18" s="8">
        <f>INDEX('[1]Heat Rates_post2020'!$C$2:$CD$25,MATCH($A18,'[1]Heat Rates_post2020'!$B$2:$B$25,0),MATCH(GD$1,'[1]Heat Rates_post2020'!$C$1:$CD$1,0))</f>
        <v>18734116.290621493</v>
      </c>
      <c r="GE18" s="8">
        <f>INDEX('[1]Heat Rates_post2020'!$C$2:$CD$25,MATCH($A18,'[1]Heat Rates_post2020'!$B$2:$B$25,0),MATCH(GE$1,'[1]Heat Rates_post2020'!$C$1:$CD$1,0))</f>
        <v>18734116.290621493</v>
      </c>
      <c r="GF18" s="8">
        <f>INDEX('[1]Heat Rates_post2020'!$C$2:$CD$25,MATCH($A18,'[1]Heat Rates_post2020'!$B$2:$B$25,0),MATCH(GF$1,'[1]Heat Rates_post2020'!$C$1:$CD$1,0))</f>
        <v>18734116.290621493</v>
      </c>
      <c r="GG18" s="8">
        <f>INDEX('[1]Heat Rates_post2020'!$C$2:$CD$25,MATCH($A18,'[1]Heat Rates_post2020'!$B$2:$B$25,0),MATCH(GG$1,'[1]Heat Rates_post2020'!$C$1:$CD$1,0))</f>
        <v>18734116.290621493</v>
      </c>
      <c r="GH18" s="8">
        <f>INDEX('[1]Heat Rates_post2020'!$C$2:$CD$25,MATCH($A18,'[1]Heat Rates_post2020'!$B$2:$B$25,0),MATCH(GH$1,'[1]Heat Rates_post2020'!$C$1:$CD$1,0))</f>
        <v>18734116.290621493</v>
      </c>
      <c r="GI18" s="8">
        <f>INDEX('[1]Heat Rates_post2020'!$C$2:$CD$25,MATCH($A18,'[1]Heat Rates_post2020'!$B$2:$B$25,0),MATCH(GI$1,'[1]Heat Rates_post2020'!$C$1:$CD$1,0))</f>
        <v>18734116.290621493</v>
      </c>
      <c r="GJ18" s="8">
        <f>INDEX('[1]Heat Rates_post2020'!$C$2:$CD$25,MATCH($A18,'[1]Heat Rates_post2020'!$B$2:$B$25,0),MATCH(GJ$1,'[1]Heat Rates_post2020'!$C$1:$CD$1,0))</f>
        <v>18734116.290621493</v>
      </c>
      <c r="GK18" s="8">
        <f>INDEX('[1]Heat Rates_post2020'!$C$2:$CD$25,MATCH($A18,'[1]Heat Rates_post2020'!$B$2:$B$25,0),MATCH(GK$1,'[1]Heat Rates_post2020'!$C$1:$CD$1,0))</f>
        <v>18734116.290621493</v>
      </c>
      <c r="GL18" s="8">
        <f>INDEX('[1]Heat Rates_post2020'!$C$2:$CD$25,MATCH($A18,'[1]Heat Rates_post2020'!$B$2:$B$25,0),MATCH(GL$1,'[1]Heat Rates_post2020'!$C$1:$CD$1,0))</f>
        <v>18734116.290621493</v>
      </c>
      <c r="GM18" s="8">
        <f>INDEX('[1]Heat Rates_post2020'!$C$2:$CD$25,MATCH($A18,'[1]Heat Rates_post2020'!$B$2:$B$25,0),MATCH(GM$1,'[1]Heat Rates_post2020'!$C$1:$CD$1,0))</f>
        <v>18734116.290621493</v>
      </c>
      <c r="GN18" s="8">
        <f>INDEX('[1]Heat Rates_post2020'!$C$2:$CD$25,MATCH($A18,'[1]Heat Rates_post2020'!$B$2:$B$25,0),MATCH(GN$1,'[1]Heat Rates_post2020'!$C$1:$CD$1,0))</f>
        <v>18734116.290621493</v>
      </c>
      <c r="GO18" s="8">
        <f>INDEX('[1]Heat Rates_post2020'!$C$2:$CD$25,MATCH($A18,'[1]Heat Rates_post2020'!$B$2:$B$25,0),MATCH(GO$1,'[1]Heat Rates_post2020'!$C$1:$CD$1,0))</f>
        <v>18734116.290621493</v>
      </c>
      <c r="GP18" s="8">
        <f>INDEX('[1]Heat Rates_post2020'!$C$2:$CD$25,MATCH($A18,'[1]Heat Rates_post2020'!$B$2:$B$25,0),MATCH(GP$1,'[1]Heat Rates_post2020'!$C$1:$CD$1,0))</f>
        <v>18734116.290621493</v>
      </c>
      <c r="GQ18" s="8">
        <f>INDEX('[1]Heat Rates_post2020'!$C$2:$CD$25,MATCH($A18,'[1]Heat Rates_post2020'!$B$2:$B$25,0),MATCH(GQ$1,'[1]Heat Rates_post2020'!$C$1:$CD$1,0))</f>
        <v>18734116.290621493</v>
      </c>
      <c r="GR18" s="8">
        <f>INDEX('[1]Heat Rates_post2020'!$C$2:$CD$25,MATCH($A18,'[1]Heat Rates_post2020'!$B$2:$B$25,0),MATCH(GR$1,'[1]Heat Rates_post2020'!$C$1:$CD$1,0))</f>
        <v>18734116.290621493</v>
      </c>
      <c r="GS18" s="8">
        <f>INDEX('[1]Heat Rates_post2020'!$C$2:$CD$25,MATCH($A18,'[1]Heat Rates_post2020'!$B$2:$B$25,0),MATCH(GS$1,'[1]Heat Rates_post2020'!$C$1:$CD$1,0))</f>
        <v>18734116.290621493</v>
      </c>
      <c r="GT18" s="8">
        <f>INDEX('[1]Heat Rates_post2020'!$C$2:$CD$25,MATCH($A18,'[1]Heat Rates_post2020'!$B$2:$B$25,0),MATCH(GT$1,'[1]Heat Rates_post2020'!$C$1:$CD$1,0))</f>
        <v>18734116.290621493</v>
      </c>
      <c r="GU18" s="8">
        <f>INDEX('[1]Heat Rates_post2020'!$C$2:$CD$25,MATCH($A18,'[1]Heat Rates_post2020'!$B$2:$B$25,0),MATCH(GU$1,'[1]Heat Rates_post2020'!$C$1:$CD$1,0))</f>
        <v>18734116.290621493</v>
      </c>
      <c r="GV18" s="8">
        <f>INDEX('[1]Heat Rates_post2020'!$C$2:$CD$25,MATCH($A18,'[1]Heat Rates_post2020'!$B$2:$B$25,0),MATCH(GV$1,'[1]Heat Rates_post2020'!$C$1:$CD$1,0))</f>
        <v>18734116.290621493</v>
      </c>
      <c r="GW18" s="8">
        <f>INDEX('[1]Heat Rates_post2020'!$C$2:$CD$25,MATCH($A18,'[1]Heat Rates_post2020'!$B$2:$B$25,0),MATCH(GW$1,'[1]Heat Rates_post2020'!$C$1:$CD$1,0))</f>
        <v>18734116.290621493</v>
      </c>
      <c r="GX18" s="8">
        <f>INDEX('[1]Heat Rates_post2020'!$C$2:$CD$25,MATCH($A18,'[1]Heat Rates_post2020'!$B$2:$B$25,0),MATCH(GX$1,'[1]Heat Rates_post2020'!$C$1:$CD$1,0))</f>
        <v>18734116.290621493</v>
      </c>
      <c r="GY18" s="8">
        <f>INDEX('[1]Heat Rates_post2020'!$C$2:$CD$25,MATCH($A18,'[1]Heat Rates_post2020'!$B$2:$B$25,0),MATCH(GY$1,'[1]Heat Rates_post2020'!$C$1:$CD$1,0))</f>
        <v>18734116.290621493</v>
      </c>
      <c r="GZ18" s="8">
        <f>INDEX('[1]Heat Rates_post2020'!$C$2:$CD$25,MATCH($A18,'[1]Heat Rates_post2020'!$B$2:$B$25,0),MATCH(GZ$1,'[1]Heat Rates_post2020'!$C$1:$CD$1,0))</f>
        <v>18734116.290621493</v>
      </c>
      <c r="HA18" s="8">
        <f>INDEX('[1]Heat Rates_post2020'!$C$2:$CD$25,MATCH($A18,'[1]Heat Rates_post2020'!$B$2:$B$25,0),MATCH(HA$1,'[1]Heat Rates_post2020'!$C$1:$CD$1,0))</f>
        <v>18734116.290621493</v>
      </c>
      <c r="HB18" s="8">
        <f>INDEX('[1]Heat Rates_post2020'!$C$2:$CD$25,MATCH($A18,'[1]Heat Rates_post2020'!$B$2:$B$25,0),MATCH(HB$1,'[1]Heat Rates_post2020'!$C$1:$CD$1,0))</f>
        <v>18734116.290621493</v>
      </c>
      <c r="HC18" s="8">
        <f>INDEX('[1]Heat Rates_post2020'!$C$2:$CD$25,MATCH($A18,'[1]Heat Rates_post2020'!$B$2:$B$25,0),MATCH(HC$1,'[1]Heat Rates_post2020'!$C$1:$CD$1,0))</f>
        <v>18734116.290621493</v>
      </c>
    </row>
    <row r="19" spans="1:211" x14ac:dyDescent="0.25">
      <c r="A19" t="s">
        <v>62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16">
        <f t="shared" ref="BS19:DK24" si="16">$DS19</f>
        <v>0</v>
      </c>
      <c r="BT19" s="16">
        <f t="shared" si="16"/>
        <v>0</v>
      </c>
      <c r="BU19" s="16">
        <f t="shared" si="16"/>
        <v>0</v>
      </c>
      <c r="BV19" s="16">
        <f t="shared" si="16"/>
        <v>0</v>
      </c>
      <c r="BW19" s="16">
        <f t="shared" si="16"/>
        <v>0</v>
      </c>
      <c r="BX19" s="16">
        <f t="shared" si="16"/>
        <v>0</v>
      </c>
      <c r="BY19" s="16">
        <f t="shared" si="16"/>
        <v>0</v>
      </c>
      <c r="BZ19" s="16">
        <f t="shared" si="16"/>
        <v>0</v>
      </c>
      <c r="CA19" s="16">
        <f t="shared" si="16"/>
        <v>0</v>
      </c>
      <c r="CB19" s="16">
        <f t="shared" si="16"/>
        <v>0</v>
      </c>
      <c r="CC19" s="16">
        <f t="shared" si="16"/>
        <v>0</v>
      </c>
      <c r="CD19" s="16">
        <f t="shared" si="16"/>
        <v>0</v>
      </c>
      <c r="CE19" s="16">
        <f t="shared" si="16"/>
        <v>0</v>
      </c>
      <c r="CF19" s="16">
        <f t="shared" si="16"/>
        <v>0</v>
      </c>
      <c r="CG19" s="16">
        <f t="shared" si="16"/>
        <v>0</v>
      </c>
      <c r="CH19" s="16">
        <f t="shared" si="16"/>
        <v>0</v>
      </c>
      <c r="CI19" s="16">
        <f t="shared" si="16"/>
        <v>0</v>
      </c>
      <c r="CJ19" s="16">
        <f t="shared" si="16"/>
        <v>0</v>
      </c>
      <c r="CK19" s="16">
        <f t="shared" si="16"/>
        <v>0</v>
      </c>
      <c r="CL19" s="16">
        <f t="shared" si="16"/>
        <v>0</v>
      </c>
      <c r="CM19" s="16">
        <f t="shared" si="16"/>
        <v>0</v>
      </c>
      <c r="CN19" s="16">
        <f t="shared" si="16"/>
        <v>0</v>
      </c>
      <c r="CO19" s="16">
        <f t="shared" si="16"/>
        <v>0</v>
      </c>
      <c r="CP19" s="16">
        <f t="shared" si="16"/>
        <v>0</v>
      </c>
      <c r="CQ19" s="16">
        <f t="shared" si="16"/>
        <v>0</v>
      </c>
      <c r="CR19" s="16">
        <f t="shared" si="16"/>
        <v>0</v>
      </c>
      <c r="CS19" s="16">
        <f t="shared" si="16"/>
        <v>0</v>
      </c>
      <c r="CT19" s="16">
        <f t="shared" si="16"/>
        <v>0</v>
      </c>
      <c r="CU19" s="16">
        <f t="shared" si="16"/>
        <v>0</v>
      </c>
      <c r="CV19" s="16">
        <f t="shared" si="16"/>
        <v>0</v>
      </c>
      <c r="CW19" s="16">
        <f t="shared" si="16"/>
        <v>0</v>
      </c>
      <c r="CX19" s="16">
        <f t="shared" si="16"/>
        <v>0</v>
      </c>
      <c r="CY19" s="16">
        <f t="shared" si="16"/>
        <v>0</v>
      </c>
      <c r="CZ19" s="16">
        <f t="shared" si="16"/>
        <v>0</v>
      </c>
      <c r="DA19" s="16">
        <f t="shared" si="16"/>
        <v>0</v>
      </c>
      <c r="DB19" s="16">
        <f t="shared" si="16"/>
        <v>0</v>
      </c>
      <c r="DC19" s="16">
        <f t="shared" si="16"/>
        <v>0</v>
      </c>
      <c r="DD19" s="16">
        <f t="shared" si="16"/>
        <v>0</v>
      </c>
      <c r="DE19" s="16">
        <f t="shared" si="16"/>
        <v>0</v>
      </c>
      <c r="DF19" s="16">
        <f t="shared" si="16"/>
        <v>0</v>
      </c>
      <c r="DG19" s="16">
        <f t="shared" si="16"/>
        <v>0</v>
      </c>
      <c r="DH19" s="16">
        <f t="shared" si="16"/>
        <v>0</v>
      </c>
      <c r="DI19" s="16">
        <f t="shared" si="16"/>
        <v>0</v>
      </c>
      <c r="DJ19" s="16">
        <f t="shared" si="16"/>
        <v>0</v>
      </c>
      <c r="DK19" s="16">
        <f t="shared" si="16"/>
        <v>0</v>
      </c>
      <c r="DL19" s="16">
        <f t="shared" si="15"/>
        <v>0</v>
      </c>
      <c r="DM19" s="16">
        <f t="shared" si="15"/>
        <v>0</v>
      </c>
      <c r="DN19" s="16">
        <f t="shared" si="15"/>
        <v>0</v>
      </c>
      <c r="DO19" s="16">
        <f t="shared" si="15"/>
        <v>0</v>
      </c>
      <c r="DP19" s="16">
        <f t="shared" si="15"/>
        <v>0</v>
      </c>
      <c r="DQ19" s="16">
        <f t="shared" si="15"/>
        <v>0</v>
      </c>
      <c r="DR19" s="16">
        <f t="shared" si="4"/>
        <v>0</v>
      </c>
      <c r="DS19" s="16">
        <f>IF(Calculations!B146="",0,Calculations!B146)</f>
        <v>0</v>
      </c>
      <c r="DT19" s="16">
        <f>IF(Calculations!C146="",0,Calculations!C146)</f>
        <v>0</v>
      </c>
      <c r="DU19" s="16">
        <f>IF(Calculations!D146="",0,Calculations!D146)</f>
        <v>0</v>
      </c>
      <c r="DV19" s="16">
        <f>IF(Calculations!E146="",0,Calculations!E146)</f>
        <v>0</v>
      </c>
      <c r="DW19" s="16">
        <f>IF(Calculations!F146="",0,Calculations!F146)</f>
        <v>0</v>
      </c>
      <c r="DX19" s="16">
        <f>IF(Calculations!G146="",0,Calculations!G146)</f>
        <v>0</v>
      </c>
      <c r="DY19" s="16">
        <f>IF(Calculations!H146="",0,Calculations!H146)</f>
        <v>0</v>
      </c>
      <c r="DZ19" s="16">
        <f>IF(Calculations!I146="",0,Calculations!I146)</f>
        <v>0</v>
      </c>
      <c r="EA19" s="16">
        <f>IF(Calculations!J146="",0,Calculations!J146)</f>
        <v>0</v>
      </c>
      <c r="EB19" s="17">
        <f>INDEX('[1]Heat Rates_post2020'!$C$2:$CD$25,MATCH($A19,'[1]Heat Rates_post2020'!$B$2:$B$25,0),MATCH(EB$1,'[1]Heat Rates_post2020'!$C$1:$CD$1,0))</f>
        <v>11116000</v>
      </c>
      <c r="EC19" s="8">
        <f>INDEX('[1]Heat Rates_post2020'!$C$2:$CD$25,MATCH($A19,'[1]Heat Rates_post2020'!$B$2:$B$25,0),MATCH(EC$1,'[1]Heat Rates_post2020'!$C$1:$CD$1,0))</f>
        <v>11116000</v>
      </c>
      <c r="ED19" s="8">
        <f>INDEX('[1]Heat Rates_post2020'!$C$2:$CD$25,MATCH($A19,'[1]Heat Rates_post2020'!$B$2:$B$25,0),MATCH(ED$1,'[1]Heat Rates_post2020'!$C$1:$CD$1,0))</f>
        <v>11057000</v>
      </c>
      <c r="EE19" s="8">
        <f>INDEX('[1]Heat Rates_post2020'!$C$2:$CD$25,MATCH($A19,'[1]Heat Rates_post2020'!$B$2:$B$25,0),MATCH(EE$1,'[1]Heat Rates_post2020'!$C$1:$CD$1,0))</f>
        <v>10997000</v>
      </c>
      <c r="EF19" s="8">
        <f>INDEX('[1]Heat Rates_post2020'!$C$2:$CD$25,MATCH($A19,'[1]Heat Rates_post2020'!$B$2:$B$25,0),MATCH(EF$1,'[1]Heat Rates_post2020'!$C$1:$CD$1,0))</f>
        <v>10938000</v>
      </c>
      <c r="EG19" s="8">
        <f>INDEX('[1]Heat Rates_post2020'!$C$2:$CD$25,MATCH($A19,'[1]Heat Rates_post2020'!$B$2:$B$25,0),MATCH(EG$1,'[1]Heat Rates_post2020'!$C$1:$CD$1,0))</f>
        <v>10879000</v>
      </c>
      <c r="EH19" s="8">
        <f>INDEX('[1]Heat Rates_post2020'!$C$2:$CD$25,MATCH($A19,'[1]Heat Rates_post2020'!$B$2:$B$25,0),MATCH(EH$1,'[1]Heat Rates_post2020'!$C$1:$CD$1,0))</f>
        <v>10820000</v>
      </c>
      <c r="EI19" s="8">
        <f>INDEX('[1]Heat Rates_post2020'!$C$2:$CD$25,MATCH($A19,'[1]Heat Rates_post2020'!$B$2:$B$25,0),MATCH(EI$1,'[1]Heat Rates_post2020'!$C$1:$CD$1,0))</f>
        <v>10761000</v>
      </c>
      <c r="EJ19" s="8">
        <f>INDEX('[1]Heat Rates_post2020'!$C$2:$CD$25,MATCH($A19,'[1]Heat Rates_post2020'!$B$2:$B$25,0),MATCH(EJ$1,'[1]Heat Rates_post2020'!$C$1:$CD$1,0))</f>
        <v>10702000</v>
      </c>
      <c r="EK19" s="8">
        <f>INDEX('[1]Heat Rates_post2020'!$C$2:$CD$25,MATCH($A19,'[1]Heat Rates_post2020'!$B$2:$B$25,0),MATCH(EK$1,'[1]Heat Rates_post2020'!$C$1:$CD$1,0))</f>
        <v>10643000</v>
      </c>
      <c r="EL19" s="8">
        <f>INDEX('[1]Heat Rates_post2020'!$C$2:$CD$25,MATCH($A19,'[1]Heat Rates_post2020'!$B$2:$B$25,0),MATCH(EL$1,'[1]Heat Rates_post2020'!$C$1:$CD$1,0))</f>
        <v>10584000</v>
      </c>
      <c r="EM19" s="8">
        <f>INDEX('[1]Heat Rates_post2020'!$C$2:$CD$25,MATCH($A19,'[1]Heat Rates_post2020'!$B$2:$B$25,0),MATCH(EM$1,'[1]Heat Rates_post2020'!$C$1:$CD$1,0))</f>
        <v>10525000</v>
      </c>
      <c r="EN19" s="8">
        <f>INDEX('[1]Heat Rates_post2020'!$C$2:$CD$25,MATCH($A19,'[1]Heat Rates_post2020'!$B$2:$B$25,0),MATCH(EN$1,'[1]Heat Rates_post2020'!$C$1:$CD$1,0))</f>
        <v>10466000</v>
      </c>
      <c r="EO19" s="8">
        <f>INDEX('[1]Heat Rates_post2020'!$C$2:$CD$25,MATCH($A19,'[1]Heat Rates_post2020'!$B$2:$B$25,0),MATCH(EO$1,'[1]Heat Rates_post2020'!$C$1:$CD$1,0))</f>
        <v>10407000</v>
      </c>
      <c r="EP19" s="8">
        <f>INDEX('[1]Heat Rates_post2020'!$C$2:$CD$25,MATCH($A19,'[1]Heat Rates_post2020'!$B$2:$B$25,0),MATCH(EP$1,'[1]Heat Rates_post2020'!$C$1:$CD$1,0))</f>
        <v>10348000</v>
      </c>
      <c r="EQ19" s="8">
        <f>INDEX('[1]Heat Rates_post2020'!$C$2:$CD$25,MATCH($A19,'[1]Heat Rates_post2020'!$B$2:$B$25,0),MATCH(EQ$1,'[1]Heat Rates_post2020'!$C$1:$CD$1,0))</f>
        <v>10348000</v>
      </c>
      <c r="ER19" s="8">
        <f>INDEX('[1]Heat Rates_post2020'!$C$2:$CD$25,MATCH($A19,'[1]Heat Rates_post2020'!$B$2:$B$25,0),MATCH(ER$1,'[1]Heat Rates_post2020'!$C$1:$CD$1,0))</f>
        <v>10348000</v>
      </c>
      <c r="ES19" s="8">
        <f>INDEX('[1]Heat Rates_post2020'!$C$2:$CD$25,MATCH($A19,'[1]Heat Rates_post2020'!$B$2:$B$25,0),MATCH(ES$1,'[1]Heat Rates_post2020'!$C$1:$CD$1,0))</f>
        <v>10348000</v>
      </c>
      <c r="ET19" s="8">
        <f>INDEX('[1]Heat Rates_post2020'!$C$2:$CD$25,MATCH($A19,'[1]Heat Rates_post2020'!$B$2:$B$25,0),MATCH(ET$1,'[1]Heat Rates_post2020'!$C$1:$CD$1,0))</f>
        <v>10348000</v>
      </c>
      <c r="EU19" s="8">
        <f>INDEX('[1]Heat Rates_post2020'!$C$2:$CD$25,MATCH($A19,'[1]Heat Rates_post2020'!$B$2:$B$25,0),MATCH(EU$1,'[1]Heat Rates_post2020'!$C$1:$CD$1,0))</f>
        <v>10348000</v>
      </c>
      <c r="EV19" s="8">
        <f>INDEX('[1]Heat Rates_post2020'!$C$2:$CD$25,MATCH($A19,'[1]Heat Rates_post2020'!$B$2:$B$25,0),MATCH(EV$1,'[1]Heat Rates_post2020'!$C$1:$CD$1,0))</f>
        <v>10348000</v>
      </c>
      <c r="EW19" s="8">
        <f>INDEX('[1]Heat Rates_post2020'!$C$2:$CD$25,MATCH($A19,'[1]Heat Rates_post2020'!$B$2:$B$25,0),MATCH(EW$1,'[1]Heat Rates_post2020'!$C$1:$CD$1,0))</f>
        <v>10348000</v>
      </c>
      <c r="EX19" s="8">
        <f>INDEX('[1]Heat Rates_post2020'!$C$2:$CD$25,MATCH($A19,'[1]Heat Rates_post2020'!$B$2:$B$25,0),MATCH(EX$1,'[1]Heat Rates_post2020'!$C$1:$CD$1,0))</f>
        <v>10348000</v>
      </c>
      <c r="EY19" s="8">
        <f>INDEX('[1]Heat Rates_post2020'!$C$2:$CD$25,MATCH($A19,'[1]Heat Rates_post2020'!$B$2:$B$25,0),MATCH(EY$1,'[1]Heat Rates_post2020'!$C$1:$CD$1,0))</f>
        <v>10348000</v>
      </c>
      <c r="EZ19" s="8">
        <f>INDEX('[1]Heat Rates_post2020'!$C$2:$CD$25,MATCH($A19,'[1]Heat Rates_post2020'!$B$2:$B$25,0),MATCH(EZ$1,'[1]Heat Rates_post2020'!$C$1:$CD$1,0))</f>
        <v>10348000</v>
      </c>
      <c r="FA19" s="8">
        <f>INDEX('[1]Heat Rates_post2020'!$C$2:$CD$25,MATCH($A19,'[1]Heat Rates_post2020'!$B$2:$B$25,0),MATCH(FA$1,'[1]Heat Rates_post2020'!$C$1:$CD$1,0))</f>
        <v>10348000</v>
      </c>
      <c r="FB19" s="8">
        <f>INDEX('[1]Heat Rates_post2020'!$C$2:$CD$25,MATCH($A19,'[1]Heat Rates_post2020'!$B$2:$B$25,0),MATCH(FB$1,'[1]Heat Rates_post2020'!$C$1:$CD$1,0))</f>
        <v>10348000</v>
      </c>
      <c r="FC19" s="8">
        <f>INDEX('[1]Heat Rates_post2020'!$C$2:$CD$25,MATCH($A19,'[1]Heat Rates_post2020'!$B$2:$B$25,0),MATCH(FC$1,'[1]Heat Rates_post2020'!$C$1:$CD$1,0))</f>
        <v>10348000</v>
      </c>
      <c r="FD19" s="8">
        <f>INDEX('[1]Heat Rates_post2020'!$C$2:$CD$25,MATCH($A19,'[1]Heat Rates_post2020'!$B$2:$B$25,0),MATCH(FD$1,'[1]Heat Rates_post2020'!$C$1:$CD$1,0))</f>
        <v>10348000</v>
      </c>
      <c r="FE19" s="8">
        <f>INDEX('[1]Heat Rates_post2020'!$C$2:$CD$25,MATCH($A19,'[1]Heat Rates_post2020'!$B$2:$B$25,0),MATCH(FE$1,'[1]Heat Rates_post2020'!$C$1:$CD$1,0))</f>
        <v>10348000</v>
      </c>
      <c r="FF19" s="8">
        <f>INDEX('[1]Heat Rates_post2020'!$C$2:$CD$25,MATCH($A19,'[1]Heat Rates_post2020'!$B$2:$B$25,0),MATCH(FF$1,'[1]Heat Rates_post2020'!$C$1:$CD$1,0))</f>
        <v>10348000</v>
      </c>
      <c r="FG19" s="8">
        <f>INDEX('[1]Heat Rates_post2020'!$C$2:$CD$25,MATCH($A19,'[1]Heat Rates_post2020'!$B$2:$B$25,0),MATCH(FG$1,'[1]Heat Rates_post2020'!$C$1:$CD$1,0))</f>
        <v>10348000</v>
      </c>
      <c r="FH19" s="8">
        <f>INDEX('[1]Heat Rates_post2020'!$C$2:$CD$25,MATCH($A19,'[1]Heat Rates_post2020'!$B$2:$B$25,0),MATCH(FH$1,'[1]Heat Rates_post2020'!$C$1:$CD$1,0))</f>
        <v>10348000</v>
      </c>
      <c r="FI19" s="8">
        <f>INDEX('[1]Heat Rates_post2020'!$C$2:$CD$25,MATCH($A19,'[1]Heat Rates_post2020'!$B$2:$B$25,0),MATCH(FI$1,'[1]Heat Rates_post2020'!$C$1:$CD$1,0))</f>
        <v>10348000</v>
      </c>
      <c r="FJ19" s="8">
        <f>INDEX('[1]Heat Rates_post2020'!$C$2:$CD$25,MATCH($A19,'[1]Heat Rates_post2020'!$B$2:$B$25,0),MATCH(FJ$1,'[1]Heat Rates_post2020'!$C$1:$CD$1,0))</f>
        <v>10348000</v>
      </c>
      <c r="FK19" s="8">
        <f>INDEX('[1]Heat Rates_post2020'!$C$2:$CD$25,MATCH($A19,'[1]Heat Rates_post2020'!$B$2:$B$25,0),MATCH(FK$1,'[1]Heat Rates_post2020'!$C$1:$CD$1,0))</f>
        <v>10348000</v>
      </c>
      <c r="FL19" s="8">
        <f>INDEX('[1]Heat Rates_post2020'!$C$2:$CD$25,MATCH($A19,'[1]Heat Rates_post2020'!$B$2:$B$25,0),MATCH(FL$1,'[1]Heat Rates_post2020'!$C$1:$CD$1,0))</f>
        <v>10348000</v>
      </c>
      <c r="FM19" s="8">
        <f>INDEX('[1]Heat Rates_post2020'!$C$2:$CD$25,MATCH($A19,'[1]Heat Rates_post2020'!$B$2:$B$25,0),MATCH(FM$1,'[1]Heat Rates_post2020'!$C$1:$CD$1,0))</f>
        <v>10348000</v>
      </c>
      <c r="FN19" s="8">
        <f>INDEX('[1]Heat Rates_post2020'!$C$2:$CD$25,MATCH($A19,'[1]Heat Rates_post2020'!$B$2:$B$25,0),MATCH(FN$1,'[1]Heat Rates_post2020'!$C$1:$CD$1,0))</f>
        <v>10348000</v>
      </c>
      <c r="FO19" s="8">
        <f>INDEX('[1]Heat Rates_post2020'!$C$2:$CD$25,MATCH($A19,'[1]Heat Rates_post2020'!$B$2:$B$25,0),MATCH(FO$1,'[1]Heat Rates_post2020'!$C$1:$CD$1,0))</f>
        <v>10348000</v>
      </c>
      <c r="FP19" s="8">
        <f>INDEX('[1]Heat Rates_post2020'!$C$2:$CD$25,MATCH($A19,'[1]Heat Rates_post2020'!$B$2:$B$25,0),MATCH(FP$1,'[1]Heat Rates_post2020'!$C$1:$CD$1,0))</f>
        <v>10348000</v>
      </c>
      <c r="FQ19" s="8">
        <f>INDEX('[1]Heat Rates_post2020'!$C$2:$CD$25,MATCH($A19,'[1]Heat Rates_post2020'!$B$2:$B$25,0),MATCH(FQ$1,'[1]Heat Rates_post2020'!$C$1:$CD$1,0))</f>
        <v>10348000</v>
      </c>
      <c r="FR19" s="8">
        <f>INDEX('[1]Heat Rates_post2020'!$C$2:$CD$25,MATCH($A19,'[1]Heat Rates_post2020'!$B$2:$B$25,0),MATCH(FR$1,'[1]Heat Rates_post2020'!$C$1:$CD$1,0))</f>
        <v>10348000</v>
      </c>
      <c r="FS19" s="8">
        <f>INDEX('[1]Heat Rates_post2020'!$C$2:$CD$25,MATCH($A19,'[1]Heat Rates_post2020'!$B$2:$B$25,0),MATCH(FS$1,'[1]Heat Rates_post2020'!$C$1:$CD$1,0))</f>
        <v>10348000</v>
      </c>
      <c r="FT19" s="8">
        <f>INDEX('[1]Heat Rates_post2020'!$C$2:$CD$25,MATCH($A19,'[1]Heat Rates_post2020'!$B$2:$B$25,0),MATCH(FT$1,'[1]Heat Rates_post2020'!$C$1:$CD$1,0))</f>
        <v>10348000</v>
      </c>
      <c r="FU19" s="8">
        <f>INDEX('[1]Heat Rates_post2020'!$C$2:$CD$25,MATCH($A19,'[1]Heat Rates_post2020'!$B$2:$B$25,0),MATCH(FU$1,'[1]Heat Rates_post2020'!$C$1:$CD$1,0))</f>
        <v>10348000</v>
      </c>
      <c r="FV19" s="8">
        <f>INDEX('[1]Heat Rates_post2020'!$C$2:$CD$25,MATCH($A19,'[1]Heat Rates_post2020'!$B$2:$B$25,0),MATCH(FV$1,'[1]Heat Rates_post2020'!$C$1:$CD$1,0))</f>
        <v>10348000</v>
      </c>
      <c r="FW19" s="8">
        <f>INDEX('[1]Heat Rates_post2020'!$C$2:$CD$25,MATCH($A19,'[1]Heat Rates_post2020'!$B$2:$B$25,0),MATCH(FW$1,'[1]Heat Rates_post2020'!$C$1:$CD$1,0))</f>
        <v>10348000</v>
      </c>
      <c r="FX19" s="8">
        <f>INDEX('[1]Heat Rates_post2020'!$C$2:$CD$25,MATCH($A19,'[1]Heat Rates_post2020'!$B$2:$B$25,0),MATCH(FX$1,'[1]Heat Rates_post2020'!$C$1:$CD$1,0))</f>
        <v>10348000</v>
      </c>
      <c r="FY19" s="8">
        <f>INDEX('[1]Heat Rates_post2020'!$C$2:$CD$25,MATCH($A19,'[1]Heat Rates_post2020'!$B$2:$B$25,0),MATCH(FY$1,'[1]Heat Rates_post2020'!$C$1:$CD$1,0))</f>
        <v>10348000</v>
      </c>
      <c r="FZ19" s="8">
        <f>INDEX('[1]Heat Rates_post2020'!$C$2:$CD$25,MATCH($A19,'[1]Heat Rates_post2020'!$B$2:$B$25,0),MATCH(FZ$1,'[1]Heat Rates_post2020'!$C$1:$CD$1,0))</f>
        <v>10348000</v>
      </c>
      <c r="GA19" s="8">
        <f>INDEX('[1]Heat Rates_post2020'!$C$2:$CD$25,MATCH($A19,'[1]Heat Rates_post2020'!$B$2:$B$25,0),MATCH(GA$1,'[1]Heat Rates_post2020'!$C$1:$CD$1,0))</f>
        <v>10348000</v>
      </c>
      <c r="GB19" s="8">
        <f>INDEX('[1]Heat Rates_post2020'!$C$2:$CD$25,MATCH($A19,'[1]Heat Rates_post2020'!$B$2:$B$25,0),MATCH(GB$1,'[1]Heat Rates_post2020'!$C$1:$CD$1,0))</f>
        <v>10348000</v>
      </c>
      <c r="GC19" s="8">
        <f>INDEX('[1]Heat Rates_post2020'!$C$2:$CD$25,MATCH($A19,'[1]Heat Rates_post2020'!$B$2:$B$25,0),MATCH(GC$1,'[1]Heat Rates_post2020'!$C$1:$CD$1,0))</f>
        <v>10348000</v>
      </c>
      <c r="GD19" s="8">
        <f>INDEX('[1]Heat Rates_post2020'!$C$2:$CD$25,MATCH($A19,'[1]Heat Rates_post2020'!$B$2:$B$25,0),MATCH(GD$1,'[1]Heat Rates_post2020'!$C$1:$CD$1,0))</f>
        <v>10348000</v>
      </c>
      <c r="GE19" s="8">
        <f>INDEX('[1]Heat Rates_post2020'!$C$2:$CD$25,MATCH($A19,'[1]Heat Rates_post2020'!$B$2:$B$25,0),MATCH(GE$1,'[1]Heat Rates_post2020'!$C$1:$CD$1,0))</f>
        <v>10348000</v>
      </c>
      <c r="GF19" s="8">
        <f>INDEX('[1]Heat Rates_post2020'!$C$2:$CD$25,MATCH($A19,'[1]Heat Rates_post2020'!$B$2:$B$25,0),MATCH(GF$1,'[1]Heat Rates_post2020'!$C$1:$CD$1,0))</f>
        <v>10348000</v>
      </c>
      <c r="GG19" s="8">
        <f>INDEX('[1]Heat Rates_post2020'!$C$2:$CD$25,MATCH($A19,'[1]Heat Rates_post2020'!$B$2:$B$25,0),MATCH(GG$1,'[1]Heat Rates_post2020'!$C$1:$CD$1,0))</f>
        <v>10348000</v>
      </c>
      <c r="GH19" s="8">
        <f>INDEX('[1]Heat Rates_post2020'!$C$2:$CD$25,MATCH($A19,'[1]Heat Rates_post2020'!$B$2:$B$25,0),MATCH(GH$1,'[1]Heat Rates_post2020'!$C$1:$CD$1,0))</f>
        <v>10348000</v>
      </c>
      <c r="GI19" s="8">
        <f>INDEX('[1]Heat Rates_post2020'!$C$2:$CD$25,MATCH($A19,'[1]Heat Rates_post2020'!$B$2:$B$25,0),MATCH(GI$1,'[1]Heat Rates_post2020'!$C$1:$CD$1,0))</f>
        <v>10348000</v>
      </c>
      <c r="GJ19" s="8">
        <f>INDEX('[1]Heat Rates_post2020'!$C$2:$CD$25,MATCH($A19,'[1]Heat Rates_post2020'!$B$2:$B$25,0),MATCH(GJ$1,'[1]Heat Rates_post2020'!$C$1:$CD$1,0))</f>
        <v>10348000</v>
      </c>
      <c r="GK19" s="8">
        <f>INDEX('[1]Heat Rates_post2020'!$C$2:$CD$25,MATCH($A19,'[1]Heat Rates_post2020'!$B$2:$B$25,0),MATCH(GK$1,'[1]Heat Rates_post2020'!$C$1:$CD$1,0))</f>
        <v>10348000</v>
      </c>
      <c r="GL19" s="8">
        <f>INDEX('[1]Heat Rates_post2020'!$C$2:$CD$25,MATCH($A19,'[1]Heat Rates_post2020'!$B$2:$B$25,0),MATCH(GL$1,'[1]Heat Rates_post2020'!$C$1:$CD$1,0))</f>
        <v>10348000</v>
      </c>
      <c r="GM19" s="8">
        <f>INDEX('[1]Heat Rates_post2020'!$C$2:$CD$25,MATCH($A19,'[1]Heat Rates_post2020'!$B$2:$B$25,0),MATCH(GM$1,'[1]Heat Rates_post2020'!$C$1:$CD$1,0))</f>
        <v>10348000</v>
      </c>
      <c r="GN19" s="8">
        <f>INDEX('[1]Heat Rates_post2020'!$C$2:$CD$25,MATCH($A19,'[1]Heat Rates_post2020'!$B$2:$B$25,0),MATCH(GN$1,'[1]Heat Rates_post2020'!$C$1:$CD$1,0))</f>
        <v>10348000</v>
      </c>
      <c r="GO19" s="8">
        <f>INDEX('[1]Heat Rates_post2020'!$C$2:$CD$25,MATCH($A19,'[1]Heat Rates_post2020'!$B$2:$B$25,0),MATCH(GO$1,'[1]Heat Rates_post2020'!$C$1:$CD$1,0))</f>
        <v>10348000</v>
      </c>
      <c r="GP19" s="8">
        <f>INDEX('[1]Heat Rates_post2020'!$C$2:$CD$25,MATCH($A19,'[1]Heat Rates_post2020'!$B$2:$B$25,0),MATCH(GP$1,'[1]Heat Rates_post2020'!$C$1:$CD$1,0))</f>
        <v>10348000</v>
      </c>
      <c r="GQ19" s="8">
        <f>INDEX('[1]Heat Rates_post2020'!$C$2:$CD$25,MATCH($A19,'[1]Heat Rates_post2020'!$B$2:$B$25,0),MATCH(GQ$1,'[1]Heat Rates_post2020'!$C$1:$CD$1,0))</f>
        <v>10348000</v>
      </c>
      <c r="GR19" s="8">
        <f>INDEX('[1]Heat Rates_post2020'!$C$2:$CD$25,MATCH($A19,'[1]Heat Rates_post2020'!$B$2:$B$25,0),MATCH(GR$1,'[1]Heat Rates_post2020'!$C$1:$CD$1,0))</f>
        <v>10348000</v>
      </c>
      <c r="GS19" s="8">
        <f>INDEX('[1]Heat Rates_post2020'!$C$2:$CD$25,MATCH($A19,'[1]Heat Rates_post2020'!$B$2:$B$25,0),MATCH(GS$1,'[1]Heat Rates_post2020'!$C$1:$CD$1,0))</f>
        <v>10348000</v>
      </c>
      <c r="GT19" s="8">
        <f>INDEX('[1]Heat Rates_post2020'!$C$2:$CD$25,MATCH($A19,'[1]Heat Rates_post2020'!$B$2:$B$25,0),MATCH(GT$1,'[1]Heat Rates_post2020'!$C$1:$CD$1,0))</f>
        <v>10348000</v>
      </c>
      <c r="GU19" s="8">
        <f>INDEX('[1]Heat Rates_post2020'!$C$2:$CD$25,MATCH($A19,'[1]Heat Rates_post2020'!$B$2:$B$25,0),MATCH(GU$1,'[1]Heat Rates_post2020'!$C$1:$CD$1,0))</f>
        <v>10348000</v>
      </c>
      <c r="GV19" s="8">
        <f>INDEX('[1]Heat Rates_post2020'!$C$2:$CD$25,MATCH($A19,'[1]Heat Rates_post2020'!$B$2:$B$25,0),MATCH(GV$1,'[1]Heat Rates_post2020'!$C$1:$CD$1,0))</f>
        <v>10348000</v>
      </c>
      <c r="GW19" s="8">
        <f>INDEX('[1]Heat Rates_post2020'!$C$2:$CD$25,MATCH($A19,'[1]Heat Rates_post2020'!$B$2:$B$25,0),MATCH(GW$1,'[1]Heat Rates_post2020'!$C$1:$CD$1,0))</f>
        <v>10348000</v>
      </c>
      <c r="GX19" s="8">
        <f>INDEX('[1]Heat Rates_post2020'!$C$2:$CD$25,MATCH($A19,'[1]Heat Rates_post2020'!$B$2:$B$25,0),MATCH(GX$1,'[1]Heat Rates_post2020'!$C$1:$CD$1,0))</f>
        <v>10348000</v>
      </c>
      <c r="GY19" s="8">
        <f>INDEX('[1]Heat Rates_post2020'!$C$2:$CD$25,MATCH($A19,'[1]Heat Rates_post2020'!$B$2:$B$25,0),MATCH(GY$1,'[1]Heat Rates_post2020'!$C$1:$CD$1,0))</f>
        <v>10348000</v>
      </c>
      <c r="GZ19" s="8">
        <f>INDEX('[1]Heat Rates_post2020'!$C$2:$CD$25,MATCH($A19,'[1]Heat Rates_post2020'!$B$2:$B$25,0),MATCH(GZ$1,'[1]Heat Rates_post2020'!$C$1:$CD$1,0))</f>
        <v>10348000</v>
      </c>
      <c r="HA19" s="8">
        <f>INDEX('[1]Heat Rates_post2020'!$C$2:$CD$25,MATCH($A19,'[1]Heat Rates_post2020'!$B$2:$B$25,0),MATCH(HA$1,'[1]Heat Rates_post2020'!$C$1:$CD$1,0))</f>
        <v>10348000</v>
      </c>
      <c r="HB19" s="8">
        <f>INDEX('[1]Heat Rates_post2020'!$C$2:$CD$25,MATCH($A19,'[1]Heat Rates_post2020'!$B$2:$B$25,0),MATCH(HB$1,'[1]Heat Rates_post2020'!$C$1:$CD$1,0))</f>
        <v>10348000</v>
      </c>
      <c r="HC19" s="8">
        <f>INDEX('[1]Heat Rates_post2020'!$C$2:$CD$25,MATCH($A19,'[1]Heat Rates_post2020'!$B$2:$B$25,0),MATCH(HC$1,'[1]Heat Rates_post2020'!$C$1:$CD$1,0))</f>
        <v>10348000</v>
      </c>
    </row>
    <row r="20" spans="1:211" x14ac:dyDescent="0.25">
      <c r="A20" t="s">
        <v>63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16">
        <f t="shared" si="16"/>
        <v>0</v>
      </c>
      <c r="BT20" s="16">
        <f t="shared" si="16"/>
        <v>0</v>
      </c>
      <c r="BU20" s="16">
        <f t="shared" si="16"/>
        <v>0</v>
      </c>
      <c r="BV20" s="16">
        <f t="shared" si="16"/>
        <v>0</v>
      </c>
      <c r="BW20" s="16">
        <f t="shared" si="16"/>
        <v>0</v>
      </c>
      <c r="BX20" s="16">
        <f t="shared" si="16"/>
        <v>0</v>
      </c>
      <c r="BY20" s="16">
        <f t="shared" si="16"/>
        <v>0</v>
      </c>
      <c r="BZ20" s="16">
        <f t="shared" si="16"/>
        <v>0</v>
      </c>
      <c r="CA20" s="16">
        <f t="shared" si="16"/>
        <v>0</v>
      </c>
      <c r="CB20" s="16">
        <f t="shared" si="16"/>
        <v>0</v>
      </c>
      <c r="CC20" s="16">
        <f t="shared" si="16"/>
        <v>0</v>
      </c>
      <c r="CD20" s="16">
        <f t="shared" si="16"/>
        <v>0</v>
      </c>
      <c r="CE20" s="16">
        <f t="shared" si="16"/>
        <v>0</v>
      </c>
      <c r="CF20" s="16">
        <f t="shared" si="16"/>
        <v>0</v>
      </c>
      <c r="CG20" s="16">
        <f t="shared" si="16"/>
        <v>0</v>
      </c>
      <c r="CH20" s="16">
        <f t="shared" si="16"/>
        <v>0</v>
      </c>
      <c r="CI20" s="16">
        <f t="shared" si="16"/>
        <v>0</v>
      </c>
      <c r="CJ20" s="16">
        <f t="shared" si="16"/>
        <v>0</v>
      </c>
      <c r="CK20" s="16">
        <f t="shared" si="16"/>
        <v>0</v>
      </c>
      <c r="CL20" s="16">
        <f t="shared" si="16"/>
        <v>0</v>
      </c>
      <c r="CM20" s="16">
        <f t="shared" si="16"/>
        <v>0</v>
      </c>
      <c r="CN20" s="16">
        <f t="shared" si="16"/>
        <v>0</v>
      </c>
      <c r="CO20" s="16">
        <f t="shared" si="16"/>
        <v>0</v>
      </c>
      <c r="CP20" s="16">
        <f t="shared" si="16"/>
        <v>0</v>
      </c>
      <c r="CQ20" s="16">
        <f t="shared" si="16"/>
        <v>0</v>
      </c>
      <c r="CR20" s="16">
        <f t="shared" si="16"/>
        <v>0</v>
      </c>
      <c r="CS20" s="16">
        <f t="shared" si="16"/>
        <v>0</v>
      </c>
      <c r="CT20" s="16">
        <f t="shared" si="16"/>
        <v>0</v>
      </c>
      <c r="CU20" s="16">
        <f t="shared" si="16"/>
        <v>0</v>
      </c>
      <c r="CV20" s="16">
        <f t="shared" si="16"/>
        <v>0</v>
      </c>
      <c r="CW20" s="16">
        <f t="shared" si="16"/>
        <v>0</v>
      </c>
      <c r="CX20" s="16">
        <f t="shared" si="16"/>
        <v>0</v>
      </c>
      <c r="CY20" s="16">
        <f t="shared" si="16"/>
        <v>0</v>
      </c>
      <c r="CZ20" s="16">
        <f t="shared" si="16"/>
        <v>0</v>
      </c>
      <c r="DA20" s="16">
        <f t="shared" si="16"/>
        <v>0</v>
      </c>
      <c r="DB20" s="16">
        <f t="shared" si="16"/>
        <v>0</v>
      </c>
      <c r="DC20" s="16">
        <f t="shared" si="16"/>
        <v>0</v>
      </c>
      <c r="DD20" s="16">
        <f t="shared" si="16"/>
        <v>0</v>
      </c>
      <c r="DE20" s="16">
        <f t="shared" si="16"/>
        <v>0</v>
      </c>
      <c r="DF20" s="16">
        <f t="shared" si="16"/>
        <v>0</v>
      </c>
      <c r="DG20" s="16">
        <f t="shared" si="16"/>
        <v>0</v>
      </c>
      <c r="DH20" s="16">
        <f t="shared" si="16"/>
        <v>0</v>
      </c>
      <c r="DI20" s="16">
        <f t="shared" si="16"/>
        <v>0</v>
      </c>
      <c r="DJ20" s="16">
        <f t="shared" si="16"/>
        <v>0</v>
      </c>
      <c r="DK20" s="16">
        <f t="shared" si="16"/>
        <v>0</v>
      </c>
      <c r="DL20" s="16">
        <f t="shared" si="15"/>
        <v>0</v>
      </c>
      <c r="DM20" s="16">
        <f t="shared" si="15"/>
        <v>0</v>
      </c>
      <c r="DN20" s="16">
        <f t="shared" si="15"/>
        <v>0</v>
      </c>
      <c r="DO20" s="16">
        <f t="shared" si="15"/>
        <v>0</v>
      </c>
      <c r="DP20" s="16">
        <f t="shared" si="15"/>
        <v>0</v>
      </c>
      <c r="DQ20" s="16">
        <f t="shared" si="15"/>
        <v>0</v>
      </c>
      <c r="DR20" s="16">
        <f t="shared" si="4"/>
        <v>0</v>
      </c>
      <c r="DS20" s="16">
        <f>IF(Calculations!B147="",0,Calculations!B147)</f>
        <v>0</v>
      </c>
      <c r="DT20" s="16">
        <f>IF(Calculations!C147="",0,Calculations!C147)</f>
        <v>0</v>
      </c>
      <c r="DU20" s="16">
        <f>IF(Calculations!D147="",0,Calculations!D147)</f>
        <v>0</v>
      </c>
      <c r="DV20" s="16">
        <f>IF(Calculations!E147="",0,Calculations!E147)</f>
        <v>0</v>
      </c>
      <c r="DW20" s="16">
        <f>IF(Calculations!F147="",0,Calculations!F147)</f>
        <v>0</v>
      </c>
      <c r="DX20" s="16">
        <f>IF(Calculations!G147="",0,Calculations!G147)</f>
        <v>0</v>
      </c>
      <c r="DY20" s="16">
        <f>IF(Calculations!H147="",0,Calculations!H147)</f>
        <v>0</v>
      </c>
      <c r="DZ20" s="16">
        <f>IF(Calculations!I147="",0,Calculations!I147)</f>
        <v>0</v>
      </c>
      <c r="EA20" s="16">
        <f>IF(Calculations!J147="",0,Calculations!J147)</f>
        <v>0</v>
      </c>
      <c r="EB20" s="17">
        <f>INDEX('[1]Heat Rates_post2020'!$C$2:$CD$25,MATCH($A20,'[1]Heat Rates_post2020'!$B$2:$B$25,0),MATCH(EB$1,'[1]Heat Rates_post2020'!$C$1:$CD$1,0))</f>
        <v>7113500</v>
      </c>
      <c r="EC20" s="8">
        <f>INDEX('[1]Heat Rates_post2020'!$C$2:$CD$25,MATCH($A20,'[1]Heat Rates_post2020'!$B$2:$B$25,0),MATCH(EC$1,'[1]Heat Rates_post2020'!$C$1:$CD$1,0))</f>
        <v>7113500</v>
      </c>
      <c r="ED20" s="8">
        <f>INDEX('[1]Heat Rates_post2020'!$C$2:$CD$25,MATCH($A20,'[1]Heat Rates_post2020'!$B$2:$B$25,0),MATCH(ED$1,'[1]Heat Rates_post2020'!$C$1:$CD$1,0))</f>
        <v>7088500</v>
      </c>
      <c r="EE20" s="8">
        <f>INDEX('[1]Heat Rates_post2020'!$C$2:$CD$25,MATCH($A20,'[1]Heat Rates_post2020'!$B$2:$B$25,0),MATCH(EE$1,'[1]Heat Rates_post2020'!$C$1:$CD$1,0))</f>
        <v>7064000</v>
      </c>
      <c r="EF20" s="8">
        <f>INDEX('[1]Heat Rates_post2020'!$C$2:$CD$25,MATCH($A20,'[1]Heat Rates_post2020'!$B$2:$B$25,0),MATCH(EF$1,'[1]Heat Rates_post2020'!$C$1:$CD$1,0))</f>
        <v>7039500</v>
      </c>
      <c r="EG20" s="8">
        <f>INDEX('[1]Heat Rates_post2020'!$C$2:$CD$25,MATCH($A20,'[1]Heat Rates_post2020'!$B$2:$B$25,0),MATCH(EG$1,'[1]Heat Rates_post2020'!$C$1:$CD$1,0))</f>
        <v>7015000.0000000009</v>
      </c>
      <c r="EH20" s="8">
        <f>INDEX('[1]Heat Rates_post2020'!$C$2:$CD$25,MATCH($A20,'[1]Heat Rates_post2020'!$B$2:$B$25,0),MATCH(EH$1,'[1]Heat Rates_post2020'!$C$1:$CD$1,0))</f>
        <v>6990000</v>
      </c>
      <c r="EI20" s="8">
        <f>INDEX('[1]Heat Rates_post2020'!$C$2:$CD$25,MATCH($A20,'[1]Heat Rates_post2020'!$B$2:$B$25,0),MATCH(EI$1,'[1]Heat Rates_post2020'!$C$1:$CD$1,0))</f>
        <v>6966000</v>
      </c>
      <c r="EJ20" s="8">
        <f>INDEX('[1]Heat Rates_post2020'!$C$2:$CD$25,MATCH($A20,'[1]Heat Rates_post2020'!$B$2:$B$25,0),MATCH(EJ$1,'[1]Heat Rates_post2020'!$C$1:$CD$1,0))</f>
        <v>6941000.0000000009</v>
      </c>
      <c r="EK20" s="8">
        <f>INDEX('[1]Heat Rates_post2020'!$C$2:$CD$25,MATCH($A20,'[1]Heat Rates_post2020'!$B$2:$B$25,0),MATCH(EK$1,'[1]Heat Rates_post2020'!$C$1:$CD$1,0))</f>
        <v>6916500</v>
      </c>
      <c r="EL20" s="8">
        <f>INDEX('[1]Heat Rates_post2020'!$C$2:$CD$25,MATCH($A20,'[1]Heat Rates_post2020'!$B$2:$B$25,0),MATCH(EL$1,'[1]Heat Rates_post2020'!$C$1:$CD$1,0))</f>
        <v>6891500.0000000009</v>
      </c>
      <c r="EM20" s="8">
        <f>INDEX('[1]Heat Rates_post2020'!$C$2:$CD$25,MATCH($A20,'[1]Heat Rates_post2020'!$B$2:$B$25,0),MATCH(EM$1,'[1]Heat Rates_post2020'!$C$1:$CD$1,0))</f>
        <v>6867500</v>
      </c>
      <c r="EN20" s="8">
        <f>INDEX('[1]Heat Rates_post2020'!$C$2:$CD$25,MATCH($A20,'[1]Heat Rates_post2020'!$B$2:$B$25,0),MATCH(EN$1,'[1]Heat Rates_post2020'!$C$1:$CD$1,0))</f>
        <v>6842499.9999999991</v>
      </c>
      <c r="EO20" s="8">
        <f>INDEX('[1]Heat Rates_post2020'!$C$2:$CD$25,MATCH($A20,'[1]Heat Rates_post2020'!$B$2:$B$25,0),MATCH(EO$1,'[1]Heat Rates_post2020'!$C$1:$CD$1,0))</f>
        <v>6818000</v>
      </c>
      <c r="EP20" s="8">
        <f>INDEX('[1]Heat Rates_post2020'!$C$2:$CD$25,MATCH($A20,'[1]Heat Rates_post2020'!$B$2:$B$25,0),MATCH(EP$1,'[1]Heat Rates_post2020'!$C$1:$CD$1,0))</f>
        <v>6793500</v>
      </c>
      <c r="EQ20" s="8">
        <f>INDEX('[1]Heat Rates_post2020'!$C$2:$CD$25,MATCH($A20,'[1]Heat Rates_post2020'!$B$2:$B$25,0),MATCH(EQ$1,'[1]Heat Rates_post2020'!$C$1:$CD$1,0))</f>
        <v>6793500</v>
      </c>
      <c r="ER20" s="8">
        <f>INDEX('[1]Heat Rates_post2020'!$C$2:$CD$25,MATCH($A20,'[1]Heat Rates_post2020'!$B$2:$B$25,0),MATCH(ER$1,'[1]Heat Rates_post2020'!$C$1:$CD$1,0))</f>
        <v>6793500</v>
      </c>
      <c r="ES20" s="8">
        <f>INDEX('[1]Heat Rates_post2020'!$C$2:$CD$25,MATCH($A20,'[1]Heat Rates_post2020'!$B$2:$B$25,0),MATCH(ES$1,'[1]Heat Rates_post2020'!$C$1:$CD$1,0))</f>
        <v>6793500</v>
      </c>
      <c r="ET20" s="8">
        <f>INDEX('[1]Heat Rates_post2020'!$C$2:$CD$25,MATCH($A20,'[1]Heat Rates_post2020'!$B$2:$B$25,0),MATCH(ET$1,'[1]Heat Rates_post2020'!$C$1:$CD$1,0))</f>
        <v>6793500</v>
      </c>
      <c r="EU20" s="8">
        <f>INDEX('[1]Heat Rates_post2020'!$C$2:$CD$25,MATCH($A20,'[1]Heat Rates_post2020'!$B$2:$B$25,0),MATCH(EU$1,'[1]Heat Rates_post2020'!$C$1:$CD$1,0))</f>
        <v>6793500</v>
      </c>
      <c r="EV20" s="8">
        <f>INDEX('[1]Heat Rates_post2020'!$C$2:$CD$25,MATCH($A20,'[1]Heat Rates_post2020'!$B$2:$B$25,0),MATCH(EV$1,'[1]Heat Rates_post2020'!$C$1:$CD$1,0))</f>
        <v>6793500</v>
      </c>
      <c r="EW20" s="8">
        <f>INDEX('[1]Heat Rates_post2020'!$C$2:$CD$25,MATCH($A20,'[1]Heat Rates_post2020'!$B$2:$B$25,0),MATCH(EW$1,'[1]Heat Rates_post2020'!$C$1:$CD$1,0))</f>
        <v>6793500</v>
      </c>
      <c r="EX20" s="8">
        <f>INDEX('[1]Heat Rates_post2020'!$C$2:$CD$25,MATCH($A20,'[1]Heat Rates_post2020'!$B$2:$B$25,0),MATCH(EX$1,'[1]Heat Rates_post2020'!$C$1:$CD$1,0))</f>
        <v>6793500</v>
      </c>
      <c r="EY20" s="8">
        <f>INDEX('[1]Heat Rates_post2020'!$C$2:$CD$25,MATCH($A20,'[1]Heat Rates_post2020'!$B$2:$B$25,0),MATCH(EY$1,'[1]Heat Rates_post2020'!$C$1:$CD$1,0))</f>
        <v>6793500</v>
      </c>
      <c r="EZ20" s="8">
        <f>INDEX('[1]Heat Rates_post2020'!$C$2:$CD$25,MATCH($A20,'[1]Heat Rates_post2020'!$B$2:$B$25,0),MATCH(EZ$1,'[1]Heat Rates_post2020'!$C$1:$CD$1,0))</f>
        <v>6793500</v>
      </c>
      <c r="FA20" s="8">
        <f>INDEX('[1]Heat Rates_post2020'!$C$2:$CD$25,MATCH($A20,'[1]Heat Rates_post2020'!$B$2:$B$25,0),MATCH(FA$1,'[1]Heat Rates_post2020'!$C$1:$CD$1,0))</f>
        <v>6793500</v>
      </c>
      <c r="FB20" s="8">
        <f>INDEX('[1]Heat Rates_post2020'!$C$2:$CD$25,MATCH($A20,'[1]Heat Rates_post2020'!$B$2:$B$25,0),MATCH(FB$1,'[1]Heat Rates_post2020'!$C$1:$CD$1,0))</f>
        <v>6793500</v>
      </c>
      <c r="FC20" s="8">
        <f>INDEX('[1]Heat Rates_post2020'!$C$2:$CD$25,MATCH($A20,'[1]Heat Rates_post2020'!$B$2:$B$25,0),MATCH(FC$1,'[1]Heat Rates_post2020'!$C$1:$CD$1,0))</f>
        <v>6793500</v>
      </c>
      <c r="FD20" s="8">
        <f>INDEX('[1]Heat Rates_post2020'!$C$2:$CD$25,MATCH($A20,'[1]Heat Rates_post2020'!$B$2:$B$25,0),MATCH(FD$1,'[1]Heat Rates_post2020'!$C$1:$CD$1,0))</f>
        <v>6793500</v>
      </c>
      <c r="FE20" s="8">
        <f>INDEX('[1]Heat Rates_post2020'!$C$2:$CD$25,MATCH($A20,'[1]Heat Rates_post2020'!$B$2:$B$25,0),MATCH(FE$1,'[1]Heat Rates_post2020'!$C$1:$CD$1,0))</f>
        <v>6793500</v>
      </c>
      <c r="FF20" s="8">
        <f>INDEX('[1]Heat Rates_post2020'!$C$2:$CD$25,MATCH($A20,'[1]Heat Rates_post2020'!$B$2:$B$25,0),MATCH(FF$1,'[1]Heat Rates_post2020'!$C$1:$CD$1,0))</f>
        <v>6793500</v>
      </c>
      <c r="FG20" s="8">
        <f>INDEX('[1]Heat Rates_post2020'!$C$2:$CD$25,MATCH($A20,'[1]Heat Rates_post2020'!$B$2:$B$25,0),MATCH(FG$1,'[1]Heat Rates_post2020'!$C$1:$CD$1,0))</f>
        <v>6793500</v>
      </c>
      <c r="FH20" s="8">
        <f>INDEX('[1]Heat Rates_post2020'!$C$2:$CD$25,MATCH($A20,'[1]Heat Rates_post2020'!$B$2:$B$25,0),MATCH(FH$1,'[1]Heat Rates_post2020'!$C$1:$CD$1,0))</f>
        <v>6793500</v>
      </c>
      <c r="FI20" s="8">
        <f>INDEX('[1]Heat Rates_post2020'!$C$2:$CD$25,MATCH($A20,'[1]Heat Rates_post2020'!$B$2:$B$25,0),MATCH(FI$1,'[1]Heat Rates_post2020'!$C$1:$CD$1,0))</f>
        <v>6793500</v>
      </c>
      <c r="FJ20" s="8">
        <f>INDEX('[1]Heat Rates_post2020'!$C$2:$CD$25,MATCH($A20,'[1]Heat Rates_post2020'!$B$2:$B$25,0),MATCH(FJ$1,'[1]Heat Rates_post2020'!$C$1:$CD$1,0))</f>
        <v>6793500</v>
      </c>
      <c r="FK20" s="8">
        <f>INDEX('[1]Heat Rates_post2020'!$C$2:$CD$25,MATCH($A20,'[1]Heat Rates_post2020'!$B$2:$B$25,0),MATCH(FK$1,'[1]Heat Rates_post2020'!$C$1:$CD$1,0))</f>
        <v>6793500</v>
      </c>
      <c r="FL20" s="8">
        <f>INDEX('[1]Heat Rates_post2020'!$C$2:$CD$25,MATCH($A20,'[1]Heat Rates_post2020'!$B$2:$B$25,0),MATCH(FL$1,'[1]Heat Rates_post2020'!$C$1:$CD$1,0))</f>
        <v>6793500</v>
      </c>
      <c r="FM20" s="8">
        <f>INDEX('[1]Heat Rates_post2020'!$C$2:$CD$25,MATCH($A20,'[1]Heat Rates_post2020'!$B$2:$B$25,0),MATCH(FM$1,'[1]Heat Rates_post2020'!$C$1:$CD$1,0))</f>
        <v>6793500</v>
      </c>
      <c r="FN20" s="8">
        <f>INDEX('[1]Heat Rates_post2020'!$C$2:$CD$25,MATCH($A20,'[1]Heat Rates_post2020'!$B$2:$B$25,0),MATCH(FN$1,'[1]Heat Rates_post2020'!$C$1:$CD$1,0))</f>
        <v>6793500</v>
      </c>
      <c r="FO20" s="8">
        <f>INDEX('[1]Heat Rates_post2020'!$C$2:$CD$25,MATCH($A20,'[1]Heat Rates_post2020'!$B$2:$B$25,0),MATCH(FO$1,'[1]Heat Rates_post2020'!$C$1:$CD$1,0))</f>
        <v>6793500</v>
      </c>
      <c r="FP20" s="8">
        <f>INDEX('[1]Heat Rates_post2020'!$C$2:$CD$25,MATCH($A20,'[1]Heat Rates_post2020'!$B$2:$B$25,0),MATCH(FP$1,'[1]Heat Rates_post2020'!$C$1:$CD$1,0))</f>
        <v>6793500</v>
      </c>
      <c r="FQ20" s="8">
        <f>INDEX('[1]Heat Rates_post2020'!$C$2:$CD$25,MATCH($A20,'[1]Heat Rates_post2020'!$B$2:$B$25,0),MATCH(FQ$1,'[1]Heat Rates_post2020'!$C$1:$CD$1,0))</f>
        <v>6793500</v>
      </c>
      <c r="FR20" s="8">
        <f>INDEX('[1]Heat Rates_post2020'!$C$2:$CD$25,MATCH($A20,'[1]Heat Rates_post2020'!$B$2:$B$25,0),MATCH(FR$1,'[1]Heat Rates_post2020'!$C$1:$CD$1,0))</f>
        <v>6793500</v>
      </c>
      <c r="FS20" s="8">
        <f>INDEX('[1]Heat Rates_post2020'!$C$2:$CD$25,MATCH($A20,'[1]Heat Rates_post2020'!$B$2:$B$25,0),MATCH(FS$1,'[1]Heat Rates_post2020'!$C$1:$CD$1,0))</f>
        <v>6793500</v>
      </c>
      <c r="FT20" s="8">
        <f>INDEX('[1]Heat Rates_post2020'!$C$2:$CD$25,MATCH($A20,'[1]Heat Rates_post2020'!$B$2:$B$25,0),MATCH(FT$1,'[1]Heat Rates_post2020'!$C$1:$CD$1,0))</f>
        <v>6793500</v>
      </c>
      <c r="FU20" s="8">
        <f>INDEX('[1]Heat Rates_post2020'!$C$2:$CD$25,MATCH($A20,'[1]Heat Rates_post2020'!$B$2:$B$25,0),MATCH(FU$1,'[1]Heat Rates_post2020'!$C$1:$CD$1,0))</f>
        <v>6793500</v>
      </c>
      <c r="FV20" s="8">
        <f>INDEX('[1]Heat Rates_post2020'!$C$2:$CD$25,MATCH($A20,'[1]Heat Rates_post2020'!$B$2:$B$25,0),MATCH(FV$1,'[1]Heat Rates_post2020'!$C$1:$CD$1,0))</f>
        <v>6793500</v>
      </c>
      <c r="FW20" s="8">
        <f>INDEX('[1]Heat Rates_post2020'!$C$2:$CD$25,MATCH($A20,'[1]Heat Rates_post2020'!$B$2:$B$25,0),MATCH(FW$1,'[1]Heat Rates_post2020'!$C$1:$CD$1,0))</f>
        <v>6793500</v>
      </c>
      <c r="FX20" s="8">
        <f>INDEX('[1]Heat Rates_post2020'!$C$2:$CD$25,MATCH($A20,'[1]Heat Rates_post2020'!$B$2:$B$25,0),MATCH(FX$1,'[1]Heat Rates_post2020'!$C$1:$CD$1,0))</f>
        <v>6793500</v>
      </c>
      <c r="FY20" s="8">
        <f>INDEX('[1]Heat Rates_post2020'!$C$2:$CD$25,MATCH($A20,'[1]Heat Rates_post2020'!$B$2:$B$25,0),MATCH(FY$1,'[1]Heat Rates_post2020'!$C$1:$CD$1,0))</f>
        <v>6793500</v>
      </c>
      <c r="FZ20" s="8">
        <f>INDEX('[1]Heat Rates_post2020'!$C$2:$CD$25,MATCH($A20,'[1]Heat Rates_post2020'!$B$2:$B$25,0),MATCH(FZ$1,'[1]Heat Rates_post2020'!$C$1:$CD$1,0))</f>
        <v>6793500</v>
      </c>
      <c r="GA20" s="8">
        <f>INDEX('[1]Heat Rates_post2020'!$C$2:$CD$25,MATCH($A20,'[1]Heat Rates_post2020'!$B$2:$B$25,0),MATCH(GA$1,'[1]Heat Rates_post2020'!$C$1:$CD$1,0))</f>
        <v>6793500</v>
      </c>
      <c r="GB20" s="8">
        <f>INDEX('[1]Heat Rates_post2020'!$C$2:$CD$25,MATCH($A20,'[1]Heat Rates_post2020'!$B$2:$B$25,0),MATCH(GB$1,'[1]Heat Rates_post2020'!$C$1:$CD$1,0))</f>
        <v>6793500</v>
      </c>
      <c r="GC20" s="8">
        <f>INDEX('[1]Heat Rates_post2020'!$C$2:$CD$25,MATCH($A20,'[1]Heat Rates_post2020'!$B$2:$B$25,0),MATCH(GC$1,'[1]Heat Rates_post2020'!$C$1:$CD$1,0))</f>
        <v>6793500</v>
      </c>
      <c r="GD20" s="8">
        <f>INDEX('[1]Heat Rates_post2020'!$C$2:$CD$25,MATCH($A20,'[1]Heat Rates_post2020'!$B$2:$B$25,0),MATCH(GD$1,'[1]Heat Rates_post2020'!$C$1:$CD$1,0))</f>
        <v>6793500</v>
      </c>
      <c r="GE20" s="8">
        <f>INDEX('[1]Heat Rates_post2020'!$C$2:$CD$25,MATCH($A20,'[1]Heat Rates_post2020'!$B$2:$B$25,0),MATCH(GE$1,'[1]Heat Rates_post2020'!$C$1:$CD$1,0))</f>
        <v>6793500</v>
      </c>
      <c r="GF20" s="8">
        <f>INDEX('[1]Heat Rates_post2020'!$C$2:$CD$25,MATCH($A20,'[1]Heat Rates_post2020'!$B$2:$B$25,0),MATCH(GF$1,'[1]Heat Rates_post2020'!$C$1:$CD$1,0))</f>
        <v>6793500</v>
      </c>
      <c r="GG20" s="8">
        <f>INDEX('[1]Heat Rates_post2020'!$C$2:$CD$25,MATCH($A20,'[1]Heat Rates_post2020'!$B$2:$B$25,0),MATCH(GG$1,'[1]Heat Rates_post2020'!$C$1:$CD$1,0))</f>
        <v>6793500</v>
      </c>
      <c r="GH20" s="8">
        <f>INDEX('[1]Heat Rates_post2020'!$C$2:$CD$25,MATCH($A20,'[1]Heat Rates_post2020'!$B$2:$B$25,0),MATCH(GH$1,'[1]Heat Rates_post2020'!$C$1:$CD$1,0))</f>
        <v>6793500</v>
      </c>
      <c r="GI20" s="8">
        <f>INDEX('[1]Heat Rates_post2020'!$C$2:$CD$25,MATCH($A20,'[1]Heat Rates_post2020'!$B$2:$B$25,0),MATCH(GI$1,'[1]Heat Rates_post2020'!$C$1:$CD$1,0))</f>
        <v>6793500</v>
      </c>
      <c r="GJ20" s="8">
        <f>INDEX('[1]Heat Rates_post2020'!$C$2:$CD$25,MATCH($A20,'[1]Heat Rates_post2020'!$B$2:$B$25,0),MATCH(GJ$1,'[1]Heat Rates_post2020'!$C$1:$CD$1,0))</f>
        <v>6793500</v>
      </c>
      <c r="GK20" s="8">
        <f>INDEX('[1]Heat Rates_post2020'!$C$2:$CD$25,MATCH($A20,'[1]Heat Rates_post2020'!$B$2:$B$25,0),MATCH(GK$1,'[1]Heat Rates_post2020'!$C$1:$CD$1,0))</f>
        <v>6793500</v>
      </c>
      <c r="GL20" s="8">
        <f>INDEX('[1]Heat Rates_post2020'!$C$2:$CD$25,MATCH($A20,'[1]Heat Rates_post2020'!$B$2:$B$25,0),MATCH(GL$1,'[1]Heat Rates_post2020'!$C$1:$CD$1,0))</f>
        <v>6793500</v>
      </c>
      <c r="GM20" s="8">
        <f>INDEX('[1]Heat Rates_post2020'!$C$2:$CD$25,MATCH($A20,'[1]Heat Rates_post2020'!$B$2:$B$25,0),MATCH(GM$1,'[1]Heat Rates_post2020'!$C$1:$CD$1,0))</f>
        <v>6793500</v>
      </c>
      <c r="GN20" s="8">
        <f>INDEX('[1]Heat Rates_post2020'!$C$2:$CD$25,MATCH($A20,'[1]Heat Rates_post2020'!$B$2:$B$25,0),MATCH(GN$1,'[1]Heat Rates_post2020'!$C$1:$CD$1,0))</f>
        <v>6793500</v>
      </c>
      <c r="GO20" s="8">
        <f>INDEX('[1]Heat Rates_post2020'!$C$2:$CD$25,MATCH($A20,'[1]Heat Rates_post2020'!$B$2:$B$25,0),MATCH(GO$1,'[1]Heat Rates_post2020'!$C$1:$CD$1,0))</f>
        <v>6793500</v>
      </c>
      <c r="GP20" s="8">
        <f>INDEX('[1]Heat Rates_post2020'!$C$2:$CD$25,MATCH($A20,'[1]Heat Rates_post2020'!$B$2:$B$25,0),MATCH(GP$1,'[1]Heat Rates_post2020'!$C$1:$CD$1,0))</f>
        <v>6793500</v>
      </c>
      <c r="GQ20" s="8">
        <f>INDEX('[1]Heat Rates_post2020'!$C$2:$CD$25,MATCH($A20,'[1]Heat Rates_post2020'!$B$2:$B$25,0),MATCH(GQ$1,'[1]Heat Rates_post2020'!$C$1:$CD$1,0))</f>
        <v>6793500</v>
      </c>
      <c r="GR20" s="8">
        <f>INDEX('[1]Heat Rates_post2020'!$C$2:$CD$25,MATCH($A20,'[1]Heat Rates_post2020'!$B$2:$B$25,0),MATCH(GR$1,'[1]Heat Rates_post2020'!$C$1:$CD$1,0))</f>
        <v>6793500</v>
      </c>
      <c r="GS20" s="8">
        <f>INDEX('[1]Heat Rates_post2020'!$C$2:$CD$25,MATCH($A20,'[1]Heat Rates_post2020'!$B$2:$B$25,0),MATCH(GS$1,'[1]Heat Rates_post2020'!$C$1:$CD$1,0))</f>
        <v>6793500</v>
      </c>
      <c r="GT20" s="8">
        <f>INDEX('[1]Heat Rates_post2020'!$C$2:$CD$25,MATCH($A20,'[1]Heat Rates_post2020'!$B$2:$B$25,0),MATCH(GT$1,'[1]Heat Rates_post2020'!$C$1:$CD$1,0))</f>
        <v>6793500</v>
      </c>
      <c r="GU20" s="8">
        <f>INDEX('[1]Heat Rates_post2020'!$C$2:$CD$25,MATCH($A20,'[1]Heat Rates_post2020'!$B$2:$B$25,0),MATCH(GU$1,'[1]Heat Rates_post2020'!$C$1:$CD$1,0))</f>
        <v>6793500</v>
      </c>
      <c r="GV20" s="8">
        <f>INDEX('[1]Heat Rates_post2020'!$C$2:$CD$25,MATCH($A20,'[1]Heat Rates_post2020'!$B$2:$B$25,0),MATCH(GV$1,'[1]Heat Rates_post2020'!$C$1:$CD$1,0))</f>
        <v>6793500</v>
      </c>
      <c r="GW20" s="8">
        <f>INDEX('[1]Heat Rates_post2020'!$C$2:$CD$25,MATCH($A20,'[1]Heat Rates_post2020'!$B$2:$B$25,0),MATCH(GW$1,'[1]Heat Rates_post2020'!$C$1:$CD$1,0))</f>
        <v>6793500</v>
      </c>
      <c r="GX20" s="8">
        <f>INDEX('[1]Heat Rates_post2020'!$C$2:$CD$25,MATCH($A20,'[1]Heat Rates_post2020'!$B$2:$B$25,0),MATCH(GX$1,'[1]Heat Rates_post2020'!$C$1:$CD$1,0))</f>
        <v>6793500</v>
      </c>
      <c r="GY20" s="8">
        <f>INDEX('[1]Heat Rates_post2020'!$C$2:$CD$25,MATCH($A20,'[1]Heat Rates_post2020'!$B$2:$B$25,0),MATCH(GY$1,'[1]Heat Rates_post2020'!$C$1:$CD$1,0))</f>
        <v>6793500</v>
      </c>
      <c r="GZ20" s="8">
        <f>INDEX('[1]Heat Rates_post2020'!$C$2:$CD$25,MATCH($A20,'[1]Heat Rates_post2020'!$B$2:$B$25,0),MATCH(GZ$1,'[1]Heat Rates_post2020'!$C$1:$CD$1,0))</f>
        <v>6793500</v>
      </c>
      <c r="HA20" s="8">
        <f>INDEX('[1]Heat Rates_post2020'!$C$2:$CD$25,MATCH($A20,'[1]Heat Rates_post2020'!$B$2:$B$25,0),MATCH(HA$1,'[1]Heat Rates_post2020'!$C$1:$CD$1,0))</f>
        <v>6793500</v>
      </c>
      <c r="HB20" s="8">
        <f>INDEX('[1]Heat Rates_post2020'!$C$2:$CD$25,MATCH($A20,'[1]Heat Rates_post2020'!$B$2:$B$25,0),MATCH(HB$1,'[1]Heat Rates_post2020'!$C$1:$CD$1,0))</f>
        <v>6793500</v>
      </c>
      <c r="HC20" s="8">
        <f>INDEX('[1]Heat Rates_post2020'!$C$2:$CD$25,MATCH($A20,'[1]Heat Rates_post2020'!$B$2:$B$25,0),MATCH(HC$1,'[1]Heat Rates_post2020'!$C$1:$CD$1,0))</f>
        <v>6793500</v>
      </c>
    </row>
    <row r="21" spans="1:211" x14ac:dyDescent="0.25">
      <c r="A21" t="s">
        <v>64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16">
        <f t="shared" si="16"/>
        <v>0</v>
      </c>
      <c r="BT21" s="16">
        <f t="shared" si="16"/>
        <v>0</v>
      </c>
      <c r="BU21" s="16">
        <f t="shared" si="16"/>
        <v>0</v>
      </c>
      <c r="BV21" s="16">
        <f t="shared" si="16"/>
        <v>0</v>
      </c>
      <c r="BW21" s="16">
        <f t="shared" si="16"/>
        <v>0</v>
      </c>
      <c r="BX21" s="16">
        <f t="shared" si="16"/>
        <v>0</v>
      </c>
      <c r="BY21" s="16">
        <f t="shared" si="16"/>
        <v>0</v>
      </c>
      <c r="BZ21" s="16">
        <f t="shared" si="16"/>
        <v>0</v>
      </c>
      <c r="CA21" s="16">
        <f t="shared" si="16"/>
        <v>0</v>
      </c>
      <c r="CB21" s="16">
        <f t="shared" si="16"/>
        <v>0</v>
      </c>
      <c r="CC21" s="16">
        <f t="shared" si="16"/>
        <v>0</v>
      </c>
      <c r="CD21" s="16">
        <f t="shared" si="16"/>
        <v>0</v>
      </c>
      <c r="CE21" s="16">
        <f t="shared" si="16"/>
        <v>0</v>
      </c>
      <c r="CF21" s="16">
        <f t="shared" si="16"/>
        <v>0</v>
      </c>
      <c r="CG21" s="16">
        <f t="shared" si="16"/>
        <v>0</v>
      </c>
      <c r="CH21" s="16">
        <f t="shared" si="16"/>
        <v>0</v>
      </c>
      <c r="CI21" s="16">
        <f t="shared" si="16"/>
        <v>0</v>
      </c>
      <c r="CJ21" s="16">
        <f t="shared" si="16"/>
        <v>0</v>
      </c>
      <c r="CK21" s="16">
        <f t="shared" si="16"/>
        <v>0</v>
      </c>
      <c r="CL21" s="16">
        <f t="shared" si="16"/>
        <v>0</v>
      </c>
      <c r="CM21" s="16">
        <f t="shared" si="16"/>
        <v>0</v>
      </c>
      <c r="CN21" s="16">
        <f t="shared" si="16"/>
        <v>0</v>
      </c>
      <c r="CO21" s="16">
        <f t="shared" si="16"/>
        <v>0</v>
      </c>
      <c r="CP21" s="16">
        <f t="shared" si="16"/>
        <v>0</v>
      </c>
      <c r="CQ21" s="16">
        <f t="shared" si="16"/>
        <v>0</v>
      </c>
      <c r="CR21" s="16">
        <f t="shared" si="16"/>
        <v>0</v>
      </c>
      <c r="CS21" s="16">
        <f t="shared" si="16"/>
        <v>0</v>
      </c>
      <c r="CT21" s="16">
        <f t="shared" si="16"/>
        <v>0</v>
      </c>
      <c r="CU21" s="16">
        <f t="shared" si="16"/>
        <v>0</v>
      </c>
      <c r="CV21" s="16">
        <f t="shared" si="16"/>
        <v>0</v>
      </c>
      <c r="CW21" s="16">
        <f t="shared" si="16"/>
        <v>0</v>
      </c>
      <c r="CX21" s="16">
        <f t="shared" si="16"/>
        <v>0</v>
      </c>
      <c r="CY21" s="16">
        <f t="shared" si="16"/>
        <v>0</v>
      </c>
      <c r="CZ21" s="16">
        <f t="shared" si="16"/>
        <v>0</v>
      </c>
      <c r="DA21" s="16">
        <f t="shared" si="16"/>
        <v>0</v>
      </c>
      <c r="DB21" s="16">
        <f t="shared" si="16"/>
        <v>0</v>
      </c>
      <c r="DC21" s="16">
        <f t="shared" si="16"/>
        <v>0</v>
      </c>
      <c r="DD21" s="16">
        <f t="shared" si="16"/>
        <v>0</v>
      </c>
      <c r="DE21" s="16">
        <f t="shared" si="16"/>
        <v>0</v>
      </c>
      <c r="DF21" s="16">
        <f t="shared" si="16"/>
        <v>0</v>
      </c>
      <c r="DG21" s="16">
        <f t="shared" si="16"/>
        <v>0</v>
      </c>
      <c r="DH21" s="16">
        <f t="shared" si="16"/>
        <v>0</v>
      </c>
      <c r="DI21" s="16">
        <f t="shared" si="16"/>
        <v>0</v>
      </c>
      <c r="DJ21" s="16">
        <f t="shared" si="16"/>
        <v>0</v>
      </c>
      <c r="DK21" s="16">
        <f t="shared" si="16"/>
        <v>0</v>
      </c>
      <c r="DL21" s="16">
        <f t="shared" si="15"/>
        <v>0</v>
      </c>
      <c r="DM21" s="16">
        <f t="shared" si="15"/>
        <v>0</v>
      </c>
      <c r="DN21" s="16">
        <f t="shared" si="15"/>
        <v>0</v>
      </c>
      <c r="DO21" s="16">
        <f t="shared" si="15"/>
        <v>0</v>
      </c>
      <c r="DP21" s="16">
        <f t="shared" si="15"/>
        <v>0</v>
      </c>
      <c r="DQ21" s="16">
        <f t="shared" si="15"/>
        <v>0</v>
      </c>
      <c r="DR21" s="16">
        <f t="shared" si="4"/>
        <v>0</v>
      </c>
      <c r="DS21" s="16">
        <f>IF(Calculations!B148="",0,Calculations!B148)</f>
        <v>0</v>
      </c>
      <c r="DT21" s="16">
        <f>IF(Calculations!C148="",0,Calculations!C148)</f>
        <v>0</v>
      </c>
      <c r="DU21" s="16">
        <f>IF(Calculations!D148="",0,Calculations!D148)</f>
        <v>0</v>
      </c>
      <c r="DV21" s="16">
        <f>IF(Calculations!E148="",0,Calculations!E148)</f>
        <v>0</v>
      </c>
      <c r="DW21" s="16">
        <f>IF(Calculations!F148="",0,Calculations!F148)</f>
        <v>0</v>
      </c>
      <c r="DX21" s="16">
        <f>IF(Calculations!G148="",0,Calculations!G148)</f>
        <v>0</v>
      </c>
      <c r="DY21" s="16">
        <f>IF(Calculations!H148="",0,Calculations!H148)</f>
        <v>0</v>
      </c>
      <c r="DZ21" s="16">
        <f>IF(Calculations!I148="",0,Calculations!I148)</f>
        <v>0</v>
      </c>
      <c r="EA21" s="16">
        <f>IF(Calculations!J148="",0,Calculations!J148)</f>
        <v>0</v>
      </c>
      <c r="EB21" s="17">
        <f>INDEX('[1]Heat Rates_post2020'!$C$2:$CD$25,MATCH($A21,'[1]Heat Rates_post2020'!$B$2:$B$25,0),MATCH(EB$1,'[1]Heat Rates_post2020'!$C$1:$CD$1,0))</f>
        <v>15244000</v>
      </c>
      <c r="EC21" s="8">
        <f>INDEX('[1]Heat Rates_post2020'!$C$2:$CD$25,MATCH($A21,'[1]Heat Rates_post2020'!$B$2:$B$25,0),MATCH(EC$1,'[1]Heat Rates_post2020'!$C$1:$CD$1,0))</f>
        <v>15193000</v>
      </c>
      <c r="ED21" s="8">
        <f>INDEX('[1]Heat Rates_post2020'!$C$2:$CD$25,MATCH($A21,'[1]Heat Rates_post2020'!$B$2:$B$25,0),MATCH(ED$1,'[1]Heat Rates_post2020'!$C$1:$CD$1,0))</f>
        <v>15142000</v>
      </c>
      <c r="EE21" s="8">
        <f>INDEX('[1]Heat Rates_post2020'!$C$2:$CD$25,MATCH($A21,'[1]Heat Rates_post2020'!$B$2:$B$25,0),MATCH(EE$1,'[1]Heat Rates_post2020'!$C$1:$CD$1,0))</f>
        <v>15091000</v>
      </c>
      <c r="EF21" s="8">
        <f>INDEX('[1]Heat Rates_post2020'!$C$2:$CD$25,MATCH($A21,'[1]Heat Rates_post2020'!$B$2:$B$25,0),MATCH(EF$1,'[1]Heat Rates_post2020'!$C$1:$CD$1,0))</f>
        <v>15040000</v>
      </c>
      <c r="EG21" s="8">
        <f>INDEX('[1]Heat Rates_post2020'!$C$2:$CD$25,MATCH($A21,'[1]Heat Rates_post2020'!$B$2:$B$25,0),MATCH(EG$1,'[1]Heat Rates_post2020'!$C$1:$CD$1,0))</f>
        <v>14989000</v>
      </c>
      <c r="EH21" s="8">
        <f>INDEX('[1]Heat Rates_post2020'!$C$2:$CD$25,MATCH($A21,'[1]Heat Rates_post2020'!$B$2:$B$25,0),MATCH(EH$1,'[1]Heat Rates_post2020'!$C$1:$CD$1,0))</f>
        <v>14938000</v>
      </c>
      <c r="EI21" s="8">
        <f>INDEX('[1]Heat Rates_post2020'!$C$2:$CD$25,MATCH($A21,'[1]Heat Rates_post2020'!$B$2:$B$25,0),MATCH(EI$1,'[1]Heat Rates_post2020'!$C$1:$CD$1,0))</f>
        <v>14887000</v>
      </c>
      <c r="EJ21" s="8">
        <f>INDEX('[1]Heat Rates_post2020'!$C$2:$CD$25,MATCH($A21,'[1]Heat Rates_post2020'!$B$2:$B$25,0),MATCH(EJ$1,'[1]Heat Rates_post2020'!$C$1:$CD$1,0))</f>
        <v>14836000</v>
      </c>
      <c r="EK21" s="8">
        <f>INDEX('[1]Heat Rates_post2020'!$C$2:$CD$25,MATCH($A21,'[1]Heat Rates_post2020'!$B$2:$B$25,0),MATCH(EK$1,'[1]Heat Rates_post2020'!$C$1:$CD$1,0))</f>
        <v>14785000</v>
      </c>
      <c r="EL21" s="8">
        <f>INDEX('[1]Heat Rates_post2020'!$C$2:$CD$25,MATCH($A21,'[1]Heat Rates_post2020'!$B$2:$B$25,0),MATCH(EL$1,'[1]Heat Rates_post2020'!$C$1:$CD$1,0))</f>
        <v>14738800</v>
      </c>
      <c r="EM21" s="8">
        <f>INDEX('[1]Heat Rates_post2020'!$C$2:$CD$25,MATCH($A21,'[1]Heat Rates_post2020'!$B$2:$B$25,0),MATCH(EM$1,'[1]Heat Rates_post2020'!$C$1:$CD$1,0))</f>
        <v>14692600</v>
      </c>
      <c r="EN21" s="8">
        <f>INDEX('[1]Heat Rates_post2020'!$C$2:$CD$25,MATCH($A21,'[1]Heat Rates_post2020'!$B$2:$B$25,0),MATCH(EN$1,'[1]Heat Rates_post2020'!$C$1:$CD$1,0))</f>
        <v>14646400</v>
      </c>
      <c r="EO21" s="8">
        <f>INDEX('[1]Heat Rates_post2020'!$C$2:$CD$25,MATCH($A21,'[1]Heat Rates_post2020'!$B$2:$B$25,0),MATCH(EO$1,'[1]Heat Rates_post2020'!$C$1:$CD$1,0))</f>
        <v>14600200</v>
      </c>
      <c r="EP21" s="8">
        <f>INDEX('[1]Heat Rates_post2020'!$C$2:$CD$25,MATCH($A21,'[1]Heat Rates_post2020'!$B$2:$B$25,0),MATCH(EP$1,'[1]Heat Rates_post2020'!$C$1:$CD$1,0))</f>
        <v>14554000</v>
      </c>
      <c r="EQ21" s="8">
        <f>INDEX('[1]Heat Rates_post2020'!$C$2:$CD$25,MATCH($A21,'[1]Heat Rates_post2020'!$B$2:$B$25,0),MATCH(EQ$1,'[1]Heat Rates_post2020'!$C$1:$CD$1,0))</f>
        <v>14507800</v>
      </c>
      <c r="ER21" s="8">
        <f>INDEX('[1]Heat Rates_post2020'!$C$2:$CD$25,MATCH($A21,'[1]Heat Rates_post2020'!$B$2:$B$25,0),MATCH(ER$1,'[1]Heat Rates_post2020'!$C$1:$CD$1,0))</f>
        <v>14461600</v>
      </c>
      <c r="ES21" s="8">
        <f>INDEX('[1]Heat Rates_post2020'!$C$2:$CD$25,MATCH($A21,'[1]Heat Rates_post2020'!$B$2:$B$25,0),MATCH(ES$1,'[1]Heat Rates_post2020'!$C$1:$CD$1,0))</f>
        <v>14415400</v>
      </c>
      <c r="ET21" s="8">
        <f>INDEX('[1]Heat Rates_post2020'!$C$2:$CD$25,MATCH($A21,'[1]Heat Rates_post2020'!$B$2:$B$25,0),MATCH(ET$1,'[1]Heat Rates_post2020'!$C$1:$CD$1,0))</f>
        <v>14369200</v>
      </c>
      <c r="EU21" s="8">
        <f>INDEX('[1]Heat Rates_post2020'!$C$2:$CD$25,MATCH($A21,'[1]Heat Rates_post2020'!$B$2:$B$25,0),MATCH(EU$1,'[1]Heat Rates_post2020'!$C$1:$CD$1,0))</f>
        <v>14323000</v>
      </c>
      <c r="EV21" s="8">
        <f>INDEX('[1]Heat Rates_post2020'!$C$2:$CD$25,MATCH($A21,'[1]Heat Rates_post2020'!$B$2:$B$25,0),MATCH(EV$1,'[1]Heat Rates_post2020'!$C$1:$CD$1,0))</f>
        <v>14276800</v>
      </c>
      <c r="EW21" s="8">
        <f>INDEX('[1]Heat Rates_post2020'!$C$2:$CD$25,MATCH($A21,'[1]Heat Rates_post2020'!$B$2:$B$25,0),MATCH(EW$1,'[1]Heat Rates_post2020'!$C$1:$CD$1,0))</f>
        <v>14230600</v>
      </c>
      <c r="EX21" s="8">
        <f>INDEX('[1]Heat Rates_post2020'!$C$2:$CD$25,MATCH($A21,'[1]Heat Rates_post2020'!$B$2:$B$25,0),MATCH(EX$1,'[1]Heat Rates_post2020'!$C$1:$CD$1,0))</f>
        <v>14184400</v>
      </c>
      <c r="EY21" s="8">
        <f>INDEX('[1]Heat Rates_post2020'!$C$2:$CD$25,MATCH($A21,'[1]Heat Rates_post2020'!$B$2:$B$25,0),MATCH(EY$1,'[1]Heat Rates_post2020'!$C$1:$CD$1,0))</f>
        <v>14138200</v>
      </c>
      <c r="EZ21" s="8">
        <f>INDEX('[1]Heat Rates_post2020'!$C$2:$CD$25,MATCH($A21,'[1]Heat Rates_post2020'!$B$2:$B$25,0),MATCH(EZ$1,'[1]Heat Rates_post2020'!$C$1:$CD$1,0))</f>
        <v>14092000</v>
      </c>
      <c r="FA21" s="8">
        <f>INDEX('[1]Heat Rates_post2020'!$C$2:$CD$25,MATCH($A21,'[1]Heat Rates_post2020'!$B$2:$B$25,0),MATCH(FA$1,'[1]Heat Rates_post2020'!$C$1:$CD$1,0))</f>
        <v>14045800</v>
      </c>
      <c r="FB21" s="8">
        <f>INDEX('[1]Heat Rates_post2020'!$C$2:$CD$25,MATCH($A21,'[1]Heat Rates_post2020'!$B$2:$B$25,0),MATCH(FB$1,'[1]Heat Rates_post2020'!$C$1:$CD$1,0))</f>
        <v>13999600</v>
      </c>
      <c r="FC21" s="8">
        <f>INDEX('[1]Heat Rates_post2020'!$C$2:$CD$25,MATCH($A21,'[1]Heat Rates_post2020'!$B$2:$B$25,0),MATCH(FC$1,'[1]Heat Rates_post2020'!$C$1:$CD$1,0))</f>
        <v>13953400</v>
      </c>
      <c r="FD21" s="8">
        <f>INDEX('[1]Heat Rates_post2020'!$C$2:$CD$25,MATCH($A21,'[1]Heat Rates_post2020'!$B$2:$B$25,0),MATCH(FD$1,'[1]Heat Rates_post2020'!$C$1:$CD$1,0))</f>
        <v>13907200</v>
      </c>
      <c r="FE21" s="8">
        <f>INDEX('[1]Heat Rates_post2020'!$C$2:$CD$25,MATCH($A21,'[1]Heat Rates_post2020'!$B$2:$B$25,0),MATCH(FE$1,'[1]Heat Rates_post2020'!$C$1:$CD$1,0))</f>
        <v>13861000</v>
      </c>
      <c r="FF21" s="8">
        <f>INDEX('[1]Heat Rates_post2020'!$C$2:$CD$25,MATCH($A21,'[1]Heat Rates_post2020'!$B$2:$B$25,0),MATCH(FF$1,'[1]Heat Rates_post2020'!$C$1:$CD$1,0))</f>
        <v>13861000</v>
      </c>
      <c r="FG21" s="8">
        <f>INDEX('[1]Heat Rates_post2020'!$C$2:$CD$25,MATCH($A21,'[1]Heat Rates_post2020'!$B$2:$B$25,0),MATCH(FG$1,'[1]Heat Rates_post2020'!$C$1:$CD$1,0))</f>
        <v>13861000</v>
      </c>
      <c r="FH21" s="8">
        <f>INDEX('[1]Heat Rates_post2020'!$C$2:$CD$25,MATCH($A21,'[1]Heat Rates_post2020'!$B$2:$B$25,0),MATCH(FH$1,'[1]Heat Rates_post2020'!$C$1:$CD$1,0))</f>
        <v>13861000</v>
      </c>
      <c r="FI21" s="8">
        <f>INDEX('[1]Heat Rates_post2020'!$C$2:$CD$25,MATCH($A21,'[1]Heat Rates_post2020'!$B$2:$B$25,0),MATCH(FI$1,'[1]Heat Rates_post2020'!$C$1:$CD$1,0))</f>
        <v>13861000</v>
      </c>
      <c r="FJ21" s="8">
        <f>INDEX('[1]Heat Rates_post2020'!$C$2:$CD$25,MATCH($A21,'[1]Heat Rates_post2020'!$B$2:$B$25,0),MATCH(FJ$1,'[1]Heat Rates_post2020'!$C$1:$CD$1,0))</f>
        <v>13861000</v>
      </c>
      <c r="FK21" s="8">
        <f>INDEX('[1]Heat Rates_post2020'!$C$2:$CD$25,MATCH($A21,'[1]Heat Rates_post2020'!$B$2:$B$25,0),MATCH(FK$1,'[1]Heat Rates_post2020'!$C$1:$CD$1,0))</f>
        <v>13861000</v>
      </c>
      <c r="FL21" s="8">
        <f>INDEX('[1]Heat Rates_post2020'!$C$2:$CD$25,MATCH($A21,'[1]Heat Rates_post2020'!$B$2:$B$25,0),MATCH(FL$1,'[1]Heat Rates_post2020'!$C$1:$CD$1,0))</f>
        <v>13861000</v>
      </c>
      <c r="FM21" s="8">
        <f>INDEX('[1]Heat Rates_post2020'!$C$2:$CD$25,MATCH($A21,'[1]Heat Rates_post2020'!$B$2:$B$25,0),MATCH(FM$1,'[1]Heat Rates_post2020'!$C$1:$CD$1,0))</f>
        <v>13861000</v>
      </c>
      <c r="FN21" s="8">
        <f>INDEX('[1]Heat Rates_post2020'!$C$2:$CD$25,MATCH($A21,'[1]Heat Rates_post2020'!$B$2:$B$25,0),MATCH(FN$1,'[1]Heat Rates_post2020'!$C$1:$CD$1,0))</f>
        <v>13861000</v>
      </c>
      <c r="FO21" s="8">
        <f>INDEX('[1]Heat Rates_post2020'!$C$2:$CD$25,MATCH($A21,'[1]Heat Rates_post2020'!$B$2:$B$25,0),MATCH(FO$1,'[1]Heat Rates_post2020'!$C$1:$CD$1,0))</f>
        <v>13861000</v>
      </c>
      <c r="FP21" s="8">
        <f>INDEX('[1]Heat Rates_post2020'!$C$2:$CD$25,MATCH($A21,'[1]Heat Rates_post2020'!$B$2:$B$25,0),MATCH(FP$1,'[1]Heat Rates_post2020'!$C$1:$CD$1,0))</f>
        <v>13861000</v>
      </c>
      <c r="FQ21" s="8">
        <f>INDEX('[1]Heat Rates_post2020'!$C$2:$CD$25,MATCH($A21,'[1]Heat Rates_post2020'!$B$2:$B$25,0),MATCH(FQ$1,'[1]Heat Rates_post2020'!$C$1:$CD$1,0))</f>
        <v>13861000</v>
      </c>
      <c r="FR21" s="8">
        <f>INDEX('[1]Heat Rates_post2020'!$C$2:$CD$25,MATCH($A21,'[1]Heat Rates_post2020'!$B$2:$B$25,0),MATCH(FR$1,'[1]Heat Rates_post2020'!$C$1:$CD$1,0))</f>
        <v>13861000</v>
      </c>
      <c r="FS21" s="8">
        <f>INDEX('[1]Heat Rates_post2020'!$C$2:$CD$25,MATCH($A21,'[1]Heat Rates_post2020'!$B$2:$B$25,0),MATCH(FS$1,'[1]Heat Rates_post2020'!$C$1:$CD$1,0))</f>
        <v>13861000</v>
      </c>
      <c r="FT21" s="8">
        <f>INDEX('[1]Heat Rates_post2020'!$C$2:$CD$25,MATCH($A21,'[1]Heat Rates_post2020'!$B$2:$B$25,0),MATCH(FT$1,'[1]Heat Rates_post2020'!$C$1:$CD$1,0))</f>
        <v>13861000</v>
      </c>
      <c r="FU21" s="8">
        <f>INDEX('[1]Heat Rates_post2020'!$C$2:$CD$25,MATCH($A21,'[1]Heat Rates_post2020'!$B$2:$B$25,0),MATCH(FU$1,'[1]Heat Rates_post2020'!$C$1:$CD$1,0))</f>
        <v>13861000</v>
      </c>
      <c r="FV21" s="8">
        <f>INDEX('[1]Heat Rates_post2020'!$C$2:$CD$25,MATCH($A21,'[1]Heat Rates_post2020'!$B$2:$B$25,0),MATCH(FV$1,'[1]Heat Rates_post2020'!$C$1:$CD$1,0))</f>
        <v>13861000</v>
      </c>
      <c r="FW21" s="8">
        <f>INDEX('[1]Heat Rates_post2020'!$C$2:$CD$25,MATCH($A21,'[1]Heat Rates_post2020'!$B$2:$B$25,0),MATCH(FW$1,'[1]Heat Rates_post2020'!$C$1:$CD$1,0))</f>
        <v>13861000</v>
      </c>
      <c r="FX21" s="8">
        <f>INDEX('[1]Heat Rates_post2020'!$C$2:$CD$25,MATCH($A21,'[1]Heat Rates_post2020'!$B$2:$B$25,0),MATCH(FX$1,'[1]Heat Rates_post2020'!$C$1:$CD$1,0))</f>
        <v>13861000</v>
      </c>
      <c r="FY21" s="8">
        <f>INDEX('[1]Heat Rates_post2020'!$C$2:$CD$25,MATCH($A21,'[1]Heat Rates_post2020'!$B$2:$B$25,0),MATCH(FY$1,'[1]Heat Rates_post2020'!$C$1:$CD$1,0))</f>
        <v>13861000</v>
      </c>
      <c r="FZ21" s="8">
        <f>INDEX('[1]Heat Rates_post2020'!$C$2:$CD$25,MATCH($A21,'[1]Heat Rates_post2020'!$B$2:$B$25,0),MATCH(FZ$1,'[1]Heat Rates_post2020'!$C$1:$CD$1,0))</f>
        <v>13861000</v>
      </c>
      <c r="GA21" s="8">
        <f>INDEX('[1]Heat Rates_post2020'!$C$2:$CD$25,MATCH($A21,'[1]Heat Rates_post2020'!$B$2:$B$25,0),MATCH(GA$1,'[1]Heat Rates_post2020'!$C$1:$CD$1,0))</f>
        <v>13861000</v>
      </c>
      <c r="GB21" s="8">
        <f>INDEX('[1]Heat Rates_post2020'!$C$2:$CD$25,MATCH($A21,'[1]Heat Rates_post2020'!$B$2:$B$25,0),MATCH(GB$1,'[1]Heat Rates_post2020'!$C$1:$CD$1,0))</f>
        <v>13861000</v>
      </c>
      <c r="GC21" s="8">
        <f>INDEX('[1]Heat Rates_post2020'!$C$2:$CD$25,MATCH($A21,'[1]Heat Rates_post2020'!$B$2:$B$25,0),MATCH(GC$1,'[1]Heat Rates_post2020'!$C$1:$CD$1,0))</f>
        <v>13861000</v>
      </c>
      <c r="GD21" s="8">
        <f>INDEX('[1]Heat Rates_post2020'!$C$2:$CD$25,MATCH($A21,'[1]Heat Rates_post2020'!$B$2:$B$25,0),MATCH(GD$1,'[1]Heat Rates_post2020'!$C$1:$CD$1,0))</f>
        <v>13861000</v>
      </c>
      <c r="GE21" s="8">
        <f>INDEX('[1]Heat Rates_post2020'!$C$2:$CD$25,MATCH($A21,'[1]Heat Rates_post2020'!$B$2:$B$25,0),MATCH(GE$1,'[1]Heat Rates_post2020'!$C$1:$CD$1,0))</f>
        <v>13861000</v>
      </c>
      <c r="GF21" s="8">
        <f>INDEX('[1]Heat Rates_post2020'!$C$2:$CD$25,MATCH($A21,'[1]Heat Rates_post2020'!$B$2:$B$25,0),MATCH(GF$1,'[1]Heat Rates_post2020'!$C$1:$CD$1,0))</f>
        <v>13861000</v>
      </c>
      <c r="GG21" s="8">
        <f>INDEX('[1]Heat Rates_post2020'!$C$2:$CD$25,MATCH($A21,'[1]Heat Rates_post2020'!$B$2:$B$25,0),MATCH(GG$1,'[1]Heat Rates_post2020'!$C$1:$CD$1,0))</f>
        <v>13861000</v>
      </c>
      <c r="GH21" s="8">
        <f>INDEX('[1]Heat Rates_post2020'!$C$2:$CD$25,MATCH($A21,'[1]Heat Rates_post2020'!$B$2:$B$25,0),MATCH(GH$1,'[1]Heat Rates_post2020'!$C$1:$CD$1,0))</f>
        <v>13861000</v>
      </c>
      <c r="GI21" s="8">
        <f>INDEX('[1]Heat Rates_post2020'!$C$2:$CD$25,MATCH($A21,'[1]Heat Rates_post2020'!$B$2:$B$25,0),MATCH(GI$1,'[1]Heat Rates_post2020'!$C$1:$CD$1,0))</f>
        <v>13861000</v>
      </c>
      <c r="GJ21" s="8">
        <f>INDEX('[1]Heat Rates_post2020'!$C$2:$CD$25,MATCH($A21,'[1]Heat Rates_post2020'!$B$2:$B$25,0),MATCH(GJ$1,'[1]Heat Rates_post2020'!$C$1:$CD$1,0))</f>
        <v>13861000</v>
      </c>
      <c r="GK21" s="8">
        <f>INDEX('[1]Heat Rates_post2020'!$C$2:$CD$25,MATCH($A21,'[1]Heat Rates_post2020'!$B$2:$B$25,0),MATCH(GK$1,'[1]Heat Rates_post2020'!$C$1:$CD$1,0))</f>
        <v>13861000</v>
      </c>
      <c r="GL21" s="8">
        <f>INDEX('[1]Heat Rates_post2020'!$C$2:$CD$25,MATCH($A21,'[1]Heat Rates_post2020'!$B$2:$B$25,0),MATCH(GL$1,'[1]Heat Rates_post2020'!$C$1:$CD$1,0))</f>
        <v>13861000</v>
      </c>
      <c r="GM21" s="8">
        <f>INDEX('[1]Heat Rates_post2020'!$C$2:$CD$25,MATCH($A21,'[1]Heat Rates_post2020'!$B$2:$B$25,0),MATCH(GM$1,'[1]Heat Rates_post2020'!$C$1:$CD$1,0))</f>
        <v>13861000</v>
      </c>
      <c r="GN21" s="8">
        <f>INDEX('[1]Heat Rates_post2020'!$C$2:$CD$25,MATCH($A21,'[1]Heat Rates_post2020'!$B$2:$B$25,0),MATCH(GN$1,'[1]Heat Rates_post2020'!$C$1:$CD$1,0))</f>
        <v>13861000</v>
      </c>
      <c r="GO21" s="8">
        <f>INDEX('[1]Heat Rates_post2020'!$C$2:$CD$25,MATCH($A21,'[1]Heat Rates_post2020'!$B$2:$B$25,0),MATCH(GO$1,'[1]Heat Rates_post2020'!$C$1:$CD$1,0))</f>
        <v>13861000</v>
      </c>
      <c r="GP21" s="8">
        <f>INDEX('[1]Heat Rates_post2020'!$C$2:$CD$25,MATCH($A21,'[1]Heat Rates_post2020'!$B$2:$B$25,0),MATCH(GP$1,'[1]Heat Rates_post2020'!$C$1:$CD$1,0))</f>
        <v>13861000</v>
      </c>
      <c r="GQ21" s="8">
        <f>INDEX('[1]Heat Rates_post2020'!$C$2:$CD$25,MATCH($A21,'[1]Heat Rates_post2020'!$B$2:$B$25,0),MATCH(GQ$1,'[1]Heat Rates_post2020'!$C$1:$CD$1,0))</f>
        <v>13861000</v>
      </c>
      <c r="GR21" s="8">
        <f>INDEX('[1]Heat Rates_post2020'!$C$2:$CD$25,MATCH($A21,'[1]Heat Rates_post2020'!$B$2:$B$25,0),MATCH(GR$1,'[1]Heat Rates_post2020'!$C$1:$CD$1,0))</f>
        <v>13861000</v>
      </c>
      <c r="GS21" s="8">
        <f>INDEX('[1]Heat Rates_post2020'!$C$2:$CD$25,MATCH($A21,'[1]Heat Rates_post2020'!$B$2:$B$25,0),MATCH(GS$1,'[1]Heat Rates_post2020'!$C$1:$CD$1,0))</f>
        <v>13861000</v>
      </c>
      <c r="GT21" s="8">
        <f>INDEX('[1]Heat Rates_post2020'!$C$2:$CD$25,MATCH($A21,'[1]Heat Rates_post2020'!$B$2:$B$25,0),MATCH(GT$1,'[1]Heat Rates_post2020'!$C$1:$CD$1,0))</f>
        <v>13861000</v>
      </c>
      <c r="GU21" s="8">
        <f>INDEX('[1]Heat Rates_post2020'!$C$2:$CD$25,MATCH($A21,'[1]Heat Rates_post2020'!$B$2:$B$25,0),MATCH(GU$1,'[1]Heat Rates_post2020'!$C$1:$CD$1,0))</f>
        <v>13861000</v>
      </c>
      <c r="GV21" s="8">
        <f>INDEX('[1]Heat Rates_post2020'!$C$2:$CD$25,MATCH($A21,'[1]Heat Rates_post2020'!$B$2:$B$25,0),MATCH(GV$1,'[1]Heat Rates_post2020'!$C$1:$CD$1,0))</f>
        <v>13861000</v>
      </c>
      <c r="GW21" s="8">
        <f>INDEX('[1]Heat Rates_post2020'!$C$2:$CD$25,MATCH($A21,'[1]Heat Rates_post2020'!$B$2:$B$25,0),MATCH(GW$1,'[1]Heat Rates_post2020'!$C$1:$CD$1,0))</f>
        <v>13861000</v>
      </c>
      <c r="GX21" s="8">
        <f>INDEX('[1]Heat Rates_post2020'!$C$2:$CD$25,MATCH($A21,'[1]Heat Rates_post2020'!$B$2:$B$25,0),MATCH(GX$1,'[1]Heat Rates_post2020'!$C$1:$CD$1,0))</f>
        <v>13861000</v>
      </c>
      <c r="GY21" s="8">
        <f>INDEX('[1]Heat Rates_post2020'!$C$2:$CD$25,MATCH($A21,'[1]Heat Rates_post2020'!$B$2:$B$25,0),MATCH(GY$1,'[1]Heat Rates_post2020'!$C$1:$CD$1,0))</f>
        <v>13861000</v>
      </c>
      <c r="GZ21" s="8">
        <f>INDEX('[1]Heat Rates_post2020'!$C$2:$CD$25,MATCH($A21,'[1]Heat Rates_post2020'!$B$2:$B$25,0),MATCH(GZ$1,'[1]Heat Rates_post2020'!$C$1:$CD$1,0))</f>
        <v>13861000</v>
      </c>
      <c r="HA21" s="8">
        <f>INDEX('[1]Heat Rates_post2020'!$C$2:$CD$25,MATCH($A21,'[1]Heat Rates_post2020'!$B$2:$B$25,0),MATCH(HA$1,'[1]Heat Rates_post2020'!$C$1:$CD$1,0))</f>
        <v>13861000</v>
      </c>
      <c r="HB21" s="8">
        <f>INDEX('[1]Heat Rates_post2020'!$C$2:$CD$25,MATCH($A21,'[1]Heat Rates_post2020'!$B$2:$B$25,0),MATCH(HB$1,'[1]Heat Rates_post2020'!$C$1:$CD$1,0))</f>
        <v>13861000</v>
      </c>
      <c r="HC21" s="8">
        <f>INDEX('[1]Heat Rates_post2020'!$C$2:$CD$25,MATCH($A21,'[1]Heat Rates_post2020'!$B$2:$B$25,0),MATCH(HC$1,'[1]Heat Rates_post2020'!$C$1:$CD$1,0))</f>
        <v>13861000</v>
      </c>
    </row>
    <row r="22" spans="1:211" x14ac:dyDescent="0.25">
      <c r="A22" t="s">
        <v>65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16">
        <f t="shared" si="16"/>
        <v>0</v>
      </c>
      <c r="BT22" s="16">
        <f t="shared" si="16"/>
        <v>0</v>
      </c>
      <c r="BU22" s="16">
        <f t="shared" si="16"/>
        <v>0</v>
      </c>
      <c r="BV22" s="16">
        <f t="shared" si="16"/>
        <v>0</v>
      </c>
      <c r="BW22" s="16">
        <f t="shared" si="16"/>
        <v>0</v>
      </c>
      <c r="BX22" s="16">
        <f t="shared" si="16"/>
        <v>0</v>
      </c>
      <c r="BY22" s="16">
        <f t="shared" si="16"/>
        <v>0</v>
      </c>
      <c r="BZ22" s="16">
        <f t="shared" si="16"/>
        <v>0</v>
      </c>
      <c r="CA22" s="16">
        <f t="shared" si="16"/>
        <v>0</v>
      </c>
      <c r="CB22" s="16">
        <f t="shared" si="16"/>
        <v>0</v>
      </c>
      <c r="CC22" s="16">
        <f t="shared" si="16"/>
        <v>0</v>
      </c>
      <c r="CD22" s="16">
        <f t="shared" si="16"/>
        <v>0</v>
      </c>
      <c r="CE22" s="16">
        <f t="shared" si="16"/>
        <v>0</v>
      </c>
      <c r="CF22" s="16">
        <f t="shared" si="16"/>
        <v>0</v>
      </c>
      <c r="CG22" s="16">
        <f t="shared" si="16"/>
        <v>0</v>
      </c>
      <c r="CH22" s="16">
        <f t="shared" si="16"/>
        <v>0</v>
      </c>
      <c r="CI22" s="16">
        <f t="shared" si="16"/>
        <v>0</v>
      </c>
      <c r="CJ22" s="16">
        <f t="shared" si="16"/>
        <v>0</v>
      </c>
      <c r="CK22" s="16">
        <f t="shared" si="16"/>
        <v>0</v>
      </c>
      <c r="CL22" s="16">
        <f t="shared" si="16"/>
        <v>0</v>
      </c>
      <c r="CM22" s="16">
        <f t="shared" si="16"/>
        <v>0</v>
      </c>
      <c r="CN22" s="16">
        <f t="shared" si="16"/>
        <v>0</v>
      </c>
      <c r="CO22" s="16">
        <f t="shared" si="16"/>
        <v>0</v>
      </c>
      <c r="CP22" s="16">
        <f t="shared" si="16"/>
        <v>0</v>
      </c>
      <c r="CQ22" s="16">
        <f t="shared" si="16"/>
        <v>0</v>
      </c>
      <c r="CR22" s="16">
        <f t="shared" si="16"/>
        <v>0</v>
      </c>
      <c r="CS22" s="16">
        <f t="shared" si="16"/>
        <v>0</v>
      </c>
      <c r="CT22" s="16">
        <f t="shared" si="16"/>
        <v>0</v>
      </c>
      <c r="CU22" s="16">
        <f t="shared" si="16"/>
        <v>0</v>
      </c>
      <c r="CV22" s="16">
        <f t="shared" si="16"/>
        <v>0</v>
      </c>
      <c r="CW22" s="16">
        <f t="shared" si="16"/>
        <v>0</v>
      </c>
      <c r="CX22" s="16">
        <f t="shared" si="16"/>
        <v>0</v>
      </c>
      <c r="CY22" s="16">
        <f t="shared" si="16"/>
        <v>0</v>
      </c>
      <c r="CZ22" s="16">
        <f t="shared" si="16"/>
        <v>0</v>
      </c>
      <c r="DA22" s="16">
        <f t="shared" si="16"/>
        <v>0</v>
      </c>
      <c r="DB22" s="16">
        <f t="shared" si="16"/>
        <v>0</v>
      </c>
      <c r="DC22" s="16">
        <f t="shared" si="16"/>
        <v>0</v>
      </c>
      <c r="DD22" s="16">
        <f t="shared" si="16"/>
        <v>0</v>
      </c>
      <c r="DE22" s="16">
        <f t="shared" si="16"/>
        <v>0</v>
      </c>
      <c r="DF22" s="16">
        <f t="shared" si="16"/>
        <v>0</v>
      </c>
      <c r="DG22" s="16">
        <f t="shared" si="16"/>
        <v>0</v>
      </c>
      <c r="DH22" s="16">
        <f t="shared" si="16"/>
        <v>0</v>
      </c>
      <c r="DI22" s="16">
        <f t="shared" si="16"/>
        <v>0</v>
      </c>
      <c r="DJ22" s="16">
        <f t="shared" si="16"/>
        <v>0</v>
      </c>
      <c r="DK22" s="16">
        <f t="shared" si="16"/>
        <v>0</v>
      </c>
      <c r="DL22" s="16">
        <f t="shared" si="15"/>
        <v>0</v>
      </c>
      <c r="DM22" s="16">
        <f t="shared" si="15"/>
        <v>0</v>
      </c>
      <c r="DN22" s="16">
        <f t="shared" si="15"/>
        <v>0</v>
      </c>
      <c r="DO22" s="16">
        <f t="shared" si="15"/>
        <v>0</v>
      </c>
      <c r="DP22" s="16">
        <f t="shared" si="15"/>
        <v>0</v>
      </c>
      <c r="DQ22" s="16">
        <f t="shared" si="15"/>
        <v>0</v>
      </c>
      <c r="DR22" s="16">
        <f t="shared" si="4"/>
        <v>0</v>
      </c>
      <c r="DS22" s="16">
        <f>IF(Calculations!B149="",0,Calculations!B149)</f>
        <v>0</v>
      </c>
      <c r="DT22" s="16">
        <f>IF(Calculations!C149="",0,Calculations!C149)</f>
        <v>0</v>
      </c>
      <c r="DU22" s="16">
        <f>IF(Calculations!D149="",0,Calculations!D149)</f>
        <v>0</v>
      </c>
      <c r="DV22" s="16">
        <f>IF(Calculations!E149="",0,Calculations!E149)</f>
        <v>0</v>
      </c>
      <c r="DW22" s="16">
        <f>IF(Calculations!F149="",0,Calculations!F149)</f>
        <v>0</v>
      </c>
      <c r="DX22" s="16">
        <f>IF(Calculations!G149="",0,Calculations!G149)</f>
        <v>0</v>
      </c>
      <c r="DY22" s="16">
        <f>IF(Calculations!H149="",0,Calculations!H149)</f>
        <v>0</v>
      </c>
      <c r="DZ22" s="16">
        <f>IF(Calculations!I149="",0,Calculations!I149)</f>
        <v>0</v>
      </c>
      <c r="EA22" s="16">
        <f>IF(Calculations!J149="",0,Calculations!J149)</f>
        <v>0</v>
      </c>
      <c r="EB22" s="17">
        <f>INDEX('[1]Heat Rates_post2020'!$C$2:$CD$25,MATCH($A22,'[1]Heat Rates_post2020'!$B$2:$B$25,0),MATCH(EB$1,'[1]Heat Rates_post2020'!$C$1:$CD$1,0))</f>
        <v>11116000</v>
      </c>
      <c r="EC22" s="8">
        <f>INDEX('[1]Heat Rates_post2020'!$C$2:$CD$25,MATCH($A22,'[1]Heat Rates_post2020'!$B$2:$B$25,0),MATCH(EC$1,'[1]Heat Rates_post2020'!$C$1:$CD$1,0))</f>
        <v>11116000</v>
      </c>
      <c r="ED22" s="8">
        <f>INDEX('[1]Heat Rates_post2020'!$C$2:$CD$25,MATCH($A22,'[1]Heat Rates_post2020'!$B$2:$B$25,0),MATCH(ED$1,'[1]Heat Rates_post2020'!$C$1:$CD$1,0))</f>
        <v>11057000</v>
      </c>
      <c r="EE22" s="8">
        <f>INDEX('[1]Heat Rates_post2020'!$C$2:$CD$25,MATCH($A22,'[1]Heat Rates_post2020'!$B$2:$B$25,0),MATCH(EE$1,'[1]Heat Rates_post2020'!$C$1:$CD$1,0))</f>
        <v>10997000</v>
      </c>
      <c r="EF22" s="8">
        <f>INDEX('[1]Heat Rates_post2020'!$C$2:$CD$25,MATCH($A22,'[1]Heat Rates_post2020'!$B$2:$B$25,0),MATCH(EF$1,'[1]Heat Rates_post2020'!$C$1:$CD$1,0))</f>
        <v>10938000</v>
      </c>
      <c r="EG22" s="8">
        <f>INDEX('[1]Heat Rates_post2020'!$C$2:$CD$25,MATCH($A22,'[1]Heat Rates_post2020'!$B$2:$B$25,0),MATCH(EG$1,'[1]Heat Rates_post2020'!$C$1:$CD$1,0))</f>
        <v>10879000</v>
      </c>
      <c r="EH22" s="8">
        <f>INDEX('[1]Heat Rates_post2020'!$C$2:$CD$25,MATCH($A22,'[1]Heat Rates_post2020'!$B$2:$B$25,0),MATCH(EH$1,'[1]Heat Rates_post2020'!$C$1:$CD$1,0))</f>
        <v>10820000</v>
      </c>
      <c r="EI22" s="8">
        <f>INDEX('[1]Heat Rates_post2020'!$C$2:$CD$25,MATCH($A22,'[1]Heat Rates_post2020'!$B$2:$B$25,0),MATCH(EI$1,'[1]Heat Rates_post2020'!$C$1:$CD$1,0))</f>
        <v>10761000</v>
      </c>
      <c r="EJ22" s="8">
        <f>INDEX('[1]Heat Rates_post2020'!$C$2:$CD$25,MATCH($A22,'[1]Heat Rates_post2020'!$B$2:$B$25,0),MATCH(EJ$1,'[1]Heat Rates_post2020'!$C$1:$CD$1,0))</f>
        <v>10702000</v>
      </c>
      <c r="EK22" s="8">
        <f>INDEX('[1]Heat Rates_post2020'!$C$2:$CD$25,MATCH($A22,'[1]Heat Rates_post2020'!$B$2:$B$25,0),MATCH(EK$1,'[1]Heat Rates_post2020'!$C$1:$CD$1,0))</f>
        <v>10643000</v>
      </c>
      <c r="EL22" s="8">
        <f>INDEX('[1]Heat Rates_post2020'!$C$2:$CD$25,MATCH($A22,'[1]Heat Rates_post2020'!$B$2:$B$25,0),MATCH(EL$1,'[1]Heat Rates_post2020'!$C$1:$CD$1,0))</f>
        <v>10584000</v>
      </c>
      <c r="EM22" s="8">
        <f>INDEX('[1]Heat Rates_post2020'!$C$2:$CD$25,MATCH($A22,'[1]Heat Rates_post2020'!$B$2:$B$25,0),MATCH(EM$1,'[1]Heat Rates_post2020'!$C$1:$CD$1,0))</f>
        <v>10525000</v>
      </c>
      <c r="EN22" s="8">
        <f>INDEX('[1]Heat Rates_post2020'!$C$2:$CD$25,MATCH($A22,'[1]Heat Rates_post2020'!$B$2:$B$25,0),MATCH(EN$1,'[1]Heat Rates_post2020'!$C$1:$CD$1,0))</f>
        <v>10466000</v>
      </c>
      <c r="EO22" s="8">
        <f>INDEX('[1]Heat Rates_post2020'!$C$2:$CD$25,MATCH($A22,'[1]Heat Rates_post2020'!$B$2:$B$25,0),MATCH(EO$1,'[1]Heat Rates_post2020'!$C$1:$CD$1,0))</f>
        <v>10407000</v>
      </c>
      <c r="EP22" s="8">
        <f>INDEX('[1]Heat Rates_post2020'!$C$2:$CD$25,MATCH($A22,'[1]Heat Rates_post2020'!$B$2:$B$25,0),MATCH(EP$1,'[1]Heat Rates_post2020'!$C$1:$CD$1,0))</f>
        <v>10348000</v>
      </c>
      <c r="EQ22" s="8">
        <f>INDEX('[1]Heat Rates_post2020'!$C$2:$CD$25,MATCH($A22,'[1]Heat Rates_post2020'!$B$2:$B$25,0),MATCH(EQ$1,'[1]Heat Rates_post2020'!$C$1:$CD$1,0))</f>
        <v>10348000</v>
      </c>
      <c r="ER22" s="8">
        <f>INDEX('[1]Heat Rates_post2020'!$C$2:$CD$25,MATCH($A22,'[1]Heat Rates_post2020'!$B$2:$B$25,0),MATCH(ER$1,'[1]Heat Rates_post2020'!$C$1:$CD$1,0))</f>
        <v>10348000</v>
      </c>
      <c r="ES22" s="8">
        <f>INDEX('[1]Heat Rates_post2020'!$C$2:$CD$25,MATCH($A22,'[1]Heat Rates_post2020'!$B$2:$B$25,0),MATCH(ES$1,'[1]Heat Rates_post2020'!$C$1:$CD$1,0))</f>
        <v>10348000</v>
      </c>
      <c r="ET22" s="8">
        <f>INDEX('[1]Heat Rates_post2020'!$C$2:$CD$25,MATCH($A22,'[1]Heat Rates_post2020'!$B$2:$B$25,0),MATCH(ET$1,'[1]Heat Rates_post2020'!$C$1:$CD$1,0))</f>
        <v>10348000</v>
      </c>
      <c r="EU22" s="8">
        <f>INDEX('[1]Heat Rates_post2020'!$C$2:$CD$25,MATCH($A22,'[1]Heat Rates_post2020'!$B$2:$B$25,0),MATCH(EU$1,'[1]Heat Rates_post2020'!$C$1:$CD$1,0))</f>
        <v>10348000</v>
      </c>
      <c r="EV22" s="8">
        <f>INDEX('[1]Heat Rates_post2020'!$C$2:$CD$25,MATCH($A22,'[1]Heat Rates_post2020'!$B$2:$B$25,0),MATCH(EV$1,'[1]Heat Rates_post2020'!$C$1:$CD$1,0))</f>
        <v>10348000</v>
      </c>
      <c r="EW22" s="8">
        <f>INDEX('[1]Heat Rates_post2020'!$C$2:$CD$25,MATCH($A22,'[1]Heat Rates_post2020'!$B$2:$B$25,0),MATCH(EW$1,'[1]Heat Rates_post2020'!$C$1:$CD$1,0))</f>
        <v>10348000</v>
      </c>
      <c r="EX22" s="8">
        <f>INDEX('[1]Heat Rates_post2020'!$C$2:$CD$25,MATCH($A22,'[1]Heat Rates_post2020'!$B$2:$B$25,0),MATCH(EX$1,'[1]Heat Rates_post2020'!$C$1:$CD$1,0))</f>
        <v>10348000</v>
      </c>
      <c r="EY22" s="8">
        <f>INDEX('[1]Heat Rates_post2020'!$C$2:$CD$25,MATCH($A22,'[1]Heat Rates_post2020'!$B$2:$B$25,0),MATCH(EY$1,'[1]Heat Rates_post2020'!$C$1:$CD$1,0))</f>
        <v>10348000</v>
      </c>
      <c r="EZ22" s="8">
        <f>INDEX('[1]Heat Rates_post2020'!$C$2:$CD$25,MATCH($A22,'[1]Heat Rates_post2020'!$B$2:$B$25,0),MATCH(EZ$1,'[1]Heat Rates_post2020'!$C$1:$CD$1,0))</f>
        <v>10348000</v>
      </c>
      <c r="FA22" s="8">
        <f>INDEX('[1]Heat Rates_post2020'!$C$2:$CD$25,MATCH($A22,'[1]Heat Rates_post2020'!$B$2:$B$25,0),MATCH(FA$1,'[1]Heat Rates_post2020'!$C$1:$CD$1,0))</f>
        <v>10348000</v>
      </c>
      <c r="FB22" s="8">
        <f>INDEX('[1]Heat Rates_post2020'!$C$2:$CD$25,MATCH($A22,'[1]Heat Rates_post2020'!$B$2:$B$25,0),MATCH(FB$1,'[1]Heat Rates_post2020'!$C$1:$CD$1,0))</f>
        <v>10348000</v>
      </c>
      <c r="FC22" s="8">
        <f>INDEX('[1]Heat Rates_post2020'!$C$2:$CD$25,MATCH($A22,'[1]Heat Rates_post2020'!$B$2:$B$25,0),MATCH(FC$1,'[1]Heat Rates_post2020'!$C$1:$CD$1,0))</f>
        <v>10348000</v>
      </c>
      <c r="FD22" s="8">
        <f>INDEX('[1]Heat Rates_post2020'!$C$2:$CD$25,MATCH($A22,'[1]Heat Rates_post2020'!$B$2:$B$25,0),MATCH(FD$1,'[1]Heat Rates_post2020'!$C$1:$CD$1,0))</f>
        <v>10348000</v>
      </c>
      <c r="FE22" s="8">
        <f>INDEX('[1]Heat Rates_post2020'!$C$2:$CD$25,MATCH($A22,'[1]Heat Rates_post2020'!$B$2:$B$25,0),MATCH(FE$1,'[1]Heat Rates_post2020'!$C$1:$CD$1,0))</f>
        <v>10348000</v>
      </c>
      <c r="FF22" s="8">
        <f>INDEX('[1]Heat Rates_post2020'!$C$2:$CD$25,MATCH($A22,'[1]Heat Rates_post2020'!$B$2:$B$25,0),MATCH(FF$1,'[1]Heat Rates_post2020'!$C$1:$CD$1,0))</f>
        <v>10348000</v>
      </c>
      <c r="FG22" s="8">
        <f>INDEX('[1]Heat Rates_post2020'!$C$2:$CD$25,MATCH($A22,'[1]Heat Rates_post2020'!$B$2:$B$25,0),MATCH(FG$1,'[1]Heat Rates_post2020'!$C$1:$CD$1,0))</f>
        <v>10348000</v>
      </c>
      <c r="FH22" s="8">
        <f>INDEX('[1]Heat Rates_post2020'!$C$2:$CD$25,MATCH($A22,'[1]Heat Rates_post2020'!$B$2:$B$25,0),MATCH(FH$1,'[1]Heat Rates_post2020'!$C$1:$CD$1,0))</f>
        <v>10348000</v>
      </c>
      <c r="FI22" s="8">
        <f>INDEX('[1]Heat Rates_post2020'!$C$2:$CD$25,MATCH($A22,'[1]Heat Rates_post2020'!$B$2:$B$25,0),MATCH(FI$1,'[1]Heat Rates_post2020'!$C$1:$CD$1,0))</f>
        <v>10348000</v>
      </c>
      <c r="FJ22" s="8">
        <f>INDEX('[1]Heat Rates_post2020'!$C$2:$CD$25,MATCH($A22,'[1]Heat Rates_post2020'!$B$2:$B$25,0),MATCH(FJ$1,'[1]Heat Rates_post2020'!$C$1:$CD$1,0))</f>
        <v>10348000</v>
      </c>
      <c r="FK22" s="8">
        <f>INDEX('[1]Heat Rates_post2020'!$C$2:$CD$25,MATCH($A22,'[1]Heat Rates_post2020'!$B$2:$B$25,0),MATCH(FK$1,'[1]Heat Rates_post2020'!$C$1:$CD$1,0))</f>
        <v>10348000</v>
      </c>
      <c r="FL22" s="8">
        <f>INDEX('[1]Heat Rates_post2020'!$C$2:$CD$25,MATCH($A22,'[1]Heat Rates_post2020'!$B$2:$B$25,0),MATCH(FL$1,'[1]Heat Rates_post2020'!$C$1:$CD$1,0))</f>
        <v>10348000</v>
      </c>
      <c r="FM22" s="8">
        <f>INDEX('[1]Heat Rates_post2020'!$C$2:$CD$25,MATCH($A22,'[1]Heat Rates_post2020'!$B$2:$B$25,0),MATCH(FM$1,'[1]Heat Rates_post2020'!$C$1:$CD$1,0))</f>
        <v>10348000</v>
      </c>
      <c r="FN22" s="8">
        <f>INDEX('[1]Heat Rates_post2020'!$C$2:$CD$25,MATCH($A22,'[1]Heat Rates_post2020'!$B$2:$B$25,0),MATCH(FN$1,'[1]Heat Rates_post2020'!$C$1:$CD$1,0))</f>
        <v>10348000</v>
      </c>
      <c r="FO22" s="8">
        <f>INDEX('[1]Heat Rates_post2020'!$C$2:$CD$25,MATCH($A22,'[1]Heat Rates_post2020'!$B$2:$B$25,0),MATCH(FO$1,'[1]Heat Rates_post2020'!$C$1:$CD$1,0))</f>
        <v>10348000</v>
      </c>
      <c r="FP22" s="8">
        <f>INDEX('[1]Heat Rates_post2020'!$C$2:$CD$25,MATCH($A22,'[1]Heat Rates_post2020'!$B$2:$B$25,0),MATCH(FP$1,'[1]Heat Rates_post2020'!$C$1:$CD$1,0))</f>
        <v>10348000</v>
      </c>
      <c r="FQ22" s="8">
        <f>INDEX('[1]Heat Rates_post2020'!$C$2:$CD$25,MATCH($A22,'[1]Heat Rates_post2020'!$B$2:$B$25,0),MATCH(FQ$1,'[1]Heat Rates_post2020'!$C$1:$CD$1,0))</f>
        <v>10348000</v>
      </c>
      <c r="FR22" s="8">
        <f>INDEX('[1]Heat Rates_post2020'!$C$2:$CD$25,MATCH($A22,'[1]Heat Rates_post2020'!$B$2:$B$25,0),MATCH(FR$1,'[1]Heat Rates_post2020'!$C$1:$CD$1,0))</f>
        <v>10348000</v>
      </c>
      <c r="FS22" s="8">
        <f>INDEX('[1]Heat Rates_post2020'!$C$2:$CD$25,MATCH($A22,'[1]Heat Rates_post2020'!$B$2:$B$25,0),MATCH(FS$1,'[1]Heat Rates_post2020'!$C$1:$CD$1,0))</f>
        <v>10348000</v>
      </c>
      <c r="FT22" s="8">
        <f>INDEX('[1]Heat Rates_post2020'!$C$2:$CD$25,MATCH($A22,'[1]Heat Rates_post2020'!$B$2:$B$25,0),MATCH(FT$1,'[1]Heat Rates_post2020'!$C$1:$CD$1,0))</f>
        <v>10348000</v>
      </c>
      <c r="FU22" s="8">
        <f>INDEX('[1]Heat Rates_post2020'!$C$2:$CD$25,MATCH($A22,'[1]Heat Rates_post2020'!$B$2:$B$25,0),MATCH(FU$1,'[1]Heat Rates_post2020'!$C$1:$CD$1,0))</f>
        <v>10348000</v>
      </c>
      <c r="FV22" s="8">
        <f>INDEX('[1]Heat Rates_post2020'!$C$2:$CD$25,MATCH($A22,'[1]Heat Rates_post2020'!$B$2:$B$25,0),MATCH(FV$1,'[1]Heat Rates_post2020'!$C$1:$CD$1,0))</f>
        <v>10348000</v>
      </c>
      <c r="FW22" s="8">
        <f>INDEX('[1]Heat Rates_post2020'!$C$2:$CD$25,MATCH($A22,'[1]Heat Rates_post2020'!$B$2:$B$25,0),MATCH(FW$1,'[1]Heat Rates_post2020'!$C$1:$CD$1,0))</f>
        <v>10348000</v>
      </c>
      <c r="FX22" s="8">
        <f>INDEX('[1]Heat Rates_post2020'!$C$2:$CD$25,MATCH($A22,'[1]Heat Rates_post2020'!$B$2:$B$25,0),MATCH(FX$1,'[1]Heat Rates_post2020'!$C$1:$CD$1,0))</f>
        <v>10348000</v>
      </c>
      <c r="FY22" s="8">
        <f>INDEX('[1]Heat Rates_post2020'!$C$2:$CD$25,MATCH($A22,'[1]Heat Rates_post2020'!$B$2:$B$25,0),MATCH(FY$1,'[1]Heat Rates_post2020'!$C$1:$CD$1,0))</f>
        <v>10348000</v>
      </c>
      <c r="FZ22" s="8">
        <f>INDEX('[1]Heat Rates_post2020'!$C$2:$CD$25,MATCH($A22,'[1]Heat Rates_post2020'!$B$2:$B$25,0),MATCH(FZ$1,'[1]Heat Rates_post2020'!$C$1:$CD$1,0))</f>
        <v>10348000</v>
      </c>
      <c r="GA22" s="8">
        <f>INDEX('[1]Heat Rates_post2020'!$C$2:$CD$25,MATCH($A22,'[1]Heat Rates_post2020'!$B$2:$B$25,0),MATCH(GA$1,'[1]Heat Rates_post2020'!$C$1:$CD$1,0))</f>
        <v>10348000</v>
      </c>
      <c r="GB22" s="8">
        <f>INDEX('[1]Heat Rates_post2020'!$C$2:$CD$25,MATCH($A22,'[1]Heat Rates_post2020'!$B$2:$B$25,0),MATCH(GB$1,'[1]Heat Rates_post2020'!$C$1:$CD$1,0))</f>
        <v>10348000</v>
      </c>
      <c r="GC22" s="8">
        <f>INDEX('[1]Heat Rates_post2020'!$C$2:$CD$25,MATCH($A22,'[1]Heat Rates_post2020'!$B$2:$B$25,0),MATCH(GC$1,'[1]Heat Rates_post2020'!$C$1:$CD$1,0))</f>
        <v>10348000</v>
      </c>
      <c r="GD22" s="8">
        <f>INDEX('[1]Heat Rates_post2020'!$C$2:$CD$25,MATCH($A22,'[1]Heat Rates_post2020'!$B$2:$B$25,0),MATCH(GD$1,'[1]Heat Rates_post2020'!$C$1:$CD$1,0))</f>
        <v>10348000</v>
      </c>
      <c r="GE22" s="8">
        <f>INDEX('[1]Heat Rates_post2020'!$C$2:$CD$25,MATCH($A22,'[1]Heat Rates_post2020'!$B$2:$B$25,0),MATCH(GE$1,'[1]Heat Rates_post2020'!$C$1:$CD$1,0))</f>
        <v>10348000</v>
      </c>
      <c r="GF22" s="8">
        <f>INDEX('[1]Heat Rates_post2020'!$C$2:$CD$25,MATCH($A22,'[1]Heat Rates_post2020'!$B$2:$B$25,0),MATCH(GF$1,'[1]Heat Rates_post2020'!$C$1:$CD$1,0))</f>
        <v>10348000</v>
      </c>
      <c r="GG22" s="8">
        <f>INDEX('[1]Heat Rates_post2020'!$C$2:$CD$25,MATCH($A22,'[1]Heat Rates_post2020'!$B$2:$B$25,0),MATCH(GG$1,'[1]Heat Rates_post2020'!$C$1:$CD$1,0))</f>
        <v>10348000</v>
      </c>
      <c r="GH22" s="8">
        <f>INDEX('[1]Heat Rates_post2020'!$C$2:$CD$25,MATCH($A22,'[1]Heat Rates_post2020'!$B$2:$B$25,0),MATCH(GH$1,'[1]Heat Rates_post2020'!$C$1:$CD$1,0))</f>
        <v>10348000</v>
      </c>
      <c r="GI22" s="8">
        <f>INDEX('[1]Heat Rates_post2020'!$C$2:$CD$25,MATCH($A22,'[1]Heat Rates_post2020'!$B$2:$B$25,0),MATCH(GI$1,'[1]Heat Rates_post2020'!$C$1:$CD$1,0))</f>
        <v>10348000</v>
      </c>
      <c r="GJ22" s="8">
        <f>INDEX('[1]Heat Rates_post2020'!$C$2:$CD$25,MATCH($A22,'[1]Heat Rates_post2020'!$B$2:$B$25,0),MATCH(GJ$1,'[1]Heat Rates_post2020'!$C$1:$CD$1,0))</f>
        <v>10348000</v>
      </c>
      <c r="GK22" s="8">
        <f>INDEX('[1]Heat Rates_post2020'!$C$2:$CD$25,MATCH($A22,'[1]Heat Rates_post2020'!$B$2:$B$25,0),MATCH(GK$1,'[1]Heat Rates_post2020'!$C$1:$CD$1,0))</f>
        <v>10348000</v>
      </c>
      <c r="GL22" s="8">
        <f>INDEX('[1]Heat Rates_post2020'!$C$2:$CD$25,MATCH($A22,'[1]Heat Rates_post2020'!$B$2:$B$25,0),MATCH(GL$1,'[1]Heat Rates_post2020'!$C$1:$CD$1,0))</f>
        <v>10348000</v>
      </c>
      <c r="GM22" s="8">
        <f>INDEX('[1]Heat Rates_post2020'!$C$2:$CD$25,MATCH($A22,'[1]Heat Rates_post2020'!$B$2:$B$25,0),MATCH(GM$1,'[1]Heat Rates_post2020'!$C$1:$CD$1,0))</f>
        <v>10348000</v>
      </c>
      <c r="GN22" s="8">
        <f>INDEX('[1]Heat Rates_post2020'!$C$2:$CD$25,MATCH($A22,'[1]Heat Rates_post2020'!$B$2:$B$25,0),MATCH(GN$1,'[1]Heat Rates_post2020'!$C$1:$CD$1,0))</f>
        <v>10348000</v>
      </c>
      <c r="GO22" s="8">
        <f>INDEX('[1]Heat Rates_post2020'!$C$2:$CD$25,MATCH($A22,'[1]Heat Rates_post2020'!$B$2:$B$25,0),MATCH(GO$1,'[1]Heat Rates_post2020'!$C$1:$CD$1,0))</f>
        <v>10348000</v>
      </c>
      <c r="GP22" s="8">
        <f>INDEX('[1]Heat Rates_post2020'!$C$2:$CD$25,MATCH($A22,'[1]Heat Rates_post2020'!$B$2:$B$25,0),MATCH(GP$1,'[1]Heat Rates_post2020'!$C$1:$CD$1,0))</f>
        <v>10348000</v>
      </c>
      <c r="GQ22" s="8">
        <f>INDEX('[1]Heat Rates_post2020'!$C$2:$CD$25,MATCH($A22,'[1]Heat Rates_post2020'!$B$2:$B$25,0),MATCH(GQ$1,'[1]Heat Rates_post2020'!$C$1:$CD$1,0))</f>
        <v>10348000</v>
      </c>
      <c r="GR22" s="8">
        <f>INDEX('[1]Heat Rates_post2020'!$C$2:$CD$25,MATCH($A22,'[1]Heat Rates_post2020'!$B$2:$B$25,0),MATCH(GR$1,'[1]Heat Rates_post2020'!$C$1:$CD$1,0))</f>
        <v>10348000</v>
      </c>
      <c r="GS22" s="8">
        <f>INDEX('[1]Heat Rates_post2020'!$C$2:$CD$25,MATCH($A22,'[1]Heat Rates_post2020'!$B$2:$B$25,0),MATCH(GS$1,'[1]Heat Rates_post2020'!$C$1:$CD$1,0))</f>
        <v>10348000</v>
      </c>
      <c r="GT22" s="8">
        <f>INDEX('[1]Heat Rates_post2020'!$C$2:$CD$25,MATCH($A22,'[1]Heat Rates_post2020'!$B$2:$B$25,0),MATCH(GT$1,'[1]Heat Rates_post2020'!$C$1:$CD$1,0))</f>
        <v>10348000</v>
      </c>
      <c r="GU22" s="8">
        <f>INDEX('[1]Heat Rates_post2020'!$C$2:$CD$25,MATCH($A22,'[1]Heat Rates_post2020'!$B$2:$B$25,0),MATCH(GU$1,'[1]Heat Rates_post2020'!$C$1:$CD$1,0))</f>
        <v>10348000</v>
      </c>
      <c r="GV22" s="8">
        <f>INDEX('[1]Heat Rates_post2020'!$C$2:$CD$25,MATCH($A22,'[1]Heat Rates_post2020'!$B$2:$B$25,0),MATCH(GV$1,'[1]Heat Rates_post2020'!$C$1:$CD$1,0))</f>
        <v>10348000</v>
      </c>
      <c r="GW22" s="8">
        <f>INDEX('[1]Heat Rates_post2020'!$C$2:$CD$25,MATCH($A22,'[1]Heat Rates_post2020'!$B$2:$B$25,0),MATCH(GW$1,'[1]Heat Rates_post2020'!$C$1:$CD$1,0))</f>
        <v>10348000</v>
      </c>
      <c r="GX22" s="8">
        <f>INDEX('[1]Heat Rates_post2020'!$C$2:$CD$25,MATCH($A22,'[1]Heat Rates_post2020'!$B$2:$B$25,0),MATCH(GX$1,'[1]Heat Rates_post2020'!$C$1:$CD$1,0))</f>
        <v>10348000</v>
      </c>
      <c r="GY22" s="8">
        <f>INDEX('[1]Heat Rates_post2020'!$C$2:$CD$25,MATCH($A22,'[1]Heat Rates_post2020'!$B$2:$B$25,0),MATCH(GY$1,'[1]Heat Rates_post2020'!$C$1:$CD$1,0))</f>
        <v>10348000</v>
      </c>
      <c r="GZ22" s="8">
        <f>INDEX('[1]Heat Rates_post2020'!$C$2:$CD$25,MATCH($A22,'[1]Heat Rates_post2020'!$B$2:$B$25,0),MATCH(GZ$1,'[1]Heat Rates_post2020'!$C$1:$CD$1,0))</f>
        <v>10348000</v>
      </c>
      <c r="HA22" s="8">
        <f>INDEX('[1]Heat Rates_post2020'!$C$2:$CD$25,MATCH($A22,'[1]Heat Rates_post2020'!$B$2:$B$25,0),MATCH(HA$1,'[1]Heat Rates_post2020'!$C$1:$CD$1,0))</f>
        <v>10348000</v>
      </c>
      <c r="HB22" s="8">
        <f>INDEX('[1]Heat Rates_post2020'!$C$2:$CD$25,MATCH($A22,'[1]Heat Rates_post2020'!$B$2:$B$25,0),MATCH(HB$1,'[1]Heat Rates_post2020'!$C$1:$CD$1,0))</f>
        <v>10348000</v>
      </c>
      <c r="HC22" s="8">
        <f>INDEX('[1]Heat Rates_post2020'!$C$2:$CD$25,MATCH($A22,'[1]Heat Rates_post2020'!$B$2:$B$25,0),MATCH(HC$1,'[1]Heat Rates_post2020'!$C$1:$CD$1,0))</f>
        <v>10348000</v>
      </c>
    </row>
    <row r="23" spans="1:211" x14ac:dyDescent="0.25">
      <c r="A23" t="s">
        <v>66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16">
        <f t="shared" si="16"/>
        <v>0</v>
      </c>
      <c r="BT23" s="16">
        <f t="shared" si="16"/>
        <v>0</v>
      </c>
      <c r="BU23" s="16">
        <f t="shared" si="16"/>
        <v>0</v>
      </c>
      <c r="BV23" s="16">
        <f t="shared" si="16"/>
        <v>0</v>
      </c>
      <c r="BW23" s="16">
        <f t="shared" si="16"/>
        <v>0</v>
      </c>
      <c r="BX23" s="16">
        <f t="shared" si="16"/>
        <v>0</v>
      </c>
      <c r="BY23" s="16">
        <f t="shared" si="16"/>
        <v>0</v>
      </c>
      <c r="BZ23" s="16">
        <f t="shared" si="16"/>
        <v>0</v>
      </c>
      <c r="CA23" s="16">
        <f t="shared" si="16"/>
        <v>0</v>
      </c>
      <c r="CB23" s="16">
        <f t="shared" si="16"/>
        <v>0</v>
      </c>
      <c r="CC23" s="16">
        <f t="shared" si="16"/>
        <v>0</v>
      </c>
      <c r="CD23" s="16">
        <f t="shared" si="16"/>
        <v>0</v>
      </c>
      <c r="CE23" s="16">
        <f t="shared" si="16"/>
        <v>0</v>
      </c>
      <c r="CF23" s="16">
        <f t="shared" si="16"/>
        <v>0</v>
      </c>
      <c r="CG23" s="16">
        <f t="shared" si="16"/>
        <v>0</v>
      </c>
      <c r="CH23" s="16">
        <f t="shared" si="16"/>
        <v>0</v>
      </c>
      <c r="CI23" s="16">
        <f t="shared" si="16"/>
        <v>0</v>
      </c>
      <c r="CJ23" s="16">
        <f t="shared" si="16"/>
        <v>0</v>
      </c>
      <c r="CK23" s="16">
        <f t="shared" si="16"/>
        <v>0</v>
      </c>
      <c r="CL23" s="16">
        <f t="shared" si="16"/>
        <v>0</v>
      </c>
      <c r="CM23" s="16">
        <f t="shared" si="16"/>
        <v>0</v>
      </c>
      <c r="CN23" s="16">
        <f t="shared" si="16"/>
        <v>0</v>
      </c>
      <c r="CO23" s="16">
        <f t="shared" si="16"/>
        <v>0</v>
      </c>
      <c r="CP23" s="16">
        <f t="shared" si="16"/>
        <v>0</v>
      </c>
      <c r="CQ23" s="16">
        <f t="shared" si="16"/>
        <v>0</v>
      </c>
      <c r="CR23" s="16">
        <f t="shared" si="16"/>
        <v>0</v>
      </c>
      <c r="CS23" s="16">
        <f t="shared" si="16"/>
        <v>0</v>
      </c>
      <c r="CT23" s="16">
        <f t="shared" si="16"/>
        <v>0</v>
      </c>
      <c r="CU23" s="16">
        <f t="shared" si="16"/>
        <v>0</v>
      </c>
      <c r="CV23" s="16">
        <f t="shared" si="16"/>
        <v>0</v>
      </c>
      <c r="CW23" s="16">
        <f t="shared" si="16"/>
        <v>0</v>
      </c>
      <c r="CX23" s="16">
        <f t="shared" si="16"/>
        <v>0</v>
      </c>
      <c r="CY23" s="16">
        <f t="shared" si="16"/>
        <v>0</v>
      </c>
      <c r="CZ23" s="16">
        <f t="shared" si="16"/>
        <v>0</v>
      </c>
      <c r="DA23" s="16">
        <f t="shared" si="16"/>
        <v>0</v>
      </c>
      <c r="DB23" s="16">
        <f t="shared" si="16"/>
        <v>0</v>
      </c>
      <c r="DC23" s="16">
        <f t="shared" si="16"/>
        <v>0</v>
      </c>
      <c r="DD23" s="16">
        <f t="shared" si="16"/>
        <v>0</v>
      </c>
      <c r="DE23" s="16">
        <f t="shared" si="16"/>
        <v>0</v>
      </c>
      <c r="DF23" s="16">
        <f t="shared" si="16"/>
        <v>0</v>
      </c>
      <c r="DG23" s="16">
        <f t="shared" si="16"/>
        <v>0</v>
      </c>
      <c r="DH23" s="16">
        <f t="shared" si="16"/>
        <v>0</v>
      </c>
      <c r="DI23" s="16">
        <f t="shared" si="16"/>
        <v>0</v>
      </c>
      <c r="DJ23" s="16">
        <f t="shared" si="16"/>
        <v>0</v>
      </c>
      <c r="DK23" s="16">
        <f t="shared" si="16"/>
        <v>0</v>
      </c>
      <c r="DL23" s="16">
        <f t="shared" si="15"/>
        <v>0</v>
      </c>
      <c r="DM23" s="16">
        <f t="shared" si="15"/>
        <v>0</v>
      </c>
      <c r="DN23" s="16">
        <f t="shared" si="15"/>
        <v>0</v>
      </c>
      <c r="DO23" s="16">
        <f t="shared" si="15"/>
        <v>0</v>
      </c>
      <c r="DP23" s="16">
        <f t="shared" si="15"/>
        <v>0</v>
      </c>
      <c r="DQ23" s="16">
        <f t="shared" si="15"/>
        <v>0</v>
      </c>
      <c r="DR23" s="16">
        <f t="shared" si="4"/>
        <v>0</v>
      </c>
      <c r="DS23" s="16">
        <f>IF(Calculations!B150="",0,Calculations!B150)</f>
        <v>0</v>
      </c>
      <c r="DT23" s="16">
        <f>IF(Calculations!C150="",0,Calculations!C150)</f>
        <v>0</v>
      </c>
      <c r="DU23" s="16">
        <f>IF(Calculations!D150="",0,Calculations!D150)</f>
        <v>0</v>
      </c>
      <c r="DV23" s="16">
        <f>IF(Calculations!E150="",0,Calculations!E150)</f>
        <v>0</v>
      </c>
      <c r="DW23" s="16">
        <f>IF(Calculations!F150="",0,Calculations!F150)</f>
        <v>0</v>
      </c>
      <c r="DX23" s="16">
        <f>IF(Calculations!G150="",0,Calculations!G150)</f>
        <v>0</v>
      </c>
      <c r="DY23" s="16">
        <f>IF(Calculations!H150="",0,Calculations!H150)</f>
        <v>0</v>
      </c>
      <c r="DZ23" s="16">
        <f>IF(Calculations!I150="",0,Calculations!I150)</f>
        <v>0</v>
      </c>
      <c r="EA23" s="16">
        <f>IF(Calculations!J150="",0,Calculations!J150)</f>
        <v>0</v>
      </c>
      <c r="EB23" s="17">
        <f>INDEX('[1]Heat Rates_post2020'!$C$2:$CD$25,MATCH($A23,'[1]Heat Rates_post2020'!$B$2:$B$25,0),MATCH(EB$1,'[1]Heat Rates_post2020'!$C$1:$CD$1,0))</f>
        <v>10447000</v>
      </c>
      <c r="EC23" s="8">
        <f>INDEX('[1]Heat Rates_post2020'!$C$2:$CD$25,MATCH($A23,'[1]Heat Rates_post2020'!$B$2:$B$25,0),MATCH(EC$1,'[1]Heat Rates_post2020'!$C$1:$CD$1,0))</f>
        <v>10447000</v>
      </c>
      <c r="ED23" s="8">
        <f>INDEX('[1]Heat Rates_post2020'!$C$2:$CD$25,MATCH($A23,'[1]Heat Rates_post2020'!$B$2:$B$25,0),MATCH(ED$1,'[1]Heat Rates_post2020'!$C$1:$CD$1,0))</f>
        <v>10447000</v>
      </c>
      <c r="EE23" s="8">
        <f>INDEX('[1]Heat Rates_post2020'!$C$2:$CD$25,MATCH($A23,'[1]Heat Rates_post2020'!$B$2:$B$25,0),MATCH(EE$1,'[1]Heat Rates_post2020'!$C$1:$CD$1,0))</f>
        <v>10447000</v>
      </c>
      <c r="EF23" s="8">
        <f>INDEX('[1]Heat Rates_post2020'!$C$2:$CD$25,MATCH($A23,'[1]Heat Rates_post2020'!$B$2:$B$25,0),MATCH(EF$1,'[1]Heat Rates_post2020'!$C$1:$CD$1,0))</f>
        <v>10447000</v>
      </c>
      <c r="EG23" s="8">
        <f>INDEX('[1]Heat Rates_post2020'!$C$2:$CD$25,MATCH($A23,'[1]Heat Rates_post2020'!$B$2:$B$25,0),MATCH(EG$1,'[1]Heat Rates_post2020'!$C$1:$CD$1,0))</f>
        <v>10447000</v>
      </c>
      <c r="EH23" s="8">
        <f>INDEX('[1]Heat Rates_post2020'!$C$2:$CD$25,MATCH($A23,'[1]Heat Rates_post2020'!$B$2:$B$25,0),MATCH(EH$1,'[1]Heat Rates_post2020'!$C$1:$CD$1,0))</f>
        <v>10447000</v>
      </c>
      <c r="EI23" s="8">
        <f>INDEX('[1]Heat Rates_post2020'!$C$2:$CD$25,MATCH($A23,'[1]Heat Rates_post2020'!$B$2:$B$25,0),MATCH(EI$1,'[1]Heat Rates_post2020'!$C$1:$CD$1,0))</f>
        <v>10447000</v>
      </c>
      <c r="EJ23" s="8">
        <f>INDEX('[1]Heat Rates_post2020'!$C$2:$CD$25,MATCH($A23,'[1]Heat Rates_post2020'!$B$2:$B$25,0),MATCH(EJ$1,'[1]Heat Rates_post2020'!$C$1:$CD$1,0))</f>
        <v>10447000</v>
      </c>
      <c r="EK23" s="8">
        <f>INDEX('[1]Heat Rates_post2020'!$C$2:$CD$25,MATCH($A23,'[1]Heat Rates_post2020'!$B$2:$B$25,0),MATCH(EK$1,'[1]Heat Rates_post2020'!$C$1:$CD$1,0))</f>
        <v>10447000</v>
      </c>
      <c r="EL23" s="8">
        <f>INDEX('[1]Heat Rates_post2020'!$C$2:$CD$25,MATCH($A23,'[1]Heat Rates_post2020'!$B$2:$B$25,0),MATCH(EL$1,'[1]Heat Rates_post2020'!$C$1:$CD$1,0))</f>
        <v>10447000</v>
      </c>
      <c r="EM23" s="8">
        <f>INDEX('[1]Heat Rates_post2020'!$C$2:$CD$25,MATCH($A23,'[1]Heat Rates_post2020'!$B$2:$B$25,0),MATCH(EM$1,'[1]Heat Rates_post2020'!$C$1:$CD$1,0))</f>
        <v>10447000</v>
      </c>
      <c r="EN23" s="8">
        <f>INDEX('[1]Heat Rates_post2020'!$C$2:$CD$25,MATCH($A23,'[1]Heat Rates_post2020'!$B$2:$B$25,0),MATCH(EN$1,'[1]Heat Rates_post2020'!$C$1:$CD$1,0))</f>
        <v>10447000</v>
      </c>
      <c r="EO23" s="8">
        <f>INDEX('[1]Heat Rates_post2020'!$C$2:$CD$25,MATCH($A23,'[1]Heat Rates_post2020'!$B$2:$B$25,0),MATCH(EO$1,'[1]Heat Rates_post2020'!$C$1:$CD$1,0))</f>
        <v>10447000</v>
      </c>
      <c r="EP23" s="8">
        <f>INDEX('[1]Heat Rates_post2020'!$C$2:$CD$25,MATCH($A23,'[1]Heat Rates_post2020'!$B$2:$B$25,0),MATCH(EP$1,'[1]Heat Rates_post2020'!$C$1:$CD$1,0))</f>
        <v>10447000</v>
      </c>
      <c r="EQ23" s="8">
        <f>INDEX('[1]Heat Rates_post2020'!$C$2:$CD$25,MATCH($A23,'[1]Heat Rates_post2020'!$B$2:$B$25,0),MATCH(EQ$1,'[1]Heat Rates_post2020'!$C$1:$CD$1,0))</f>
        <v>10447000</v>
      </c>
      <c r="ER23" s="8">
        <f>INDEX('[1]Heat Rates_post2020'!$C$2:$CD$25,MATCH($A23,'[1]Heat Rates_post2020'!$B$2:$B$25,0),MATCH(ER$1,'[1]Heat Rates_post2020'!$C$1:$CD$1,0))</f>
        <v>10447000</v>
      </c>
      <c r="ES23" s="8">
        <f>INDEX('[1]Heat Rates_post2020'!$C$2:$CD$25,MATCH($A23,'[1]Heat Rates_post2020'!$B$2:$B$25,0),MATCH(ES$1,'[1]Heat Rates_post2020'!$C$1:$CD$1,0))</f>
        <v>10447000</v>
      </c>
      <c r="ET23" s="8">
        <f>INDEX('[1]Heat Rates_post2020'!$C$2:$CD$25,MATCH($A23,'[1]Heat Rates_post2020'!$B$2:$B$25,0),MATCH(ET$1,'[1]Heat Rates_post2020'!$C$1:$CD$1,0))</f>
        <v>10447000</v>
      </c>
      <c r="EU23" s="8">
        <f>INDEX('[1]Heat Rates_post2020'!$C$2:$CD$25,MATCH($A23,'[1]Heat Rates_post2020'!$B$2:$B$25,0),MATCH(EU$1,'[1]Heat Rates_post2020'!$C$1:$CD$1,0))</f>
        <v>10447000</v>
      </c>
      <c r="EV23" s="8">
        <f>INDEX('[1]Heat Rates_post2020'!$C$2:$CD$25,MATCH($A23,'[1]Heat Rates_post2020'!$B$2:$B$25,0),MATCH(EV$1,'[1]Heat Rates_post2020'!$C$1:$CD$1,0))</f>
        <v>10447000</v>
      </c>
      <c r="EW23" s="8">
        <f>INDEX('[1]Heat Rates_post2020'!$C$2:$CD$25,MATCH($A23,'[1]Heat Rates_post2020'!$B$2:$B$25,0),MATCH(EW$1,'[1]Heat Rates_post2020'!$C$1:$CD$1,0))</f>
        <v>10447000</v>
      </c>
      <c r="EX23" s="8">
        <f>INDEX('[1]Heat Rates_post2020'!$C$2:$CD$25,MATCH($A23,'[1]Heat Rates_post2020'!$B$2:$B$25,0),MATCH(EX$1,'[1]Heat Rates_post2020'!$C$1:$CD$1,0))</f>
        <v>10447000</v>
      </c>
      <c r="EY23" s="8">
        <f>INDEX('[1]Heat Rates_post2020'!$C$2:$CD$25,MATCH($A23,'[1]Heat Rates_post2020'!$B$2:$B$25,0),MATCH(EY$1,'[1]Heat Rates_post2020'!$C$1:$CD$1,0))</f>
        <v>10447000</v>
      </c>
      <c r="EZ23" s="8">
        <f>INDEX('[1]Heat Rates_post2020'!$C$2:$CD$25,MATCH($A23,'[1]Heat Rates_post2020'!$B$2:$B$25,0),MATCH(EZ$1,'[1]Heat Rates_post2020'!$C$1:$CD$1,0))</f>
        <v>10447000</v>
      </c>
      <c r="FA23" s="8">
        <f>INDEX('[1]Heat Rates_post2020'!$C$2:$CD$25,MATCH($A23,'[1]Heat Rates_post2020'!$B$2:$B$25,0),MATCH(FA$1,'[1]Heat Rates_post2020'!$C$1:$CD$1,0))</f>
        <v>10447000</v>
      </c>
      <c r="FB23" s="8">
        <f>INDEX('[1]Heat Rates_post2020'!$C$2:$CD$25,MATCH($A23,'[1]Heat Rates_post2020'!$B$2:$B$25,0),MATCH(FB$1,'[1]Heat Rates_post2020'!$C$1:$CD$1,0))</f>
        <v>10447000</v>
      </c>
      <c r="FC23" s="8">
        <f>INDEX('[1]Heat Rates_post2020'!$C$2:$CD$25,MATCH($A23,'[1]Heat Rates_post2020'!$B$2:$B$25,0),MATCH(FC$1,'[1]Heat Rates_post2020'!$C$1:$CD$1,0))</f>
        <v>10447000</v>
      </c>
      <c r="FD23" s="8">
        <f>INDEX('[1]Heat Rates_post2020'!$C$2:$CD$25,MATCH($A23,'[1]Heat Rates_post2020'!$B$2:$B$25,0),MATCH(FD$1,'[1]Heat Rates_post2020'!$C$1:$CD$1,0))</f>
        <v>10447000</v>
      </c>
      <c r="FE23" s="8">
        <f>INDEX('[1]Heat Rates_post2020'!$C$2:$CD$25,MATCH($A23,'[1]Heat Rates_post2020'!$B$2:$B$25,0),MATCH(FE$1,'[1]Heat Rates_post2020'!$C$1:$CD$1,0))</f>
        <v>10447000</v>
      </c>
      <c r="FF23" s="8">
        <f>INDEX('[1]Heat Rates_post2020'!$C$2:$CD$25,MATCH($A23,'[1]Heat Rates_post2020'!$B$2:$B$25,0),MATCH(FF$1,'[1]Heat Rates_post2020'!$C$1:$CD$1,0))</f>
        <v>10447000</v>
      </c>
      <c r="FG23" s="8">
        <f>INDEX('[1]Heat Rates_post2020'!$C$2:$CD$25,MATCH($A23,'[1]Heat Rates_post2020'!$B$2:$B$25,0),MATCH(FG$1,'[1]Heat Rates_post2020'!$C$1:$CD$1,0))</f>
        <v>10447000</v>
      </c>
      <c r="FH23" s="8">
        <f>INDEX('[1]Heat Rates_post2020'!$C$2:$CD$25,MATCH($A23,'[1]Heat Rates_post2020'!$B$2:$B$25,0),MATCH(FH$1,'[1]Heat Rates_post2020'!$C$1:$CD$1,0))</f>
        <v>10447000</v>
      </c>
      <c r="FI23" s="8">
        <f>INDEX('[1]Heat Rates_post2020'!$C$2:$CD$25,MATCH($A23,'[1]Heat Rates_post2020'!$B$2:$B$25,0),MATCH(FI$1,'[1]Heat Rates_post2020'!$C$1:$CD$1,0))</f>
        <v>10447000</v>
      </c>
      <c r="FJ23" s="8">
        <f>INDEX('[1]Heat Rates_post2020'!$C$2:$CD$25,MATCH($A23,'[1]Heat Rates_post2020'!$B$2:$B$25,0),MATCH(FJ$1,'[1]Heat Rates_post2020'!$C$1:$CD$1,0))</f>
        <v>10447000</v>
      </c>
      <c r="FK23" s="8">
        <f>INDEX('[1]Heat Rates_post2020'!$C$2:$CD$25,MATCH($A23,'[1]Heat Rates_post2020'!$B$2:$B$25,0),MATCH(FK$1,'[1]Heat Rates_post2020'!$C$1:$CD$1,0))</f>
        <v>10447000</v>
      </c>
      <c r="FL23" s="8">
        <f>INDEX('[1]Heat Rates_post2020'!$C$2:$CD$25,MATCH($A23,'[1]Heat Rates_post2020'!$B$2:$B$25,0),MATCH(FL$1,'[1]Heat Rates_post2020'!$C$1:$CD$1,0))</f>
        <v>10447000</v>
      </c>
      <c r="FM23" s="8">
        <f>INDEX('[1]Heat Rates_post2020'!$C$2:$CD$25,MATCH($A23,'[1]Heat Rates_post2020'!$B$2:$B$25,0),MATCH(FM$1,'[1]Heat Rates_post2020'!$C$1:$CD$1,0))</f>
        <v>10447000</v>
      </c>
      <c r="FN23" s="8">
        <f>INDEX('[1]Heat Rates_post2020'!$C$2:$CD$25,MATCH($A23,'[1]Heat Rates_post2020'!$B$2:$B$25,0),MATCH(FN$1,'[1]Heat Rates_post2020'!$C$1:$CD$1,0))</f>
        <v>10447000</v>
      </c>
      <c r="FO23" s="8">
        <f>INDEX('[1]Heat Rates_post2020'!$C$2:$CD$25,MATCH($A23,'[1]Heat Rates_post2020'!$B$2:$B$25,0),MATCH(FO$1,'[1]Heat Rates_post2020'!$C$1:$CD$1,0))</f>
        <v>10447000</v>
      </c>
      <c r="FP23" s="8">
        <f>INDEX('[1]Heat Rates_post2020'!$C$2:$CD$25,MATCH($A23,'[1]Heat Rates_post2020'!$B$2:$B$25,0),MATCH(FP$1,'[1]Heat Rates_post2020'!$C$1:$CD$1,0))</f>
        <v>10447000</v>
      </c>
      <c r="FQ23" s="8">
        <f>INDEX('[1]Heat Rates_post2020'!$C$2:$CD$25,MATCH($A23,'[1]Heat Rates_post2020'!$B$2:$B$25,0),MATCH(FQ$1,'[1]Heat Rates_post2020'!$C$1:$CD$1,0))</f>
        <v>10447000</v>
      </c>
      <c r="FR23" s="8">
        <f>INDEX('[1]Heat Rates_post2020'!$C$2:$CD$25,MATCH($A23,'[1]Heat Rates_post2020'!$B$2:$B$25,0),MATCH(FR$1,'[1]Heat Rates_post2020'!$C$1:$CD$1,0))</f>
        <v>10447000</v>
      </c>
      <c r="FS23" s="8">
        <f>INDEX('[1]Heat Rates_post2020'!$C$2:$CD$25,MATCH($A23,'[1]Heat Rates_post2020'!$B$2:$B$25,0),MATCH(FS$1,'[1]Heat Rates_post2020'!$C$1:$CD$1,0))</f>
        <v>10447000</v>
      </c>
      <c r="FT23" s="8">
        <f>INDEX('[1]Heat Rates_post2020'!$C$2:$CD$25,MATCH($A23,'[1]Heat Rates_post2020'!$B$2:$B$25,0),MATCH(FT$1,'[1]Heat Rates_post2020'!$C$1:$CD$1,0))</f>
        <v>10447000</v>
      </c>
      <c r="FU23" s="8">
        <f>INDEX('[1]Heat Rates_post2020'!$C$2:$CD$25,MATCH($A23,'[1]Heat Rates_post2020'!$B$2:$B$25,0),MATCH(FU$1,'[1]Heat Rates_post2020'!$C$1:$CD$1,0))</f>
        <v>10447000</v>
      </c>
      <c r="FV23" s="8">
        <f>INDEX('[1]Heat Rates_post2020'!$C$2:$CD$25,MATCH($A23,'[1]Heat Rates_post2020'!$B$2:$B$25,0),MATCH(FV$1,'[1]Heat Rates_post2020'!$C$1:$CD$1,0))</f>
        <v>10447000</v>
      </c>
      <c r="FW23" s="8">
        <f>INDEX('[1]Heat Rates_post2020'!$C$2:$CD$25,MATCH($A23,'[1]Heat Rates_post2020'!$B$2:$B$25,0),MATCH(FW$1,'[1]Heat Rates_post2020'!$C$1:$CD$1,0))</f>
        <v>10447000</v>
      </c>
      <c r="FX23" s="8">
        <f>INDEX('[1]Heat Rates_post2020'!$C$2:$CD$25,MATCH($A23,'[1]Heat Rates_post2020'!$B$2:$B$25,0),MATCH(FX$1,'[1]Heat Rates_post2020'!$C$1:$CD$1,0))</f>
        <v>10447000</v>
      </c>
      <c r="FY23" s="8">
        <f>INDEX('[1]Heat Rates_post2020'!$C$2:$CD$25,MATCH($A23,'[1]Heat Rates_post2020'!$B$2:$B$25,0),MATCH(FY$1,'[1]Heat Rates_post2020'!$C$1:$CD$1,0))</f>
        <v>10447000</v>
      </c>
      <c r="FZ23" s="8">
        <f>INDEX('[1]Heat Rates_post2020'!$C$2:$CD$25,MATCH($A23,'[1]Heat Rates_post2020'!$B$2:$B$25,0),MATCH(FZ$1,'[1]Heat Rates_post2020'!$C$1:$CD$1,0))</f>
        <v>10447000</v>
      </c>
      <c r="GA23" s="8">
        <f>INDEX('[1]Heat Rates_post2020'!$C$2:$CD$25,MATCH($A23,'[1]Heat Rates_post2020'!$B$2:$B$25,0),MATCH(GA$1,'[1]Heat Rates_post2020'!$C$1:$CD$1,0))</f>
        <v>10447000</v>
      </c>
      <c r="GB23" s="8">
        <f>INDEX('[1]Heat Rates_post2020'!$C$2:$CD$25,MATCH($A23,'[1]Heat Rates_post2020'!$B$2:$B$25,0),MATCH(GB$1,'[1]Heat Rates_post2020'!$C$1:$CD$1,0))</f>
        <v>10447000</v>
      </c>
      <c r="GC23" s="8">
        <f>INDEX('[1]Heat Rates_post2020'!$C$2:$CD$25,MATCH($A23,'[1]Heat Rates_post2020'!$B$2:$B$25,0),MATCH(GC$1,'[1]Heat Rates_post2020'!$C$1:$CD$1,0))</f>
        <v>10447000</v>
      </c>
      <c r="GD23" s="8">
        <f>INDEX('[1]Heat Rates_post2020'!$C$2:$CD$25,MATCH($A23,'[1]Heat Rates_post2020'!$B$2:$B$25,0),MATCH(GD$1,'[1]Heat Rates_post2020'!$C$1:$CD$1,0))</f>
        <v>10447000</v>
      </c>
      <c r="GE23" s="8">
        <f>INDEX('[1]Heat Rates_post2020'!$C$2:$CD$25,MATCH($A23,'[1]Heat Rates_post2020'!$B$2:$B$25,0),MATCH(GE$1,'[1]Heat Rates_post2020'!$C$1:$CD$1,0))</f>
        <v>10447000</v>
      </c>
      <c r="GF23" s="8">
        <f>INDEX('[1]Heat Rates_post2020'!$C$2:$CD$25,MATCH($A23,'[1]Heat Rates_post2020'!$B$2:$B$25,0),MATCH(GF$1,'[1]Heat Rates_post2020'!$C$1:$CD$1,0))</f>
        <v>10447000</v>
      </c>
      <c r="GG23" s="8">
        <f>INDEX('[1]Heat Rates_post2020'!$C$2:$CD$25,MATCH($A23,'[1]Heat Rates_post2020'!$B$2:$B$25,0),MATCH(GG$1,'[1]Heat Rates_post2020'!$C$1:$CD$1,0))</f>
        <v>10447000</v>
      </c>
      <c r="GH23" s="8">
        <f>INDEX('[1]Heat Rates_post2020'!$C$2:$CD$25,MATCH($A23,'[1]Heat Rates_post2020'!$B$2:$B$25,0),MATCH(GH$1,'[1]Heat Rates_post2020'!$C$1:$CD$1,0))</f>
        <v>10447000</v>
      </c>
      <c r="GI23" s="8">
        <f>INDEX('[1]Heat Rates_post2020'!$C$2:$CD$25,MATCH($A23,'[1]Heat Rates_post2020'!$B$2:$B$25,0),MATCH(GI$1,'[1]Heat Rates_post2020'!$C$1:$CD$1,0))</f>
        <v>10447000</v>
      </c>
      <c r="GJ23" s="8">
        <f>INDEX('[1]Heat Rates_post2020'!$C$2:$CD$25,MATCH($A23,'[1]Heat Rates_post2020'!$B$2:$B$25,0),MATCH(GJ$1,'[1]Heat Rates_post2020'!$C$1:$CD$1,0))</f>
        <v>10447000</v>
      </c>
      <c r="GK23" s="8">
        <f>INDEX('[1]Heat Rates_post2020'!$C$2:$CD$25,MATCH($A23,'[1]Heat Rates_post2020'!$B$2:$B$25,0),MATCH(GK$1,'[1]Heat Rates_post2020'!$C$1:$CD$1,0))</f>
        <v>10447000</v>
      </c>
      <c r="GL23" s="8">
        <f>INDEX('[1]Heat Rates_post2020'!$C$2:$CD$25,MATCH($A23,'[1]Heat Rates_post2020'!$B$2:$B$25,0),MATCH(GL$1,'[1]Heat Rates_post2020'!$C$1:$CD$1,0))</f>
        <v>10447000</v>
      </c>
      <c r="GM23" s="8">
        <f>INDEX('[1]Heat Rates_post2020'!$C$2:$CD$25,MATCH($A23,'[1]Heat Rates_post2020'!$B$2:$B$25,0),MATCH(GM$1,'[1]Heat Rates_post2020'!$C$1:$CD$1,0))</f>
        <v>10447000</v>
      </c>
      <c r="GN23" s="8">
        <f>INDEX('[1]Heat Rates_post2020'!$C$2:$CD$25,MATCH($A23,'[1]Heat Rates_post2020'!$B$2:$B$25,0),MATCH(GN$1,'[1]Heat Rates_post2020'!$C$1:$CD$1,0))</f>
        <v>10447000</v>
      </c>
      <c r="GO23" s="8">
        <f>INDEX('[1]Heat Rates_post2020'!$C$2:$CD$25,MATCH($A23,'[1]Heat Rates_post2020'!$B$2:$B$25,0),MATCH(GO$1,'[1]Heat Rates_post2020'!$C$1:$CD$1,0))</f>
        <v>10447000</v>
      </c>
      <c r="GP23" s="8">
        <f>INDEX('[1]Heat Rates_post2020'!$C$2:$CD$25,MATCH($A23,'[1]Heat Rates_post2020'!$B$2:$B$25,0),MATCH(GP$1,'[1]Heat Rates_post2020'!$C$1:$CD$1,0))</f>
        <v>10447000</v>
      </c>
      <c r="GQ23" s="8">
        <f>INDEX('[1]Heat Rates_post2020'!$C$2:$CD$25,MATCH($A23,'[1]Heat Rates_post2020'!$B$2:$B$25,0),MATCH(GQ$1,'[1]Heat Rates_post2020'!$C$1:$CD$1,0))</f>
        <v>10447000</v>
      </c>
      <c r="GR23" s="8">
        <f>INDEX('[1]Heat Rates_post2020'!$C$2:$CD$25,MATCH($A23,'[1]Heat Rates_post2020'!$B$2:$B$25,0),MATCH(GR$1,'[1]Heat Rates_post2020'!$C$1:$CD$1,0))</f>
        <v>10447000</v>
      </c>
      <c r="GS23" s="8">
        <f>INDEX('[1]Heat Rates_post2020'!$C$2:$CD$25,MATCH($A23,'[1]Heat Rates_post2020'!$B$2:$B$25,0),MATCH(GS$1,'[1]Heat Rates_post2020'!$C$1:$CD$1,0))</f>
        <v>10447000</v>
      </c>
      <c r="GT23" s="8">
        <f>INDEX('[1]Heat Rates_post2020'!$C$2:$CD$25,MATCH($A23,'[1]Heat Rates_post2020'!$B$2:$B$25,0),MATCH(GT$1,'[1]Heat Rates_post2020'!$C$1:$CD$1,0))</f>
        <v>10447000</v>
      </c>
      <c r="GU23" s="8">
        <f>INDEX('[1]Heat Rates_post2020'!$C$2:$CD$25,MATCH($A23,'[1]Heat Rates_post2020'!$B$2:$B$25,0),MATCH(GU$1,'[1]Heat Rates_post2020'!$C$1:$CD$1,0))</f>
        <v>10447000</v>
      </c>
      <c r="GV23" s="8">
        <f>INDEX('[1]Heat Rates_post2020'!$C$2:$CD$25,MATCH($A23,'[1]Heat Rates_post2020'!$B$2:$B$25,0),MATCH(GV$1,'[1]Heat Rates_post2020'!$C$1:$CD$1,0))</f>
        <v>10447000</v>
      </c>
      <c r="GW23" s="8">
        <f>INDEX('[1]Heat Rates_post2020'!$C$2:$CD$25,MATCH($A23,'[1]Heat Rates_post2020'!$B$2:$B$25,0),MATCH(GW$1,'[1]Heat Rates_post2020'!$C$1:$CD$1,0))</f>
        <v>10447000</v>
      </c>
      <c r="GX23" s="8">
        <f>INDEX('[1]Heat Rates_post2020'!$C$2:$CD$25,MATCH($A23,'[1]Heat Rates_post2020'!$B$2:$B$25,0),MATCH(GX$1,'[1]Heat Rates_post2020'!$C$1:$CD$1,0))</f>
        <v>10447000</v>
      </c>
      <c r="GY23" s="8">
        <f>INDEX('[1]Heat Rates_post2020'!$C$2:$CD$25,MATCH($A23,'[1]Heat Rates_post2020'!$B$2:$B$25,0),MATCH(GY$1,'[1]Heat Rates_post2020'!$C$1:$CD$1,0))</f>
        <v>10447000</v>
      </c>
      <c r="GZ23" s="8">
        <f>INDEX('[1]Heat Rates_post2020'!$C$2:$CD$25,MATCH($A23,'[1]Heat Rates_post2020'!$B$2:$B$25,0),MATCH(GZ$1,'[1]Heat Rates_post2020'!$C$1:$CD$1,0))</f>
        <v>10447000</v>
      </c>
      <c r="HA23" s="8">
        <f>INDEX('[1]Heat Rates_post2020'!$C$2:$CD$25,MATCH($A23,'[1]Heat Rates_post2020'!$B$2:$B$25,0),MATCH(HA$1,'[1]Heat Rates_post2020'!$C$1:$CD$1,0))</f>
        <v>10447000</v>
      </c>
      <c r="HB23" s="8">
        <f>INDEX('[1]Heat Rates_post2020'!$C$2:$CD$25,MATCH($A23,'[1]Heat Rates_post2020'!$B$2:$B$25,0),MATCH(HB$1,'[1]Heat Rates_post2020'!$C$1:$CD$1,0))</f>
        <v>10447000</v>
      </c>
      <c r="HC23" s="8">
        <f>INDEX('[1]Heat Rates_post2020'!$C$2:$CD$25,MATCH($A23,'[1]Heat Rates_post2020'!$B$2:$B$25,0),MATCH(HC$1,'[1]Heat Rates_post2020'!$C$1:$CD$1,0))</f>
        <v>10447000</v>
      </c>
    </row>
    <row r="24" spans="1:211" x14ac:dyDescent="0.25">
      <c r="A24" s="19" t="s">
        <v>67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16">
        <f t="shared" si="16"/>
        <v>9853450.5940074492</v>
      </c>
      <c r="BT24" s="16">
        <f t="shared" si="16"/>
        <v>9853450.5940074492</v>
      </c>
      <c r="BU24" s="16">
        <f t="shared" si="16"/>
        <v>9853450.5940074492</v>
      </c>
      <c r="BV24" s="16">
        <f t="shared" si="16"/>
        <v>9853450.5940074492</v>
      </c>
      <c r="BW24" s="16">
        <f t="shared" si="16"/>
        <v>9853450.5940074492</v>
      </c>
      <c r="BX24" s="16">
        <f t="shared" si="16"/>
        <v>9853450.5940074492</v>
      </c>
      <c r="BY24" s="16">
        <f t="shared" si="16"/>
        <v>9853450.5940074492</v>
      </c>
      <c r="BZ24" s="16">
        <f t="shared" si="16"/>
        <v>9853450.5940074492</v>
      </c>
      <c r="CA24" s="16">
        <f t="shared" si="16"/>
        <v>9853450.5940074492</v>
      </c>
      <c r="CB24" s="16">
        <f t="shared" si="16"/>
        <v>9853450.5940074492</v>
      </c>
      <c r="CC24" s="16">
        <f t="shared" si="16"/>
        <v>9853450.5940074492</v>
      </c>
      <c r="CD24" s="16">
        <f t="shared" si="16"/>
        <v>9853450.5940074492</v>
      </c>
      <c r="CE24" s="16">
        <f t="shared" si="16"/>
        <v>9853450.5940074492</v>
      </c>
      <c r="CF24" s="16">
        <f t="shared" si="16"/>
        <v>9853450.5940074492</v>
      </c>
      <c r="CG24" s="16">
        <f t="shared" si="16"/>
        <v>9853450.5940074492</v>
      </c>
      <c r="CH24" s="16">
        <f t="shared" si="16"/>
        <v>9853450.5940074492</v>
      </c>
      <c r="CI24" s="16">
        <f t="shared" si="16"/>
        <v>9853450.5940074492</v>
      </c>
      <c r="CJ24" s="16">
        <f t="shared" si="16"/>
        <v>9853450.5940074492</v>
      </c>
      <c r="CK24" s="16">
        <f t="shared" si="16"/>
        <v>9853450.5940074492</v>
      </c>
      <c r="CL24" s="16">
        <f t="shared" si="16"/>
        <v>9853450.5940074492</v>
      </c>
      <c r="CM24" s="16">
        <f t="shared" si="16"/>
        <v>9853450.5940074492</v>
      </c>
      <c r="CN24" s="16">
        <f t="shared" si="16"/>
        <v>9853450.5940074492</v>
      </c>
      <c r="CO24" s="16">
        <f t="shared" si="16"/>
        <v>9853450.5940074492</v>
      </c>
      <c r="CP24" s="16">
        <f t="shared" si="16"/>
        <v>9853450.5940074492</v>
      </c>
      <c r="CQ24" s="16">
        <f t="shared" si="16"/>
        <v>9853450.5940074492</v>
      </c>
      <c r="CR24" s="16">
        <f t="shared" si="16"/>
        <v>9853450.5940074492</v>
      </c>
      <c r="CS24" s="16">
        <f t="shared" si="16"/>
        <v>9853450.5940074492</v>
      </c>
      <c r="CT24" s="16">
        <f t="shared" si="16"/>
        <v>9853450.5940074492</v>
      </c>
      <c r="CU24" s="16">
        <f t="shared" si="16"/>
        <v>9853450.5940074492</v>
      </c>
      <c r="CV24" s="16">
        <f t="shared" si="16"/>
        <v>9853450.5940074492</v>
      </c>
      <c r="CW24" s="16">
        <f t="shared" ref="BS24:DK25" si="17">$DS24</f>
        <v>9853450.5940074492</v>
      </c>
      <c r="CX24" s="16">
        <f t="shared" si="17"/>
        <v>9853450.5940074492</v>
      </c>
      <c r="CY24" s="16">
        <f t="shared" si="17"/>
        <v>9853450.5940074492</v>
      </c>
      <c r="CZ24" s="16">
        <f t="shared" si="17"/>
        <v>9853450.5940074492</v>
      </c>
      <c r="DA24" s="16">
        <f t="shared" si="17"/>
        <v>9853450.5940074492</v>
      </c>
      <c r="DB24" s="16">
        <f t="shared" si="17"/>
        <v>9853450.5940074492</v>
      </c>
      <c r="DC24" s="16">
        <f t="shared" si="17"/>
        <v>9853450.5940074492</v>
      </c>
      <c r="DD24" s="16">
        <f t="shared" si="17"/>
        <v>9853450.5940074492</v>
      </c>
      <c r="DE24" s="16">
        <f t="shared" si="17"/>
        <v>9853450.5940074492</v>
      </c>
      <c r="DF24" s="16">
        <f t="shared" si="17"/>
        <v>9853450.5940074492</v>
      </c>
      <c r="DG24" s="16">
        <f t="shared" si="17"/>
        <v>9853450.5940074492</v>
      </c>
      <c r="DH24" s="16">
        <f t="shared" si="17"/>
        <v>9853450.5940074492</v>
      </c>
      <c r="DI24" s="16">
        <f t="shared" si="17"/>
        <v>9853450.5940074492</v>
      </c>
      <c r="DJ24" s="16">
        <f t="shared" si="17"/>
        <v>9853450.5940074492</v>
      </c>
      <c r="DK24" s="16">
        <f t="shared" si="17"/>
        <v>9853450.5940074492</v>
      </c>
      <c r="DL24" s="16">
        <f t="shared" si="15"/>
        <v>9853450.5940074492</v>
      </c>
      <c r="DM24" s="16">
        <f t="shared" si="15"/>
        <v>9853450.5940074492</v>
      </c>
      <c r="DN24" s="16">
        <f t="shared" si="15"/>
        <v>9853450.5940074492</v>
      </c>
      <c r="DO24" s="16">
        <f t="shared" si="15"/>
        <v>9853450.5940074492</v>
      </c>
      <c r="DP24" s="16">
        <f t="shared" si="15"/>
        <v>9853450.5940074492</v>
      </c>
      <c r="DQ24" s="16">
        <f t="shared" si="15"/>
        <v>9853450.5940074492</v>
      </c>
      <c r="DR24" s="16">
        <f t="shared" si="4"/>
        <v>9853450.5940074492</v>
      </c>
      <c r="DS24" s="16">
        <f>IF(Calculations!B151="",0,Calculations!B151)</f>
        <v>9853450.5940074492</v>
      </c>
      <c r="DT24" s="16">
        <f>IF(Calculations!C151="",0,Calculations!C151)</f>
        <v>9846781.0695498548</v>
      </c>
      <c r="DU24" s="16">
        <f>IF(Calculations!D151="",0,Calculations!D151)</f>
        <v>9218141.7909949906</v>
      </c>
      <c r="DV24" s="16">
        <f>IF(Calculations!E151="",0,Calculations!E151)</f>
        <v>8537985.3025399689</v>
      </c>
      <c r="DW24" s="16">
        <f>IF(Calculations!F151="",0,Calculations!F151)</f>
        <v>10716845.194123179</v>
      </c>
      <c r="DX24" s="16">
        <f>IF(Calculations!G151="",0,Calculations!G151)</f>
        <v>10989476.586811831</v>
      </c>
      <c r="DY24" s="16">
        <f>IF(Calculations!H151="",0,Calculations!H151)</f>
        <v>11229682.571281807</v>
      </c>
      <c r="DZ24" s="16">
        <f>IF(Calculations!I151="",0,Calculations!I151)</f>
        <v>10383752.750861445</v>
      </c>
      <c r="EA24" s="16">
        <f>IF(Calculations!J151="",0,Calculations!J151)</f>
        <v>10656370.55451173</v>
      </c>
      <c r="EB24" s="16">
        <f>IF(Calculations!K151="",0,Calculations!K151)</f>
        <v>9932258.2397148851</v>
      </c>
      <c r="EC24" s="16">
        <f>IF(Calculations!L151="",0,Calculations!L151)</f>
        <v>10087826.895455413</v>
      </c>
      <c r="ED24" s="16">
        <f>IF(Calculations!M151="",0,Calculations!M151)</f>
        <v>10783680.406852987</v>
      </c>
      <c r="EE24" s="16">
        <f t="shared" si="5"/>
        <v>10783680.406852987</v>
      </c>
      <c r="EF24" s="16">
        <f t="shared" ref="EF24:GQ25" si="18">EE24</f>
        <v>10783680.406852987</v>
      </c>
      <c r="EG24" s="16">
        <f t="shared" si="18"/>
        <v>10783680.406852987</v>
      </c>
      <c r="EH24" s="16">
        <f t="shared" si="18"/>
        <v>10783680.406852987</v>
      </c>
      <c r="EI24" s="16">
        <f t="shared" si="18"/>
        <v>10783680.406852987</v>
      </c>
      <c r="EJ24" s="16">
        <f t="shared" si="18"/>
        <v>10783680.406852987</v>
      </c>
      <c r="EK24" s="16">
        <f t="shared" si="18"/>
        <v>10783680.406852987</v>
      </c>
      <c r="EL24" s="16">
        <f t="shared" si="18"/>
        <v>10783680.406852987</v>
      </c>
      <c r="EM24" s="16">
        <f t="shared" si="18"/>
        <v>10783680.406852987</v>
      </c>
      <c r="EN24" s="16">
        <f t="shared" si="18"/>
        <v>10783680.406852987</v>
      </c>
      <c r="EO24" s="16">
        <f t="shared" si="18"/>
        <v>10783680.406852987</v>
      </c>
      <c r="EP24" s="16">
        <f t="shared" si="18"/>
        <v>10783680.406852987</v>
      </c>
      <c r="EQ24" s="16">
        <f t="shared" si="18"/>
        <v>10783680.406852987</v>
      </c>
      <c r="ER24" s="16">
        <f t="shared" si="18"/>
        <v>10783680.406852987</v>
      </c>
      <c r="ES24" s="16">
        <f t="shared" si="18"/>
        <v>10783680.406852987</v>
      </c>
      <c r="ET24" s="16">
        <f t="shared" si="18"/>
        <v>10783680.406852987</v>
      </c>
      <c r="EU24" s="16">
        <f t="shared" si="18"/>
        <v>10783680.406852987</v>
      </c>
      <c r="EV24" s="16">
        <f t="shared" si="18"/>
        <v>10783680.406852987</v>
      </c>
      <c r="EW24" s="16">
        <f t="shared" si="18"/>
        <v>10783680.406852987</v>
      </c>
      <c r="EX24" s="16">
        <f t="shared" si="18"/>
        <v>10783680.406852987</v>
      </c>
      <c r="EY24" s="16">
        <f t="shared" si="18"/>
        <v>10783680.406852987</v>
      </c>
      <c r="EZ24" s="16">
        <f t="shared" si="18"/>
        <v>10783680.406852987</v>
      </c>
      <c r="FA24" s="16">
        <f t="shared" si="18"/>
        <v>10783680.406852987</v>
      </c>
      <c r="FB24" s="16">
        <f t="shared" si="18"/>
        <v>10783680.406852987</v>
      </c>
      <c r="FC24" s="16">
        <f t="shared" si="18"/>
        <v>10783680.406852987</v>
      </c>
      <c r="FD24" s="16">
        <f t="shared" si="18"/>
        <v>10783680.406852987</v>
      </c>
      <c r="FE24" s="16">
        <f t="shared" si="18"/>
        <v>10783680.406852987</v>
      </c>
      <c r="FF24" s="16">
        <f t="shared" si="18"/>
        <v>10783680.406852987</v>
      </c>
      <c r="FG24" s="16">
        <f t="shared" si="18"/>
        <v>10783680.406852987</v>
      </c>
      <c r="FH24" s="16">
        <f t="shared" si="18"/>
        <v>10783680.406852987</v>
      </c>
      <c r="FI24" s="16">
        <f t="shared" si="18"/>
        <v>10783680.406852987</v>
      </c>
      <c r="FJ24" s="16">
        <f t="shared" si="18"/>
        <v>10783680.406852987</v>
      </c>
      <c r="FK24" s="16">
        <f t="shared" si="18"/>
        <v>10783680.406852987</v>
      </c>
      <c r="FL24" s="16">
        <f t="shared" si="18"/>
        <v>10783680.406852987</v>
      </c>
      <c r="FM24" s="16">
        <f t="shared" si="18"/>
        <v>10783680.406852987</v>
      </c>
      <c r="FN24" s="16">
        <f t="shared" si="18"/>
        <v>10783680.406852987</v>
      </c>
      <c r="FO24" s="16">
        <f t="shared" si="18"/>
        <v>10783680.406852987</v>
      </c>
      <c r="FP24" s="16">
        <f t="shared" si="18"/>
        <v>10783680.406852987</v>
      </c>
      <c r="FQ24" s="16">
        <f t="shared" si="18"/>
        <v>10783680.406852987</v>
      </c>
      <c r="FR24" s="16">
        <f t="shared" si="18"/>
        <v>10783680.406852987</v>
      </c>
      <c r="FS24" s="16">
        <f t="shared" si="18"/>
        <v>10783680.406852987</v>
      </c>
      <c r="FT24" s="16">
        <f t="shared" si="18"/>
        <v>10783680.406852987</v>
      </c>
      <c r="FU24" s="16">
        <f t="shared" si="18"/>
        <v>10783680.406852987</v>
      </c>
      <c r="FV24" s="16">
        <f t="shared" si="18"/>
        <v>10783680.406852987</v>
      </c>
      <c r="FW24" s="16">
        <f t="shared" si="18"/>
        <v>10783680.406852987</v>
      </c>
      <c r="FX24" s="16">
        <f t="shared" si="18"/>
        <v>10783680.406852987</v>
      </c>
      <c r="FY24" s="16">
        <f t="shared" si="18"/>
        <v>10783680.406852987</v>
      </c>
      <c r="FZ24" s="16">
        <f t="shared" si="18"/>
        <v>10783680.406852987</v>
      </c>
      <c r="GA24" s="16">
        <f t="shared" si="18"/>
        <v>10783680.406852987</v>
      </c>
      <c r="GB24" s="16">
        <f t="shared" si="18"/>
        <v>10783680.406852987</v>
      </c>
      <c r="GC24" s="16">
        <f t="shared" si="18"/>
        <v>10783680.406852987</v>
      </c>
      <c r="GD24" s="16">
        <f t="shared" si="18"/>
        <v>10783680.406852987</v>
      </c>
      <c r="GE24" s="16">
        <f t="shared" si="18"/>
        <v>10783680.406852987</v>
      </c>
      <c r="GF24" s="16">
        <f t="shared" si="18"/>
        <v>10783680.406852987</v>
      </c>
      <c r="GG24" s="16">
        <f t="shared" si="18"/>
        <v>10783680.406852987</v>
      </c>
      <c r="GH24" s="16">
        <f t="shared" si="18"/>
        <v>10783680.406852987</v>
      </c>
      <c r="GI24" s="16">
        <f t="shared" si="18"/>
        <v>10783680.406852987</v>
      </c>
      <c r="GJ24" s="16">
        <f t="shared" si="18"/>
        <v>10783680.406852987</v>
      </c>
      <c r="GK24" s="16">
        <f t="shared" si="18"/>
        <v>10783680.406852987</v>
      </c>
      <c r="GL24" s="16">
        <f t="shared" si="18"/>
        <v>10783680.406852987</v>
      </c>
      <c r="GM24" s="16">
        <f t="shared" si="18"/>
        <v>10783680.406852987</v>
      </c>
      <c r="GN24" s="16">
        <f t="shared" si="18"/>
        <v>10783680.406852987</v>
      </c>
      <c r="GO24" s="16">
        <f t="shared" si="18"/>
        <v>10783680.406852987</v>
      </c>
      <c r="GP24" s="16">
        <f t="shared" si="18"/>
        <v>10783680.406852987</v>
      </c>
      <c r="GQ24" s="16">
        <f t="shared" si="18"/>
        <v>10783680.406852987</v>
      </c>
      <c r="GR24" s="16">
        <f t="shared" ref="GR24:HC25" si="19">GQ24</f>
        <v>10783680.406852987</v>
      </c>
      <c r="GS24" s="16">
        <f t="shared" si="19"/>
        <v>10783680.406852987</v>
      </c>
      <c r="GT24" s="16">
        <f t="shared" si="19"/>
        <v>10783680.406852987</v>
      </c>
      <c r="GU24" s="16">
        <f t="shared" si="19"/>
        <v>10783680.406852987</v>
      </c>
      <c r="GV24" s="16">
        <f t="shared" si="19"/>
        <v>10783680.406852987</v>
      </c>
      <c r="GW24" s="16">
        <f t="shared" si="19"/>
        <v>10783680.406852987</v>
      </c>
      <c r="GX24" s="16">
        <f t="shared" si="19"/>
        <v>10783680.406852987</v>
      </c>
      <c r="GY24" s="16">
        <f t="shared" si="19"/>
        <v>10783680.406852987</v>
      </c>
      <c r="GZ24" s="16">
        <f t="shared" si="19"/>
        <v>10783680.406852987</v>
      </c>
      <c r="HA24" s="16">
        <f t="shared" si="19"/>
        <v>10783680.406852987</v>
      </c>
      <c r="HB24" s="16">
        <f t="shared" si="19"/>
        <v>10783680.406852987</v>
      </c>
      <c r="HC24" s="16">
        <f t="shared" si="19"/>
        <v>10783680.406852987</v>
      </c>
    </row>
    <row r="25" spans="1:211" x14ac:dyDescent="0.25">
      <c r="A25" s="19" t="s">
        <v>68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16">
        <f t="shared" si="17"/>
        <v>7396614.7927751234</v>
      </c>
      <c r="BT25" s="16">
        <f t="shared" si="17"/>
        <v>7396614.7927751234</v>
      </c>
      <c r="BU25" s="16">
        <f t="shared" si="17"/>
        <v>7396614.7927751234</v>
      </c>
      <c r="BV25" s="16">
        <f t="shared" si="17"/>
        <v>7396614.7927751234</v>
      </c>
      <c r="BW25" s="16">
        <f t="shared" si="17"/>
        <v>7396614.7927751234</v>
      </c>
      <c r="BX25" s="16">
        <f t="shared" si="17"/>
        <v>7396614.7927751234</v>
      </c>
      <c r="BY25" s="16">
        <f t="shared" si="17"/>
        <v>7396614.7927751234</v>
      </c>
      <c r="BZ25" s="16">
        <f t="shared" si="17"/>
        <v>7396614.7927751234</v>
      </c>
      <c r="CA25" s="16">
        <f t="shared" si="17"/>
        <v>7396614.7927751234</v>
      </c>
      <c r="CB25" s="16">
        <f t="shared" si="17"/>
        <v>7396614.7927751234</v>
      </c>
      <c r="CC25" s="16">
        <f t="shared" si="17"/>
        <v>7396614.7927751234</v>
      </c>
      <c r="CD25" s="16">
        <f t="shared" si="17"/>
        <v>7396614.7927751234</v>
      </c>
      <c r="CE25" s="16">
        <f t="shared" si="17"/>
        <v>7396614.7927751234</v>
      </c>
      <c r="CF25" s="16">
        <f t="shared" si="17"/>
        <v>7396614.7927751234</v>
      </c>
      <c r="CG25" s="16">
        <f t="shared" si="17"/>
        <v>7396614.7927751234</v>
      </c>
      <c r="CH25" s="16">
        <f t="shared" si="17"/>
        <v>7396614.7927751234</v>
      </c>
      <c r="CI25" s="16">
        <f t="shared" si="17"/>
        <v>7396614.7927751234</v>
      </c>
      <c r="CJ25" s="16">
        <f t="shared" si="17"/>
        <v>7396614.7927751234</v>
      </c>
      <c r="CK25" s="16">
        <f t="shared" si="17"/>
        <v>7396614.7927751234</v>
      </c>
      <c r="CL25" s="16">
        <f t="shared" si="17"/>
        <v>7396614.7927751234</v>
      </c>
      <c r="CM25" s="16">
        <f t="shared" si="17"/>
        <v>7396614.7927751234</v>
      </c>
      <c r="CN25" s="16">
        <f t="shared" si="17"/>
        <v>7396614.7927751234</v>
      </c>
      <c r="CO25" s="16">
        <f t="shared" si="17"/>
        <v>7396614.7927751234</v>
      </c>
      <c r="CP25" s="16">
        <f t="shared" si="17"/>
        <v>7396614.7927751234</v>
      </c>
      <c r="CQ25" s="16">
        <f t="shared" si="17"/>
        <v>7396614.7927751234</v>
      </c>
      <c r="CR25" s="16">
        <f t="shared" si="17"/>
        <v>7396614.7927751234</v>
      </c>
      <c r="CS25" s="16">
        <f t="shared" si="17"/>
        <v>7396614.7927751234</v>
      </c>
      <c r="CT25" s="16">
        <f t="shared" si="17"/>
        <v>7396614.7927751234</v>
      </c>
      <c r="CU25" s="16">
        <f t="shared" si="17"/>
        <v>7396614.7927751234</v>
      </c>
      <c r="CV25" s="16">
        <f t="shared" si="17"/>
        <v>7396614.7927751234</v>
      </c>
      <c r="CW25" s="16">
        <f t="shared" si="17"/>
        <v>7396614.7927751234</v>
      </c>
      <c r="CX25" s="16">
        <f t="shared" si="17"/>
        <v>7396614.7927751234</v>
      </c>
      <c r="CY25" s="16">
        <f t="shared" si="17"/>
        <v>7396614.7927751234</v>
      </c>
      <c r="CZ25" s="16">
        <f t="shared" si="17"/>
        <v>7396614.7927751234</v>
      </c>
      <c r="DA25" s="16">
        <f t="shared" si="17"/>
        <v>7396614.7927751234</v>
      </c>
      <c r="DB25" s="16">
        <f t="shared" si="17"/>
        <v>7396614.7927751234</v>
      </c>
      <c r="DC25" s="16">
        <f t="shared" si="17"/>
        <v>7396614.7927751234</v>
      </c>
      <c r="DD25" s="16">
        <f t="shared" si="17"/>
        <v>7396614.7927751234</v>
      </c>
      <c r="DE25" s="16">
        <f t="shared" si="17"/>
        <v>7396614.7927751234</v>
      </c>
      <c r="DF25" s="16">
        <f t="shared" si="17"/>
        <v>7396614.7927751234</v>
      </c>
      <c r="DG25" s="16">
        <f t="shared" si="17"/>
        <v>7396614.7927751234</v>
      </c>
      <c r="DH25" s="16">
        <f t="shared" si="17"/>
        <v>7396614.7927751234</v>
      </c>
      <c r="DI25" s="16">
        <f t="shared" si="17"/>
        <v>7396614.7927751234</v>
      </c>
      <c r="DJ25" s="16">
        <f t="shared" si="17"/>
        <v>7396614.7927751234</v>
      </c>
      <c r="DK25" s="16">
        <f t="shared" si="17"/>
        <v>7396614.7927751234</v>
      </c>
      <c r="DL25" s="16">
        <f t="shared" si="15"/>
        <v>7396614.7927751234</v>
      </c>
      <c r="DM25" s="16">
        <f t="shared" si="15"/>
        <v>7396614.7927751234</v>
      </c>
      <c r="DN25" s="16">
        <f t="shared" si="15"/>
        <v>7396614.7927751234</v>
      </c>
      <c r="DO25" s="16">
        <f t="shared" si="15"/>
        <v>7396614.7927751234</v>
      </c>
      <c r="DP25" s="16">
        <f t="shared" si="15"/>
        <v>7396614.7927751234</v>
      </c>
      <c r="DQ25" s="16">
        <f t="shared" si="15"/>
        <v>7396614.7927751234</v>
      </c>
      <c r="DR25" s="16">
        <f t="shared" si="4"/>
        <v>7396614.7927751234</v>
      </c>
      <c r="DS25" s="16">
        <f>IF(Calculations!B152="",0,Calculations!B152)</f>
        <v>7396614.7927751234</v>
      </c>
      <c r="DT25" s="16">
        <f>IF(Calculations!C152="",0,Calculations!C152)</f>
        <v>7547504.7947588172</v>
      </c>
      <c r="DU25" s="16">
        <f>IF(Calculations!D152="",0,Calculations!D152)</f>
        <v>7377524.3496411992</v>
      </c>
      <c r="DV25" s="16">
        <f>IF(Calculations!E152="",0,Calculations!E152)</f>
        <v>7980270.3075390011</v>
      </c>
      <c r="DW25" s="16">
        <f>IF(Calculations!F152="",0,Calculations!F152)</f>
        <v>8798436.0542436019</v>
      </c>
      <c r="DX25" s="16">
        <f>IF(Calculations!G152="",0,Calculations!G152)</f>
        <v>8506001.0138891824</v>
      </c>
      <c r="DY25" s="16">
        <f>IF(Calculations!H152="",0,Calculations!H152)</f>
        <v>8870388.9594430197</v>
      </c>
      <c r="DZ25" s="16">
        <f>IF(Calculations!I152="",0,Calculations!I152)</f>
        <v>7997709.4194902638</v>
      </c>
      <c r="EA25" s="16">
        <f>IF(Calculations!J152="",0,Calculations!J152)</f>
        <v>7821457.1515578339</v>
      </c>
      <c r="EB25" s="16">
        <f>IF(Calculations!K152="",0,Calculations!K152)</f>
        <v>7872044.0787469065</v>
      </c>
      <c r="EC25" s="16">
        <f>IF(Calculations!L152="",0,Calculations!L152)</f>
        <v>9205052.1305030249</v>
      </c>
      <c r="ED25" s="16">
        <f>IF(Calculations!M152="",0,Calculations!M152)</f>
        <v>9395761.9602870792</v>
      </c>
      <c r="EE25" s="16">
        <f t="shared" si="5"/>
        <v>9395761.9602870792</v>
      </c>
      <c r="EF25" s="16">
        <f t="shared" si="18"/>
        <v>9395761.9602870792</v>
      </c>
      <c r="EG25" s="16">
        <f t="shared" si="18"/>
        <v>9395761.9602870792</v>
      </c>
      <c r="EH25" s="16">
        <f t="shared" si="18"/>
        <v>9395761.9602870792</v>
      </c>
      <c r="EI25" s="16">
        <f t="shared" si="18"/>
        <v>9395761.9602870792</v>
      </c>
      <c r="EJ25" s="16">
        <f t="shared" si="18"/>
        <v>9395761.9602870792</v>
      </c>
      <c r="EK25" s="16">
        <f t="shared" si="18"/>
        <v>9395761.9602870792</v>
      </c>
      <c r="EL25" s="16">
        <f t="shared" si="18"/>
        <v>9395761.9602870792</v>
      </c>
      <c r="EM25" s="16">
        <f t="shared" si="18"/>
        <v>9395761.9602870792</v>
      </c>
      <c r="EN25" s="16">
        <f t="shared" si="18"/>
        <v>9395761.9602870792</v>
      </c>
      <c r="EO25" s="16">
        <f t="shared" si="18"/>
        <v>9395761.9602870792</v>
      </c>
      <c r="EP25" s="16">
        <f t="shared" si="18"/>
        <v>9395761.9602870792</v>
      </c>
      <c r="EQ25" s="16">
        <f t="shared" si="18"/>
        <v>9395761.9602870792</v>
      </c>
      <c r="ER25" s="16">
        <f t="shared" si="18"/>
        <v>9395761.9602870792</v>
      </c>
      <c r="ES25" s="16">
        <f t="shared" si="18"/>
        <v>9395761.9602870792</v>
      </c>
      <c r="ET25" s="16">
        <f t="shared" si="18"/>
        <v>9395761.9602870792</v>
      </c>
      <c r="EU25" s="16">
        <f t="shared" si="18"/>
        <v>9395761.9602870792</v>
      </c>
      <c r="EV25" s="16">
        <f t="shared" si="18"/>
        <v>9395761.9602870792</v>
      </c>
      <c r="EW25" s="16">
        <f t="shared" si="18"/>
        <v>9395761.9602870792</v>
      </c>
      <c r="EX25" s="16">
        <f t="shared" si="18"/>
        <v>9395761.9602870792</v>
      </c>
      <c r="EY25" s="16">
        <f t="shared" si="18"/>
        <v>9395761.9602870792</v>
      </c>
      <c r="EZ25" s="16">
        <f t="shared" si="18"/>
        <v>9395761.9602870792</v>
      </c>
      <c r="FA25" s="16">
        <f t="shared" si="18"/>
        <v>9395761.9602870792</v>
      </c>
      <c r="FB25" s="16">
        <f t="shared" si="18"/>
        <v>9395761.9602870792</v>
      </c>
      <c r="FC25" s="16">
        <f t="shared" si="18"/>
        <v>9395761.9602870792</v>
      </c>
      <c r="FD25" s="16">
        <f t="shared" si="18"/>
        <v>9395761.9602870792</v>
      </c>
      <c r="FE25" s="16">
        <f t="shared" si="18"/>
        <v>9395761.9602870792</v>
      </c>
      <c r="FF25" s="16">
        <f t="shared" si="18"/>
        <v>9395761.9602870792</v>
      </c>
      <c r="FG25" s="16">
        <f t="shared" si="18"/>
        <v>9395761.9602870792</v>
      </c>
      <c r="FH25" s="16">
        <f t="shared" si="18"/>
        <v>9395761.9602870792</v>
      </c>
      <c r="FI25" s="16">
        <f t="shared" si="18"/>
        <v>9395761.9602870792</v>
      </c>
      <c r="FJ25" s="16">
        <f t="shared" si="18"/>
        <v>9395761.9602870792</v>
      </c>
      <c r="FK25" s="16">
        <f t="shared" si="18"/>
        <v>9395761.9602870792</v>
      </c>
      <c r="FL25" s="16">
        <f t="shared" si="18"/>
        <v>9395761.9602870792</v>
      </c>
      <c r="FM25" s="16">
        <f t="shared" si="18"/>
        <v>9395761.9602870792</v>
      </c>
      <c r="FN25" s="16">
        <f t="shared" si="18"/>
        <v>9395761.9602870792</v>
      </c>
      <c r="FO25" s="16">
        <f t="shared" si="18"/>
        <v>9395761.9602870792</v>
      </c>
      <c r="FP25" s="16">
        <f t="shared" si="18"/>
        <v>9395761.9602870792</v>
      </c>
      <c r="FQ25" s="16">
        <f t="shared" si="18"/>
        <v>9395761.9602870792</v>
      </c>
      <c r="FR25" s="16">
        <f t="shared" si="18"/>
        <v>9395761.9602870792</v>
      </c>
      <c r="FS25" s="16">
        <f t="shared" si="18"/>
        <v>9395761.9602870792</v>
      </c>
      <c r="FT25" s="16">
        <f t="shared" si="18"/>
        <v>9395761.9602870792</v>
      </c>
      <c r="FU25" s="16">
        <f t="shared" si="18"/>
        <v>9395761.9602870792</v>
      </c>
      <c r="FV25" s="16">
        <f t="shared" si="18"/>
        <v>9395761.9602870792</v>
      </c>
      <c r="FW25" s="16">
        <f t="shared" si="18"/>
        <v>9395761.9602870792</v>
      </c>
      <c r="FX25" s="16">
        <f t="shared" si="18"/>
        <v>9395761.9602870792</v>
      </c>
      <c r="FY25" s="16">
        <f t="shared" si="18"/>
        <v>9395761.9602870792</v>
      </c>
      <c r="FZ25" s="16">
        <f t="shared" si="18"/>
        <v>9395761.9602870792</v>
      </c>
      <c r="GA25" s="16">
        <f t="shared" si="18"/>
        <v>9395761.9602870792</v>
      </c>
      <c r="GB25" s="16">
        <f t="shared" si="18"/>
        <v>9395761.9602870792</v>
      </c>
      <c r="GC25" s="16">
        <f t="shared" si="18"/>
        <v>9395761.9602870792</v>
      </c>
      <c r="GD25" s="16">
        <f t="shared" si="18"/>
        <v>9395761.9602870792</v>
      </c>
      <c r="GE25" s="16">
        <f t="shared" si="18"/>
        <v>9395761.9602870792</v>
      </c>
      <c r="GF25" s="16">
        <f t="shared" si="18"/>
        <v>9395761.9602870792</v>
      </c>
      <c r="GG25" s="16">
        <f t="shared" si="18"/>
        <v>9395761.9602870792</v>
      </c>
      <c r="GH25" s="16">
        <f t="shared" si="18"/>
        <v>9395761.9602870792</v>
      </c>
      <c r="GI25" s="16">
        <f t="shared" si="18"/>
        <v>9395761.9602870792</v>
      </c>
      <c r="GJ25" s="16">
        <f t="shared" si="18"/>
        <v>9395761.9602870792</v>
      </c>
      <c r="GK25" s="16">
        <f t="shared" si="18"/>
        <v>9395761.9602870792</v>
      </c>
      <c r="GL25" s="16">
        <f t="shared" si="18"/>
        <v>9395761.9602870792</v>
      </c>
      <c r="GM25" s="16">
        <f t="shared" si="18"/>
        <v>9395761.9602870792</v>
      </c>
      <c r="GN25" s="16">
        <f t="shared" si="18"/>
        <v>9395761.9602870792</v>
      </c>
      <c r="GO25" s="16">
        <f t="shared" si="18"/>
        <v>9395761.9602870792</v>
      </c>
      <c r="GP25" s="16">
        <f t="shared" si="18"/>
        <v>9395761.9602870792</v>
      </c>
      <c r="GQ25" s="16">
        <f t="shared" si="18"/>
        <v>9395761.9602870792</v>
      </c>
      <c r="GR25" s="16">
        <f t="shared" si="19"/>
        <v>9395761.9602870792</v>
      </c>
      <c r="GS25" s="16">
        <f t="shared" si="19"/>
        <v>9395761.9602870792</v>
      </c>
      <c r="GT25" s="16">
        <f t="shared" si="19"/>
        <v>9395761.9602870792</v>
      </c>
      <c r="GU25" s="16">
        <f t="shared" si="19"/>
        <v>9395761.9602870792</v>
      </c>
      <c r="GV25" s="16">
        <f t="shared" si="19"/>
        <v>9395761.9602870792</v>
      </c>
      <c r="GW25" s="16">
        <f t="shared" si="19"/>
        <v>9395761.9602870792</v>
      </c>
      <c r="GX25" s="16">
        <f t="shared" si="19"/>
        <v>9395761.9602870792</v>
      </c>
      <c r="GY25" s="16">
        <f t="shared" si="19"/>
        <v>9395761.9602870792</v>
      </c>
      <c r="GZ25" s="16">
        <f t="shared" si="19"/>
        <v>9395761.9602870792</v>
      </c>
      <c r="HA25" s="16">
        <f t="shared" si="19"/>
        <v>9395761.9602870792</v>
      </c>
      <c r="HB25" s="16">
        <f t="shared" si="19"/>
        <v>9395761.9602870792</v>
      </c>
      <c r="HC25" s="16">
        <f t="shared" si="19"/>
        <v>9395761.9602870792</v>
      </c>
    </row>
  </sheetData>
  <conditionalFormatting sqref="A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HC11 B2:XFD2 B13:HC13 B12:EA12 B15:HC17 B14:EA14 B24:HC25 B18:EA2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B12:HC1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B14:HC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B18:HC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B19:HC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D3:XFD25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D28B-7319-4D12-AA58-629E83E7F2DF}">
  <sheetPr>
    <tabColor theme="8" tint="-0.249977111117893"/>
  </sheetPr>
  <dimension ref="A1:HC25"/>
  <sheetViews>
    <sheetView tabSelected="1" topLeftCell="DP1" workbookViewId="0">
      <selection activeCell="B2" sqref="B2:HC25"/>
    </sheetView>
  </sheetViews>
  <sheetFormatPr defaultColWidth="9.140625" defaultRowHeight="15" x14ac:dyDescent="0.25"/>
  <cols>
    <col min="1" max="1" width="36.28515625" customWidth="1"/>
    <col min="2" max="211" width="13.28515625" customWidth="1"/>
  </cols>
  <sheetData>
    <row r="1" spans="1:211" x14ac:dyDescent="0.25">
      <c r="A1" s="7" t="s">
        <v>346</v>
      </c>
      <c r="B1" s="4" t="s">
        <v>136</v>
      </c>
      <c r="C1" s="4" t="s">
        <v>137</v>
      </c>
      <c r="D1" s="4" t="s">
        <v>138</v>
      </c>
      <c r="E1" s="4" t="s">
        <v>139</v>
      </c>
      <c r="F1" s="4" t="s">
        <v>140</v>
      </c>
      <c r="G1" s="4" t="s">
        <v>141</v>
      </c>
      <c r="H1" s="4" t="s">
        <v>142</v>
      </c>
      <c r="I1" s="4" t="s">
        <v>143</v>
      </c>
      <c r="J1" s="4" t="s">
        <v>144</v>
      </c>
      <c r="K1" s="4" t="s">
        <v>145</v>
      </c>
      <c r="L1" s="4" t="s">
        <v>146</v>
      </c>
      <c r="M1" s="4" t="s">
        <v>147</v>
      </c>
      <c r="N1" s="4" t="s">
        <v>148</v>
      </c>
      <c r="O1" s="4" t="s">
        <v>149</v>
      </c>
      <c r="P1" s="4" t="s">
        <v>150</v>
      </c>
      <c r="Q1" s="4" t="s">
        <v>151</v>
      </c>
      <c r="R1" s="4" t="s">
        <v>152</v>
      </c>
      <c r="S1" s="4" t="s">
        <v>153</v>
      </c>
      <c r="T1" s="4" t="s">
        <v>154</v>
      </c>
      <c r="U1" s="4" t="s">
        <v>155</v>
      </c>
      <c r="V1" s="4" t="s">
        <v>156</v>
      </c>
      <c r="W1" s="4" t="s">
        <v>157</v>
      </c>
      <c r="X1" s="4" t="s">
        <v>158</v>
      </c>
      <c r="Y1" s="4" t="s">
        <v>159</v>
      </c>
      <c r="Z1" s="4" t="s">
        <v>160</v>
      </c>
      <c r="AA1" s="4" t="s">
        <v>161</v>
      </c>
      <c r="AB1" s="4" t="s">
        <v>162</v>
      </c>
      <c r="AC1" s="4" t="s">
        <v>163</v>
      </c>
      <c r="AD1" s="4" t="s">
        <v>164</v>
      </c>
      <c r="AE1" s="4" t="s">
        <v>165</v>
      </c>
      <c r="AF1" s="4" t="s">
        <v>166</v>
      </c>
      <c r="AG1" s="4" t="s">
        <v>167</v>
      </c>
      <c r="AH1" s="4" t="s">
        <v>168</v>
      </c>
      <c r="AI1" s="4" t="s">
        <v>169</v>
      </c>
      <c r="AJ1" s="4" t="s">
        <v>170</v>
      </c>
      <c r="AK1" s="4" t="s">
        <v>171</v>
      </c>
      <c r="AL1" s="4" t="s">
        <v>172</v>
      </c>
      <c r="AM1" s="4" t="s">
        <v>173</v>
      </c>
      <c r="AN1" s="4" t="s">
        <v>174</v>
      </c>
      <c r="AO1" s="4" t="s">
        <v>175</v>
      </c>
      <c r="AP1" s="4" t="s">
        <v>176</v>
      </c>
      <c r="AQ1" s="4" t="s">
        <v>177</v>
      </c>
      <c r="AR1" s="4" t="s">
        <v>178</v>
      </c>
      <c r="AS1" s="4" t="s">
        <v>179</v>
      </c>
      <c r="AT1" s="4" t="s">
        <v>180</v>
      </c>
      <c r="AU1" s="4" t="s">
        <v>181</v>
      </c>
      <c r="AV1" s="4" t="s">
        <v>182</v>
      </c>
      <c r="AW1" s="4" t="s">
        <v>183</v>
      </c>
      <c r="AX1" s="4" t="s">
        <v>184</v>
      </c>
      <c r="AY1" s="4" t="s">
        <v>185</v>
      </c>
      <c r="AZ1" s="4" t="s">
        <v>186</v>
      </c>
      <c r="BA1" s="4" t="s">
        <v>187</v>
      </c>
      <c r="BB1" s="4" t="s">
        <v>188</v>
      </c>
      <c r="BC1" s="4" t="s">
        <v>189</v>
      </c>
      <c r="BD1" s="4" t="s">
        <v>190</v>
      </c>
      <c r="BE1" s="4" t="s">
        <v>191</v>
      </c>
      <c r="BF1" s="4" t="s">
        <v>192</v>
      </c>
      <c r="BG1" s="4" t="s">
        <v>193</v>
      </c>
      <c r="BH1" s="4" t="s">
        <v>194</v>
      </c>
      <c r="BI1" s="4" t="s">
        <v>195</v>
      </c>
      <c r="BJ1" s="4" t="s">
        <v>196</v>
      </c>
      <c r="BK1" s="4" t="s">
        <v>197</v>
      </c>
      <c r="BL1" s="4" t="s">
        <v>198</v>
      </c>
      <c r="BM1" s="4" t="s">
        <v>199</v>
      </c>
      <c r="BN1" s="4" t="s">
        <v>200</v>
      </c>
      <c r="BO1" s="4" t="s">
        <v>201</v>
      </c>
      <c r="BP1" s="4" t="s">
        <v>202</v>
      </c>
      <c r="BQ1" s="4" t="s">
        <v>203</v>
      </c>
      <c r="BR1" s="4" t="s">
        <v>204</v>
      </c>
      <c r="BS1" s="4" t="s">
        <v>205</v>
      </c>
      <c r="BT1" s="4" t="s">
        <v>206</v>
      </c>
      <c r="BU1" s="4" t="s">
        <v>207</v>
      </c>
      <c r="BV1" s="4" t="s">
        <v>208</v>
      </c>
      <c r="BW1" s="4" t="s">
        <v>209</v>
      </c>
      <c r="BX1" s="4" t="s">
        <v>210</v>
      </c>
      <c r="BY1" s="4" t="s">
        <v>211</v>
      </c>
      <c r="BZ1" s="4" t="s">
        <v>212</v>
      </c>
      <c r="CA1" s="4" t="s">
        <v>213</v>
      </c>
      <c r="CB1" s="4" t="s">
        <v>214</v>
      </c>
      <c r="CC1" s="4" t="s">
        <v>215</v>
      </c>
      <c r="CD1" s="4" t="s">
        <v>216</v>
      </c>
      <c r="CE1" s="4" t="s">
        <v>217</v>
      </c>
      <c r="CF1" s="4" t="s">
        <v>218</v>
      </c>
      <c r="CG1" s="4" t="s">
        <v>219</v>
      </c>
      <c r="CH1" s="4" t="s">
        <v>220</v>
      </c>
      <c r="CI1" s="4" t="s">
        <v>221</v>
      </c>
      <c r="CJ1" s="4" t="s">
        <v>222</v>
      </c>
      <c r="CK1" s="4" t="s">
        <v>223</v>
      </c>
      <c r="CL1" s="4" t="s">
        <v>224</v>
      </c>
      <c r="CM1" s="4" t="s">
        <v>225</v>
      </c>
      <c r="CN1" s="4" t="s">
        <v>226</v>
      </c>
      <c r="CO1" s="4" t="s">
        <v>227</v>
      </c>
      <c r="CP1" s="4" t="s">
        <v>228</v>
      </c>
      <c r="CQ1" s="4" t="s">
        <v>229</v>
      </c>
      <c r="CR1" s="4" t="s">
        <v>230</v>
      </c>
      <c r="CS1" s="4" t="s">
        <v>231</v>
      </c>
      <c r="CT1" s="4" t="s">
        <v>232</v>
      </c>
      <c r="CU1" s="4" t="s">
        <v>233</v>
      </c>
      <c r="CV1" s="4" t="s">
        <v>234</v>
      </c>
      <c r="CW1" s="4" t="s">
        <v>235</v>
      </c>
      <c r="CX1" s="4" t="s">
        <v>236</v>
      </c>
      <c r="CY1" s="4" t="s">
        <v>237</v>
      </c>
      <c r="CZ1" s="4" t="s">
        <v>238</v>
      </c>
      <c r="DA1" s="4" t="s">
        <v>239</v>
      </c>
      <c r="DB1" s="4" t="s">
        <v>240</v>
      </c>
      <c r="DC1" s="4" t="s">
        <v>241</v>
      </c>
      <c r="DD1" s="4" t="s">
        <v>242</v>
      </c>
      <c r="DE1" s="4" t="s">
        <v>243</v>
      </c>
      <c r="DF1" s="4" t="s">
        <v>244</v>
      </c>
      <c r="DG1" s="4" t="s">
        <v>245</v>
      </c>
      <c r="DH1" s="4" t="s">
        <v>246</v>
      </c>
      <c r="DI1" s="4" t="s">
        <v>247</v>
      </c>
      <c r="DJ1" s="4" t="s">
        <v>248</v>
      </c>
      <c r="DK1" s="4" t="s">
        <v>249</v>
      </c>
      <c r="DL1" s="4" t="s">
        <v>250</v>
      </c>
      <c r="DM1" s="4" t="s">
        <v>251</v>
      </c>
      <c r="DN1" s="4" t="s">
        <v>252</v>
      </c>
      <c r="DO1" s="4" t="s">
        <v>253</v>
      </c>
      <c r="DP1" s="4" t="s">
        <v>254</v>
      </c>
      <c r="DQ1" s="4" t="s">
        <v>255</v>
      </c>
      <c r="DR1" s="4" t="s">
        <v>256</v>
      </c>
      <c r="DS1" s="4" t="s">
        <v>257</v>
      </c>
      <c r="DT1" s="4" t="s">
        <v>258</v>
      </c>
      <c r="DU1" s="4" t="s">
        <v>259</v>
      </c>
      <c r="DV1" s="4" t="s">
        <v>260</v>
      </c>
      <c r="DW1" s="4" t="s">
        <v>261</v>
      </c>
      <c r="DX1" s="4" t="s">
        <v>262</v>
      </c>
      <c r="DY1" s="4" t="s">
        <v>263</v>
      </c>
      <c r="DZ1" s="4" t="s">
        <v>264</v>
      </c>
      <c r="EA1" s="4" t="s">
        <v>265</v>
      </c>
      <c r="EB1" s="9" t="s">
        <v>266</v>
      </c>
      <c r="EC1" s="4" t="s">
        <v>267</v>
      </c>
      <c r="ED1" s="4" t="s">
        <v>268</v>
      </c>
      <c r="EE1" s="4" t="s">
        <v>269</v>
      </c>
      <c r="EF1" s="4" t="s">
        <v>270</v>
      </c>
      <c r="EG1" s="4" t="s">
        <v>271</v>
      </c>
      <c r="EH1" s="4" t="s">
        <v>272</v>
      </c>
      <c r="EI1" s="4" t="s">
        <v>273</v>
      </c>
      <c r="EJ1" s="4" t="s">
        <v>274</v>
      </c>
      <c r="EK1" s="4" t="s">
        <v>275</v>
      </c>
      <c r="EL1" s="4" t="s">
        <v>276</v>
      </c>
      <c r="EM1" s="4" t="s">
        <v>277</v>
      </c>
      <c r="EN1" s="4" t="s">
        <v>278</v>
      </c>
      <c r="EO1" s="4" t="s">
        <v>279</v>
      </c>
      <c r="EP1" s="4" t="s">
        <v>280</v>
      </c>
      <c r="EQ1" s="4" t="s">
        <v>281</v>
      </c>
      <c r="ER1" s="4" t="s">
        <v>282</v>
      </c>
      <c r="ES1" s="4" t="s">
        <v>283</v>
      </c>
      <c r="ET1" s="4" t="s">
        <v>284</v>
      </c>
      <c r="EU1" s="4" t="s">
        <v>285</v>
      </c>
      <c r="EV1" s="4" t="s">
        <v>286</v>
      </c>
      <c r="EW1" s="4" t="s">
        <v>287</v>
      </c>
      <c r="EX1" s="4" t="s">
        <v>288</v>
      </c>
      <c r="EY1" s="4" t="s">
        <v>289</v>
      </c>
      <c r="EZ1" s="4" t="s">
        <v>290</v>
      </c>
      <c r="FA1" s="4" t="s">
        <v>291</v>
      </c>
      <c r="FB1" s="4" t="s">
        <v>292</v>
      </c>
      <c r="FC1" s="4" t="s">
        <v>293</v>
      </c>
      <c r="FD1" s="4" t="s">
        <v>294</v>
      </c>
      <c r="FE1" s="4" t="s">
        <v>295</v>
      </c>
      <c r="FF1" s="4" t="s">
        <v>296</v>
      </c>
      <c r="FG1" s="4" t="s">
        <v>297</v>
      </c>
      <c r="FH1" s="4" t="s">
        <v>298</v>
      </c>
      <c r="FI1" s="4" t="s">
        <v>299</v>
      </c>
      <c r="FJ1" s="4" t="s">
        <v>300</v>
      </c>
      <c r="FK1" s="4" t="s">
        <v>301</v>
      </c>
      <c r="FL1" s="4" t="s">
        <v>302</v>
      </c>
      <c r="FM1" s="4" t="s">
        <v>303</v>
      </c>
      <c r="FN1" s="4" t="s">
        <v>304</v>
      </c>
      <c r="FO1" s="4" t="s">
        <v>305</v>
      </c>
      <c r="FP1" s="4" t="s">
        <v>306</v>
      </c>
      <c r="FQ1" s="4" t="s">
        <v>307</v>
      </c>
      <c r="FR1" s="4" t="s">
        <v>308</v>
      </c>
      <c r="FS1" s="4" t="s">
        <v>309</v>
      </c>
      <c r="FT1" s="4" t="s">
        <v>310</v>
      </c>
      <c r="FU1" s="4" t="s">
        <v>311</v>
      </c>
      <c r="FV1" s="4" t="s">
        <v>312</v>
      </c>
      <c r="FW1" s="4" t="s">
        <v>313</v>
      </c>
      <c r="FX1" s="4" t="s">
        <v>314</v>
      </c>
      <c r="FY1" s="4" t="s">
        <v>315</v>
      </c>
      <c r="FZ1" s="4" t="s">
        <v>316</v>
      </c>
      <c r="GA1" s="4" t="s">
        <v>317</v>
      </c>
      <c r="GB1" s="4" t="s">
        <v>318</v>
      </c>
      <c r="GC1" s="4" t="s">
        <v>319</v>
      </c>
      <c r="GD1" s="4" t="s">
        <v>320</v>
      </c>
      <c r="GE1" s="4" t="s">
        <v>321</v>
      </c>
      <c r="GF1" s="4" t="s">
        <v>322</v>
      </c>
      <c r="GG1" s="4" t="s">
        <v>323</v>
      </c>
      <c r="GH1" s="4" t="s">
        <v>324</v>
      </c>
      <c r="GI1" s="4" t="s">
        <v>325</v>
      </c>
      <c r="GJ1" s="4" t="s">
        <v>326</v>
      </c>
      <c r="GK1" s="4" t="s">
        <v>327</v>
      </c>
      <c r="GL1" s="4" t="s">
        <v>328</v>
      </c>
      <c r="GM1" s="4" t="s">
        <v>329</v>
      </c>
      <c r="GN1" s="4" t="s">
        <v>330</v>
      </c>
      <c r="GO1" s="4" t="s">
        <v>331</v>
      </c>
      <c r="GP1" s="4" t="s">
        <v>332</v>
      </c>
      <c r="GQ1" s="4" t="s">
        <v>333</v>
      </c>
      <c r="GR1" s="4" t="s">
        <v>334</v>
      </c>
      <c r="GS1" s="4" t="s">
        <v>335</v>
      </c>
      <c r="GT1" s="4" t="s">
        <v>336</v>
      </c>
      <c r="GU1" s="4" t="s">
        <v>337</v>
      </c>
      <c r="GV1" s="4" t="s">
        <v>338</v>
      </c>
      <c r="GW1" s="4" t="s">
        <v>339</v>
      </c>
      <c r="GX1" s="4" t="s">
        <v>340</v>
      </c>
      <c r="GY1" s="4" t="s">
        <v>341</v>
      </c>
      <c r="GZ1" s="4" t="s">
        <v>342</v>
      </c>
      <c r="HA1" s="4" t="s">
        <v>343</v>
      </c>
      <c r="HB1" s="4" t="s">
        <v>344</v>
      </c>
      <c r="HC1" s="4" t="s">
        <v>345</v>
      </c>
    </row>
    <row r="2" spans="1:211" x14ac:dyDescent="0.25">
      <c r="A2" t="s">
        <v>34</v>
      </c>
      <c r="B2" s="24">
        <v>0</v>
      </c>
      <c r="C2" s="24">
        <v>0</v>
      </c>
      <c r="D2" s="24">
        <v>0</v>
      </c>
      <c r="E2" s="24">
        <v>0</v>
      </c>
      <c r="F2" s="24">
        <v>0</v>
      </c>
      <c r="G2" s="24">
        <v>0</v>
      </c>
      <c r="H2" s="24">
        <v>0</v>
      </c>
      <c r="I2" s="24">
        <v>0</v>
      </c>
      <c r="J2" s="24">
        <v>0</v>
      </c>
      <c r="K2" s="24">
        <v>0</v>
      </c>
      <c r="L2" s="24">
        <v>0</v>
      </c>
      <c r="M2" s="24">
        <v>0</v>
      </c>
      <c r="N2" s="24">
        <v>0</v>
      </c>
      <c r="O2" s="24">
        <v>0</v>
      </c>
      <c r="P2" s="24">
        <v>0</v>
      </c>
      <c r="Q2" s="24">
        <v>0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0</v>
      </c>
      <c r="AF2" s="24">
        <v>0</v>
      </c>
      <c r="AG2" s="24">
        <v>0</v>
      </c>
      <c r="AH2" s="24">
        <v>0</v>
      </c>
      <c r="AI2" s="24">
        <v>0</v>
      </c>
      <c r="AJ2" s="24">
        <v>0</v>
      </c>
      <c r="AK2" s="24">
        <v>0</v>
      </c>
      <c r="AL2" s="24">
        <v>0</v>
      </c>
      <c r="AM2" s="24">
        <v>0</v>
      </c>
      <c r="AN2" s="24">
        <v>0</v>
      </c>
      <c r="AO2" s="24">
        <v>0</v>
      </c>
      <c r="AP2" s="24">
        <v>0</v>
      </c>
      <c r="AQ2" s="24">
        <v>0</v>
      </c>
      <c r="AR2" s="24">
        <v>0</v>
      </c>
      <c r="AS2" s="24">
        <v>0</v>
      </c>
      <c r="AT2" s="24">
        <v>0</v>
      </c>
      <c r="AU2" s="24">
        <v>0</v>
      </c>
      <c r="AV2" s="24">
        <v>0</v>
      </c>
      <c r="AW2" s="24">
        <v>0</v>
      </c>
      <c r="AX2" s="24">
        <v>0</v>
      </c>
      <c r="AY2" s="24">
        <v>0</v>
      </c>
      <c r="AZ2" s="24">
        <v>0</v>
      </c>
      <c r="BA2" s="24">
        <v>0</v>
      </c>
      <c r="BB2" s="24">
        <v>0</v>
      </c>
      <c r="BC2" s="24">
        <v>0</v>
      </c>
      <c r="BD2" s="24">
        <v>0</v>
      </c>
      <c r="BE2" s="24">
        <v>0</v>
      </c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  <c r="BL2" s="24">
        <v>0</v>
      </c>
      <c r="BM2" s="24">
        <v>0</v>
      </c>
      <c r="BN2" s="24">
        <v>0</v>
      </c>
      <c r="BO2" s="24">
        <v>0</v>
      </c>
      <c r="BP2" s="24">
        <v>0</v>
      </c>
      <c r="BQ2" s="24">
        <v>0</v>
      </c>
      <c r="BR2" s="24">
        <v>0</v>
      </c>
      <c r="BS2" s="24">
        <v>0</v>
      </c>
      <c r="BT2" s="24">
        <v>0</v>
      </c>
      <c r="BU2" s="24">
        <v>0</v>
      </c>
      <c r="BV2" s="24">
        <v>0</v>
      </c>
      <c r="BW2" s="24">
        <v>0</v>
      </c>
      <c r="BX2" s="24">
        <v>0</v>
      </c>
      <c r="BY2" s="24">
        <v>0</v>
      </c>
      <c r="BZ2" s="24">
        <v>0</v>
      </c>
      <c r="CA2" s="24">
        <v>0</v>
      </c>
      <c r="CB2" s="24">
        <v>0</v>
      </c>
      <c r="CC2" s="24">
        <v>0</v>
      </c>
      <c r="CD2" s="24">
        <v>0</v>
      </c>
      <c r="CE2" s="24">
        <v>0</v>
      </c>
      <c r="CF2" s="24">
        <v>0</v>
      </c>
      <c r="CG2" s="24">
        <v>0</v>
      </c>
      <c r="CH2" s="24">
        <v>0</v>
      </c>
      <c r="CI2" s="24">
        <v>0</v>
      </c>
      <c r="CJ2" s="24">
        <v>0</v>
      </c>
      <c r="CK2" s="24">
        <v>0</v>
      </c>
      <c r="CL2" s="24">
        <v>0</v>
      </c>
      <c r="CM2" s="24">
        <v>0</v>
      </c>
      <c r="CN2" s="24">
        <v>0</v>
      </c>
      <c r="CO2" s="24">
        <v>0</v>
      </c>
      <c r="CP2" s="24">
        <v>0</v>
      </c>
      <c r="CQ2" s="24">
        <v>0</v>
      </c>
      <c r="CR2" s="24">
        <v>0</v>
      </c>
      <c r="CS2" s="24">
        <v>0</v>
      </c>
      <c r="CT2" s="24">
        <v>0</v>
      </c>
      <c r="CU2" s="24">
        <v>0</v>
      </c>
      <c r="CV2" s="24">
        <v>0</v>
      </c>
      <c r="CW2" s="24">
        <v>0</v>
      </c>
      <c r="CX2" s="24">
        <v>0</v>
      </c>
      <c r="CY2" s="24">
        <v>0</v>
      </c>
      <c r="CZ2" s="24">
        <v>0</v>
      </c>
      <c r="DA2" s="24">
        <v>0</v>
      </c>
      <c r="DB2" s="24">
        <v>0</v>
      </c>
      <c r="DC2" s="24">
        <v>0</v>
      </c>
      <c r="DD2" s="24">
        <v>0</v>
      </c>
      <c r="DE2" s="24">
        <v>0</v>
      </c>
      <c r="DF2" s="24">
        <v>0</v>
      </c>
      <c r="DG2" s="24">
        <v>0</v>
      </c>
      <c r="DH2" s="24">
        <v>0</v>
      </c>
      <c r="DI2" s="24">
        <v>0</v>
      </c>
      <c r="DJ2" s="24">
        <v>0</v>
      </c>
      <c r="DK2" s="24">
        <v>0</v>
      </c>
      <c r="DL2" s="24">
        <v>0</v>
      </c>
      <c r="DM2" s="24">
        <v>0</v>
      </c>
      <c r="DN2" s="24">
        <v>0</v>
      </c>
      <c r="DO2" s="24">
        <v>0</v>
      </c>
      <c r="DP2" s="24">
        <v>0</v>
      </c>
      <c r="DQ2" s="24">
        <v>0</v>
      </c>
      <c r="DR2" s="24">
        <v>0</v>
      </c>
      <c r="DS2" s="24">
        <f>Calculations!B75</f>
        <v>5378</v>
      </c>
      <c r="DT2" s="24">
        <f>Calculations!C75</f>
        <v>0</v>
      </c>
      <c r="DU2" s="24">
        <f>Calculations!D75</f>
        <v>0</v>
      </c>
      <c r="DV2" s="24">
        <f>Calculations!E75</f>
        <v>0</v>
      </c>
      <c r="DW2" s="24">
        <f>Calculations!F75</f>
        <v>0</v>
      </c>
      <c r="DX2" s="24">
        <f>Calculations!G75</f>
        <v>0</v>
      </c>
      <c r="DY2" s="24">
        <f>Calculations!H75</f>
        <v>120</v>
      </c>
      <c r="DZ2" s="24">
        <f>Calculations!I75</f>
        <v>0</v>
      </c>
      <c r="EA2" s="24">
        <f>Calculations!J75</f>
        <v>0</v>
      </c>
      <c r="EB2" s="24">
        <v>0</v>
      </c>
      <c r="EC2" s="24">
        <v>0</v>
      </c>
      <c r="ED2" s="24">
        <v>0</v>
      </c>
      <c r="EE2" s="24">
        <v>0</v>
      </c>
      <c r="EF2" s="24">
        <v>0</v>
      </c>
      <c r="EG2" s="24">
        <v>0</v>
      </c>
      <c r="EH2" s="24">
        <v>0</v>
      </c>
      <c r="EI2" s="24">
        <v>0</v>
      </c>
      <c r="EJ2" s="24">
        <v>0</v>
      </c>
      <c r="EK2" s="24">
        <v>0</v>
      </c>
      <c r="EL2" s="24">
        <v>0</v>
      </c>
      <c r="EM2" s="24">
        <v>0</v>
      </c>
      <c r="EN2" s="24">
        <v>0</v>
      </c>
      <c r="EO2" s="24">
        <v>0</v>
      </c>
      <c r="EP2" s="24">
        <v>0</v>
      </c>
      <c r="EQ2" s="24">
        <v>0</v>
      </c>
      <c r="ER2" s="24">
        <v>0</v>
      </c>
      <c r="ES2" s="24">
        <v>0</v>
      </c>
      <c r="ET2" s="24">
        <v>0</v>
      </c>
      <c r="EU2" s="24">
        <v>0</v>
      </c>
      <c r="EV2" s="24">
        <v>0</v>
      </c>
      <c r="EW2" s="24">
        <v>0</v>
      </c>
      <c r="EX2" s="24">
        <v>0</v>
      </c>
      <c r="EY2" s="24">
        <v>0</v>
      </c>
      <c r="EZ2" s="24">
        <v>0</v>
      </c>
      <c r="FA2" s="24">
        <v>0</v>
      </c>
      <c r="FB2" s="24">
        <v>0</v>
      </c>
      <c r="FC2" s="24">
        <v>0</v>
      </c>
      <c r="FD2" s="24">
        <v>0</v>
      </c>
      <c r="FE2" s="24">
        <v>0</v>
      </c>
      <c r="FF2" s="24">
        <v>0</v>
      </c>
      <c r="FG2" s="24">
        <v>0</v>
      </c>
      <c r="FH2" s="24">
        <v>0</v>
      </c>
      <c r="FI2" s="24">
        <v>0</v>
      </c>
      <c r="FJ2" s="24">
        <v>0</v>
      </c>
      <c r="FK2" s="24">
        <v>0</v>
      </c>
      <c r="FL2" s="24">
        <v>0</v>
      </c>
      <c r="FM2" s="24">
        <v>0</v>
      </c>
      <c r="FN2" s="24">
        <v>0</v>
      </c>
      <c r="FO2" s="24">
        <v>0</v>
      </c>
      <c r="FP2" s="24">
        <v>0</v>
      </c>
      <c r="FQ2" s="24">
        <v>0</v>
      </c>
      <c r="FR2" s="24">
        <v>0</v>
      </c>
      <c r="FS2" s="24">
        <v>0</v>
      </c>
      <c r="FT2" s="24">
        <v>0</v>
      </c>
      <c r="FU2" s="24">
        <v>0</v>
      </c>
      <c r="FV2" s="24">
        <v>0</v>
      </c>
      <c r="FW2" s="24">
        <v>0</v>
      </c>
      <c r="FX2" s="24">
        <v>0</v>
      </c>
      <c r="FY2" s="24">
        <v>0</v>
      </c>
      <c r="FZ2" s="24">
        <v>0</v>
      </c>
      <c r="GA2" s="24">
        <v>0</v>
      </c>
      <c r="GB2" s="24">
        <v>0</v>
      </c>
      <c r="GC2" s="24">
        <v>0</v>
      </c>
      <c r="GD2" s="24">
        <v>0</v>
      </c>
      <c r="GE2" s="24">
        <v>0</v>
      </c>
      <c r="GF2" s="24">
        <v>0</v>
      </c>
      <c r="GG2" s="24">
        <v>0</v>
      </c>
      <c r="GH2" s="24">
        <v>0</v>
      </c>
      <c r="GI2" s="24">
        <v>0</v>
      </c>
      <c r="GJ2" s="24">
        <v>0</v>
      </c>
      <c r="GK2" s="24">
        <v>0</v>
      </c>
      <c r="GL2" s="24">
        <v>0</v>
      </c>
      <c r="GM2" s="24">
        <v>0</v>
      </c>
      <c r="GN2" s="24">
        <v>0</v>
      </c>
      <c r="GO2" s="24">
        <v>0</v>
      </c>
      <c r="GP2" s="24">
        <v>0</v>
      </c>
      <c r="GQ2" s="24">
        <v>0</v>
      </c>
      <c r="GR2" s="24">
        <v>0</v>
      </c>
      <c r="GS2" s="24">
        <v>0</v>
      </c>
      <c r="GT2" s="24">
        <v>0</v>
      </c>
      <c r="GU2" s="24">
        <v>0</v>
      </c>
      <c r="GV2" s="24">
        <v>0</v>
      </c>
      <c r="GW2" s="24">
        <v>0</v>
      </c>
      <c r="GX2" s="24">
        <v>0</v>
      </c>
      <c r="GY2" s="24">
        <v>0</v>
      </c>
      <c r="GZ2" s="24">
        <v>0</v>
      </c>
      <c r="HA2" s="24">
        <v>0</v>
      </c>
      <c r="HB2" s="24">
        <v>0</v>
      </c>
      <c r="HC2" s="24">
        <v>0</v>
      </c>
    </row>
    <row r="3" spans="1:211" x14ac:dyDescent="0.25">
      <c r="A3" t="s">
        <v>36</v>
      </c>
      <c r="B3" s="24">
        <v>0</v>
      </c>
      <c r="C3" s="24">
        <v>0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4">
        <v>0</v>
      </c>
      <c r="M3" s="24">
        <v>0</v>
      </c>
      <c r="N3" s="24">
        <v>0</v>
      </c>
      <c r="O3" s="24">
        <v>0</v>
      </c>
      <c r="P3" s="24">
        <v>0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>
        <v>0</v>
      </c>
      <c r="AZ3" s="24">
        <v>0</v>
      </c>
      <c r="BA3" s="24">
        <v>0</v>
      </c>
      <c r="BB3" s="24">
        <v>0</v>
      </c>
      <c r="BC3" s="24">
        <v>0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0</v>
      </c>
      <c r="BM3" s="24">
        <v>0</v>
      </c>
      <c r="BN3" s="24">
        <v>0</v>
      </c>
      <c r="BO3" s="24">
        <v>0</v>
      </c>
      <c r="BP3" s="24">
        <v>0</v>
      </c>
      <c r="BQ3" s="24">
        <v>0</v>
      </c>
      <c r="BR3" s="24">
        <v>0</v>
      </c>
      <c r="BS3" s="24">
        <v>0</v>
      </c>
      <c r="BT3" s="24">
        <v>0</v>
      </c>
      <c r="BU3" s="24">
        <v>0</v>
      </c>
      <c r="BV3" s="24">
        <v>0</v>
      </c>
      <c r="BW3" s="24">
        <v>0</v>
      </c>
      <c r="BX3" s="24">
        <v>0</v>
      </c>
      <c r="BY3" s="24">
        <v>0</v>
      </c>
      <c r="BZ3" s="24">
        <v>0</v>
      </c>
      <c r="CA3" s="24">
        <v>0</v>
      </c>
      <c r="CB3" s="24">
        <v>0</v>
      </c>
      <c r="CC3" s="24">
        <v>0</v>
      </c>
      <c r="CD3" s="24">
        <v>0</v>
      </c>
      <c r="CE3" s="24">
        <v>0</v>
      </c>
      <c r="CF3" s="24">
        <v>0</v>
      </c>
      <c r="CG3" s="24">
        <v>0</v>
      </c>
      <c r="CH3" s="24">
        <v>0</v>
      </c>
      <c r="CI3" s="24">
        <v>0</v>
      </c>
      <c r="CJ3" s="24">
        <v>0</v>
      </c>
      <c r="CK3" s="24">
        <v>0</v>
      </c>
      <c r="CL3" s="24">
        <v>0</v>
      </c>
      <c r="CM3" s="24">
        <v>0</v>
      </c>
      <c r="CN3" s="24">
        <v>0</v>
      </c>
      <c r="CO3" s="24">
        <v>0</v>
      </c>
      <c r="CP3" s="24">
        <v>0</v>
      </c>
      <c r="CQ3" s="24">
        <v>0</v>
      </c>
      <c r="CR3" s="24">
        <v>0</v>
      </c>
      <c r="CS3" s="24">
        <v>0</v>
      </c>
      <c r="CT3" s="24">
        <v>0</v>
      </c>
      <c r="CU3" s="24">
        <v>0</v>
      </c>
      <c r="CV3" s="24">
        <v>0</v>
      </c>
      <c r="CW3" s="24">
        <v>0</v>
      </c>
      <c r="CX3" s="24">
        <v>0</v>
      </c>
      <c r="CY3" s="24">
        <v>0</v>
      </c>
      <c r="CZ3" s="24">
        <v>0</v>
      </c>
      <c r="DA3" s="24">
        <v>0</v>
      </c>
      <c r="DB3" s="24">
        <v>0</v>
      </c>
      <c r="DC3" s="24">
        <v>0</v>
      </c>
      <c r="DD3" s="24">
        <v>0</v>
      </c>
      <c r="DE3" s="24">
        <v>0</v>
      </c>
      <c r="DF3" s="24">
        <v>0</v>
      </c>
      <c r="DG3" s="24">
        <v>0</v>
      </c>
      <c r="DH3" s="24">
        <v>0</v>
      </c>
      <c r="DI3" s="24">
        <v>0</v>
      </c>
      <c r="DJ3" s="24">
        <v>0</v>
      </c>
      <c r="DK3" s="24">
        <v>0</v>
      </c>
      <c r="DL3" s="24">
        <v>0</v>
      </c>
      <c r="DM3" s="24">
        <v>0</v>
      </c>
      <c r="DN3" s="24">
        <v>0</v>
      </c>
      <c r="DO3" s="24">
        <v>0</v>
      </c>
      <c r="DP3" s="24">
        <v>0</v>
      </c>
      <c r="DQ3" s="24">
        <v>0</v>
      </c>
      <c r="DR3" s="24">
        <v>0</v>
      </c>
      <c r="DS3" s="24">
        <f>Calculations!B76</f>
        <v>211.25</v>
      </c>
      <c r="DT3" s="24">
        <f>Calculations!C76</f>
        <v>94</v>
      </c>
      <c r="DU3" s="24">
        <f>Calculations!D76</f>
        <v>166</v>
      </c>
      <c r="DV3" s="24">
        <f>Calculations!E76</f>
        <v>0</v>
      </c>
      <c r="DW3" s="24">
        <f>Calculations!F76</f>
        <v>290</v>
      </c>
      <c r="DX3" s="24">
        <f>Calculations!G76</f>
        <v>181</v>
      </c>
      <c r="DY3" s="24">
        <f>Calculations!H76</f>
        <v>411</v>
      </c>
      <c r="DZ3" s="24">
        <f>Calculations!I76</f>
        <v>73</v>
      </c>
      <c r="EA3" s="24">
        <f>Calculations!J76</f>
        <v>0</v>
      </c>
      <c r="EB3" s="24">
        <v>0</v>
      </c>
      <c r="EC3" s="24">
        <v>0</v>
      </c>
      <c r="ED3" s="24">
        <v>0</v>
      </c>
      <c r="EE3" s="24">
        <v>0</v>
      </c>
      <c r="EF3" s="24">
        <v>0</v>
      </c>
      <c r="EG3" s="24">
        <v>0</v>
      </c>
      <c r="EH3" s="24">
        <v>0</v>
      </c>
      <c r="EI3" s="24">
        <v>0</v>
      </c>
      <c r="EJ3" s="24">
        <v>0</v>
      </c>
      <c r="EK3" s="24">
        <v>0</v>
      </c>
      <c r="EL3" s="24">
        <v>0</v>
      </c>
      <c r="EM3" s="24">
        <v>0</v>
      </c>
      <c r="EN3" s="24">
        <v>0</v>
      </c>
      <c r="EO3" s="24">
        <v>0</v>
      </c>
      <c r="EP3" s="24">
        <v>0</v>
      </c>
      <c r="EQ3" s="24">
        <v>0</v>
      </c>
      <c r="ER3" s="24">
        <v>0</v>
      </c>
      <c r="ES3" s="24">
        <v>0</v>
      </c>
      <c r="ET3" s="24">
        <v>0</v>
      </c>
      <c r="EU3" s="24">
        <v>0</v>
      </c>
      <c r="EV3" s="24">
        <v>0</v>
      </c>
      <c r="EW3" s="24">
        <v>0</v>
      </c>
      <c r="EX3" s="24">
        <v>0</v>
      </c>
      <c r="EY3" s="24">
        <v>0</v>
      </c>
      <c r="EZ3" s="24">
        <v>0</v>
      </c>
      <c r="FA3" s="24">
        <v>0</v>
      </c>
      <c r="FB3" s="24">
        <v>0</v>
      </c>
      <c r="FC3" s="24">
        <v>0</v>
      </c>
      <c r="FD3" s="24">
        <v>0</v>
      </c>
      <c r="FE3" s="24">
        <v>0</v>
      </c>
      <c r="FF3" s="24">
        <v>0</v>
      </c>
      <c r="FG3" s="24">
        <v>0</v>
      </c>
      <c r="FH3" s="24">
        <v>0</v>
      </c>
      <c r="FI3" s="24">
        <v>0</v>
      </c>
      <c r="FJ3" s="24">
        <v>0</v>
      </c>
      <c r="FK3" s="24">
        <v>0</v>
      </c>
      <c r="FL3" s="24">
        <v>0</v>
      </c>
      <c r="FM3" s="24">
        <v>0</v>
      </c>
      <c r="FN3" s="24">
        <v>0</v>
      </c>
      <c r="FO3" s="24">
        <v>0</v>
      </c>
      <c r="FP3" s="24">
        <v>0</v>
      </c>
      <c r="FQ3" s="24">
        <v>0</v>
      </c>
      <c r="FR3" s="24">
        <v>0</v>
      </c>
      <c r="FS3" s="24">
        <v>0</v>
      </c>
      <c r="FT3" s="24">
        <v>0</v>
      </c>
      <c r="FU3" s="24">
        <v>0</v>
      </c>
      <c r="FV3" s="24">
        <v>0</v>
      </c>
      <c r="FW3" s="24">
        <v>0</v>
      </c>
      <c r="FX3" s="24">
        <v>0</v>
      </c>
      <c r="FY3" s="24">
        <v>0</v>
      </c>
      <c r="FZ3" s="24">
        <v>0</v>
      </c>
      <c r="GA3" s="24">
        <v>0</v>
      </c>
      <c r="GB3" s="24">
        <v>0</v>
      </c>
      <c r="GC3" s="24">
        <v>0</v>
      </c>
      <c r="GD3" s="24">
        <v>0</v>
      </c>
      <c r="GE3" s="24">
        <v>0</v>
      </c>
      <c r="GF3" s="24">
        <v>0</v>
      </c>
      <c r="GG3" s="24">
        <v>0</v>
      </c>
      <c r="GH3" s="24">
        <v>0</v>
      </c>
      <c r="GI3" s="24">
        <v>0</v>
      </c>
      <c r="GJ3" s="24">
        <v>0</v>
      </c>
      <c r="GK3" s="24">
        <v>0</v>
      </c>
      <c r="GL3" s="24">
        <v>0</v>
      </c>
      <c r="GM3" s="24">
        <v>0</v>
      </c>
      <c r="GN3" s="24">
        <v>0</v>
      </c>
      <c r="GO3" s="24">
        <v>0</v>
      </c>
      <c r="GP3" s="24">
        <v>0</v>
      </c>
      <c r="GQ3" s="24">
        <v>0</v>
      </c>
      <c r="GR3" s="24">
        <v>0</v>
      </c>
      <c r="GS3" s="24">
        <v>0</v>
      </c>
      <c r="GT3" s="24">
        <v>0</v>
      </c>
      <c r="GU3" s="24">
        <v>0</v>
      </c>
      <c r="GV3" s="24">
        <v>0</v>
      </c>
      <c r="GW3" s="24">
        <v>0</v>
      </c>
      <c r="GX3" s="24">
        <v>0</v>
      </c>
      <c r="GY3" s="24">
        <v>0</v>
      </c>
      <c r="GZ3" s="24">
        <v>0</v>
      </c>
      <c r="HA3" s="24">
        <v>0</v>
      </c>
      <c r="HB3" s="24">
        <v>0</v>
      </c>
      <c r="HC3" s="24">
        <v>0</v>
      </c>
    </row>
    <row r="4" spans="1:211" x14ac:dyDescent="0.25">
      <c r="A4" t="s">
        <v>38</v>
      </c>
      <c r="B4" s="24">
        <v>0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>
        <v>0</v>
      </c>
      <c r="AZ4" s="24">
        <v>0</v>
      </c>
      <c r="BA4" s="24">
        <v>0</v>
      </c>
      <c r="BB4" s="24">
        <v>0</v>
      </c>
      <c r="BC4" s="24">
        <v>0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  <c r="BL4" s="24">
        <v>0</v>
      </c>
      <c r="BM4" s="24">
        <v>0</v>
      </c>
      <c r="BN4" s="24">
        <v>0</v>
      </c>
      <c r="BO4" s="24">
        <v>0</v>
      </c>
      <c r="BP4" s="24">
        <v>0</v>
      </c>
      <c r="BQ4" s="24">
        <v>0</v>
      </c>
      <c r="BR4" s="24">
        <v>0</v>
      </c>
      <c r="BS4" s="24">
        <v>0</v>
      </c>
      <c r="BT4" s="24">
        <v>0</v>
      </c>
      <c r="BU4" s="24">
        <v>0</v>
      </c>
      <c r="BV4" s="24">
        <v>0</v>
      </c>
      <c r="BW4" s="24">
        <v>0</v>
      </c>
      <c r="BX4" s="24">
        <v>0</v>
      </c>
      <c r="BY4" s="24">
        <v>0</v>
      </c>
      <c r="BZ4" s="24">
        <v>0</v>
      </c>
      <c r="CA4" s="24">
        <v>0</v>
      </c>
      <c r="CB4" s="24">
        <v>0</v>
      </c>
      <c r="CC4" s="24">
        <v>0</v>
      </c>
      <c r="CD4" s="24">
        <v>0</v>
      </c>
      <c r="CE4" s="24">
        <v>0</v>
      </c>
      <c r="CF4" s="24">
        <v>0</v>
      </c>
      <c r="CG4" s="24">
        <v>0</v>
      </c>
      <c r="CH4" s="24">
        <v>0</v>
      </c>
      <c r="CI4" s="24">
        <v>0</v>
      </c>
      <c r="CJ4" s="24">
        <v>0</v>
      </c>
      <c r="CK4" s="24">
        <v>0</v>
      </c>
      <c r="CL4" s="24">
        <v>0</v>
      </c>
      <c r="CM4" s="24">
        <v>0</v>
      </c>
      <c r="CN4" s="24">
        <v>0</v>
      </c>
      <c r="CO4" s="24">
        <v>0</v>
      </c>
      <c r="CP4" s="24">
        <v>0</v>
      </c>
      <c r="CQ4" s="24">
        <v>0</v>
      </c>
      <c r="CR4" s="24">
        <v>0</v>
      </c>
      <c r="CS4" s="24">
        <v>0</v>
      </c>
      <c r="CT4" s="24">
        <v>0</v>
      </c>
      <c r="CU4" s="24">
        <v>0</v>
      </c>
      <c r="CV4" s="24">
        <v>0</v>
      </c>
      <c r="CW4" s="24">
        <v>0</v>
      </c>
      <c r="CX4" s="24">
        <v>0</v>
      </c>
      <c r="CY4" s="24">
        <v>0</v>
      </c>
      <c r="CZ4" s="24">
        <v>0</v>
      </c>
      <c r="DA4" s="24">
        <v>0</v>
      </c>
      <c r="DB4" s="24">
        <v>0</v>
      </c>
      <c r="DC4" s="24">
        <v>0</v>
      </c>
      <c r="DD4" s="24">
        <v>0</v>
      </c>
      <c r="DE4" s="24">
        <v>0</v>
      </c>
      <c r="DF4" s="24">
        <v>0</v>
      </c>
      <c r="DG4" s="24">
        <v>0</v>
      </c>
      <c r="DH4" s="24">
        <v>0</v>
      </c>
      <c r="DI4" s="24">
        <v>0</v>
      </c>
      <c r="DJ4" s="24">
        <v>0</v>
      </c>
      <c r="DK4" s="24">
        <v>0</v>
      </c>
      <c r="DL4" s="24">
        <v>0</v>
      </c>
      <c r="DM4" s="24">
        <v>0</v>
      </c>
      <c r="DN4" s="24">
        <v>0</v>
      </c>
      <c r="DO4" s="24">
        <v>0</v>
      </c>
      <c r="DP4" s="24">
        <v>0</v>
      </c>
      <c r="DQ4" s="24">
        <v>0</v>
      </c>
      <c r="DR4" s="24">
        <v>0</v>
      </c>
      <c r="DS4" s="24">
        <f>Calculations!B77</f>
        <v>18029</v>
      </c>
      <c r="DT4" s="24">
        <f>Calculations!C77</f>
        <v>4801</v>
      </c>
      <c r="DU4" s="24">
        <f>Calculations!D77</f>
        <v>479</v>
      </c>
      <c r="DV4" s="24">
        <f>Calculations!E77</f>
        <v>734</v>
      </c>
      <c r="DW4" s="24">
        <f>Calculations!F77</f>
        <v>3231</v>
      </c>
      <c r="DX4" s="24">
        <f>Calculations!G77</f>
        <v>810</v>
      </c>
      <c r="DY4" s="24">
        <f>Calculations!H77</f>
        <v>1932</v>
      </c>
      <c r="DZ4" s="24">
        <f>Calculations!I77</f>
        <v>1812</v>
      </c>
      <c r="EA4" s="24">
        <f>Calculations!J77</f>
        <v>120</v>
      </c>
      <c r="EB4" s="24">
        <v>0</v>
      </c>
      <c r="EC4" s="24">
        <v>0</v>
      </c>
      <c r="ED4" s="24">
        <v>0</v>
      </c>
      <c r="EE4" s="24">
        <v>0</v>
      </c>
      <c r="EF4" s="24">
        <v>0</v>
      </c>
      <c r="EG4" s="24">
        <v>0</v>
      </c>
      <c r="EH4" s="24">
        <v>0</v>
      </c>
      <c r="EI4" s="24">
        <v>0</v>
      </c>
      <c r="EJ4" s="24">
        <v>0</v>
      </c>
      <c r="EK4" s="24">
        <v>0</v>
      </c>
      <c r="EL4" s="24">
        <v>0</v>
      </c>
      <c r="EM4" s="24">
        <v>0</v>
      </c>
      <c r="EN4" s="24">
        <v>0</v>
      </c>
      <c r="EO4" s="24">
        <v>0</v>
      </c>
      <c r="EP4" s="24">
        <v>0</v>
      </c>
      <c r="EQ4" s="24">
        <v>0</v>
      </c>
      <c r="ER4" s="24">
        <v>0</v>
      </c>
      <c r="ES4" s="24">
        <v>0</v>
      </c>
      <c r="ET4" s="24">
        <v>0</v>
      </c>
      <c r="EU4" s="24">
        <v>0</v>
      </c>
      <c r="EV4" s="24">
        <v>0</v>
      </c>
      <c r="EW4" s="24">
        <v>0</v>
      </c>
      <c r="EX4" s="24">
        <v>0</v>
      </c>
      <c r="EY4" s="24">
        <v>0</v>
      </c>
      <c r="EZ4" s="24">
        <v>0</v>
      </c>
      <c r="FA4" s="24">
        <v>0</v>
      </c>
      <c r="FB4" s="24">
        <v>0</v>
      </c>
      <c r="FC4" s="24">
        <v>0</v>
      </c>
      <c r="FD4" s="24">
        <v>0</v>
      </c>
      <c r="FE4" s="24">
        <v>0</v>
      </c>
      <c r="FF4" s="24">
        <v>0</v>
      </c>
      <c r="FG4" s="24">
        <v>0</v>
      </c>
      <c r="FH4" s="24">
        <v>0</v>
      </c>
      <c r="FI4" s="24">
        <v>0</v>
      </c>
      <c r="FJ4" s="24">
        <v>0</v>
      </c>
      <c r="FK4" s="24">
        <v>0</v>
      </c>
      <c r="FL4" s="24">
        <v>0</v>
      </c>
      <c r="FM4" s="24">
        <v>0</v>
      </c>
      <c r="FN4" s="24">
        <v>0</v>
      </c>
      <c r="FO4" s="24">
        <v>0</v>
      </c>
      <c r="FP4" s="24">
        <v>0</v>
      </c>
      <c r="FQ4" s="24">
        <v>0</v>
      </c>
      <c r="FR4" s="24">
        <v>0</v>
      </c>
      <c r="FS4" s="24">
        <v>0</v>
      </c>
      <c r="FT4" s="24">
        <v>0</v>
      </c>
      <c r="FU4" s="24">
        <v>0</v>
      </c>
      <c r="FV4" s="24">
        <v>0</v>
      </c>
      <c r="FW4" s="24">
        <v>0</v>
      </c>
      <c r="FX4" s="24">
        <v>0</v>
      </c>
      <c r="FY4" s="24">
        <v>0</v>
      </c>
      <c r="FZ4" s="24">
        <v>0</v>
      </c>
      <c r="GA4" s="24">
        <v>0</v>
      </c>
      <c r="GB4" s="24">
        <v>0</v>
      </c>
      <c r="GC4" s="24">
        <v>0</v>
      </c>
      <c r="GD4" s="24">
        <v>0</v>
      </c>
      <c r="GE4" s="24">
        <v>0</v>
      </c>
      <c r="GF4" s="24">
        <v>0</v>
      </c>
      <c r="GG4" s="24">
        <v>0</v>
      </c>
      <c r="GH4" s="24">
        <v>0</v>
      </c>
      <c r="GI4" s="24">
        <v>0</v>
      </c>
      <c r="GJ4" s="24">
        <v>0</v>
      </c>
      <c r="GK4" s="24">
        <v>0</v>
      </c>
      <c r="GL4" s="24">
        <v>0</v>
      </c>
      <c r="GM4" s="24">
        <v>0</v>
      </c>
      <c r="GN4" s="24">
        <v>0</v>
      </c>
      <c r="GO4" s="24">
        <v>0</v>
      </c>
      <c r="GP4" s="24">
        <v>0</v>
      </c>
      <c r="GQ4" s="24">
        <v>0</v>
      </c>
      <c r="GR4" s="24">
        <v>0</v>
      </c>
      <c r="GS4" s="24">
        <v>0</v>
      </c>
      <c r="GT4" s="24">
        <v>0</v>
      </c>
      <c r="GU4" s="24">
        <v>0</v>
      </c>
      <c r="GV4" s="24">
        <v>0</v>
      </c>
      <c r="GW4" s="24">
        <v>0</v>
      </c>
      <c r="GX4" s="24">
        <v>0</v>
      </c>
      <c r="GY4" s="24">
        <v>0</v>
      </c>
      <c r="GZ4" s="24">
        <v>0</v>
      </c>
      <c r="HA4" s="24">
        <v>0</v>
      </c>
      <c r="HB4" s="24">
        <v>0</v>
      </c>
      <c r="HC4" s="24">
        <v>0</v>
      </c>
    </row>
    <row r="5" spans="1:211" x14ac:dyDescent="0.25">
      <c r="A5" t="s">
        <v>40</v>
      </c>
      <c r="B5" s="24">
        <v>0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0</v>
      </c>
      <c r="AY5" s="24">
        <v>0</v>
      </c>
      <c r="AZ5" s="24">
        <v>0</v>
      </c>
      <c r="BA5" s="24">
        <v>0</v>
      </c>
      <c r="BB5" s="24">
        <v>0</v>
      </c>
      <c r="BC5" s="24">
        <v>0</v>
      </c>
      <c r="BD5" s="24">
        <v>0</v>
      </c>
      <c r="BE5" s="24">
        <v>0</v>
      </c>
      <c r="BF5" s="24">
        <v>0</v>
      </c>
      <c r="BG5" s="24">
        <v>0</v>
      </c>
      <c r="BH5" s="24">
        <v>0</v>
      </c>
      <c r="BI5" s="24">
        <v>0</v>
      </c>
      <c r="BJ5" s="24">
        <v>0</v>
      </c>
      <c r="BK5" s="24">
        <v>0</v>
      </c>
      <c r="BL5" s="24">
        <v>0</v>
      </c>
      <c r="BM5" s="24">
        <v>0</v>
      </c>
      <c r="BN5" s="24">
        <v>0</v>
      </c>
      <c r="BO5" s="24">
        <v>0</v>
      </c>
      <c r="BP5" s="24">
        <v>0</v>
      </c>
      <c r="BQ5" s="24">
        <v>0</v>
      </c>
      <c r="BR5" s="24">
        <v>0</v>
      </c>
      <c r="BS5" s="24">
        <v>0</v>
      </c>
      <c r="BT5" s="24">
        <v>0</v>
      </c>
      <c r="BU5" s="24">
        <v>0</v>
      </c>
      <c r="BV5" s="24">
        <v>0</v>
      </c>
      <c r="BW5" s="24">
        <v>0</v>
      </c>
      <c r="BX5" s="24">
        <v>0</v>
      </c>
      <c r="BY5" s="24">
        <v>0</v>
      </c>
      <c r="BZ5" s="24">
        <v>0</v>
      </c>
      <c r="CA5" s="24">
        <v>0</v>
      </c>
      <c r="CB5" s="24">
        <v>0</v>
      </c>
      <c r="CC5" s="24">
        <v>0</v>
      </c>
      <c r="CD5" s="24">
        <v>0</v>
      </c>
      <c r="CE5" s="24">
        <v>0</v>
      </c>
      <c r="CF5" s="24">
        <v>0</v>
      </c>
      <c r="CG5" s="24">
        <v>0</v>
      </c>
      <c r="CH5" s="24">
        <v>0</v>
      </c>
      <c r="CI5" s="24">
        <v>0</v>
      </c>
      <c r="CJ5" s="24">
        <v>0</v>
      </c>
      <c r="CK5" s="24">
        <v>0</v>
      </c>
      <c r="CL5" s="24">
        <v>0</v>
      </c>
      <c r="CM5" s="24">
        <v>0</v>
      </c>
      <c r="CN5" s="24">
        <v>0</v>
      </c>
      <c r="CO5" s="24">
        <v>0</v>
      </c>
      <c r="CP5" s="24">
        <v>0</v>
      </c>
      <c r="CQ5" s="24">
        <v>0</v>
      </c>
      <c r="CR5" s="24">
        <v>0</v>
      </c>
      <c r="CS5" s="24">
        <v>0</v>
      </c>
      <c r="CT5" s="24">
        <v>0</v>
      </c>
      <c r="CU5" s="24">
        <v>0</v>
      </c>
      <c r="CV5" s="24">
        <v>0</v>
      </c>
      <c r="CW5" s="24">
        <v>0</v>
      </c>
      <c r="CX5" s="24">
        <v>0</v>
      </c>
      <c r="CY5" s="24">
        <v>0</v>
      </c>
      <c r="CZ5" s="24">
        <v>0</v>
      </c>
      <c r="DA5" s="24">
        <v>0</v>
      </c>
      <c r="DB5" s="24">
        <v>0</v>
      </c>
      <c r="DC5" s="24">
        <v>0</v>
      </c>
      <c r="DD5" s="24">
        <v>0</v>
      </c>
      <c r="DE5" s="24">
        <v>0</v>
      </c>
      <c r="DF5" s="24">
        <v>0</v>
      </c>
      <c r="DG5" s="24">
        <v>0</v>
      </c>
      <c r="DH5" s="24">
        <v>0</v>
      </c>
      <c r="DI5" s="24">
        <v>0</v>
      </c>
      <c r="DJ5" s="24">
        <v>0</v>
      </c>
      <c r="DK5" s="24">
        <v>0</v>
      </c>
      <c r="DL5" s="24">
        <v>0</v>
      </c>
      <c r="DM5" s="24">
        <v>0</v>
      </c>
      <c r="DN5" s="24">
        <v>0</v>
      </c>
      <c r="DO5" s="24">
        <v>0</v>
      </c>
      <c r="DP5" s="24">
        <v>0</v>
      </c>
      <c r="DQ5" s="24">
        <v>0</v>
      </c>
      <c r="DR5" s="24">
        <v>0</v>
      </c>
      <c r="DS5" s="24">
        <f>Calculations!B78</f>
        <v>1400</v>
      </c>
      <c r="DT5" s="24">
        <f>Calculations!C78</f>
        <v>0</v>
      </c>
      <c r="DU5" s="24">
        <f>Calculations!D78</f>
        <v>0</v>
      </c>
      <c r="DV5" s="24">
        <f>Calculations!E78</f>
        <v>110</v>
      </c>
      <c r="DW5" s="24">
        <f>Calculations!F78</f>
        <v>98</v>
      </c>
      <c r="DX5" s="24">
        <f>Calculations!G78</f>
        <v>0</v>
      </c>
      <c r="DY5" s="24">
        <f>Calculations!H78</f>
        <v>26</v>
      </c>
      <c r="DZ5" s="24">
        <f>Calculations!I78</f>
        <v>0</v>
      </c>
      <c r="EA5" s="24">
        <f>Calculations!J78</f>
        <v>0</v>
      </c>
      <c r="EB5" s="24">
        <v>0</v>
      </c>
      <c r="EC5" s="24">
        <v>0</v>
      </c>
      <c r="ED5" s="24">
        <v>0</v>
      </c>
      <c r="EE5" s="24">
        <v>0</v>
      </c>
      <c r="EF5" s="24">
        <v>0</v>
      </c>
      <c r="EG5" s="24">
        <v>0</v>
      </c>
      <c r="EH5" s="24">
        <v>0</v>
      </c>
      <c r="EI5" s="24">
        <v>0</v>
      </c>
      <c r="EJ5" s="24">
        <v>0</v>
      </c>
      <c r="EK5" s="24">
        <v>0</v>
      </c>
      <c r="EL5" s="24">
        <v>0</v>
      </c>
      <c r="EM5" s="24">
        <v>0</v>
      </c>
      <c r="EN5" s="24">
        <v>0</v>
      </c>
      <c r="EO5" s="24">
        <v>0</v>
      </c>
      <c r="EP5" s="24">
        <v>0</v>
      </c>
      <c r="EQ5" s="24">
        <v>0</v>
      </c>
      <c r="ER5" s="24">
        <v>0</v>
      </c>
      <c r="ES5" s="24">
        <v>0</v>
      </c>
      <c r="ET5" s="24">
        <v>0</v>
      </c>
      <c r="EU5" s="24">
        <v>0</v>
      </c>
      <c r="EV5" s="24">
        <v>0</v>
      </c>
      <c r="EW5" s="24">
        <v>0</v>
      </c>
      <c r="EX5" s="24">
        <v>0</v>
      </c>
      <c r="EY5" s="24">
        <v>0</v>
      </c>
      <c r="EZ5" s="24">
        <v>0</v>
      </c>
      <c r="FA5" s="24">
        <v>0</v>
      </c>
      <c r="FB5" s="24">
        <v>0</v>
      </c>
      <c r="FC5" s="24">
        <v>0</v>
      </c>
      <c r="FD5" s="24">
        <v>0</v>
      </c>
      <c r="FE5" s="24">
        <v>0</v>
      </c>
      <c r="FF5" s="24">
        <v>0</v>
      </c>
      <c r="FG5" s="24">
        <v>0</v>
      </c>
      <c r="FH5" s="24">
        <v>0</v>
      </c>
      <c r="FI5" s="24">
        <v>0</v>
      </c>
      <c r="FJ5" s="24">
        <v>0</v>
      </c>
      <c r="FK5" s="24">
        <v>0</v>
      </c>
      <c r="FL5" s="24">
        <v>0</v>
      </c>
      <c r="FM5" s="24">
        <v>0</v>
      </c>
      <c r="FN5" s="24">
        <v>0</v>
      </c>
      <c r="FO5" s="24">
        <v>0</v>
      </c>
      <c r="FP5" s="24">
        <v>0</v>
      </c>
      <c r="FQ5" s="24">
        <v>0</v>
      </c>
      <c r="FR5" s="24">
        <v>0</v>
      </c>
      <c r="FS5" s="24">
        <v>0</v>
      </c>
      <c r="FT5" s="24">
        <v>0</v>
      </c>
      <c r="FU5" s="24">
        <v>0</v>
      </c>
      <c r="FV5" s="24">
        <v>0</v>
      </c>
      <c r="FW5" s="24">
        <v>0</v>
      </c>
      <c r="FX5" s="24">
        <v>0</v>
      </c>
      <c r="FY5" s="24">
        <v>0</v>
      </c>
      <c r="FZ5" s="24">
        <v>0</v>
      </c>
      <c r="GA5" s="24">
        <v>0</v>
      </c>
      <c r="GB5" s="24">
        <v>0</v>
      </c>
      <c r="GC5" s="24">
        <v>0</v>
      </c>
      <c r="GD5" s="24">
        <v>0</v>
      </c>
      <c r="GE5" s="24">
        <v>0</v>
      </c>
      <c r="GF5" s="24">
        <v>0</v>
      </c>
      <c r="GG5" s="24">
        <v>0</v>
      </c>
      <c r="GH5" s="24">
        <v>0</v>
      </c>
      <c r="GI5" s="24">
        <v>0</v>
      </c>
      <c r="GJ5" s="24">
        <v>0</v>
      </c>
      <c r="GK5" s="24">
        <v>0</v>
      </c>
      <c r="GL5" s="24">
        <v>0</v>
      </c>
      <c r="GM5" s="24">
        <v>0</v>
      </c>
      <c r="GN5" s="24">
        <v>0</v>
      </c>
      <c r="GO5" s="24">
        <v>0</v>
      </c>
      <c r="GP5" s="24">
        <v>0</v>
      </c>
      <c r="GQ5" s="24">
        <v>0</v>
      </c>
      <c r="GR5" s="24">
        <v>0</v>
      </c>
      <c r="GS5" s="24">
        <v>0</v>
      </c>
      <c r="GT5" s="24">
        <v>0</v>
      </c>
      <c r="GU5" s="24">
        <v>0</v>
      </c>
      <c r="GV5" s="24">
        <v>0</v>
      </c>
      <c r="GW5" s="24">
        <v>0</v>
      </c>
      <c r="GX5" s="24">
        <v>0</v>
      </c>
      <c r="GY5" s="24">
        <v>0</v>
      </c>
      <c r="GZ5" s="24">
        <v>0</v>
      </c>
      <c r="HA5" s="24">
        <v>0</v>
      </c>
      <c r="HB5" s="24">
        <v>0</v>
      </c>
      <c r="HC5" s="24">
        <v>0</v>
      </c>
    </row>
    <row r="6" spans="1:211" x14ac:dyDescent="0.25">
      <c r="A6" t="s">
        <v>42</v>
      </c>
      <c r="B6" s="24">
        <v>0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>
        <v>0</v>
      </c>
      <c r="AV6" s="24">
        <v>0</v>
      </c>
      <c r="AW6" s="24">
        <v>0</v>
      </c>
      <c r="AX6" s="24">
        <v>0</v>
      </c>
      <c r="AY6" s="24">
        <v>0</v>
      </c>
      <c r="AZ6" s="24">
        <v>0</v>
      </c>
      <c r="BA6" s="24">
        <v>0</v>
      </c>
      <c r="BB6" s="24">
        <v>0</v>
      </c>
      <c r="BC6" s="24">
        <v>0</v>
      </c>
      <c r="BD6" s="24">
        <v>0</v>
      </c>
      <c r="BE6" s="24">
        <v>0</v>
      </c>
      <c r="BF6" s="24">
        <v>0</v>
      </c>
      <c r="BG6" s="24">
        <v>0</v>
      </c>
      <c r="BH6" s="24">
        <v>0</v>
      </c>
      <c r="BI6" s="24">
        <v>0</v>
      </c>
      <c r="BJ6" s="24">
        <v>0</v>
      </c>
      <c r="BK6" s="24">
        <v>0</v>
      </c>
      <c r="BL6" s="24">
        <v>0</v>
      </c>
      <c r="BM6" s="24">
        <v>0</v>
      </c>
      <c r="BN6" s="24">
        <v>0</v>
      </c>
      <c r="BO6" s="24">
        <v>0</v>
      </c>
      <c r="BP6" s="24">
        <v>0</v>
      </c>
      <c r="BQ6" s="24">
        <v>0</v>
      </c>
      <c r="BR6" s="24">
        <v>0</v>
      </c>
      <c r="BS6" s="24">
        <v>0</v>
      </c>
      <c r="BT6" s="24">
        <v>0</v>
      </c>
      <c r="BU6" s="24">
        <v>0</v>
      </c>
      <c r="BV6" s="24">
        <v>0</v>
      </c>
      <c r="BW6" s="24">
        <v>0</v>
      </c>
      <c r="BX6" s="24">
        <v>0</v>
      </c>
      <c r="BY6" s="24">
        <v>0</v>
      </c>
      <c r="BZ6" s="24">
        <v>0</v>
      </c>
      <c r="CA6" s="24">
        <v>0</v>
      </c>
      <c r="CB6" s="24">
        <v>0</v>
      </c>
      <c r="CC6" s="24">
        <v>0</v>
      </c>
      <c r="CD6" s="24">
        <v>0</v>
      </c>
      <c r="CE6" s="24">
        <v>0</v>
      </c>
      <c r="CF6" s="24">
        <v>0</v>
      </c>
      <c r="CG6" s="24">
        <v>0</v>
      </c>
      <c r="CH6" s="24">
        <v>0</v>
      </c>
      <c r="CI6" s="24">
        <v>0</v>
      </c>
      <c r="CJ6" s="24">
        <v>0</v>
      </c>
      <c r="CK6" s="24">
        <v>0</v>
      </c>
      <c r="CL6" s="24">
        <v>0</v>
      </c>
      <c r="CM6" s="24">
        <v>0</v>
      </c>
      <c r="CN6" s="24">
        <v>0</v>
      </c>
      <c r="CO6" s="24">
        <v>0</v>
      </c>
      <c r="CP6" s="24">
        <v>0</v>
      </c>
      <c r="CQ6" s="24">
        <v>0</v>
      </c>
      <c r="CR6" s="24">
        <v>0</v>
      </c>
      <c r="CS6" s="24">
        <v>0</v>
      </c>
      <c r="CT6" s="24">
        <v>0</v>
      </c>
      <c r="CU6" s="24">
        <v>0</v>
      </c>
      <c r="CV6" s="24">
        <v>0</v>
      </c>
      <c r="CW6" s="24">
        <v>0</v>
      </c>
      <c r="CX6" s="24">
        <v>0</v>
      </c>
      <c r="CY6" s="24">
        <v>0</v>
      </c>
      <c r="CZ6" s="24">
        <v>0</v>
      </c>
      <c r="DA6" s="24">
        <v>0</v>
      </c>
      <c r="DB6" s="24">
        <v>0</v>
      </c>
      <c r="DC6" s="24">
        <v>0</v>
      </c>
      <c r="DD6" s="24">
        <v>0</v>
      </c>
      <c r="DE6" s="24">
        <v>0</v>
      </c>
      <c r="DF6" s="24">
        <v>0</v>
      </c>
      <c r="DG6" s="24">
        <v>0</v>
      </c>
      <c r="DH6" s="24">
        <v>0</v>
      </c>
      <c r="DI6" s="24">
        <v>0</v>
      </c>
      <c r="DJ6" s="24">
        <v>0</v>
      </c>
      <c r="DK6" s="24">
        <v>0</v>
      </c>
      <c r="DL6" s="24">
        <v>0</v>
      </c>
      <c r="DM6" s="24">
        <v>0</v>
      </c>
      <c r="DN6" s="24">
        <v>0</v>
      </c>
      <c r="DO6" s="24">
        <v>0</v>
      </c>
      <c r="DP6" s="24">
        <v>0</v>
      </c>
      <c r="DQ6" s="24">
        <v>0</v>
      </c>
      <c r="DR6" s="24">
        <v>0</v>
      </c>
      <c r="DS6" s="24">
        <f>Calculations!B79</f>
        <v>11497</v>
      </c>
      <c r="DT6" s="24">
        <f>Calculations!C79</f>
        <v>181</v>
      </c>
      <c r="DU6" s="24">
        <f>Calculations!D79</f>
        <v>750</v>
      </c>
      <c r="DV6" s="24">
        <f>Calculations!E79</f>
        <v>60</v>
      </c>
      <c r="DW6" s="24">
        <f>Calculations!F79</f>
        <v>100</v>
      </c>
      <c r="DX6" s="24">
        <f>Calculations!G79</f>
        <v>53</v>
      </c>
      <c r="DY6" s="24">
        <f>Calculations!H79</f>
        <v>0</v>
      </c>
      <c r="DZ6" s="24">
        <f>Calculations!I79</f>
        <v>0</v>
      </c>
      <c r="EA6" s="24">
        <f>Calculations!J79</f>
        <v>0</v>
      </c>
      <c r="EB6" s="24">
        <v>0</v>
      </c>
      <c r="EC6" s="24">
        <v>0</v>
      </c>
      <c r="ED6" s="24">
        <v>0</v>
      </c>
      <c r="EE6" s="24">
        <v>0</v>
      </c>
      <c r="EF6" s="24">
        <v>0</v>
      </c>
      <c r="EG6" s="24">
        <v>0</v>
      </c>
      <c r="EH6" s="24">
        <v>0</v>
      </c>
      <c r="EI6" s="24">
        <v>0</v>
      </c>
      <c r="EJ6" s="24">
        <v>0</v>
      </c>
      <c r="EK6" s="24">
        <v>0</v>
      </c>
      <c r="EL6" s="24">
        <v>0</v>
      </c>
      <c r="EM6" s="24">
        <v>0</v>
      </c>
      <c r="EN6" s="24">
        <v>0</v>
      </c>
      <c r="EO6" s="24">
        <v>0</v>
      </c>
      <c r="EP6" s="24">
        <v>0</v>
      </c>
      <c r="EQ6" s="24">
        <v>0</v>
      </c>
      <c r="ER6" s="24">
        <v>0</v>
      </c>
      <c r="ES6" s="24">
        <v>0</v>
      </c>
      <c r="ET6" s="24">
        <v>0</v>
      </c>
      <c r="EU6" s="24">
        <v>0</v>
      </c>
      <c r="EV6" s="24">
        <v>0</v>
      </c>
      <c r="EW6" s="24">
        <v>0</v>
      </c>
      <c r="EX6" s="24">
        <v>0</v>
      </c>
      <c r="EY6" s="24">
        <v>0</v>
      </c>
      <c r="EZ6" s="24">
        <v>0</v>
      </c>
      <c r="FA6" s="24">
        <v>0</v>
      </c>
      <c r="FB6" s="24">
        <v>0</v>
      </c>
      <c r="FC6" s="24">
        <v>0</v>
      </c>
      <c r="FD6" s="24">
        <v>0</v>
      </c>
      <c r="FE6" s="24">
        <v>0</v>
      </c>
      <c r="FF6" s="24">
        <v>0</v>
      </c>
      <c r="FG6" s="24">
        <v>0</v>
      </c>
      <c r="FH6" s="24">
        <v>0</v>
      </c>
      <c r="FI6" s="24">
        <v>0</v>
      </c>
      <c r="FJ6" s="24">
        <v>0</v>
      </c>
      <c r="FK6" s="24">
        <v>0</v>
      </c>
      <c r="FL6" s="24">
        <v>0</v>
      </c>
      <c r="FM6" s="24">
        <v>0</v>
      </c>
      <c r="FN6" s="24">
        <v>0</v>
      </c>
      <c r="FO6" s="24">
        <v>0</v>
      </c>
      <c r="FP6" s="24">
        <v>0</v>
      </c>
      <c r="FQ6" s="24">
        <v>0</v>
      </c>
      <c r="FR6" s="24">
        <v>0</v>
      </c>
      <c r="FS6" s="24">
        <v>0</v>
      </c>
      <c r="FT6" s="24">
        <v>0</v>
      </c>
      <c r="FU6" s="24">
        <v>0</v>
      </c>
      <c r="FV6" s="24">
        <v>0</v>
      </c>
      <c r="FW6" s="24">
        <v>0</v>
      </c>
      <c r="FX6" s="24">
        <v>0</v>
      </c>
      <c r="FY6" s="24">
        <v>0</v>
      </c>
      <c r="FZ6" s="24">
        <v>0</v>
      </c>
      <c r="GA6" s="24">
        <v>0</v>
      </c>
      <c r="GB6" s="24">
        <v>0</v>
      </c>
      <c r="GC6" s="24">
        <v>0</v>
      </c>
      <c r="GD6" s="24">
        <v>0</v>
      </c>
      <c r="GE6" s="24">
        <v>0</v>
      </c>
      <c r="GF6" s="24">
        <v>0</v>
      </c>
      <c r="GG6" s="24">
        <v>0</v>
      </c>
      <c r="GH6" s="24">
        <v>0</v>
      </c>
      <c r="GI6" s="24">
        <v>0</v>
      </c>
      <c r="GJ6" s="24">
        <v>0</v>
      </c>
      <c r="GK6" s="24">
        <v>0</v>
      </c>
      <c r="GL6" s="24">
        <v>0</v>
      </c>
      <c r="GM6" s="24">
        <v>0</v>
      </c>
      <c r="GN6" s="24">
        <v>0</v>
      </c>
      <c r="GO6" s="24">
        <v>0</v>
      </c>
      <c r="GP6" s="24">
        <v>0</v>
      </c>
      <c r="GQ6" s="24">
        <v>0</v>
      </c>
      <c r="GR6" s="24">
        <v>0</v>
      </c>
      <c r="GS6" s="24">
        <v>0</v>
      </c>
      <c r="GT6" s="24">
        <v>0</v>
      </c>
      <c r="GU6" s="24">
        <v>0</v>
      </c>
      <c r="GV6" s="24">
        <v>0</v>
      </c>
      <c r="GW6" s="24">
        <v>0</v>
      </c>
      <c r="GX6" s="24">
        <v>0</v>
      </c>
      <c r="GY6" s="24">
        <v>0</v>
      </c>
      <c r="GZ6" s="24">
        <v>0</v>
      </c>
      <c r="HA6" s="24">
        <v>0</v>
      </c>
      <c r="HB6" s="24">
        <v>0</v>
      </c>
      <c r="HC6" s="24">
        <v>0</v>
      </c>
    </row>
    <row r="7" spans="1:211" x14ac:dyDescent="0.25">
      <c r="A7" t="s">
        <v>44</v>
      </c>
      <c r="B7" s="24">
        <v>0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>
        <v>0</v>
      </c>
      <c r="AK7" s="24">
        <v>0</v>
      </c>
      <c r="AL7" s="24">
        <v>0</v>
      </c>
      <c r="AM7" s="24">
        <v>0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0</v>
      </c>
      <c r="AW7" s="24">
        <v>0</v>
      </c>
      <c r="AX7" s="24">
        <v>0</v>
      </c>
      <c r="AY7" s="24">
        <v>0</v>
      </c>
      <c r="AZ7" s="24">
        <v>0</v>
      </c>
      <c r="BA7" s="24">
        <v>0</v>
      </c>
      <c r="BB7" s="24">
        <v>0</v>
      </c>
      <c r="BC7" s="24">
        <v>0</v>
      </c>
      <c r="BD7" s="24">
        <v>0</v>
      </c>
      <c r="BE7" s="24">
        <v>0</v>
      </c>
      <c r="BF7" s="24">
        <v>0</v>
      </c>
      <c r="BG7" s="24">
        <v>0</v>
      </c>
      <c r="BH7" s="24">
        <v>0</v>
      </c>
      <c r="BI7" s="24">
        <v>0</v>
      </c>
      <c r="BJ7" s="24">
        <v>0</v>
      </c>
      <c r="BK7" s="24">
        <v>0</v>
      </c>
      <c r="BL7" s="24">
        <v>0</v>
      </c>
      <c r="BM7" s="24">
        <v>0</v>
      </c>
      <c r="BN7" s="24">
        <v>0</v>
      </c>
      <c r="BO7" s="24">
        <v>0</v>
      </c>
      <c r="BP7" s="24">
        <v>0</v>
      </c>
      <c r="BQ7" s="24">
        <v>0</v>
      </c>
      <c r="BR7" s="24">
        <v>0</v>
      </c>
      <c r="BS7" s="24">
        <v>0</v>
      </c>
      <c r="BT7" s="24">
        <v>0</v>
      </c>
      <c r="BU7" s="24">
        <v>0</v>
      </c>
      <c r="BV7" s="24">
        <v>0</v>
      </c>
      <c r="BW7" s="24">
        <v>0</v>
      </c>
      <c r="BX7" s="24">
        <v>0</v>
      </c>
      <c r="BY7" s="24">
        <v>0</v>
      </c>
      <c r="BZ7" s="24">
        <v>0</v>
      </c>
      <c r="CA7" s="24">
        <v>0</v>
      </c>
      <c r="CB7" s="24">
        <v>0</v>
      </c>
      <c r="CC7" s="24">
        <v>0</v>
      </c>
      <c r="CD7" s="24">
        <v>0</v>
      </c>
      <c r="CE7" s="24">
        <v>0</v>
      </c>
      <c r="CF7" s="24">
        <v>0</v>
      </c>
      <c r="CG7" s="24">
        <v>0</v>
      </c>
      <c r="CH7" s="24">
        <v>0</v>
      </c>
      <c r="CI7" s="24">
        <v>0</v>
      </c>
      <c r="CJ7" s="24">
        <v>0</v>
      </c>
      <c r="CK7" s="24">
        <v>0</v>
      </c>
      <c r="CL7" s="24">
        <v>0</v>
      </c>
      <c r="CM7" s="24">
        <v>0</v>
      </c>
      <c r="CN7" s="24">
        <v>0</v>
      </c>
      <c r="CO7" s="24">
        <v>0</v>
      </c>
      <c r="CP7" s="24">
        <v>0</v>
      </c>
      <c r="CQ7" s="24">
        <v>0</v>
      </c>
      <c r="CR7" s="24">
        <v>0</v>
      </c>
      <c r="CS7" s="24">
        <v>0</v>
      </c>
      <c r="CT7" s="24">
        <v>0</v>
      </c>
      <c r="CU7" s="24">
        <v>0</v>
      </c>
      <c r="CV7" s="24">
        <v>0</v>
      </c>
      <c r="CW7" s="24">
        <v>0</v>
      </c>
      <c r="CX7" s="24">
        <v>0</v>
      </c>
      <c r="CY7" s="24">
        <v>0</v>
      </c>
      <c r="CZ7" s="24">
        <v>0</v>
      </c>
      <c r="DA7" s="24">
        <v>0</v>
      </c>
      <c r="DB7" s="24">
        <v>0</v>
      </c>
      <c r="DC7" s="24">
        <v>0</v>
      </c>
      <c r="DD7" s="24">
        <v>0</v>
      </c>
      <c r="DE7" s="24">
        <v>0</v>
      </c>
      <c r="DF7" s="24">
        <v>0</v>
      </c>
      <c r="DG7" s="24">
        <v>0</v>
      </c>
      <c r="DH7" s="24">
        <v>0</v>
      </c>
      <c r="DI7" s="24">
        <v>0</v>
      </c>
      <c r="DJ7" s="24">
        <v>0</v>
      </c>
      <c r="DK7" s="24">
        <v>0</v>
      </c>
      <c r="DL7" s="24">
        <v>0</v>
      </c>
      <c r="DM7" s="24">
        <v>0</v>
      </c>
      <c r="DN7" s="24">
        <v>0</v>
      </c>
      <c r="DO7" s="24">
        <v>0</v>
      </c>
      <c r="DP7" s="24">
        <v>0</v>
      </c>
      <c r="DQ7" s="24">
        <v>0</v>
      </c>
      <c r="DR7" s="24">
        <v>0</v>
      </c>
      <c r="DS7" s="24">
        <f>Calculations!B80</f>
        <v>1158</v>
      </c>
      <c r="DT7" s="24">
        <f>Calculations!C80</f>
        <v>453</v>
      </c>
      <c r="DU7" s="24">
        <f>Calculations!D80</f>
        <v>425</v>
      </c>
      <c r="DV7" s="24">
        <f>Calculations!E80</f>
        <v>769</v>
      </c>
      <c r="DW7" s="24">
        <f>Calculations!F80</f>
        <v>930</v>
      </c>
      <c r="DX7" s="24">
        <f>Calculations!G80</f>
        <v>464</v>
      </c>
      <c r="DY7" s="24">
        <f>Calculations!H80</f>
        <v>656</v>
      </c>
      <c r="DZ7" s="24">
        <f>Calculations!I80</f>
        <v>1185</v>
      </c>
      <c r="EA7" s="24">
        <f>Calculations!J80</f>
        <v>414</v>
      </c>
      <c r="EB7" s="24">
        <v>0</v>
      </c>
      <c r="EC7" s="24">
        <v>0</v>
      </c>
      <c r="ED7" s="24">
        <v>0</v>
      </c>
      <c r="EE7" s="24">
        <v>0</v>
      </c>
      <c r="EF7" s="24">
        <v>0</v>
      </c>
      <c r="EG7" s="24">
        <v>0</v>
      </c>
      <c r="EH7" s="24">
        <v>0</v>
      </c>
      <c r="EI7" s="24">
        <v>0</v>
      </c>
      <c r="EJ7" s="24">
        <v>0</v>
      </c>
      <c r="EK7" s="24">
        <v>0</v>
      </c>
      <c r="EL7" s="24">
        <v>0</v>
      </c>
      <c r="EM7" s="24">
        <v>0</v>
      </c>
      <c r="EN7" s="24">
        <v>0</v>
      </c>
      <c r="EO7" s="24">
        <v>0</v>
      </c>
      <c r="EP7" s="24">
        <v>0</v>
      </c>
      <c r="EQ7" s="24">
        <v>0</v>
      </c>
      <c r="ER7" s="24">
        <v>0</v>
      </c>
      <c r="ES7" s="24">
        <v>0</v>
      </c>
      <c r="ET7" s="24">
        <v>0</v>
      </c>
      <c r="EU7" s="24">
        <v>0</v>
      </c>
      <c r="EV7" s="24">
        <v>0</v>
      </c>
      <c r="EW7" s="24">
        <v>0</v>
      </c>
      <c r="EX7" s="24">
        <v>0</v>
      </c>
      <c r="EY7" s="24">
        <v>0</v>
      </c>
      <c r="EZ7" s="24">
        <v>0</v>
      </c>
      <c r="FA7" s="24">
        <v>0</v>
      </c>
      <c r="FB7" s="24">
        <v>0</v>
      </c>
      <c r="FC7" s="24">
        <v>0</v>
      </c>
      <c r="FD7" s="24">
        <v>0</v>
      </c>
      <c r="FE7" s="24">
        <v>0</v>
      </c>
      <c r="FF7" s="24">
        <v>0</v>
      </c>
      <c r="FG7" s="24">
        <v>0</v>
      </c>
      <c r="FH7" s="24">
        <v>0</v>
      </c>
      <c r="FI7" s="24">
        <v>0</v>
      </c>
      <c r="FJ7" s="24">
        <v>0</v>
      </c>
      <c r="FK7" s="24">
        <v>0</v>
      </c>
      <c r="FL7" s="24">
        <v>0</v>
      </c>
      <c r="FM7" s="24">
        <v>0</v>
      </c>
      <c r="FN7" s="24">
        <v>0</v>
      </c>
      <c r="FO7" s="24">
        <v>0</v>
      </c>
      <c r="FP7" s="24">
        <v>0</v>
      </c>
      <c r="FQ7" s="24">
        <v>0</v>
      </c>
      <c r="FR7" s="24">
        <v>0</v>
      </c>
      <c r="FS7" s="24">
        <v>0</v>
      </c>
      <c r="FT7" s="24">
        <v>0</v>
      </c>
      <c r="FU7" s="24">
        <v>0</v>
      </c>
      <c r="FV7" s="24">
        <v>0</v>
      </c>
      <c r="FW7" s="24">
        <v>0</v>
      </c>
      <c r="FX7" s="24">
        <v>0</v>
      </c>
      <c r="FY7" s="24">
        <v>0</v>
      </c>
      <c r="FZ7" s="24">
        <v>0</v>
      </c>
      <c r="GA7" s="24">
        <v>0</v>
      </c>
      <c r="GB7" s="24">
        <v>0</v>
      </c>
      <c r="GC7" s="24">
        <v>0</v>
      </c>
      <c r="GD7" s="24">
        <v>0</v>
      </c>
      <c r="GE7" s="24">
        <v>0</v>
      </c>
      <c r="GF7" s="24">
        <v>0</v>
      </c>
      <c r="GG7" s="24">
        <v>0</v>
      </c>
      <c r="GH7" s="24">
        <v>0</v>
      </c>
      <c r="GI7" s="24">
        <v>0</v>
      </c>
      <c r="GJ7" s="24">
        <v>0</v>
      </c>
      <c r="GK7" s="24">
        <v>0</v>
      </c>
      <c r="GL7" s="24">
        <v>0</v>
      </c>
      <c r="GM7" s="24">
        <v>0</v>
      </c>
      <c r="GN7" s="24">
        <v>0</v>
      </c>
      <c r="GO7" s="24">
        <v>0</v>
      </c>
      <c r="GP7" s="24">
        <v>0</v>
      </c>
      <c r="GQ7" s="24">
        <v>0</v>
      </c>
      <c r="GR7" s="24">
        <v>0</v>
      </c>
      <c r="GS7" s="24">
        <v>0</v>
      </c>
      <c r="GT7" s="24">
        <v>0</v>
      </c>
      <c r="GU7" s="24">
        <v>0</v>
      </c>
      <c r="GV7" s="24">
        <v>0</v>
      </c>
      <c r="GW7" s="24">
        <v>0</v>
      </c>
      <c r="GX7" s="24">
        <v>0</v>
      </c>
      <c r="GY7" s="24">
        <v>0</v>
      </c>
      <c r="GZ7" s="24">
        <v>0</v>
      </c>
      <c r="HA7" s="24">
        <v>0</v>
      </c>
      <c r="HB7" s="24">
        <v>0</v>
      </c>
      <c r="HC7" s="24">
        <v>0</v>
      </c>
    </row>
    <row r="8" spans="1:211" x14ac:dyDescent="0.25">
      <c r="A8" t="s">
        <v>46</v>
      </c>
      <c r="B8" s="24">
        <v>0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24">
        <v>0</v>
      </c>
      <c r="AX8" s="24">
        <v>0</v>
      </c>
      <c r="AY8" s="24">
        <v>0</v>
      </c>
      <c r="AZ8" s="24">
        <v>0</v>
      </c>
      <c r="BA8" s="24">
        <v>0</v>
      </c>
      <c r="BB8" s="24">
        <v>0</v>
      </c>
      <c r="BC8" s="24">
        <v>0</v>
      </c>
      <c r="BD8" s="24">
        <v>0</v>
      </c>
      <c r="BE8" s="24">
        <v>0</v>
      </c>
      <c r="BF8" s="24">
        <v>0</v>
      </c>
      <c r="BG8" s="24">
        <v>0</v>
      </c>
      <c r="BH8" s="24">
        <v>0</v>
      </c>
      <c r="BI8" s="24">
        <v>0</v>
      </c>
      <c r="BJ8" s="24">
        <v>0</v>
      </c>
      <c r="BK8" s="24">
        <v>0</v>
      </c>
      <c r="BL8" s="24">
        <v>0</v>
      </c>
      <c r="BM8" s="24">
        <v>0</v>
      </c>
      <c r="BN8" s="24">
        <v>0</v>
      </c>
      <c r="BO8" s="24">
        <v>0</v>
      </c>
      <c r="BP8" s="24">
        <v>0</v>
      </c>
      <c r="BQ8" s="24">
        <v>0</v>
      </c>
      <c r="BR8" s="24">
        <v>0</v>
      </c>
      <c r="BS8" s="24">
        <v>0</v>
      </c>
      <c r="BT8" s="24">
        <v>0</v>
      </c>
      <c r="BU8" s="24">
        <v>0</v>
      </c>
      <c r="BV8" s="24">
        <v>0</v>
      </c>
      <c r="BW8" s="24">
        <v>0</v>
      </c>
      <c r="BX8" s="24">
        <v>0</v>
      </c>
      <c r="BY8" s="24">
        <v>0</v>
      </c>
      <c r="BZ8" s="24">
        <v>0</v>
      </c>
      <c r="CA8" s="24">
        <v>0</v>
      </c>
      <c r="CB8" s="24">
        <v>0</v>
      </c>
      <c r="CC8" s="24">
        <v>0</v>
      </c>
      <c r="CD8" s="24">
        <v>0</v>
      </c>
      <c r="CE8" s="24">
        <v>0</v>
      </c>
      <c r="CF8" s="24">
        <v>0</v>
      </c>
      <c r="CG8" s="24">
        <v>0</v>
      </c>
      <c r="CH8" s="24">
        <v>0</v>
      </c>
      <c r="CI8" s="24">
        <v>0</v>
      </c>
      <c r="CJ8" s="24">
        <v>0</v>
      </c>
      <c r="CK8" s="24">
        <v>0</v>
      </c>
      <c r="CL8" s="24">
        <v>0</v>
      </c>
      <c r="CM8" s="24">
        <v>0</v>
      </c>
      <c r="CN8" s="24">
        <v>0</v>
      </c>
      <c r="CO8" s="24">
        <v>0</v>
      </c>
      <c r="CP8" s="24">
        <v>0</v>
      </c>
      <c r="CQ8" s="24">
        <v>0</v>
      </c>
      <c r="CR8" s="24">
        <v>0</v>
      </c>
      <c r="CS8" s="24">
        <v>0</v>
      </c>
      <c r="CT8" s="24">
        <v>0</v>
      </c>
      <c r="CU8" s="24">
        <v>0</v>
      </c>
      <c r="CV8" s="24">
        <v>0</v>
      </c>
      <c r="CW8" s="24">
        <v>0</v>
      </c>
      <c r="CX8" s="24">
        <v>0</v>
      </c>
      <c r="CY8" s="24">
        <v>0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  <c r="DE8" s="24">
        <v>0</v>
      </c>
      <c r="DF8" s="24">
        <v>0</v>
      </c>
      <c r="DG8" s="24">
        <v>0</v>
      </c>
      <c r="DH8" s="24">
        <v>0</v>
      </c>
      <c r="DI8" s="24">
        <v>0</v>
      </c>
      <c r="DJ8" s="24">
        <v>0</v>
      </c>
      <c r="DK8" s="24">
        <v>0</v>
      </c>
      <c r="DL8" s="24">
        <v>0</v>
      </c>
      <c r="DM8" s="24">
        <v>0</v>
      </c>
      <c r="DN8" s="24">
        <v>0</v>
      </c>
      <c r="DO8" s="24">
        <v>0</v>
      </c>
      <c r="DP8" s="24">
        <v>0</v>
      </c>
      <c r="DQ8" s="24">
        <v>0</v>
      </c>
      <c r="DR8" s="24">
        <v>0</v>
      </c>
      <c r="DS8" s="24">
        <f>Calculations!B81</f>
        <v>6</v>
      </c>
      <c r="DT8" s="24">
        <f>Calculations!C81</f>
        <v>40</v>
      </c>
      <c r="DU8" s="24">
        <f>Calculations!D81</f>
        <v>10</v>
      </c>
      <c r="DV8" s="24">
        <f>Calculations!E81</f>
        <v>0</v>
      </c>
      <c r="DW8" s="24">
        <f>Calculations!F81</f>
        <v>89</v>
      </c>
      <c r="DX8" s="24">
        <f>Calculations!G81</f>
        <v>69</v>
      </c>
      <c r="DY8" s="24">
        <f>Calculations!H81</f>
        <v>1732</v>
      </c>
      <c r="DZ8" s="24">
        <f>Calculations!I81</f>
        <v>2652</v>
      </c>
      <c r="EA8" s="24">
        <f>Calculations!J81</f>
        <v>1032</v>
      </c>
      <c r="EB8" s="24">
        <v>0</v>
      </c>
      <c r="EC8" s="24">
        <v>0</v>
      </c>
      <c r="ED8" s="24">
        <v>0</v>
      </c>
      <c r="EE8" s="24">
        <v>0</v>
      </c>
      <c r="EF8" s="24">
        <v>0</v>
      </c>
      <c r="EG8" s="24">
        <v>0</v>
      </c>
      <c r="EH8" s="24">
        <v>0</v>
      </c>
      <c r="EI8" s="24">
        <v>0</v>
      </c>
      <c r="EJ8" s="24">
        <v>0</v>
      </c>
      <c r="EK8" s="24">
        <v>0</v>
      </c>
      <c r="EL8" s="24">
        <v>0</v>
      </c>
      <c r="EM8" s="24">
        <v>0</v>
      </c>
      <c r="EN8" s="24">
        <v>0</v>
      </c>
      <c r="EO8" s="24">
        <v>0</v>
      </c>
      <c r="EP8" s="24">
        <v>0</v>
      </c>
      <c r="EQ8" s="24">
        <v>0</v>
      </c>
      <c r="ER8" s="24">
        <v>0</v>
      </c>
      <c r="ES8" s="24">
        <v>0</v>
      </c>
      <c r="ET8" s="24">
        <v>0</v>
      </c>
      <c r="EU8" s="24">
        <v>0</v>
      </c>
      <c r="EV8" s="24">
        <v>0</v>
      </c>
      <c r="EW8" s="24">
        <v>0</v>
      </c>
      <c r="EX8" s="24">
        <v>0</v>
      </c>
      <c r="EY8" s="24">
        <v>0</v>
      </c>
      <c r="EZ8" s="24">
        <v>0</v>
      </c>
      <c r="FA8" s="24">
        <v>0</v>
      </c>
      <c r="FB8" s="24">
        <v>0</v>
      </c>
      <c r="FC8" s="24">
        <v>0</v>
      </c>
      <c r="FD8" s="24">
        <v>0</v>
      </c>
      <c r="FE8" s="24">
        <v>0</v>
      </c>
      <c r="FF8" s="24">
        <v>0</v>
      </c>
      <c r="FG8" s="24">
        <v>0</v>
      </c>
      <c r="FH8" s="24">
        <v>0</v>
      </c>
      <c r="FI8" s="24">
        <v>0</v>
      </c>
      <c r="FJ8" s="24">
        <v>0</v>
      </c>
      <c r="FK8" s="24">
        <v>0</v>
      </c>
      <c r="FL8" s="24">
        <v>0</v>
      </c>
      <c r="FM8" s="24">
        <v>0</v>
      </c>
      <c r="FN8" s="24">
        <v>0</v>
      </c>
      <c r="FO8" s="24">
        <v>0</v>
      </c>
      <c r="FP8" s="24">
        <v>0</v>
      </c>
      <c r="FQ8" s="24">
        <v>0</v>
      </c>
      <c r="FR8" s="24">
        <v>0</v>
      </c>
      <c r="FS8" s="24">
        <v>0</v>
      </c>
      <c r="FT8" s="24">
        <v>0</v>
      </c>
      <c r="FU8" s="24">
        <v>0</v>
      </c>
      <c r="FV8" s="24">
        <v>0</v>
      </c>
      <c r="FW8" s="24">
        <v>0</v>
      </c>
      <c r="FX8" s="24">
        <v>0</v>
      </c>
      <c r="FY8" s="24">
        <v>0</v>
      </c>
      <c r="FZ8" s="24">
        <v>0</v>
      </c>
      <c r="GA8" s="24">
        <v>0</v>
      </c>
      <c r="GB8" s="24">
        <v>0</v>
      </c>
      <c r="GC8" s="24">
        <v>0</v>
      </c>
      <c r="GD8" s="24">
        <v>0</v>
      </c>
      <c r="GE8" s="24">
        <v>0</v>
      </c>
      <c r="GF8" s="24">
        <v>0</v>
      </c>
      <c r="GG8" s="24">
        <v>0</v>
      </c>
      <c r="GH8" s="24">
        <v>0</v>
      </c>
      <c r="GI8" s="24">
        <v>0</v>
      </c>
      <c r="GJ8" s="24">
        <v>0</v>
      </c>
      <c r="GK8" s="24">
        <v>0</v>
      </c>
      <c r="GL8" s="24">
        <v>0</v>
      </c>
      <c r="GM8" s="24">
        <v>0</v>
      </c>
      <c r="GN8" s="24">
        <v>0</v>
      </c>
      <c r="GO8" s="24">
        <v>0</v>
      </c>
      <c r="GP8" s="24">
        <v>0</v>
      </c>
      <c r="GQ8" s="24">
        <v>0</v>
      </c>
      <c r="GR8" s="24">
        <v>0</v>
      </c>
      <c r="GS8" s="24">
        <v>0</v>
      </c>
      <c r="GT8" s="24">
        <v>0</v>
      </c>
      <c r="GU8" s="24">
        <v>0</v>
      </c>
      <c r="GV8" s="24">
        <v>0</v>
      </c>
      <c r="GW8" s="24">
        <v>0</v>
      </c>
      <c r="GX8" s="24">
        <v>0</v>
      </c>
      <c r="GY8" s="24">
        <v>0</v>
      </c>
      <c r="GZ8" s="24">
        <v>0</v>
      </c>
      <c r="HA8" s="24">
        <v>0</v>
      </c>
      <c r="HB8" s="24">
        <v>0</v>
      </c>
      <c r="HC8" s="24">
        <v>0</v>
      </c>
    </row>
    <row r="9" spans="1:211" x14ac:dyDescent="0.25">
      <c r="A9" t="s">
        <v>48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24">
        <v>0</v>
      </c>
      <c r="AV9" s="24">
        <v>0</v>
      </c>
      <c r="AW9" s="24">
        <v>0</v>
      </c>
      <c r="AX9" s="24">
        <v>0</v>
      </c>
      <c r="AY9" s="24">
        <v>0</v>
      </c>
      <c r="AZ9" s="24">
        <v>0</v>
      </c>
      <c r="BA9" s="24">
        <v>0</v>
      </c>
      <c r="BB9" s="24">
        <v>0</v>
      </c>
      <c r="BC9" s="24">
        <v>0</v>
      </c>
      <c r="BD9" s="24">
        <v>0</v>
      </c>
      <c r="BE9" s="24">
        <v>0</v>
      </c>
      <c r="BF9" s="24">
        <v>0</v>
      </c>
      <c r="BG9" s="24">
        <v>0</v>
      </c>
      <c r="BH9" s="24">
        <v>0</v>
      </c>
      <c r="BI9" s="24">
        <v>0</v>
      </c>
      <c r="BJ9" s="24">
        <v>0</v>
      </c>
      <c r="BK9" s="24">
        <v>0</v>
      </c>
      <c r="BL9" s="24">
        <v>0</v>
      </c>
      <c r="BM9" s="24">
        <v>0</v>
      </c>
      <c r="BN9" s="24">
        <v>0</v>
      </c>
      <c r="BO9" s="24">
        <v>0</v>
      </c>
      <c r="BP9" s="24">
        <v>0</v>
      </c>
      <c r="BQ9" s="24">
        <v>0</v>
      </c>
      <c r="BR9" s="24">
        <v>0</v>
      </c>
      <c r="BS9" s="24">
        <v>0</v>
      </c>
      <c r="BT9" s="24">
        <v>0</v>
      </c>
      <c r="BU9" s="24">
        <v>0</v>
      </c>
      <c r="BV9" s="24">
        <v>0</v>
      </c>
      <c r="BW9" s="24">
        <v>0</v>
      </c>
      <c r="BX9" s="24">
        <v>0</v>
      </c>
      <c r="BY9" s="24">
        <v>0</v>
      </c>
      <c r="BZ9" s="24">
        <v>0</v>
      </c>
      <c r="CA9" s="24">
        <v>0</v>
      </c>
      <c r="CB9" s="24">
        <v>0</v>
      </c>
      <c r="CC9" s="24">
        <v>0</v>
      </c>
      <c r="CD9" s="24">
        <v>0</v>
      </c>
      <c r="CE9" s="24">
        <v>0</v>
      </c>
      <c r="CF9" s="24">
        <v>0</v>
      </c>
      <c r="CG9" s="24">
        <v>0</v>
      </c>
      <c r="CH9" s="24">
        <v>0</v>
      </c>
      <c r="CI9" s="24">
        <v>0</v>
      </c>
      <c r="CJ9" s="24">
        <v>0</v>
      </c>
      <c r="CK9" s="24">
        <v>0</v>
      </c>
      <c r="CL9" s="24">
        <v>0</v>
      </c>
      <c r="CM9" s="24">
        <v>0</v>
      </c>
      <c r="CN9" s="24">
        <v>0</v>
      </c>
      <c r="CO9" s="24">
        <v>0</v>
      </c>
      <c r="CP9" s="24">
        <v>0</v>
      </c>
      <c r="CQ9" s="24">
        <v>0</v>
      </c>
      <c r="CR9" s="24">
        <v>0</v>
      </c>
      <c r="CS9" s="24">
        <v>0</v>
      </c>
      <c r="CT9" s="24">
        <v>0</v>
      </c>
      <c r="CU9" s="24">
        <v>0</v>
      </c>
      <c r="CV9" s="24">
        <v>0</v>
      </c>
      <c r="CW9" s="24">
        <v>0</v>
      </c>
      <c r="CX9" s="24">
        <v>0</v>
      </c>
      <c r="CY9" s="24">
        <v>0</v>
      </c>
      <c r="CZ9" s="24">
        <v>0</v>
      </c>
      <c r="DA9" s="24">
        <v>0</v>
      </c>
      <c r="DB9" s="24">
        <v>0</v>
      </c>
      <c r="DC9" s="24">
        <v>0</v>
      </c>
      <c r="DD9" s="24">
        <v>0</v>
      </c>
      <c r="DE9" s="24">
        <v>0</v>
      </c>
      <c r="DF9" s="24">
        <v>0</v>
      </c>
      <c r="DG9" s="24">
        <v>0</v>
      </c>
      <c r="DH9" s="24">
        <v>0</v>
      </c>
      <c r="DI9" s="24">
        <v>0</v>
      </c>
      <c r="DJ9" s="24">
        <v>0</v>
      </c>
      <c r="DK9" s="24">
        <v>0</v>
      </c>
      <c r="DL9" s="24">
        <v>0</v>
      </c>
      <c r="DM9" s="24">
        <v>0</v>
      </c>
      <c r="DN9" s="24">
        <v>0</v>
      </c>
      <c r="DO9" s="24">
        <v>0</v>
      </c>
      <c r="DP9" s="24">
        <v>0</v>
      </c>
      <c r="DQ9" s="24">
        <v>0</v>
      </c>
      <c r="DR9" s="24">
        <v>0</v>
      </c>
      <c r="DS9" s="24">
        <f>Calculations!B82</f>
        <v>0</v>
      </c>
      <c r="DT9" s="24">
        <f>Calculations!C82</f>
        <v>0</v>
      </c>
      <c r="DU9" s="24">
        <f>Calculations!D82</f>
        <v>0</v>
      </c>
      <c r="DV9" s="24">
        <f>Calculations!E82</f>
        <v>0</v>
      </c>
      <c r="DW9" s="24">
        <f>Calculations!F82</f>
        <v>0</v>
      </c>
      <c r="DX9" s="24">
        <f>Calculations!G82</f>
        <v>0</v>
      </c>
      <c r="DY9" s="24">
        <f>Calculations!H82</f>
        <v>0</v>
      </c>
      <c r="DZ9" s="24">
        <f>Calculations!I82</f>
        <v>0</v>
      </c>
      <c r="EA9" s="24">
        <f>Calculations!J82</f>
        <v>0</v>
      </c>
      <c r="EB9" s="24">
        <v>0</v>
      </c>
      <c r="EC9" s="24">
        <v>0</v>
      </c>
      <c r="ED9" s="24">
        <v>0</v>
      </c>
      <c r="EE9" s="24">
        <v>0</v>
      </c>
      <c r="EF9" s="24">
        <v>0</v>
      </c>
      <c r="EG9" s="24">
        <v>0</v>
      </c>
      <c r="EH9" s="24">
        <v>0</v>
      </c>
      <c r="EI9" s="24">
        <v>0</v>
      </c>
      <c r="EJ9" s="24">
        <v>0</v>
      </c>
      <c r="EK9" s="24">
        <v>0</v>
      </c>
      <c r="EL9" s="24">
        <v>0</v>
      </c>
      <c r="EM9" s="24">
        <v>0</v>
      </c>
      <c r="EN9" s="24">
        <v>0</v>
      </c>
      <c r="EO9" s="24">
        <v>0</v>
      </c>
      <c r="EP9" s="24">
        <v>0</v>
      </c>
      <c r="EQ9" s="24">
        <v>0</v>
      </c>
      <c r="ER9" s="24">
        <v>0</v>
      </c>
      <c r="ES9" s="24">
        <v>0</v>
      </c>
      <c r="ET9" s="24">
        <v>0</v>
      </c>
      <c r="EU9" s="24">
        <v>0</v>
      </c>
      <c r="EV9" s="24">
        <v>0</v>
      </c>
      <c r="EW9" s="24">
        <v>0</v>
      </c>
      <c r="EX9" s="24">
        <v>0</v>
      </c>
      <c r="EY9" s="24">
        <v>0</v>
      </c>
      <c r="EZ9" s="24">
        <v>0</v>
      </c>
      <c r="FA9" s="24">
        <v>0</v>
      </c>
      <c r="FB9" s="24">
        <v>0</v>
      </c>
      <c r="FC9" s="24">
        <v>0</v>
      </c>
      <c r="FD9" s="24">
        <v>0</v>
      </c>
      <c r="FE9" s="24">
        <v>0</v>
      </c>
      <c r="FF9" s="24">
        <v>0</v>
      </c>
      <c r="FG9" s="24">
        <v>0</v>
      </c>
      <c r="FH9" s="24">
        <v>0</v>
      </c>
      <c r="FI9" s="24">
        <v>0</v>
      </c>
      <c r="FJ9" s="24">
        <v>0</v>
      </c>
      <c r="FK9" s="24">
        <v>0</v>
      </c>
      <c r="FL9" s="24">
        <v>0</v>
      </c>
      <c r="FM9" s="24">
        <v>0</v>
      </c>
      <c r="FN9" s="24">
        <v>0</v>
      </c>
      <c r="FO9" s="24">
        <v>0</v>
      </c>
      <c r="FP9" s="24">
        <v>0</v>
      </c>
      <c r="FQ9" s="24">
        <v>0</v>
      </c>
      <c r="FR9" s="24">
        <v>0</v>
      </c>
      <c r="FS9" s="24">
        <v>0</v>
      </c>
      <c r="FT9" s="24">
        <v>0</v>
      </c>
      <c r="FU9" s="24">
        <v>0</v>
      </c>
      <c r="FV9" s="24">
        <v>0</v>
      </c>
      <c r="FW9" s="24">
        <v>0</v>
      </c>
      <c r="FX9" s="24">
        <v>0</v>
      </c>
      <c r="FY9" s="24">
        <v>0</v>
      </c>
      <c r="FZ9" s="24">
        <v>0</v>
      </c>
      <c r="GA9" s="24">
        <v>0</v>
      </c>
      <c r="GB9" s="24">
        <v>0</v>
      </c>
      <c r="GC9" s="24">
        <v>0</v>
      </c>
      <c r="GD9" s="24">
        <v>0</v>
      </c>
      <c r="GE9" s="24">
        <v>0</v>
      </c>
      <c r="GF9" s="24">
        <v>0</v>
      </c>
      <c r="GG9" s="24">
        <v>0</v>
      </c>
      <c r="GH9" s="24">
        <v>0</v>
      </c>
      <c r="GI9" s="24">
        <v>0</v>
      </c>
      <c r="GJ9" s="24">
        <v>0</v>
      </c>
      <c r="GK9" s="24">
        <v>0</v>
      </c>
      <c r="GL9" s="24">
        <v>0</v>
      </c>
      <c r="GM9" s="24">
        <v>0</v>
      </c>
      <c r="GN9" s="24">
        <v>0</v>
      </c>
      <c r="GO9" s="24">
        <v>0</v>
      </c>
      <c r="GP9" s="24">
        <v>0</v>
      </c>
      <c r="GQ9" s="24">
        <v>0</v>
      </c>
      <c r="GR9" s="24">
        <v>0</v>
      </c>
      <c r="GS9" s="24">
        <v>0</v>
      </c>
      <c r="GT9" s="24">
        <v>0</v>
      </c>
      <c r="GU9" s="24">
        <v>0</v>
      </c>
      <c r="GV9" s="24">
        <v>0</v>
      </c>
      <c r="GW9" s="24">
        <v>0</v>
      </c>
      <c r="GX9" s="24">
        <v>0</v>
      </c>
      <c r="GY9" s="24">
        <v>0</v>
      </c>
      <c r="GZ9" s="24">
        <v>0</v>
      </c>
      <c r="HA9" s="24">
        <v>0</v>
      </c>
      <c r="HB9" s="24">
        <v>0</v>
      </c>
      <c r="HC9" s="24">
        <v>0</v>
      </c>
    </row>
    <row r="10" spans="1:211" x14ac:dyDescent="0.25">
      <c r="A10" t="s">
        <v>49</v>
      </c>
      <c r="B10" s="24">
        <v>0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0</v>
      </c>
      <c r="AY10" s="24">
        <v>0</v>
      </c>
      <c r="AZ10" s="24">
        <v>0</v>
      </c>
      <c r="BA10" s="24">
        <v>0</v>
      </c>
      <c r="BB10" s="24">
        <v>0</v>
      </c>
      <c r="BC10" s="24">
        <v>0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  <c r="BU10" s="24">
        <v>0</v>
      </c>
      <c r="BV10" s="24">
        <v>0</v>
      </c>
      <c r="BW10" s="24">
        <v>0</v>
      </c>
      <c r="BX10" s="24">
        <v>0</v>
      </c>
      <c r="BY10" s="24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0</v>
      </c>
      <c r="CP10" s="24">
        <v>0</v>
      </c>
      <c r="CQ10" s="24">
        <v>0</v>
      </c>
      <c r="CR10" s="24">
        <v>0</v>
      </c>
      <c r="CS10" s="24">
        <v>0</v>
      </c>
      <c r="CT10" s="24">
        <v>0</v>
      </c>
      <c r="CU10" s="24">
        <v>0</v>
      </c>
      <c r="CV10" s="24">
        <v>0</v>
      </c>
      <c r="CW10" s="24">
        <v>0</v>
      </c>
      <c r="CX10" s="24">
        <v>0</v>
      </c>
      <c r="CY10" s="24">
        <v>0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  <c r="DE10" s="24">
        <v>0</v>
      </c>
      <c r="DF10" s="24">
        <v>0</v>
      </c>
      <c r="DG10" s="24">
        <v>0</v>
      </c>
      <c r="DH10" s="24">
        <v>0</v>
      </c>
      <c r="DI10" s="24">
        <v>0</v>
      </c>
      <c r="DJ10" s="24">
        <v>0</v>
      </c>
      <c r="DK10" s="24">
        <v>0</v>
      </c>
      <c r="DL10" s="24">
        <v>0</v>
      </c>
      <c r="DM10" s="24">
        <v>0</v>
      </c>
      <c r="DN10" s="24">
        <v>0</v>
      </c>
      <c r="DO10" s="24">
        <v>0</v>
      </c>
      <c r="DP10" s="24">
        <v>0</v>
      </c>
      <c r="DQ10" s="24">
        <v>0</v>
      </c>
      <c r="DR10" s="24">
        <v>0</v>
      </c>
      <c r="DS10" s="24">
        <f>Calculations!B83</f>
        <v>364.25</v>
      </c>
      <c r="DT10" s="24">
        <f>Calculations!C83</f>
        <v>62</v>
      </c>
      <c r="DU10" s="24">
        <f>Calculations!D83</f>
        <v>131</v>
      </c>
      <c r="DV10" s="24">
        <f>Calculations!E83</f>
        <v>75</v>
      </c>
      <c r="DW10" s="24">
        <f>Calculations!F83</f>
        <v>129</v>
      </c>
      <c r="DX10" s="24">
        <f>Calculations!G83</f>
        <v>118</v>
      </c>
      <c r="DY10" s="24">
        <f>Calculations!H83</f>
        <v>75</v>
      </c>
      <c r="DZ10" s="24">
        <f>Calculations!I83</f>
        <v>0</v>
      </c>
      <c r="EA10" s="24">
        <f>Calculations!J83</f>
        <v>0</v>
      </c>
      <c r="EB10" s="24">
        <v>0</v>
      </c>
      <c r="EC10" s="24">
        <v>0</v>
      </c>
      <c r="ED10" s="24">
        <v>0</v>
      </c>
      <c r="EE10" s="24">
        <v>0</v>
      </c>
      <c r="EF10" s="24">
        <v>0</v>
      </c>
      <c r="EG10" s="24">
        <v>0</v>
      </c>
      <c r="EH10" s="24">
        <v>0</v>
      </c>
      <c r="EI10" s="24">
        <v>0</v>
      </c>
      <c r="EJ10" s="24">
        <v>0</v>
      </c>
      <c r="EK10" s="24">
        <v>0</v>
      </c>
      <c r="EL10" s="24">
        <v>0</v>
      </c>
      <c r="EM10" s="24">
        <v>0</v>
      </c>
      <c r="EN10" s="24">
        <v>0</v>
      </c>
      <c r="EO10" s="24">
        <v>0</v>
      </c>
      <c r="EP10" s="24">
        <v>0</v>
      </c>
      <c r="EQ10" s="24">
        <v>0</v>
      </c>
      <c r="ER10" s="24">
        <v>0</v>
      </c>
      <c r="ES10" s="24">
        <v>0</v>
      </c>
      <c r="ET10" s="24">
        <v>0</v>
      </c>
      <c r="EU10" s="24">
        <v>0</v>
      </c>
      <c r="EV10" s="24">
        <v>0</v>
      </c>
      <c r="EW10" s="24">
        <v>0</v>
      </c>
      <c r="EX10" s="24">
        <v>0</v>
      </c>
      <c r="EY10" s="24">
        <v>0</v>
      </c>
      <c r="EZ10" s="24">
        <v>0</v>
      </c>
      <c r="FA10" s="24">
        <v>0</v>
      </c>
      <c r="FB10" s="24">
        <v>0</v>
      </c>
      <c r="FC10" s="24">
        <v>0</v>
      </c>
      <c r="FD10" s="24">
        <v>0</v>
      </c>
      <c r="FE10" s="24">
        <v>0</v>
      </c>
      <c r="FF10" s="24">
        <v>0</v>
      </c>
      <c r="FG10" s="24">
        <v>0</v>
      </c>
      <c r="FH10" s="24">
        <v>0</v>
      </c>
      <c r="FI10" s="24">
        <v>0</v>
      </c>
      <c r="FJ10" s="24">
        <v>0</v>
      </c>
      <c r="FK10" s="24">
        <v>0</v>
      </c>
      <c r="FL10" s="24">
        <v>0</v>
      </c>
      <c r="FM10" s="24">
        <v>0</v>
      </c>
      <c r="FN10" s="24">
        <v>0</v>
      </c>
      <c r="FO10" s="24">
        <v>0</v>
      </c>
      <c r="FP10" s="24">
        <v>0</v>
      </c>
      <c r="FQ10" s="24">
        <v>0</v>
      </c>
      <c r="FR10" s="24">
        <v>0</v>
      </c>
      <c r="FS10" s="24">
        <v>0</v>
      </c>
      <c r="FT10" s="24">
        <v>0</v>
      </c>
      <c r="FU10" s="24">
        <v>0</v>
      </c>
      <c r="FV10" s="24">
        <v>0</v>
      </c>
      <c r="FW10" s="24">
        <v>0</v>
      </c>
      <c r="FX10" s="24">
        <v>0</v>
      </c>
      <c r="FY10" s="24">
        <v>0</v>
      </c>
      <c r="FZ10" s="24">
        <v>0</v>
      </c>
      <c r="GA10" s="24">
        <v>0</v>
      </c>
      <c r="GB10" s="24">
        <v>0</v>
      </c>
      <c r="GC10" s="24">
        <v>0</v>
      </c>
      <c r="GD10" s="24">
        <v>0</v>
      </c>
      <c r="GE10" s="24">
        <v>0</v>
      </c>
      <c r="GF10" s="24">
        <v>0</v>
      </c>
      <c r="GG10" s="24">
        <v>0</v>
      </c>
      <c r="GH10" s="24">
        <v>0</v>
      </c>
      <c r="GI10" s="24">
        <v>0</v>
      </c>
      <c r="GJ10" s="24">
        <v>0</v>
      </c>
      <c r="GK10" s="24">
        <v>0</v>
      </c>
      <c r="GL10" s="24">
        <v>0</v>
      </c>
      <c r="GM10" s="24">
        <v>0</v>
      </c>
      <c r="GN10" s="24">
        <v>0</v>
      </c>
      <c r="GO10" s="24">
        <v>0</v>
      </c>
      <c r="GP10" s="24">
        <v>0</v>
      </c>
      <c r="GQ10" s="24">
        <v>0</v>
      </c>
      <c r="GR10" s="24">
        <v>0</v>
      </c>
      <c r="GS10" s="24">
        <v>0</v>
      </c>
      <c r="GT10" s="24">
        <v>0</v>
      </c>
      <c r="GU10" s="24">
        <v>0</v>
      </c>
      <c r="GV10" s="24">
        <v>0</v>
      </c>
      <c r="GW10" s="24">
        <v>0</v>
      </c>
      <c r="GX10" s="24">
        <v>0</v>
      </c>
      <c r="GY10" s="24">
        <v>0</v>
      </c>
      <c r="GZ10" s="24">
        <v>0</v>
      </c>
      <c r="HA10" s="24">
        <v>0</v>
      </c>
      <c r="HB10" s="24">
        <v>0</v>
      </c>
      <c r="HC10" s="24">
        <v>0</v>
      </c>
    </row>
    <row r="11" spans="1:211" x14ac:dyDescent="0.25">
      <c r="A11" t="s">
        <v>51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24">
        <v>0</v>
      </c>
      <c r="AX11" s="24">
        <v>0</v>
      </c>
      <c r="AY11" s="24">
        <v>0</v>
      </c>
      <c r="AZ11" s="24">
        <v>0</v>
      </c>
      <c r="BA11" s="24">
        <v>0</v>
      </c>
      <c r="BB11" s="24">
        <v>0</v>
      </c>
      <c r="BC11" s="24">
        <v>0</v>
      </c>
      <c r="BD11" s="24">
        <v>0</v>
      </c>
      <c r="BE11" s="24">
        <v>0</v>
      </c>
      <c r="BF11" s="24">
        <v>0</v>
      </c>
      <c r="BG11" s="24">
        <v>0</v>
      </c>
      <c r="BH11" s="24">
        <v>0</v>
      </c>
      <c r="BI11" s="24">
        <v>0</v>
      </c>
      <c r="BJ11" s="24">
        <v>0</v>
      </c>
      <c r="BK11" s="24">
        <v>0</v>
      </c>
      <c r="BL11" s="24">
        <v>0</v>
      </c>
      <c r="BM11" s="24">
        <v>0</v>
      </c>
      <c r="BN11" s="24">
        <v>0</v>
      </c>
      <c r="BO11" s="24">
        <v>0</v>
      </c>
      <c r="BP11" s="24">
        <v>0</v>
      </c>
      <c r="BQ11" s="24">
        <v>0</v>
      </c>
      <c r="BR11" s="24">
        <v>0</v>
      </c>
      <c r="BS11" s="24">
        <v>0</v>
      </c>
      <c r="BT11" s="24">
        <v>0</v>
      </c>
      <c r="BU11" s="24">
        <v>0</v>
      </c>
      <c r="BV11" s="24">
        <v>0</v>
      </c>
      <c r="BW11" s="24">
        <v>0</v>
      </c>
      <c r="BX11" s="24">
        <v>0</v>
      </c>
      <c r="BY11" s="24">
        <v>0</v>
      </c>
      <c r="BZ11" s="24">
        <v>0</v>
      </c>
      <c r="CA11" s="24">
        <v>0</v>
      </c>
      <c r="CB11" s="24">
        <v>0</v>
      </c>
      <c r="CC11" s="24">
        <v>0</v>
      </c>
      <c r="CD11" s="24">
        <v>0</v>
      </c>
      <c r="CE11" s="24">
        <v>0</v>
      </c>
      <c r="CF11" s="24">
        <v>0</v>
      </c>
      <c r="CG11" s="24">
        <v>0</v>
      </c>
      <c r="CH11" s="24">
        <v>0</v>
      </c>
      <c r="CI11" s="24">
        <v>0</v>
      </c>
      <c r="CJ11" s="24">
        <v>0</v>
      </c>
      <c r="CK11" s="24">
        <v>0</v>
      </c>
      <c r="CL11" s="24">
        <v>0</v>
      </c>
      <c r="CM11" s="24">
        <v>0</v>
      </c>
      <c r="CN11" s="24">
        <v>0</v>
      </c>
      <c r="CO11" s="24">
        <v>0</v>
      </c>
      <c r="CP11" s="24">
        <v>0</v>
      </c>
      <c r="CQ11" s="24">
        <v>0</v>
      </c>
      <c r="CR11" s="24">
        <v>0</v>
      </c>
      <c r="CS11" s="24">
        <v>0</v>
      </c>
      <c r="CT11" s="24">
        <v>0</v>
      </c>
      <c r="CU11" s="24">
        <v>0</v>
      </c>
      <c r="CV11" s="24">
        <v>0</v>
      </c>
      <c r="CW11" s="24">
        <v>0</v>
      </c>
      <c r="CX11" s="24">
        <v>0</v>
      </c>
      <c r="CY11" s="24">
        <v>0</v>
      </c>
      <c r="CZ11" s="24">
        <v>0</v>
      </c>
      <c r="DA11" s="24">
        <v>0</v>
      </c>
      <c r="DB11" s="24">
        <v>0</v>
      </c>
      <c r="DC11" s="24">
        <v>0</v>
      </c>
      <c r="DD11" s="24">
        <v>0</v>
      </c>
      <c r="DE11" s="24">
        <v>0</v>
      </c>
      <c r="DF11" s="24">
        <v>0</v>
      </c>
      <c r="DG11" s="24">
        <v>0</v>
      </c>
      <c r="DH11" s="24">
        <v>0</v>
      </c>
      <c r="DI11" s="24">
        <v>0</v>
      </c>
      <c r="DJ11" s="24">
        <v>0</v>
      </c>
      <c r="DK11" s="24">
        <v>0</v>
      </c>
      <c r="DL11" s="24">
        <v>0</v>
      </c>
      <c r="DM11" s="24">
        <v>0</v>
      </c>
      <c r="DN11" s="24">
        <v>0</v>
      </c>
      <c r="DO11" s="24">
        <v>0</v>
      </c>
      <c r="DP11" s="24">
        <v>0</v>
      </c>
      <c r="DQ11" s="24">
        <v>0</v>
      </c>
      <c r="DR11" s="24">
        <v>0</v>
      </c>
      <c r="DS11" s="24">
        <f>Calculations!B84</f>
        <v>785</v>
      </c>
      <c r="DT11" s="24">
        <f>Calculations!C84</f>
        <v>11</v>
      </c>
      <c r="DU11" s="24">
        <f>Calculations!D84</f>
        <v>0</v>
      </c>
      <c r="DV11" s="24">
        <f>Calculations!E84</f>
        <v>113</v>
      </c>
      <c r="DW11" s="24">
        <f>Calculations!F84</f>
        <v>0</v>
      </c>
      <c r="DX11" s="24">
        <f>Calculations!G84</f>
        <v>17</v>
      </c>
      <c r="DY11" s="24">
        <f>Calculations!H84</f>
        <v>0</v>
      </c>
      <c r="DZ11" s="24">
        <f>Calculations!I84</f>
        <v>25</v>
      </c>
      <c r="EA11" s="24">
        <f>Calculations!J84</f>
        <v>0</v>
      </c>
      <c r="EB11" s="24">
        <v>0</v>
      </c>
      <c r="EC11" s="24">
        <v>0</v>
      </c>
      <c r="ED11" s="24">
        <v>0</v>
      </c>
      <c r="EE11" s="24">
        <v>0</v>
      </c>
      <c r="EF11" s="24">
        <v>0</v>
      </c>
      <c r="EG11" s="24">
        <v>0</v>
      </c>
      <c r="EH11" s="24">
        <v>0</v>
      </c>
      <c r="EI11" s="24">
        <v>0</v>
      </c>
      <c r="EJ11" s="24">
        <v>0</v>
      </c>
      <c r="EK11" s="24">
        <v>0</v>
      </c>
      <c r="EL11" s="24">
        <v>0</v>
      </c>
      <c r="EM11" s="24">
        <v>0</v>
      </c>
      <c r="EN11" s="24">
        <v>0</v>
      </c>
      <c r="EO11" s="24">
        <v>0</v>
      </c>
      <c r="EP11" s="24">
        <v>0</v>
      </c>
      <c r="EQ11" s="24">
        <v>0</v>
      </c>
      <c r="ER11" s="24">
        <v>0</v>
      </c>
      <c r="ES11" s="24">
        <v>0</v>
      </c>
      <c r="ET11" s="24">
        <v>0</v>
      </c>
      <c r="EU11" s="24">
        <v>0</v>
      </c>
      <c r="EV11" s="24">
        <v>0</v>
      </c>
      <c r="EW11" s="24">
        <v>0</v>
      </c>
      <c r="EX11" s="24">
        <v>0</v>
      </c>
      <c r="EY11" s="24">
        <v>0</v>
      </c>
      <c r="EZ11" s="24">
        <v>0</v>
      </c>
      <c r="FA11" s="24">
        <v>0</v>
      </c>
      <c r="FB11" s="24">
        <v>0</v>
      </c>
      <c r="FC11" s="24">
        <v>0</v>
      </c>
      <c r="FD11" s="24">
        <v>0</v>
      </c>
      <c r="FE11" s="24">
        <v>0</v>
      </c>
      <c r="FF11" s="24">
        <v>0</v>
      </c>
      <c r="FG11" s="24">
        <v>0</v>
      </c>
      <c r="FH11" s="24">
        <v>0</v>
      </c>
      <c r="FI11" s="24">
        <v>0</v>
      </c>
      <c r="FJ11" s="24">
        <v>0</v>
      </c>
      <c r="FK11" s="24">
        <v>0</v>
      </c>
      <c r="FL11" s="24">
        <v>0</v>
      </c>
      <c r="FM11" s="24">
        <v>0</v>
      </c>
      <c r="FN11" s="24">
        <v>0</v>
      </c>
      <c r="FO11" s="24">
        <v>0</v>
      </c>
      <c r="FP11" s="24">
        <v>0</v>
      </c>
      <c r="FQ11" s="24">
        <v>0</v>
      </c>
      <c r="FR11" s="24">
        <v>0</v>
      </c>
      <c r="FS11" s="24">
        <v>0</v>
      </c>
      <c r="FT11" s="24">
        <v>0</v>
      </c>
      <c r="FU11" s="24">
        <v>0</v>
      </c>
      <c r="FV11" s="24">
        <v>0</v>
      </c>
      <c r="FW11" s="24">
        <v>0</v>
      </c>
      <c r="FX11" s="24">
        <v>0</v>
      </c>
      <c r="FY11" s="24">
        <v>0</v>
      </c>
      <c r="FZ11" s="24">
        <v>0</v>
      </c>
      <c r="GA11" s="24">
        <v>0</v>
      </c>
      <c r="GB11" s="24">
        <v>0</v>
      </c>
      <c r="GC11" s="24">
        <v>0</v>
      </c>
      <c r="GD11" s="24">
        <v>0</v>
      </c>
      <c r="GE11" s="24">
        <v>0</v>
      </c>
      <c r="GF11" s="24">
        <v>0</v>
      </c>
      <c r="GG11" s="24">
        <v>0</v>
      </c>
      <c r="GH11" s="24">
        <v>0</v>
      </c>
      <c r="GI11" s="24">
        <v>0</v>
      </c>
      <c r="GJ11" s="24">
        <v>0</v>
      </c>
      <c r="GK11" s="24">
        <v>0</v>
      </c>
      <c r="GL11" s="24">
        <v>0</v>
      </c>
      <c r="GM11" s="24">
        <v>0</v>
      </c>
      <c r="GN11" s="24">
        <v>0</v>
      </c>
      <c r="GO11" s="24">
        <v>0</v>
      </c>
      <c r="GP11" s="24">
        <v>0</v>
      </c>
      <c r="GQ11" s="24">
        <v>0</v>
      </c>
      <c r="GR11" s="24">
        <v>0</v>
      </c>
      <c r="GS11" s="24">
        <v>0</v>
      </c>
      <c r="GT11" s="24">
        <v>0</v>
      </c>
      <c r="GU11" s="24">
        <v>0</v>
      </c>
      <c r="GV11" s="24">
        <v>0</v>
      </c>
      <c r="GW11" s="24">
        <v>0</v>
      </c>
      <c r="GX11" s="24">
        <v>0</v>
      </c>
      <c r="GY11" s="24">
        <v>0</v>
      </c>
      <c r="GZ11" s="24">
        <v>0</v>
      </c>
      <c r="HA11" s="24">
        <v>0</v>
      </c>
      <c r="HB11" s="24">
        <v>0</v>
      </c>
      <c r="HC11" s="24">
        <v>0</v>
      </c>
    </row>
    <row r="12" spans="1:211" x14ac:dyDescent="0.25">
      <c r="A12" t="s">
        <v>53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24">
        <v>0</v>
      </c>
      <c r="AZ12" s="24">
        <v>0</v>
      </c>
      <c r="BA12" s="24">
        <v>0</v>
      </c>
      <c r="BB12" s="24">
        <v>0</v>
      </c>
      <c r="BC12" s="24">
        <v>0</v>
      </c>
      <c r="BD12" s="24">
        <v>0</v>
      </c>
      <c r="BE12" s="24">
        <v>0</v>
      </c>
      <c r="BF12" s="24">
        <v>0</v>
      </c>
      <c r="BG12" s="24">
        <v>0</v>
      </c>
      <c r="BH12" s="24">
        <v>0</v>
      </c>
      <c r="BI12" s="24">
        <v>0</v>
      </c>
      <c r="BJ12" s="24">
        <v>0</v>
      </c>
      <c r="BK12" s="24">
        <v>0</v>
      </c>
      <c r="BL12" s="24">
        <v>0</v>
      </c>
      <c r="BM12" s="24">
        <v>0</v>
      </c>
      <c r="BN12" s="24">
        <v>0</v>
      </c>
      <c r="BO12" s="24">
        <v>0</v>
      </c>
      <c r="BP12" s="24">
        <v>0</v>
      </c>
      <c r="BQ12" s="24">
        <v>0</v>
      </c>
      <c r="BR12" s="24">
        <v>0</v>
      </c>
      <c r="BS12" s="24">
        <v>0</v>
      </c>
      <c r="BT12" s="24">
        <v>0</v>
      </c>
      <c r="BU12" s="24">
        <v>0</v>
      </c>
      <c r="BV12" s="24">
        <v>0</v>
      </c>
      <c r="BW12" s="24">
        <v>0</v>
      </c>
      <c r="BX12" s="24">
        <v>0</v>
      </c>
      <c r="BY12" s="24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24">
        <v>0</v>
      </c>
      <c r="CR12" s="24">
        <v>0</v>
      </c>
      <c r="CS12" s="24">
        <v>0</v>
      </c>
      <c r="CT12" s="24">
        <v>0</v>
      </c>
      <c r="CU12" s="24">
        <v>0</v>
      </c>
      <c r="CV12" s="24">
        <v>0</v>
      </c>
      <c r="CW12" s="24">
        <v>0</v>
      </c>
      <c r="CX12" s="24">
        <v>0</v>
      </c>
      <c r="CY12" s="24">
        <v>0</v>
      </c>
      <c r="CZ12" s="24">
        <v>0</v>
      </c>
      <c r="DA12" s="24">
        <v>0</v>
      </c>
      <c r="DB12" s="24">
        <v>0</v>
      </c>
      <c r="DC12" s="24">
        <v>0</v>
      </c>
      <c r="DD12" s="24">
        <v>0</v>
      </c>
      <c r="DE12" s="24">
        <v>0</v>
      </c>
      <c r="DF12" s="24">
        <v>0</v>
      </c>
      <c r="DG12" s="24">
        <v>0</v>
      </c>
      <c r="DH12" s="24">
        <v>0</v>
      </c>
      <c r="DI12" s="24">
        <v>0</v>
      </c>
      <c r="DJ12" s="24">
        <v>0</v>
      </c>
      <c r="DK12" s="24">
        <v>0</v>
      </c>
      <c r="DL12" s="24">
        <v>0</v>
      </c>
      <c r="DM12" s="24">
        <v>0</v>
      </c>
      <c r="DN12" s="24">
        <v>0</v>
      </c>
      <c r="DO12" s="24">
        <v>0</v>
      </c>
      <c r="DP12" s="24">
        <v>0</v>
      </c>
      <c r="DQ12" s="24">
        <v>0</v>
      </c>
      <c r="DR12" s="24">
        <v>0</v>
      </c>
      <c r="DS12" s="24">
        <f>Calculations!B85</f>
        <v>0</v>
      </c>
      <c r="DT12" s="24">
        <f>Calculations!C85</f>
        <v>0</v>
      </c>
      <c r="DU12" s="24">
        <f>Calculations!D85</f>
        <v>0</v>
      </c>
      <c r="DV12" s="24">
        <f>Calculations!E85</f>
        <v>0</v>
      </c>
      <c r="DW12" s="24">
        <f>Calculations!F85</f>
        <v>0</v>
      </c>
      <c r="DX12" s="24">
        <f>Calculations!G85</f>
        <v>0</v>
      </c>
      <c r="DY12" s="24">
        <f>Calculations!H85</f>
        <v>0</v>
      </c>
      <c r="DZ12" s="24">
        <f>Calculations!I85</f>
        <v>0</v>
      </c>
      <c r="EA12" s="24">
        <f>Calculations!J85</f>
        <v>0</v>
      </c>
      <c r="EB12" s="24">
        <v>0</v>
      </c>
      <c r="EC12" s="24">
        <v>0</v>
      </c>
      <c r="ED12" s="24">
        <v>0</v>
      </c>
      <c r="EE12" s="24">
        <v>0</v>
      </c>
      <c r="EF12" s="24">
        <v>0</v>
      </c>
      <c r="EG12" s="24">
        <v>0</v>
      </c>
      <c r="EH12" s="24">
        <v>0</v>
      </c>
      <c r="EI12" s="24">
        <v>0</v>
      </c>
      <c r="EJ12" s="24">
        <v>0</v>
      </c>
      <c r="EK12" s="24">
        <v>0</v>
      </c>
      <c r="EL12" s="24">
        <v>0</v>
      </c>
      <c r="EM12" s="24">
        <v>0</v>
      </c>
      <c r="EN12" s="24">
        <v>0</v>
      </c>
      <c r="EO12" s="24">
        <v>0</v>
      </c>
      <c r="EP12" s="24">
        <v>0</v>
      </c>
      <c r="EQ12" s="24">
        <v>0</v>
      </c>
      <c r="ER12" s="24">
        <v>0</v>
      </c>
      <c r="ES12" s="24">
        <v>0</v>
      </c>
      <c r="ET12" s="24">
        <v>0</v>
      </c>
      <c r="EU12" s="24">
        <v>0</v>
      </c>
      <c r="EV12" s="24">
        <v>0</v>
      </c>
      <c r="EW12" s="24">
        <v>0</v>
      </c>
      <c r="EX12" s="24">
        <v>0</v>
      </c>
      <c r="EY12" s="24">
        <v>0</v>
      </c>
      <c r="EZ12" s="24">
        <v>0</v>
      </c>
      <c r="FA12" s="24">
        <v>0</v>
      </c>
      <c r="FB12" s="24">
        <v>0</v>
      </c>
      <c r="FC12" s="24">
        <v>0</v>
      </c>
      <c r="FD12" s="24">
        <v>0</v>
      </c>
      <c r="FE12" s="24">
        <v>0</v>
      </c>
      <c r="FF12" s="24">
        <v>0</v>
      </c>
      <c r="FG12" s="24">
        <v>0</v>
      </c>
      <c r="FH12" s="24">
        <v>0</v>
      </c>
      <c r="FI12" s="24">
        <v>0</v>
      </c>
      <c r="FJ12" s="24">
        <v>0</v>
      </c>
      <c r="FK12" s="24">
        <v>0</v>
      </c>
      <c r="FL12" s="24">
        <v>0</v>
      </c>
      <c r="FM12" s="24">
        <v>0</v>
      </c>
      <c r="FN12" s="24">
        <v>0</v>
      </c>
      <c r="FO12" s="24">
        <v>0</v>
      </c>
      <c r="FP12" s="24">
        <v>0</v>
      </c>
      <c r="FQ12" s="24">
        <v>0</v>
      </c>
      <c r="FR12" s="24">
        <v>0</v>
      </c>
      <c r="FS12" s="24">
        <v>0</v>
      </c>
      <c r="FT12" s="24">
        <v>0</v>
      </c>
      <c r="FU12" s="24">
        <v>0</v>
      </c>
      <c r="FV12" s="24">
        <v>0</v>
      </c>
      <c r="FW12" s="24">
        <v>0</v>
      </c>
      <c r="FX12" s="24">
        <v>0</v>
      </c>
      <c r="FY12" s="24">
        <v>0</v>
      </c>
      <c r="FZ12" s="24">
        <v>0</v>
      </c>
      <c r="GA12" s="24">
        <v>0</v>
      </c>
      <c r="GB12" s="24">
        <v>0</v>
      </c>
      <c r="GC12" s="24">
        <v>0</v>
      </c>
      <c r="GD12" s="24">
        <v>0</v>
      </c>
      <c r="GE12" s="24">
        <v>0</v>
      </c>
      <c r="GF12" s="24">
        <v>0</v>
      </c>
      <c r="GG12" s="24">
        <v>0</v>
      </c>
      <c r="GH12" s="24">
        <v>0</v>
      </c>
      <c r="GI12" s="24">
        <v>0</v>
      </c>
      <c r="GJ12" s="24">
        <v>0</v>
      </c>
      <c r="GK12" s="24">
        <v>0</v>
      </c>
      <c r="GL12" s="24">
        <v>0</v>
      </c>
      <c r="GM12" s="24">
        <v>0</v>
      </c>
      <c r="GN12" s="24">
        <v>0</v>
      </c>
      <c r="GO12" s="24">
        <v>0</v>
      </c>
      <c r="GP12" s="24">
        <v>0</v>
      </c>
      <c r="GQ12" s="24">
        <v>0</v>
      </c>
      <c r="GR12" s="24">
        <v>0</v>
      </c>
      <c r="GS12" s="24">
        <v>0</v>
      </c>
      <c r="GT12" s="24">
        <v>0</v>
      </c>
      <c r="GU12" s="24">
        <v>0</v>
      </c>
      <c r="GV12" s="24">
        <v>0</v>
      </c>
      <c r="GW12" s="24">
        <v>0</v>
      </c>
      <c r="GX12" s="24">
        <v>0</v>
      </c>
      <c r="GY12" s="24">
        <v>0</v>
      </c>
      <c r="GZ12" s="24">
        <v>0</v>
      </c>
      <c r="HA12" s="24">
        <v>0</v>
      </c>
      <c r="HB12" s="24">
        <v>0</v>
      </c>
      <c r="HC12" s="24">
        <v>0</v>
      </c>
    </row>
    <row r="13" spans="1:211" x14ac:dyDescent="0.25">
      <c r="A13" t="s">
        <v>54</v>
      </c>
      <c r="B13" s="24">
        <v>0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0</v>
      </c>
      <c r="AX13" s="24">
        <v>0</v>
      </c>
      <c r="AY13" s="24">
        <v>0</v>
      </c>
      <c r="AZ13" s="24">
        <v>0</v>
      </c>
      <c r="BA13" s="24">
        <v>0</v>
      </c>
      <c r="BB13" s="24">
        <v>0</v>
      </c>
      <c r="BC13" s="24">
        <v>0</v>
      </c>
      <c r="BD13" s="24">
        <v>0</v>
      </c>
      <c r="BE13" s="24">
        <v>0</v>
      </c>
      <c r="BF13" s="24">
        <v>0</v>
      </c>
      <c r="BG13" s="24">
        <v>0</v>
      </c>
      <c r="BH13" s="24">
        <v>0</v>
      </c>
      <c r="BI13" s="24">
        <v>0</v>
      </c>
      <c r="BJ13" s="24">
        <v>0</v>
      </c>
      <c r="BK13" s="24">
        <v>0</v>
      </c>
      <c r="BL13" s="24">
        <v>0</v>
      </c>
      <c r="BM13" s="24">
        <v>0</v>
      </c>
      <c r="BN13" s="24">
        <v>0</v>
      </c>
      <c r="BO13" s="24">
        <v>0</v>
      </c>
      <c r="BP13" s="24">
        <v>0</v>
      </c>
      <c r="BQ13" s="24">
        <v>0</v>
      </c>
      <c r="BR13" s="24">
        <v>0</v>
      </c>
      <c r="BS13" s="24">
        <v>0</v>
      </c>
      <c r="BT13" s="24">
        <v>0</v>
      </c>
      <c r="BU13" s="24">
        <v>0</v>
      </c>
      <c r="BV13" s="24">
        <v>0</v>
      </c>
      <c r="BW13" s="24">
        <v>0</v>
      </c>
      <c r="BX13" s="24">
        <v>0</v>
      </c>
      <c r="BY13" s="24">
        <v>0</v>
      </c>
      <c r="BZ13" s="24">
        <v>0</v>
      </c>
      <c r="CA13" s="24">
        <v>0</v>
      </c>
      <c r="CB13" s="24">
        <v>0</v>
      </c>
      <c r="CC13" s="24">
        <v>0</v>
      </c>
      <c r="CD13" s="24">
        <v>0</v>
      </c>
      <c r="CE13" s="24">
        <v>0</v>
      </c>
      <c r="CF13" s="24">
        <v>0</v>
      </c>
      <c r="CG13" s="24">
        <v>0</v>
      </c>
      <c r="CH13" s="24">
        <v>0</v>
      </c>
      <c r="CI13" s="24">
        <v>0</v>
      </c>
      <c r="CJ13" s="24">
        <v>0</v>
      </c>
      <c r="CK13" s="24">
        <v>0</v>
      </c>
      <c r="CL13" s="24">
        <v>0</v>
      </c>
      <c r="CM13" s="24">
        <v>0</v>
      </c>
      <c r="CN13" s="24">
        <v>0</v>
      </c>
      <c r="CO13" s="24">
        <v>0</v>
      </c>
      <c r="CP13" s="24">
        <v>0</v>
      </c>
      <c r="CQ13" s="24">
        <v>0</v>
      </c>
      <c r="CR13" s="24">
        <v>0</v>
      </c>
      <c r="CS13" s="24">
        <v>0</v>
      </c>
      <c r="CT13" s="24">
        <v>0</v>
      </c>
      <c r="CU13" s="24">
        <v>0</v>
      </c>
      <c r="CV13" s="24">
        <v>0</v>
      </c>
      <c r="CW13" s="24">
        <v>0</v>
      </c>
      <c r="CX13" s="24">
        <v>0</v>
      </c>
      <c r="CY13" s="24">
        <v>0</v>
      </c>
      <c r="CZ13" s="24">
        <v>0</v>
      </c>
      <c r="DA13" s="24">
        <v>0</v>
      </c>
      <c r="DB13" s="24">
        <v>0</v>
      </c>
      <c r="DC13" s="24">
        <v>0</v>
      </c>
      <c r="DD13" s="24">
        <v>0</v>
      </c>
      <c r="DE13" s="24">
        <v>0</v>
      </c>
      <c r="DF13" s="24">
        <v>0</v>
      </c>
      <c r="DG13" s="24">
        <v>0</v>
      </c>
      <c r="DH13" s="24">
        <v>0</v>
      </c>
      <c r="DI13" s="24">
        <v>0</v>
      </c>
      <c r="DJ13" s="24">
        <v>0</v>
      </c>
      <c r="DK13" s="24">
        <v>0</v>
      </c>
      <c r="DL13" s="24">
        <v>0</v>
      </c>
      <c r="DM13" s="24">
        <v>0</v>
      </c>
      <c r="DN13" s="24">
        <v>0</v>
      </c>
      <c r="DO13" s="24">
        <v>0</v>
      </c>
      <c r="DP13" s="24">
        <v>0</v>
      </c>
      <c r="DQ13" s="24">
        <v>0</v>
      </c>
      <c r="DR13" s="24">
        <v>0</v>
      </c>
      <c r="DS13" s="24">
        <f>Calculations!B86</f>
        <v>1998.5</v>
      </c>
      <c r="DT13" s="24">
        <f>Calculations!C86</f>
        <v>760</v>
      </c>
      <c r="DU13" s="24">
        <f>Calculations!D86</f>
        <v>1</v>
      </c>
      <c r="DV13" s="24">
        <f>Calculations!E86</f>
        <v>1485</v>
      </c>
      <c r="DW13" s="24">
        <f>Calculations!F86</f>
        <v>148</v>
      </c>
      <c r="DX13" s="24">
        <f>Calculations!G86</f>
        <v>84</v>
      </c>
      <c r="DY13" s="24">
        <f>Calculations!H86</f>
        <v>0</v>
      </c>
      <c r="DZ13" s="24">
        <f>Calculations!I86</f>
        <v>221</v>
      </c>
      <c r="EA13" s="24">
        <f>Calculations!J86</f>
        <v>0</v>
      </c>
      <c r="EB13" s="24">
        <v>0</v>
      </c>
      <c r="EC13" s="24">
        <v>0</v>
      </c>
      <c r="ED13" s="24">
        <v>0</v>
      </c>
      <c r="EE13" s="24">
        <v>0</v>
      </c>
      <c r="EF13" s="24">
        <v>0</v>
      </c>
      <c r="EG13" s="24">
        <v>0</v>
      </c>
      <c r="EH13" s="24">
        <v>0</v>
      </c>
      <c r="EI13" s="24">
        <v>0</v>
      </c>
      <c r="EJ13" s="24">
        <v>0</v>
      </c>
      <c r="EK13" s="24">
        <v>0</v>
      </c>
      <c r="EL13" s="24">
        <v>0</v>
      </c>
      <c r="EM13" s="24">
        <v>0</v>
      </c>
      <c r="EN13" s="24">
        <v>0</v>
      </c>
      <c r="EO13" s="24">
        <v>0</v>
      </c>
      <c r="EP13" s="24">
        <v>0</v>
      </c>
      <c r="EQ13" s="24">
        <v>0</v>
      </c>
      <c r="ER13" s="24">
        <v>0</v>
      </c>
      <c r="ES13" s="24">
        <v>0</v>
      </c>
      <c r="ET13" s="24">
        <v>0</v>
      </c>
      <c r="EU13" s="24">
        <v>0</v>
      </c>
      <c r="EV13" s="24">
        <v>0</v>
      </c>
      <c r="EW13" s="24">
        <v>0</v>
      </c>
      <c r="EX13" s="24">
        <v>0</v>
      </c>
      <c r="EY13" s="24">
        <v>0</v>
      </c>
      <c r="EZ13" s="24">
        <v>0</v>
      </c>
      <c r="FA13" s="24">
        <v>0</v>
      </c>
      <c r="FB13" s="24">
        <v>0</v>
      </c>
      <c r="FC13" s="24">
        <v>0</v>
      </c>
      <c r="FD13" s="24">
        <v>0</v>
      </c>
      <c r="FE13" s="24">
        <v>0</v>
      </c>
      <c r="FF13" s="24">
        <v>0</v>
      </c>
      <c r="FG13" s="24">
        <v>0</v>
      </c>
      <c r="FH13" s="24">
        <v>0</v>
      </c>
      <c r="FI13" s="24">
        <v>0</v>
      </c>
      <c r="FJ13" s="24">
        <v>0</v>
      </c>
      <c r="FK13" s="24">
        <v>0</v>
      </c>
      <c r="FL13" s="24">
        <v>0</v>
      </c>
      <c r="FM13" s="24">
        <v>0</v>
      </c>
      <c r="FN13" s="24">
        <v>0</v>
      </c>
      <c r="FO13" s="24">
        <v>0</v>
      </c>
      <c r="FP13" s="24">
        <v>0</v>
      </c>
      <c r="FQ13" s="24">
        <v>0</v>
      </c>
      <c r="FR13" s="24">
        <v>0</v>
      </c>
      <c r="FS13" s="24">
        <v>0</v>
      </c>
      <c r="FT13" s="24">
        <v>0</v>
      </c>
      <c r="FU13" s="24">
        <v>0</v>
      </c>
      <c r="FV13" s="24">
        <v>0</v>
      </c>
      <c r="FW13" s="24">
        <v>0</v>
      </c>
      <c r="FX13" s="24">
        <v>0</v>
      </c>
      <c r="FY13" s="24">
        <v>0</v>
      </c>
      <c r="FZ13" s="24">
        <v>0</v>
      </c>
      <c r="GA13" s="24">
        <v>0</v>
      </c>
      <c r="GB13" s="24">
        <v>0</v>
      </c>
      <c r="GC13" s="24">
        <v>0</v>
      </c>
      <c r="GD13" s="24">
        <v>0</v>
      </c>
      <c r="GE13" s="24">
        <v>0</v>
      </c>
      <c r="GF13" s="24">
        <v>0</v>
      </c>
      <c r="GG13" s="24">
        <v>0</v>
      </c>
      <c r="GH13" s="24">
        <v>0</v>
      </c>
      <c r="GI13" s="24">
        <v>0</v>
      </c>
      <c r="GJ13" s="24">
        <v>0</v>
      </c>
      <c r="GK13" s="24">
        <v>0</v>
      </c>
      <c r="GL13" s="24">
        <v>0</v>
      </c>
      <c r="GM13" s="24">
        <v>0</v>
      </c>
      <c r="GN13" s="24">
        <v>0</v>
      </c>
      <c r="GO13" s="24">
        <v>0</v>
      </c>
      <c r="GP13" s="24">
        <v>0</v>
      </c>
      <c r="GQ13" s="24">
        <v>0</v>
      </c>
      <c r="GR13" s="24">
        <v>0</v>
      </c>
      <c r="GS13" s="24">
        <v>0</v>
      </c>
      <c r="GT13" s="24">
        <v>0</v>
      </c>
      <c r="GU13" s="24">
        <v>0</v>
      </c>
      <c r="GV13" s="24">
        <v>0</v>
      </c>
      <c r="GW13" s="24">
        <v>0</v>
      </c>
      <c r="GX13" s="24">
        <v>0</v>
      </c>
      <c r="GY13" s="24">
        <v>0</v>
      </c>
      <c r="GZ13" s="24">
        <v>0</v>
      </c>
      <c r="HA13" s="24">
        <v>0</v>
      </c>
      <c r="HB13" s="24">
        <v>0</v>
      </c>
      <c r="HC13" s="24">
        <v>0</v>
      </c>
    </row>
    <row r="14" spans="1:211" x14ac:dyDescent="0.25">
      <c r="A14" t="s">
        <v>56</v>
      </c>
      <c r="B14" s="24">
        <v>0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24">
        <v>0</v>
      </c>
      <c r="AV14" s="24">
        <v>0</v>
      </c>
      <c r="AW14" s="24">
        <v>0</v>
      </c>
      <c r="AX14" s="24">
        <v>0</v>
      </c>
      <c r="AY14" s="24">
        <v>0</v>
      </c>
      <c r="AZ14" s="24">
        <v>0</v>
      </c>
      <c r="BA14" s="24">
        <v>0</v>
      </c>
      <c r="BB14" s="24">
        <v>0</v>
      </c>
      <c r="BC14" s="24">
        <v>0</v>
      </c>
      <c r="BD14" s="24">
        <v>0</v>
      </c>
      <c r="BE14" s="24">
        <v>0</v>
      </c>
      <c r="BF14" s="24">
        <v>0</v>
      </c>
      <c r="BG14" s="24">
        <v>0</v>
      </c>
      <c r="BH14" s="24">
        <v>0</v>
      </c>
      <c r="BI14" s="24">
        <v>0</v>
      </c>
      <c r="BJ14" s="24">
        <v>0</v>
      </c>
      <c r="BK14" s="24">
        <v>0</v>
      </c>
      <c r="BL14" s="24">
        <v>0</v>
      </c>
      <c r="BM14" s="24">
        <v>0</v>
      </c>
      <c r="BN14" s="24">
        <v>0</v>
      </c>
      <c r="BO14" s="24">
        <v>0</v>
      </c>
      <c r="BP14" s="24">
        <v>0</v>
      </c>
      <c r="BQ14" s="24">
        <v>0</v>
      </c>
      <c r="BR14" s="24">
        <v>0</v>
      </c>
      <c r="BS14" s="24">
        <v>0</v>
      </c>
      <c r="BT14" s="24">
        <v>0</v>
      </c>
      <c r="BU14" s="24">
        <v>0</v>
      </c>
      <c r="BV14" s="24">
        <v>0</v>
      </c>
      <c r="BW14" s="24">
        <v>0</v>
      </c>
      <c r="BX14" s="24">
        <v>0</v>
      </c>
      <c r="BY14" s="24">
        <v>0</v>
      </c>
      <c r="BZ14" s="24">
        <v>0</v>
      </c>
      <c r="CA14" s="24">
        <v>0</v>
      </c>
      <c r="CB14" s="24">
        <v>0</v>
      </c>
      <c r="CC14" s="24">
        <v>0</v>
      </c>
      <c r="CD14" s="24">
        <v>0</v>
      </c>
      <c r="CE14" s="24">
        <v>0</v>
      </c>
      <c r="CF14" s="24">
        <v>0</v>
      </c>
      <c r="CG14" s="24">
        <v>0</v>
      </c>
      <c r="CH14" s="24">
        <v>0</v>
      </c>
      <c r="CI14" s="24">
        <v>0</v>
      </c>
      <c r="CJ14" s="24">
        <v>0</v>
      </c>
      <c r="CK14" s="24">
        <v>0</v>
      </c>
      <c r="CL14" s="24">
        <v>0</v>
      </c>
      <c r="CM14" s="24">
        <v>0</v>
      </c>
      <c r="CN14" s="24">
        <v>0</v>
      </c>
      <c r="CO14" s="24">
        <v>0</v>
      </c>
      <c r="CP14" s="24">
        <v>0</v>
      </c>
      <c r="CQ14" s="24">
        <v>0</v>
      </c>
      <c r="CR14" s="24">
        <v>0</v>
      </c>
      <c r="CS14" s="24">
        <v>0</v>
      </c>
      <c r="CT14" s="24">
        <v>0</v>
      </c>
      <c r="CU14" s="24">
        <v>0</v>
      </c>
      <c r="CV14" s="24">
        <v>0</v>
      </c>
      <c r="CW14" s="24">
        <v>0</v>
      </c>
      <c r="CX14" s="24">
        <v>0</v>
      </c>
      <c r="CY14" s="24">
        <v>0</v>
      </c>
      <c r="CZ14" s="24">
        <v>0</v>
      </c>
      <c r="DA14" s="24">
        <v>0</v>
      </c>
      <c r="DB14" s="24">
        <v>0</v>
      </c>
      <c r="DC14" s="24">
        <v>0</v>
      </c>
      <c r="DD14" s="24">
        <v>0</v>
      </c>
      <c r="DE14" s="24">
        <v>0</v>
      </c>
      <c r="DF14" s="24">
        <v>0</v>
      </c>
      <c r="DG14" s="24">
        <v>0</v>
      </c>
      <c r="DH14" s="24">
        <v>0</v>
      </c>
      <c r="DI14" s="24">
        <v>0</v>
      </c>
      <c r="DJ14" s="24">
        <v>0</v>
      </c>
      <c r="DK14" s="24">
        <v>0</v>
      </c>
      <c r="DL14" s="24">
        <v>0</v>
      </c>
      <c r="DM14" s="24">
        <v>0</v>
      </c>
      <c r="DN14" s="24">
        <v>0</v>
      </c>
      <c r="DO14" s="24">
        <v>0</v>
      </c>
      <c r="DP14" s="24">
        <v>0</v>
      </c>
      <c r="DQ14" s="24">
        <v>0</v>
      </c>
      <c r="DR14" s="24">
        <v>0</v>
      </c>
      <c r="DS14" s="24">
        <f>Calculations!B87</f>
        <v>0</v>
      </c>
      <c r="DT14" s="24">
        <f>Calculations!C87</f>
        <v>0</v>
      </c>
      <c r="DU14" s="24">
        <f>Calculations!D87</f>
        <v>0</v>
      </c>
      <c r="DV14" s="24">
        <f>Calculations!E87</f>
        <v>0</v>
      </c>
      <c r="DW14" s="24">
        <f>Calculations!F87</f>
        <v>0</v>
      </c>
      <c r="DX14" s="24">
        <f>Calculations!G87</f>
        <v>0</v>
      </c>
      <c r="DY14" s="24">
        <f>Calculations!H87</f>
        <v>0</v>
      </c>
      <c r="DZ14" s="24">
        <f>Calculations!I87</f>
        <v>0</v>
      </c>
      <c r="EA14" s="24">
        <f>Calculations!J87</f>
        <v>0</v>
      </c>
      <c r="EB14" s="24">
        <v>0</v>
      </c>
      <c r="EC14" s="24">
        <v>0</v>
      </c>
      <c r="ED14" s="24">
        <v>0</v>
      </c>
      <c r="EE14" s="24">
        <v>0</v>
      </c>
      <c r="EF14" s="24">
        <v>0</v>
      </c>
      <c r="EG14" s="24">
        <v>0</v>
      </c>
      <c r="EH14" s="24">
        <v>0</v>
      </c>
      <c r="EI14" s="24">
        <v>0</v>
      </c>
      <c r="EJ14" s="24">
        <v>0</v>
      </c>
      <c r="EK14" s="24">
        <v>0</v>
      </c>
      <c r="EL14" s="24">
        <v>0</v>
      </c>
      <c r="EM14" s="24">
        <v>0</v>
      </c>
      <c r="EN14" s="24">
        <v>0</v>
      </c>
      <c r="EO14" s="24">
        <v>0</v>
      </c>
      <c r="EP14" s="24">
        <v>0</v>
      </c>
      <c r="EQ14" s="24">
        <v>0</v>
      </c>
      <c r="ER14" s="24">
        <v>0</v>
      </c>
      <c r="ES14" s="24">
        <v>0</v>
      </c>
      <c r="ET14" s="24">
        <v>0</v>
      </c>
      <c r="EU14" s="24">
        <v>0</v>
      </c>
      <c r="EV14" s="24">
        <v>0</v>
      </c>
      <c r="EW14" s="24">
        <v>0</v>
      </c>
      <c r="EX14" s="24">
        <v>0</v>
      </c>
      <c r="EY14" s="24">
        <v>0</v>
      </c>
      <c r="EZ14" s="24">
        <v>0</v>
      </c>
      <c r="FA14" s="24">
        <v>0</v>
      </c>
      <c r="FB14" s="24">
        <v>0</v>
      </c>
      <c r="FC14" s="24">
        <v>0</v>
      </c>
      <c r="FD14" s="24">
        <v>0</v>
      </c>
      <c r="FE14" s="24">
        <v>0</v>
      </c>
      <c r="FF14" s="24">
        <v>0</v>
      </c>
      <c r="FG14" s="24">
        <v>0</v>
      </c>
      <c r="FH14" s="24">
        <v>0</v>
      </c>
      <c r="FI14" s="24">
        <v>0</v>
      </c>
      <c r="FJ14" s="24">
        <v>0</v>
      </c>
      <c r="FK14" s="24">
        <v>0</v>
      </c>
      <c r="FL14" s="24">
        <v>0</v>
      </c>
      <c r="FM14" s="24">
        <v>0</v>
      </c>
      <c r="FN14" s="24">
        <v>0</v>
      </c>
      <c r="FO14" s="24">
        <v>0</v>
      </c>
      <c r="FP14" s="24">
        <v>0</v>
      </c>
      <c r="FQ14" s="24">
        <v>0</v>
      </c>
      <c r="FR14" s="24">
        <v>0</v>
      </c>
      <c r="FS14" s="24">
        <v>0</v>
      </c>
      <c r="FT14" s="24">
        <v>0</v>
      </c>
      <c r="FU14" s="24">
        <v>0</v>
      </c>
      <c r="FV14" s="24">
        <v>0</v>
      </c>
      <c r="FW14" s="24">
        <v>0</v>
      </c>
      <c r="FX14" s="24">
        <v>0</v>
      </c>
      <c r="FY14" s="24">
        <v>0</v>
      </c>
      <c r="FZ14" s="24">
        <v>0</v>
      </c>
      <c r="GA14" s="24">
        <v>0</v>
      </c>
      <c r="GB14" s="24">
        <v>0</v>
      </c>
      <c r="GC14" s="24">
        <v>0</v>
      </c>
      <c r="GD14" s="24">
        <v>0</v>
      </c>
      <c r="GE14" s="24">
        <v>0</v>
      </c>
      <c r="GF14" s="24">
        <v>0</v>
      </c>
      <c r="GG14" s="24">
        <v>0</v>
      </c>
      <c r="GH14" s="24">
        <v>0</v>
      </c>
      <c r="GI14" s="24">
        <v>0</v>
      </c>
      <c r="GJ14" s="24">
        <v>0</v>
      </c>
      <c r="GK14" s="24">
        <v>0</v>
      </c>
      <c r="GL14" s="24">
        <v>0</v>
      </c>
      <c r="GM14" s="24">
        <v>0</v>
      </c>
      <c r="GN14" s="24">
        <v>0</v>
      </c>
      <c r="GO14" s="24">
        <v>0</v>
      </c>
      <c r="GP14" s="24">
        <v>0</v>
      </c>
      <c r="GQ14" s="24">
        <v>0</v>
      </c>
      <c r="GR14" s="24">
        <v>0</v>
      </c>
      <c r="GS14" s="24">
        <v>0</v>
      </c>
      <c r="GT14" s="24">
        <v>0</v>
      </c>
      <c r="GU14" s="24">
        <v>0</v>
      </c>
      <c r="GV14" s="24">
        <v>0</v>
      </c>
      <c r="GW14" s="24">
        <v>0</v>
      </c>
      <c r="GX14" s="24">
        <v>0</v>
      </c>
      <c r="GY14" s="24">
        <v>0</v>
      </c>
      <c r="GZ14" s="24">
        <v>0</v>
      </c>
      <c r="HA14" s="24">
        <v>0</v>
      </c>
      <c r="HB14" s="24">
        <v>0</v>
      </c>
      <c r="HC14" s="24">
        <v>0</v>
      </c>
    </row>
    <row r="15" spans="1:211" x14ac:dyDescent="0.25">
      <c r="A15" t="s">
        <v>57</v>
      </c>
      <c r="B15" s="24">
        <v>0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  <c r="AW15" s="24">
        <v>0</v>
      </c>
      <c r="AX15" s="24">
        <v>0</v>
      </c>
      <c r="AY15" s="24">
        <v>0</v>
      </c>
      <c r="AZ15" s="24">
        <v>0</v>
      </c>
      <c r="BA15" s="24">
        <v>0</v>
      </c>
      <c r="BB15" s="24">
        <v>0</v>
      </c>
      <c r="BC15" s="24">
        <v>0</v>
      </c>
      <c r="BD15" s="24">
        <v>0</v>
      </c>
      <c r="BE15" s="24">
        <v>0</v>
      </c>
      <c r="BF15" s="24">
        <v>0</v>
      </c>
      <c r="BG15" s="24">
        <v>0</v>
      </c>
      <c r="BH15" s="24">
        <v>0</v>
      </c>
      <c r="BI15" s="24">
        <v>0</v>
      </c>
      <c r="BJ15" s="24">
        <v>0</v>
      </c>
      <c r="BK15" s="24">
        <v>0</v>
      </c>
      <c r="BL15" s="24">
        <v>0</v>
      </c>
      <c r="BM15" s="24">
        <v>0</v>
      </c>
      <c r="BN15" s="24">
        <v>0</v>
      </c>
      <c r="BO15" s="24">
        <v>0</v>
      </c>
      <c r="BP15" s="24">
        <v>0</v>
      </c>
      <c r="BQ15" s="24">
        <v>0</v>
      </c>
      <c r="BR15" s="24">
        <v>0</v>
      </c>
      <c r="BS15" s="24">
        <v>0</v>
      </c>
      <c r="BT15" s="24">
        <v>0</v>
      </c>
      <c r="BU15" s="24">
        <v>0</v>
      </c>
      <c r="BV15" s="24">
        <v>0</v>
      </c>
      <c r="BW15" s="24">
        <v>0</v>
      </c>
      <c r="BX15" s="24">
        <v>0</v>
      </c>
      <c r="BY15" s="24">
        <v>0</v>
      </c>
      <c r="BZ15" s="24">
        <v>0</v>
      </c>
      <c r="CA15" s="24">
        <v>0</v>
      </c>
      <c r="CB15" s="24">
        <v>0</v>
      </c>
      <c r="CC15" s="24">
        <v>0</v>
      </c>
      <c r="CD15" s="24">
        <v>0</v>
      </c>
      <c r="CE15" s="24">
        <v>0</v>
      </c>
      <c r="CF15" s="24">
        <v>0</v>
      </c>
      <c r="CG15" s="24">
        <v>0</v>
      </c>
      <c r="CH15" s="24">
        <v>0</v>
      </c>
      <c r="CI15" s="24">
        <v>0</v>
      </c>
      <c r="CJ15" s="24">
        <v>0</v>
      </c>
      <c r="CK15" s="24">
        <v>0</v>
      </c>
      <c r="CL15" s="24">
        <v>0</v>
      </c>
      <c r="CM15" s="24">
        <v>0</v>
      </c>
      <c r="CN15" s="24">
        <v>0</v>
      </c>
      <c r="CO15" s="24">
        <v>0</v>
      </c>
      <c r="CP15" s="24">
        <v>0</v>
      </c>
      <c r="CQ15" s="24">
        <v>0</v>
      </c>
      <c r="CR15" s="24">
        <v>0</v>
      </c>
      <c r="CS15" s="24">
        <v>0</v>
      </c>
      <c r="CT15" s="24">
        <v>0</v>
      </c>
      <c r="CU15" s="24">
        <v>0</v>
      </c>
      <c r="CV15" s="24">
        <v>0</v>
      </c>
      <c r="CW15" s="24">
        <v>0</v>
      </c>
      <c r="CX15" s="24">
        <v>0</v>
      </c>
      <c r="CY15" s="24">
        <v>0</v>
      </c>
      <c r="CZ15" s="24">
        <v>0</v>
      </c>
      <c r="DA15" s="24">
        <v>0</v>
      </c>
      <c r="DB15" s="24">
        <v>0</v>
      </c>
      <c r="DC15" s="24">
        <v>0</v>
      </c>
      <c r="DD15" s="24">
        <v>0</v>
      </c>
      <c r="DE15" s="24">
        <v>0</v>
      </c>
      <c r="DF15" s="24">
        <v>0</v>
      </c>
      <c r="DG15" s="24">
        <v>0</v>
      </c>
      <c r="DH15" s="24">
        <v>0</v>
      </c>
      <c r="DI15" s="24">
        <v>0</v>
      </c>
      <c r="DJ15" s="24">
        <v>0</v>
      </c>
      <c r="DK15" s="24">
        <v>0</v>
      </c>
      <c r="DL15" s="24">
        <v>0</v>
      </c>
      <c r="DM15" s="24">
        <v>0</v>
      </c>
      <c r="DN15" s="24">
        <v>0</v>
      </c>
      <c r="DO15" s="24">
        <v>0</v>
      </c>
      <c r="DP15" s="24">
        <v>0</v>
      </c>
      <c r="DQ15" s="24">
        <v>0</v>
      </c>
      <c r="DR15" s="24">
        <v>0</v>
      </c>
      <c r="DS15" s="24">
        <f>Calculations!B88</f>
        <v>0</v>
      </c>
      <c r="DT15" s="24">
        <f>Calculations!C88</f>
        <v>0</v>
      </c>
      <c r="DU15" s="24">
        <f>Calculations!D88</f>
        <v>0</v>
      </c>
      <c r="DV15" s="24">
        <f>Calculations!E88</f>
        <v>0</v>
      </c>
      <c r="DW15" s="24">
        <f>Calculations!F88</f>
        <v>0</v>
      </c>
      <c r="DX15" s="24">
        <f>Calculations!G88</f>
        <v>0</v>
      </c>
      <c r="DY15" s="24">
        <f>Calculations!H88</f>
        <v>0</v>
      </c>
      <c r="DZ15" s="24">
        <f>Calculations!I88</f>
        <v>0</v>
      </c>
      <c r="EA15" s="24">
        <f>Calculations!J88</f>
        <v>0</v>
      </c>
      <c r="EB15" s="24">
        <v>0</v>
      </c>
      <c r="EC15" s="24">
        <v>0</v>
      </c>
      <c r="ED15" s="24">
        <v>0</v>
      </c>
      <c r="EE15" s="24">
        <v>0</v>
      </c>
      <c r="EF15" s="24">
        <v>0</v>
      </c>
      <c r="EG15" s="24">
        <v>0</v>
      </c>
      <c r="EH15" s="24">
        <v>0</v>
      </c>
      <c r="EI15" s="24">
        <v>0</v>
      </c>
      <c r="EJ15" s="24">
        <v>0</v>
      </c>
      <c r="EK15" s="24">
        <v>0</v>
      </c>
      <c r="EL15" s="24">
        <v>0</v>
      </c>
      <c r="EM15" s="24">
        <v>0</v>
      </c>
      <c r="EN15" s="24">
        <v>0</v>
      </c>
      <c r="EO15" s="24">
        <v>0</v>
      </c>
      <c r="EP15" s="24">
        <v>0</v>
      </c>
      <c r="EQ15" s="24">
        <v>0</v>
      </c>
      <c r="ER15" s="24">
        <v>0</v>
      </c>
      <c r="ES15" s="24">
        <v>0</v>
      </c>
      <c r="ET15" s="24">
        <v>0</v>
      </c>
      <c r="EU15" s="24">
        <v>0</v>
      </c>
      <c r="EV15" s="24">
        <v>0</v>
      </c>
      <c r="EW15" s="24">
        <v>0</v>
      </c>
      <c r="EX15" s="24">
        <v>0</v>
      </c>
      <c r="EY15" s="24">
        <v>0</v>
      </c>
      <c r="EZ15" s="24">
        <v>0</v>
      </c>
      <c r="FA15" s="24">
        <v>0</v>
      </c>
      <c r="FB15" s="24">
        <v>0</v>
      </c>
      <c r="FC15" s="24">
        <v>0</v>
      </c>
      <c r="FD15" s="24">
        <v>0</v>
      </c>
      <c r="FE15" s="24">
        <v>0</v>
      </c>
      <c r="FF15" s="24">
        <v>0</v>
      </c>
      <c r="FG15" s="24">
        <v>0</v>
      </c>
      <c r="FH15" s="24">
        <v>0</v>
      </c>
      <c r="FI15" s="24">
        <v>0</v>
      </c>
      <c r="FJ15" s="24">
        <v>0</v>
      </c>
      <c r="FK15" s="24">
        <v>0</v>
      </c>
      <c r="FL15" s="24">
        <v>0</v>
      </c>
      <c r="FM15" s="24">
        <v>0</v>
      </c>
      <c r="FN15" s="24">
        <v>0</v>
      </c>
      <c r="FO15" s="24">
        <v>0</v>
      </c>
      <c r="FP15" s="24">
        <v>0</v>
      </c>
      <c r="FQ15" s="24">
        <v>0</v>
      </c>
      <c r="FR15" s="24">
        <v>0</v>
      </c>
      <c r="FS15" s="24">
        <v>0</v>
      </c>
      <c r="FT15" s="24">
        <v>0</v>
      </c>
      <c r="FU15" s="24">
        <v>0</v>
      </c>
      <c r="FV15" s="24">
        <v>0</v>
      </c>
      <c r="FW15" s="24">
        <v>0</v>
      </c>
      <c r="FX15" s="24">
        <v>0</v>
      </c>
      <c r="FY15" s="24">
        <v>0</v>
      </c>
      <c r="FZ15" s="24">
        <v>0</v>
      </c>
      <c r="GA15" s="24">
        <v>0</v>
      </c>
      <c r="GB15" s="24">
        <v>0</v>
      </c>
      <c r="GC15" s="24">
        <v>0</v>
      </c>
      <c r="GD15" s="24">
        <v>0</v>
      </c>
      <c r="GE15" s="24">
        <v>0</v>
      </c>
      <c r="GF15" s="24">
        <v>0</v>
      </c>
      <c r="GG15" s="24">
        <v>0</v>
      </c>
      <c r="GH15" s="24">
        <v>0</v>
      </c>
      <c r="GI15" s="24">
        <v>0</v>
      </c>
      <c r="GJ15" s="24">
        <v>0</v>
      </c>
      <c r="GK15" s="24">
        <v>0</v>
      </c>
      <c r="GL15" s="24">
        <v>0</v>
      </c>
      <c r="GM15" s="24">
        <v>0</v>
      </c>
      <c r="GN15" s="24">
        <v>0</v>
      </c>
      <c r="GO15" s="24">
        <v>0</v>
      </c>
      <c r="GP15" s="24">
        <v>0</v>
      </c>
      <c r="GQ15" s="24">
        <v>0</v>
      </c>
      <c r="GR15" s="24">
        <v>0</v>
      </c>
      <c r="GS15" s="24">
        <v>0</v>
      </c>
      <c r="GT15" s="24">
        <v>0</v>
      </c>
      <c r="GU15" s="24">
        <v>0</v>
      </c>
      <c r="GV15" s="24">
        <v>0</v>
      </c>
      <c r="GW15" s="24">
        <v>0</v>
      </c>
      <c r="GX15" s="24">
        <v>0</v>
      </c>
      <c r="GY15" s="24">
        <v>0</v>
      </c>
      <c r="GZ15" s="24">
        <v>0</v>
      </c>
      <c r="HA15" s="24">
        <v>0</v>
      </c>
      <c r="HB15" s="24">
        <v>0</v>
      </c>
      <c r="HC15" s="24">
        <v>0</v>
      </c>
    </row>
    <row r="16" spans="1:211" x14ac:dyDescent="0.25">
      <c r="A16" t="s">
        <v>58</v>
      </c>
      <c r="B16" s="24">
        <v>0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24">
        <v>0</v>
      </c>
      <c r="AX16" s="24">
        <v>0</v>
      </c>
      <c r="AY16" s="24">
        <v>0</v>
      </c>
      <c r="AZ16" s="24">
        <v>0</v>
      </c>
      <c r="BA16" s="24">
        <v>0</v>
      </c>
      <c r="BB16" s="24">
        <v>0</v>
      </c>
      <c r="BC16" s="24">
        <v>0</v>
      </c>
      <c r="BD16" s="24">
        <v>0</v>
      </c>
      <c r="BE16" s="24">
        <v>0</v>
      </c>
      <c r="BF16" s="24">
        <v>0</v>
      </c>
      <c r="BG16" s="24">
        <v>0</v>
      </c>
      <c r="BH16" s="24">
        <v>0</v>
      </c>
      <c r="BI16" s="24">
        <v>0</v>
      </c>
      <c r="BJ16" s="24">
        <v>0</v>
      </c>
      <c r="BK16" s="24">
        <v>0</v>
      </c>
      <c r="BL16" s="24">
        <v>0</v>
      </c>
      <c r="BM16" s="24">
        <v>0</v>
      </c>
      <c r="BN16" s="24">
        <v>0</v>
      </c>
      <c r="BO16" s="24">
        <v>0</v>
      </c>
      <c r="BP16" s="24">
        <v>0</v>
      </c>
      <c r="BQ16" s="24">
        <v>0</v>
      </c>
      <c r="BR16" s="24">
        <v>0</v>
      </c>
      <c r="BS16" s="24">
        <v>0</v>
      </c>
      <c r="BT16" s="24">
        <v>0</v>
      </c>
      <c r="BU16" s="24">
        <v>0</v>
      </c>
      <c r="BV16" s="24">
        <v>0</v>
      </c>
      <c r="BW16" s="24">
        <v>0</v>
      </c>
      <c r="BX16" s="24">
        <v>0</v>
      </c>
      <c r="BY16" s="24">
        <v>0</v>
      </c>
      <c r="BZ16" s="24">
        <v>0</v>
      </c>
      <c r="CA16" s="24">
        <v>0</v>
      </c>
      <c r="CB16" s="24">
        <v>0</v>
      </c>
      <c r="CC16" s="24">
        <v>0</v>
      </c>
      <c r="CD16" s="24">
        <v>0</v>
      </c>
      <c r="CE16" s="24">
        <v>0</v>
      </c>
      <c r="CF16" s="24">
        <v>0</v>
      </c>
      <c r="CG16" s="24">
        <v>0</v>
      </c>
      <c r="CH16" s="24">
        <v>0</v>
      </c>
      <c r="CI16" s="24">
        <v>0</v>
      </c>
      <c r="CJ16" s="24">
        <v>0</v>
      </c>
      <c r="CK16" s="24">
        <v>0</v>
      </c>
      <c r="CL16" s="24">
        <v>0</v>
      </c>
      <c r="CM16" s="24">
        <v>0</v>
      </c>
      <c r="CN16" s="24">
        <v>0</v>
      </c>
      <c r="CO16" s="24">
        <v>0</v>
      </c>
      <c r="CP16" s="24">
        <v>0</v>
      </c>
      <c r="CQ16" s="24">
        <v>0</v>
      </c>
      <c r="CR16" s="24">
        <v>0</v>
      </c>
      <c r="CS16" s="24">
        <v>0</v>
      </c>
      <c r="CT16" s="24">
        <v>0</v>
      </c>
      <c r="CU16" s="24">
        <v>0</v>
      </c>
      <c r="CV16" s="24">
        <v>0</v>
      </c>
      <c r="CW16" s="24">
        <v>0</v>
      </c>
      <c r="CX16" s="24">
        <v>0</v>
      </c>
      <c r="CY16" s="24">
        <v>0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  <c r="DE16" s="24">
        <v>0</v>
      </c>
      <c r="DF16" s="24">
        <v>0</v>
      </c>
      <c r="DG16" s="24">
        <v>0</v>
      </c>
      <c r="DH16" s="24">
        <v>0</v>
      </c>
      <c r="DI16" s="24">
        <v>0</v>
      </c>
      <c r="DJ16" s="24">
        <v>0</v>
      </c>
      <c r="DK16" s="24">
        <v>0</v>
      </c>
      <c r="DL16" s="24">
        <v>0</v>
      </c>
      <c r="DM16" s="24">
        <v>0</v>
      </c>
      <c r="DN16" s="24">
        <v>0</v>
      </c>
      <c r="DO16" s="24">
        <v>0</v>
      </c>
      <c r="DP16" s="24">
        <v>0</v>
      </c>
      <c r="DQ16" s="24">
        <v>0</v>
      </c>
      <c r="DR16" s="24">
        <v>0</v>
      </c>
      <c r="DS16" s="24">
        <f>Calculations!B89</f>
        <v>0</v>
      </c>
      <c r="DT16" s="24">
        <f>Calculations!C89</f>
        <v>0</v>
      </c>
      <c r="DU16" s="24">
        <f>Calculations!D89</f>
        <v>0</v>
      </c>
      <c r="DV16" s="24">
        <f>Calculations!E89</f>
        <v>0</v>
      </c>
      <c r="DW16" s="24">
        <f>Calculations!F89</f>
        <v>0</v>
      </c>
      <c r="DX16" s="24">
        <f>Calculations!G89</f>
        <v>0</v>
      </c>
      <c r="DY16" s="24">
        <f>Calculations!H89</f>
        <v>0</v>
      </c>
      <c r="DZ16" s="24">
        <f>Calculations!I89</f>
        <v>0</v>
      </c>
      <c r="EA16" s="24">
        <f>Calculations!J89</f>
        <v>0</v>
      </c>
      <c r="EB16" s="24">
        <v>0</v>
      </c>
      <c r="EC16" s="24">
        <v>0</v>
      </c>
      <c r="ED16" s="24">
        <v>0</v>
      </c>
      <c r="EE16" s="24">
        <v>0</v>
      </c>
      <c r="EF16" s="24">
        <v>0</v>
      </c>
      <c r="EG16" s="24">
        <v>0</v>
      </c>
      <c r="EH16" s="24">
        <v>0</v>
      </c>
      <c r="EI16" s="24">
        <v>0</v>
      </c>
      <c r="EJ16" s="24">
        <v>0</v>
      </c>
      <c r="EK16" s="24">
        <v>0</v>
      </c>
      <c r="EL16" s="24">
        <v>0</v>
      </c>
      <c r="EM16" s="24">
        <v>0</v>
      </c>
      <c r="EN16" s="24">
        <v>0</v>
      </c>
      <c r="EO16" s="24">
        <v>0</v>
      </c>
      <c r="EP16" s="24">
        <v>0</v>
      </c>
      <c r="EQ16" s="24">
        <v>0</v>
      </c>
      <c r="ER16" s="24">
        <v>0</v>
      </c>
      <c r="ES16" s="24">
        <v>0</v>
      </c>
      <c r="ET16" s="24">
        <v>0</v>
      </c>
      <c r="EU16" s="24">
        <v>0</v>
      </c>
      <c r="EV16" s="24">
        <v>0</v>
      </c>
      <c r="EW16" s="24">
        <v>0</v>
      </c>
      <c r="EX16" s="24">
        <v>0</v>
      </c>
      <c r="EY16" s="24">
        <v>0</v>
      </c>
      <c r="EZ16" s="24">
        <v>0</v>
      </c>
      <c r="FA16" s="24">
        <v>0</v>
      </c>
      <c r="FB16" s="24">
        <v>0</v>
      </c>
      <c r="FC16" s="24">
        <v>0</v>
      </c>
      <c r="FD16" s="24">
        <v>0</v>
      </c>
      <c r="FE16" s="24">
        <v>0</v>
      </c>
      <c r="FF16" s="24">
        <v>0</v>
      </c>
      <c r="FG16" s="24">
        <v>0</v>
      </c>
      <c r="FH16" s="24">
        <v>0</v>
      </c>
      <c r="FI16" s="24">
        <v>0</v>
      </c>
      <c r="FJ16" s="24">
        <v>0</v>
      </c>
      <c r="FK16" s="24">
        <v>0</v>
      </c>
      <c r="FL16" s="24">
        <v>0</v>
      </c>
      <c r="FM16" s="24">
        <v>0</v>
      </c>
      <c r="FN16" s="24">
        <v>0</v>
      </c>
      <c r="FO16" s="24">
        <v>0</v>
      </c>
      <c r="FP16" s="24">
        <v>0</v>
      </c>
      <c r="FQ16" s="24">
        <v>0</v>
      </c>
      <c r="FR16" s="24">
        <v>0</v>
      </c>
      <c r="FS16" s="24">
        <v>0</v>
      </c>
      <c r="FT16" s="24">
        <v>0</v>
      </c>
      <c r="FU16" s="24">
        <v>0</v>
      </c>
      <c r="FV16" s="24">
        <v>0</v>
      </c>
      <c r="FW16" s="24">
        <v>0</v>
      </c>
      <c r="FX16" s="24">
        <v>0</v>
      </c>
      <c r="FY16" s="24">
        <v>0</v>
      </c>
      <c r="FZ16" s="24">
        <v>0</v>
      </c>
      <c r="GA16" s="24">
        <v>0</v>
      </c>
      <c r="GB16" s="24">
        <v>0</v>
      </c>
      <c r="GC16" s="24">
        <v>0</v>
      </c>
      <c r="GD16" s="24">
        <v>0</v>
      </c>
      <c r="GE16" s="24">
        <v>0</v>
      </c>
      <c r="GF16" s="24">
        <v>0</v>
      </c>
      <c r="GG16" s="24">
        <v>0</v>
      </c>
      <c r="GH16" s="24">
        <v>0</v>
      </c>
      <c r="GI16" s="24">
        <v>0</v>
      </c>
      <c r="GJ16" s="24">
        <v>0</v>
      </c>
      <c r="GK16" s="24">
        <v>0</v>
      </c>
      <c r="GL16" s="24">
        <v>0</v>
      </c>
      <c r="GM16" s="24">
        <v>0</v>
      </c>
      <c r="GN16" s="24">
        <v>0</v>
      </c>
      <c r="GO16" s="24">
        <v>0</v>
      </c>
      <c r="GP16" s="24">
        <v>0</v>
      </c>
      <c r="GQ16" s="24">
        <v>0</v>
      </c>
      <c r="GR16" s="24">
        <v>0</v>
      </c>
      <c r="GS16" s="24">
        <v>0</v>
      </c>
      <c r="GT16" s="24">
        <v>0</v>
      </c>
      <c r="GU16" s="24">
        <v>0</v>
      </c>
      <c r="GV16" s="24">
        <v>0</v>
      </c>
      <c r="GW16" s="24">
        <v>0</v>
      </c>
      <c r="GX16" s="24">
        <v>0</v>
      </c>
      <c r="GY16" s="24">
        <v>0</v>
      </c>
      <c r="GZ16" s="24">
        <v>0</v>
      </c>
      <c r="HA16" s="24">
        <v>0</v>
      </c>
      <c r="HB16" s="24">
        <v>0</v>
      </c>
      <c r="HC16" s="24">
        <v>0</v>
      </c>
    </row>
    <row r="17" spans="1:211" x14ac:dyDescent="0.25">
      <c r="A17" t="s">
        <v>59</v>
      </c>
      <c r="B17" s="24">
        <v>0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24">
        <v>0</v>
      </c>
      <c r="AX17" s="24">
        <v>0</v>
      </c>
      <c r="AY17" s="24">
        <v>0</v>
      </c>
      <c r="AZ17" s="24">
        <v>0</v>
      </c>
      <c r="BA17" s="24">
        <v>0</v>
      </c>
      <c r="BB17" s="24">
        <v>0</v>
      </c>
      <c r="BC17" s="24">
        <v>0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4">
        <v>0</v>
      </c>
      <c r="BN17" s="24">
        <v>0</v>
      </c>
      <c r="BO17" s="24">
        <v>0</v>
      </c>
      <c r="BP17" s="24">
        <v>0</v>
      </c>
      <c r="BQ17" s="24">
        <v>0</v>
      </c>
      <c r="BR17" s="24">
        <v>0</v>
      </c>
      <c r="BS17" s="24">
        <v>0</v>
      </c>
      <c r="BT17" s="24">
        <v>0</v>
      </c>
      <c r="BU17" s="24">
        <v>0</v>
      </c>
      <c r="BV17" s="24">
        <v>0</v>
      </c>
      <c r="BW17" s="24">
        <v>0</v>
      </c>
      <c r="BX17" s="24">
        <v>0</v>
      </c>
      <c r="BY17" s="24">
        <v>0</v>
      </c>
      <c r="BZ17" s="24">
        <v>0</v>
      </c>
      <c r="CA17" s="24">
        <v>0</v>
      </c>
      <c r="CB17" s="24">
        <v>0</v>
      </c>
      <c r="CC17" s="24">
        <v>0</v>
      </c>
      <c r="CD17" s="24">
        <v>0</v>
      </c>
      <c r="CE17" s="24">
        <v>0</v>
      </c>
      <c r="CF17" s="24">
        <v>0</v>
      </c>
      <c r="CG17" s="24">
        <v>0</v>
      </c>
      <c r="CH17" s="24">
        <v>0</v>
      </c>
      <c r="CI17" s="24">
        <v>0</v>
      </c>
      <c r="CJ17" s="24">
        <v>0</v>
      </c>
      <c r="CK17" s="24">
        <v>0</v>
      </c>
      <c r="CL17" s="24">
        <v>0</v>
      </c>
      <c r="CM17" s="24">
        <v>0</v>
      </c>
      <c r="CN17" s="24">
        <v>0</v>
      </c>
      <c r="CO17" s="24">
        <v>0</v>
      </c>
      <c r="CP17" s="24">
        <v>0</v>
      </c>
      <c r="CQ17" s="24">
        <v>0</v>
      </c>
      <c r="CR17" s="24">
        <v>0</v>
      </c>
      <c r="CS17" s="24">
        <v>0</v>
      </c>
      <c r="CT17" s="24">
        <v>0</v>
      </c>
      <c r="CU17" s="24">
        <v>0</v>
      </c>
      <c r="CV17" s="24">
        <v>0</v>
      </c>
      <c r="CW17" s="24">
        <v>0</v>
      </c>
      <c r="CX17" s="24">
        <v>0</v>
      </c>
      <c r="CY17" s="24">
        <v>0</v>
      </c>
      <c r="CZ17" s="24">
        <v>0</v>
      </c>
      <c r="DA17" s="24">
        <v>0</v>
      </c>
      <c r="DB17" s="24">
        <v>0</v>
      </c>
      <c r="DC17" s="24">
        <v>0</v>
      </c>
      <c r="DD17" s="24">
        <v>0</v>
      </c>
      <c r="DE17" s="24">
        <v>0</v>
      </c>
      <c r="DF17" s="24">
        <v>0</v>
      </c>
      <c r="DG17" s="24">
        <v>0</v>
      </c>
      <c r="DH17" s="24">
        <v>0</v>
      </c>
      <c r="DI17" s="24">
        <v>0</v>
      </c>
      <c r="DJ17" s="24">
        <v>0</v>
      </c>
      <c r="DK17" s="24">
        <v>0</v>
      </c>
      <c r="DL17" s="24">
        <v>0</v>
      </c>
      <c r="DM17" s="24">
        <v>0</v>
      </c>
      <c r="DN17" s="24">
        <v>0</v>
      </c>
      <c r="DO17" s="24">
        <v>0</v>
      </c>
      <c r="DP17" s="24">
        <v>0</v>
      </c>
      <c r="DQ17" s="24">
        <v>0</v>
      </c>
      <c r="DR17" s="24">
        <v>0</v>
      </c>
      <c r="DS17" s="24">
        <f>Calculations!B90</f>
        <v>10335</v>
      </c>
      <c r="DT17" s="24">
        <f>Calculations!C90</f>
        <v>1481</v>
      </c>
      <c r="DU17" s="24">
        <f>Calculations!D90</f>
        <v>0</v>
      </c>
      <c r="DV17" s="24">
        <f>Calculations!E90</f>
        <v>0</v>
      </c>
      <c r="DW17" s="24">
        <f>Calculations!F90</f>
        <v>336</v>
      </c>
      <c r="DX17" s="24">
        <f>Calculations!G90</f>
        <v>166</v>
      </c>
      <c r="DY17" s="24">
        <f>Calculations!H90</f>
        <v>0</v>
      </c>
      <c r="DZ17" s="24">
        <f>Calculations!I90</f>
        <v>81</v>
      </c>
      <c r="EA17" s="24">
        <f>Calculations!J90</f>
        <v>0</v>
      </c>
      <c r="EB17" s="24">
        <v>0</v>
      </c>
      <c r="EC17" s="24">
        <v>0</v>
      </c>
      <c r="ED17" s="24">
        <v>0</v>
      </c>
      <c r="EE17" s="24">
        <v>0</v>
      </c>
      <c r="EF17" s="24">
        <v>0</v>
      </c>
      <c r="EG17" s="24">
        <v>0</v>
      </c>
      <c r="EH17" s="24">
        <v>0</v>
      </c>
      <c r="EI17" s="24">
        <v>0</v>
      </c>
      <c r="EJ17" s="24">
        <v>0</v>
      </c>
      <c r="EK17" s="24">
        <v>0</v>
      </c>
      <c r="EL17" s="24">
        <v>0</v>
      </c>
      <c r="EM17" s="24">
        <v>0</v>
      </c>
      <c r="EN17" s="24">
        <v>0</v>
      </c>
      <c r="EO17" s="24">
        <v>0</v>
      </c>
      <c r="EP17" s="24">
        <v>0</v>
      </c>
      <c r="EQ17" s="24">
        <v>0</v>
      </c>
      <c r="ER17" s="24">
        <v>0</v>
      </c>
      <c r="ES17" s="24">
        <v>0</v>
      </c>
      <c r="ET17" s="24">
        <v>0</v>
      </c>
      <c r="EU17" s="24">
        <v>0</v>
      </c>
      <c r="EV17" s="24">
        <v>0</v>
      </c>
      <c r="EW17" s="24">
        <v>0</v>
      </c>
      <c r="EX17" s="24">
        <v>0</v>
      </c>
      <c r="EY17" s="24">
        <v>0</v>
      </c>
      <c r="EZ17" s="24">
        <v>0</v>
      </c>
      <c r="FA17" s="24">
        <v>0</v>
      </c>
      <c r="FB17" s="24">
        <v>0</v>
      </c>
      <c r="FC17" s="24">
        <v>0</v>
      </c>
      <c r="FD17" s="24">
        <v>0</v>
      </c>
      <c r="FE17" s="24">
        <v>0</v>
      </c>
      <c r="FF17" s="24">
        <v>0</v>
      </c>
      <c r="FG17" s="24">
        <v>0</v>
      </c>
      <c r="FH17" s="24">
        <v>0</v>
      </c>
      <c r="FI17" s="24">
        <v>0</v>
      </c>
      <c r="FJ17" s="24">
        <v>0</v>
      </c>
      <c r="FK17" s="24">
        <v>0</v>
      </c>
      <c r="FL17" s="24">
        <v>0</v>
      </c>
      <c r="FM17" s="24">
        <v>0</v>
      </c>
      <c r="FN17" s="24">
        <v>0</v>
      </c>
      <c r="FO17" s="24">
        <v>0</v>
      </c>
      <c r="FP17" s="24">
        <v>0</v>
      </c>
      <c r="FQ17" s="24">
        <v>0</v>
      </c>
      <c r="FR17" s="24">
        <v>0</v>
      </c>
      <c r="FS17" s="24">
        <v>0</v>
      </c>
      <c r="FT17" s="24">
        <v>0</v>
      </c>
      <c r="FU17" s="24">
        <v>0</v>
      </c>
      <c r="FV17" s="24">
        <v>0</v>
      </c>
      <c r="FW17" s="24">
        <v>0</v>
      </c>
      <c r="FX17" s="24">
        <v>0</v>
      </c>
      <c r="FY17" s="24">
        <v>0</v>
      </c>
      <c r="FZ17" s="24">
        <v>0</v>
      </c>
      <c r="GA17" s="24">
        <v>0</v>
      </c>
      <c r="GB17" s="24">
        <v>0</v>
      </c>
      <c r="GC17" s="24">
        <v>0</v>
      </c>
      <c r="GD17" s="24">
        <v>0</v>
      </c>
      <c r="GE17" s="24">
        <v>0</v>
      </c>
      <c r="GF17" s="24">
        <v>0</v>
      </c>
      <c r="GG17" s="24">
        <v>0</v>
      </c>
      <c r="GH17" s="24">
        <v>0</v>
      </c>
      <c r="GI17" s="24">
        <v>0</v>
      </c>
      <c r="GJ17" s="24">
        <v>0</v>
      </c>
      <c r="GK17" s="24">
        <v>0</v>
      </c>
      <c r="GL17" s="24">
        <v>0</v>
      </c>
      <c r="GM17" s="24">
        <v>0</v>
      </c>
      <c r="GN17" s="24">
        <v>0</v>
      </c>
      <c r="GO17" s="24">
        <v>0</v>
      </c>
      <c r="GP17" s="24">
        <v>0</v>
      </c>
      <c r="GQ17" s="24">
        <v>0</v>
      </c>
      <c r="GR17" s="24">
        <v>0</v>
      </c>
      <c r="GS17" s="24">
        <v>0</v>
      </c>
      <c r="GT17" s="24">
        <v>0</v>
      </c>
      <c r="GU17" s="24">
        <v>0</v>
      </c>
      <c r="GV17" s="24">
        <v>0</v>
      </c>
      <c r="GW17" s="24">
        <v>0</v>
      </c>
      <c r="GX17" s="24">
        <v>0</v>
      </c>
      <c r="GY17" s="24">
        <v>0</v>
      </c>
      <c r="GZ17" s="24">
        <v>0</v>
      </c>
      <c r="HA17" s="24">
        <v>0</v>
      </c>
      <c r="HB17" s="24">
        <v>0</v>
      </c>
      <c r="HC17" s="24">
        <v>0</v>
      </c>
    </row>
    <row r="18" spans="1:211" x14ac:dyDescent="0.25">
      <c r="A18" t="s">
        <v>61</v>
      </c>
      <c r="B18" s="24">
        <v>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0</v>
      </c>
      <c r="AX18" s="24">
        <v>0</v>
      </c>
      <c r="AY18" s="24">
        <v>0</v>
      </c>
      <c r="AZ18" s="24">
        <v>0</v>
      </c>
      <c r="BA18" s="24">
        <v>0</v>
      </c>
      <c r="BB18" s="24">
        <v>0</v>
      </c>
      <c r="BC18" s="24">
        <v>0</v>
      </c>
      <c r="BD18" s="24">
        <v>0</v>
      </c>
      <c r="BE18" s="24">
        <v>0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4">
        <v>0</v>
      </c>
      <c r="BP18" s="24">
        <v>0</v>
      </c>
      <c r="BQ18" s="24">
        <v>0</v>
      </c>
      <c r="BR18" s="24">
        <v>0</v>
      </c>
      <c r="BS18" s="24">
        <v>0</v>
      </c>
      <c r="BT18" s="24">
        <v>0</v>
      </c>
      <c r="BU18" s="24">
        <v>0</v>
      </c>
      <c r="BV18" s="24">
        <v>0</v>
      </c>
      <c r="BW18" s="24">
        <v>0</v>
      </c>
      <c r="BX18" s="24">
        <v>0</v>
      </c>
      <c r="BY18" s="24">
        <v>0</v>
      </c>
      <c r="BZ18" s="24">
        <v>0</v>
      </c>
      <c r="CA18" s="24">
        <v>0</v>
      </c>
      <c r="CB18" s="24">
        <v>0</v>
      </c>
      <c r="CC18" s="24">
        <v>0</v>
      </c>
      <c r="CD18" s="24">
        <v>0</v>
      </c>
      <c r="CE18" s="24">
        <v>0</v>
      </c>
      <c r="CF18" s="24">
        <v>0</v>
      </c>
      <c r="CG18" s="24">
        <v>0</v>
      </c>
      <c r="CH18" s="24">
        <v>0</v>
      </c>
      <c r="CI18" s="24">
        <v>0</v>
      </c>
      <c r="CJ18" s="24">
        <v>0</v>
      </c>
      <c r="CK18" s="24">
        <v>0</v>
      </c>
      <c r="CL18" s="24">
        <v>0</v>
      </c>
      <c r="CM18" s="24">
        <v>0</v>
      </c>
      <c r="CN18" s="24">
        <v>0</v>
      </c>
      <c r="CO18" s="24">
        <v>0</v>
      </c>
      <c r="CP18" s="24">
        <v>0</v>
      </c>
      <c r="CQ18" s="24">
        <v>0</v>
      </c>
      <c r="CR18" s="24">
        <v>0</v>
      </c>
      <c r="CS18" s="24">
        <v>0</v>
      </c>
      <c r="CT18" s="24">
        <v>0</v>
      </c>
      <c r="CU18" s="24">
        <v>0</v>
      </c>
      <c r="CV18" s="24">
        <v>0</v>
      </c>
      <c r="CW18" s="24">
        <v>0</v>
      </c>
      <c r="CX18" s="24">
        <v>0</v>
      </c>
      <c r="CY18" s="24">
        <v>0</v>
      </c>
      <c r="CZ18" s="24">
        <v>0</v>
      </c>
      <c r="DA18" s="24">
        <v>0</v>
      </c>
      <c r="DB18" s="24">
        <v>0</v>
      </c>
      <c r="DC18" s="24">
        <v>0</v>
      </c>
      <c r="DD18" s="24">
        <v>0</v>
      </c>
      <c r="DE18" s="24">
        <v>0</v>
      </c>
      <c r="DF18" s="24">
        <v>0</v>
      </c>
      <c r="DG18" s="24">
        <v>0</v>
      </c>
      <c r="DH18" s="24">
        <v>0</v>
      </c>
      <c r="DI18" s="24">
        <v>0</v>
      </c>
      <c r="DJ18" s="24">
        <v>0</v>
      </c>
      <c r="DK18" s="24">
        <v>0</v>
      </c>
      <c r="DL18" s="24">
        <v>0</v>
      </c>
      <c r="DM18" s="24">
        <v>0</v>
      </c>
      <c r="DN18" s="24">
        <v>0</v>
      </c>
      <c r="DO18" s="24">
        <v>0</v>
      </c>
      <c r="DP18" s="24">
        <v>0</v>
      </c>
      <c r="DQ18" s="24">
        <v>0</v>
      </c>
      <c r="DR18" s="24">
        <v>0</v>
      </c>
      <c r="DS18" s="24">
        <f>Calculations!B91</f>
        <v>0</v>
      </c>
      <c r="DT18" s="24">
        <f>Calculations!C91</f>
        <v>0</v>
      </c>
      <c r="DU18" s="24">
        <f>Calculations!D91</f>
        <v>0</v>
      </c>
      <c r="DV18" s="24">
        <f>Calculations!E91</f>
        <v>0</v>
      </c>
      <c r="DW18" s="24">
        <f>Calculations!F91</f>
        <v>0</v>
      </c>
      <c r="DX18" s="24">
        <f>Calculations!G91</f>
        <v>0</v>
      </c>
      <c r="DY18" s="24">
        <f>Calculations!H91</f>
        <v>0</v>
      </c>
      <c r="DZ18" s="24">
        <f>Calculations!I91</f>
        <v>0</v>
      </c>
      <c r="EA18" s="24">
        <f>Calculations!J91</f>
        <v>0</v>
      </c>
      <c r="EB18" s="24">
        <f>IF(Calculations!K64="",0,Calculations!K64)</f>
        <v>0</v>
      </c>
      <c r="EC18" s="24">
        <f>IF(Calculations!L64="",0,Calculations!L64)</f>
        <v>0</v>
      </c>
      <c r="ED18" s="24">
        <v>0</v>
      </c>
      <c r="EE18" s="24">
        <v>0</v>
      </c>
      <c r="EF18" s="24">
        <v>0</v>
      </c>
      <c r="EG18" s="24">
        <v>0</v>
      </c>
      <c r="EH18" s="24">
        <v>0</v>
      </c>
      <c r="EI18" s="24">
        <v>0</v>
      </c>
      <c r="EJ18" s="24">
        <v>0</v>
      </c>
      <c r="EK18" s="24">
        <v>0</v>
      </c>
      <c r="EL18" s="24">
        <v>0</v>
      </c>
      <c r="EM18" s="24">
        <v>0</v>
      </c>
      <c r="EN18" s="24">
        <v>0</v>
      </c>
      <c r="EO18" s="24">
        <v>0</v>
      </c>
      <c r="EP18" s="24">
        <v>0</v>
      </c>
      <c r="EQ18" s="24">
        <v>0</v>
      </c>
      <c r="ER18" s="24">
        <v>0</v>
      </c>
      <c r="ES18" s="24">
        <v>0</v>
      </c>
      <c r="ET18" s="24">
        <v>0</v>
      </c>
      <c r="EU18" s="24">
        <v>0</v>
      </c>
      <c r="EV18" s="24">
        <v>0</v>
      </c>
      <c r="EW18" s="24">
        <v>0</v>
      </c>
      <c r="EX18" s="24">
        <v>0</v>
      </c>
      <c r="EY18" s="24">
        <v>0</v>
      </c>
      <c r="EZ18" s="24">
        <v>0</v>
      </c>
      <c r="FA18" s="24">
        <v>0</v>
      </c>
      <c r="FB18" s="24">
        <v>0</v>
      </c>
      <c r="FC18" s="24">
        <v>0</v>
      </c>
      <c r="FD18" s="24">
        <v>0</v>
      </c>
      <c r="FE18" s="24">
        <v>0</v>
      </c>
      <c r="FF18" s="24">
        <v>0</v>
      </c>
      <c r="FG18" s="24">
        <v>0</v>
      </c>
      <c r="FH18" s="24">
        <v>0</v>
      </c>
      <c r="FI18" s="24">
        <v>0</v>
      </c>
      <c r="FJ18" s="24">
        <v>0</v>
      </c>
      <c r="FK18" s="24">
        <v>0</v>
      </c>
      <c r="FL18" s="24">
        <v>0</v>
      </c>
      <c r="FM18" s="24">
        <v>0</v>
      </c>
      <c r="FN18" s="24">
        <v>0</v>
      </c>
      <c r="FO18" s="24">
        <v>0</v>
      </c>
      <c r="FP18" s="24">
        <v>0</v>
      </c>
      <c r="FQ18" s="24">
        <v>0</v>
      </c>
      <c r="FR18" s="24">
        <v>0</v>
      </c>
      <c r="FS18" s="24">
        <v>0</v>
      </c>
      <c r="FT18" s="24">
        <v>0</v>
      </c>
      <c r="FU18" s="24">
        <v>0</v>
      </c>
      <c r="FV18" s="24">
        <v>0</v>
      </c>
      <c r="FW18" s="24">
        <v>0</v>
      </c>
      <c r="FX18" s="24">
        <v>0</v>
      </c>
      <c r="FY18" s="24">
        <v>0</v>
      </c>
      <c r="FZ18" s="24">
        <v>0</v>
      </c>
      <c r="GA18" s="24">
        <v>0</v>
      </c>
      <c r="GB18" s="24">
        <v>0</v>
      </c>
      <c r="GC18" s="24">
        <v>0</v>
      </c>
      <c r="GD18" s="24">
        <v>0</v>
      </c>
      <c r="GE18" s="24">
        <v>0</v>
      </c>
      <c r="GF18" s="24">
        <v>0</v>
      </c>
      <c r="GG18" s="24">
        <v>0</v>
      </c>
      <c r="GH18" s="24">
        <v>0</v>
      </c>
      <c r="GI18" s="24">
        <v>0</v>
      </c>
      <c r="GJ18" s="24">
        <v>0</v>
      </c>
      <c r="GK18" s="24">
        <v>0</v>
      </c>
      <c r="GL18" s="24">
        <v>0</v>
      </c>
      <c r="GM18" s="24">
        <v>0</v>
      </c>
      <c r="GN18" s="24">
        <v>0</v>
      </c>
      <c r="GO18" s="24">
        <v>0</v>
      </c>
      <c r="GP18" s="24">
        <v>0</v>
      </c>
      <c r="GQ18" s="24">
        <v>0</v>
      </c>
      <c r="GR18" s="24">
        <v>0</v>
      </c>
      <c r="GS18" s="24">
        <v>0</v>
      </c>
      <c r="GT18" s="24">
        <v>0</v>
      </c>
      <c r="GU18" s="24">
        <v>0</v>
      </c>
      <c r="GV18" s="24">
        <v>0</v>
      </c>
      <c r="GW18" s="24">
        <v>0</v>
      </c>
      <c r="GX18" s="24">
        <v>0</v>
      </c>
      <c r="GY18" s="24">
        <v>0</v>
      </c>
      <c r="GZ18" s="24">
        <v>0</v>
      </c>
      <c r="HA18" s="24">
        <v>0</v>
      </c>
      <c r="HB18" s="24">
        <v>0</v>
      </c>
      <c r="HC18" s="24">
        <v>0</v>
      </c>
    </row>
    <row r="19" spans="1:211" x14ac:dyDescent="0.25">
      <c r="A19" t="s">
        <v>62</v>
      </c>
      <c r="B19" s="24">
        <v>0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24">
        <v>0</v>
      </c>
      <c r="AX19" s="24">
        <v>0</v>
      </c>
      <c r="AY19" s="24">
        <v>0</v>
      </c>
      <c r="AZ19" s="24">
        <v>0</v>
      </c>
      <c r="BA19" s="24">
        <v>0</v>
      </c>
      <c r="BB19" s="24">
        <v>0</v>
      </c>
      <c r="BC19" s="24">
        <v>0</v>
      </c>
      <c r="BD19" s="24">
        <v>0</v>
      </c>
      <c r="BE19" s="24">
        <v>0</v>
      </c>
      <c r="BF19" s="24">
        <v>0</v>
      </c>
      <c r="BG19" s="24">
        <v>0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0</v>
      </c>
      <c r="BR19" s="24">
        <v>0</v>
      </c>
      <c r="BS19" s="24">
        <f t="shared" ref="BS19:DQ21" si="0">$DS19</f>
        <v>0</v>
      </c>
      <c r="BT19" s="24">
        <f t="shared" si="0"/>
        <v>0</v>
      </c>
      <c r="BU19" s="24">
        <f t="shared" si="0"/>
        <v>0</v>
      </c>
      <c r="BV19" s="24">
        <f t="shared" si="0"/>
        <v>0</v>
      </c>
      <c r="BW19" s="24">
        <f t="shared" si="0"/>
        <v>0</v>
      </c>
      <c r="BX19" s="24">
        <f t="shared" si="0"/>
        <v>0</v>
      </c>
      <c r="BY19" s="24">
        <f t="shared" si="0"/>
        <v>0</v>
      </c>
      <c r="BZ19" s="24">
        <f t="shared" si="0"/>
        <v>0</v>
      </c>
      <c r="CA19" s="24">
        <f t="shared" si="0"/>
        <v>0</v>
      </c>
      <c r="CB19" s="24">
        <f t="shared" si="0"/>
        <v>0</v>
      </c>
      <c r="CC19" s="24">
        <f t="shared" si="0"/>
        <v>0</v>
      </c>
      <c r="CD19" s="24">
        <f t="shared" si="0"/>
        <v>0</v>
      </c>
      <c r="CE19" s="24">
        <f t="shared" si="0"/>
        <v>0</v>
      </c>
      <c r="CF19" s="24">
        <f t="shared" si="0"/>
        <v>0</v>
      </c>
      <c r="CG19" s="24">
        <f t="shared" si="0"/>
        <v>0</v>
      </c>
      <c r="CH19" s="24">
        <f t="shared" si="0"/>
        <v>0</v>
      </c>
      <c r="CI19" s="24">
        <f t="shared" si="0"/>
        <v>0</v>
      </c>
      <c r="CJ19" s="24">
        <f t="shared" si="0"/>
        <v>0</v>
      </c>
      <c r="CK19" s="24">
        <f t="shared" si="0"/>
        <v>0</v>
      </c>
      <c r="CL19" s="24">
        <f t="shared" si="0"/>
        <v>0</v>
      </c>
      <c r="CM19" s="24">
        <f t="shared" si="0"/>
        <v>0</v>
      </c>
      <c r="CN19" s="24">
        <f t="shared" si="0"/>
        <v>0</v>
      </c>
      <c r="CO19" s="24">
        <f t="shared" si="0"/>
        <v>0</v>
      </c>
      <c r="CP19" s="24">
        <f t="shared" si="0"/>
        <v>0</v>
      </c>
      <c r="CQ19" s="24">
        <f t="shared" si="0"/>
        <v>0</v>
      </c>
      <c r="CR19" s="24">
        <f t="shared" si="0"/>
        <v>0</v>
      </c>
      <c r="CS19" s="24">
        <f t="shared" si="0"/>
        <v>0</v>
      </c>
      <c r="CT19" s="24">
        <f t="shared" si="0"/>
        <v>0</v>
      </c>
      <c r="CU19" s="24">
        <f t="shared" si="0"/>
        <v>0</v>
      </c>
      <c r="CV19" s="24">
        <f t="shared" si="0"/>
        <v>0</v>
      </c>
      <c r="CW19" s="24">
        <f t="shared" si="0"/>
        <v>0</v>
      </c>
      <c r="CX19" s="24">
        <f t="shared" si="0"/>
        <v>0</v>
      </c>
      <c r="CY19" s="24">
        <f t="shared" si="0"/>
        <v>0</v>
      </c>
      <c r="CZ19" s="24">
        <f t="shared" si="0"/>
        <v>0</v>
      </c>
      <c r="DA19" s="24">
        <f t="shared" si="0"/>
        <v>0</v>
      </c>
      <c r="DB19" s="24">
        <f t="shared" si="0"/>
        <v>0</v>
      </c>
      <c r="DC19" s="24">
        <f t="shared" si="0"/>
        <v>0</v>
      </c>
      <c r="DD19" s="24">
        <f t="shared" si="0"/>
        <v>0</v>
      </c>
      <c r="DE19" s="24">
        <f t="shared" si="0"/>
        <v>0</v>
      </c>
      <c r="DF19" s="24">
        <f t="shared" si="0"/>
        <v>0</v>
      </c>
      <c r="DG19" s="24">
        <f t="shared" si="0"/>
        <v>0</v>
      </c>
      <c r="DH19" s="24">
        <f t="shared" si="0"/>
        <v>0</v>
      </c>
      <c r="DI19" s="24">
        <f t="shared" si="0"/>
        <v>0</v>
      </c>
      <c r="DJ19" s="24">
        <f t="shared" si="0"/>
        <v>0</v>
      </c>
      <c r="DK19" s="24">
        <f t="shared" si="0"/>
        <v>0</v>
      </c>
      <c r="DL19" s="24">
        <f t="shared" si="0"/>
        <v>0</v>
      </c>
      <c r="DM19" s="24">
        <f t="shared" si="0"/>
        <v>0</v>
      </c>
      <c r="DN19" s="24">
        <f t="shared" si="0"/>
        <v>0</v>
      </c>
      <c r="DO19" s="24">
        <f t="shared" si="0"/>
        <v>0</v>
      </c>
      <c r="DP19" s="24">
        <f t="shared" si="0"/>
        <v>0</v>
      </c>
      <c r="DQ19" s="24">
        <f t="shared" si="0"/>
        <v>0</v>
      </c>
      <c r="DR19" s="24">
        <f t="shared" ref="DR19:DR25" si="1">$DS19</f>
        <v>0</v>
      </c>
      <c r="DS19" s="24">
        <f>Calculations!B92</f>
        <v>0</v>
      </c>
      <c r="DT19" s="24">
        <f>Calculations!C92</f>
        <v>0</v>
      </c>
      <c r="DU19" s="24">
        <f>Calculations!D92</f>
        <v>0</v>
      </c>
      <c r="DV19" s="24">
        <f>Calculations!E92</f>
        <v>0</v>
      </c>
      <c r="DW19" s="24">
        <f>Calculations!F92</f>
        <v>0</v>
      </c>
      <c r="DX19" s="24">
        <f>Calculations!G92</f>
        <v>0</v>
      </c>
      <c r="DY19" s="24">
        <f>Calculations!H92</f>
        <v>0</v>
      </c>
      <c r="DZ19" s="24">
        <f>Calculations!I92</f>
        <v>0</v>
      </c>
      <c r="EA19" s="24">
        <f>Calculations!J92</f>
        <v>0</v>
      </c>
      <c r="EB19" s="24">
        <f>IF(Calculations!K65="",0,Calculations!K65)</f>
        <v>0</v>
      </c>
      <c r="EC19" s="24">
        <f>IF(Calculations!L65="",0,Calculations!L65)</f>
        <v>0</v>
      </c>
      <c r="ED19" s="24">
        <v>0</v>
      </c>
      <c r="EE19" s="24">
        <v>0</v>
      </c>
      <c r="EF19" s="24">
        <v>0</v>
      </c>
      <c r="EG19" s="24">
        <v>0</v>
      </c>
      <c r="EH19" s="24">
        <v>0</v>
      </c>
      <c r="EI19" s="24">
        <v>0</v>
      </c>
      <c r="EJ19" s="24">
        <v>0</v>
      </c>
      <c r="EK19" s="24">
        <v>0</v>
      </c>
      <c r="EL19" s="24">
        <v>0</v>
      </c>
      <c r="EM19" s="24">
        <v>0</v>
      </c>
      <c r="EN19" s="24">
        <v>0</v>
      </c>
      <c r="EO19" s="24">
        <v>0</v>
      </c>
      <c r="EP19" s="24">
        <v>0</v>
      </c>
      <c r="EQ19" s="24">
        <v>0</v>
      </c>
      <c r="ER19" s="24">
        <v>0</v>
      </c>
      <c r="ES19" s="24">
        <v>0</v>
      </c>
      <c r="ET19" s="24">
        <v>0</v>
      </c>
      <c r="EU19" s="24">
        <v>0</v>
      </c>
      <c r="EV19" s="24">
        <v>0</v>
      </c>
      <c r="EW19" s="24">
        <v>0</v>
      </c>
      <c r="EX19" s="24">
        <v>0</v>
      </c>
      <c r="EY19" s="24">
        <v>0</v>
      </c>
      <c r="EZ19" s="24">
        <v>0</v>
      </c>
      <c r="FA19" s="24">
        <v>0</v>
      </c>
      <c r="FB19" s="24">
        <v>0</v>
      </c>
      <c r="FC19" s="24">
        <v>0</v>
      </c>
      <c r="FD19" s="24">
        <v>0</v>
      </c>
      <c r="FE19" s="24">
        <v>0</v>
      </c>
      <c r="FF19" s="24">
        <v>0</v>
      </c>
      <c r="FG19" s="24">
        <v>0</v>
      </c>
      <c r="FH19" s="24">
        <v>0</v>
      </c>
      <c r="FI19" s="24">
        <v>0</v>
      </c>
      <c r="FJ19" s="24">
        <v>0</v>
      </c>
      <c r="FK19" s="24">
        <v>0</v>
      </c>
      <c r="FL19" s="24">
        <v>0</v>
      </c>
      <c r="FM19" s="24">
        <v>0</v>
      </c>
      <c r="FN19" s="24">
        <v>0</v>
      </c>
      <c r="FO19" s="24">
        <v>0</v>
      </c>
      <c r="FP19" s="24">
        <v>0</v>
      </c>
      <c r="FQ19" s="24">
        <v>0</v>
      </c>
      <c r="FR19" s="24">
        <v>0</v>
      </c>
      <c r="FS19" s="24">
        <v>0</v>
      </c>
      <c r="FT19" s="24">
        <v>0</v>
      </c>
      <c r="FU19" s="24">
        <v>0</v>
      </c>
      <c r="FV19" s="24">
        <v>0</v>
      </c>
      <c r="FW19" s="24">
        <v>0</v>
      </c>
      <c r="FX19" s="24">
        <v>0</v>
      </c>
      <c r="FY19" s="24">
        <v>0</v>
      </c>
      <c r="FZ19" s="24">
        <v>0</v>
      </c>
      <c r="GA19" s="24">
        <v>0</v>
      </c>
      <c r="GB19" s="24">
        <v>0</v>
      </c>
      <c r="GC19" s="24">
        <v>0</v>
      </c>
      <c r="GD19" s="24">
        <v>0</v>
      </c>
      <c r="GE19" s="24">
        <v>0</v>
      </c>
      <c r="GF19" s="24">
        <v>0</v>
      </c>
      <c r="GG19" s="24">
        <v>0</v>
      </c>
      <c r="GH19" s="24">
        <v>0</v>
      </c>
      <c r="GI19" s="24">
        <v>0</v>
      </c>
      <c r="GJ19" s="24">
        <v>0</v>
      </c>
      <c r="GK19" s="24">
        <v>0</v>
      </c>
      <c r="GL19" s="24">
        <v>0</v>
      </c>
      <c r="GM19" s="24">
        <v>0</v>
      </c>
      <c r="GN19" s="24">
        <v>0</v>
      </c>
      <c r="GO19" s="24">
        <v>0</v>
      </c>
      <c r="GP19" s="24">
        <v>0</v>
      </c>
      <c r="GQ19" s="24">
        <v>0</v>
      </c>
      <c r="GR19" s="24">
        <v>0</v>
      </c>
      <c r="GS19" s="24">
        <v>0</v>
      </c>
      <c r="GT19" s="24">
        <v>0</v>
      </c>
      <c r="GU19" s="24">
        <v>0</v>
      </c>
      <c r="GV19" s="24">
        <v>0</v>
      </c>
      <c r="GW19" s="24">
        <v>0</v>
      </c>
      <c r="GX19" s="24">
        <v>0</v>
      </c>
      <c r="GY19" s="24">
        <v>0</v>
      </c>
      <c r="GZ19" s="24">
        <v>0</v>
      </c>
      <c r="HA19" s="24">
        <v>0</v>
      </c>
      <c r="HB19" s="24">
        <v>0</v>
      </c>
      <c r="HC19" s="24">
        <v>0</v>
      </c>
    </row>
    <row r="20" spans="1:211" x14ac:dyDescent="0.25">
      <c r="A20" t="s">
        <v>63</v>
      </c>
      <c r="B20" s="24">
        <v>0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4">
        <v>0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f t="shared" si="0"/>
        <v>0</v>
      </c>
      <c r="BT20" s="24">
        <f t="shared" si="0"/>
        <v>0</v>
      </c>
      <c r="BU20" s="24">
        <f t="shared" si="0"/>
        <v>0</v>
      </c>
      <c r="BV20" s="24">
        <f t="shared" si="0"/>
        <v>0</v>
      </c>
      <c r="BW20" s="24">
        <f t="shared" si="0"/>
        <v>0</v>
      </c>
      <c r="BX20" s="24">
        <f t="shared" si="0"/>
        <v>0</v>
      </c>
      <c r="BY20" s="24">
        <f t="shared" si="0"/>
        <v>0</v>
      </c>
      <c r="BZ20" s="24">
        <f t="shared" si="0"/>
        <v>0</v>
      </c>
      <c r="CA20" s="24">
        <f t="shared" si="0"/>
        <v>0</v>
      </c>
      <c r="CB20" s="24">
        <f t="shared" si="0"/>
        <v>0</v>
      </c>
      <c r="CC20" s="24">
        <f t="shared" si="0"/>
        <v>0</v>
      </c>
      <c r="CD20" s="24">
        <f t="shared" si="0"/>
        <v>0</v>
      </c>
      <c r="CE20" s="24">
        <f t="shared" si="0"/>
        <v>0</v>
      </c>
      <c r="CF20" s="24">
        <f t="shared" si="0"/>
        <v>0</v>
      </c>
      <c r="CG20" s="24">
        <f t="shared" si="0"/>
        <v>0</v>
      </c>
      <c r="CH20" s="24">
        <f t="shared" si="0"/>
        <v>0</v>
      </c>
      <c r="CI20" s="24">
        <f t="shared" si="0"/>
        <v>0</v>
      </c>
      <c r="CJ20" s="24">
        <f t="shared" si="0"/>
        <v>0</v>
      </c>
      <c r="CK20" s="24">
        <f t="shared" si="0"/>
        <v>0</v>
      </c>
      <c r="CL20" s="24">
        <f t="shared" si="0"/>
        <v>0</v>
      </c>
      <c r="CM20" s="24">
        <f t="shared" si="0"/>
        <v>0</v>
      </c>
      <c r="CN20" s="24">
        <f t="shared" si="0"/>
        <v>0</v>
      </c>
      <c r="CO20" s="24">
        <f t="shared" si="0"/>
        <v>0</v>
      </c>
      <c r="CP20" s="24">
        <f t="shared" si="0"/>
        <v>0</v>
      </c>
      <c r="CQ20" s="24">
        <f t="shared" si="0"/>
        <v>0</v>
      </c>
      <c r="CR20" s="24">
        <f t="shared" si="0"/>
        <v>0</v>
      </c>
      <c r="CS20" s="24">
        <f t="shared" si="0"/>
        <v>0</v>
      </c>
      <c r="CT20" s="24">
        <f t="shared" si="0"/>
        <v>0</v>
      </c>
      <c r="CU20" s="24">
        <f t="shared" si="0"/>
        <v>0</v>
      </c>
      <c r="CV20" s="24">
        <f t="shared" si="0"/>
        <v>0</v>
      </c>
      <c r="CW20" s="24">
        <f t="shared" si="0"/>
        <v>0</v>
      </c>
      <c r="CX20" s="24">
        <f t="shared" si="0"/>
        <v>0</v>
      </c>
      <c r="CY20" s="24">
        <f t="shared" si="0"/>
        <v>0</v>
      </c>
      <c r="CZ20" s="24">
        <f t="shared" si="0"/>
        <v>0</v>
      </c>
      <c r="DA20" s="24">
        <f t="shared" si="0"/>
        <v>0</v>
      </c>
      <c r="DB20" s="24">
        <f t="shared" si="0"/>
        <v>0</v>
      </c>
      <c r="DC20" s="24">
        <f t="shared" si="0"/>
        <v>0</v>
      </c>
      <c r="DD20" s="24">
        <f t="shared" si="0"/>
        <v>0</v>
      </c>
      <c r="DE20" s="24">
        <f t="shared" si="0"/>
        <v>0</v>
      </c>
      <c r="DF20" s="24">
        <f t="shared" si="0"/>
        <v>0</v>
      </c>
      <c r="DG20" s="24">
        <f t="shared" si="0"/>
        <v>0</v>
      </c>
      <c r="DH20" s="24">
        <f t="shared" si="0"/>
        <v>0</v>
      </c>
      <c r="DI20" s="24">
        <f t="shared" si="0"/>
        <v>0</v>
      </c>
      <c r="DJ20" s="24">
        <f t="shared" si="0"/>
        <v>0</v>
      </c>
      <c r="DK20" s="24">
        <f t="shared" si="0"/>
        <v>0</v>
      </c>
      <c r="DL20" s="24">
        <f t="shared" si="0"/>
        <v>0</v>
      </c>
      <c r="DM20" s="24">
        <f t="shared" si="0"/>
        <v>0</v>
      </c>
      <c r="DN20" s="24">
        <f t="shared" si="0"/>
        <v>0</v>
      </c>
      <c r="DO20" s="24">
        <f t="shared" si="0"/>
        <v>0</v>
      </c>
      <c r="DP20" s="24">
        <f t="shared" si="0"/>
        <v>0</v>
      </c>
      <c r="DQ20" s="24">
        <f t="shared" si="0"/>
        <v>0</v>
      </c>
      <c r="DR20" s="24">
        <f t="shared" si="1"/>
        <v>0</v>
      </c>
      <c r="DS20" s="24">
        <f>Calculations!B93</f>
        <v>0</v>
      </c>
      <c r="DT20" s="24">
        <f>Calculations!C93</f>
        <v>0</v>
      </c>
      <c r="DU20" s="24">
        <f>Calculations!D93</f>
        <v>0</v>
      </c>
      <c r="DV20" s="24">
        <f>Calculations!E93</f>
        <v>0</v>
      </c>
      <c r="DW20" s="24">
        <f>Calculations!F93</f>
        <v>0</v>
      </c>
      <c r="DX20" s="24">
        <f>Calculations!G93</f>
        <v>0</v>
      </c>
      <c r="DY20" s="24">
        <f>Calculations!H93</f>
        <v>0</v>
      </c>
      <c r="DZ20" s="24">
        <f>Calculations!I93</f>
        <v>0</v>
      </c>
      <c r="EA20" s="24">
        <f>Calculations!J93</f>
        <v>0</v>
      </c>
      <c r="EB20" s="24">
        <f>IF(Calculations!K66="",0,Calculations!K66)</f>
        <v>0</v>
      </c>
      <c r="EC20" s="24">
        <f>IF(Calculations!L66="",0,Calculations!L66)</f>
        <v>0</v>
      </c>
      <c r="ED20" s="24">
        <v>0</v>
      </c>
      <c r="EE20" s="24">
        <v>0</v>
      </c>
      <c r="EF20" s="24">
        <v>0</v>
      </c>
      <c r="EG20" s="24">
        <v>0</v>
      </c>
      <c r="EH20" s="24">
        <v>0</v>
      </c>
      <c r="EI20" s="24">
        <v>0</v>
      </c>
      <c r="EJ20" s="24">
        <v>0</v>
      </c>
      <c r="EK20" s="24">
        <v>0</v>
      </c>
      <c r="EL20" s="24">
        <v>0</v>
      </c>
      <c r="EM20" s="24">
        <v>0</v>
      </c>
      <c r="EN20" s="24">
        <v>0</v>
      </c>
      <c r="EO20" s="24">
        <v>0</v>
      </c>
      <c r="EP20" s="24">
        <v>0</v>
      </c>
      <c r="EQ20" s="24">
        <v>0</v>
      </c>
      <c r="ER20" s="24">
        <v>0</v>
      </c>
      <c r="ES20" s="24">
        <v>0</v>
      </c>
      <c r="ET20" s="24">
        <v>0</v>
      </c>
      <c r="EU20" s="24">
        <v>0</v>
      </c>
      <c r="EV20" s="24">
        <v>0</v>
      </c>
      <c r="EW20" s="24">
        <v>0</v>
      </c>
      <c r="EX20" s="24">
        <v>0</v>
      </c>
      <c r="EY20" s="24">
        <v>0</v>
      </c>
      <c r="EZ20" s="24">
        <v>0</v>
      </c>
      <c r="FA20" s="24">
        <v>0</v>
      </c>
      <c r="FB20" s="24">
        <v>0</v>
      </c>
      <c r="FC20" s="24">
        <v>0</v>
      </c>
      <c r="FD20" s="24">
        <v>0</v>
      </c>
      <c r="FE20" s="24">
        <v>0</v>
      </c>
      <c r="FF20" s="24">
        <v>0</v>
      </c>
      <c r="FG20" s="24">
        <v>0</v>
      </c>
      <c r="FH20" s="24">
        <v>0</v>
      </c>
      <c r="FI20" s="24">
        <v>0</v>
      </c>
      <c r="FJ20" s="24">
        <v>0</v>
      </c>
      <c r="FK20" s="24">
        <v>0</v>
      </c>
      <c r="FL20" s="24">
        <v>0</v>
      </c>
      <c r="FM20" s="24">
        <v>0</v>
      </c>
      <c r="FN20" s="24">
        <v>0</v>
      </c>
      <c r="FO20" s="24">
        <v>0</v>
      </c>
      <c r="FP20" s="24">
        <v>0</v>
      </c>
      <c r="FQ20" s="24">
        <v>0</v>
      </c>
      <c r="FR20" s="24">
        <v>0</v>
      </c>
      <c r="FS20" s="24">
        <v>0</v>
      </c>
      <c r="FT20" s="24">
        <v>0</v>
      </c>
      <c r="FU20" s="24">
        <v>0</v>
      </c>
      <c r="FV20" s="24">
        <v>0</v>
      </c>
      <c r="FW20" s="24">
        <v>0</v>
      </c>
      <c r="FX20" s="24">
        <v>0</v>
      </c>
      <c r="FY20" s="24">
        <v>0</v>
      </c>
      <c r="FZ20" s="24">
        <v>0</v>
      </c>
      <c r="GA20" s="24">
        <v>0</v>
      </c>
      <c r="GB20" s="24">
        <v>0</v>
      </c>
      <c r="GC20" s="24">
        <v>0</v>
      </c>
      <c r="GD20" s="24">
        <v>0</v>
      </c>
      <c r="GE20" s="24">
        <v>0</v>
      </c>
      <c r="GF20" s="24">
        <v>0</v>
      </c>
      <c r="GG20" s="24">
        <v>0</v>
      </c>
      <c r="GH20" s="24">
        <v>0</v>
      </c>
      <c r="GI20" s="24">
        <v>0</v>
      </c>
      <c r="GJ20" s="24">
        <v>0</v>
      </c>
      <c r="GK20" s="24">
        <v>0</v>
      </c>
      <c r="GL20" s="24">
        <v>0</v>
      </c>
      <c r="GM20" s="24">
        <v>0</v>
      </c>
      <c r="GN20" s="24">
        <v>0</v>
      </c>
      <c r="GO20" s="24">
        <v>0</v>
      </c>
      <c r="GP20" s="24">
        <v>0</v>
      </c>
      <c r="GQ20" s="24">
        <v>0</v>
      </c>
      <c r="GR20" s="24">
        <v>0</v>
      </c>
      <c r="GS20" s="24">
        <v>0</v>
      </c>
      <c r="GT20" s="24">
        <v>0</v>
      </c>
      <c r="GU20" s="24">
        <v>0</v>
      </c>
      <c r="GV20" s="24">
        <v>0</v>
      </c>
      <c r="GW20" s="24">
        <v>0</v>
      </c>
      <c r="GX20" s="24">
        <v>0</v>
      </c>
      <c r="GY20" s="24">
        <v>0</v>
      </c>
      <c r="GZ20" s="24">
        <v>0</v>
      </c>
      <c r="HA20" s="24">
        <v>0</v>
      </c>
      <c r="HB20" s="24">
        <v>0</v>
      </c>
      <c r="HC20" s="24">
        <v>0</v>
      </c>
    </row>
    <row r="21" spans="1:211" x14ac:dyDescent="0.25">
      <c r="A21" t="s">
        <v>64</v>
      </c>
      <c r="B21" s="24">
        <v>0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f t="shared" si="0"/>
        <v>0</v>
      </c>
      <c r="BT21" s="24">
        <f t="shared" si="0"/>
        <v>0</v>
      </c>
      <c r="BU21" s="24">
        <f t="shared" si="0"/>
        <v>0</v>
      </c>
      <c r="BV21" s="24">
        <f t="shared" si="0"/>
        <v>0</v>
      </c>
      <c r="BW21" s="24">
        <f t="shared" si="0"/>
        <v>0</v>
      </c>
      <c r="BX21" s="24">
        <f t="shared" si="0"/>
        <v>0</v>
      </c>
      <c r="BY21" s="24">
        <f t="shared" si="0"/>
        <v>0</v>
      </c>
      <c r="BZ21" s="24">
        <f t="shared" si="0"/>
        <v>0</v>
      </c>
      <c r="CA21" s="24">
        <f t="shared" si="0"/>
        <v>0</v>
      </c>
      <c r="CB21" s="24">
        <f t="shared" si="0"/>
        <v>0</v>
      </c>
      <c r="CC21" s="24">
        <f t="shared" si="0"/>
        <v>0</v>
      </c>
      <c r="CD21" s="24">
        <f t="shared" si="0"/>
        <v>0</v>
      </c>
      <c r="CE21" s="24">
        <f t="shared" si="0"/>
        <v>0</v>
      </c>
      <c r="CF21" s="24">
        <f t="shared" si="0"/>
        <v>0</v>
      </c>
      <c r="CG21" s="24">
        <f t="shared" si="0"/>
        <v>0</v>
      </c>
      <c r="CH21" s="24">
        <f t="shared" si="0"/>
        <v>0</v>
      </c>
      <c r="CI21" s="24">
        <f t="shared" si="0"/>
        <v>0</v>
      </c>
      <c r="CJ21" s="24">
        <f t="shared" si="0"/>
        <v>0</v>
      </c>
      <c r="CK21" s="24">
        <f t="shared" si="0"/>
        <v>0</v>
      </c>
      <c r="CL21" s="24">
        <f t="shared" si="0"/>
        <v>0</v>
      </c>
      <c r="CM21" s="24">
        <f t="shared" si="0"/>
        <v>0</v>
      </c>
      <c r="CN21" s="24">
        <f t="shared" si="0"/>
        <v>0</v>
      </c>
      <c r="CO21" s="24">
        <f t="shared" si="0"/>
        <v>0</v>
      </c>
      <c r="CP21" s="24">
        <f t="shared" si="0"/>
        <v>0</v>
      </c>
      <c r="CQ21" s="24">
        <f t="shared" si="0"/>
        <v>0</v>
      </c>
      <c r="CR21" s="24">
        <f t="shared" si="0"/>
        <v>0</v>
      </c>
      <c r="CS21" s="24">
        <f t="shared" si="0"/>
        <v>0</v>
      </c>
      <c r="CT21" s="24">
        <f t="shared" si="0"/>
        <v>0</v>
      </c>
      <c r="CU21" s="24">
        <f t="shared" si="0"/>
        <v>0</v>
      </c>
      <c r="CV21" s="24">
        <f t="shared" si="0"/>
        <v>0</v>
      </c>
      <c r="CW21" s="24">
        <f t="shared" si="0"/>
        <v>0</v>
      </c>
      <c r="CX21" s="24">
        <f t="shared" si="0"/>
        <v>0</v>
      </c>
      <c r="CY21" s="24">
        <f t="shared" si="0"/>
        <v>0</v>
      </c>
      <c r="CZ21" s="24">
        <f t="shared" si="0"/>
        <v>0</v>
      </c>
      <c r="DA21" s="24">
        <f t="shared" si="0"/>
        <v>0</v>
      </c>
      <c r="DB21" s="24">
        <f t="shared" si="0"/>
        <v>0</v>
      </c>
      <c r="DC21" s="24">
        <f t="shared" si="0"/>
        <v>0</v>
      </c>
      <c r="DD21" s="24">
        <f t="shared" si="0"/>
        <v>0</v>
      </c>
      <c r="DE21" s="24">
        <f t="shared" si="0"/>
        <v>0</v>
      </c>
      <c r="DF21" s="24">
        <f t="shared" si="0"/>
        <v>0</v>
      </c>
      <c r="DG21" s="24">
        <f t="shared" si="0"/>
        <v>0</v>
      </c>
      <c r="DH21" s="24">
        <f t="shared" si="0"/>
        <v>0</v>
      </c>
      <c r="DI21" s="24">
        <f t="shared" si="0"/>
        <v>0</v>
      </c>
      <c r="DJ21" s="24">
        <f t="shared" si="0"/>
        <v>0</v>
      </c>
      <c r="DK21" s="24">
        <f t="shared" si="0"/>
        <v>0</v>
      </c>
      <c r="DL21" s="24">
        <f t="shared" si="0"/>
        <v>0</v>
      </c>
      <c r="DM21" s="24">
        <f t="shared" si="0"/>
        <v>0</v>
      </c>
      <c r="DN21" s="24">
        <f t="shared" si="0"/>
        <v>0</v>
      </c>
      <c r="DO21" s="24">
        <f t="shared" si="0"/>
        <v>0</v>
      </c>
      <c r="DP21" s="24">
        <f t="shared" si="0"/>
        <v>0</v>
      </c>
      <c r="DQ21" s="24">
        <f t="shared" si="0"/>
        <v>0</v>
      </c>
      <c r="DR21" s="24">
        <f t="shared" si="1"/>
        <v>0</v>
      </c>
      <c r="DS21" s="24">
        <f>Calculations!B94</f>
        <v>0</v>
      </c>
      <c r="DT21" s="24">
        <f>Calculations!C94</f>
        <v>0</v>
      </c>
      <c r="DU21" s="24">
        <f>Calculations!D94</f>
        <v>0</v>
      </c>
      <c r="DV21" s="24">
        <f>Calculations!E94</f>
        <v>0</v>
      </c>
      <c r="DW21" s="24">
        <f>Calculations!F94</f>
        <v>0</v>
      </c>
      <c r="DX21" s="24">
        <f>Calculations!G94</f>
        <v>0</v>
      </c>
      <c r="DY21" s="24">
        <f>Calculations!H94</f>
        <v>0</v>
      </c>
      <c r="DZ21" s="24">
        <f>Calculations!I94</f>
        <v>0</v>
      </c>
      <c r="EA21" s="24">
        <f>Calculations!J94</f>
        <v>0</v>
      </c>
      <c r="EB21" s="24">
        <f>IF(Calculations!K67="",0,Calculations!K67)</f>
        <v>0</v>
      </c>
      <c r="EC21" s="24">
        <f>IF(Calculations!L67="",0,Calculations!L67)</f>
        <v>0</v>
      </c>
      <c r="ED21" s="24">
        <v>0</v>
      </c>
      <c r="EE21" s="24">
        <v>0</v>
      </c>
      <c r="EF21" s="24">
        <v>0</v>
      </c>
      <c r="EG21" s="24">
        <v>0</v>
      </c>
      <c r="EH21" s="24">
        <v>0</v>
      </c>
      <c r="EI21" s="24">
        <v>0</v>
      </c>
      <c r="EJ21" s="24">
        <v>0</v>
      </c>
      <c r="EK21" s="24">
        <v>0</v>
      </c>
      <c r="EL21" s="24">
        <v>0</v>
      </c>
      <c r="EM21" s="24">
        <v>0</v>
      </c>
      <c r="EN21" s="24">
        <v>0</v>
      </c>
      <c r="EO21" s="24">
        <v>0</v>
      </c>
      <c r="EP21" s="24">
        <v>0</v>
      </c>
      <c r="EQ21" s="24">
        <v>0</v>
      </c>
      <c r="ER21" s="24">
        <v>0</v>
      </c>
      <c r="ES21" s="24">
        <v>0</v>
      </c>
      <c r="ET21" s="24">
        <v>0</v>
      </c>
      <c r="EU21" s="24">
        <v>0</v>
      </c>
      <c r="EV21" s="24">
        <v>0</v>
      </c>
      <c r="EW21" s="24">
        <v>0</v>
      </c>
      <c r="EX21" s="24">
        <v>0</v>
      </c>
      <c r="EY21" s="24">
        <v>0</v>
      </c>
      <c r="EZ21" s="24">
        <v>0</v>
      </c>
      <c r="FA21" s="24">
        <v>0</v>
      </c>
      <c r="FB21" s="24">
        <v>0</v>
      </c>
      <c r="FC21" s="24">
        <v>0</v>
      </c>
      <c r="FD21" s="24">
        <v>0</v>
      </c>
      <c r="FE21" s="24">
        <v>0</v>
      </c>
      <c r="FF21" s="24">
        <v>0</v>
      </c>
      <c r="FG21" s="24">
        <v>0</v>
      </c>
      <c r="FH21" s="24">
        <v>0</v>
      </c>
      <c r="FI21" s="24">
        <v>0</v>
      </c>
      <c r="FJ21" s="24">
        <v>0</v>
      </c>
      <c r="FK21" s="24">
        <v>0</v>
      </c>
      <c r="FL21" s="24">
        <v>0</v>
      </c>
      <c r="FM21" s="24">
        <v>0</v>
      </c>
      <c r="FN21" s="24">
        <v>0</v>
      </c>
      <c r="FO21" s="24">
        <v>0</v>
      </c>
      <c r="FP21" s="24">
        <v>0</v>
      </c>
      <c r="FQ21" s="24">
        <v>0</v>
      </c>
      <c r="FR21" s="24">
        <v>0</v>
      </c>
      <c r="FS21" s="24">
        <v>0</v>
      </c>
      <c r="FT21" s="24">
        <v>0</v>
      </c>
      <c r="FU21" s="24">
        <v>0</v>
      </c>
      <c r="FV21" s="24">
        <v>0</v>
      </c>
      <c r="FW21" s="24">
        <v>0</v>
      </c>
      <c r="FX21" s="24">
        <v>0</v>
      </c>
      <c r="FY21" s="24">
        <v>0</v>
      </c>
      <c r="FZ21" s="24">
        <v>0</v>
      </c>
      <c r="GA21" s="24">
        <v>0</v>
      </c>
      <c r="GB21" s="24">
        <v>0</v>
      </c>
      <c r="GC21" s="24">
        <v>0</v>
      </c>
      <c r="GD21" s="24">
        <v>0</v>
      </c>
      <c r="GE21" s="24">
        <v>0</v>
      </c>
      <c r="GF21" s="24">
        <v>0</v>
      </c>
      <c r="GG21" s="24">
        <v>0</v>
      </c>
      <c r="GH21" s="24">
        <v>0</v>
      </c>
      <c r="GI21" s="24">
        <v>0</v>
      </c>
      <c r="GJ21" s="24">
        <v>0</v>
      </c>
      <c r="GK21" s="24">
        <v>0</v>
      </c>
      <c r="GL21" s="24">
        <v>0</v>
      </c>
      <c r="GM21" s="24">
        <v>0</v>
      </c>
      <c r="GN21" s="24">
        <v>0</v>
      </c>
      <c r="GO21" s="24">
        <v>0</v>
      </c>
      <c r="GP21" s="24">
        <v>0</v>
      </c>
      <c r="GQ21" s="24">
        <v>0</v>
      </c>
      <c r="GR21" s="24">
        <v>0</v>
      </c>
      <c r="GS21" s="24">
        <v>0</v>
      </c>
      <c r="GT21" s="24">
        <v>0</v>
      </c>
      <c r="GU21" s="24">
        <v>0</v>
      </c>
      <c r="GV21" s="24">
        <v>0</v>
      </c>
      <c r="GW21" s="24">
        <v>0</v>
      </c>
      <c r="GX21" s="24">
        <v>0</v>
      </c>
      <c r="GY21" s="24">
        <v>0</v>
      </c>
      <c r="GZ21" s="24">
        <v>0</v>
      </c>
      <c r="HA21" s="24">
        <v>0</v>
      </c>
      <c r="HB21" s="24">
        <v>0</v>
      </c>
      <c r="HC21" s="24">
        <v>0</v>
      </c>
    </row>
    <row r="22" spans="1:211" x14ac:dyDescent="0.25">
      <c r="A22" t="s">
        <v>65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M22" s="24">
        <v>0</v>
      </c>
      <c r="BN22" s="24">
        <v>0</v>
      </c>
      <c r="BO22" s="24">
        <v>0</v>
      </c>
      <c r="BP22" s="24">
        <v>0</v>
      </c>
      <c r="BQ22" s="24">
        <v>0</v>
      </c>
      <c r="BR22" s="24">
        <v>0</v>
      </c>
      <c r="BS22" s="24">
        <f t="shared" ref="BS22:DQ25" si="2">$DS22</f>
        <v>0</v>
      </c>
      <c r="BT22" s="24">
        <f t="shared" si="2"/>
        <v>0</v>
      </c>
      <c r="BU22" s="24">
        <f t="shared" si="2"/>
        <v>0</v>
      </c>
      <c r="BV22" s="24">
        <f t="shared" si="2"/>
        <v>0</v>
      </c>
      <c r="BW22" s="24">
        <f t="shared" si="2"/>
        <v>0</v>
      </c>
      <c r="BX22" s="24">
        <f t="shared" si="2"/>
        <v>0</v>
      </c>
      <c r="BY22" s="24">
        <f t="shared" si="2"/>
        <v>0</v>
      </c>
      <c r="BZ22" s="24">
        <f t="shared" si="2"/>
        <v>0</v>
      </c>
      <c r="CA22" s="24">
        <f t="shared" si="2"/>
        <v>0</v>
      </c>
      <c r="CB22" s="24">
        <f t="shared" si="2"/>
        <v>0</v>
      </c>
      <c r="CC22" s="24">
        <f t="shared" si="2"/>
        <v>0</v>
      </c>
      <c r="CD22" s="24">
        <f t="shared" si="2"/>
        <v>0</v>
      </c>
      <c r="CE22" s="24">
        <f t="shared" si="2"/>
        <v>0</v>
      </c>
      <c r="CF22" s="24">
        <f t="shared" si="2"/>
        <v>0</v>
      </c>
      <c r="CG22" s="24">
        <f t="shared" si="2"/>
        <v>0</v>
      </c>
      <c r="CH22" s="24">
        <f t="shared" si="2"/>
        <v>0</v>
      </c>
      <c r="CI22" s="24">
        <f t="shared" si="2"/>
        <v>0</v>
      </c>
      <c r="CJ22" s="24">
        <f t="shared" si="2"/>
        <v>0</v>
      </c>
      <c r="CK22" s="24">
        <f t="shared" si="2"/>
        <v>0</v>
      </c>
      <c r="CL22" s="24">
        <f t="shared" si="2"/>
        <v>0</v>
      </c>
      <c r="CM22" s="24">
        <f t="shared" si="2"/>
        <v>0</v>
      </c>
      <c r="CN22" s="24">
        <f t="shared" si="2"/>
        <v>0</v>
      </c>
      <c r="CO22" s="24">
        <f t="shared" si="2"/>
        <v>0</v>
      </c>
      <c r="CP22" s="24">
        <f t="shared" si="2"/>
        <v>0</v>
      </c>
      <c r="CQ22" s="24">
        <f t="shared" si="2"/>
        <v>0</v>
      </c>
      <c r="CR22" s="24">
        <f t="shared" si="2"/>
        <v>0</v>
      </c>
      <c r="CS22" s="24">
        <f t="shared" si="2"/>
        <v>0</v>
      </c>
      <c r="CT22" s="24">
        <f t="shared" si="2"/>
        <v>0</v>
      </c>
      <c r="CU22" s="24">
        <f t="shared" si="2"/>
        <v>0</v>
      </c>
      <c r="CV22" s="24">
        <f t="shared" si="2"/>
        <v>0</v>
      </c>
      <c r="CW22" s="24">
        <f t="shared" si="2"/>
        <v>0</v>
      </c>
      <c r="CX22" s="24">
        <f t="shared" si="2"/>
        <v>0</v>
      </c>
      <c r="CY22" s="24">
        <f t="shared" si="2"/>
        <v>0</v>
      </c>
      <c r="CZ22" s="24">
        <f t="shared" si="2"/>
        <v>0</v>
      </c>
      <c r="DA22" s="24">
        <f t="shared" si="2"/>
        <v>0</v>
      </c>
      <c r="DB22" s="24">
        <f t="shared" si="2"/>
        <v>0</v>
      </c>
      <c r="DC22" s="24">
        <f t="shared" si="2"/>
        <v>0</v>
      </c>
      <c r="DD22" s="24">
        <f t="shared" si="2"/>
        <v>0</v>
      </c>
      <c r="DE22" s="24">
        <f t="shared" si="2"/>
        <v>0</v>
      </c>
      <c r="DF22" s="24">
        <f t="shared" si="2"/>
        <v>0</v>
      </c>
      <c r="DG22" s="24">
        <f t="shared" si="2"/>
        <v>0</v>
      </c>
      <c r="DH22" s="24">
        <f t="shared" si="2"/>
        <v>0</v>
      </c>
      <c r="DI22" s="24">
        <f t="shared" si="2"/>
        <v>0</v>
      </c>
      <c r="DJ22" s="24">
        <f t="shared" si="2"/>
        <v>0</v>
      </c>
      <c r="DK22" s="24">
        <f t="shared" si="2"/>
        <v>0</v>
      </c>
      <c r="DL22" s="24">
        <f t="shared" si="2"/>
        <v>0</v>
      </c>
      <c r="DM22" s="24">
        <f t="shared" si="2"/>
        <v>0</v>
      </c>
      <c r="DN22" s="24">
        <f t="shared" si="2"/>
        <v>0</v>
      </c>
      <c r="DO22" s="24">
        <f t="shared" si="2"/>
        <v>0</v>
      </c>
      <c r="DP22" s="24">
        <f t="shared" si="2"/>
        <v>0</v>
      </c>
      <c r="DQ22" s="24">
        <f t="shared" si="2"/>
        <v>0</v>
      </c>
      <c r="DR22" s="24">
        <f t="shared" si="1"/>
        <v>0</v>
      </c>
      <c r="DS22" s="24">
        <f>Calculations!B95</f>
        <v>0</v>
      </c>
      <c r="DT22" s="24">
        <f>Calculations!C95</f>
        <v>0</v>
      </c>
      <c r="DU22" s="24">
        <f>Calculations!D95</f>
        <v>0</v>
      </c>
      <c r="DV22" s="24">
        <f>Calculations!E95</f>
        <v>0</v>
      </c>
      <c r="DW22" s="24">
        <f>Calculations!F95</f>
        <v>0</v>
      </c>
      <c r="DX22" s="24">
        <f>Calculations!G95</f>
        <v>0</v>
      </c>
      <c r="DY22" s="24">
        <f>Calculations!H95</f>
        <v>0</v>
      </c>
      <c r="DZ22" s="24">
        <f>Calculations!I95</f>
        <v>0</v>
      </c>
      <c r="EA22" s="24">
        <f>Calculations!J95</f>
        <v>0</v>
      </c>
      <c r="EB22" s="24">
        <f>IF(Calculations!K68="",0,Calculations!K68)</f>
        <v>0</v>
      </c>
      <c r="EC22" s="24">
        <f>IF(Calculations!L68="",0,Calculations!L68)</f>
        <v>0</v>
      </c>
      <c r="ED22" s="24">
        <v>0</v>
      </c>
      <c r="EE22" s="24">
        <v>0</v>
      </c>
      <c r="EF22" s="24">
        <v>0</v>
      </c>
      <c r="EG22" s="24">
        <v>0</v>
      </c>
      <c r="EH22" s="24">
        <v>0</v>
      </c>
      <c r="EI22" s="24">
        <v>0</v>
      </c>
      <c r="EJ22" s="24">
        <v>0</v>
      </c>
      <c r="EK22" s="24">
        <v>0</v>
      </c>
      <c r="EL22" s="24">
        <v>0</v>
      </c>
      <c r="EM22" s="24">
        <v>0</v>
      </c>
      <c r="EN22" s="24">
        <v>0</v>
      </c>
      <c r="EO22" s="24">
        <v>0</v>
      </c>
      <c r="EP22" s="24">
        <v>0</v>
      </c>
      <c r="EQ22" s="24">
        <v>0</v>
      </c>
      <c r="ER22" s="24">
        <v>0</v>
      </c>
      <c r="ES22" s="24">
        <v>0</v>
      </c>
      <c r="ET22" s="24">
        <v>0</v>
      </c>
      <c r="EU22" s="24">
        <v>0</v>
      </c>
      <c r="EV22" s="24">
        <v>0</v>
      </c>
      <c r="EW22" s="24">
        <v>0</v>
      </c>
      <c r="EX22" s="24">
        <v>0</v>
      </c>
      <c r="EY22" s="24">
        <v>0</v>
      </c>
      <c r="EZ22" s="24">
        <v>0</v>
      </c>
      <c r="FA22" s="24">
        <v>0</v>
      </c>
      <c r="FB22" s="24">
        <v>0</v>
      </c>
      <c r="FC22" s="24">
        <v>0</v>
      </c>
      <c r="FD22" s="24">
        <v>0</v>
      </c>
      <c r="FE22" s="24">
        <v>0</v>
      </c>
      <c r="FF22" s="24">
        <v>0</v>
      </c>
      <c r="FG22" s="24">
        <v>0</v>
      </c>
      <c r="FH22" s="24">
        <v>0</v>
      </c>
      <c r="FI22" s="24">
        <v>0</v>
      </c>
      <c r="FJ22" s="24">
        <v>0</v>
      </c>
      <c r="FK22" s="24">
        <v>0</v>
      </c>
      <c r="FL22" s="24">
        <v>0</v>
      </c>
      <c r="FM22" s="24">
        <v>0</v>
      </c>
      <c r="FN22" s="24">
        <v>0</v>
      </c>
      <c r="FO22" s="24">
        <v>0</v>
      </c>
      <c r="FP22" s="24">
        <v>0</v>
      </c>
      <c r="FQ22" s="24">
        <v>0</v>
      </c>
      <c r="FR22" s="24">
        <v>0</v>
      </c>
      <c r="FS22" s="24">
        <v>0</v>
      </c>
      <c r="FT22" s="24">
        <v>0</v>
      </c>
      <c r="FU22" s="24">
        <v>0</v>
      </c>
      <c r="FV22" s="24">
        <v>0</v>
      </c>
      <c r="FW22" s="24">
        <v>0</v>
      </c>
      <c r="FX22" s="24">
        <v>0</v>
      </c>
      <c r="FY22" s="24">
        <v>0</v>
      </c>
      <c r="FZ22" s="24">
        <v>0</v>
      </c>
      <c r="GA22" s="24">
        <v>0</v>
      </c>
      <c r="GB22" s="24">
        <v>0</v>
      </c>
      <c r="GC22" s="24">
        <v>0</v>
      </c>
      <c r="GD22" s="24">
        <v>0</v>
      </c>
      <c r="GE22" s="24">
        <v>0</v>
      </c>
      <c r="GF22" s="24">
        <v>0</v>
      </c>
      <c r="GG22" s="24">
        <v>0</v>
      </c>
      <c r="GH22" s="24">
        <v>0</v>
      </c>
      <c r="GI22" s="24">
        <v>0</v>
      </c>
      <c r="GJ22" s="24">
        <v>0</v>
      </c>
      <c r="GK22" s="24">
        <v>0</v>
      </c>
      <c r="GL22" s="24">
        <v>0</v>
      </c>
      <c r="GM22" s="24">
        <v>0</v>
      </c>
      <c r="GN22" s="24">
        <v>0</v>
      </c>
      <c r="GO22" s="24">
        <v>0</v>
      </c>
      <c r="GP22" s="24">
        <v>0</v>
      </c>
      <c r="GQ22" s="24">
        <v>0</v>
      </c>
      <c r="GR22" s="24">
        <v>0</v>
      </c>
      <c r="GS22" s="24">
        <v>0</v>
      </c>
      <c r="GT22" s="24">
        <v>0</v>
      </c>
      <c r="GU22" s="24">
        <v>0</v>
      </c>
      <c r="GV22" s="24">
        <v>0</v>
      </c>
      <c r="GW22" s="24">
        <v>0</v>
      </c>
      <c r="GX22" s="24">
        <v>0</v>
      </c>
      <c r="GY22" s="24">
        <v>0</v>
      </c>
      <c r="GZ22" s="24">
        <v>0</v>
      </c>
      <c r="HA22" s="24">
        <v>0</v>
      </c>
      <c r="HB22" s="24">
        <v>0</v>
      </c>
      <c r="HC22" s="24">
        <v>0</v>
      </c>
    </row>
    <row r="23" spans="1:211" x14ac:dyDescent="0.25">
      <c r="A23" t="s">
        <v>66</v>
      </c>
      <c r="B23" s="24">
        <v>0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4">
        <v>0</v>
      </c>
      <c r="AG23" s="24">
        <v>0</v>
      </c>
      <c r="AH23" s="24">
        <v>0</v>
      </c>
      <c r="AI23" s="24">
        <v>0</v>
      </c>
      <c r="AJ23" s="24">
        <v>0</v>
      </c>
      <c r="AK23" s="24">
        <v>0</v>
      </c>
      <c r="AL23" s="24">
        <v>0</v>
      </c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0</v>
      </c>
      <c r="AY23" s="24">
        <v>0</v>
      </c>
      <c r="AZ23" s="24">
        <v>0</v>
      </c>
      <c r="BA23" s="24">
        <v>0</v>
      </c>
      <c r="BB23" s="24">
        <v>0</v>
      </c>
      <c r="BC23" s="24">
        <v>0</v>
      </c>
      <c r="BD23" s="24">
        <v>0</v>
      </c>
      <c r="BE23" s="24">
        <v>0</v>
      </c>
      <c r="BF23" s="24">
        <v>0</v>
      </c>
      <c r="BG23" s="24">
        <v>0</v>
      </c>
      <c r="BH23" s="24">
        <v>0</v>
      </c>
      <c r="BI23" s="24">
        <v>0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24">
        <v>0</v>
      </c>
      <c r="BP23" s="24">
        <v>0</v>
      </c>
      <c r="BQ23" s="24">
        <v>0</v>
      </c>
      <c r="BR23" s="24">
        <v>0</v>
      </c>
      <c r="BS23" s="24">
        <f t="shared" si="2"/>
        <v>0</v>
      </c>
      <c r="BT23" s="24">
        <f t="shared" si="2"/>
        <v>0</v>
      </c>
      <c r="BU23" s="24">
        <f t="shared" si="2"/>
        <v>0</v>
      </c>
      <c r="BV23" s="24">
        <f t="shared" si="2"/>
        <v>0</v>
      </c>
      <c r="BW23" s="24">
        <f t="shared" si="2"/>
        <v>0</v>
      </c>
      <c r="BX23" s="24">
        <f t="shared" si="2"/>
        <v>0</v>
      </c>
      <c r="BY23" s="24">
        <f t="shared" si="2"/>
        <v>0</v>
      </c>
      <c r="BZ23" s="24">
        <f t="shared" si="2"/>
        <v>0</v>
      </c>
      <c r="CA23" s="24">
        <f t="shared" si="2"/>
        <v>0</v>
      </c>
      <c r="CB23" s="24">
        <f t="shared" si="2"/>
        <v>0</v>
      </c>
      <c r="CC23" s="24">
        <f t="shared" si="2"/>
        <v>0</v>
      </c>
      <c r="CD23" s="24">
        <f t="shared" si="2"/>
        <v>0</v>
      </c>
      <c r="CE23" s="24">
        <f t="shared" si="2"/>
        <v>0</v>
      </c>
      <c r="CF23" s="24">
        <f t="shared" si="2"/>
        <v>0</v>
      </c>
      <c r="CG23" s="24">
        <f t="shared" si="2"/>
        <v>0</v>
      </c>
      <c r="CH23" s="24">
        <f t="shared" si="2"/>
        <v>0</v>
      </c>
      <c r="CI23" s="24">
        <f t="shared" si="2"/>
        <v>0</v>
      </c>
      <c r="CJ23" s="24">
        <f t="shared" si="2"/>
        <v>0</v>
      </c>
      <c r="CK23" s="24">
        <f t="shared" si="2"/>
        <v>0</v>
      </c>
      <c r="CL23" s="24">
        <f t="shared" si="2"/>
        <v>0</v>
      </c>
      <c r="CM23" s="24">
        <f t="shared" si="2"/>
        <v>0</v>
      </c>
      <c r="CN23" s="24">
        <f t="shared" si="2"/>
        <v>0</v>
      </c>
      <c r="CO23" s="24">
        <f t="shared" si="2"/>
        <v>0</v>
      </c>
      <c r="CP23" s="24">
        <f t="shared" si="2"/>
        <v>0</v>
      </c>
      <c r="CQ23" s="24">
        <f t="shared" si="2"/>
        <v>0</v>
      </c>
      <c r="CR23" s="24">
        <f t="shared" si="2"/>
        <v>0</v>
      </c>
      <c r="CS23" s="24">
        <f t="shared" si="2"/>
        <v>0</v>
      </c>
      <c r="CT23" s="24">
        <f t="shared" si="2"/>
        <v>0</v>
      </c>
      <c r="CU23" s="24">
        <f t="shared" si="2"/>
        <v>0</v>
      </c>
      <c r="CV23" s="24">
        <f t="shared" si="2"/>
        <v>0</v>
      </c>
      <c r="CW23" s="24">
        <f t="shared" si="2"/>
        <v>0</v>
      </c>
      <c r="CX23" s="24">
        <f t="shared" si="2"/>
        <v>0</v>
      </c>
      <c r="CY23" s="24">
        <f t="shared" si="2"/>
        <v>0</v>
      </c>
      <c r="CZ23" s="24">
        <f t="shared" si="2"/>
        <v>0</v>
      </c>
      <c r="DA23" s="24">
        <f t="shared" si="2"/>
        <v>0</v>
      </c>
      <c r="DB23" s="24">
        <f t="shared" si="2"/>
        <v>0</v>
      </c>
      <c r="DC23" s="24">
        <f t="shared" si="2"/>
        <v>0</v>
      </c>
      <c r="DD23" s="24">
        <f t="shared" si="2"/>
        <v>0</v>
      </c>
      <c r="DE23" s="24">
        <f t="shared" si="2"/>
        <v>0</v>
      </c>
      <c r="DF23" s="24">
        <f t="shared" si="2"/>
        <v>0</v>
      </c>
      <c r="DG23" s="24">
        <f t="shared" si="2"/>
        <v>0</v>
      </c>
      <c r="DH23" s="24">
        <f t="shared" si="2"/>
        <v>0</v>
      </c>
      <c r="DI23" s="24">
        <f t="shared" si="2"/>
        <v>0</v>
      </c>
      <c r="DJ23" s="24">
        <f t="shared" si="2"/>
        <v>0</v>
      </c>
      <c r="DK23" s="24">
        <f t="shared" si="2"/>
        <v>0</v>
      </c>
      <c r="DL23" s="24">
        <f t="shared" si="2"/>
        <v>0</v>
      </c>
      <c r="DM23" s="24">
        <f t="shared" si="2"/>
        <v>0</v>
      </c>
      <c r="DN23" s="24">
        <f t="shared" si="2"/>
        <v>0</v>
      </c>
      <c r="DO23" s="24">
        <f t="shared" si="2"/>
        <v>0</v>
      </c>
      <c r="DP23" s="24">
        <f t="shared" si="2"/>
        <v>0</v>
      </c>
      <c r="DQ23" s="24">
        <f t="shared" si="2"/>
        <v>0</v>
      </c>
      <c r="DR23" s="24">
        <f t="shared" si="1"/>
        <v>0</v>
      </c>
      <c r="DS23" s="24">
        <f>Calculations!B96</f>
        <v>0</v>
      </c>
      <c r="DT23" s="24">
        <f>Calculations!C96</f>
        <v>0</v>
      </c>
      <c r="DU23" s="24">
        <f>Calculations!D96</f>
        <v>0</v>
      </c>
      <c r="DV23" s="24">
        <f>Calculations!E96</f>
        <v>0</v>
      </c>
      <c r="DW23" s="24">
        <f>Calculations!F96</f>
        <v>0</v>
      </c>
      <c r="DX23" s="24">
        <f>Calculations!G96</f>
        <v>0</v>
      </c>
      <c r="DY23" s="24">
        <f>Calculations!H96</f>
        <v>0</v>
      </c>
      <c r="DZ23" s="24">
        <f>Calculations!I96</f>
        <v>0</v>
      </c>
      <c r="EA23" s="24">
        <f>Calculations!J96</f>
        <v>0</v>
      </c>
      <c r="EB23" s="24">
        <f>IF(Calculations!K69="",0,Calculations!K69)</f>
        <v>0</v>
      </c>
      <c r="EC23" s="24">
        <f>IF(Calculations!L69="",0,Calculations!L69)</f>
        <v>0</v>
      </c>
      <c r="ED23" s="24">
        <v>0</v>
      </c>
      <c r="EE23" s="24">
        <v>0</v>
      </c>
      <c r="EF23" s="24">
        <v>0</v>
      </c>
      <c r="EG23" s="24">
        <v>0</v>
      </c>
      <c r="EH23" s="24">
        <v>0</v>
      </c>
      <c r="EI23" s="24">
        <v>0</v>
      </c>
      <c r="EJ23" s="24">
        <v>0</v>
      </c>
      <c r="EK23" s="24">
        <v>0</v>
      </c>
      <c r="EL23" s="24">
        <v>0</v>
      </c>
      <c r="EM23" s="24">
        <v>0</v>
      </c>
      <c r="EN23" s="24">
        <v>0</v>
      </c>
      <c r="EO23" s="24">
        <v>0</v>
      </c>
      <c r="EP23" s="24">
        <v>0</v>
      </c>
      <c r="EQ23" s="24">
        <v>0</v>
      </c>
      <c r="ER23" s="24">
        <v>0</v>
      </c>
      <c r="ES23" s="24">
        <v>0</v>
      </c>
      <c r="ET23" s="24">
        <v>0</v>
      </c>
      <c r="EU23" s="24">
        <v>0</v>
      </c>
      <c r="EV23" s="24">
        <v>0</v>
      </c>
      <c r="EW23" s="24">
        <v>0</v>
      </c>
      <c r="EX23" s="24">
        <v>0</v>
      </c>
      <c r="EY23" s="24">
        <v>0</v>
      </c>
      <c r="EZ23" s="24">
        <v>0</v>
      </c>
      <c r="FA23" s="24">
        <v>0</v>
      </c>
      <c r="FB23" s="24">
        <v>0</v>
      </c>
      <c r="FC23" s="24">
        <v>0</v>
      </c>
      <c r="FD23" s="24">
        <v>0</v>
      </c>
      <c r="FE23" s="24">
        <v>0</v>
      </c>
      <c r="FF23" s="24">
        <v>0</v>
      </c>
      <c r="FG23" s="24">
        <v>0</v>
      </c>
      <c r="FH23" s="24">
        <v>0</v>
      </c>
      <c r="FI23" s="24">
        <v>0</v>
      </c>
      <c r="FJ23" s="24">
        <v>0</v>
      </c>
      <c r="FK23" s="24">
        <v>0</v>
      </c>
      <c r="FL23" s="24">
        <v>0</v>
      </c>
      <c r="FM23" s="24">
        <v>0</v>
      </c>
      <c r="FN23" s="24">
        <v>0</v>
      </c>
      <c r="FO23" s="24">
        <v>0</v>
      </c>
      <c r="FP23" s="24">
        <v>0</v>
      </c>
      <c r="FQ23" s="24">
        <v>0</v>
      </c>
      <c r="FR23" s="24">
        <v>0</v>
      </c>
      <c r="FS23" s="24">
        <v>0</v>
      </c>
      <c r="FT23" s="24">
        <v>0</v>
      </c>
      <c r="FU23" s="24">
        <v>0</v>
      </c>
      <c r="FV23" s="24">
        <v>0</v>
      </c>
      <c r="FW23" s="24">
        <v>0</v>
      </c>
      <c r="FX23" s="24">
        <v>0</v>
      </c>
      <c r="FY23" s="24">
        <v>0</v>
      </c>
      <c r="FZ23" s="24">
        <v>0</v>
      </c>
      <c r="GA23" s="24">
        <v>0</v>
      </c>
      <c r="GB23" s="24">
        <v>0</v>
      </c>
      <c r="GC23" s="24">
        <v>0</v>
      </c>
      <c r="GD23" s="24">
        <v>0</v>
      </c>
      <c r="GE23" s="24">
        <v>0</v>
      </c>
      <c r="GF23" s="24">
        <v>0</v>
      </c>
      <c r="GG23" s="24">
        <v>0</v>
      </c>
      <c r="GH23" s="24">
        <v>0</v>
      </c>
      <c r="GI23" s="24">
        <v>0</v>
      </c>
      <c r="GJ23" s="24">
        <v>0</v>
      </c>
      <c r="GK23" s="24">
        <v>0</v>
      </c>
      <c r="GL23" s="24">
        <v>0</v>
      </c>
      <c r="GM23" s="24">
        <v>0</v>
      </c>
      <c r="GN23" s="24">
        <v>0</v>
      </c>
      <c r="GO23" s="24">
        <v>0</v>
      </c>
      <c r="GP23" s="24">
        <v>0</v>
      </c>
      <c r="GQ23" s="24">
        <v>0</v>
      </c>
      <c r="GR23" s="24">
        <v>0</v>
      </c>
      <c r="GS23" s="24">
        <v>0</v>
      </c>
      <c r="GT23" s="24">
        <v>0</v>
      </c>
      <c r="GU23" s="24">
        <v>0</v>
      </c>
      <c r="GV23" s="24">
        <v>0</v>
      </c>
      <c r="GW23" s="24">
        <v>0</v>
      </c>
      <c r="GX23" s="24">
        <v>0</v>
      </c>
      <c r="GY23" s="24">
        <v>0</v>
      </c>
      <c r="GZ23" s="24">
        <v>0</v>
      </c>
      <c r="HA23" s="24">
        <v>0</v>
      </c>
      <c r="HB23" s="24">
        <v>0</v>
      </c>
      <c r="HC23" s="24">
        <v>0</v>
      </c>
    </row>
    <row r="24" spans="1:211" x14ac:dyDescent="0.25">
      <c r="A24" t="s">
        <v>67</v>
      </c>
      <c r="B24" s="24">
        <v>0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24">
        <v>0</v>
      </c>
      <c r="AX24" s="24">
        <v>0</v>
      </c>
      <c r="AY24" s="24">
        <v>0</v>
      </c>
      <c r="AZ24" s="24">
        <v>0</v>
      </c>
      <c r="BA24" s="24">
        <v>0</v>
      </c>
      <c r="BB24" s="24">
        <v>0</v>
      </c>
      <c r="BC24" s="24">
        <v>0</v>
      </c>
      <c r="BD24" s="24">
        <v>0</v>
      </c>
      <c r="BE24" s="24">
        <v>0</v>
      </c>
      <c r="BF24" s="24">
        <v>0</v>
      </c>
      <c r="BG24" s="24">
        <v>0</v>
      </c>
      <c r="BH24" s="24">
        <v>0</v>
      </c>
      <c r="BI24" s="24">
        <v>0</v>
      </c>
      <c r="BJ24" s="24">
        <v>0</v>
      </c>
      <c r="BK24" s="24">
        <v>0</v>
      </c>
      <c r="BL24" s="24">
        <v>0</v>
      </c>
      <c r="BM24" s="24">
        <v>0</v>
      </c>
      <c r="BN24" s="24">
        <v>0</v>
      </c>
      <c r="BO24" s="24">
        <v>0</v>
      </c>
      <c r="BP24" s="24">
        <v>0</v>
      </c>
      <c r="BQ24" s="24">
        <v>0</v>
      </c>
      <c r="BR24" s="24">
        <v>0</v>
      </c>
      <c r="BS24" s="24">
        <f t="shared" si="2"/>
        <v>0</v>
      </c>
      <c r="BT24" s="24">
        <f t="shared" si="2"/>
        <v>0</v>
      </c>
      <c r="BU24" s="24">
        <f t="shared" si="2"/>
        <v>0</v>
      </c>
      <c r="BV24" s="24">
        <f t="shared" si="2"/>
        <v>0</v>
      </c>
      <c r="BW24" s="24">
        <f t="shared" si="2"/>
        <v>0</v>
      </c>
      <c r="BX24" s="24">
        <f t="shared" si="2"/>
        <v>0</v>
      </c>
      <c r="BY24" s="24">
        <f t="shared" si="2"/>
        <v>0</v>
      </c>
      <c r="BZ24" s="24">
        <f t="shared" si="2"/>
        <v>0</v>
      </c>
      <c r="CA24" s="24">
        <f t="shared" si="2"/>
        <v>0</v>
      </c>
      <c r="CB24" s="24">
        <f t="shared" si="2"/>
        <v>0</v>
      </c>
      <c r="CC24" s="24">
        <f t="shared" si="2"/>
        <v>0</v>
      </c>
      <c r="CD24" s="24">
        <f t="shared" si="2"/>
        <v>0</v>
      </c>
      <c r="CE24" s="24">
        <f t="shared" si="2"/>
        <v>0</v>
      </c>
      <c r="CF24" s="24">
        <f t="shared" si="2"/>
        <v>0</v>
      </c>
      <c r="CG24" s="24">
        <f t="shared" si="2"/>
        <v>0</v>
      </c>
      <c r="CH24" s="24">
        <f t="shared" si="2"/>
        <v>0</v>
      </c>
      <c r="CI24" s="24">
        <f t="shared" si="2"/>
        <v>0</v>
      </c>
      <c r="CJ24" s="24">
        <f t="shared" si="2"/>
        <v>0</v>
      </c>
      <c r="CK24" s="24">
        <f t="shared" si="2"/>
        <v>0</v>
      </c>
      <c r="CL24" s="24">
        <f t="shared" si="2"/>
        <v>0</v>
      </c>
      <c r="CM24" s="24">
        <f t="shared" si="2"/>
        <v>0</v>
      </c>
      <c r="CN24" s="24">
        <f t="shared" si="2"/>
        <v>0</v>
      </c>
      <c r="CO24" s="24">
        <f t="shared" si="2"/>
        <v>0</v>
      </c>
      <c r="CP24" s="24">
        <f t="shared" si="2"/>
        <v>0</v>
      </c>
      <c r="CQ24" s="24">
        <f t="shared" si="2"/>
        <v>0</v>
      </c>
      <c r="CR24" s="24">
        <f t="shared" si="2"/>
        <v>0</v>
      </c>
      <c r="CS24" s="24">
        <f t="shared" si="2"/>
        <v>0</v>
      </c>
      <c r="CT24" s="24">
        <f t="shared" si="2"/>
        <v>0</v>
      </c>
      <c r="CU24" s="24">
        <f t="shared" si="2"/>
        <v>0</v>
      </c>
      <c r="CV24" s="24">
        <f t="shared" si="2"/>
        <v>0</v>
      </c>
      <c r="CW24" s="24">
        <f t="shared" si="2"/>
        <v>0</v>
      </c>
      <c r="CX24" s="24">
        <f t="shared" si="2"/>
        <v>0</v>
      </c>
      <c r="CY24" s="24">
        <f t="shared" si="2"/>
        <v>0</v>
      </c>
      <c r="CZ24" s="24">
        <f t="shared" si="2"/>
        <v>0</v>
      </c>
      <c r="DA24" s="24">
        <f t="shared" si="2"/>
        <v>0</v>
      </c>
      <c r="DB24" s="24">
        <f t="shared" si="2"/>
        <v>0</v>
      </c>
      <c r="DC24" s="24">
        <f t="shared" si="2"/>
        <v>0</v>
      </c>
      <c r="DD24" s="24">
        <f t="shared" si="2"/>
        <v>0</v>
      </c>
      <c r="DE24" s="24">
        <f t="shared" si="2"/>
        <v>0</v>
      </c>
      <c r="DF24" s="24">
        <f t="shared" si="2"/>
        <v>0</v>
      </c>
      <c r="DG24" s="24">
        <f t="shared" si="2"/>
        <v>0</v>
      </c>
      <c r="DH24" s="24">
        <f t="shared" si="2"/>
        <v>0</v>
      </c>
      <c r="DI24" s="24">
        <f t="shared" si="2"/>
        <v>0</v>
      </c>
      <c r="DJ24" s="24">
        <f t="shared" si="2"/>
        <v>0</v>
      </c>
      <c r="DK24" s="24">
        <f t="shared" si="2"/>
        <v>0</v>
      </c>
      <c r="DL24" s="24">
        <f t="shared" si="2"/>
        <v>0</v>
      </c>
      <c r="DM24" s="24">
        <f t="shared" si="2"/>
        <v>0</v>
      </c>
      <c r="DN24" s="24">
        <f t="shared" si="2"/>
        <v>0</v>
      </c>
      <c r="DO24" s="24">
        <f t="shared" si="2"/>
        <v>0</v>
      </c>
      <c r="DP24" s="24">
        <f t="shared" si="2"/>
        <v>0</v>
      </c>
      <c r="DQ24" s="24">
        <f t="shared" si="2"/>
        <v>0</v>
      </c>
      <c r="DR24" s="24">
        <f t="shared" si="1"/>
        <v>0</v>
      </c>
      <c r="DS24" s="24">
        <f>Calculations!B97</f>
        <v>0</v>
      </c>
      <c r="DT24" s="24">
        <f>Calculations!C97</f>
        <v>0</v>
      </c>
      <c r="DU24" s="24">
        <f>Calculations!D97</f>
        <v>0</v>
      </c>
      <c r="DV24" s="24">
        <f>Calculations!E97</f>
        <v>0</v>
      </c>
      <c r="DW24" s="24">
        <f>Calculations!F97</f>
        <v>0</v>
      </c>
      <c r="DX24" s="24">
        <f>Calculations!G97</f>
        <v>0</v>
      </c>
      <c r="DY24" s="24">
        <f>Calculations!H97</f>
        <v>0</v>
      </c>
      <c r="DZ24" s="24">
        <f>Calculations!I97</f>
        <v>0</v>
      </c>
      <c r="EA24" s="24">
        <f>Calculations!J97</f>
        <v>0</v>
      </c>
      <c r="EB24" s="24">
        <f>IF(Calculations!K70="",0,Calculations!K70)</f>
        <v>0</v>
      </c>
      <c r="EC24" s="24">
        <f>IF(Calculations!L70="",0,Calculations!L70)</f>
        <v>0</v>
      </c>
      <c r="ED24" s="24">
        <v>0</v>
      </c>
      <c r="EE24" s="24">
        <v>0</v>
      </c>
      <c r="EF24" s="24">
        <v>0</v>
      </c>
      <c r="EG24" s="24">
        <v>0</v>
      </c>
      <c r="EH24" s="24">
        <v>0</v>
      </c>
      <c r="EI24" s="24">
        <v>0</v>
      </c>
      <c r="EJ24" s="24">
        <v>0</v>
      </c>
      <c r="EK24" s="24">
        <v>0</v>
      </c>
      <c r="EL24" s="24">
        <v>0</v>
      </c>
      <c r="EM24" s="24">
        <v>0</v>
      </c>
      <c r="EN24" s="24">
        <v>0</v>
      </c>
      <c r="EO24" s="24">
        <v>0</v>
      </c>
      <c r="EP24" s="24">
        <v>0</v>
      </c>
      <c r="EQ24" s="24">
        <v>0</v>
      </c>
      <c r="ER24" s="24">
        <v>0</v>
      </c>
      <c r="ES24" s="24">
        <v>0</v>
      </c>
      <c r="ET24" s="24">
        <v>0</v>
      </c>
      <c r="EU24" s="24">
        <v>0</v>
      </c>
      <c r="EV24" s="24">
        <v>0</v>
      </c>
      <c r="EW24" s="24">
        <v>0</v>
      </c>
      <c r="EX24" s="24">
        <v>0</v>
      </c>
      <c r="EY24" s="24">
        <v>0</v>
      </c>
      <c r="EZ24" s="24">
        <v>0</v>
      </c>
      <c r="FA24" s="24">
        <v>0</v>
      </c>
      <c r="FB24" s="24">
        <v>0</v>
      </c>
      <c r="FC24" s="24">
        <v>0</v>
      </c>
      <c r="FD24" s="24">
        <v>0</v>
      </c>
      <c r="FE24" s="24">
        <v>0</v>
      </c>
      <c r="FF24" s="24">
        <v>0</v>
      </c>
      <c r="FG24" s="24">
        <v>0</v>
      </c>
      <c r="FH24" s="24">
        <v>0</v>
      </c>
      <c r="FI24" s="24">
        <v>0</v>
      </c>
      <c r="FJ24" s="24">
        <v>0</v>
      </c>
      <c r="FK24" s="24">
        <v>0</v>
      </c>
      <c r="FL24" s="24">
        <v>0</v>
      </c>
      <c r="FM24" s="24">
        <v>0</v>
      </c>
      <c r="FN24" s="24">
        <v>0</v>
      </c>
      <c r="FO24" s="24">
        <v>0</v>
      </c>
      <c r="FP24" s="24">
        <v>0</v>
      </c>
      <c r="FQ24" s="24">
        <v>0</v>
      </c>
      <c r="FR24" s="24">
        <v>0</v>
      </c>
      <c r="FS24" s="24">
        <v>0</v>
      </c>
      <c r="FT24" s="24">
        <v>0</v>
      </c>
      <c r="FU24" s="24">
        <v>0</v>
      </c>
      <c r="FV24" s="24">
        <v>0</v>
      </c>
      <c r="FW24" s="24">
        <v>0</v>
      </c>
      <c r="FX24" s="24">
        <v>0</v>
      </c>
      <c r="FY24" s="24">
        <v>0</v>
      </c>
      <c r="FZ24" s="24">
        <v>0</v>
      </c>
      <c r="GA24" s="24">
        <v>0</v>
      </c>
      <c r="GB24" s="24">
        <v>0</v>
      </c>
      <c r="GC24" s="24">
        <v>0</v>
      </c>
      <c r="GD24" s="24">
        <v>0</v>
      </c>
      <c r="GE24" s="24">
        <v>0</v>
      </c>
      <c r="GF24" s="24">
        <v>0</v>
      </c>
      <c r="GG24" s="24">
        <v>0</v>
      </c>
      <c r="GH24" s="24">
        <v>0</v>
      </c>
      <c r="GI24" s="24">
        <v>0</v>
      </c>
      <c r="GJ24" s="24">
        <v>0</v>
      </c>
      <c r="GK24" s="24">
        <v>0</v>
      </c>
      <c r="GL24" s="24">
        <v>0</v>
      </c>
      <c r="GM24" s="24">
        <v>0</v>
      </c>
      <c r="GN24" s="24">
        <v>0</v>
      </c>
      <c r="GO24" s="24">
        <v>0</v>
      </c>
      <c r="GP24" s="24">
        <v>0</v>
      </c>
      <c r="GQ24" s="24">
        <v>0</v>
      </c>
      <c r="GR24" s="24">
        <v>0</v>
      </c>
      <c r="GS24" s="24">
        <v>0</v>
      </c>
      <c r="GT24" s="24">
        <v>0</v>
      </c>
      <c r="GU24" s="24">
        <v>0</v>
      </c>
      <c r="GV24" s="24">
        <v>0</v>
      </c>
      <c r="GW24" s="24">
        <v>0</v>
      </c>
      <c r="GX24" s="24">
        <v>0</v>
      </c>
      <c r="GY24" s="24">
        <v>0</v>
      </c>
      <c r="GZ24" s="24">
        <v>0</v>
      </c>
      <c r="HA24" s="24">
        <v>0</v>
      </c>
      <c r="HB24" s="24">
        <v>0</v>
      </c>
      <c r="HC24" s="24">
        <v>0</v>
      </c>
    </row>
    <row r="25" spans="1:211" x14ac:dyDescent="0.25">
      <c r="A25" t="s">
        <v>68</v>
      </c>
      <c r="B25" s="24">
        <v>0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24">
        <v>0</v>
      </c>
      <c r="BD25" s="24">
        <v>0</v>
      </c>
      <c r="BE25" s="24">
        <v>0</v>
      </c>
      <c r="BF25" s="24">
        <v>0</v>
      </c>
      <c r="BG25" s="24">
        <v>0</v>
      </c>
      <c r="BH25" s="24">
        <v>0</v>
      </c>
      <c r="BI25" s="24">
        <v>0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f t="shared" si="2"/>
        <v>0</v>
      </c>
      <c r="BT25" s="24">
        <f t="shared" si="2"/>
        <v>0</v>
      </c>
      <c r="BU25" s="24">
        <f t="shared" si="2"/>
        <v>0</v>
      </c>
      <c r="BV25" s="24">
        <f t="shared" si="2"/>
        <v>0</v>
      </c>
      <c r="BW25" s="24">
        <f t="shared" si="2"/>
        <v>0</v>
      </c>
      <c r="BX25" s="24">
        <f t="shared" si="2"/>
        <v>0</v>
      </c>
      <c r="BY25" s="24">
        <f t="shared" si="2"/>
        <v>0</v>
      </c>
      <c r="BZ25" s="24">
        <f t="shared" si="2"/>
        <v>0</v>
      </c>
      <c r="CA25" s="24">
        <f t="shared" si="2"/>
        <v>0</v>
      </c>
      <c r="CB25" s="24">
        <f t="shared" si="2"/>
        <v>0</v>
      </c>
      <c r="CC25" s="24">
        <f t="shared" si="2"/>
        <v>0</v>
      </c>
      <c r="CD25" s="24">
        <f t="shared" si="2"/>
        <v>0</v>
      </c>
      <c r="CE25" s="24">
        <f t="shared" si="2"/>
        <v>0</v>
      </c>
      <c r="CF25" s="24">
        <f t="shared" si="2"/>
        <v>0</v>
      </c>
      <c r="CG25" s="24">
        <f t="shared" si="2"/>
        <v>0</v>
      </c>
      <c r="CH25" s="24">
        <f t="shared" si="2"/>
        <v>0</v>
      </c>
      <c r="CI25" s="24">
        <f t="shared" si="2"/>
        <v>0</v>
      </c>
      <c r="CJ25" s="24">
        <f t="shared" si="2"/>
        <v>0</v>
      </c>
      <c r="CK25" s="24">
        <f t="shared" si="2"/>
        <v>0</v>
      </c>
      <c r="CL25" s="24">
        <f t="shared" si="2"/>
        <v>0</v>
      </c>
      <c r="CM25" s="24">
        <f t="shared" si="2"/>
        <v>0</v>
      </c>
      <c r="CN25" s="24">
        <f t="shared" si="2"/>
        <v>0</v>
      </c>
      <c r="CO25" s="24">
        <f t="shared" si="2"/>
        <v>0</v>
      </c>
      <c r="CP25" s="24">
        <f t="shared" si="2"/>
        <v>0</v>
      </c>
      <c r="CQ25" s="24">
        <f t="shared" si="2"/>
        <v>0</v>
      </c>
      <c r="CR25" s="24">
        <f t="shared" si="2"/>
        <v>0</v>
      </c>
      <c r="CS25" s="24">
        <f t="shared" si="2"/>
        <v>0</v>
      </c>
      <c r="CT25" s="24">
        <f t="shared" si="2"/>
        <v>0</v>
      </c>
      <c r="CU25" s="24">
        <f t="shared" si="2"/>
        <v>0</v>
      </c>
      <c r="CV25" s="24">
        <f t="shared" si="2"/>
        <v>0</v>
      </c>
      <c r="CW25" s="24">
        <f t="shared" si="2"/>
        <v>0</v>
      </c>
      <c r="CX25" s="24">
        <f t="shared" si="2"/>
        <v>0</v>
      </c>
      <c r="CY25" s="24">
        <f t="shared" si="2"/>
        <v>0</v>
      </c>
      <c r="CZ25" s="24">
        <f t="shared" si="2"/>
        <v>0</v>
      </c>
      <c r="DA25" s="24">
        <f t="shared" si="2"/>
        <v>0</v>
      </c>
      <c r="DB25" s="24">
        <f t="shared" si="2"/>
        <v>0</v>
      </c>
      <c r="DC25" s="24">
        <f t="shared" si="2"/>
        <v>0</v>
      </c>
      <c r="DD25" s="24">
        <f t="shared" si="2"/>
        <v>0</v>
      </c>
      <c r="DE25" s="24">
        <f t="shared" si="2"/>
        <v>0</v>
      </c>
      <c r="DF25" s="24">
        <f t="shared" si="2"/>
        <v>0</v>
      </c>
      <c r="DG25" s="24">
        <f t="shared" si="2"/>
        <v>0</v>
      </c>
      <c r="DH25" s="24">
        <f t="shared" si="2"/>
        <v>0</v>
      </c>
      <c r="DI25" s="24">
        <f t="shared" si="2"/>
        <v>0</v>
      </c>
      <c r="DJ25" s="24">
        <f t="shared" si="2"/>
        <v>0</v>
      </c>
      <c r="DK25" s="24">
        <f t="shared" si="2"/>
        <v>0</v>
      </c>
      <c r="DL25" s="24">
        <f t="shared" si="2"/>
        <v>0</v>
      </c>
      <c r="DM25" s="24">
        <f t="shared" si="2"/>
        <v>0</v>
      </c>
      <c r="DN25" s="24">
        <f t="shared" si="2"/>
        <v>0</v>
      </c>
      <c r="DO25" s="24">
        <f t="shared" si="2"/>
        <v>0</v>
      </c>
      <c r="DP25" s="24">
        <f t="shared" si="2"/>
        <v>0</v>
      </c>
      <c r="DQ25" s="24">
        <f t="shared" si="2"/>
        <v>0</v>
      </c>
      <c r="DR25" s="24">
        <f t="shared" si="1"/>
        <v>0</v>
      </c>
      <c r="DS25" s="24">
        <f>Calculations!B98</f>
        <v>0</v>
      </c>
      <c r="DT25" s="24">
        <f>Calculations!C98</f>
        <v>0</v>
      </c>
      <c r="DU25" s="24">
        <f>Calculations!D98</f>
        <v>0</v>
      </c>
      <c r="DV25" s="24">
        <f>Calculations!E98</f>
        <v>0</v>
      </c>
      <c r="DW25" s="24">
        <f>Calculations!F98</f>
        <v>0</v>
      </c>
      <c r="DX25" s="24">
        <f>Calculations!G98</f>
        <v>0</v>
      </c>
      <c r="DY25" s="24">
        <f>Calculations!H98</f>
        <v>0</v>
      </c>
      <c r="DZ25" s="24">
        <f>Calculations!I98</f>
        <v>0</v>
      </c>
      <c r="EA25" s="24">
        <f>Calculations!J98</f>
        <v>0</v>
      </c>
      <c r="EB25" s="24">
        <f>IF(Calculations!K71="",0,Calculations!K71)</f>
        <v>0</v>
      </c>
      <c r="EC25" s="24">
        <f>IF(Calculations!L71="",0,Calculations!L71)</f>
        <v>0</v>
      </c>
      <c r="ED25" s="24">
        <v>0</v>
      </c>
      <c r="EE25" s="24">
        <v>0</v>
      </c>
      <c r="EF25" s="24">
        <v>0</v>
      </c>
      <c r="EG25" s="24">
        <v>0</v>
      </c>
      <c r="EH25" s="24">
        <v>0</v>
      </c>
      <c r="EI25" s="24">
        <v>0</v>
      </c>
      <c r="EJ25" s="24">
        <v>0</v>
      </c>
      <c r="EK25" s="24">
        <v>0</v>
      </c>
      <c r="EL25" s="24">
        <v>0</v>
      </c>
      <c r="EM25" s="24">
        <v>0</v>
      </c>
      <c r="EN25" s="24">
        <v>0</v>
      </c>
      <c r="EO25" s="24">
        <v>0</v>
      </c>
      <c r="EP25" s="24">
        <v>0</v>
      </c>
      <c r="EQ25" s="24">
        <v>0</v>
      </c>
      <c r="ER25" s="24">
        <v>0</v>
      </c>
      <c r="ES25" s="24">
        <v>0</v>
      </c>
      <c r="ET25" s="24">
        <v>0</v>
      </c>
      <c r="EU25" s="24">
        <v>0</v>
      </c>
      <c r="EV25" s="24">
        <v>0</v>
      </c>
      <c r="EW25" s="24">
        <v>0</v>
      </c>
      <c r="EX25" s="24">
        <v>0</v>
      </c>
      <c r="EY25" s="24">
        <v>0</v>
      </c>
      <c r="EZ25" s="24">
        <v>0</v>
      </c>
      <c r="FA25" s="24">
        <v>0</v>
      </c>
      <c r="FB25" s="24">
        <v>0</v>
      </c>
      <c r="FC25" s="24">
        <v>0</v>
      </c>
      <c r="FD25" s="24">
        <v>0</v>
      </c>
      <c r="FE25" s="24">
        <v>0</v>
      </c>
      <c r="FF25" s="24">
        <v>0</v>
      </c>
      <c r="FG25" s="24">
        <v>0</v>
      </c>
      <c r="FH25" s="24">
        <v>0</v>
      </c>
      <c r="FI25" s="24">
        <v>0</v>
      </c>
      <c r="FJ25" s="24">
        <v>0</v>
      </c>
      <c r="FK25" s="24">
        <v>0</v>
      </c>
      <c r="FL25" s="24">
        <v>0</v>
      </c>
      <c r="FM25" s="24">
        <v>0</v>
      </c>
      <c r="FN25" s="24">
        <v>0</v>
      </c>
      <c r="FO25" s="24">
        <v>0</v>
      </c>
      <c r="FP25" s="24">
        <v>0</v>
      </c>
      <c r="FQ25" s="24">
        <v>0</v>
      </c>
      <c r="FR25" s="24">
        <v>0</v>
      </c>
      <c r="FS25" s="24">
        <v>0</v>
      </c>
      <c r="FT25" s="24">
        <v>0</v>
      </c>
      <c r="FU25" s="24">
        <v>0</v>
      </c>
      <c r="FV25" s="24">
        <v>0</v>
      </c>
      <c r="FW25" s="24">
        <v>0</v>
      </c>
      <c r="FX25" s="24">
        <v>0</v>
      </c>
      <c r="FY25" s="24">
        <v>0</v>
      </c>
      <c r="FZ25" s="24">
        <v>0</v>
      </c>
      <c r="GA25" s="24">
        <v>0</v>
      </c>
      <c r="GB25" s="24">
        <v>0</v>
      </c>
      <c r="GC25" s="24">
        <v>0</v>
      </c>
      <c r="GD25" s="24">
        <v>0</v>
      </c>
      <c r="GE25" s="24">
        <v>0</v>
      </c>
      <c r="GF25" s="24">
        <v>0</v>
      </c>
      <c r="GG25" s="24">
        <v>0</v>
      </c>
      <c r="GH25" s="24">
        <v>0</v>
      </c>
      <c r="GI25" s="24">
        <v>0</v>
      </c>
      <c r="GJ25" s="24">
        <v>0</v>
      </c>
      <c r="GK25" s="24">
        <v>0</v>
      </c>
      <c r="GL25" s="24">
        <v>0</v>
      </c>
      <c r="GM25" s="24">
        <v>0</v>
      </c>
      <c r="GN25" s="24">
        <v>0</v>
      </c>
      <c r="GO25" s="24">
        <v>0</v>
      </c>
      <c r="GP25" s="24">
        <v>0</v>
      </c>
      <c r="GQ25" s="24">
        <v>0</v>
      </c>
      <c r="GR25" s="24">
        <v>0</v>
      </c>
      <c r="GS25" s="24">
        <v>0</v>
      </c>
      <c r="GT25" s="24">
        <v>0</v>
      </c>
      <c r="GU25" s="24">
        <v>0</v>
      </c>
      <c r="GV25" s="24">
        <v>0</v>
      </c>
      <c r="GW25" s="24">
        <v>0</v>
      </c>
      <c r="GX25" s="24">
        <v>0</v>
      </c>
      <c r="GY25" s="24">
        <v>0</v>
      </c>
      <c r="GZ25" s="24">
        <v>0</v>
      </c>
      <c r="HA25" s="24">
        <v>0</v>
      </c>
      <c r="HB25" s="24">
        <v>0</v>
      </c>
      <c r="HC25" s="2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4D92CF-BDCA-4C89-B7E2-09A2EAEF43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E0D6118-DD59-44AE-A98C-B3DF5CF552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324614-106E-4E0C-93FE-C517024266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Gen2022-2023</vt:lpstr>
      <vt:lpstr>Cap2020-2023</vt:lpstr>
      <vt:lpstr>2012-2021</vt:lpstr>
      <vt:lpstr>BNE23</vt:lpstr>
      <vt:lpstr>Calculations</vt:lpstr>
      <vt:lpstr>BHRaSYC-HeatRates</vt:lpstr>
      <vt:lpstr>BHRaSYC-StartYearCapacities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Robbie Orvis</cp:lastModifiedBy>
  <cp:revision/>
  <dcterms:created xsi:type="dcterms:W3CDTF">2016-02-26T23:55:43Z</dcterms:created>
  <dcterms:modified xsi:type="dcterms:W3CDTF">2025-10-06T14:08:06Z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