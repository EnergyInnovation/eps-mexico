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chel Goldstein\Desktop\EPS Models\Mexico EPS\InputData\elec\ESUfRaLCD\"/>
    </mc:Choice>
  </mc:AlternateContent>
  <xr:revisionPtr revIDLastSave="0" documentId="13_ncr:1_{51BD240E-E1C1-49FA-BE82-86038965F12C}" xr6:coauthVersionLast="47" xr6:coauthVersionMax="47" xr10:uidLastSave="{00000000-0000-0000-0000-000000000000}"/>
  <bookViews>
    <workbookView xWindow="1776" yWindow="156" windowWidth="19944" windowHeight="13104" activeTab="1" xr2:uid="{4A7A9C5C-85FC-43FE-AB1B-A2C5DC00E496}"/>
  </bookViews>
  <sheets>
    <sheet name="About" sheetId="1" r:id="rId1"/>
    <sheet name="ESUfRaLCD-reliability" sheetId="2" r:id="rId2"/>
    <sheet name="ESUfRaLCD-dispatch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3" l="1"/>
  <c r="C9" i="3"/>
  <c r="C11" i="3"/>
  <c r="C12" i="3"/>
  <c r="C13" i="3"/>
  <c r="C14" i="3"/>
  <c r="C15" i="3"/>
  <c r="C3" i="3"/>
  <c r="C4" i="3"/>
  <c r="C6" i="3"/>
  <c r="C7" i="3"/>
  <c r="C8" i="3"/>
  <c r="C10" i="3"/>
  <c r="C2" i="3"/>
  <c r="B15" i="3"/>
  <c r="B14" i="3"/>
  <c r="B10" i="3"/>
  <c r="B8" i="3"/>
  <c r="B7" i="3"/>
  <c r="B6" i="3"/>
  <c r="B4" i="3"/>
  <c r="B3" i="3"/>
  <c r="B2" i="3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B3" i="2"/>
  <c r="B4" i="2"/>
  <c r="B5" i="2"/>
  <c r="B6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" i="2"/>
</calcChain>
</file>

<file path=xl/sharedStrings.xml><?xml version="1.0" encoding="utf-8"?>
<sst xmlns="http://schemas.openxmlformats.org/spreadsheetml/2006/main" count="103" uniqueCount="66">
  <si>
    <t>ESUFRaLCD Electricity Sources Used for Reliability and Least Cost Dispatch</t>
  </si>
  <si>
    <t xml:space="preserve">Sources: </t>
  </si>
  <si>
    <t>(none needed).</t>
  </si>
  <si>
    <t>Notes:</t>
  </si>
  <si>
    <t>This file toggles which power plants are used in the reliability mechanisms in the model</t>
  </si>
  <si>
    <t>and the least cost dispatch mechanism.</t>
  </si>
  <si>
    <t>By disabling power plant types that are not used, run time is improved significantly.</t>
  </si>
  <si>
    <t>hard coal es</t>
  </si>
  <si>
    <t>natural gas steam turbine es</t>
  </si>
  <si>
    <t>natural gas combined cycle es</t>
  </si>
  <si>
    <t>hydro es</t>
  </si>
  <si>
    <t>onshore wind es</t>
  </si>
  <si>
    <t>solar PV es</t>
  </si>
  <si>
    <t>solar thermal es</t>
  </si>
  <si>
    <t>petroleum es</t>
  </si>
  <si>
    <t>natural gas peaker es</t>
  </si>
  <si>
    <t>lignite es</t>
  </si>
  <si>
    <t>offshore wind es</t>
  </si>
  <si>
    <t>crude oil es</t>
  </si>
  <si>
    <t>heavy or residual fuel oil es</t>
  </si>
  <si>
    <t>hard coal w CCS es</t>
  </si>
  <si>
    <t>natural gas combined cycle w CCS es</t>
  </si>
  <si>
    <t>lignite w CCS es</t>
  </si>
  <si>
    <t>hydrogen combustion turbine es</t>
  </si>
  <si>
    <t>hydrogen combined cycle es</t>
  </si>
  <si>
    <t>We do not use nuclear, biomass, geothermal, municipal solid waste, small modular reactor for dispatch in the US because we have nuclear listed</t>
  </si>
  <si>
    <t>as guaranteed dispatch in elec/BGDPbES.</t>
  </si>
  <si>
    <t>Electricity Sources</t>
  </si>
  <si>
    <t>Electricity Sources (es)</t>
  </si>
  <si>
    <t>Electricity sources (power plants)</t>
  </si>
  <si>
    <t>natural gas combined cycle</t>
  </si>
  <si>
    <t>onshore wind</t>
  </si>
  <si>
    <t>solar PV</t>
  </si>
  <si>
    <t>petroleum</t>
  </si>
  <si>
    <t>natural gas peaker</t>
  </si>
  <si>
    <t>hard coal w ccs</t>
  </si>
  <si>
    <t>hard coal w ccs es</t>
  </si>
  <si>
    <t>natural gas combined cycle w ccs</t>
  </si>
  <si>
    <t>natural gas combined cycle w ccs es</t>
  </si>
  <si>
    <t>lignite w ccs</t>
  </si>
  <si>
    <t>hydrogen combustion turbine</t>
  </si>
  <si>
    <t>hydrogen combined cycle</t>
  </si>
  <si>
    <t>Electricity sources (dispatch)</t>
  </si>
  <si>
    <t>hard coal</t>
  </si>
  <si>
    <t>natural gas steam turbine</t>
  </si>
  <si>
    <t>hydro</t>
  </si>
  <si>
    <t>hydro dispatch</t>
  </si>
  <si>
    <t>lignite</t>
  </si>
  <si>
    <t>municipal solid waste</t>
  </si>
  <si>
    <t>heavy or residual fuel oil</t>
  </si>
  <si>
    <t>natural gas combined cycle power plants</t>
  </si>
  <si>
    <t>onshore wind power plants</t>
  </si>
  <si>
    <t>solar PV power plants</t>
  </si>
  <si>
    <t>petroleum power plants</t>
  </si>
  <si>
    <t>natural gas peaker power plants</t>
  </si>
  <si>
    <t>small modular reactor</t>
  </si>
  <si>
    <t>small modular reactor es</t>
  </si>
  <si>
    <t>small modular reactor power plants</t>
  </si>
  <si>
    <t>hard coal w ccs power plants</t>
  </si>
  <si>
    <t>natural gas combined cycle w ccs power plants</t>
  </si>
  <si>
    <t>biomass w ccs</t>
  </si>
  <si>
    <t>biomass w CCS es</t>
  </si>
  <si>
    <t>biomass w ccs power plants</t>
  </si>
  <si>
    <t>lignite w ccs power plants</t>
  </si>
  <si>
    <t>hydrogen combustion turbine power plants</t>
  </si>
  <si>
    <t>hydrogen combined cycle power plants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</si>
</sst>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D3264-BEAA-43D0-A5CC-06C5D3B72BE0}">
  <dimension ref="A1:B30"/>
  <sheetViews>
    <sheetView workbookViewId="0">
      <selection activeCell="A10" sqref="A10"/>
    </sheetView>
  </sheetViews>
  <sheetFormatPr defaultColWidth="8.88671875" defaultRowHeight="14.4" x14ac:dyDescent="0.3"/>
  <sheetData>
    <row r="1" spans="1:2" x14ac:dyDescent="0.3">
      <c r="A1" s="1" t="s">
        <v>0</v>
      </c>
    </row>
    <row r="3" spans="1:2" x14ac:dyDescent="0.3">
      <c r="A3" t="s">
        <v>1</v>
      </c>
      <c r="B3" t="s">
        <v>2</v>
      </c>
    </row>
    <row r="6" spans="1:2" x14ac:dyDescent="0.3">
      <c r="A6" t="s">
        <v>3</v>
      </c>
      <c r="B6" t="s">
        <v>4</v>
      </c>
    </row>
    <row r="7" spans="1:2" x14ac:dyDescent="0.3">
      <c r="B7" t="s">
        <v>5</v>
      </c>
    </row>
    <row r="8" spans="1:2" x14ac:dyDescent="0.3">
      <c r="B8" t="s">
        <v>6</v>
      </c>
    </row>
    <row r="10" spans="1:2" x14ac:dyDescent="0.3">
      <c r="A10" t="s">
        <v>7</v>
      </c>
    </row>
    <row r="11" spans="1:2" x14ac:dyDescent="0.3">
      <c r="A11" t="s">
        <v>8</v>
      </c>
    </row>
    <row r="12" spans="1:2" x14ac:dyDescent="0.3">
      <c r="A12" t="s">
        <v>9</v>
      </c>
    </row>
    <row r="13" spans="1:2" x14ac:dyDescent="0.3">
      <c r="A13" t="s">
        <v>10</v>
      </c>
    </row>
    <row r="14" spans="1:2" x14ac:dyDescent="0.3">
      <c r="A14" t="s">
        <v>11</v>
      </c>
    </row>
    <row r="15" spans="1:2" x14ac:dyDescent="0.3">
      <c r="A15" t="s">
        <v>12</v>
      </c>
    </row>
    <row r="16" spans="1:2" x14ac:dyDescent="0.3">
      <c r="A16" t="s">
        <v>13</v>
      </c>
    </row>
    <row r="17" spans="1:1" x14ac:dyDescent="0.3">
      <c r="A17" t="s">
        <v>14</v>
      </c>
    </row>
    <row r="18" spans="1:1" x14ac:dyDescent="0.3">
      <c r="A18" t="s">
        <v>15</v>
      </c>
    </row>
    <row r="19" spans="1:1" x14ac:dyDescent="0.3">
      <c r="A19" t="s">
        <v>16</v>
      </c>
    </row>
    <row r="20" spans="1:1" x14ac:dyDescent="0.3">
      <c r="A20" t="s">
        <v>17</v>
      </c>
    </row>
    <row r="21" spans="1:1" x14ac:dyDescent="0.3">
      <c r="A21" t="s">
        <v>18</v>
      </c>
    </row>
    <row r="22" spans="1:1" x14ac:dyDescent="0.3">
      <c r="A22" t="s">
        <v>19</v>
      </c>
    </row>
    <row r="23" spans="1:1" x14ac:dyDescent="0.3">
      <c r="A23" t="s">
        <v>20</v>
      </c>
    </row>
    <row r="24" spans="1:1" x14ac:dyDescent="0.3">
      <c r="A24" t="s">
        <v>21</v>
      </c>
    </row>
    <row r="25" spans="1:1" x14ac:dyDescent="0.3">
      <c r="A25" t="s">
        <v>22</v>
      </c>
    </row>
    <row r="26" spans="1:1" x14ac:dyDescent="0.3">
      <c r="A26" t="s">
        <v>23</v>
      </c>
    </row>
    <row r="27" spans="1:1" x14ac:dyDescent="0.3">
      <c r="A27" t="s">
        <v>24</v>
      </c>
    </row>
    <row r="29" spans="1:1" x14ac:dyDescent="0.3">
      <c r="A29" t="s">
        <v>25</v>
      </c>
    </row>
    <row r="30" spans="1:1" x14ac:dyDescent="0.3">
      <c r="A30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D6120-1A91-49A9-8DC0-F94251E02B6F}">
  <sheetPr>
    <tabColor theme="4" tint="-0.499984740745262"/>
  </sheetPr>
  <dimension ref="A1:I82"/>
  <sheetViews>
    <sheetView tabSelected="1" topLeftCell="C1" workbookViewId="0">
      <selection activeCell="D12" sqref="D12"/>
    </sheetView>
  </sheetViews>
  <sheetFormatPr defaultColWidth="8.88671875" defaultRowHeight="14.4" x14ac:dyDescent="0.3"/>
  <cols>
    <col min="1" max="2" width="30.44140625" bestFit="1" customWidth="1"/>
    <col min="3" max="3" width="31" bestFit="1" customWidth="1"/>
    <col min="7" max="7" width="28.109375" customWidth="1"/>
    <col min="8" max="8" width="22.5546875" customWidth="1"/>
    <col min="9" max="9" width="24.6640625" customWidth="1"/>
  </cols>
  <sheetData>
    <row r="1" spans="1:9" x14ac:dyDescent="0.3">
      <c r="A1" s="1" t="s">
        <v>27</v>
      </c>
      <c r="B1" s="1" t="s">
        <v>28</v>
      </c>
      <c r="C1" s="1" t="s">
        <v>27</v>
      </c>
      <c r="D1" t="s">
        <v>28</v>
      </c>
      <c r="E1" t="s">
        <v>29</v>
      </c>
      <c r="G1" s="1"/>
      <c r="H1" s="1"/>
      <c r="I1" s="1"/>
    </row>
    <row r="2" spans="1:9" x14ac:dyDescent="0.3">
      <c r="A2" t="s">
        <v>30</v>
      </c>
      <c r="B2" t="str">
        <f>IF(A2="","",CONCATENATE(A2," es"))</f>
        <v>natural gas combined cycle es</v>
      </c>
      <c r="C2" t="s">
        <v>30</v>
      </c>
      <c r="D2" t="s">
        <v>9</v>
      </c>
      <c r="E2" t="s">
        <v>50</v>
      </c>
    </row>
    <row r="3" spans="1:9" x14ac:dyDescent="0.3">
      <c r="A3" t="s">
        <v>31</v>
      </c>
      <c r="B3" t="str">
        <f t="shared" ref="B3:B23" si="0">IF(A3="","",CONCATENATE(A3," es"))</f>
        <v>onshore wind es</v>
      </c>
      <c r="C3" t="s">
        <v>31</v>
      </c>
      <c r="D3" t="s">
        <v>11</v>
      </c>
      <c r="E3" t="s">
        <v>51</v>
      </c>
    </row>
    <row r="4" spans="1:9" x14ac:dyDescent="0.3">
      <c r="A4" t="s">
        <v>32</v>
      </c>
      <c r="B4" t="str">
        <f t="shared" si="0"/>
        <v>solar PV es</v>
      </c>
      <c r="C4" t="s">
        <v>32</v>
      </c>
      <c r="D4" t="s">
        <v>12</v>
      </c>
      <c r="E4" t="s">
        <v>52</v>
      </c>
    </row>
    <row r="5" spans="1:9" x14ac:dyDescent="0.3">
      <c r="A5" t="s">
        <v>33</v>
      </c>
      <c r="B5" t="str">
        <f t="shared" si="0"/>
        <v>petroleum es</v>
      </c>
      <c r="C5" t="s">
        <v>33</v>
      </c>
      <c r="D5" t="s">
        <v>14</v>
      </c>
      <c r="E5" t="s">
        <v>53</v>
      </c>
    </row>
    <row r="6" spans="1:9" x14ac:dyDescent="0.3">
      <c r="A6" t="s">
        <v>34</v>
      </c>
      <c r="B6" t="str">
        <f t="shared" si="0"/>
        <v>natural gas peaker es</v>
      </c>
      <c r="C6" t="s">
        <v>34</v>
      </c>
      <c r="D6" t="s">
        <v>15</v>
      </c>
      <c r="E6" t="s">
        <v>54</v>
      </c>
    </row>
    <row r="7" spans="1:9" x14ac:dyDescent="0.3">
      <c r="A7" t="s">
        <v>35</v>
      </c>
      <c r="B7" t="s">
        <v>36</v>
      </c>
      <c r="C7" t="s">
        <v>55</v>
      </c>
      <c r="D7" t="s">
        <v>56</v>
      </c>
      <c r="E7" t="s">
        <v>57</v>
      </c>
    </row>
    <row r="8" spans="1:9" x14ac:dyDescent="0.3">
      <c r="A8" t="s">
        <v>37</v>
      </c>
      <c r="B8" t="s">
        <v>38</v>
      </c>
      <c r="C8" t="s">
        <v>35</v>
      </c>
      <c r="D8" t="s">
        <v>36</v>
      </c>
      <c r="E8" t="s">
        <v>58</v>
      </c>
    </row>
    <row r="9" spans="1:9" x14ac:dyDescent="0.3">
      <c r="A9" t="s">
        <v>39</v>
      </c>
      <c r="B9" t="s">
        <v>22</v>
      </c>
      <c r="C9" t="s">
        <v>37</v>
      </c>
      <c r="D9" t="s">
        <v>38</v>
      </c>
      <c r="E9" t="s">
        <v>59</v>
      </c>
    </row>
    <row r="10" spans="1:9" x14ac:dyDescent="0.3">
      <c r="A10" t="s">
        <v>40</v>
      </c>
      <c r="B10" t="str">
        <f t="shared" si="0"/>
        <v>hydrogen combustion turbine es</v>
      </c>
      <c r="C10" t="s">
        <v>60</v>
      </c>
      <c r="D10" t="s">
        <v>61</v>
      </c>
      <c r="E10" t="s">
        <v>62</v>
      </c>
    </row>
    <row r="11" spans="1:9" x14ac:dyDescent="0.3">
      <c r="A11" t="s">
        <v>41</v>
      </c>
      <c r="B11" t="str">
        <f t="shared" si="0"/>
        <v>hydrogen combined cycle es</v>
      </c>
      <c r="C11" t="s">
        <v>39</v>
      </c>
      <c r="D11" t="s">
        <v>22</v>
      </c>
      <c r="E11" t="s">
        <v>63</v>
      </c>
    </row>
    <row r="12" spans="1:9" x14ac:dyDescent="0.3">
      <c r="B12" t="str">
        <f t="shared" si="0"/>
        <v/>
      </c>
      <c r="C12" t="s">
        <v>40</v>
      </c>
      <c r="D12" t="s">
        <v>23</v>
      </c>
      <c r="E12" t="s">
        <v>64</v>
      </c>
    </row>
    <row r="13" spans="1:9" x14ac:dyDescent="0.3">
      <c r="B13" t="str">
        <f t="shared" si="0"/>
        <v/>
      </c>
      <c r="C13" t="s">
        <v>41</v>
      </c>
      <c r="D13" t="s">
        <v>24</v>
      </c>
      <c r="E13" t="s">
        <v>65</v>
      </c>
    </row>
    <row r="14" spans="1:9" x14ac:dyDescent="0.3">
      <c r="B14" t="str">
        <f t="shared" si="0"/>
        <v/>
      </c>
      <c r="C14" t="str">
        <f t="shared" ref="C3:C68" si="1">IF(A14="","",CONCATENATE(A14," power plants"))</f>
        <v/>
      </c>
    </row>
    <row r="15" spans="1:9" x14ac:dyDescent="0.3">
      <c r="B15" t="str">
        <f t="shared" si="0"/>
        <v/>
      </c>
      <c r="C15" t="str">
        <f t="shared" si="1"/>
        <v/>
      </c>
    </row>
    <row r="16" spans="1:9" x14ac:dyDescent="0.3">
      <c r="B16" t="str">
        <f t="shared" si="0"/>
        <v/>
      </c>
      <c r="C16" t="str">
        <f t="shared" si="1"/>
        <v/>
      </c>
    </row>
    <row r="17" spans="2:3" x14ac:dyDescent="0.3">
      <c r="B17" t="str">
        <f t="shared" si="0"/>
        <v/>
      </c>
      <c r="C17" t="str">
        <f t="shared" si="1"/>
        <v/>
      </c>
    </row>
    <row r="18" spans="2:3" x14ac:dyDescent="0.3">
      <c r="B18" t="str">
        <f t="shared" si="0"/>
        <v/>
      </c>
      <c r="C18" t="str">
        <f t="shared" si="1"/>
        <v/>
      </c>
    </row>
    <row r="19" spans="2:3" x14ac:dyDescent="0.3">
      <c r="B19" t="str">
        <f t="shared" si="0"/>
        <v/>
      </c>
      <c r="C19" t="str">
        <f t="shared" si="1"/>
        <v/>
      </c>
    </row>
    <row r="20" spans="2:3" x14ac:dyDescent="0.3">
      <c r="B20" t="str">
        <f t="shared" si="0"/>
        <v/>
      </c>
      <c r="C20" t="str">
        <f t="shared" si="1"/>
        <v/>
      </c>
    </row>
    <row r="21" spans="2:3" x14ac:dyDescent="0.3">
      <c r="B21" t="str">
        <f t="shared" si="0"/>
        <v/>
      </c>
      <c r="C21" t="str">
        <f t="shared" si="1"/>
        <v/>
      </c>
    </row>
    <row r="22" spans="2:3" x14ac:dyDescent="0.3">
      <c r="B22" t="str">
        <f t="shared" si="0"/>
        <v/>
      </c>
      <c r="C22" t="str">
        <f t="shared" si="1"/>
        <v/>
      </c>
    </row>
    <row r="23" spans="2:3" x14ac:dyDescent="0.3">
      <c r="B23" t="str">
        <f t="shared" si="0"/>
        <v/>
      </c>
      <c r="C23" t="str">
        <f t="shared" si="1"/>
        <v/>
      </c>
    </row>
    <row r="24" spans="2:3" x14ac:dyDescent="0.3">
      <c r="C24" t="str">
        <f t="shared" si="1"/>
        <v/>
      </c>
    </row>
    <row r="25" spans="2:3" x14ac:dyDescent="0.3">
      <c r="C25" t="str">
        <f t="shared" si="1"/>
        <v/>
      </c>
    </row>
    <row r="26" spans="2:3" x14ac:dyDescent="0.3">
      <c r="C26" t="str">
        <f t="shared" si="1"/>
        <v/>
      </c>
    </row>
    <row r="27" spans="2:3" x14ac:dyDescent="0.3">
      <c r="C27" t="str">
        <f t="shared" si="1"/>
        <v/>
      </c>
    </row>
    <row r="28" spans="2:3" x14ac:dyDescent="0.3">
      <c r="C28" t="str">
        <f t="shared" si="1"/>
        <v/>
      </c>
    </row>
    <row r="29" spans="2:3" x14ac:dyDescent="0.3">
      <c r="C29" t="str">
        <f t="shared" si="1"/>
        <v/>
      </c>
    </row>
    <row r="30" spans="2:3" x14ac:dyDescent="0.3">
      <c r="C30" t="str">
        <f t="shared" si="1"/>
        <v/>
      </c>
    </row>
    <row r="31" spans="2:3" x14ac:dyDescent="0.3">
      <c r="C31" t="str">
        <f t="shared" si="1"/>
        <v/>
      </c>
    </row>
    <row r="32" spans="2:3" x14ac:dyDescent="0.3">
      <c r="C32" t="str">
        <f t="shared" si="1"/>
        <v/>
      </c>
    </row>
    <row r="33" spans="3:3" x14ac:dyDescent="0.3">
      <c r="C33" t="str">
        <f t="shared" si="1"/>
        <v/>
      </c>
    </row>
    <row r="34" spans="3:3" x14ac:dyDescent="0.3">
      <c r="C34" t="str">
        <f t="shared" si="1"/>
        <v/>
      </c>
    </row>
    <row r="35" spans="3:3" x14ac:dyDescent="0.3">
      <c r="C35" t="str">
        <f t="shared" si="1"/>
        <v/>
      </c>
    </row>
    <row r="36" spans="3:3" x14ac:dyDescent="0.3">
      <c r="C36" t="str">
        <f t="shared" si="1"/>
        <v/>
      </c>
    </row>
    <row r="37" spans="3:3" x14ac:dyDescent="0.3">
      <c r="C37" t="str">
        <f t="shared" si="1"/>
        <v/>
      </c>
    </row>
    <row r="38" spans="3:3" x14ac:dyDescent="0.3">
      <c r="C38" t="str">
        <f t="shared" si="1"/>
        <v/>
      </c>
    </row>
    <row r="39" spans="3:3" x14ac:dyDescent="0.3">
      <c r="C39" t="str">
        <f t="shared" si="1"/>
        <v/>
      </c>
    </row>
    <row r="40" spans="3:3" x14ac:dyDescent="0.3">
      <c r="C40" t="str">
        <f t="shared" si="1"/>
        <v/>
      </c>
    </row>
    <row r="41" spans="3:3" x14ac:dyDescent="0.3">
      <c r="C41" t="str">
        <f t="shared" si="1"/>
        <v/>
      </c>
    </row>
    <row r="42" spans="3:3" x14ac:dyDescent="0.3">
      <c r="C42" t="str">
        <f t="shared" si="1"/>
        <v/>
      </c>
    </row>
    <row r="43" spans="3:3" x14ac:dyDescent="0.3">
      <c r="C43" t="str">
        <f t="shared" si="1"/>
        <v/>
      </c>
    </row>
    <row r="44" spans="3:3" x14ac:dyDescent="0.3">
      <c r="C44" t="str">
        <f t="shared" si="1"/>
        <v/>
      </c>
    </row>
    <row r="45" spans="3:3" x14ac:dyDescent="0.3">
      <c r="C45" t="str">
        <f t="shared" si="1"/>
        <v/>
      </c>
    </row>
    <row r="46" spans="3:3" x14ac:dyDescent="0.3">
      <c r="C46" t="str">
        <f t="shared" si="1"/>
        <v/>
      </c>
    </row>
    <row r="47" spans="3:3" x14ac:dyDescent="0.3">
      <c r="C47" t="str">
        <f t="shared" si="1"/>
        <v/>
      </c>
    </row>
    <row r="48" spans="3:3" x14ac:dyDescent="0.3">
      <c r="C48" t="str">
        <f t="shared" si="1"/>
        <v/>
      </c>
    </row>
    <row r="49" spans="3:3" x14ac:dyDescent="0.3">
      <c r="C49" t="str">
        <f t="shared" si="1"/>
        <v/>
      </c>
    </row>
    <row r="50" spans="3:3" x14ac:dyDescent="0.3">
      <c r="C50" t="str">
        <f t="shared" si="1"/>
        <v/>
      </c>
    </row>
    <row r="51" spans="3:3" x14ac:dyDescent="0.3">
      <c r="C51" t="str">
        <f t="shared" si="1"/>
        <v/>
      </c>
    </row>
    <row r="52" spans="3:3" x14ac:dyDescent="0.3">
      <c r="C52" t="str">
        <f t="shared" si="1"/>
        <v/>
      </c>
    </row>
    <row r="53" spans="3:3" x14ac:dyDescent="0.3">
      <c r="C53" t="str">
        <f t="shared" si="1"/>
        <v/>
      </c>
    </row>
    <row r="54" spans="3:3" x14ac:dyDescent="0.3">
      <c r="C54" t="str">
        <f t="shared" si="1"/>
        <v/>
      </c>
    </row>
    <row r="55" spans="3:3" x14ac:dyDescent="0.3">
      <c r="C55" t="str">
        <f t="shared" si="1"/>
        <v/>
      </c>
    </row>
    <row r="56" spans="3:3" x14ac:dyDescent="0.3">
      <c r="C56" t="str">
        <f t="shared" si="1"/>
        <v/>
      </c>
    </row>
    <row r="57" spans="3:3" x14ac:dyDescent="0.3">
      <c r="C57" t="str">
        <f t="shared" si="1"/>
        <v/>
      </c>
    </row>
    <row r="58" spans="3:3" x14ac:dyDescent="0.3">
      <c r="C58" t="str">
        <f t="shared" si="1"/>
        <v/>
      </c>
    </row>
    <row r="59" spans="3:3" x14ac:dyDescent="0.3">
      <c r="C59" t="str">
        <f t="shared" si="1"/>
        <v/>
      </c>
    </row>
    <row r="60" spans="3:3" x14ac:dyDescent="0.3">
      <c r="C60" t="str">
        <f t="shared" si="1"/>
        <v/>
      </c>
    </row>
    <row r="61" spans="3:3" x14ac:dyDescent="0.3">
      <c r="C61" t="str">
        <f t="shared" si="1"/>
        <v/>
      </c>
    </row>
    <row r="62" spans="3:3" x14ac:dyDescent="0.3">
      <c r="C62" t="str">
        <f t="shared" si="1"/>
        <v/>
      </c>
    </row>
    <row r="63" spans="3:3" x14ac:dyDescent="0.3">
      <c r="C63" t="str">
        <f t="shared" si="1"/>
        <v/>
      </c>
    </row>
    <row r="64" spans="3:3" x14ac:dyDescent="0.3">
      <c r="C64" t="str">
        <f t="shared" si="1"/>
        <v/>
      </c>
    </row>
    <row r="65" spans="3:3" x14ac:dyDescent="0.3">
      <c r="C65" t="str">
        <f t="shared" si="1"/>
        <v/>
      </c>
    </row>
    <row r="66" spans="3:3" x14ac:dyDescent="0.3">
      <c r="C66" t="str">
        <f t="shared" si="1"/>
        <v/>
      </c>
    </row>
    <row r="67" spans="3:3" x14ac:dyDescent="0.3">
      <c r="C67" t="str">
        <f t="shared" si="1"/>
        <v/>
      </c>
    </row>
    <row r="68" spans="3:3" x14ac:dyDescent="0.3">
      <c r="C68" t="str">
        <f t="shared" si="1"/>
        <v/>
      </c>
    </row>
    <row r="69" spans="3:3" x14ac:dyDescent="0.3">
      <c r="C69" t="str">
        <f t="shared" ref="C69:C82" si="2">IF(A69="","",CONCATENATE(A69," power plants"))</f>
        <v/>
      </c>
    </row>
    <row r="70" spans="3:3" x14ac:dyDescent="0.3">
      <c r="C70" t="str">
        <f t="shared" si="2"/>
        <v/>
      </c>
    </row>
    <row r="71" spans="3:3" x14ac:dyDescent="0.3">
      <c r="C71" t="str">
        <f t="shared" si="2"/>
        <v/>
      </c>
    </row>
    <row r="72" spans="3:3" x14ac:dyDescent="0.3">
      <c r="C72" t="str">
        <f t="shared" si="2"/>
        <v/>
      </c>
    </row>
    <row r="73" spans="3:3" x14ac:dyDescent="0.3">
      <c r="C73" t="str">
        <f t="shared" si="2"/>
        <v/>
      </c>
    </row>
    <row r="74" spans="3:3" x14ac:dyDescent="0.3">
      <c r="C74" t="str">
        <f t="shared" si="2"/>
        <v/>
      </c>
    </row>
    <row r="75" spans="3:3" x14ac:dyDescent="0.3">
      <c r="C75" t="str">
        <f t="shared" si="2"/>
        <v/>
      </c>
    </row>
    <row r="76" spans="3:3" x14ac:dyDescent="0.3">
      <c r="C76" t="str">
        <f t="shared" si="2"/>
        <v/>
      </c>
    </row>
    <row r="77" spans="3:3" x14ac:dyDescent="0.3">
      <c r="C77" t="str">
        <f t="shared" si="2"/>
        <v/>
      </c>
    </row>
    <row r="78" spans="3:3" x14ac:dyDescent="0.3">
      <c r="C78" t="str">
        <f t="shared" si="2"/>
        <v/>
      </c>
    </row>
    <row r="79" spans="3:3" x14ac:dyDescent="0.3">
      <c r="C79" t="str">
        <f t="shared" si="2"/>
        <v/>
      </c>
    </row>
    <row r="80" spans="3:3" x14ac:dyDescent="0.3">
      <c r="C80" t="str">
        <f t="shared" si="2"/>
        <v/>
      </c>
    </row>
    <row r="81" spans="3:3" x14ac:dyDescent="0.3">
      <c r="C81" t="str">
        <f t="shared" si="2"/>
        <v/>
      </c>
    </row>
    <row r="82" spans="3:3" x14ac:dyDescent="0.3">
      <c r="C82" t="str">
        <f t="shared" si="2"/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79484-F349-4960-B10C-752335D37C74}">
  <sheetPr>
    <tabColor theme="4" tint="-0.499984740745262"/>
  </sheetPr>
  <dimension ref="A1:C15"/>
  <sheetViews>
    <sheetView workbookViewId="0">
      <selection activeCell="A10" sqref="A10"/>
    </sheetView>
  </sheetViews>
  <sheetFormatPr defaultColWidth="8.88671875" defaultRowHeight="14.4" x14ac:dyDescent="0.3"/>
  <cols>
    <col min="1" max="2" width="30.44140625" bestFit="1" customWidth="1"/>
    <col min="3" max="3" width="40.33203125" bestFit="1" customWidth="1"/>
  </cols>
  <sheetData>
    <row r="1" spans="1:3" x14ac:dyDescent="0.3">
      <c r="A1" s="1" t="s">
        <v>27</v>
      </c>
      <c r="B1" s="1" t="s">
        <v>28</v>
      </c>
      <c r="C1" s="1" t="s">
        <v>42</v>
      </c>
    </row>
    <row r="2" spans="1:3" x14ac:dyDescent="0.3">
      <c r="A2" t="s">
        <v>43</v>
      </c>
      <c r="B2" t="str">
        <f>IF(A2="","",CONCATENATE(A2," es"))</f>
        <v>hard coal es</v>
      </c>
      <c r="C2" t="str">
        <f>IF(A2="","",CONCATENATE(A2," dispatch"))</f>
        <v>hard coal dispatch</v>
      </c>
    </row>
    <row r="3" spans="1:3" x14ac:dyDescent="0.3">
      <c r="A3" t="s">
        <v>44</v>
      </c>
      <c r="B3" t="str">
        <f t="shared" ref="B3:B15" si="0">IF(A3="","",CONCATENATE(A3," es"))</f>
        <v>natural gas steam turbine es</v>
      </c>
      <c r="C3" t="str">
        <f t="shared" ref="C3:C15" si="1">IF(A3="","",CONCATENATE(A3," dispatch"))</f>
        <v>natural gas steam turbine dispatch</v>
      </c>
    </row>
    <row r="4" spans="1:3" x14ac:dyDescent="0.3">
      <c r="A4" t="s">
        <v>30</v>
      </c>
      <c r="B4" t="str">
        <f t="shared" si="0"/>
        <v>natural gas combined cycle es</v>
      </c>
      <c r="C4" t="str">
        <f t="shared" si="1"/>
        <v>natural gas combined cycle dispatch</v>
      </c>
    </row>
    <row r="5" spans="1:3" x14ac:dyDescent="0.3">
      <c r="A5" t="s">
        <v>45</v>
      </c>
      <c r="B5" t="s">
        <v>10</v>
      </c>
      <c r="C5" t="s">
        <v>46</v>
      </c>
    </row>
    <row r="6" spans="1:3" x14ac:dyDescent="0.3">
      <c r="A6" t="s">
        <v>33</v>
      </c>
      <c r="B6" t="str">
        <f t="shared" si="0"/>
        <v>petroleum es</v>
      </c>
      <c r="C6" t="str">
        <f t="shared" si="1"/>
        <v>petroleum dispatch</v>
      </c>
    </row>
    <row r="7" spans="1:3" x14ac:dyDescent="0.3">
      <c r="A7" t="s">
        <v>34</v>
      </c>
      <c r="B7" t="str">
        <f t="shared" si="0"/>
        <v>natural gas peaker es</v>
      </c>
      <c r="C7" t="str">
        <f t="shared" si="1"/>
        <v>natural gas peaker dispatch</v>
      </c>
    </row>
    <row r="8" spans="1:3" x14ac:dyDescent="0.3">
      <c r="A8" t="s">
        <v>47</v>
      </c>
      <c r="B8" t="str">
        <f t="shared" si="0"/>
        <v>lignite es</v>
      </c>
      <c r="C8" t="str">
        <f t="shared" si="1"/>
        <v>lignite dispatch</v>
      </c>
    </row>
    <row r="9" spans="1:3" x14ac:dyDescent="0.3">
      <c r="A9" t="s">
        <v>49</v>
      </c>
      <c r="B9" t="str">
        <f t="shared" si="0"/>
        <v>heavy or residual fuel oil es</v>
      </c>
      <c r="C9" t="str">
        <f t="shared" si="1"/>
        <v>heavy or residual fuel oil dispatch</v>
      </c>
    </row>
    <row r="10" spans="1:3" x14ac:dyDescent="0.3">
      <c r="A10" t="s">
        <v>48</v>
      </c>
      <c r="B10" t="str">
        <f t="shared" si="0"/>
        <v>municipal solid waste es</v>
      </c>
      <c r="C10" t="str">
        <f t="shared" si="1"/>
        <v>municipal solid waste dispatch</v>
      </c>
    </row>
    <row r="11" spans="1:3" x14ac:dyDescent="0.3">
      <c r="A11" t="s">
        <v>35</v>
      </c>
      <c r="B11" t="s">
        <v>36</v>
      </c>
      <c r="C11" t="str">
        <f t="shared" si="1"/>
        <v>hard coal w ccs dispatch</v>
      </c>
    </row>
    <row r="12" spans="1:3" x14ac:dyDescent="0.3">
      <c r="A12" t="s">
        <v>37</v>
      </c>
      <c r="B12" t="s">
        <v>38</v>
      </c>
      <c r="C12" t="str">
        <f t="shared" si="1"/>
        <v>natural gas combined cycle w ccs dispatch</v>
      </c>
    </row>
    <row r="13" spans="1:3" x14ac:dyDescent="0.3">
      <c r="A13" t="s">
        <v>39</v>
      </c>
      <c r="B13" t="s">
        <v>22</v>
      </c>
      <c r="C13" t="str">
        <f t="shared" si="1"/>
        <v>lignite w ccs dispatch</v>
      </c>
    </row>
    <row r="14" spans="1:3" x14ac:dyDescent="0.3">
      <c r="A14" t="s">
        <v>40</v>
      </c>
      <c r="B14" t="str">
        <f t="shared" si="0"/>
        <v>hydrogen combustion turbine es</v>
      </c>
      <c r="C14" t="str">
        <f t="shared" si="1"/>
        <v>hydrogen combustion turbine dispatch</v>
      </c>
    </row>
    <row r="15" spans="1:3" x14ac:dyDescent="0.3">
      <c r="A15" t="s">
        <v>41</v>
      </c>
      <c r="B15" t="str">
        <f t="shared" si="0"/>
        <v>hydrogen combined cycle es</v>
      </c>
      <c r="C15" t="str">
        <f t="shared" si="1"/>
        <v>hydrogen combined cycle dispatch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AFA3F65-15F1-45B6-85EF-A78DE3771D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748b23-d81a-423e-9112-21109dc864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32AF48B-7BAE-4EB5-A14C-3507F28D9AB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058A945-B0A7-420B-8284-DCA9A2E0F0D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ESUfRaLCD-reliability</vt:lpstr>
      <vt:lpstr>ESUfRaLCD-dispatch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Robbie Orvis</dc:creator>
  <cp:keywords/>
  <dc:description/>
  <cp:lastModifiedBy>Rachel Goldstein</cp:lastModifiedBy>
  <cp:revision/>
  <dcterms:created xsi:type="dcterms:W3CDTF">2023-11-02T13:40:11Z</dcterms:created>
  <dcterms:modified xsi:type="dcterms:W3CDTF">2025-10-21T05:53:26Z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