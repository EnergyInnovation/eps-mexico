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elec\EIaE\"/>
    </mc:Choice>
  </mc:AlternateContent>
  <xr:revisionPtr revIDLastSave="0" documentId="13_ncr:1_{9ECA30A8-2CCE-4178-A4B5-03C41ACCD92F}" xr6:coauthVersionLast="47" xr6:coauthVersionMax="47" xr10:uidLastSave="{00000000-0000-0000-0000-000000000000}"/>
  <bookViews>
    <workbookView xWindow="37050" yWindow="1065" windowWidth="22785" windowHeight="14115" firstSheet="6" activeTab="8" xr2:uid="{00000000-000D-0000-FFFF-FFFF00000000}"/>
  </bookViews>
  <sheets>
    <sheet name="About" sheetId="1" r:id="rId1"/>
    <sheet name="AEO Table 3 2023" sheetId="12" r:id="rId2"/>
    <sheet name="AEO Table 3 2022" sheetId="16" r:id="rId3"/>
    <sheet name="AEO Table 3 2021" sheetId="11" r:id="rId4"/>
    <sheet name="BNE" sheetId="17" r:id="rId5"/>
    <sheet name="Conahcyt" sheetId="18" r:id="rId6"/>
    <sheet name="Calculations" sheetId="19" r:id="rId7"/>
    <sheet name="EIaE-BIE" sheetId="3" r:id="rId8"/>
    <sheet name="EIaE-BEE" sheetId="5" r:id="rId9"/>
    <sheet name="EIaE-IEP" sheetId="9" r:id="rId10"/>
    <sheet name="EIaE-BEEP" sheetId="10" r:id="rId11"/>
  </sheets>
  <externalReferences>
    <externalReference r:id="rId12"/>
  </externalReferences>
  <definedNames>
    <definedName name="lignite_multiplier">'[1]Hard Coal and Lig Multipliers'!$N$16</definedName>
    <definedName name="nonlignite_multiplier">'[1]Hard Coal and Lig Multipliers'!$N$17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3" i="3" l="1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F3" i="3"/>
  <c r="C3" i="3"/>
  <c r="D3" i="3"/>
  <c r="E3" i="3"/>
  <c r="C4" i="3"/>
  <c r="D4" i="3"/>
  <c r="E4" i="3"/>
  <c r="C7" i="3"/>
  <c r="D7" i="3"/>
  <c r="E7" i="3"/>
  <c r="C8" i="3"/>
  <c r="D8" i="3"/>
  <c r="E8" i="3"/>
  <c r="C13" i="3"/>
  <c r="D13" i="3"/>
  <c r="E13" i="3"/>
  <c r="B3" i="3"/>
  <c r="B4" i="3"/>
  <c r="B7" i="3"/>
  <c r="B8" i="3"/>
  <c r="B13" i="3"/>
  <c r="AX2" i="5"/>
  <c r="AY2" i="5"/>
  <c r="AZ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F2" i="5"/>
  <c r="C2" i="5"/>
  <c r="D2" i="5"/>
  <c r="E2" i="5"/>
  <c r="B2" i="5"/>
  <c r="C8" i="19"/>
  <c r="D8" i="19"/>
  <c r="E8" i="19"/>
  <c r="B8" i="19"/>
  <c r="C7" i="19"/>
  <c r="D7" i="19"/>
  <c r="E7" i="19"/>
  <c r="B7" i="19"/>
  <c r="D4" i="19"/>
  <c r="E4" i="19"/>
  <c r="E3" i="19"/>
  <c r="D3" i="19"/>
  <c r="B4" i="19"/>
  <c r="C4" i="19"/>
  <c r="C3" i="19"/>
  <c r="B3" i="19"/>
  <c r="C2" i="10"/>
  <c r="C2" i="9"/>
  <c r="D2" i="10" l="1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AQ2" i="9" s="1"/>
  <c r="AR2" i="9" s="1"/>
  <c r="AS2" i="9" s="1"/>
  <c r="AT2" i="9" s="1"/>
  <c r="AU2" i="9" s="1"/>
  <c r="AV2" i="9" s="1"/>
  <c r="AW2" i="9" s="1"/>
  <c r="AX2" i="9" s="1"/>
  <c r="AY2" i="9" s="1"/>
  <c r="AZ2" i="9" s="1"/>
  <c r="B2" i="10" l="1"/>
  <c r="B2" i="9"/>
</calcChain>
</file>

<file path=xl/sharedStrings.xml><?xml version="1.0" encoding="utf-8"?>
<sst xmlns="http://schemas.openxmlformats.org/spreadsheetml/2006/main" count="1186" uniqueCount="268">
  <si>
    <t>EIaE BAU Imported Electricity</t>
  </si>
  <si>
    <t>EIaE BAU Exported Electricity</t>
  </si>
  <si>
    <t>EIaE Imported Electricity Price</t>
  </si>
  <si>
    <t>EIaE BAU Exported Electricity Price</t>
  </si>
  <si>
    <t>Source:</t>
  </si>
  <si>
    <t>Import and export</t>
  </si>
  <si>
    <t>Data 2022 and 2023</t>
  </si>
  <si>
    <t>Energy Ministry (SENER)</t>
  </si>
  <si>
    <t>National Energy Balance 2023</t>
  </si>
  <si>
    <t>https://www.gob.mx/cms/uploads/attachment/file/947752/BALANCE_NACIONAL_DE_ENERG_A_PRELIMINAR_2023.pdf</t>
  </si>
  <si>
    <t>National council of humanities, sciences and technologies</t>
  </si>
  <si>
    <t>Data 2020 and 2021</t>
  </si>
  <si>
    <t>Energy futures for Mexico by 2050 The path to a just and sustainable energy transition</t>
  </si>
  <si>
    <t>https://conahcyt.mx/wp-content/uploads/pronaces/micrositios/energia_y_cambio_climatico/energia/cuadernos_tematicos/Cuaderno_9.pdf</t>
  </si>
  <si>
    <t>Statistical annex</t>
  </si>
  <si>
    <t>https://docs.google.com/spreadsheets/d/1_RmvJpDh5CUSkNj1lKf5HorV8Rx0YtOkXj6PAuzNAF4/edit?gid=2140732780#gid=2140732780</t>
  </si>
  <si>
    <t>imp and exp sheets</t>
  </si>
  <si>
    <t>Imported and Exported Electricity Prices</t>
  </si>
  <si>
    <t>Energy Information Administration</t>
  </si>
  <si>
    <t>2021 and 2022</t>
  </si>
  <si>
    <t>Annual Energy Outlook 2021 and 2022</t>
  </si>
  <si>
    <t>https://www.eia.gov/outlooks/aeo/tables_side.php</t>
  </si>
  <si>
    <t>Table 3</t>
  </si>
  <si>
    <t>Notes</t>
  </si>
  <si>
    <t>We need to know the mix of imported electricity types if we will be including</t>
  </si>
  <si>
    <t>pollutant emissions associated with imported electricity into the totals, which</t>
  </si>
  <si>
    <t>is managed by a control lever.  If these emissions will not be included in the</t>
  </si>
  <si>
    <t>emissions totals, the breakdown is unimportant, and you may assign all</t>
  </si>
  <si>
    <t>imported electricity emissions to any one electricity source, if you prefer.</t>
  </si>
  <si>
    <t>Electricity exports are supplied by power plants in the modeled region and</t>
  </si>
  <si>
    <t>hence do not need their electricity source to be specified here.</t>
  </si>
  <si>
    <t>Since electricity imported to the U.S. comes overwhelmingly from Canada,</t>
  </si>
  <si>
    <t>we use Canada's electricity generation mix to approximate the mix</t>
  </si>
  <si>
    <t>of all imported electricity.</t>
  </si>
  <si>
    <t>All Canadian natural gas was assigned to the "natural gas nonpeaker" plant type</t>
  </si>
  <si>
    <t>because the breakdown between NG peaker and NG nonpeaker for imported</t>
  </si>
  <si>
    <t>electricity is not important.</t>
  </si>
  <si>
    <t>Electricity Prices</t>
  </si>
  <si>
    <t>We do not have explicit data on the prices of electricity imported to or exported</t>
  </si>
  <si>
    <t>from the United States (i.e. via transmission lines to Canada and Mexico), so we</t>
  </si>
  <si>
    <t>use the average U.S. electricity price to all consumers from AEO Table 3.</t>
  </si>
  <si>
    <t>Conversion Factors</t>
  </si>
  <si>
    <t>MWh/BTU</t>
  </si>
  <si>
    <t>2012 USD/2020 USD</t>
  </si>
  <si>
    <t>2012 USD/2021 USD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</si>
  <si>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</si>
  <si>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</si>
  <si>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</si>
  <si>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</si>
  <si>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</si>
  <si>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</si>
  <si>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</si>
  <si>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</si>
  <si>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</si>
  <si>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</si>
  <si>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PRC000</t>
  </si>
  <si>
    <t>3. Energy Prices by Sector and Source</t>
  </si>
  <si>
    <t>Average</t>
  </si>
  <si>
    <t>(2022 dollars per million Btu, unless otherwise noted)</t>
  </si>
  <si>
    <t>Annual</t>
  </si>
  <si>
    <t>Change</t>
  </si>
  <si>
    <t xml:space="preserve"> Sector and Source</t>
  </si>
  <si>
    <t>2022–2050</t>
  </si>
  <si>
    <t xml:space="preserve"> Residential</t>
  </si>
  <si>
    <t>PRC000:ba_LiquefiedPetr</t>
  </si>
  <si>
    <t xml:space="preserve">   Propane</t>
  </si>
  <si>
    <t>PRC000:ba_DistillateFue</t>
  </si>
  <si>
    <t xml:space="preserve">   Distillate Fuel Oil</t>
  </si>
  <si>
    <t>PRC000:ba_NaturalGas</t>
  </si>
  <si>
    <t xml:space="preserve">   Natural Gas</t>
  </si>
  <si>
    <t>PRC000:ba_Electricity</t>
  </si>
  <si>
    <t xml:space="preserve">   Electricity</t>
  </si>
  <si>
    <t xml:space="preserve"> Commercial</t>
  </si>
  <si>
    <t>PRC000:ca_LiquefiedGas</t>
  </si>
  <si>
    <t>PRC000:ca_DistillateFue</t>
  </si>
  <si>
    <t>PRC000:ca_ResidualFuel</t>
  </si>
  <si>
    <t xml:space="preserve">   Residual Fuel Oil</t>
  </si>
  <si>
    <t>PRC000:ca_NaturalGas</t>
  </si>
  <si>
    <t>PRC000:ca_Electricity</t>
  </si>
  <si>
    <t xml:space="preserve"> Industrial 1/</t>
  </si>
  <si>
    <t>PRC000:da_LiquefiedPetr</t>
  </si>
  <si>
    <t>PRC000:da_DistillateFue</t>
  </si>
  <si>
    <t>PRC000:da_ResidualFuel</t>
  </si>
  <si>
    <t>PRC000:da_NaturalGas</t>
  </si>
  <si>
    <t xml:space="preserve">   Natural Gas 2/</t>
  </si>
  <si>
    <t>PRC000:da_Metallurgical</t>
  </si>
  <si>
    <t xml:space="preserve">   Metallurgical Coal</t>
  </si>
  <si>
    <t>PRC000:da_SteamCoal</t>
  </si>
  <si>
    <t xml:space="preserve">   Other Industrial Coal</t>
  </si>
  <si>
    <t>PRC000:da_CoaltoLiquids</t>
  </si>
  <si>
    <t xml:space="preserve">   Coal to Liquids</t>
  </si>
  <si>
    <t>--</t>
  </si>
  <si>
    <t>PRC000:da_Electricity</t>
  </si>
  <si>
    <t xml:space="preserve"> Transportation</t>
  </si>
  <si>
    <t>PRC000:ea_LiquefiedPetr</t>
  </si>
  <si>
    <t>PRC000:ea_Ethanol(E85)</t>
  </si>
  <si>
    <t xml:space="preserve">   E85 3/</t>
  </si>
  <si>
    <t>PRC000:ea_MotorGasoline</t>
  </si>
  <si>
    <t xml:space="preserve">   Motor Gasoline 4/</t>
  </si>
  <si>
    <t>PRC000:ea_JetFuel</t>
  </si>
  <si>
    <t xml:space="preserve">   Jet Fuel 5/</t>
  </si>
  <si>
    <t>PRC000:ea_DistillateFue</t>
  </si>
  <si>
    <t xml:space="preserve">   Diesel Fuel (distillate fuel oil) 6/</t>
  </si>
  <si>
    <t>PRC000:ea_ResidualFuel</t>
  </si>
  <si>
    <t>PRC000:ea_NaturalGas</t>
  </si>
  <si>
    <t xml:space="preserve">   Natural Gas 7/</t>
  </si>
  <si>
    <t>PRC000:ea_Electricity</t>
  </si>
  <si>
    <t xml:space="preserve"> Electric Power 8/</t>
  </si>
  <si>
    <t>PRC000:ga_DistillateFue</t>
  </si>
  <si>
    <t>PRC000:ga_ResidualFuel</t>
  </si>
  <si>
    <t>PRC000:ga_NaturalGas</t>
  </si>
  <si>
    <t>PRC000:ga_SteamCoal</t>
  </si>
  <si>
    <t xml:space="preserve">   Steam Coal</t>
  </si>
  <si>
    <t>PRC000:ga_uranium</t>
  </si>
  <si>
    <t xml:space="preserve">   Uranium</t>
  </si>
  <si>
    <t xml:space="preserve"> Average Price to All Users 9/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</si>
  <si>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</si>
  <si>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</si>
  <si>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</si>
  <si>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</si>
  <si>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</si>
  <si>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</si>
  <si>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</si>
  <si>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</si>
  <si>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</si>
  <si>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 xml:space="preserve">   Other Coal</t>
  </si>
  <si>
    <t>PRC000:ha_CoaltoLiquids</t>
  </si>
  <si>
    <t>PRC000:ha_Electricity</t>
  </si>
  <si>
    <t>Non-Renewable Energy Expenditures by Sector</t>
  </si>
  <si>
    <t>(billion 2022 dollars)</t>
  </si>
  <si>
    <t>PRC000:ia_Residential</t>
  </si>
  <si>
    <t>PRC000:ia_Commercial</t>
  </si>
  <si>
    <t>PRC000:ia_Industrial</t>
  </si>
  <si>
    <t>PRC000:ia_Transportatio</t>
  </si>
  <si>
    <t>PRC000:ia_TotalNon-Rene</t>
  </si>
  <si>
    <t xml:space="preserve">   Total Non-Renewable Expenditures</t>
  </si>
  <si>
    <t>PRC000:ja_Transportatio</t>
  </si>
  <si>
    <t xml:space="preserve"> Transportation Renewable Expenditures</t>
  </si>
  <si>
    <t>PRC000:ja_TotalExpendit</t>
  </si>
  <si>
    <t xml:space="preserve">   Total Expenditures</t>
  </si>
  <si>
    <t>Prices in Nominal Dollars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</si>
  <si>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</si>
  <si>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</si>
  <si>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</si>
  <si>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</si>
  <si>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</si>
  <si>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</si>
  <si>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</si>
  <si>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</si>
  <si>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</si>
  <si>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</si>
  <si>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</si>
  <si>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</si>
  <si>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</si>
  <si>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</si>
  <si>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</si>
  <si>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PRC000:nom_I_CoaltoLiqu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</si>
  <si>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</si>
  <si>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</si>
  <si>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</si>
  <si>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</si>
  <si>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</si>
  <si>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</si>
  <si>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</si>
  <si>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</si>
  <si>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</si>
  <si>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</si>
  <si>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</si>
  <si>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</si>
  <si>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</si>
  <si>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</si>
  <si>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</si>
  <si>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</si>
  <si>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</si>
  <si>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</si>
  <si>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</si>
  <si>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</si>
  <si>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</si>
  <si>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</si>
  <si>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</si>
  <si>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PRC000:nom_Avg_CoaltoLi</t>
  </si>
  <si>
    <t>PRC000:nom_Avg_Electric</t>
  </si>
  <si>
    <t>(billion nominal dollars)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</si>
  <si>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</si>
  <si>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</si>
  <si>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</si>
  <si>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</si>
  <si>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</si>
  <si>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</si>
  <si>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</si>
  <si>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1/ Includes energy for combined-heat-and-power plants that have a non-regulatory status and small on-site generating systems.</t>
  </si>
  <si>
    <t>2/ Excludes use for lease and plant fuel and fuel used for liquefaction in export facilities.</t>
  </si>
  <si>
    <t>3/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</si>
  <si>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</t>
  </si>
  <si>
    <t>4/ Sales weighted-average price for all grades.  Includes Federal, State, and local taxes.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</si>
  <si>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</si>
  <si>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</si>
  <si>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7/ Natural gas used as fuel in motor vehicles, trains, and ships.  Price includes estimated motor vehicle fuel taxes</t>
  </si>
  <si>
    <t>and estimated dispensing costs or charges.</t>
  </si>
  <si>
    <t>8/ Includes electricity-only and combined-heat-and-power plants that have a regulatory status.</t>
  </si>
  <si>
    <t>9/ Weighted averages of end-use fuel prices are derived from the prices shown in each sector and the corresponding sectoral consumption.</t>
  </si>
  <si>
    <t>Btu = British thermal unit.</t>
  </si>
  <si>
    <t>- - = Not applicable.</t>
  </si>
  <si>
    <t>Data source: 2022:  U.S. Energy Information Administration (EIA), Short-Term Energy Outlook, November 2022 and EIA, AEO2023</t>
  </si>
  <si>
    <t>National Energy Modeling System run ref2023.d020623a.  Projections:  EIA, AEO2023 National Energy Modeling System run ref2023.d020623a.</t>
  </si>
  <si>
    <t>ref2022.d011222a</t>
  </si>
  <si>
    <t>Annual Energy Outlook 2022</t>
  </si>
  <si>
    <t>ref2022</t>
  </si>
  <si>
    <t>d011222a</t>
  </si>
  <si>
    <t xml:space="preserve"> March 2022</t>
  </si>
  <si>
    <t>(2021 dollars per million Btu, unless otherwise noted)</t>
  </si>
  <si>
    <t>2021–2050</t>
  </si>
  <si>
    <t>(billion 2021 dollars)</t>
  </si>
  <si>
    <t>1/ Includes energy for combined heat and power plants that have a non-regulatory status, and small on-site generating systems.</t>
  </si>
  <si>
    <t>3/ E85 refers to a blend of 85 % ethanol (renewable) and 15 % motor gasoline (nonrenewable).  To address cold starting issues,</t>
  </si>
  <si>
    <t>the percentage of ethanol varies seasonally.  The annual average ethanol content of 74 percent is used for these projections.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</si>
  <si>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</si>
  <si>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</si>
  <si>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8/ Includes electricity-only and combined heat and power plants that have a regulatory status.</t>
  </si>
  <si>
    <t>Sources:  2021:  U.S. Energy Information Administration (EIA), Short-Term Energy Outlook, November 2021 and EIA, AEO2022</t>
  </si>
  <si>
    <t>National Energy Modeling System run ref2022.d011222a.  Projections:  EIA, AEO2022 National Energy Modeling System run ref2022.d011222a.</t>
  </si>
  <si>
    <t>highogs.d120120a</t>
  </si>
  <si>
    <t>Annual Energy Outlook 2021</t>
  </si>
  <si>
    <t>ref2021</t>
  </si>
  <si>
    <t>Reference case</t>
  </si>
  <si>
    <t>d113020a</t>
  </si>
  <si>
    <t xml:space="preserve"> January 2021</t>
  </si>
  <si>
    <t>Compound</t>
  </si>
  <si>
    <t>(2020 dollars per million Btu, unless otherwise noted)</t>
  </si>
  <si>
    <t xml:space="preserve"> Growth </t>
  </si>
  <si>
    <t xml:space="preserve">2020-2050 </t>
  </si>
  <si>
    <t>(percent)</t>
  </si>
  <si>
    <t>(billion 2020 dollars)</t>
  </si>
  <si>
    <t>3/ E85 refers to a blend of 85 percent ethanol (renewable) and 15 percent motor gasoline (nonrenewable).  To address cold starting issues,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</si>
  <si>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</si>
  <si>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</si>
  <si>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Importación</t>
  </si>
  <si>
    <t>Exportación</t>
  </si>
  <si>
    <t>Imported Electricity (MW*hour)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</si>
  <si>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</si>
  <si>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</si>
  <si>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</si>
  <si>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</si>
  <si>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</si>
  <si>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</si>
  <si>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</si>
  <si>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</si>
  <si>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</si>
  <si>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</si>
  <si>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</si>
  <si>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</si>
  <si>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</si>
  <si>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</si>
  <si>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</si>
  <si>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</si>
  <si>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</si>
  <si>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</si>
  <si>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</si>
  <si>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</si>
  <si>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</si>
  <si>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</si>
  <si>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</si>
  <si>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</si>
  <si>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Exported Electricity (MW*hour)</t>
  </si>
  <si>
    <t>Electricity Exports (MWh)</t>
  </si>
  <si>
    <t>Unit: 2012 USD/MWh</t>
  </si>
  <si>
    <t>Imported Electricity Price</t>
  </si>
  <si>
    <t>Exported Electricity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</si>
</sst>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9"/>
      <name val="Calibri"/>
      <family val="2"/>
    </font>
    <font>
      <i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7" fillId="0" borderId="0" applyBorder="0"/>
    <xf numFmtId="43" fontId="9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5" fillId="0" borderId="0">
      <alignment horizontal="left"/>
    </xf>
    <xf numFmtId="0" fontId="9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5" fillId="0" borderId="0">
      <alignment horizontal="left"/>
    </xf>
    <xf numFmtId="0" fontId="9" fillId="0" borderId="0"/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5" fillId="0" borderId="0">
      <alignment horizontal="left"/>
    </xf>
    <xf numFmtId="0" fontId="8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8" fillId="0" borderId="0" xfId="37"/>
    <xf numFmtId="1" fontId="0" fillId="0" borderId="0" xfId="0" applyNumberForma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1" fontId="0" fillId="0" borderId="0" xfId="0" applyNumberFormat="1"/>
    <xf numFmtId="165" fontId="0" fillId="0" borderId="0" xfId="0" applyNumberFormat="1"/>
    <xf numFmtId="2" fontId="0" fillId="0" borderId="0" xfId="9" applyNumberFormat="1" applyFont="1"/>
    <xf numFmtId="0" fontId="2" fillId="0" borderId="0" xfId="1"/>
    <xf numFmtId="0" fontId="3" fillId="0" borderId="1" xfId="2">
      <alignment wrapText="1"/>
    </xf>
    <xf numFmtId="0" fontId="5" fillId="0" borderId="0" xfId="3">
      <alignment horizontal="left"/>
    </xf>
    <xf numFmtId="0" fontId="3" fillId="0" borderId="2" xfId="4">
      <alignment wrapText="1"/>
    </xf>
    <xf numFmtId="0" fontId="0" fillId="0" borderId="3" xfId="5" applyFont="1">
      <alignment wrapText="1"/>
    </xf>
    <xf numFmtId="3" fontId="0" fillId="0" borderId="3" xfId="5" applyNumberFormat="1" applyFont="1" applyAlignment="1">
      <alignment horizontal="right" wrapText="1"/>
    </xf>
    <xf numFmtId="164" fontId="0" fillId="0" borderId="3" xfId="5" applyNumberFormat="1" applyFont="1" applyAlignment="1">
      <alignment horizontal="right" wrapText="1"/>
    </xf>
    <xf numFmtId="3" fontId="3" fillId="0" borderId="2" xfId="4" applyNumberFormat="1" applyAlignment="1">
      <alignment horizontal="right" wrapText="1"/>
    </xf>
    <xf numFmtId="164" fontId="3" fillId="0" borderId="2" xfId="4" applyNumberFormat="1" applyAlignment="1">
      <alignment horizontal="right" wrapText="1"/>
    </xf>
    <xf numFmtId="4" fontId="0" fillId="0" borderId="3" xfId="5" applyNumberFormat="1" applyFont="1" applyAlignment="1">
      <alignment horizontal="right" wrapText="1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horizontal="right"/>
    </xf>
    <xf numFmtId="0" fontId="3" fillId="0" borderId="1" xfId="2" applyAlignment="1">
      <alignment horizontal="right" wrapText="1"/>
    </xf>
    <xf numFmtId="0" fontId="0" fillId="0" borderId="4" xfId="0" applyBorder="1"/>
    <xf numFmtId="0" fontId="12" fillId="0" borderId="0" xfId="0" applyFont="1"/>
    <xf numFmtId="0" fontId="3" fillId="0" borderId="1" xfId="2" applyAlignment="1">
      <alignment horizontal="right"/>
    </xf>
    <xf numFmtId="0" fontId="6" fillId="0" borderId="4" xfId="6" applyFont="1">
      <alignment wrapText="1"/>
    </xf>
    <xf numFmtId="0" fontId="14" fillId="0" borderId="0" xfId="0" applyFont="1" applyAlignment="1">
      <alignment horizontal="right"/>
    </xf>
    <xf numFmtId="3" fontId="0" fillId="0" borderId="0" xfId="0" applyNumberFormat="1"/>
    <xf numFmtId="0" fontId="15" fillId="0" borderId="0" xfId="0" applyFont="1"/>
    <xf numFmtId="0" fontId="2" fillId="0" borderId="0" xfId="7"/>
    <xf numFmtId="0" fontId="4" fillId="0" borderId="0" xfId="7" applyFont="1"/>
    <xf numFmtId="0" fontId="6" fillId="0" borderId="0" xfId="7" applyFont="1"/>
    <xf numFmtId="0" fontId="12" fillId="0" borderId="0" xfId="7" applyFont="1"/>
    <xf numFmtId="0" fontId="6" fillId="0" borderId="0" xfId="7" applyFont="1" applyAlignment="1">
      <alignment horizontal="left"/>
    </xf>
    <xf numFmtId="0" fontId="2" fillId="0" borderId="4" xfId="7" applyBorder="1"/>
    <xf numFmtId="0" fontId="2" fillId="0" borderId="0" xfId="32"/>
    <xf numFmtId="0" fontId="3" fillId="0" borderId="1" xfId="34">
      <alignment wrapText="1"/>
    </xf>
    <xf numFmtId="0" fontId="16" fillId="0" borderId="0" xfId="36" applyFont="1">
      <alignment horizontal="left"/>
    </xf>
    <xf numFmtId="0" fontId="6" fillId="0" borderId="0" xfId="32" applyFont="1"/>
    <xf numFmtId="0" fontId="6" fillId="0" borderId="3" xfId="31" applyFont="1">
      <alignment wrapText="1"/>
    </xf>
    <xf numFmtId="4" fontId="6" fillId="0" borderId="3" xfId="31" applyNumberFormat="1" applyFont="1" applyAlignment="1">
      <alignment horizontal="right" wrapText="1"/>
    </xf>
    <xf numFmtId="164" fontId="6" fillId="0" borderId="3" xfId="31" applyNumberFormat="1" applyFont="1" applyAlignment="1">
      <alignment horizontal="right" wrapText="1"/>
    </xf>
    <xf numFmtId="3" fontId="6" fillId="0" borderId="3" xfId="31" applyNumberFormat="1" applyFont="1" applyAlignment="1">
      <alignment horizontal="right" wrapText="1"/>
    </xf>
    <xf numFmtId="4" fontId="6" fillId="0" borderId="3" xfId="31" applyNumberFormat="1" applyFont="1">
      <alignment wrapText="1"/>
    </xf>
    <xf numFmtId="164" fontId="6" fillId="0" borderId="3" xfId="31" applyNumberFormat="1" applyFont="1">
      <alignment wrapText="1"/>
    </xf>
    <xf numFmtId="0" fontId="17" fillId="0" borderId="0" xfId="0" applyFont="1" applyAlignment="1">
      <alignment vertical="center"/>
    </xf>
    <xf numFmtId="0" fontId="10" fillId="0" borderId="0" xfId="7" applyFont="1"/>
    <xf numFmtId="0" fontId="14" fillId="0" borderId="0" xfId="7" applyFont="1" applyAlignment="1">
      <alignment horizontal="right"/>
    </xf>
    <xf numFmtId="0" fontId="14" fillId="0" borderId="1" xfId="34" applyFont="1">
      <alignment wrapText="1"/>
    </xf>
    <xf numFmtId="0" fontId="14" fillId="0" borderId="1" xfId="34" applyFont="1" applyAlignment="1">
      <alignment horizontal="right"/>
    </xf>
    <xf numFmtId="0" fontId="14" fillId="0" borderId="2" xfId="35" applyFont="1">
      <alignment wrapText="1"/>
    </xf>
    <xf numFmtId="3" fontId="14" fillId="0" borderId="2" xfId="35" applyNumberFormat="1" applyFont="1" applyAlignment="1">
      <alignment horizontal="right" wrapText="1"/>
    </xf>
    <xf numFmtId="164" fontId="14" fillId="0" borderId="2" xfId="35" applyNumberFormat="1" applyFont="1" applyAlignment="1">
      <alignment horizontal="right" wrapText="1"/>
    </xf>
    <xf numFmtId="0" fontId="8" fillId="0" borderId="0" xfId="37"/>
    <xf numFmtId="0" fontId="6" fillId="0" borderId="4" xfId="33" applyFont="1">
      <alignment wrapText="1"/>
    </xf>
    <xf numFmtId="0" fontId="2" fillId="0" borderId="4" xfId="7" applyBorder="1"/>
    <xf numFmtId="0" fontId="2" fillId="0" borderId="0" xfId="7"/>
    <xf numFmtId="0" fontId="0" fillId="0" borderId="0" xfId="0"/>
    <xf numFmtId="0" fontId="0" fillId="0" borderId="3" xfId="5" applyFont="1">
      <alignment wrapText="1"/>
    </xf>
    <xf numFmtId="4" fontId="0" fillId="0" borderId="3" xfId="5" applyNumberFormat="1" applyFont="1" applyAlignment="1">
      <alignment horizontal="right" wrapText="1"/>
    </xf>
    <xf numFmtId="164" fontId="0" fillId="0" borderId="3" xfId="5" applyNumberFormat="1" applyFont="1" applyAlignment="1">
      <alignment horizontal="right" wrapText="1"/>
    </xf>
    <xf numFmtId="0" fontId="6" fillId="0" borderId="4" xfId="6" applyFont="1">
      <alignment wrapText="1"/>
    </xf>
    <xf numFmtId="0" fontId="0" fillId="0" borderId="4" xfId="0" applyBorder="1"/>
  </cellXfs>
  <cellStyles count="38">
    <cellStyle name="Body: normal cell" xfId="5" xr:uid="{00000000-0005-0000-0000-000000000000}"/>
    <cellStyle name="Body: normal cell 2" xfId="14" xr:uid="{51B22B8D-CF9D-46AD-BF65-4C4D416ECE20}"/>
    <cellStyle name="Body: normal cell 2 2" xfId="31" xr:uid="{7B0771CF-F847-4124-BB86-A11EA2CD1658}"/>
    <cellStyle name="Body: normal cell 3" xfId="24" xr:uid="{07959F89-420C-46E5-89D7-DED1058CD9F0}"/>
    <cellStyle name="Body: normal cell 4" xfId="16" xr:uid="{B3EE48E5-25FC-4B27-89F7-BBF626DDE478}"/>
    <cellStyle name="Comma" xfId="9" builtinId="3"/>
    <cellStyle name="Font: Calibri, 9pt regular" xfId="1" xr:uid="{00000000-0005-0000-0000-000001000000}"/>
    <cellStyle name="Font: Calibri, 9pt regular 2" xfId="10" xr:uid="{382B750F-5A54-4636-ADA6-0DA00478492B}"/>
    <cellStyle name="Font: Calibri, 9pt regular 2 2" xfId="32" xr:uid="{10721611-BCF2-4601-A6CB-763CAAD20D01}"/>
    <cellStyle name="Font: Calibri, 9pt regular 3" xfId="25" xr:uid="{3E796C07-4505-49E4-B769-003B14DECF9C}"/>
    <cellStyle name="Font: Calibri, 9pt regular 4" xfId="17" xr:uid="{A2D18834-9EA9-49C6-9F5F-D01506806906}"/>
    <cellStyle name="Footnotes: top row" xfId="6" xr:uid="{00000000-0005-0000-0000-000002000000}"/>
    <cellStyle name="Footnotes: top row 2" xfId="15" xr:uid="{D86F4493-36AD-40FB-B8F1-3749D0EDAFD8}"/>
    <cellStyle name="Footnotes: top row 2 2" xfId="33" xr:uid="{73A0D673-2B61-4687-B919-8CB842F4FB43}"/>
    <cellStyle name="Footnotes: top row 3" xfId="26" xr:uid="{8E90DDBF-C1AF-4705-B24C-8291BA1B1065}"/>
    <cellStyle name="Footnotes: top row 4" xfId="18" xr:uid="{81ABFD43-2AB8-4491-AD8D-7F327DE266A1}"/>
    <cellStyle name="Header: bottom row" xfId="2" xr:uid="{00000000-0005-0000-0000-000003000000}"/>
    <cellStyle name="Header: bottom row 2" xfId="11" xr:uid="{D124DBBE-817F-4F9A-B086-7B91EE80FB92}"/>
    <cellStyle name="Header: bottom row 2 2" xfId="34" xr:uid="{84EA0DCD-78D0-4003-9C75-319FC6445AC4}"/>
    <cellStyle name="Header: bottom row 3" xfId="27" xr:uid="{5C28CDE5-61AD-48C5-955F-C044B613343F}"/>
    <cellStyle name="Header: bottom row 4" xfId="19" xr:uid="{3F9A9EED-7D4A-464A-B1F0-1EBF4F674245}"/>
    <cellStyle name="Hyperlink" xfId="37" builtinId="8"/>
    <cellStyle name="Normal" xfId="0" builtinId="0"/>
    <cellStyle name="Normal 2" xfId="7" xr:uid="{00000000-0005-0000-0000-000006000000}"/>
    <cellStyle name="Normal 2 2" xfId="8" xr:uid="{00000000-0005-0000-0000-000007000000}"/>
    <cellStyle name="Normal 3" xfId="30" xr:uid="{53828412-BD72-47DB-B8AF-6894A350244C}"/>
    <cellStyle name="Normal 4" xfId="23" xr:uid="{C7C5B42A-B351-4A4A-B7B0-17C676C6DD8D}"/>
    <cellStyle name="Normal 5" xfId="22" xr:uid="{98FD0943-AE6B-413B-8ED7-15787D0DCDAD}"/>
    <cellStyle name="Parent row" xfId="4" xr:uid="{00000000-0005-0000-0000-000008000000}"/>
    <cellStyle name="Parent row 2" xfId="13" xr:uid="{004140A3-0A0D-4133-A16E-5D203A439566}"/>
    <cellStyle name="Parent row 2 2" xfId="35" xr:uid="{D1AAD42D-AE7B-4862-8C31-31894BC44DFD}"/>
    <cellStyle name="Parent row 3" xfId="28" xr:uid="{913743C3-F239-4601-9FB0-9DE0B1A5E3D0}"/>
    <cellStyle name="Parent row 4" xfId="20" xr:uid="{D4F08BE8-F8D1-4FE3-ACBC-8F757D319B1D}"/>
    <cellStyle name="Table title" xfId="3" xr:uid="{00000000-0005-0000-0000-000009000000}"/>
    <cellStyle name="Table title 2" xfId="12" xr:uid="{D271D59B-77D2-4405-AFE3-35DCF4B982EE}"/>
    <cellStyle name="Table title 2 2" xfId="36" xr:uid="{1A4DC889-96B9-40BB-A710-DAE3E0AF0304}"/>
    <cellStyle name="Table title 3" xfId="29" xr:uid="{BBB91672-661F-4927-B016-545CF0B81EE7}"/>
    <cellStyle name="Table title 4" xfId="21" xr:uid="{2B1384A8-2297-4BFD-8041-9FA0D03E1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CodeRepositories/eps-us/InputData/fuels/BFCpUEbS/BAU%20Fuel%20Cost%20per%20Unit%20Energy%20by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AEO Table 3"/>
      <sheetName val="AEO Table 12"/>
      <sheetName val="Natural Gas Adjustment"/>
      <sheetName val="Hard Coal and Lig Multipliers"/>
      <sheetName val="Hydrogen"/>
      <sheetName val="Other Fuels"/>
      <sheetName val="BFCpUEbS-electricity"/>
      <sheetName val="BFCpUEbS-coal"/>
      <sheetName val="BFCpUEbS-natural-gas"/>
      <sheetName val="BFCpUEbS-nuclear"/>
      <sheetName val="BFCpUEbS-hydro"/>
      <sheetName val="BFCpUEbS-wind"/>
      <sheetName val="BFCpUEbS-solar"/>
      <sheetName val="BFCpUEbS-biomass"/>
      <sheetName val="BFCpUEbS-petroleum-gasoline"/>
      <sheetName val="BFCpUEbS-petroleum-diesel"/>
      <sheetName val="BFCpUEbS-biofuel-gasoline"/>
      <sheetName val="BFCpUEbS-biofuel-diesel"/>
      <sheetName val="BFCpUEbS-jet-fuel-or-kerosene"/>
      <sheetName val="BFCpUEbS-heat"/>
      <sheetName val="BFCpUEbS-lignite"/>
      <sheetName val="BFCpUEbS-geothermal"/>
      <sheetName val="BFCpUEbS-crude-oil"/>
      <sheetName val="BFCpUEbS-heavy-fuel-oil"/>
      <sheetName val="BFCpUEbS-lpg-propane-or-butane"/>
      <sheetName val="BFCpUEbS-municipal-solid-waste"/>
      <sheetName val="BFCpUEbS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_RmvJpDh5CUSkNj1lKf5HorV8Rx0YtOkXj6PAuzNAF4/edit?gid=2140732780" TargetMode="External"/><Relationship Id="rId1" Type="http://schemas.openxmlformats.org/officeDocument/2006/relationships/hyperlink" Target="https://conahcyt.mx/wp-content/uploads/pronaces/micrositios/energia_y_cambio_climatico/energia/cuadernos_tematicos/Cuaderno_9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opLeftCell="A4" workbookViewId="0">
      <selection activeCell="H14" sqref="H14"/>
    </sheetView>
  </sheetViews>
  <sheetFormatPr defaultColWidth="9.109375" defaultRowHeight="14.4" x14ac:dyDescent="0.3"/>
  <cols>
    <col min="2" max="2" width="70.10937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6" spans="1:3" x14ac:dyDescent="0.3">
      <c r="A6" s="1" t="s">
        <v>4</v>
      </c>
      <c r="B6" s="3" t="s">
        <v>5</v>
      </c>
      <c r="C6" t="s">
        <v>6</v>
      </c>
    </row>
    <row r="7" spans="1:3" x14ac:dyDescent="0.3">
      <c r="B7" t="s">
        <v>7</v>
      </c>
    </row>
    <row r="8" spans="1:3" x14ac:dyDescent="0.3">
      <c r="B8" s="2">
        <v>2024</v>
      </c>
    </row>
    <row r="9" spans="1:3" x14ac:dyDescent="0.3">
      <c r="B9" t="s">
        <v>8</v>
      </c>
    </row>
    <row r="10" spans="1:3" x14ac:dyDescent="0.3">
      <c r="B10" s="4" t="s">
        <v>9</v>
      </c>
    </row>
    <row r="13" spans="1:3" x14ac:dyDescent="0.3">
      <c r="B13" s="3" t="s">
        <v>10</v>
      </c>
      <c r="C13" t="s">
        <v>11</v>
      </c>
    </row>
    <row r="14" spans="1:3" x14ac:dyDescent="0.3">
      <c r="B14">
        <v>2024</v>
      </c>
    </row>
    <row r="15" spans="1:3" x14ac:dyDescent="0.3">
      <c r="B15" s="2" t="s">
        <v>12</v>
      </c>
    </row>
    <row r="16" spans="1:3" x14ac:dyDescent="0.3">
      <c r="B16" s="4" t="s">
        <v>13</v>
      </c>
    </row>
    <row r="17" spans="2:2" x14ac:dyDescent="0.3">
      <c r="B17" t="s">
        <v>14</v>
      </c>
    </row>
    <row r="18" spans="2:2" x14ac:dyDescent="0.3">
      <c r="B18" s="58" t="s">
        <v>15</v>
      </c>
    </row>
    <row r="19" spans="2:2" x14ac:dyDescent="0.3">
      <c r="B19" t="s">
        <v>16</v>
      </c>
    </row>
    <row r="21" spans="2:2" x14ac:dyDescent="0.3">
      <c r="B21" s="3" t="s">
        <v>17</v>
      </c>
    </row>
    <row r="22" spans="2:2" x14ac:dyDescent="0.3">
      <c r="B22" t="s">
        <v>18</v>
      </c>
    </row>
    <row r="23" spans="2:2" x14ac:dyDescent="0.3">
      <c r="B23" s="2" t="s">
        <v>19</v>
      </c>
    </row>
    <row r="24" spans="2:2" x14ac:dyDescent="0.3">
      <c r="B24" t="s">
        <v>20</v>
      </c>
    </row>
    <row r="25" spans="2:2" x14ac:dyDescent="0.3">
      <c r="B25" s="4" t="s">
        <v>21</v>
      </c>
    </row>
    <row r="26" spans="2:2" x14ac:dyDescent="0.3">
      <c r="B26" t="s">
        <v>22</v>
      </c>
    </row>
    <row r="28" spans="2:2" x14ac:dyDescent="0.3">
      <c r="B28" s="3"/>
    </row>
    <row r="30" spans="2:2" x14ac:dyDescent="0.3">
      <c r="B30" s="2"/>
    </row>
    <row r="32" spans="2:2" x14ac:dyDescent="0.3">
      <c r="B32" s="4"/>
    </row>
    <row r="33" spans="1:2" x14ac:dyDescent="0.3">
      <c r="B33" s="33"/>
    </row>
    <row r="35" spans="1:2" x14ac:dyDescent="0.3">
      <c r="A35" s="1" t="s">
        <v>23</v>
      </c>
    </row>
    <row r="36" spans="1:2" x14ac:dyDescent="0.3">
      <c r="A36" t="s">
        <v>24</v>
      </c>
    </row>
    <row r="37" spans="1:2" x14ac:dyDescent="0.3">
      <c r="A37" t="s">
        <v>25</v>
      </c>
    </row>
    <row r="38" spans="1:2" x14ac:dyDescent="0.3">
      <c r="A38" t="s">
        <v>26</v>
      </c>
    </row>
    <row r="39" spans="1:2" x14ac:dyDescent="0.3">
      <c r="A39" t="s">
        <v>27</v>
      </c>
    </row>
    <row r="40" spans="1:2" x14ac:dyDescent="0.3">
      <c r="A40" t="s">
        <v>28</v>
      </c>
    </row>
    <row r="42" spans="1:2" x14ac:dyDescent="0.3">
      <c r="A42" t="s">
        <v>29</v>
      </c>
    </row>
    <row r="43" spans="1:2" x14ac:dyDescent="0.3">
      <c r="A43" t="s">
        <v>30</v>
      </c>
    </row>
    <row r="45" spans="1:2" x14ac:dyDescent="0.3">
      <c r="A45" t="s">
        <v>31</v>
      </c>
    </row>
    <row r="46" spans="1:2" x14ac:dyDescent="0.3">
      <c r="A46" t="s">
        <v>32</v>
      </c>
    </row>
    <row r="47" spans="1:2" x14ac:dyDescent="0.3">
      <c r="A47" t="s">
        <v>33</v>
      </c>
    </row>
    <row r="49" spans="1:2" x14ac:dyDescent="0.3">
      <c r="A49" t="s">
        <v>34</v>
      </c>
    </row>
    <row r="50" spans="1:2" x14ac:dyDescent="0.3">
      <c r="A50" t="s">
        <v>35</v>
      </c>
    </row>
    <row r="51" spans="1:2" x14ac:dyDescent="0.3">
      <c r="A51" t="s">
        <v>36</v>
      </c>
    </row>
    <row r="53" spans="1:2" x14ac:dyDescent="0.3">
      <c r="A53" s="1" t="s">
        <v>37</v>
      </c>
    </row>
    <row r="54" spans="1:2" x14ac:dyDescent="0.3">
      <c r="A54" t="s">
        <v>38</v>
      </c>
    </row>
    <row r="55" spans="1:2" x14ac:dyDescent="0.3">
      <c r="A55" t="s">
        <v>39</v>
      </c>
    </row>
    <row r="56" spans="1:2" x14ac:dyDescent="0.3">
      <c r="A56" t="s">
        <v>40</v>
      </c>
    </row>
    <row r="58" spans="1:2" x14ac:dyDescent="0.3">
      <c r="A58" s="1" t="s">
        <v>41</v>
      </c>
    </row>
    <row r="59" spans="1:2" x14ac:dyDescent="0.3">
      <c r="A59" s="10">
        <v>2.931E-7</v>
      </c>
      <c r="B59" t="s">
        <v>42</v>
      </c>
    </row>
    <row r="60" spans="1:2" x14ac:dyDescent="0.3">
      <c r="A60" s="11">
        <v>0.88711067149387013</v>
      </c>
      <c r="B60" t="s">
        <v>43</v>
      </c>
    </row>
    <row r="61" spans="1:2" x14ac:dyDescent="0.3">
      <c r="A61" s="11">
        <v>0.84730412960844359</v>
      </c>
      <c r="B61" t="s">
        <v>44</v>
      </c>
    </row>
  </sheetData>
  <phoneticPr fontId="13" type="noConversion"/>
  <hyperlinks>
    <hyperlink ref="B16" r:id="rId1" xr:uid="{0C9E2C49-6D76-40A0-AA72-475FFF931142}"/>
    <hyperlink ref="B18" r:id="rId2" location="gid=2140732780" xr:uid="{864DC01B-1AEC-4556-BD6F-4104591F444B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8FF3-D1D2-48C2-A082-25E8D6840FE0}">
  <dimension ref="A1:AH2841"/>
  <sheetViews>
    <sheetView topLeftCell="B49" workbookViewId="0">
      <selection activeCell="B47" sqref="B47"/>
    </sheetView>
  </sheetViews>
  <sheetFormatPr defaultColWidth="8.6640625" defaultRowHeight="14.4" x14ac:dyDescent="0.3"/>
  <cols>
    <col min="1" max="1" width="21.44140625" hidden="1" customWidth="1"/>
    <col min="2" max="2" width="46.6640625" customWidth="1"/>
  </cols>
  <sheetData>
    <row r="1" spans="1:33" ht="15" customHeight="1" thickBot="1" x14ac:dyDescent="0.35">
      <c r="A1" s="34"/>
      <c r="B1" s="40" t="s">
        <v>45</v>
      </c>
      <c r="C1" s="41">
        <v>2022</v>
      </c>
      <c r="D1" s="41">
        <v>2023</v>
      </c>
      <c r="E1" s="41">
        <v>2024</v>
      </c>
      <c r="F1" s="41">
        <v>2025</v>
      </c>
      <c r="G1" s="41">
        <v>2026</v>
      </c>
      <c r="H1" s="41">
        <v>2027</v>
      </c>
      <c r="I1" s="41">
        <v>2028</v>
      </c>
      <c r="J1" s="41">
        <v>2029</v>
      </c>
      <c r="K1" s="41">
        <v>2030</v>
      </c>
      <c r="L1" s="41">
        <v>2031</v>
      </c>
      <c r="M1" s="41">
        <v>2032</v>
      </c>
      <c r="N1" s="41">
        <v>2033</v>
      </c>
      <c r="O1" s="41">
        <v>2034</v>
      </c>
      <c r="P1" s="41">
        <v>2035</v>
      </c>
      <c r="Q1" s="41">
        <v>2036</v>
      </c>
      <c r="R1" s="41">
        <v>2037</v>
      </c>
      <c r="S1" s="41">
        <v>2038</v>
      </c>
      <c r="T1" s="41">
        <v>2039</v>
      </c>
      <c r="U1" s="41">
        <v>2040</v>
      </c>
      <c r="V1" s="41">
        <v>2041</v>
      </c>
      <c r="W1" s="41">
        <v>2042</v>
      </c>
      <c r="X1" s="41">
        <v>2043</v>
      </c>
      <c r="Y1" s="41">
        <v>2044</v>
      </c>
      <c r="Z1" s="41">
        <v>2045</v>
      </c>
      <c r="AA1" s="41">
        <v>2046</v>
      </c>
      <c r="AB1" s="41">
        <v>2047</v>
      </c>
      <c r="AC1" s="41">
        <v>2048</v>
      </c>
      <c r="AD1" s="41">
        <v>2049</v>
      </c>
      <c r="AE1" s="41">
        <v>2050</v>
      </c>
      <c r="AF1" s="34"/>
      <c r="AG1" s="34"/>
    </row>
    <row r="2" spans="1:33" ht="15" customHeight="1" thickTop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33" ht="15" customHeight="1" x14ac:dyDescent="0.3">
      <c r="A3" s="34"/>
      <c r="B3" s="34"/>
      <c r="C3" s="51" t="s">
        <v>46</v>
      </c>
      <c r="D3" s="51" t="s">
        <v>47</v>
      </c>
      <c r="E3" s="37"/>
      <c r="F3" s="37"/>
      <c r="G3" s="37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</row>
    <row r="4" spans="1:33" ht="15" customHeight="1" x14ac:dyDescent="0.3">
      <c r="A4" s="34"/>
      <c r="B4" s="34"/>
      <c r="C4" s="51" t="s">
        <v>48</v>
      </c>
      <c r="D4" s="51" t="s">
        <v>49</v>
      </c>
      <c r="E4" s="37"/>
      <c r="F4" s="37"/>
      <c r="G4" s="51" t="s">
        <v>50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 spans="1:33" ht="15" customHeight="1" x14ac:dyDescent="0.3">
      <c r="A5" s="34"/>
      <c r="B5" s="34"/>
      <c r="C5" s="51" t="s">
        <v>51</v>
      </c>
      <c r="D5" s="51" t="s">
        <v>52</v>
      </c>
      <c r="E5" s="37"/>
      <c r="F5" s="37"/>
      <c r="G5" s="37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</row>
    <row r="6" spans="1:33" ht="15" customHeight="1" x14ac:dyDescent="0.3">
      <c r="A6" s="34"/>
      <c r="B6" s="34"/>
      <c r="C6" s="51" t="s">
        <v>53</v>
      </c>
      <c r="D6" s="37"/>
      <c r="E6" s="51" t="s">
        <v>54</v>
      </c>
      <c r="F6" s="37"/>
      <c r="G6" s="37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</row>
    <row r="7" spans="1:33" x14ac:dyDescent="0.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</row>
    <row r="8" spans="1:33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x14ac:dyDescent="0.3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ht="15" customHeight="1" x14ac:dyDescent="0.3">
      <c r="A10" s="35" t="s">
        <v>55</v>
      </c>
      <c r="B10" s="42" t="s">
        <v>56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52" t="s">
        <v>57</v>
      </c>
      <c r="AG10" s="36"/>
    </row>
    <row r="11" spans="1:33" ht="15" customHeight="1" x14ac:dyDescent="0.3">
      <c r="A11" s="34"/>
      <c r="B11" s="43" t="s">
        <v>58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52" t="s">
        <v>59</v>
      </c>
      <c r="AG11" s="36"/>
    </row>
    <row r="12" spans="1:33" ht="15" customHeight="1" x14ac:dyDescent="0.3">
      <c r="A12" s="34"/>
      <c r="B12" s="43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52" t="s">
        <v>60</v>
      </c>
      <c r="AG12" s="36"/>
    </row>
    <row r="13" spans="1:33" ht="15" customHeight="1" thickBot="1" x14ac:dyDescent="0.35">
      <c r="A13" s="34"/>
      <c r="B13" s="53" t="s">
        <v>61</v>
      </c>
      <c r="C13" s="53">
        <v>2022</v>
      </c>
      <c r="D13" s="53">
        <v>2023</v>
      </c>
      <c r="E13" s="53">
        <v>2024</v>
      </c>
      <c r="F13" s="53">
        <v>2025</v>
      </c>
      <c r="G13" s="53">
        <v>2026</v>
      </c>
      <c r="H13" s="53">
        <v>2027</v>
      </c>
      <c r="I13" s="53">
        <v>2028</v>
      </c>
      <c r="J13" s="53">
        <v>2029</v>
      </c>
      <c r="K13" s="53">
        <v>2030</v>
      </c>
      <c r="L13" s="53">
        <v>2031</v>
      </c>
      <c r="M13" s="53">
        <v>2032</v>
      </c>
      <c r="N13" s="53">
        <v>2033</v>
      </c>
      <c r="O13" s="53">
        <v>2034</v>
      </c>
      <c r="P13" s="53">
        <v>2035</v>
      </c>
      <c r="Q13" s="53">
        <v>2036</v>
      </c>
      <c r="R13" s="53">
        <v>2037</v>
      </c>
      <c r="S13" s="53">
        <v>2038</v>
      </c>
      <c r="T13" s="53">
        <v>2039</v>
      </c>
      <c r="U13" s="53">
        <v>2040</v>
      </c>
      <c r="V13" s="53">
        <v>2041</v>
      </c>
      <c r="W13" s="53">
        <v>2042</v>
      </c>
      <c r="X13" s="53">
        <v>2043</v>
      </c>
      <c r="Y13" s="53">
        <v>2044</v>
      </c>
      <c r="Z13" s="53">
        <v>2045</v>
      </c>
      <c r="AA13" s="53">
        <v>2046</v>
      </c>
      <c r="AB13" s="53">
        <v>2047</v>
      </c>
      <c r="AC13" s="53">
        <v>2048</v>
      </c>
      <c r="AD13" s="53">
        <v>2049</v>
      </c>
      <c r="AE13" s="53">
        <v>2050</v>
      </c>
      <c r="AF13" s="54" t="s">
        <v>62</v>
      </c>
      <c r="AG13" s="36"/>
    </row>
    <row r="14" spans="1:33" ht="15" customHeight="1" thickTop="1" x14ac:dyDescent="0.3">
      <c r="A14" s="34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spans="1:33" ht="15" customHeight="1" x14ac:dyDescent="0.3">
      <c r="A15" s="34"/>
      <c r="B15" s="55" t="s">
        <v>63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spans="1:33" ht="15" customHeight="1" x14ac:dyDescent="0.3">
      <c r="A16" s="35" t="s">
        <v>64</v>
      </c>
      <c r="B16" s="44" t="s">
        <v>65</v>
      </c>
      <c r="C16" s="45">
        <v>29.133368000000001</v>
      </c>
      <c r="D16" s="45">
        <v>31.306763</v>
      </c>
      <c r="E16" s="45">
        <v>31.488976000000001</v>
      </c>
      <c r="F16" s="45">
        <v>30.414380999999999</v>
      </c>
      <c r="G16" s="45">
        <v>29.316693999999998</v>
      </c>
      <c r="H16" s="45">
        <v>28.432261</v>
      </c>
      <c r="I16" s="45">
        <v>27.927178999999999</v>
      </c>
      <c r="J16" s="45">
        <v>27.736774</v>
      </c>
      <c r="K16" s="45">
        <v>27.826453999999998</v>
      </c>
      <c r="L16" s="45">
        <v>28.114606999999999</v>
      </c>
      <c r="M16" s="45">
        <v>28.577341000000001</v>
      </c>
      <c r="N16" s="45">
        <v>29.166181999999999</v>
      </c>
      <c r="O16" s="45">
        <v>29.755032</v>
      </c>
      <c r="P16" s="45">
        <v>30.227194000000001</v>
      </c>
      <c r="Q16" s="45">
        <v>30.581852000000001</v>
      </c>
      <c r="R16" s="45">
        <v>30.898972000000001</v>
      </c>
      <c r="S16" s="45">
        <v>31.307200999999999</v>
      </c>
      <c r="T16" s="45">
        <v>31.507280000000002</v>
      </c>
      <c r="U16" s="45">
        <v>31.831757</v>
      </c>
      <c r="V16" s="45">
        <v>32.150084999999997</v>
      </c>
      <c r="W16" s="45">
        <v>32.377547999999997</v>
      </c>
      <c r="X16" s="45">
        <v>32.495739</v>
      </c>
      <c r="Y16" s="45">
        <v>32.527752</v>
      </c>
      <c r="Z16" s="45">
        <v>32.601685000000003</v>
      </c>
      <c r="AA16" s="45">
        <v>32.818344000000003</v>
      </c>
      <c r="AB16" s="45">
        <v>32.858730000000001</v>
      </c>
      <c r="AC16" s="45">
        <v>32.944167999999998</v>
      </c>
      <c r="AD16" s="45">
        <v>32.974564000000001</v>
      </c>
      <c r="AE16" s="45">
        <v>32.963577000000001</v>
      </c>
      <c r="AF16" s="46">
        <v>4.4209999999999996E-3</v>
      </c>
      <c r="AG16" s="36"/>
    </row>
    <row r="17" spans="1:33" ht="15" customHeight="1" x14ac:dyDescent="0.3">
      <c r="A17" s="35" t="s">
        <v>66</v>
      </c>
      <c r="B17" s="44" t="s">
        <v>67</v>
      </c>
      <c r="C17" s="45">
        <v>35.242496000000003</v>
      </c>
      <c r="D17" s="45">
        <v>32.825690999999999</v>
      </c>
      <c r="E17" s="45">
        <v>31.613775</v>
      </c>
      <c r="F17" s="45">
        <v>29.971098000000001</v>
      </c>
      <c r="G17" s="45">
        <v>29.506724999999999</v>
      </c>
      <c r="H17" s="45">
        <v>29.058900999999999</v>
      </c>
      <c r="I17" s="45">
        <v>28.775815999999999</v>
      </c>
      <c r="J17" s="45">
        <v>28.863544000000001</v>
      </c>
      <c r="K17" s="45">
        <v>28.871641</v>
      </c>
      <c r="L17" s="45">
        <v>29.047982999999999</v>
      </c>
      <c r="M17" s="45">
        <v>29.134986999999999</v>
      </c>
      <c r="N17" s="45">
        <v>29.251018999999999</v>
      </c>
      <c r="O17" s="45">
        <v>29.296842999999999</v>
      </c>
      <c r="P17" s="45">
        <v>29.470129</v>
      </c>
      <c r="Q17" s="45">
        <v>29.486605000000001</v>
      </c>
      <c r="R17" s="45">
        <v>29.608255</v>
      </c>
      <c r="S17" s="45">
        <v>29.697092000000001</v>
      </c>
      <c r="T17" s="45">
        <v>29.738928000000001</v>
      </c>
      <c r="U17" s="45">
        <v>29.786014999999999</v>
      </c>
      <c r="V17" s="45">
        <v>29.942484</v>
      </c>
      <c r="W17" s="45">
        <v>29.935656000000002</v>
      </c>
      <c r="X17" s="45">
        <v>30.04907</v>
      </c>
      <c r="Y17" s="45">
        <v>29.954853</v>
      </c>
      <c r="Z17" s="45">
        <v>29.998642</v>
      </c>
      <c r="AA17" s="45">
        <v>30.208777999999999</v>
      </c>
      <c r="AB17" s="45">
        <v>30.235264000000001</v>
      </c>
      <c r="AC17" s="45">
        <v>30.267240999999999</v>
      </c>
      <c r="AD17" s="45">
        <v>30.332972999999999</v>
      </c>
      <c r="AE17" s="45">
        <v>30.333071</v>
      </c>
      <c r="AF17" s="46">
        <v>-5.3429999999999997E-3</v>
      </c>
      <c r="AG17" s="36"/>
    </row>
    <row r="18" spans="1:33" ht="15" customHeight="1" x14ac:dyDescent="0.3">
      <c r="A18" s="35" t="s">
        <v>68</v>
      </c>
      <c r="B18" s="44" t="s">
        <v>69</v>
      </c>
      <c r="C18" s="45">
        <v>14.293920999999999</v>
      </c>
      <c r="D18" s="45">
        <v>14.064584</v>
      </c>
      <c r="E18" s="45">
        <v>12.820667</v>
      </c>
      <c r="F18" s="45">
        <v>12.096767</v>
      </c>
      <c r="G18" s="45">
        <v>11.490399999999999</v>
      </c>
      <c r="H18" s="45">
        <v>11.084415999999999</v>
      </c>
      <c r="I18" s="45">
        <v>10.822556000000001</v>
      </c>
      <c r="J18" s="45">
        <v>10.873314000000001</v>
      </c>
      <c r="K18" s="45">
        <v>10.916109000000001</v>
      </c>
      <c r="L18" s="45">
        <v>11.018428999999999</v>
      </c>
      <c r="M18" s="45">
        <v>11.109650999999999</v>
      </c>
      <c r="N18" s="45">
        <v>11.256351</v>
      </c>
      <c r="O18" s="45">
        <v>11.376830999999999</v>
      </c>
      <c r="P18" s="45">
        <v>11.484237</v>
      </c>
      <c r="Q18" s="45">
        <v>11.535565</v>
      </c>
      <c r="R18" s="45">
        <v>11.619213999999999</v>
      </c>
      <c r="S18" s="45">
        <v>11.759008</v>
      </c>
      <c r="T18" s="45">
        <v>11.765636000000001</v>
      </c>
      <c r="U18" s="45">
        <v>11.858184</v>
      </c>
      <c r="V18" s="45">
        <v>11.954751999999999</v>
      </c>
      <c r="W18" s="45">
        <v>11.979805000000001</v>
      </c>
      <c r="X18" s="45">
        <v>11.966863</v>
      </c>
      <c r="Y18" s="45">
        <v>11.924365999999999</v>
      </c>
      <c r="Z18" s="45">
        <v>11.983916000000001</v>
      </c>
      <c r="AA18" s="45">
        <v>12.294510000000001</v>
      </c>
      <c r="AB18" s="45">
        <v>12.278926999999999</v>
      </c>
      <c r="AC18" s="45">
        <v>12.246207999999999</v>
      </c>
      <c r="AD18" s="45">
        <v>12.250840999999999</v>
      </c>
      <c r="AE18" s="45">
        <v>12.285347</v>
      </c>
      <c r="AF18" s="46">
        <v>-5.3940000000000004E-3</v>
      </c>
      <c r="AG18" s="36"/>
    </row>
    <row r="19" spans="1:33" ht="15" customHeight="1" x14ac:dyDescent="0.3">
      <c r="A19" s="35" t="s">
        <v>70</v>
      </c>
      <c r="B19" s="44" t="s">
        <v>71</v>
      </c>
      <c r="C19" s="45">
        <v>42.669246999999999</v>
      </c>
      <c r="D19" s="45">
        <v>41.433242999999997</v>
      </c>
      <c r="E19" s="45">
        <v>40.553882999999999</v>
      </c>
      <c r="F19" s="45">
        <v>39.341568000000002</v>
      </c>
      <c r="G19" s="45">
        <v>38.636054999999999</v>
      </c>
      <c r="H19" s="45">
        <v>38.098618000000002</v>
      </c>
      <c r="I19" s="45">
        <v>37.736530000000002</v>
      </c>
      <c r="J19" s="45">
        <v>37.638126</v>
      </c>
      <c r="K19" s="45">
        <v>37.737510999999998</v>
      </c>
      <c r="L19" s="45">
        <v>37.934016999999997</v>
      </c>
      <c r="M19" s="45">
        <v>38.113976000000001</v>
      </c>
      <c r="N19" s="45">
        <v>38.685684000000002</v>
      </c>
      <c r="O19" s="45">
        <v>39.125293999999997</v>
      </c>
      <c r="P19" s="45">
        <v>39.167233000000003</v>
      </c>
      <c r="Q19" s="45">
        <v>39.408442999999998</v>
      </c>
      <c r="R19" s="45">
        <v>39.708202</v>
      </c>
      <c r="S19" s="45">
        <v>40.126545</v>
      </c>
      <c r="T19" s="45">
        <v>40.421805999999997</v>
      </c>
      <c r="U19" s="45">
        <v>40.716976000000003</v>
      </c>
      <c r="V19" s="45">
        <v>40.952396</v>
      </c>
      <c r="W19" s="45">
        <v>41.084854</v>
      </c>
      <c r="X19" s="45">
        <v>41.174621999999999</v>
      </c>
      <c r="Y19" s="45">
        <v>41.248722000000001</v>
      </c>
      <c r="Z19" s="45">
        <v>41.339100000000002</v>
      </c>
      <c r="AA19" s="45">
        <v>41.270775</v>
      </c>
      <c r="AB19" s="45">
        <v>41.153132999999997</v>
      </c>
      <c r="AC19" s="45">
        <v>41.092044999999999</v>
      </c>
      <c r="AD19" s="45">
        <v>40.905059999999999</v>
      </c>
      <c r="AE19" s="45">
        <v>40.599277000000001</v>
      </c>
      <c r="AF19" s="46">
        <v>-1.774E-3</v>
      </c>
      <c r="AG19" s="36"/>
    </row>
    <row r="20" spans="1:33" ht="15" customHeight="1" x14ac:dyDescent="0.3">
      <c r="A20" s="34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spans="1:33" ht="15" customHeight="1" x14ac:dyDescent="0.3">
      <c r="A21" s="34"/>
      <c r="B21" s="55" t="s">
        <v>72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 ht="15" customHeight="1" x14ac:dyDescent="0.3">
      <c r="A22" s="35" t="s">
        <v>73</v>
      </c>
      <c r="B22" s="44" t="s">
        <v>65</v>
      </c>
      <c r="C22" s="45">
        <v>27.825644</v>
      </c>
      <c r="D22" s="45">
        <v>26.750048</v>
      </c>
      <c r="E22" s="45">
        <v>24.895067000000001</v>
      </c>
      <c r="F22" s="45">
        <v>22.915489000000001</v>
      </c>
      <c r="G22" s="45">
        <v>21.863067999999998</v>
      </c>
      <c r="H22" s="45">
        <v>21.29063</v>
      </c>
      <c r="I22" s="45">
        <v>21.164490000000001</v>
      </c>
      <c r="J22" s="45">
        <v>21.271128000000001</v>
      </c>
      <c r="K22" s="45">
        <v>21.567475999999999</v>
      </c>
      <c r="L22" s="45">
        <v>21.957166999999998</v>
      </c>
      <c r="M22" s="45">
        <v>22.450292999999999</v>
      </c>
      <c r="N22" s="45">
        <v>22.999268000000001</v>
      </c>
      <c r="O22" s="45">
        <v>23.455528000000001</v>
      </c>
      <c r="P22" s="45">
        <v>23.727990999999999</v>
      </c>
      <c r="Q22" s="45">
        <v>23.893875000000001</v>
      </c>
      <c r="R22" s="45">
        <v>24.081244999999999</v>
      </c>
      <c r="S22" s="45">
        <v>24.430447000000001</v>
      </c>
      <c r="T22" s="45">
        <v>24.450624000000001</v>
      </c>
      <c r="U22" s="45">
        <v>24.742602999999999</v>
      </c>
      <c r="V22" s="45">
        <v>24.982395</v>
      </c>
      <c r="W22" s="45">
        <v>25.090612</v>
      </c>
      <c r="X22" s="45">
        <v>25.093864</v>
      </c>
      <c r="Y22" s="45">
        <v>25.044073000000001</v>
      </c>
      <c r="Z22" s="45">
        <v>25.106045000000002</v>
      </c>
      <c r="AA22" s="45">
        <v>25.327110000000001</v>
      </c>
      <c r="AB22" s="45">
        <v>25.361146999999999</v>
      </c>
      <c r="AC22" s="45">
        <v>25.452358</v>
      </c>
      <c r="AD22" s="45">
        <v>25.443525000000001</v>
      </c>
      <c r="AE22" s="45">
        <v>25.401167000000001</v>
      </c>
      <c r="AF22" s="46">
        <v>-3.251E-3</v>
      </c>
      <c r="AG22" s="36"/>
    </row>
    <row r="23" spans="1:33" ht="15" customHeight="1" x14ac:dyDescent="0.3">
      <c r="A23" s="35" t="s">
        <v>74</v>
      </c>
      <c r="B23" s="44" t="s">
        <v>67</v>
      </c>
      <c r="C23" s="45">
        <v>35.263694999999998</v>
      </c>
      <c r="D23" s="45">
        <v>32.981144</v>
      </c>
      <c r="E23" s="45">
        <v>30.614763</v>
      </c>
      <c r="F23" s="45">
        <v>27.813896</v>
      </c>
      <c r="G23" s="45">
        <v>26.172981</v>
      </c>
      <c r="H23" s="45">
        <v>24.572749999999999</v>
      </c>
      <c r="I23" s="45">
        <v>23.124897000000001</v>
      </c>
      <c r="J23" s="45">
        <v>23.207827000000002</v>
      </c>
      <c r="K23" s="45">
        <v>23.210224</v>
      </c>
      <c r="L23" s="45">
        <v>23.375800999999999</v>
      </c>
      <c r="M23" s="45">
        <v>23.469553000000001</v>
      </c>
      <c r="N23" s="45">
        <v>23.574058999999998</v>
      </c>
      <c r="O23" s="45">
        <v>23.628924999999999</v>
      </c>
      <c r="P23" s="45">
        <v>23.780881999999998</v>
      </c>
      <c r="Q23" s="45">
        <v>23.807659000000001</v>
      </c>
      <c r="R23" s="45">
        <v>23.920522999999999</v>
      </c>
      <c r="S23" s="45">
        <v>24.003952000000002</v>
      </c>
      <c r="T23" s="45">
        <v>24.045341000000001</v>
      </c>
      <c r="U23" s="45">
        <v>24.092535000000002</v>
      </c>
      <c r="V23" s="45">
        <v>24.247444000000002</v>
      </c>
      <c r="W23" s="45">
        <v>24.240576000000001</v>
      </c>
      <c r="X23" s="45">
        <v>24.354948</v>
      </c>
      <c r="Y23" s="45">
        <v>24.264793000000001</v>
      </c>
      <c r="Z23" s="45">
        <v>24.334454000000001</v>
      </c>
      <c r="AA23" s="45">
        <v>24.855765999999999</v>
      </c>
      <c r="AB23" s="45">
        <v>24.870148</v>
      </c>
      <c r="AC23" s="45">
        <v>24.901744999999998</v>
      </c>
      <c r="AD23" s="45">
        <v>24.972280999999999</v>
      </c>
      <c r="AE23" s="45">
        <v>24.973918999999999</v>
      </c>
      <c r="AF23" s="46">
        <v>-1.2246999999999999E-2</v>
      </c>
      <c r="AG23" s="36"/>
    </row>
    <row r="24" spans="1:33" ht="15" customHeight="1" x14ac:dyDescent="0.3">
      <c r="A24" s="35" t="s">
        <v>75</v>
      </c>
      <c r="B24" s="44" t="s">
        <v>76</v>
      </c>
      <c r="C24" s="45">
        <v>12.628995</v>
      </c>
      <c r="D24" s="45">
        <v>7.8650659999999997</v>
      </c>
      <c r="E24" s="45">
        <v>9.434374</v>
      </c>
      <c r="F24" s="45">
        <v>9.7382729999999995</v>
      </c>
      <c r="G24" s="45">
        <v>11.133956</v>
      </c>
      <c r="H24" s="45">
        <v>12.534561999999999</v>
      </c>
      <c r="I24" s="45">
        <v>14.025283999999999</v>
      </c>
      <c r="J24" s="45">
        <v>14.102822</v>
      </c>
      <c r="K24" s="45">
        <v>14.186954</v>
      </c>
      <c r="L24" s="45">
        <v>14.294547</v>
      </c>
      <c r="M24" s="45">
        <v>14.392586</v>
      </c>
      <c r="N24" s="45">
        <v>14.48232</v>
      </c>
      <c r="O24" s="45">
        <v>14.582383</v>
      </c>
      <c r="P24" s="45">
        <v>14.694341</v>
      </c>
      <c r="Q24" s="45">
        <v>14.783643</v>
      </c>
      <c r="R24" s="45">
        <v>14.880509999999999</v>
      </c>
      <c r="S24" s="45">
        <v>14.985899</v>
      </c>
      <c r="T24" s="45">
        <v>15.052875</v>
      </c>
      <c r="U24" s="45">
        <v>15.137447999999999</v>
      </c>
      <c r="V24" s="45">
        <v>15.264226000000001</v>
      </c>
      <c r="W24" s="45">
        <v>15.277987</v>
      </c>
      <c r="X24" s="45">
        <v>15.347211</v>
      </c>
      <c r="Y24" s="45">
        <v>15.376574</v>
      </c>
      <c r="Z24" s="45">
        <v>15.433166</v>
      </c>
      <c r="AA24" s="45">
        <v>15.594908</v>
      </c>
      <c r="AB24" s="45">
        <v>15.594113999999999</v>
      </c>
      <c r="AC24" s="45">
        <v>15.714553</v>
      </c>
      <c r="AD24" s="45">
        <v>15.804392</v>
      </c>
      <c r="AE24" s="45">
        <v>15.873075</v>
      </c>
      <c r="AF24" s="46">
        <v>8.1989999999999997E-3</v>
      </c>
      <c r="AG24" s="36"/>
    </row>
    <row r="25" spans="1:33" ht="15" customHeight="1" x14ac:dyDescent="0.3">
      <c r="A25" s="35" t="s">
        <v>77</v>
      </c>
      <c r="B25" s="44" t="s">
        <v>69</v>
      </c>
      <c r="C25" s="45">
        <v>10.986808</v>
      </c>
      <c r="D25" s="45">
        <v>10.325419</v>
      </c>
      <c r="E25" s="45">
        <v>9.3254219999999997</v>
      </c>
      <c r="F25" s="45">
        <v>8.8462060000000005</v>
      </c>
      <c r="G25" s="45">
        <v>8.4563649999999999</v>
      </c>
      <c r="H25" s="45">
        <v>8.2451399999999992</v>
      </c>
      <c r="I25" s="45">
        <v>8.1537489999999995</v>
      </c>
      <c r="J25" s="45">
        <v>8.1912269999999996</v>
      </c>
      <c r="K25" s="45">
        <v>8.2165320000000008</v>
      </c>
      <c r="L25" s="45">
        <v>8.2962330000000009</v>
      </c>
      <c r="M25" s="45">
        <v>8.3676929999999992</v>
      </c>
      <c r="N25" s="45">
        <v>8.4998389999999997</v>
      </c>
      <c r="O25" s="45">
        <v>8.6007459999999991</v>
      </c>
      <c r="P25" s="45">
        <v>8.6883189999999999</v>
      </c>
      <c r="Q25" s="45">
        <v>8.7239880000000003</v>
      </c>
      <c r="R25" s="45">
        <v>8.7927320000000009</v>
      </c>
      <c r="S25" s="45">
        <v>8.9164480000000008</v>
      </c>
      <c r="T25" s="45">
        <v>8.9131370000000008</v>
      </c>
      <c r="U25" s="45">
        <v>8.9955510000000007</v>
      </c>
      <c r="V25" s="45">
        <v>9.0808020000000003</v>
      </c>
      <c r="W25" s="45">
        <v>9.0962859999999992</v>
      </c>
      <c r="X25" s="45">
        <v>9.0763879999999997</v>
      </c>
      <c r="Y25" s="45">
        <v>9.0307539999999999</v>
      </c>
      <c r="Z25" s="45">
        <v>9.0795709999999996</v>
      </c>
      <c r="AA25" s="45">
        <v>9.2763690000000008</v>
      </c>
      <c r="AB25" s="45">
        <v>9.235811</v>
      </c>
      <c r="AC25" s="45">
        <v>9.1928889999999992</v>
      </c>
      <c r="AD25" s="45">
        <v>9.1929289999999995</v>
      </c>
      <c r="AE25" s="45">
        <v>9.224361</v>
      </c>
      <c r="AF25" s="46">
        <v>-6.2249999999999996E-3</v>
      </c>
      <c r="AG25" s="36"/>
    </row>
    <row r="26" spans="1:33" ht="15" customHeight="1" x14ac:dyDescent="0.3">
      <c r="A26" s="35" t="s">
        <v>78</v>
      </c>
      <c r="B26" s="44" t="s">
        <v>71</v>
      </c>
      <c r="C26" s="45">
        <v>36.670883000000003</v>
      </c>
      <c r="D26" s="45">
        <v>35.900337</v>
      </c>
      <c r="E26" s="45">
        <v>34.342381000000003</v>
      </c>
      <c r="F26" s="45">
        <v>32.872684</v>
      </c>
      <c r="G26" s="45">
        <v>32.054313999999998</v>
      </c>
      <c r="H26" s="45">
        <v>31.460438</v>
      </c>
      <c r="I26" s="45">
        <v>30.960937999999999</v>
      </c>
      <c r="J26" s="45">
        <v>30.716866</v>
      </c>
      <c r="K26" s="45">
        <v>30.680281000000001</v>
      </c>
      <c r="L26" s="45">
        <v>30.663637000000001</v>
      </c>
      <c r="M26" s="45">
        <v>30.632755</v>
      </c>
      <c r="N26" s="45">
        <v>30.980528</v>
      </c>
      <c r="O26" s="45">
        <v>31.210360999999999</v>
      </c>
      <c r="P26" s="45">
        <v>31.136457</v>
      </c>
      <c r="Q26" s="45">
        <v>31.231977000000001</v>
      </c>
      <c r="R26" s="45">
        <v>31.342302</v>
      </c>
      <c r="S26" s="45">
        <v>31.591194000000002</v>
      </c>
      <c r="T26" s="45">
        <v>31.754964999999999</v>
      </c>
      <c r="U26" s="45">
        <v>31.889710999999998</v>
      </c>
      <c r="V26" s="45">
        <v>31.993582</v>
      </c>
      <c r="W26" s="45">
        <v>32.010455999999998</v>
      </c>
      <c r="X26" s="45">
        <v>32.017532000000003</v>
      </c>
      <c r="Y26" s="45">
        <v>31.980668999999999</v>
      </c>
      <c r="Z26" s="45">
        <v>31.929119</v>
      </c>
      <c r="AA26" s="45">
        <v>31.752293000000002</v>
      </c>
      <c r="AB26" s="45">
        <v>31.488890000000001</v>
      </c>
      <c r="AC26" s="45">
        <v>31.376942</v>
      </c>
      <c r="AD26" s="45">
        <v>31.126701000000001</v>
      </c>
      <c r="AE26" s="45">
        <v>30.802555000000002</v>
      </c>
      <c r="AF26" s="46">
        <v>-6.2090000000000001E-3</v>
      </c>
      <c r="AG26" s="36"/>
    </row>
    <row r="27" spans="1:33" ht="15" customHeight="1" x14ac:dyDescent="0.3">
      <c r="A27" s="34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 spans="1:33" ht="15" customHeight="1" x14ac:dyDescent="0.3">
      <c r="A28" s="34"/>
      <c r="B28" s="55" t="s">
        <v>79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1:33" ht="15" customHeight="1" x14ac:dyDescent="0.3">
      <c r="A29" s="35" t="s">
        <v>80</v>
      </c>
      <c r="B29" s="44" t="s">
        <v>65</v>
      </c>
      <c r="C29" s="45">
        <v>23.435020000000002</v>
      </c>
      <c r="D29" s="45">
        <v>21.469131000000001</v>
      </c>
      <c r="E29" s="45">
        <v>19.205514999999998</v>
      </c>
      <c r="F29" s="45">
        <v>17.003975000000001</v>
      </c>
      <c r="G29" s="45">
        <v>15.932600000000001</v>
      </c>
      <c r="H29" s="45">
        <v>15.368119999999999</v>
      </c>
      <c r="I29" s="45">
        <v>15.270111</v>
      </c>
      <c r="J29" s="45">
        <v>15.401593999999999</v>
      </c>
      <c r="K29" s="45">
        <v>15.727974</v>
      </c>
      <c r="L29" s="45">
        <v>16.148448999999999</v>
      </c>
      <c r="M29" s="45">
        <v>16.682365000000001</v>
      </c>
      <c r="N29" s="45">
        <v>17.278714999999998</v>
      </c>
      <c r="O29" s="45">
        <v>17.769476000000001</v>
      </c>
      <c r="P29" s="45">
        <v>18.054673999999999</v>
      </c>
      <c r="Q29" s="45">
        <v>18.227862999999999</v>
      </c>
      <c r="R29" s="45">
        <v>18.434585999999999</v>
      </c>
      <c r="S29" s="45">
        <v>18.832411</v>
      </c>
      <c r="T29" s="45">
        <v>18.834531999999999</v>
      </c>
      <c r="U29" s="45">
        <v>19.175160999999999</v>
      </c>
      <c r="V29" s="45">
        <v>19.442754999999998</v>
      </c>
      <c r="W29" s="45">
        <v>19.555237000000002</v>
      </c>
      <c r="X29" s="45">
        <v>19.550401999999998</v>
      </c>
      <c r="Y29" s="45">
        <v>19.489827999999999</v>
      </c>
      <c r="Z29" s="45">
        <v>19.551672</v>
      </c>
      <c r="AA29" s="45">
        <v>19.545283999999999</v>
      </c>
      <c r="AB29" s="45">
        <v>19.586832000000001</v>
      </c>
      <c r="AC29" s="45">
        <v>19.694735999999999</v>
      </c>
      <c r="AD29" s="45">
        <v>19.679703</v>
      </c>
      <c r="AE29" s="45">
        <v>19.630019999999998</v>
      </c>
      <c r="AF29" s="46">
        <v>-6.3080000000000002E-3</v>
      </c>
      <c r="AG29" s="36"/>
    </row>
    <row r="30" spans="1:33" ht="15" customHeight="1" x14ac:dyDescent="0.3">
      <c r="A30" s="35" t="s">
        <v>81</v>
      </c>
      <c r="B30" s="44" t="s">
        <v>67</v>
      </c>
      <c r="C30" s="45">
        <v>35.187302000000003</v>
      </c>
      <c r="D30" s="45">
        <v>32.804630000000003</v>
      </c>
      <c r="E30" s="45">
        <v>30.476191</v>
      </c>
      <c r="F30" s="45">
        <v>27.636358000000001</v>
      </c>
      <c r="G30" s="45">
        <v>25.955219</v>
      </c>
      <c r="H30" s="45">
        <v>24.321341</v>
      </c>
      <c r="I30" s="45">
        <v>22.837069</v>
      </c>
      <c r="J30" s="45">
        <v>22.933368999999999</v>
      </c>
      <c r="K30" s="45">
        <v>22.940442999999998</v>
      </c>
      <c r="L30" s="45">
        <v>23.109438000000001</v>
      </c>
      <c r="M30" s="45">
        <v>23.212620000000001</v>
      </c>
      <c r="N30" s="45">
        <v>23.333881000000002</v>
      </c>
      <c r="O30" s="45">
        <v>23.39049</v>
      </c>
      <c r="P30" s="45">
        <v>23.561223999999999</v>
      </c>
      <c r="Q30" s="45">
        <v>23.589086999999999</v>
      </c>
      <c r="R30" s="45">
        <v>23.713947000000001</v>
      </c>
      <c r="S30" s="45">
        <v>23.804403000000001</v>
      </c>
      <c r="T30" s="45">
        <v>23.853134000000001</v>
      </c>
      <c r="U30" s="45">
        <v>23.908232000000002</v>
      </c>
      <c r="V30" s="45">
        <v>24.072897000000001</v>
      </c>
      <c r="W30" s="45">
        <v>24.073511</v>
      </c>
      <c r="X30" s="45">
        <v>24.198322000000001</v>
      </c>
      <c r="Y30" s="45">
        <v>24.118036</v>
      </c>
      <c r="Z30" s="45">
        <v>24.174662000000001</v>
      </c>
      <c r="AA30" s="45">
        <v>24.400406</v>
      </c>
      <c r="AB30" s="45">
        <v>24.425331</v>
      </c>
      <c r="AC30" s="45">
        <v>24.465714999999999</v>
      </c>
      <c r="AD30" s="45">
        <v>24.54307</v>
      </c>
      <c r="AE30" s="45">
        <v>24.550739</v>
      </c>
      <c r="AF30" s="46">
        <v>-1.2773E-2</v>
      </c>
      <c r="AG30" s="36"/>
    </row>
    <row r="31" spans="1:33" x14ac:dyDescent="0.3">
      <c r="A31" s="35" t="s">
        <v>82</v>
      </c>
      <c r="B31" s="44" t="s">
        <v>76</v>
      </c>
      <c r="C31" s="45">
        <v>13.34515</v>
      </c>
      <c r="D31" s="45">
        <v>8.4961450000000003</v>
      </c>
      <c r="E31" s="45">
        <v>10.168447</v>
      </c>
      <c r="F31" s="45">
        <v>10.736027</v>
      </c>
      <c r="G31" s="45">
        <v>12.278802000000001</v>
      </c>
      <c r="H31" s="45">
        <v>13.923551</v>
      </c>
      <c r="I31" s="45">
        <v>15.540428</v>
      </c>
      <c r="J31" s="45">
        <v>15.624060999999999</v>
      </c>
      <c r="K31" s="45">
        <v>15.728377999999999</v>
      </c>
      <c r="L31" s="45">
        <v>15.850405</v>
      </c>
      <c r="M31" s="45">
        <v>15.970654</v>
      </c>
      <c r="N31" s="45">
        <v>16.084973999999999</v>
      </c>
      <c r="O31" s="45">
        <v>16.205594999999999</v>
      </c>
      <c r="P31" s="45">
        <v>16.335402999999999</v>
      </c>
      <c r="Q31" s="45">
        <v>16.434000000000001</v>
      </c>
      <c r="R31" s="45">
        <v>16.537801999999999</v>
      </c>
      <c r="S31" s="45">
        <v>16.65823</v>
      </c>
      <c r="T31" s="45">
        <v>16.734859</v>
      </c>
      <c r="U31" s="45">
        <v>16.834289999999999</v>
      </c>
      <c r="V31" s="45">
        <v>16.971537000000001</v>
      </c>
      <c r="W31" s="45">
        <v>16.992591999999998</v>
      </c>
      <c r="X31" s="45">
        <v>17.066227000000001</v>
      </c>
      <c r="Y31" s="45">
        <v>17.056498999999999</v>
      </c>
      <c r="Z31" s="45">
        <v>17.117035000000001</v>
      </c>
      <c r="AA31" s="45">
        <v>17.292304999999999</v>
      </c>
      <c r="AB31" s="45">
        <v>17.297117</v>
      </c>
      <c r="AC31" s="45">
        <v>17.411476</v>
      </c>
      <c r="AD31" s="45">
        <v>17.497350999999998</v>
      </c>
      <c r="AE31" s="45">
        <v>17.570716999999998</v>
      </c>
      <c r="AF31" s="46">
        <v>9.8729999999999998E-3</v>
      </c>
      <c r="AG31" s="36"/>
    </row>
    <row r="32" spans="1:33" x14ac:dyDescent="0.3">
      <c r="A32" s="35" t="s">
        <v>83</v>
      </c>
      <c r="B32" s="44" t="s">
        <v>84</v>
      </c>
      <c r="C32" s="45">
        <v>7.3309170000000003</v>
      </c>
      <c r="D32" s="45">
        <v>6.2700329999999997</v>
      </c>
      <c r="E32" s="45">
        <v>5.1604200000000002</v>
      </c>
      <c r="F32" s="45">
        <v>4.5920259999999997</v>
      </c>
      <c r="G32" s="45">
        <v>4.1592359999999999</v>
      </c>
      <c r="H32" s="45">
        <v>3.9202270000000001</v>
      </c>
      <c r="I32" s="45">
        <v>3.8369740000000001</v>
      </c>
      <c r="J32" s="45">
        <v>3.8520029999999998</v>
      </c>
      <c r="K32" s="45">
        <v>3.9104890000000001</v>
      </c>
      <c r="L32" s="45">
        <v>4.015809</v>
      </c>
      <c r="M32" s="45">
        <v>4.1266280000000002</v>
      </c>
      <c r="N32" s="45">
        <v>4.2846310000000001</v>
      </c>
      <c r="O32" s="45">
        <v>4.4108970000000003</v>
      </c>
      <c r="P32" s="45">
        <v>4.5220779999999996</v>
      </c>
      <c r="Q32" s="45">
        <v>4.5410050000000002</v>
      </c>
      <c r="R32" s="45">
        <v>4.5855629999999996</v>
      </c>
      <c r="S32" s="45">
        <v>4.709835</v>
      </c>
      <c r="T32" s="45">
        <v>4.6547780000000003</v>
      </c>
      <c r="U32" s="45">
        <v>4.7746180000000003</v>
      </c>
      <c r="V32" s="45">
        <v>4.8514379999999999</v>
      </c>
      <c r="W32" s="45">
        <v>4.8454240000000004</v>
      </c>
      <c r="X32" s="45">
        <v>4.7942140000000002</v>
      </c>
      <c r="Y32" s="45">
        <v>4.7445890000000004</v>
      </c>
      <c r="Z32" s="45">
        <v>4.7421860000000002</v>
      </c>
      <c r="AA32" s="45">
        <v>4.7064450000000004</v>
      </c>
      <c r="AB32" s="45">
        <v>4.6718780000000004</v>
      </c>
      <c r="AC32" s="45">
        <v>4.6380869999999996</v>
      </c>
      <c r="AD32" s="45">
        <v>4.5964590000000003</v>
      </c>
      <c r="AE32" s="45">
        <v>4.5926539999999996</v>
      </c>
      <c r="AF32" s="46">
        <v>-1.6563000000000001E-2</v>
      </c>
      <c r="AG32" s="36"/>
    </row>
    <row r="33" spans="1:33" x14ac:dyDescent="0.3">
      <c r="A33" s="35" t="s">
        <v>85</v>
      </c>
      <c r="B33" s="44" t="s">
        <v>86</v>
      </c>
      <c r="C33" s="45">
        <v>5.4304249999999996</v>
      </c>
      <c r="D33" s="45">
        <v>5.4466970000000003</v>
      </c>
      <c r="E33" s="45">
        <v>5.6790830000000003</v>
      </c>
      <c r="F33" s="45">
        <v>5.6766920000000001</v>
      </c>
      <c r="G33" s="45">
        <v>5.7069979999999996</v>
      </c>
      <c r="H33" s="45">
        <v>5.757409</v>
      </c>
      <c r="I33" s="45">
        <v>5.7974399999999999</v>
      </c>
      <c r="J33" s="45">
        <v>5.8433669999999998</v>
      </c>
      <c r="K33" s="45">
        <v>5.947584</v>
      </c>
      <c r="L33" s="45">
        <v>6.0097779999999998</v>
      </c>
      <c r="M33" s="45">
        <v>6.110779</v>
      </c>
      <c r="N33" s="45">
        <v>6.1829609999999997</v>
      </c>
      <c r="O33" s="45">
        <v>6.2506630000000003</v>
      </c>
      <c r="P33" s="45">
        <v>6.3259449999999999</v>
      </c>
      <c r="Q33" s="45">
        <v>6.403143</v>
      </c>
      <c r="R33" s="45">
        <v>6.4953659999999998</v>
      </c>
      <c r="S33" s="45">
        <v>6.5684300000000002</v>
      </c>
      <c r="T33" s="45">
        <v>6.6390440000000002</v>
      </c>
      <c r="U33" s="45">
        <v>6.7099260000000003</v>
      </c>
      <c r="V33" s="45">
        <v>6.7595479999999997</v>
      </c>
      <c r="W33" s="45">
        <v>6.8068</v>
      </c>
      <c r="X33" s="45">
        <v>6.8561490000000003</v>
      </c>
      <c r="Y33" s="45">
        <v>6.9083310000000004</v>
      </c>
      <c r="Z33" s="45">
        <v>6.9656209999999996</v>
      </c>
      <c r="AA33" s="45">
        <v>7.01844</v>
      </c>
      <c r="AB33" s="45">
        <v>7.0695379999999997</v>
      </c>
      <c r="AC33" s="45">
        <v>7.1226570000000002</v>
      </c>
      <c r="AD33" s="45">
        <v>7.1712059999999997</v>
      </c>
      <c r="AE33" s="45">
        <v>7.2262329999999997</v>
      </c>
      <c r="AF33" s="46">
        <v>1.0255999999999999E-2</v>
      </c>
      <c r="AG33" s="36"/>
    </row>
    <row r="34" spans="1:33" x14ac:dyDescent="0.3">
      <c r="A34" s="35" t="s">
        <v>87</v>
      </c>
      <c r="B34" s="44" t="s">
        <v>88</v>
      </c>
      <c r="C34" s="45">
        <v>2.7995990000000002</v>
      </c>
      <c r="D34" s="45">
        <v>2.739652</v>
      </c>
      <c r="E34" s="45">
        <v>2.81602</v>
      </c>
      <c r="F34" s="45">
        <v>2.8787729999999998</v>
      </c>
      <c r="G34" s="45">
        <v>2.8711600000000002</v>
      </c>
      <c r="H34" s="45">
        <v>2.854581</v>
      </c>
      <c r="I34" s="45">
        <v>2.8362250000000002</v>
      </c>
      <c r="J34" s="45">
        <v>2.8263880000000001</v>
      </c>
      <c r="K34" s="45">
        <v>2.8201990000000001</v>
      </c>
      <c r="L34" s="45">
        <v>2.8153779999999999</v>
      </c>
      <c r="M34" s="45">
        <v>2.808907</v>
      </c>
      <c r="N34" s="45">
        <v>2.8084190000000002</v>
      </c>
      <c r="O34" s="45">
        <v>2.8094380000000001</v>
      </c>
      <c r="P34" s="45">
        <v>2.811175</v>
      </c>
      <c r="Q34" s="45">
        <v>2.8150270000000002</v>
      </c>
      <c r="R34" s="45">
        <v>2.8257270000000001</v>
      </c>
      <c r="S34" s="45">
        <v>2.8389229999999999</v>
      </c>
      <c r="T34" s="45">
        <v>2.847067</v>
      </c>
      <c r="U34" s="45">
        <v>2.8494899999999999</v>
      </c>
      <c r="V34" s="45">
        <v>2.85175</v>
      </c>
      <c r="W34" s="45">
        <v>2.8516870000000001</v>
      </c>
      <c r="X34" s="45">
        <v>2.8542700000000001</v>
      </c>
      <c r="Y34" s="45">
        <v>2.8538139999999999</v>
      </c>
      <c r="Z34" s="45">
        <v>2.8573719999999998</v>
      </c>
      <c r="AA34" s="45">
        <v>2.860795</v>
      </c>
      <c r="AB34" s="45">
        <v>2.8650159999999998</v>
      </c>
      <c r="AC34" s="45">
        <v>2.8701219999999998</v>
      </c>
      <c r="AD34" s="45">
        <v>2.8668680000000002</v>
      </c>
      <c r="AE34" s="45">
        <v>2.867251</v>
      </c>
      <c r="AF34" s="46">
        <v>8.5300000000000003E-4</v>
      </c>
      <c r="AG34" s="36"/>
    </row>
    <row r="35" spans="1:33" x14ac:dyDescent="0.3">
      <c r="A35" s="35" t="s">
        <v>89</v>
      </c>
      <c r="B35" s="44" t="s">
        <v>90</v>
      </c>
      <c r="C35" s="45" t="s">
        <v>91</v>
      </c>
      <c r="D35" s="45" t="s">
        <v>91</v>
      </c>
      <c r="E35" s="45" t="s">
        <v>91</v>
      </c>
      <c r="F35" s="45" t="s">
        <v>91</v>
      </c>
      <c r="G35" s="45" t="s">
        <v>91</v>
      </c>
      <c r="H35" s="45" t="s">
        <v>91</v>
      </c>
      <c r="I35" s="45" t="s">
        <v>91</v>
      </c>
      <c r="J35" s="45" t="s">
        <v>91</v>
      </c>
      <c r="K35" s="45" t="s">
        <v>91</v>
      </c>
      <c r="L35" s="45" t="s">
        <v>91</v>
      </c>
      <c r="M35" s="45" t="s">
        <v>91</v>
      </c>
      <c r="N35" s="45" t="s">
        <v>91</v>
      </c>
      <c r="O35" s="45" t="s">
        <v>91</v>
      </c>
      <c r="P35" s="45" t="s">
        <v>91</v>
      </c>
      <c r="Q35" s="45" t="s">
        <v>91</v>
      </c>
      <c r="R35" s="45" t="s">
        <v>91</v>
      </c>
      <c r="S35" s="45" t="s">
        <v>91</v>
      </c>
      <c r="T35" s="45" t="s">
        <v>91</v>
      </c>
      <c r="U35" s="45" t="s">
        <v>91</v>
      </c>
      <c r="V35" s="45" t="s">
        <v>91</v>
      </c>
      <c r="W35" s="45" t="s">
        <v>91</v>
      </c>
      <c r="X35" s="45" t="s">
        <v>91</v>
      </c>
      <c r="Y35" s="45" t="s">
        <v>91</v>
      </c>
      <c r="Z35" s="45" t="s">
        <v>91</v>
      </c>
      <c r="AA35" s="45" t="s">
        <v>91</v>
      </c>
      <c r="AB35" s="45" t="s">
        <v>91</v>
      </c>
      <c r="AC35" s="45" t="s">
        <v>91</v>
      </c>
      <c r="AD35" s="45" t="s">
        <v>91</v>
      </c>
      <c r="AE35" s="45" t="s">
        <v>91</v>
      </c>
      <c r="AF35" s="46" t="s">
        <v>91</v>
      </c>
      <c r="AG35" s="36" t="s">
        <v>91</v>
      </c>
    </row>
    <row r="36" spans="1:33" x14ac:dyDescent="0.3">
      <c r="A36" s="35" t="s">
        <v>92</v>
      </c>
      <c r="B36" s="44" t="s">
        <v>71</v>
      </c>
      <c r="C36" s="45">
        <v>24.421028</v>
      </c>
      <c r="D36" s="45">
        <v>23.969260999999999</v>
      </c>
      <c r="E36" s="45">
        <v>22.165068000000002</v>
      </c>
      <c r="F36" s="45">
        <v>20.957455</v>
      </c>
      <c r="G36" s="45">
        <v>20.154661000000001</v>
      </c>
      <c r="H36" s="45">
        <v>19.591453999999999</v>
      </c>
      <c r="I36" s="45">
        <v>19.228178</v>
      </c>
      <c r="J36" s="45">
        <v>19.033812999999999</v>
      </c>
      <c r="K36" s="45">
        <v>18.984463000000002</v>
      </c>
      <c r="L36" s="45">
        <v>18.977394</v>
      </c>
      <c r="M36" s="45">
        <v>18.989550000000001</v>
      </c>
      <c r="N36" s="45">
        <v>19.311668000000001</v>
      </c>
      <c r="O36" s="45">
        <v>19.408781000000001</v>
      </c>
      <c r="P36" s="45">
        <v>19.357766999999999</v>
      </c>
      <c r="Q36" s="45">
        <v>19.480951000000001</v>
      </c>
      <c r="R36" s="45">
        <v>19.64303</v>
      </c>
      <c r="S36" s="45">
        <v>19.909723</v>
      </c>
      <c r="T36" s="45">
        <v>20.139053000000001</v>
      </c>
      <c r="U36" s="45">
        <v>20.302842999999999</v>
      </c>
      <c r="V36" s="45">
        <v>20.438231999999999</v>
      </c>
      <c r="W36" s="45">
        <v>20.447336</v>
      </c>
      <c r="X36" s="45">
        <v>20.409019000000001</v>
      </c>
      <c r="Y36" s="45">
        <v>20.401765999999999</v>
      </c>
      <c r="Z36" s="45">
        <v>20.352792999999998</v>
      </c>
      <c r="AA36" s="45">
        <v>20.226258999999999</v>
      </c>
      <c r="AB36" s="45">
        <v>20.095247000000001</v>
      </c>
      <c r="AC36" s="45">
        <v>20.023175999999999</v>
      </c>
      <c r="AD36" s="45">
        <v>19.89432</v>
      </c>
      <c r="AE36" s="45">
        <v>19.708027000000001</v>
      </c>
      <c r="AF36" s="46">
        <v>-7.6290000000000004E-3</v>
      </c>
      <c r="AG36" s="36"/>
    </row>
    <row r="37" spans="1:33" x14ac:dyDescent="0.3">
      <c r="A37" s="34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 x14ac:dyDescent="0.3">
      <c r="A38" s="34"/>
      <c r="B38" s="55" t="s">
        <v>93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1:33" x14ac:dyDescent="0.3">
      <c r="A39" s="35" t="s">
        <v>94</v>
      </c>
      <c r="B39" s="44" t="s">
        <v>65</v>
      </c>
      <c r="C39" s="45">
        <v>25.673756000000001</v>
      </c>
      <c r="D39" s="45">
        <v>24.128675000000001</v>
      </c>
      <c r="E39" s="45">
        <v>22.471951000000001</v>
      </c>
      <c r="F39" s="45">
        <v>20.815957999999998</v>
      </c>
      <c r="G39" s="45">
        <v>19.998926000000001</v>
      </c>
      <c r="H39" s="45">
        <v>19.561989000000001</v>
      </c>
      <c r="I39" s="45">
        <v>19.492156999999999</v>
      </c>
      <c r="J39" s="45">
        <v>19.602236000000001</v>
      </c>
      <c r="K39" s="45">
        <v>19.865448000000001</v>
      </c>
      <c r="L39" s="45">
        <v>20.198456</v>
      </c>
      <c r="M39" s="45">
        <v>20.616091000000001</v>
      </c>
      <c r="N39" s="45">
        <v>21.075576999999999</v>
      </c>
      <c r="O39" s="45">
        <v>21.446708999999998</v>
      </c>
      <c r="P39" s="45">
        <v>21.658113</v>
      </c>
      <c r="Q39" s="45">
        <v>21.785758999999999</v>
      </c>
      <c r="R39" s="45">
        <v>21.940096</v>
      </c>
      <c r="S39" s="45">
        <v>22.238503000000001</v>
      </c>
      <c r="T39" s="45">
        <v>22.234596</v>
      </c>
      <c r="U39" s="45">
        <v>22.490117999999999</v>
      </c>
      <c r="V39" s="45">
        <v>22.685780000000001</v>
      </c>
      <c r="W39" s="45">
        <v>22.765637999999999</v>
      </c>
      <c r="X39" s="45">
        <v>22.760217999999998</v>
      </c>
      <c r="Y39" s="45">
        <v>22.715187</v>
      </c>
      <c r="Z39" s="45">
        <v>22.775300999999999</v>
      </c>
      <c r="AA39" s="45">
        <v>23.024887</v>
      </c>
      <c r="AB39" s="45">
        <v>23.057397999999999</v>
      </c>
      <c r="AC39" s="45">
        <v>23.138636000000002</v>
      </c>
      <c r="AD39" s="45">
        <v>23.127609</v>
      </c>
      <c r="AE39" s="45">
        <v>23.092307999999999</v>
      </c>
      <c r="AF39" s="46">
        <v>-3.7780000000000001E-3</v>
      </c>
      <c r="AG39" s="36"/>
    </row>
    <row r="40" spans="1:33" x14ac:dyDescent="0.3">
      <c r="A40" s="35" t="s">
        <v>95</v>
      </c>
      <c r="B40" s="44" t="s">
        <v>96</v>
      </c>
      <c r="C40" s="45">
        <v>38.155422000000002</v>
      </c>
      <c r="D40" s="45">
        <v>33.744048999999997</v>
      </c>
      <c r="E40" s="45">
        <v>32.413798999999997</v>
      </c>
      <c r="F40" s="45">
        <v>30.254673</v>
      </c>
      <c r="G40" s="45">
        <v>29.96781</v>
      </c>
      <c r="H40" s="45">
        <v>29.806168</v>
      </c>
      <c r="I40" s="45">
        <v>29.845123000000001</v>
      </c>
      <c r="J40" s="45">
        <v>29.921641999999999</v>
      </c>
      <c r="K40" s="45">
        <v>30.057252999999999</v>
      </c>
      <c r="L40" s="45">
        <v>30.034431000000001</v>
      </c>
      <c r="M40" s="45">
        <v>30.226928999999998</v>
      </c>
      <c r="N40" s="45">
        <v>30.330379000000001</v>
      </c>
      <c r="O40" s="45">
        <v>30.467768</v>
      </c>
      <c r="P40" s="45">
        <v>30.563355999999999</v>
      </c>
      <c r="Q40" s="45">
        <v>30.925975999999999</v>
      </c>
      <c r="R40" s="45">
        <v>30.996416</v>
      </c>
      <c r="S40" s="45">
        <v>31.117224</v>
      </c>
      <c r="T40" s="45">
        <v>31.273572999999999</v>
      </c>
      <c r="U40" s="45">
        <v>31.334126000000001</v>
      </c>
      <c r="V40" s="45">
        <v>31.351469000000002</v>
      </c>
      <c r="W40" s="45">
        <v>31.450728999999999</v>
      </c>
      <c r="X40" s="45">
        <v>31.335975999999999</v>
      </c>
      <c r="Y40" s="45">
        <v>31.554224000000001</v>
      </c>
      <c r="Z40" s="45">
        <v>31.580019</v>
      </c>
      <c r="AA40" s="45">
        <v>32.420741999999997</v>
      </c>
      <c r="AB40" s="45">
        <v>32.430134000000002</v>
      </c>
      <c r="AC40" s="45">
        <v>32.712605000000003</v>
      </c>
      <c r="AD40" s="45">
        <v>32.812477000000001</v>
      </c>
      <c r="AE40" s="45">
        <v>33.119743</v>
      </c>
      <c r="AF40" s="46">
        <v>-5.0419999999999996E-3</v>
      </c>
      <c r="AG40" s="36"/>
    </row>
    <row r="41" spans="1:33" x14ac:dyDescent="0.3">
      <c r="A41" s="35" t="s">
        <v>97</v>
      </c>
      <c r="B41" s="44" t="s">
        <v>98</v>
      </c>
      <c r="C41" s="45">
        <v>34.785815999999997</v>
      </c>
      <c r="D41" s="45">
        <v>30.500900000000001</v>
      </c>
      <c r="E41" s="45">
        <v>27.654461000000001</v>
      </c>
      <c r="F41" s="45">
        <v>25.814499000000001</v>
      </c>
      <c r="G41" s="45">
        <v>25.540665000000001</v>
      </c>
      <c r="H41" s="45">
        <v>25.387986999999999</v>
      </c>
      <c r="I41" s="45">
        <v>25.400079999999999</v>
      </c>
      <c r="J41" s="45">
        <v>25.444728999999999</v>
      </c>
      <c r="K41" s="45">
        <v>25.533380999999999</v>
      </c>
      <c r="L41" s="45">
        <v>25.497232</v>
      </c>
      <c r="M41" s="45">
        <v>25.631806999999998</v>
      </c>
      <c r="N41" s="45">
        <v>25.694863999999999</v>
      </c>
      <c r="O41" s="45">
        <v>25.783964000000001</v>
      </c>
      <c r="P41" s="45">
        <v>25.841785000000002</v>
      </c>
      <c r="Q41" s="45">
        <v>26.121752000000001</v>
      </c>
      <c r="R41" s="45">
        <v>26.161154</v>
      </c>
      <c r="S41" s="45">
        <v>26.242393</v>
      </c>
      <c r="T41" s="45">
        <v>26.358506999999999</v>
      </c>
      <c r="U41" s="45">
        <v>26.395033000000002</v>
      </c>
      <c r="V41" s="45">
        <v>26.397086999999999</v>
      </c>
      <c r="W41" s="45">
        <v>26.466999000000001</v>
      </c>
      <c r="X41" s="45">
        <v>26.361927000000001</v>
      </c>
      <c r="Y41" s="45">
        <v>26.536808000000001</v>
      </c>
      <c r="Z41" s="45">
        <v>26.548639000000001</v>
      </c>
      <c r="AA41" s="45">
        <v>27.288558999999999</v>
      </c>
      <c r="AB41" s="45">
        <v>27.287635999999999</v>
      </c>
      <c r="AC41" s="45">
        <v>27.511337000000001</v>
      </c>
      <c r="AD41" s="45">
        <v>27.584212999999998</v>
      </c>
      <c r="AE41" s="45">
        <v>27.827411999999999</v>
      </c>
      <c r="AF41" s="46">
        <v>-7.9389999999999999E-3</v>
      </c>
      <c r="AG41" s="36"/>
    </row>
    <row r="42" spans="1:33" x14ac:dyDescent="0.3">
      <c r="A42" s="35" t="s">
        <v>99</v>
      </c>
      <c r="B42" s="44" t="s">
        <v>100</v>
      </c>
      <c r="C42" s="45">
        <v>26.739815</v>
      </c>
      <c r="D42" s="45">
        <v>22.567796999999999</v>
      </c>
      <c r="E42" s="45">
        <v>21.658487000000001</v>
      </c>
      <c r="F42" s="45">
        <v>20.17568</v>
      </c>
      <c r="G42" s="45">
        <v>19.946626999999999</v>
      </c>
      <c r="H42" s="45">
        <v>19.713881000000001</v>
      </c>
      <c r="I42" s="45">
        <v>19.619630999999998</v>
      </c>
      <c r="J42" s="45">
        <v>19.732991999999999</v>
      </c>
      <c r="K42" s="45">
        <v>19.754887</v>
      </c>
      <c r="L42" s="45">
        <v>19.972422000000002</v>
      </c>
      <c r="M42" s="45">
        <v>20.131733000000001</v>
      </c>
      <c r="N42" s="45">
        <v>20.218672000000002</v>
      </c>
      <c r="O42" s="45">
        <v>20.368309</v>
      </c>
      <c r="P42" s="45">
        <v>20.522895999999999</v>
      </c>
      <c r="Q42" s="45">
        <v>20.622114</v>
      </c>
      <c r="R42" s="45">
        <v>20.746122</v>
      </c>
      <c r="S42" s="45">
        <v>20.869146000000001</v>
      </c>
      <c r="T42" s="45">
        <v>20.96678</v>
      </c>
      <c r="U42" s="45">
        <v>21.087648000000002</v>
      </c>
      <c r="V42" s="45">
        <v>21.294411</v>
      </c>
      <c r="W42" s="45">
        <v>21.343142</v>
      </c>
      <c r="X42" s="45">
        <v>21.507014999999999</v>
      </c>
      <c r="Y42" s="45">
        <v>21.467026000000001</v>
      </c>
      <c r="Z42" s="45">
        <v>21.622814000000002</v>
      </c>
      <c r="AA42" s="45">
        <v>21.944468000000001</v>
      </c>
      <c r="AB42" s="45">
        <v>21.990461</v>
      </c>
      <c r="AC42" s="45">
        <v>22.051092000000001</v>
      </c>
      <c r="AD42" s="45">
        <v>22.151415</v>
      </c>
      <c r="AE42" s="45">
        <v>22.180281000000001</v>
      </c>
      <c r="AF42" s="46">
        <v>-6.6550000000000003E-3</v>
      </c>
      <c r="AG42" s="36"/>
    </row>
    <row r="43" spans="1:33" x14ac:dyDescent="0.3">
      <c r="A43" s="35" t="s">
        <v>101</v>
      </c>
      <c r="B43" s="44" t="s">
        <v>102</v>
      </c>
      <c r="C43" s="45">
        <v>37.123702999999999</v>
      </c>
      <c r="D43" s="45">
        <v>32.857501999999997</v>
      </c>
      <c r="E43" s="45">
        <v>31.169696999999999</v>
      </c>
      <c r="F43" s="45">
        <v>29.060146</v>
      </c>
      <c r="G43" s="45">
        <v>28.13373</v>
      </c>
      <c r="H43" s="45">
        <v>27.197217999999999</v>
      </c>
      <c r="I43" s="45">
        <v>26.424462999999999</v>
      </c>
      <c r="J43" s="45">
        <v>26.520130000000002</v>
      </c>
      <c r="K43" s="45">
        <v>26.545546000000002</v>
      </c>
      <c r="L43" s="45">
        <v>26.701553000000001</v>
      </c>
      <c r="M43" s="45">
        <v>26.827372</v>
      </c>
      <c r="N43" s="45">
        <v>26.946200999999999</v>
      </c>
      <c r="O43" s="45">
        <v>26.993939999999998</v>
      </c>
      <c r="P43" s="45">
        <v>27.200310000000002</v>
      </c>
      <c r="Q43" s="45">
        <v>27.206823</v>
      </c>
      <c r="R43" s="45">
        <v>27.345296999999999</v>
      </c>
      <c r="S43" s="45">
        <v>27.446815000000001</v>
      </c>
      <c r="T43" s="45">
        <v>27.489861000000001</v>
      </c>
      <c r="U43" s="45">
        <v>27.537863000000002</v>
      </c>
      <c r="V43" s="45">
        <v>27.708594999999999</v>
      </c>
      <c r="W43" s="45">
        <v>27.718976999999999</v>
      </c>
      <c r="X43" s="45">
        <v>27.838846</v>
      </c>
      <c r="Y43" s="45">
        <v>27.744848000000001</v>
      </c>
      <c r="Z43" s="45">
        <v>27.800470000000001</v>
      </c>
      <c r="AA43" s="45">
        <v>28.387547000000001</v>
      </c>
      <c r="AB43" s="45">
        <v>28.413376</v>
      </c>
      <c r="AC43" s="45">
        <v>28.461220000000001</v>
      </c>
      <c r="AD43" s="45">
        <v>28.524797</v>
      </c>
      <c r="AE43" s="45">
        <v>28.533144</v>
      </c>
      <c r="AF43" s="46">
        <v>-9.3559999999999997E-3</v>
      </c>
      <c r="AG43" s="36"/>
    </row>
    <row r="44" spans="1:33" x14ac:dyDescent="0.3">
      <c r="A44" s="35" t="s">
        <v>103</v>
      </c>
      <c r="B44" s="44" t="s">
        <v>76</v>
      </c>
      <c r="C44" s="45">
        <v>15.39181</v>
      </c>
      <c r="D44" s="45">
        <v>15.551938</v>
      </c>
      <c r="E44" s="45">
        <v>17.300775999999999</v>
      </c>
      <c r="F44" s="45">
        <v>16.409485</v>
      </c>
      <c r="G44" s="45">
        <v>16.427686999999999</v>
      </c>
      <c r="H44" s="45">
        <v>16.502735000000001</v>
      </c>
      <c r="I44" s="45">
        <v>16.535357000000001</v>
      </c>
      <c r="J44" s="45">
        <v>16.614215999999999</v>
      </c>
      <c r="K44" s="45">
        <v>16.714341999999998</v>
      </c>
      <c r="L44" s="45">
        <v>16.791964</v>
      </c>
      <c r="M44" s="45">
        <v>16.89019</v>
      </c>
      <c r="N44" s="45">
        <v>16.984158000000001</v>
      </c>
      <c r="O44" s="45">
        <v>17.077217000000001</v>
      </c>
      <c r="P44" s="45">
        <v>17.192131</v>
      </c>
      <c r="Q44" s="45">
        <v>17.249979</v>
      </c>
      <c r="R44" s="45">
        <v>17.340447999999999</v>
      </c>
      <c r="S44" s="45">
        <v>17.439603999999999</v>
      </c>
      <c r="T44" s="45">
        <v>17.511599</v>
      </c>
      <c r="U44" s="45">
        <v>17.576930999999998</v>
      </c>
      <c r="V44" s="45">
        <v>17.686035</v>
      </c>
      <c r="W44" s="45">
        <v>17.712140999999999</v>
      </c>
      <c r="X44" s="45">
        <v>17.789486</v>
      </c>
      <c r="Y44" s="45">
        <v>17.786715999999998</v>
      </c>
      <c r="Z44" s="45">
        <v>17.831644000000001</v>
      </c>
      <c r="AA44" s="45">
        <v>18.012905</v>
      </c>
      <c r="AB44" s="45">
        <v>18.00956</v>
      </c>
      <c r="AC44" s="45">
        <v>18.112957000000002</v>
      </c>
      <c r="AD44" s="45">
        <v>18.199448</v>
      </c>
      <c r="AE44" s="45">
        <v>18.28933</v>
      </c>
      <c r="AF44" s="46">
        <v>6.1789999999999996E-3</v>
      </c>
      <c r="AG44" s="36"/>
    </row>
    <row r="45" spans="1:33" x14ac:dyDescent="0.3">
      <c r="A45" s="35" t="s">
        <v>104</v>
      </c>
      <c r="B45" s="44" t="s">
        <v>105</v>
      </c>
      <c r="C45" s="45">
        <v>17.54928</v>
      </c>
      <c r="D45" s="45">
        <v>16.298449000000002</v>
      </c>
      <c r="E45" s="45">
        <v>14.88739</v>
      </c>
      <c r="F45" s="45">
        <v>14.304173</v>
      </c>
      <c r="G45" s="45">
        <v>13.609575</v>
      </c>
      <c r="H45" s="45">
        <v>13.258362</v>
      </c>
      <c r="I45" s="45">
        <v>13.009375</v>
      </c>
      <c r="J45" s="45">
        <v>12.877625</v>
      </c>
      <c r="K45" s="45">
        <v>12.804221</v>
      </c>
      <c r="L45" s="45">
        <v>12.793189999999999</v>
      </c>
      <c r="M45" s="45">
        <v>12.772278999999999</v>
      </c>
      <c r="N45" s="45">
        <v>12.814316</v>
      </c>
      <c r="O45" s="45">
        <v>12.811182000000001</v>
      </c>
      <c r="P45" s="45">
        <v>12.783016999999999</v>
      </c>
      <c r="Q45" s="45">
        <v>12.651464000000001</v>
      </c>
      <c r="R45" s="45">
        <v>12.542598999999999</v>
      </c>
      <c r="S45" s="45">
        <v>12.536258</v>
      </c>
      <c r="T45" s="45">
        <v>12.333598</v>
      </c>
      <c r="U45" s="45">
        <v>12.31179</v>
      </c>
      <c r="V45" s="45">
        <v>12.251882</v>
      </c>
      <c r="W45" s="45">
        <v>12.115541</v>
      </c>
      <c r="X45" s="45">
        <v>11.941437000000001</v>
      </c>
      <c r="Y45" s="45">
        <v>11.766513</v>
      </c>
      <c r="Z45" s="45">
        <v>11.69476</v>
      </c>
      <c r="AA45" s="45">
        <v>12.298188</v>
      </c>
      <c r="AB45" s="45">
        <v>12.136044</v>
      </c>
      <c r="AC45" s="45">
        <v>11.981798</v>
      </c>
      <c r="AD45" s="45">
        <v>11.858985000000001</v>
      </c>
      <c r="AE45" s="45">
        <v>11.776168999999999</v>
      </c>
      <c r="AF45" s="46">
        <v>-1.4147E-2</v>
      </c>
      <c r="AG45" s="36"/>
    </row>
    <row r="46" spans="1:33" x14ac:dyDescent="0.3">
      <c r="A46" s="35" t="s">
        <v>106</v>
      </c>
      <c r="B46" s="44" t="s">
        <v>71</v>
      </c>
      <c r="C46" s="45">
        <v>42.503979000000001</v>
      </c>
      <c r="D46" s="45">
        <v>44.014454000000001</v>
      </c>
      <c r="E46" s="45">
        <v>42.699257000000003</v>
      </c>
      <c r="F46" s="45">
        <v>40.270164000000001</v>
      </c>
      <c r="G46" s="45">
        <v>39.897511000000002</v>
      </c>
      <c r="H46" s="45">
        <v>39.828831000000001</v>
      </c>
      <c r="I46" s="45">
        <v>39.741402000000001</v>
      </c>
      <c r="J46" s="45">
        <v>39.724139999999998</v>
      </c>
      <c r="K46" s="45">
        <v>39.732391</v>
      </c>
      <c r="L46" s="45">
        <v>39.929423999999997</v>
      </c>
      <c r="M46" s="45">
        <v>40.166943000000003</v>
      </c>
      <c r="N46" s="45">
        <v>40.565944999999999</v>
      </c>
      <c r="O46" s="45">
        <v>40.854523</v>
      </c>
      <c r="P46" s="45">
        <v>41.056289999999997</v>
      </c>
      <c r="Q46" s="45">
        <v>41.068629999999999</v>
      </c>
      <c r="R46" s="45">
        <v>41.392082000000002</v>
      </c>
      <c r="S46" s="45">
        <v>41.665050999999998</v>
      </c>
      <c r="T46" s="45">
        <v>42.074824999999997</v>
      </c>
      <c r="U46" s="45">
        <v>42.285224999999997</v>
      </c>
      <c r="V46" s="45">
        <v>42.527729000000001</v>
      </c>
      <c r="W46" s="45">
        <v>42.529423000000001</v>
      </c>
      <c r="X46" s="45">
        <v>42.497456</v>
      </c>
      <c r="Y46" s="45">
        <v>42.464610999999998</v>
      </c>
      <c r="Z46" s="45">
        <v>42.516261999999998</v>
      </c>
      <c r="AA46" s="45">
        <v>42.623565999999997</v>
      </c>
      <c r="AB46" s="45">
        <v>42.482261999999999</v>
      </c>
      <c r="AC46" s="45">
        <v>42.484820999999997</v>
      </c>
      <c r="AD46" s="45">
        <v>42.022789000000003</v>
      </c>
      <c r="AE46" s="45">
        <v>41.658324999999998</v>
      </c>
      <c r="AF46" s="46">
        <v>-7.1699999999999997E-4</v>
      </c>
      <c r="AG46" s="36"/>
    </row>
    <row r="47" spans="1:33" x14ac:dyDescent="0.3">
      <c r="A47" s="34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 x14ac:dyDescent="0.3">
      <c r="A48" s="34"/>
      <c r="B48" s="55" t="s">
        <v>107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 x14ac:dyDescent="0.3">
      <c r="A49" s="35" t="s">
        <v>108</v>
      </c>
      <c r="B49" s="44" t="s">
        <v>67</v>
      </c>
      <c r="C49" s="45">
        <v>35.259407000000003</v>
      </c>
      <c r="D49" s="45">
        <v>32.908622999999999</v>
      </c>
      <c r="E49" s="45">
        <v>30.715005999999999</v>
      </c>
      <c r="F49" s="45">
        <v>27.876041000000001</v>
      </c>
      <c r="G49" s="45">
        <v>26.264648000000001</v>
      </c>
      <c r="H49" s="45">
        <v>24.649519000000002</v>
      </c>
      <c r="I49" s="45">
        <v>23.123522000000001</v>
      </c>
      <c r="J49" s="45">
        <v>23.303953</v>
      </c>
      <c r="K49" s="45">
        <v>23.443438</v>
      </c>
      <c r="L49" s="45">
        <v>23.430513000000001</v>
      </c>
      <c r="M49" s="45">
        <v>23.544266</v>
      </c>
      <c r="N49" s="45">
        <v>23.535339</v>
      </c>
      <c r="O49" s="45">
        <v>23.673569000000001</v>
      </c>
      <c r="P49" s="45">
        <v>23.769455000000001</v>
      </c>
      <c r="Q49" s="45">
        <v>23.840540000000001</v>
      </c>
      <c r="R49" s="45">
        <v>23.890585000000002</v>
      </c>
      <c r="S49" s="45">
        <v>23.930655000000002</v>
      </c>
      <c r="T49" s="45">
        <v>24.005789</v>
      </c>
      <c r="U49" s="45">
        <v>24.099160999999999</v>
      </c>
      <c r="V49" s="45">
        <v>24.257807</v>
      </c>
      <c r="W49" s="45">
        <v>24.249801999999999</v>
      </c>
      <c r="X49" s="45">
        <v>24.362133</v>
      </c>
      <c r="Y49" s="45">
        <v>24.304323</v>
      </c>
      <c r="Z49" s="45">
        <v>24.419262</v>
      </c>
      <c r="AA49" s="45">
        <v>24.659782</v>
      </c>
      <c r="AB49" s="45">
        <v>24.697873999999999</v>
      </c>
      <c r="AC49" s="45">
        <v>24.746410000000001</v>
      </c>
      <c r="AD49" s="45">
        <v>24.866105999999998</v>
      </c>
      <c r="AE49" s="45">
        <v>24.873063999999999</v>
      </c>
      <c r="AF49" s="46">
        <v>-1.2385E-2</v>
      </c>
      <c r="AG49" s="36"/>
    </row>
    <row r="50" spans="1:33" ht="15" customHeight="1" x14ac:dyDescent="0.3">
      <c r="A50" s="35" t="s">
        <v>109</v>
      </c>
      <c r="B50" s="44" t="s">
        <v>76</v>
      </c>
      <c r="C50" s="45">
        <v>21.746656000000002</v>
      </c>
      <c r="D50" s="45">
        <v>18.583587999999999</v>
      </c>
      <c r="E50" s="45">
        <v>18.437738</v>
      </c>
      <c r="F50" s="45">
        <v>17.426687000000001</v>
      </c>
      <c r="G50" s="45">
        <v>17.396132999999999</v>
      </c>
      <c r="H50" s="45">
        <v>17.450890000000001</v>
      </c>
      <c r="I50" s="45">
        <v>17.445499000000002</v>
      </c>
      <c r="J50" s="45">
        <v>17.50403</v>
      </c>
      <c r="K50" s="45">
        <v>17.585357999999999</v>
      </c>
      <c r="L50" s="45">
        <v>17.627741</v>
      </c>
      <c r="M50" s="45">
        <v>17.713676</v>
      </c>
      <c r="N50" s="45">
        <v>17.789324000000001</v>
      </c>
      <c r="O50" s="45">
        <v>17.860551999999998</v>
      </c>
      <c r="P50" s="45">
        <v>17.979301</v>
      </c>
      <c r="Q50" s="45">
        <v>18.031911999999998</v>
      </c>
      <c r="R50" s="45">
        <v>18.093886999999999</v>
      </c>
      <c r="S50" s="45">
        <v>18.164891999999998</v>
      </c>
      <c r="T50" s="45">
        <v>18.222367999999999</v>
      </c>
      <c r="U50" s="45">
        <v>18.234998999999998</v>
      </c>
      <c r="V50" s="45">
        <v>18.210297000000001</v>
      </c>
      <c r="W50" s="45">
        <v>18.106007000000002</v>
      </c>
      <c r="X50" s="45">
        <v>17.987822000000001</v>
      </c>
      <c r="Y50" s="45">
        <v>17.796372999999999</v>
      </c>
      <c r="Z50" s="45">
        <v>17.579772999999999</v>
      </c>
      <c r="AA50" s="45">
        <v>17.799135</v>
      </c>
      <c r="AB50" s="45">
        <v>17.826294000000001</v>
      </c>
      <c r="AC50" s="45">
        <v>17.931380999999998</v>
      </c>
      <c r="AD50" s="45">
        <v>18.026841999999998</v>
      </c>
      <c r="AE50" s="45">
        <v>18.092517999999998</v>
      </c>
      <c r="AF50" s="46">
        <v>-6.5490000000000001E-3</v>
      </c>
      <c r="AG50" s="36"/>
    </row>
    <row r="51" spans="1:33" ht="15" customHeight="1" x14ac:dyDescent="0.3">
      <c r="A51" s="35" t="s">
        <v>110</v>
      </c>
      <c r="B51" s="44" t="s">
        <v>69</v>
      </c>
      <c r="C51" s="45">
        <v>7.0200610000000001</v>
      </c>
      <c r="D51" s="45">
        <v>5.6218500000000002</v>
      </c>
      <c r="E51" s="45">
        <v>4.4825049999999997</v>
      </c>
      <c r="F51" s="45">
        <v>3.8676200000000001</v>
      </c>
      <c r="G51" s="45">
        <v>3.3850189999999998</v>
      </c>
      <c r="H51" s="45">
        <v>3.0860349999999999</v>
      </c>
      <c r="I51" s="45">
        <v>2.9677769999999999</v>
      </c>
      <c r="J51" s="45">
        <v>2.9629919999999998</v>
      </c>
      <c r="K51" s="45">
        <v>2.9999069999999999</v>
      </c>
      <c r="L51" s="45">
        <v>3.0713910000000002</v>
      </c>
      <c r="M51" s="45">
        <v>3.152358</v>
      </c>
      <c r="N51" s="45">
        <v>3.2819440000000002</v>
      </c>
      <c r="O51" s="45">
        <v>3.3912620000000002</v>
      </c>
      <c r="P51" s="45">
        <v>3.5111520000000001</v>
      </c>
      <c r="Q51" s="45">
        <v>3.5463550000000001</v>
      </c>
      <c r="R51" s="45">
        <v>3.593677</v>
      </c>
      <c r="S51" s="45">
        <v>3.7334200000000002</v>
      </c>
      <c r="T51" s="45">
        <v>3.7044619999999999</v>
      </c>
      <c r="U51" s="45">
        <v>3.8440750000000001</v>
      </c>
      <c r="V51" s="45">
        <v>3.9176389999999999</v>
      </c>
      <c r="W51" s="45">
        <v>3.8986429999999999</v>
      </c>
      <c r="X51" s="45">
        <v>3.8471060000000001</v>
      </c>
      <c r="Y51" s="45">
        <v>3.7783739999999999</v>
      </c>
      <c r="Z51" s="45">
        <v>3.7701190000000002</v>
      </c>
      <c r="AA51" s="45">
        <v>3.746305</v>
      </c>
      <c r="AB51" s="45">
        <v>3.714029</v>
      </c>
      <c r="AC51" s="45">
        <v>3.6974870000000002</v>
      </c>
      <c r="AD51" s="45">
        <v>3.642601</v>
      </c>
      <c r="AE51" s="45">
        <v>3.6407699999999998</v>
      </c>
      <c r="AF51" s="46">
        <v>-2.3175999999999999E-2</v>
      </c>
      <c r="AG51" s="36"/>
    </row>
    <row r="52" spans="1:33" ht="15" customHeight="1" x14ac:dyDescent="0.3">
      <c r="A52" s="35" t="s">
        <v>111</v>
      </c>
      <c r="B52" s="44" t="s">
        <v>112</v>
      </c>
      <c r="C52" s="45">
        <v>2.1347619999999998</v>
      </c>
      <c r="D52" s="45">
        <v>2.0571269999999999</v>
      </c>
      <c r="E52" s="45">
        <v>2.0538599999999998</v>
      </c>
      <c r="F52" s="45">
        <v>2.037131</v>
      </c>
      <c r="G52" s="45">
        <v>2.0081639999999998</v>
      </c>
      <c r="H52" s="45">
        <v>1.988704</v>
      </c>
      <c r="I52" s="45">
        <v>1.964183</v>
      </c>
      <c r="J52" s="45">
        <v>1.9527490000000001</v>
      </c>
      <c r="K52" s="45">
        <v>1.954107</v>
      </c>
      <c r="L52" s="45">
        <v>1.9472039999999999</v>
      </c>
      <c r="M52" s="45">
        <v>1.91757</v>
      </c>
      <c r="N52" s="45">
        <v>1.9060710000000001</v>
      </c>
      <c r="O52" s="45">
        <v>1.904636</v>
      </c>
      <c r="P52" s="45">
        <v>1.8978330000000001</v>
      </c>
      <c r="Q52" s="45">
        <v>1.8915120000000001</v>
      </c>
      <c r="R52" s="45">
        <v>1.889286</v>
      </c>
      <c r="S52" s="45">
        <v>1.914712</v>
      </c>
      <c r="T52" s="45">
        <v>1.91035</v>
      </c>
      <c r="U52" s="45">
        <v>1.9124460000000001</v>
      </c>
      <c r="V52" s="45">
        <v>1.9111039999999999</v>
      </c>
      <c r="W52" s="45">
        <v>1.9094120000000001</v>
      </c>
      <c r="X52" s="45">
        <v>1.9090240000000001</v>
      </c>
      <c r="Y52" s="45">
        <v>1.9037930000000001</v>
      </c>
      <c r="Z52" s="45">
        <v>1.8997839999999999</v>
      </c>
      <c r="AA52" s="45">
        <v>1.9004989999999999</v>
      </c>
      <c r="AB52" s="45">
        <v>1.895365</v>
      </c>
      <c r="AC52" s="45">
        <v>1.8867290000000001</v>
      </c>
      <c r="AD52" s="45">
        <v>1.8902159999999999</v>
      </c>
      <c r="AE52" s="45">
        <v>1.8872800000000001</v>
      </c>
      <c r="AF52" s="46">
        <v>-4.3909999999999999E-3</v>
      </c>
      <c r="AG52" s="36"/>
    </row>
    <row r="53" spans="1:33" ht="15" customHeight="1" x14ac:dyDescent="0.3">
      <c r="A53" s="35" t="s">
        <v>113</v>
      </c>
      <c r="B53" s="44" t="s">
        <v>114</v>
      </c>
      <c r="C53" s="45">
        <v>0.71087199999999995</v>
      </c>
      <c r="D53" s="45">
        <v>0.71079999999999999</v>
      </c>
      <c r="E53" s="45">
        <v>0.71073900000000001</v>
      </c>
      <c r="F53" s="45">
        <v>0.710677</v>
      </c>
      <c r="G53" s="45">
        <v>0.71060599999999996</v>
      </c>
      <c r="H53" s="45">
        <v>0.71054399999999995</v>
      </c>
      <c r="I53" s="45">
        <v>0.71048299999999998</v>
      </c>
      <c r="J53" s="45">
        <v>0.71041100000000001</v>
      </c>
      <c r="K53" s="45">
        <v>0.71034900000000001</v>
      </c>
      <c r="L53" s="45">
        <v>0.71027700000000005</v>
      </c>
      <c r="M53" s="45">
        <v>0.71021599999999996</v>
      </c>
      <c r="N53" s="45">
        <v>0.71015399999999995</v>
      </c>
      <c r="O53" s="45">
        <v>0.71008300000000002</v>
      </c>
      <c r="P53" s="45">
        <v>0.71002100000000001</v>
      </c>
      <c r="Q53" s="45">
        <v>0.70994900000000005</v>
      </c>
      <c r="R53" s="45">
        <v>0.70988799999999996</v>
      </c>
      <c r="S53" s="45">
        <v>0.70982599999999996</v>
      </c>
      <c r="T53" s="45">
        <v>0.70975500000000002</v>
      </c>
      <c r="U53" s="45">
        <v>0.70969300000000002</v>
      </c>
      <c r="V53" s="45">
        <v>0.70963100000000001</v>
      </c>
      <c r="W53" s="45">
        <v>0.70955999999999997</v>
      </c>
      <c r="X53" s="45">
        <v>0.70949799999999996</v>
      </c>
      <c r="Y53" s="45">
        <v>0.709426</v>
      </c>
      <c r="Z53" s="45">
        <v>0.70936500000000002</v>
      </c>
      <c r="AA53" s="45">
        <v>0.70930300000000002</v>
      </c>
      <c r="AB53" s="45">
        <v>0.70923199999999997</v>
      </c>
      <c r="AC53" s="45">
        <v>0.70916999999999997</v>
      </c>
      <c r="AD53" s="45">
        <v>0.70910799999999996</v>
      </c>
      <c r="AE53" s="45">
        <v>0.70903700000000003</v>
      </c>
      <c r="AF53" s="46">
        <v>-9.2E-5</v>
      </c>
      <c r="AG53" s="36"/>
    </row>
    <row r="54" spans="1:33" ht="15" customHeight="1" x14ac:dyDescent="0.3">
      <c r="A54" s="34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 ht="15" customHeight="1" x14ac:dyDescent="0.3">
      <c r="A55" s="34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spans="1:33" ht="15" customHeight="1" x14ac:dyDescent="0.3">
      <c r="A56" s="34"/>
      <c r="B56" s="55" t="s">
        <v>115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spans="1:33" ht="15" customHeight="1" x14ac:dyDescent="0.3">
      <c r="A57" s="35" t="s">
        <v>116</v>
      </c>
      <c r="B57" s="44" t="s">
        <v>65</v>
      </c>
      <c r="C57" s="45">
        <v>28.079664000000001</v>
      </c>
      <c r="D57" s="45">
        <v>28.863071000000001</v>
      </c>
      <c r="E57" s="45">
        <v>27.577629000000002</v>
      </c>
      <c r="F57" s="45">
        <v>26.031884999999999</v>
      </c>
      <c r="G57" s="45">
        <v>24.921838999999999</v>
      </c>
      <c r="H57" s="45">
        <v>24.151785</v>
      </c>
      <c r="I57" s="45">
        <v>23.797934999999999</v>
      </c>
      <c r="J57" s="45">
        <v>23.714777000000002</v>
      </c>
      <c r="K57" s="45">
        <v>23.87669</v>
      </c>
      <c r="L57" s="45">
        <v>24.191362000000002</v>
      </c>
      <c r="M57" s="45">
        <v>24.642890999999999</v>
      </c>
      <c r="N57" s="45">
        <v>25.197872</v>
      </c>
      <c r="O57" s="45">
        <v>25.706682000000001</v>
      </c>
      <c r="P57" s="45">
        <v>26.062887</v>
      </c>
      <c r="Q57" s="45">
        <v>26.30707</v>
      </c>
      <c r="R57" s="45">
        <v>26.539770000000001</v>
      </c>
      <c r="S57" s="45">
        <v>26.90296</v>
      </c>
      <c r="T57" s="45">
        <v>26.989214</v>
      </c>
      <c r="U57" s="45">
        <v>27.284808999999999</v>
      </c>
      <c r="V57" s="45">
        <v>27.549026000000001</v>
      </c>
      <c r="W57" s="45">
        <v>27.698435</v>
      </c>
      <c r="X57" s="45">
        <v>27.740465</v>
      </c>
      <c r="Y57" s="45">
        <v>27.713034</v>
      </c>
      <c r="Z57" s="45">
        <v>27.764099000000002</v>
      </c>
      <c r="AA57" s="45">
        <v>27.921662999999999</v>
      </c>
      <c r="AB57" s="45">
        <v>27.942893999999999</v>
      </c>
      <c r="AC57" s="45">
        <v>28.018711</v>
      </c>
      <c r="AD57" s="45">
        <v>28.013480999999999</v>
      </c>
      <c r="AE57" s="45">
        <v>27.968328</v>
      </c>
      <c r="AF57" s="46">
        <v>-1.4200000000000001E-4</v>
      </c>
      <c r="AG57" s="36"/>
    </row>
    <row r="58" spans="1:33" ht="15" customHeight="1" x14ac:dyDescent="0.3">
      <c r="A58" s="35" t="s">
        <v>117</v>
      </c>
      <c r="B58" s="44" t="s">
        <v>96</v>
      </c>
      <c r="C58" s="45">
        <v>38.155422000000002</v>
      </c>
      <c r="D58" s="45">
        <v>33.744048999999997</v>
      </c>
      <c r="E58" s="45">
        <v>32.413798999999997</v>
      </c>
      <c r="F58" s="45">
        <v>30.254673</v>
      </c>
      <c r="G58" s="45">
        <v>29.96781</v>
      </c>
      <c r="H58" s="45">
        <v>29.806168</v>
      </c>
      <c r="I58" s="45">
        <v>29.845123000000001</v>
      </c>
      <c r="J58" s="45">
        <v>29.921641999999999</v>
      </c>
      <c r="K58" s="45">
        <v>30.057252999999999</v>
      </c>
      <c r="L58" s="45">
        <v>30.034431000000001</v>
      </c>
      <c r="M58" s="45">
        <v>30.226928999999998</v>
      </c>
      <c r="N58" s="45">
        <v>30.330379000000001</v>
      </c>
      <c r="O58" s="45">
        <v>30.467768</v>
      </c>
      <c r="P58" s="45">
        <v>30.563355999999999</v>
      </c>
      <c r="Q58" s="45">
        <v>30.925975999999999</v>
      </c>
      <c r="R58" s="45">
        <v>30.996416</v>
      </c>
      <c r="S58" s="45">
        <v>31.117224</v>
      </c>
      <c r="T58" s="45">
        <v>31.273572999999999</v>
      </c>
      <c r="U58" s="45">
        <v>31.334126000000001</v>
      </c>
      <c r="V58" s="45">
        <v>31.351469000000002</v>
      </c>
      <c r="W58" s="45">
        <v>31.450728999999999</v>
      </c>
      <c r="X58" s="45">
        <v>31.335975999999999</v>
      </c>
      <c r="Y58" s="45">
        <v>31.554224000000001</v>
      </c>
      <c r="Z58" s="45">
        <v>31.580019</v>
      </c>
      <c r="AA58" s="45">
        <v>32.420741999999997</v>
      </c>
      <c r="AB58" s="45">
        <v>32.430134000000002</v>
      </c>
      <c r="AC58" s="45">
        <v>32.712605000000003</v>
      </c>
      <c r="AD58" s="45">
        <v>32.812477000000001</v>
      </c>
      <c r="AE58" s="45">
        <v>33.119743</v>
      </c>
      <c r="AF58" s="46">
        <v>-5.0419999999999996E-3</v>
      </c>
      <c r="AG58" s="36"/>
    </row>
    <row r="59" spans="1:33" ht="15" customHeight="1" x14ac:dyDescent="0.3">
      <c r="A59" s="35" t="s">
        <v>118</v>
      </c>
      <c r="B59" s="44" t="s">
        <v>98</v>
      </c>
      <c r="C59" s="45">
        <v>34.782677</v>
      </c>
      <c r="D59" s="45">
        <v>30.452632999999999</v>
      </c>
      <c r="E59" s="45">
        <v>27.655825</v>
      </c>
      <c r="F59" s="45">
        <v>25.838930000000001</v>
      </c>
      <c r="G59" s="45">
        <v>25.571242999999999</v>
      </c>
      <c r="H59" s="45">
        <v>25.414442000000001</v>
      </c>
      <c r="I59" s="45">
        <v>25.417324000000001</v>
      </c>
      <c r="J59" s="45">
        <v>25.462954</v>
      </c>
      <c r="K59" s="45">
        <v>25.552574</v>
      </c>
      <c r="L59" s="45">
        <v>25.517675000000001</v>
      </c>
      <c r="M59" s="45">
        <v>25.653202</v>
      </c>
      <c r="N59" s="45">
        <v>25.717319</v>
      </c>
      <c r="O59" s="45">
        <v>25.807234000000001</v>
      </c>
      <c r="P59" s="45">
        <v>25.865997</v>
      </c>
      <c r="Q59" s="45">
        <v>26.146042000000001</v>
      </c>
      <c r="R59" s="45">
        <v>26.186482999999999</v>
      </c>
      <c r="S59" s="45">
        <v>26.268536000000001</v>
      </c>
      <c r="T59" s="45">
        <v>26.385166000000002</v>
      </c>
      <c r="U59" s="45">
        <v>26.422464000000002</v>
      </c>
      <c r="V59" s="45">
        <v>26.425398000000001</v>
      </c>
      <c r="W59" s="45">
        <v>26.495975000000001</v>
      </c>
      <c r="X59" s="45">
        <v>26.391787999999998</v>
      </c>
      <c r="Y59" s="45">
        <v>26.567183</v>
      </c>
      <c r="Z59" s="45">
        <v>26.580030000000001</v>
      </c>
      <c r="AA59" s="45">
        <v>27.324665</v>
      </c>
      <c r="AB59" s="45">
        <v>27.324311999999999</v>
      </c>
      <c r="AC59" s="45">
        <v>27.548143</v>
      </c>
      <c r="AD59" s="45">
        <v>27.621510000000001</v>
      </c>
      <c r="AE59" s="45">
        <v>27.864849</v>
      </c>
      <c r="AF59" s="46">
        <v>-7.8879999999999992E-3</v>
      </c>
      <c r="AG59" s="36"/>
    </row>
    <row r="60" spans="1:33" ht="15" customHeight="1" x14ac:dyDescent="0.3">
      <c r="A60" s="35" t="s">
        <v>119</v>
      </c>
      <c r="B60" s="44" t="s">
        <v>100</v>
      </c>
      <c r="C60" s="45">
        <v>26.739815</v>
      </c>
      <c r="D60" s="45">
        <v>22.567796999999999</v>
      </c>
      <c r="E60" s="45">
        <v>21.658487000000001</v>
      </c>
      <c r="F60" s="45">
        <v>20.17568</v>
      </c>
      <c r="G60" s="45">
        <v>19.946626999999999</v>
      </c>
      <c r="H60" s="45">
        <v>19.713881000000001</v>
      </c>
      <c r="I60" s="45">
        <v>19.619630999999998</v>
      </c>
      <c r="J60" s="45">
        <v>19.732991999999999</v>
      </c>
      <c r="K60" s="45">
        <v>19.754887</v>
      </c>
      <c r="L60" s="45">
        <v>19.972422000000002</v>
      </c>
      <c r="M60" s="45">
        <v>20.131733000000001</v>
      </c>
      <c r="N60" s="45">
        <v>20.218672000000002</v>
      </c>
      <c r="O60" s="45">
        <v>20.368309</v>
      </c>
      <c r="P60" s="45">
        <v>20.522895999999999</v>
      </c>
      <c r="Q60" s="45">
        <v>20.622114</v>
      </c>
      <c r="R60" s="45">
        <v>20.746122</v>
      </c>
      <c r="S60" s="45">
        <v>20.869146000000001</v>
      </c>
      <c r="T60" s="45">
        <v>20.96678</v>
      </c>
      <c r="U60" s="45">
        <v>21.087648000000002</v>
      </c>
      <c r="V60" s="45">
        <v>21.294411</v>
      </c>
      <c r="W60" s="45">
        <v>21.343142</v>
      </c>
      <c r="X60" s="45">
        <v>21.507014999999999</v>
      </c>
      <c r="Y60" s="45">
        <v>21.467026000000001</v>
      </c>
      <c r="Z60" s="45">
        <v>21.622814000000002</v>
      </c>
      <c r="AA60" s="45">
        <v>21.944468000000001</v>
      </c>
      <c r="AB60" s="45">
        <v>21.990461</v>
      </c>
      <c r="AC60" s="45">
        <v>22.051092000000001</v>
      </c>
      <c r="AD60" s="45">
        <v>22.151415</v>
      </c>
      <c r="AE60" s="45">
        <v>22.180281000000001</v>
      </c>
      <c r="AF60" s="46">
        <v>-6.6550000000000003E-3</v>
      </c>
      <c r="AG60" s="36"/>
    </row>
    <row r="61" spans="1:33" ht="15" customHeight="1" x14ac:dyDescent="0.3">
      <c r="A61" s="35" t="s">
        <v>120</v>
      </c>
      <c r="B61" s="44" t="s">
        <v>67</v>
      </c>
      <c r="C61" s="45">
        <v>36.677619999999997</v>
      </c>
      <c r="D61" s="45">
        <v>32.847237</v>
      </c>
      <c r="E61" s="45">
        <v>31.066772</v>
      </c>
      <c r="F61" s="45">
        <v>28.850601000000001</v>
      </c>
      <c r="G61" s="45">
        <v>27.806213</v>
      </c>
      <c r="H61" s="45">
        <v>26.772061999999998</v>
      </c>
      <c r="I61" s="45">
        <v>25.893951000000001</v>
      </c>
      <c r="J61" s="45">
        <v>25.991576999999999</v>
      </c>
      <c r="K61" s="45">
        <v>26.001940000000001</v>
      </c>
      <c r="L61" s="45">
        <v>26.168555999999999</v>
      </c>
      <c r="M61" s="45">
        <v>26.275074</v>
      </c>
      <c r="N61" s="45">
        <v>26.402332000000001</v>
      </c>
      <c r="O61" s="45">
        <v>26.447607000000001</v>
      </c>
      <c r="P61" s="45">
        <v>26.633845999999998</v>
      </c>
      <c r="Q61" s="45">
        <v>26.645638999999999</v>
      </c>
      <c r="R61" s="45">
        <v>26.773325</v>
      </c>
      <c r="S61" s="45">
        <v>26.862781999999999</v>
      </c>
      <c r="T61" s="45">
        <v>26.907473</v>
      </c>
      <c r="U61" s="45">
        <v>26.957165</v>
      </c>
      <c r="V61" s="45">
        <v>27.116112000000001</v>
      </c>
      <c r="W61" s="45">
        <v>27.111333999999999</v>
      </c>
      <c r="X61" s="45">
        <v>27.231009</v>
      </c>
      <c r="Y61" s="45">
        <v>27.144974000000001</v>
      </c>
      <c r="Z61" s="45">
        <v>27.202577999999999</v>
      </c>
      <c r="AA61" s="45">
        <v>27.69154</v>
      </c>
      <c r="AB61" s="45">
        <v>27.715928999999999</v>
      </c>
      <c r="AC61" s="45">
        <v>27.750174000000001</v>
      </c>
      <c r="AD61" s="45">
        <v>27.821075</v>
      </c>
      <c r="AE61" s="45">
        <v>27.823706000000001</v>
      </c>
      <c r="AF61" s="46">
        <v>-9.8189999999999996E-3</v>
      </c>
      <c r="AG61" s="36"/>
    </row>
    <row r="62" spans="1:33" ht="15" customHeight="1" x14ac:dyDescent="0.3">
      <c r="A62" s="35" t="s">
        <v>121</v>
      </c>
      <c r="B62" s="44" t="s">
        <v>76</v>
      </c>
      <c r="C62" s="45">
        <v>15.551993</v>
      </c>
      <c r="D62" s="45">
        <v>15.007058000000001</v>
      </c>
      <c r="E62" s="45">
        <v>16.830483999999998</v>
      </c>
      <c r="F62" s="45">
        <v>16.090751999999998</v>
      </c>
      <c r="G62" s="45">
        <v>16.222121999999999</v>
      </c>
      <c r="H62" s="45">
        <v>16.403403999999998</v>
      </c>
      <c r="I62" s="45">
        <v>16.530327</v>
      </c>
      <c r="J62" s="45">
        <v>16.608893999999999</v>
      </c>
      <c r="K62" s="45">
        <v>16.708054000000001</v>
      </c>
      <c r="L62" s="45">
        <v>16.785976000000002</v>
      </c>
      <c r="M62" s="45">
        <v>16.884041</v>
      </c>
      <c r="N62" s="45">
        <v>16.976837</v>
      </c>
      <c r="O62" s="45">
        <v>17.068816999999999</v>
      </c>
      <c r="P62" s="45">
        <v>17.183195000000001</v>
      </c>
      <c r="Q62" s="45">
        <v>17.241271999999999</v>
      </c>
      <c r="R62" s="45">
        <v>17.328797999999999</v>
      </c>
      <c r="S62" s="45">
        <v>17.425045000000001</v>
      </c>
      <c r="T62" s="45">
        <v>17.495161</v>
      </c>
      <c r="U62" s="45">
        <v>17.557133</v>
      </c>
      <c r="V62" s="45">
        <v>17.656974999999999</v>
      </c>
      <c r="W62" s="45">
        <v>17.672941000000002</v>
      </c>
      <c r="X62" s="45">
        <v>17.738797999999999</v>
      </c>
      <c r="Y62" s="45">
        <v>17.726212</v>
      </c>
      <c r="Z62" s="45">
        <v>17.761419</v>
      </c>
      <c r="AA62" s="45">
        <v>17.944437000000001</v>
      </c>
      <c r="AB62" s="45">
        <v>17.942336999999998</v>
      </c>
      <c r="AC62" s="45">
        <v>18.046040999999999</v>
      </c>
      <c r="AD62" s="45">
        <v>18.132389</v>
      </c>
      <c r="AE62" s="45">
        <v>18.218988</v>
      </c>
      <c r="AF62" s="46">
        <v>5.6690000000000004E-3</v>
      </c>
      <c r="AG62" s="36"/>
    </row>
    <row r="63" spans="1:33" ht="15" customHeight="1" x14ac:dyDescent="0.3">
      <c r="A63" s="35" t="s">
        <v>122</v>
      </c>
      <c r="B63" s="44" t="s">
        <v>69</v>
      </c>
      <c r="C63" s="45">
        <v>8.8813879999999994</v>
      </c>
      <c r="D63" s="45">
        <v>7.9760629999999999</v>
      </c>
      <c r="E63" s="45">
        <v>6.8525369999999999</v>
      </c>
      <c r="F63" s="45">
        <v>6.2938799999999997</v>
      </c>
      <c r="G63" s="45">
        <v>5.8523630000000004</v>
      </c>
      <c r="H63" s="45">
        <v>5.6242720000000004</v>
      </c>
      <c r="I63" s="45">
        <v>5.5256740000000004</v>
      </c>
      <c r="J63" s="45">
        <v>5.5660980000000002</v>
      </c>
      <c r="K63" s="45">
        <v>5.6419519999999999</v>
      </c>
      <c r="L63" s="45">
        <v>5.7658389999999997</v>
      </c>
      <c r="M63" s="45">
        <v>5.8794620000000002</v>
      </c>
      <c r="N63" s="45">
        <v>6.0391919999999999</v>
      </c>
      <c r="O63" s="45">
        <v>6.1688780000000003</v>
      </c>
      <c r="P63" s="45">
        <v>6.2802569999999998</v>
      </c>
      <c r="Q63" s="45">
        <v>6.3064010000000001</v>
      </c>
      <c r="R63" s="45">
        <v>6.3494010000000003</v>
      </c>
      <c r="S63" s="45">
        <v>6.4567449999999997</v>
      </c>
      <c r="T63" s="45">
        <v>6.4118079999999997</v>
      </c>
      <c r="U63" s="45">
        <v>6.5034130000000001</v>
      </c>
      <c r="V63" s="45">
        <v>6.5701400000000003</v>
      </c>
      <c r="W63" s="45">
        <v>6.5532859999999999</v>
      </c>
      <c r="X63" s="45">
        <v>6.5022229999999999</v>
      </c>
      <c r="Y63" s="45">
        <v>6.4439890000000002</v>
      </c>
      <c r="Z63" s="45">
        <v>6.4482590000000002</v>
      </c>
      <c r="AA63" s="45">
        <v>6.519228</v>
      </c>
      <c r="AB63" s="45">
        <v>6.479012</v>
      </c>
      <c r="AC63" s="45">
        <v>6.4378450000000003</v>
      </c>
      <c r="AD63" s="45">
        <v>6.398898</v>
      </c>
      <c r="AE63" s="45">
        <v>6.3921910000000004</v>
      </c>
      <c r="AF63" s="46">
        <v>-1.1677E-2</v>
      </c>
      <c r="AG63" s="36"/>
    </row>
    <row r="64" spans="1:33" ht="15" customHeight="1" x14ac:dyDescent="0.3">
      <c r="A64" s="35" t="s">
        <v>123</v>
      </c>
      <c r="B64" s="44" t="s">
        <v>86</v>
      </c>
      <c r="C64" s="45">
        <v>5.4304249999999996</v>
      </c>
      <c r="D64" s="45">
        <v>5.4466970000000003</v>
      </c>
      <c r="E64" s="45">
        <v>5.6790830000000003</v>
      </c>
      <c r="F64" s="45">
        <v>5.6766920000000001</v>
      </c>
      <c r="G64" s="45">
        <v>5.7069979999999996</v>
      </c>
      <c r="H64" s="45">
        <v>5.757409</v>
      </c>
      <c r="I64" s="45">
        <v>5.7974399999999999</v>
      </c>
      <c r="J64" s="45">
        <v>5.8433669999999998</v>
      </c>
      <c r="K64" s="45">
        <v>5.947584</v>
      </c>
      <c r="L64" s="45">
        <v>6.0097779999999998</v>
      </c>
      <c r="M64" s="45">
        <v>6.110779</v>
      </c>
      <c r="N64" s="45">
        <v>6.1829609999999997</v>
      </c>
      <c r="O64" s="45">
        <v>6.2506630000000003</v>
      </c>
      <c r="P64" s="45">
        <v>6.3259449999999999</v>
      </c>
      <c r="Q64" s="45">
        <v>6.403143</v>
      </c>
      <c r="R64" s="45">
        <v>6.4953659999999998</v>
      </c>
      <c r="S64" s="45">
        <v>6.5684300000000002</v>
      </c>
      <c r="T64" s="45">
        <v>6.6390440000000002</v>
      </c>
      <c r="U64" s="45">
        <v>6.7099260000000003</v>
      </c>
      <c r="V64" s="45">
        <v>6.7595479999999997</v>
      </c>
      <c r="W64" s="45">
        <v>6.8068</v>
      </c>
      <c r="X64" s="45">
        <v>6.8561490000000003</v>
      </c>
      <c r="Y64" s="45">
        <v>6.9083310000000004</v>
      </c>
      <c r="Z64" s="45">
        <v>6.9656209999999996</v>
      </c>
      <c r="AA64" s="45">
        <v>7.01844</v>
      </c>
      <c r="AB64" s="45">
        <v>7.0695379999999997</v>
      </c>
      <c r="AC64" s="45">
        <v>7.1226570000000002</v>
      </c>
      <c r="AD64" s="45">
        <v>7.1712059999999997</v>
      </c>
      <c r="AE64" s="45">
        <v>7.2262329999999997</v>
      </c>
      <c r="AF64" s="46">
        <v>1.0255999999999999E-2</v>
      </c>
      <c r="AG64" s="36"/>
    </row>
    <row r="65" spans="1:33" ht="15" customHeight="1" x14ac:dyDescent="0.3">
      <c r="A65" s="35" t="s">
        <v>124</v>
      </c>
      <c r="B65" s="44" t="s">
        <v>125</v>
      </c>
      <c r="C65" s="45">
        <v>2.175554</v>
      </c>
      <c r="D65" s="45">
        <v>2.0990869999999999</v>
      </c>
      <c r="E65" s="45">
        <v>2.0955119999999998</v>
      </c>
      <c r="F65" s="45">
        <v>2.0862959999999999</v>
      </c>
      <c r="G65" s="45">
        <v>2.0662630000000002</v>
      </c>
      <c r="H65" s="45">
        <v>2.0563570000000002</v>
      </c>
      <c r="I65" s="45">
        <v>2.0444930000000001</v>
      </c>
      <c r="J65" s="45">
        <v>2.0449220000000001</v>
      </c>
      <c r="K65" s="45">
        <v>2.0535730000000001</v>
      </c>
      <c r="L65" s="45">
        <v>2.046573</v>
      </c>
      <c r="M65" s="45">
        <v>2.0187650000000001</v>
      </c>
      <c r="N65" s="45">
        <v>2.004686</v>
      </c>
      <c r="O65" s="45">
        <v>2.0024310000000001</v>
      </c>
      <c r="P65" s="45">
        <v>1.994464</v>
      </c>
      <c r="Q65" s="45">
        <v>1.987976</v>
      </c>
      <c r="R65" s="45">
        <v>1.987349</v>
      </c>
      <c r="S65" s="45">
        <v>2.0134780000000001</v>
      </c>
      <c r="T65" s="45">
        <v>2.0109469999999998</v>
      </c>
      <c r="U65" s="45">
        <v>2.0145949999999999</v>
      </c>
      <c r="V65" s="45">
        <v>2.0117470000000002</v>
      </c>
      <c r="W65" s="45">
        <v>2.0089969999999999</v>
      </c>
      <c r="X65" s="45">
        <v>2.0086349999999999</v>
      </c>
      <c r="Y65" s="45">
        <v>2.0055360000000002</v>
      </c>
      <c r="Z65" s="45">
        <v>2.0037029999999998</v>
      </c>
      <c r="AA65" s="45">
        <v>2.0078170000000002</v>
      </c>
      <c r="AB65" s="45">
        <v>2.0058449999999999</v>
      </c>
      <c r="AC65" s="45">
        <v>2.003943</v>
      </c>
      <c r="AD65" s="45">
        <v>2.0070610000000002</v>
      </c>
      <c r="AE65" s="45">
        <v>2.0072410000000001</v>
      </c>
      <c r="AF65" s="46">
        <v>-2.872E-3</v>
      </c>
      <c r="AG65" s="36"/>
    </row>
    <row r="66" spans="1:33" x14ac:dyDescent="0.3">
      <c r="A66" s="35" t="s">
        <v>126</v>
      </c>
      <c r="B66" s="44" t="s">
        <v>90</v>
      </c>
      <c r="C66" s="45" t="s">
        <v>91</v>
      </c>
      <c r="D66" s="45" t="s">
        <v>91</v>
      </c>
      <c r="E66" s="45" t="s">
        <v>91</v>
      </c>
      <c r="F66" s="45" t="s">
        <v>91</v>
      </c>
      <c r="G66" s="45" t="s">
        <v>91</v>
      </c>
      <c r="H66" s="45" t="s">
        <v>91</v>
      </c>
      <c r="I66" s="45" t="s">
        <v>91</v>
      </c>
      <c r="J66" s="45" t="s">
        <v>91</v>
      </c>
      <c r="K66" s="45" t="s">
        <v>91</v>
      </c>
      <c r="L66" s="45" t="s">
        <v>91</v>
      </c>
      <c r="M66" s="45" t="s">
        <v>91</v>
      </c>
      <c r="N66" s="45" t="s">
        <v>91</v>
      </c>
      <c r="O66" s="45" t="s">
        <v>91</v>
      </c>
      <c r="P66" s="45" t="s">
        <v>91</v>
      </c>
      <c r="Q66" s="45" t="s">
        <v>91</v>
      </c>
      <c r="R66" s="45" t="s">
        <v>91</v>
      </c>
      <c r="S66" s="45" t="s">
        <v>91</v>
      </c>
      <c r="T66" s="45" t="s">
        <v>91</v>
      </c>
      <c r="U66" s="45" t="s">
        <v>91</v>
      </c>
      <c r="V66" s="45" t="s">
        <v>91</v>
      </c>
      <c r="W66" s="45" t="s">
        <v>91</v>
      </c>
      <c r="X66" s="45" t="s">
        <v>91</v>
      </c>
      <c r="Y66" s="45" t="s">
        <v>91</v>
      </c>
      <c r="Z66" s="45" t="s">
        <v>91</v>
      </c>
      <c r="AA66" s="45" t="s">
        <v>91</v>
      </c>
      <c r="AB66" s="45" t="s">
        <v>91</v>
      </c>
      <c r="AC66" s="45" t="s">
        <v>91</v>
      </c>
      <c r="AD66" s="45" t="s">
        <v>91</v>
      </c>
      <c r="AE66" s="45" t="s">
        <v>91</v>
      </c>
      <c r="AF66" s="46" t="s">
        <v>91</v>
      </c>
      <c r="AG66" s="36" t="s">
        <v>91</v>
      </c>
    </row>
    <row r="67" spans="1:33" ht="15" customHeight="1" x14ac:dyDescent="0.3">
      <c r="A67" s="35" t="s">
        <v>127</v>
      </c>
      <c r="B67" s="44" t="s">
        <v>71</v>
      </c>
      <c r="C67" s="45">
        <v>35.829422000000001</v>
      </c>
      <c r="D67" s="45">
        <v>34.915806000000003</v>
      </c>
      <c r="E67" s="45">
        <v>33.621994000000001</v>
      </c>
      <c r="F67" s="45">
        <v>32.327888000000002</v>
      </c>
      <c r="G67" s="45">
        <v>31.561640000000001</v>
      </c>
      <c r="H67" s="45">
        <v>31.015574000000001</v>
      </c>
      <c r="I67" s="45">
        <v>30.627668</v>
      </c>
      <c r="J67" s="45">
        <v>30.479344999999999</v>
      </c>
      <c r="K67" s="45">
        <v>30.520932999999999</v>
      </c>
      <c r="L67" s="45">
        <v>30.618459999999999</v>
      </c>
      <c r="M67" s="45">
        <v>30.700859000000001</v>
      </c>
      <c r="N67" s="45">
        <v>31.153542999999999</v>
      </c>
      <c r="O67" s="45">
        <v>31.446527</v>
      </c>
      <c r="P67" s="45">
        <v>31.449998999999998</v>
      </c>
      <c r="Q67" s="45">
        <v>31.634070999999999</v>
      </c>
      <c r="R67" s="45">
        <v>31.862348999999998</v>
      </c>
      <c r="S67" s="45">
        <v>32.203876000000001</v>
      </c>
      <c r="T67" s="45">
        <v>32.469318000000001</v>
      </c>
      <c r="U67" s="45">
        <v>32.694557000000003</v>
      </c>
      <c r="V67" s="45">
        <v>32.876797000000003</v>
      </c>
      <c r="W67" s="45">
        <v>32.951667999999998</v>
      </c>
      <c r="X67" s="45">
        <v>32.996758</v>
      </c>
      <c r="Y67" s="45">
        <v>33.034153000000003</v>
      </c>
      <c r="Z67" s="45">
        <v>33.064751000000001</v>
      </c>
      <c r="AA67" s="45">
        <v>32.964348000000001</v>
      </c>
      <c r="AB67" s="45">
        <v>32.814720000000001</v>
      </c>
      <c r="AC67" s="45">
        <v>32.763190999999999</v>
      </c>
      <c r="AD67" s="45">
        <v>32.582087999999999</v>
      </c>
      <c r="AE67" s="45">
        <v>32.309727000000002</v>
      </c>
      <c r="AF67" s="46">
        <v>-3.686E-3</v>
      </c>
      <c r="AG67" s="36"/>
    </row>
    <row r="68" spans="1:33" ht="15" customHeight="1" x14ac:dyDescent="0.3">
      <c r="A68" s="34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3" ht="15" customHeight="1" x14ac:dyDescent="0.3">
      <c r="A69" s="34"/>
      <c r="B69" s="55" t="s">
        <v>128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1:33" ht="15" customHeight="1" x14ac:dyDescent="0.3">
      <c r="A70" s="34"/>
      <c r="B70" s="55" t="s">
        <v>129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 ht="15" customHeight="1" x14ac:dyDescent="0.3">
      <c r="A71" s="35" t="s">
        <v>130</v>
      </c>
      <c r="B71" s="44" t="s">
        <v>63</v>
      </c>
      <c r="C71" s="47">
        <v>322.794464</v>
      </c>
      <c r="D71" s="47">
        <v>311.10562099999999</v>
      </c>
      <c r="E71" s="47">
        <v>296.58255000000003</v>
      </c>
      <c r="F71" s="47">
        <v>287.51538099999999</v>
      </c>
      <c r="G71" s="47">
        <v>281.89727800000003</v>
      </c>
      <c r="H71" s="47">
        <v>278.23700000000002</v>
      </c>
      <c r="I71" s="47">
        <v>276.01394699999997</v>
      </c>
      <c r="J71" s="47">
        <v>276.53045700000001</v>
      </c>
      <c r="K71" s="47">
        <v>277.74963400000001</v>
      </c>
      <c r="L71" s="47">
        <v>279.739014</v>
      </c>
      <c r="M71" s="47">
        <v>281.66982999999999</v>
      </c>
      <c r="N71" s="47">
        <v>286.213348</v>
      </c>
      <c r="O71" s="47">
        <v>289.80993699999999</v>
      </c>
      <c r="P71" s="47">
        <v>291.724762</v>
      </c>
      <c r="Q71" s="47">
        <v>294.61843900000002</v>
      </c>
      <c r="R71" s="47">
        <v>298.18087800000001</v>
      </c>
      <c r="S71" s="47">
        <v>302.58004799999998</v>
      </c>
      <c r="T71" s="47">
        <v>305.62887599999999</v>
      </c>
      <c r="U71" s="47">
        <v>309.17578099999997</v>
      </c>
      <c r="V71" s="47">
        <v>312.54153400000001</v>
      </c>
      <c r="W71" s="47">
        <v>315.09899899999999</v>
      </c>
      <c r="X71" s="47">
        <v>317.38449100000003</v>
      </c>
      <c r="Y71" s="47">
        <v>319.519745</v>
      </c>
      <c r="Z71" s="47">
        <v>322.40081800000002</v>
      </c>
      <c r="AA71" s="47">
        <v>325.77969400000001</v>
      </c>
      <c r="AB71" s="47">
        <v>327.33889799999997</v>
      </c>
      <c r="AC71" s="47">
        <v>329.25366200000002</v>
      </c>
      <c r="AD71" s="47">
        <v>330.65850799999998</v>
      </c>
      <c r="AE71" s="47">
        <v>331.64892600000002</v>
      </c>
      <c r="AF71" s="46">
        <v>9.6699999999999998E-4</v>
      </c>
      <c r="AG71" s="36"/>
    </row>
    <row r="72" spans="1:33" ht="15" customHeight="1" x14ac:dyDescent="0.3">
      <c r="A72" s="35" t="s">
        <v>131</v>
      </c>
      <c r="B72" s="44" t="s">
        <v>72</v>
      </c>
      <c r="C72" s="47">
        <v>237.58575400000001</v>
      </c>
      <c r="D72" s="47">
        <v>225.87794500000001</v>
      </c>
      <c r="E72" s="47">
        <v>213.011932</v>
      </c>
      <c r="F72" s="47">
        <v>203.11526499999999</v>
      </c>
      <c r="G72" s="47">
        <v>197.851303</v>
      </c>
      <c r="H72" s="47">
        <v>193.91622899999999</v>
      </c>
      <c r="I72" s="47">
        <v>191.972565</v>
      </c>
      <c r="J72" s="47">
        <v>191.99533099999999</v>
      </c>
      <c r="K72" s="47">
        <v>192.808594</v>
      </c>
      <c r="L72" s="47">
        <v>194.00732400000001</v>
      </c>
      <c r="M72" s="47">
        <v>195.20188899999999</v>
      </c>
      <c r="N72" s="47">
        <v>198.03672800000001</v>
      </c>
      <c r="O72" s="47">
        <v>200.05308500000001</v>
      </c>
      <c r="P72" s="47">
        <v>200.73554999999999</v>
      </c>
      <c r="Q72" s="47">
        <v>201.89059399999999</v>
      </c>
      <c r="R72" s="47">
        <v>203.22679099999999</v>
      </c>
      <c r="S72" s="47">
        <v>205.254211</v>
      </c>
      <c r="T72" s="47">
        <v>206.31689499999999</v>
      </c>
      <c r="U72" s="47">
        <v>207.71612500000001</v>
      </c>
      <c r="V72" s="47">
        <v>209.116455</v>
      </c>
      <c r="W72" s="47">
        <v>209.91201799999999</v>
      </c>
      <c r="X72" s="47">
        <v>210.615692</v>
      </c>
      <c r="Y72" s="47">
        <v>211.145477</v>
      </c>
      <c r="Z72" s="47">
        <v>212.010605</v>
      </c>
      <c r="AA72" s="47">
        <v>213.26052899999999</v>
      </c>
      <c r="AB72" s="47">
        <v>212.95162999999999</v>
      </c>
      <c r="AC72" s="47">
        <v>213.52230800000001</v>
      </c>
      <c r="AD72" s="47">
        <v>213.60995500000001</v>
      </c>
      <c r="AE72" s="47">
        <v>213.533905</v>
      </c>
      <c r="AF72" s="46">
        <v>-3.8049999999999998E-3</v>
      </c>
      <c r="AG72" s="36"/>
    </row>
    <row r="73" spans="1:33" x14ac:dyDescent="0.3">
      <c r="A73" s="35" t="s">
        <v>132</v>
      </c>
      <c r="B73" s="44" t="s">
        <v>79</v>
      </c>
      <c r="C73" s="47">
        <v>310.10330199999999</v>
      </c>
      <c r="D73" s="47">
        <v>282.26937900000001</v>
      </c>
      <c r="E73" s="47">
        <v>252.551987</v>
      </c>
      <c r="F73" s="47">
        <v>234.86604299999999</v>
      </c>
      <c r="G73" s="47">
        <v>226.70996099999999</v>
      </c>
      <c r="H73" s="47">
        <v>221.57540900000001</v>
      </c>
      <c r="I73" s="47">
        <v>219.738846</v>
      </c>
      <c r="J73" s="47">
        <v>221.33729600000001</v>
      </c>
      <c r="K73" s="47">
        <v>224.22203099999999</v>
      </c>
      <c r="L73" s="47">
        <v>228.29579200000001</v>
      </c>
      <c r="M73" s="47">
        <v>233.62683100000001</v>
      </c>
      <c r="N73" s="47">
        <v>240.33781400000001</v>
      </c>
      <c r="O73" s="47">
        <v>245.94323700000001</v>
      </c>
      <c r="P73" s="47">
        <v>250.18936199999999</v>
      </c>
      <c r="Q73" s="47">
        <v>253.301422</v>
      </c>
      <c r="R73" s="47">
        <v>257.26852400000001</v>
      </c>
      <c r="S73" s="47">
        <v>262.927032</v>
      </c>
      <c r="T73" s="47">
        <v>265.25408900000002</v>
      </c>
      <c r="U73" s="47">
        <v>271.08898900000003</v>
      </c>
      <c r="V73" s="47">
        <v>276.17294299999998</v>
      </c>
      <c r="W73" s="47">
        <v>279.27426100000002</v>
      </c>
      <c r="X73" s="47">
        <v>280.348389</v>
      </c>
      <c r="Y73" s="47">
        <v>281.26077299999997</v>
      </c>
      <c r="Z73" s="47">
        <v>283.24661300000002</v>
      </c>
      <c r="AA73" s="47">
        <v>285.42950400000001</v>
      </c>
      <c r="AB73" s="47">
        <v>287.51950099999999</v>
      </c>
      <c r="AC73" s="47">
        <v>289.11874399999999</v>
      </c>
      <c r="AD73" s="47">
        <v>290.22354100000001</v>
      </c>
      <c r="AE73" s="47">
        <v>292.79836999999998</v>
      </c>
      <c r="AF73" s="46">
        <v>-2.049E-3</v>
      </c>
      <c r="AG73" s="36"/>
    </row>
    <row r="74" spans="1:33" ht="15" customHeight="1" x14ac:dyDescent="0.3">
      <c r="A74" s="35" t="s">
        <v>133</v>
      </c>
      <c r="B74" s="44" t="s">
        <v>93</v>
      </c>
      <c r="C74" s="47">
        <v>881.96179199999995</v>
      </c>
      <c r="D74" s="47">
        <v>779.21691899999996</v>
      </c>
      <c r="E74" s="47">
        <v>718.76898200000005</v>
      </c>
      <c r="F74" s="47">
        <v>663.46997099999999</v>
      </c>
      <c r="G74" s="47">
        <v>647.39758300000005</v>
      </c>
      <c r="H74" s="47">
        <v>634.12219200000004</v>
      </c>
      <c r="I74" s="47">
        <v>624.34558100000004</v>
      </c>
      <c r="J74" s="47">
        <v>620.49530000000004</v>
      </c>
      <c r="K74" s="47">
        <v>615.71276899999998</v>
      </c>
      <c r="L74" s="47">
        <v>611.47125200000005</v>
      </c>
      <c r="M74" s="47">
        <v>610.01403800000003</v>
      </c>
      <c r="N74" s="47">
        <v>608.57330300000001</v>
      </c>
      <c r="O74" s="47">
        <v>607.87622099999999</v>
      </c>
      <c r="P74" s="47">
        <v>607.89910899999995</v>
      </c>
      <c r="Q74" s="47">
        <v>609.51086399999997</v>
      </c>
      <c r="R74" s="47">
        <v>609.85699499999998</v>
      </c>
      <c r="S74" s="47">
        <v>611.14373799999998</v>
      </c>
      <c r="T74" s="47">
        <v>612.75714100000005</v>
      </c>
      <c r="U74" s="47">
        <v>614.47161900000003</v>
      </c>
      <c r="V74" s="47">
        <v>617.21283000000005</v>
      </c>
      <c r="W74" s="47">
        <v>619.520081</v>
      </c>
      <c r="X74" s="47">
        <v>620.98687700000005</v>
      </c>
      <c r="Y74" s="47">
        <v>624.36004600000001</v>
      </c>
      <c r="Z74" s="47">
        <v>627.828125</v>
      </c>
      <c r="AA74" s="47">
        <v>645.26946999999996</v>
      </c>
      <c r="AB74" s="47">
        <v>649.33062700000005</v>
      </c>
      <c r="AC74" s="47">
        <v>656.659851</v>
      </c>
      <c r="AD74" s="47">
        <v>662.27075200000002</v>
      </c>
      <c r="AE74" s="47">
        <v>670.69799799999998</v>
      </c>
      <c r="AF74" s="46">
        <v>-9.7319999999999993E-3</v>
      </c>
      <c r="AG74" s="36"/>
    </row>
    <row r="75" spans="1:33" ht="15" customHeight="1" x14ac:dyDescent="0.3">
      <c r="A75" s="35" t="s">
        <v>134</v>
      </c>
      <c r="B75" s="44" t="s">
        <v>135</v>
      </c>
      <c r="C75" s="47">
        <v>1752.4453120000001</v>
      </c>
      <c r="D75" s="47">
        <v>1598.4698490000001</v>
      </c>
      <c r="E75" s="47">
        <v>1480.9155270000001</v>
      </c>
      <c r="F75" s="47">
        <v>1388.9666749999999</v>
      </c>
      <c r="G75" s="47">
        <v>1353.8562010000001</v>
      </c>
      <c r="H75" s="47">
        <v>1327.8508300000001</v>
      </c>
      <c r="I75" s="47">
        <v>1312.070923</v>
      </c>
      <c r="J75" s="47">
        <v>1310.3583980000001</v>
      </c>
      <c r="K75" s="47">
        <v>1310.4930420000001</v>
      </c>
      <c r="L75" s="47">
        <v>1313.513428</v>
      </c>
      <c r="M75" s="47">
        <v>1320.512573</v>
      </c>
      <c r="N75" s="47">
        <v>1333.1611330000001</v>
      </c>
      <c r="O75" s="47">
        <v>1343.682495</v>
      </c>
      <c r="P75" s="47">
        <v>1350.548828</v>
      </c>
      <c r="Q75" s="47">
        <v>1359.321289</v>
      </c>
      <c r="R75" s="47">
        <v>1368.533203</v>
      </c>
      <c r="S75" s="47">
        <v>1381.905029</v>
      </c>
      <c r="T75" s="47">
        <v>1389.9570309999999</v>
      </c>
      <c r="U75" s="47">
        <v>1402.4525149999999</v>
      </c>
      <c r="V75" s="47">
        <v>1415.0437010000001</v>
      </c>
      <c r="W75" s="47">
        <v>1423.8054199999999</v>
      </c>
      <c r="X75" s="47">
        <v>1429.3354489999999</v>
      </c>
      <c r="Y75" s="47">
        <v>1436.2861330000001</v>
      </c>
      <c r="Z75" s="47">
        <v>1445.486206</v>
      </c>
      <c r="AA75" s="47">
        <v>1469.7392580000001</v>
      </c>
      <c r="AB75" s="47">
        <v>1477.140625</v>
      </c>
      <c r="AC75" s="47">
        <v>1488.5546879999999</v>
      </c>
      <c r="AD75" s="47">
        <v>1496.7626949999999</v>
      </c>
      <c r="AE75" s="47">
        <v>1508.6791989999999</v>
      </c>
      <c r="AF75" s="46">
        <v>-5.3350000000000003E-3</v>
      </c>
      <c r="AG75" s="36"/>
    </row>
    <row r="76" spans="1:33" ht="15" customHeight="1" x14ac:dyDescent="0.3">
      <c r="A76" s="35" t="s">
        <v>136</v>
      </c>
      <c r="B76" s="44" t="s">
        <v>137</v>
      </c>
      <c r="C76" s="47">
        <v>1.2899940000000001</v>
      </c>
      <c r="D76" s="47">
        <v>1.153556</v>
      </c>
      <c r="E76" s="47">
        <v>1.040157</v>
      </c>
      <c r="F76" s="47">
        <v>0.96700699999999995</v>
      </c>
      <c r="G76" s="47">
        <v>0.93400700000000003</v>
      </c>
      <c r="H76" s="47">
        <v>0.90322400000000003</v>
      </c>
      <c r="I76" s="47">
        <v>0.873027</v>
      </c>
      <c r="J76" s="47">
        <v>0.84012299999999995</v>
      </c>
      <c r="K76" s="47">
        <v>0.80676700000000001</v>
      </c>
      <c r="L76" s="47">
        <v>0.76968800000000004</v>
      </c>
      <c r="M76" s="47">
        <v>0.73878299999999997</v>
      </c>
      <c r="N76" s="47">
        <v>0.70918999999999999</v>
      </c>
      <c r="O76" s="47">
        <v>0.68329700000000004</v>
      </c>
      <c r="P76" s="47">
        <v>0.65939099999999995</v>
      </c>
      <c r="Q76" s="47">
        <v>0.64221600000000001</v>
      </c>
      <c r="R76" s="47">
        <v>0.62533300000000003</v>
      </c>
      <c r="S76" s="47">
        <v>0.61408099999999999</v>
      </c>
      <c r="T76" s="47">
        <v>0.60781600000000002</v>
      </c>
      <c r="U76" s="47">
        <v>0.60402999999999996</v>
      </c>
      <c r="V76" s="47">
        <v>0.60172700000000001</v>
      </c>
      <c r="W76" s="47">
        <v>0.60324699999999998</v>
      </c>
      <c r="X76" s="47">
        <v>0.60368699999999997</v>
      </c>
      <c r="Y76" s="47">
        <v>0.61092500000000005</v>
      </c>
      <c r="Z76" s="47">
        <v>0.61596499999999998</v>
      </c>
      <c r="AA76" s="47">
        <v>0.636548</v>
      </c>
      <c r="AB76" s="47">
        <v>0.64446199999999998</v>
      </c>
      <c r="AC76" s="47">
        <v>0.65710000000000002</v>
      </c>
      <c r="AD76" s="47">
        <v>0.66825599999999996</v>
      </c>
      <c r="AE76" s="47">
        <v>0.68325899999999995</v>
      </c>
      <c r="AF76" s="46">
        <v>-2.2440999999999999E-2</v>
      </c>
      <c r="AG76" s="36"/>
    </row>
    <row r="77" spans="1:33" ht="15" customHeight="1" x14ac:dyDescent="0.3">
      <c r="A77" s="35" t="s">
        <v>138</v>
      </c>
      <c r="B77" s="55" t="s">
        <v>139</v>
      </c>
      <c r="C77" s="56">
        <v>1753.7353519999999</v>
      </c>
      <c r="D77" s="56">
        <v>1599.623413</v>
      </c>
      <c r="E77" s="56">
        <v>1481.955688</v>
      </c>
      <c r="F77" s="56">
        <v>1389.933716</v>
      </c>
      <c r="G77" s="56">
        <v>1354.7901609999999</v>
      </c>
      <c r="H77" s="56">
        <v>1328.7540280000001</v>
      </c>
      <c r="I77" s="56">
        <v>1312.94397</v>
      </c>
      <c r="J77" s="56">
        <v>1311.198486</v>
      </c>
      <c r="K77" s="56">
        <v>1311.2998050000001</v>
      </c>
      <c r="L77" s="56">
        <v>1314.283081</v>
      </c>
      <c r="M77" s="56">
        <v>1321.2513429999999</v>
      </c>
      <c r="N77" s="56">
        <v>1333.870361</v>
      </c>
      <c r="O77" s="56">
        <v>1344.365845</v>
      </c>
      <c r="P77" s="56">
        <v>1351.2082519999999</v>
      </c>
      <c r="Q77" s="56">
        <v>1359.963501</v>
      </c>
      <c r="R77" s="56">
        <v>1369.1585689999999</v>
      </c>
      <c r="S77" s="56">
        <v>1382.5191649999999</v>
      </c>
      <c r="T77" s="56">
        <v>1390.5648189999999</v>
      </c>
      <c r="U77" s="56">
        <v>1403.056519</v>
      </c>
      <c r="V77" s="56">
        <v>1415.6453859999999</v>
      </c>
      <c r="W77" s="56">
        <v>1424.4086910000001</v>
      </c>
      <c r="X77" s="56">
        <v>1429.939087</v>
      </c>
      <c r="Y77" s="56">
        <v>1436.897095</v>
      </c>
      <c r="Z77" s="56">
        <v>1446.102173</v>
      </c>
      <c r="AA77" s="56">
        <v>1470.3758539999999</v>
      </c>
      <c r="AB77" s="56">
        <v>1477.785034</v>
      </c>
      <c r="AC77" s="56">
        <v>1489.2117920000001</v>
      </c>
      <c r="AD77" s="56">
        <v>1497.430908</v>
      </c>
      <c r="AE77" s="56">
        <v>1509.362427</v>
      </c>
      <c r="AF77" s="57">
        <v>-5.3449999999999999E-3</v>
      </c>
      <c r="AG77" s="36"/>
    </row>
    <row r="78" spans="1:33" ht="15" customHeight="1" x14ac:dyDescent="0.3">
      <c r="A78" s="34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spans="1:33" x14ac:dyDescent="0.3">
      <c r="A79" s="34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spans="1:33" ht="15" customHeight="1" x14ac:dyDescent="0.3">
      <c r="A80" s="34"/>
      <c r="B80" s="55" t="s">
        <v>140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 spans="1:33" x14ac:dyDescent="0.3">
      <c r="A81" s="34"/>
      <c r="B81" s="55" t="s">
        <v>63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spans="1:33" ht="15" customHeight="1" x14ac:dyDescent="0.3">
      <c r="A82" s="35" t="s">
        <v>141</v>
      </c>
      <c r="B82" s="44" t="s">
        <v>65</v>
      </c>
      <c r="C82" s="45">
        <v>29.133368000000001</v>
      </c>
      <c r="D82" s="45">
        <v>32.600932999999998</v>
      </c>
      <c r="E82" s="45">
        <v>33.591048999999998</v>
      </c>
      <c r="F82" s="45">
        <v>33.150249000000002</v>
      </c>
      <c r="G82" s="45">
        <v>32.635117000000001</v>
      </c>
      <c r="H82" s="45">
        <v>32.334290000000003</v>
      </c>
      <c r="I82" s="45">
        <v>32.446052999999999</v>
      </c>
      <c r="J82" s="45">
        <v>32.931576</v>
      </c>
      <c r="K82" s="45">
        <v>33.77552</v>
      </c>
      <c r="L82" s="45">
        <v>34.906070999999997</v>
      </c>
      <c r="M82" s="45">
        <v>36.293835000000001</v>
      </c>
      <c r="N82" s="45">
        <v>37.918900000000001</v>
      </c>
      <c r="O82" s="45">
        <v>39.611206000000003</v>
      </c>
      <c r="P82" s="45">
        <v>41.182040999999998</v>
      </c>
      <c r="Q82" s="45">
        <v>42.624862999999998</v>
      </c>
      <c r="R82" s="45">
        <v>44.030830000000002</v>
      </c>
      <c r="S82" s="45">
        <v>45.598953000000002</v>
      </c>
      <c r="T82" s="45">
        <v>46.898192999999999</v>
      </c>
      <c r="U82" s="45">
        <v>48.437809000000001</v>
      </c>
      <c r="V82" s="45">
        <v>50.019119000000003</v>
      </c>
      <c r="W82" s="45">
        <v>51.510776999999997</v>
      </c>
      <c r="X82" s="45">
        <v>52.883899999999997</v>
      </c>
      <c r="Y82" s="45">
        <v>54.158352000000001</v>
      </c>
      <c r="Z82" s="45">
        <v>55.546275999999999</v>
      </c>
      <c r="AA82" s="45">
        <v>57.234603999999997</v>
      </c>
      <c r="AB82" s="45">
        <v>58.666496000000002</v>
      </c>
      <c r="AC82" s="45">
        <v>60.229030999999999</v>
      </c>
      <c r="AD82" s="45">
        <v>61.731524999999998</v>
      </c>
      <c r="AE82" s="45">
        <v>63.200648999999999</v>
      </c>
      <c r="AF82" s="46">
        <v>2.8043999999999999E-2</v>
      </c>
      <c r="AG82" s="36"/>
    </row>
    <row r="83" spans="1:33" ht="15" customHeight="1" x14ac:dyDescent="0.3">
      <c r="A83" s="35" t="s">
        <v>142</v>
      </c>
      <c r="B83" s="44" t="s">
        <v>67</v>
      </c>
      <c r="C83" s="45">
        <v>35.242496000000003</v>
      </c>
      <c r="D83" s="45">
        <v>34.182651999999997</v>
      </c>
      <c r="E83" s="45">
        <v>33.724178000000002</v>
      </c>
      <c r="F83" s="45">
        <v>32.667090999999999</v>
      </c>
      <c r="G83" s="45">
        <v>32.846657</v>
      </c>
      <c r="H83" s="45">
        <v>33.046928000000001</v>
      </c>
      <c r="I83" s="45">
        <v>33.432006999999999</v>
      </c>
      <c r="J83" s="45">
        <v>34.269374999999997</v>
      </c>
      <c r="K83" s="45">
        <v>35.044159000000001</v>
      </c>
      <c r="L83" s="45">
        <v>36.064919000000003</v>
      </c>
      <c r="M83" s="45">
        <v>37.002056000000003</v>
      </c>
      <c r="N83" s="45">
        <v>38.029193999999997</v>
      </c>
      <c r="O83" s="45">
        <v>39.001244</v>
      </c>
      <c r="P83" s="45">
        <v>40.150604000000001</v>
      </c>
      <c r="Q83" s="45">
        <v>41.098312</v>
      </c>
      <c r="R83" s="45">
        <v>42.191569999999999</v>
      </c>
      <c r="S83" s="45">
        <v>43.253830000000001</v>
      </c>
      <c r="T83" s="45">
        <v>44.266022</v>
      </c>
      <c r="U83" s="45">
        <v>45.324840999999999</v>
      </c>
      <c r="V83" s="45">
        <v>46.584533999999998</v>
      </c>
      <c r="W83" s="45">
        <v>47.625869999999999</v>
      </c>
      <c r="X83" s="45">
        <v>48.902163999999999</v>
      </c>
      <c r="Y83" s="45">
        <v>49.874504000000002</v>
      </c>
      <c r="Z83" s="45">
        <v>51.111248000000003</v>
      </c>
      <c r="AA83" s="45">
        <v>52.683566999999996</v>
      </c>
      <c r="AB83" s="45">
        <v>53.982517000000001</v>
      </c>
      <c r="AC83" s="45">
        <v>55.335030000000003</v>
      </c>
      <c r="AD83" s="45">
        <v>56.786217000000001</v>
      </c>
      <c r="AE83" s="45">
        <v>58.157210999999997</v>
      </c>
      <c r="AF83" s="46">
        <v>1.805E-2</v>
      </c>
      <c r="AG83" s="36"/>
    </row>
    <row r="84" spans="1:33" ht="15" customHeight="1" x14ac:dyDescent="0.3">
      <c r="A84" s="35" t="s">
        <v>143</v>
      </c>
      <c r="B84" s="44" t="s">
        <v>69</v>
      </c>
      <c r="C84" s="45">
        <v>14.293920999999999</v>
      </c>
      <c r="D84" s="45">
        <v>14.645989999999999</v>
      </c>
      <c r="E84" s="45">
        <v>13.676522</v>
      </c>
      <c r="F84" s="45">
        <v>13.184908999999999</v>
      </c>
      <c r="G84" s="45">
        <v>12.791022999999999</v>
      </c>
      <c r="H84" s="45">
        <v>12.605636000000001</v>
      </c>
      <c r="I84" s="45">
        <v>12.573746</v>
      </c>
      <c r="J84" s="45">
        <v>12.909769000000001</v>
      </c>
      <c r="K84" s="45">
        <v>13.249883000000001</v>
      </c>
      <c r="L84" s="45">
        <v>13.680078999999999</v>
      </c>
      <c r="M84" s="45">
        <v>14.109493000000001</v>
      </c>
      <c r="N84" s="45">
        <v>14.634359999999999</v>
      </c>
      <c r="O84" s="45">
        <v>15.145339</v>
      </c>
      <c r="P84" s="45">
        <v>15.646319</v>
      </c>
      <c r="Q84" s="45">
        <v>16.078226000000001</v>
      </c>
      <c r="R84" s="45">
        <v>16.557303999999998</v>
      </c>
      <c r="S84" s="45">
        <v>17.127001</v>
      </c>
      <c r="T84" s="45">
        <v>17.513002</v>
      </c>
      <c r="U84" s="45">
        <v>18.044384000000001</v>
      </c>
      <c r="V84" s="45">
        <v>18.599208999999998</v>
      </c>
      <c r="W84" s="45">
        <v>19.059166000000001</v>
      </c>
      <c r="X84" s="45">
        <v>19.474995</v>
      </c>
      <c r="Y84" s="45">
        <v>19.853939</v>
      </c>
      <c r="Z84" s="45">
        <v>20.418022000000001</v>
      </c>
      <c r="AA84" s="45">
        <v>21.441403999999999</v>
      </c>
      <c r="AB84" s="45">
        <v>21.922989000000001</v>
      </c>
      <c r="AC84" s="45">
        <v>22.388704000000001</v>
      </c>
      <c r="AD84" s="45">
        <v>22.934742</v>
      </c>
      <c r="AE84" s="45">
        <v>23.554538999999998</v>
      </c>
      <c r="AF84" s="46">
        <v>1.7999000000000001E-2</v>
      </c>
      <c r="AG84" s="36"/>
    </row>
    <row r="85" spans="1:33" ht="15" customHeight="1" x14ac:dyDescent="0.3">
      <c r="A85" s="35" t="s">
        <v>144</v>
      </c>
      <c r="B85" s="44" t="s">
        <v>71</v>
      </c>
      <c r="C85" s="45">
        <v>42.669246999999999</v>
      </c>
      <c r="D85" s="45">
        <v>43.146023</v>
      </c>
      <c r="E85" s="45">
        <v>43.261093000000002</v>
      </c>
      <c r="F85" s="45">
        <v>42.880462999999999</v>
      </c>
      <c r="G85" s="45">
        <v>43.009357000000001</v>
      </c>
      <c r="H85" s="45">
        <v>43.327247999999997</v>
      </c>
      <c r="I85" s="45">
        <v>43.842647999999997</v>
      </c>
      <c r="J85" s="45">
        <v>44.687339999999999</v>
      </c>
      <c r="K85" s="45">
        <v>45.805477000000003</v>
      </c>
      <c r="L85" s="45">
        <v>47.097492000000003</v>
      </c>
      <c r="M85" s="45">
        <v>48.405566999999998</v>
      </c>
      <c r="N85" s="45">
        <v>50.295189000000001</v>
      </c>
      <c r="O85" s="45">
        <v>52.085312000000002</v>
      </c>
      <c r="P85" s="45">
        <v>53.362102999999998</v>
      </c>
      <c r="Q85" s="45">
        <v>54.927329999999998</v>
      </c>
      <c r="R85" s="45">
        <v>56.583927000000003</v>
      </c>
      <c r="S85" s="45">
        <v>58.444336</v>
      </c>
      <c r="T85" s="45">
        <v>60.167355000000001</v>
      </c>
      <c r="U85" s="45">
        <v>61.958289999999998</v>
      </c>
      <c r="V85" s="45">
        <v>63.713763999999998</v>
      </c>
      <c r="W85" s="45">
        <v>65.363594000000006</v>
      </c>
      <c r="X85" s="45">
        <v>67.008003000000002</v>
      </c>
      <c r="Y85" s="45">
        <v>68.678673000000003</v>
      </c>
      <c r="Z85" s="45">
        <v>70.432961000000006</v>
      </c>
      <c r="AA85" s="45">
        <v>71.975487000000001</v>
      </c>
      <c r="AB85" s="45">
        <v>73.475455999999994</v>
      </c>
      <c r="AC85" s="45">
        <v>75.125107</v>
      </c>
      <c r="AD85" s="45">
        <v>76.578170999999998</v>
      </c>
      <c r="AE85" s="45">
        <v>77.840477000000007</v>
      </c>
      <c r="AF85" s="46">
        <v>2.1703E-2</v>
      </c>
      <c r="AG85" s="36"/>
    </row>
    <row r="86" spans="1:33" ht="15" customHeight="1" x14ac:dyDescent="0.3">
      <c r="A86" s="34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 spans="1:33" ht="15" customHeight="1" x14ac:dyDescent="0.3">
      <c r="A87" s="34"/>
      <c r="B87" s="55" t="s">
        <v>72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spans="1:33" ht="15" customHeight="1" x14ac:dyDescent="0.3">
      <c r="A88" s="35" t="s">
        <v>145</v>
      </c>
      <c r="B88" s="44" t="s">
        <v>65</v>
      </c>
      <c r="C88" s="45">
        <v>27.825644</v>
      </c>
      <c r="D88" s="45">
        <v>27.85585</v>
      </c>
      <c r="E88" s="45">
        <v>26.556958999999999</v>
      </c>
      <c r="F88" s="45">
        <v>24.976807000000001</v>
      </c>
      <c r="G88" s="45">
        <v>24.337795</v>
      </c>
      <c r="H88" s="45">
        <v>24.212544999999999</v>
      </c>
      <c r="I88" s="45">
        <v>24.589096000000001</v>
      </c>
      <c r="J88" s="45">
        <v>25.254981999999998</v>
      </c>
      <c r="K88" s="45">
        <v>26.178425000000001</v>
      </c>
      <c r="L88" s="45">
        <v>27.261216999999998</v>
      </c>
      <c r="M88" s="45">
        <v>28.512353999999998</v>
      </c>
      <c r="N88" s="45">
        <v>29.901306000000002</v>
      </c>
      <c r="O88" s="45">
        <v>31.225031000000001</v>
      </c>
      <c r="P88" s="45">
        <v>32.327418999999999</v>
      </c>
      <c r="Q88" s="45">
        <v>33.303187999999999</v>
      </c>
      <c r="R88" s="45">
        <v>34.315617000000003</v>
      </c>
      <c r="S88" s="45">
        <v>35.582957999999998</v>
      </c>
      <c r="T88" s="45">
        <v>36.394447</v>
      </c>
      <c r="U88" s="45">
        <v>37.650371999999997</v>
      </c>
      <c r="V88" s="45">
        <v>38.867626000000001</v>
      </c>
      <c r="W88" s="45">
        <v>39.91769</v>
      </c>
      <c r="X88" s="45">
        <v>40.838012999999997</v>
      </c>
      <c r="Y88" s="45">
        <v>41.698109000000002</v>
      </c>
      <c r="Z88" s="45">
        <v>42.775314000000002</v>
      </c>
      <c r="AA88" s="45">
        <v>44.170029</v>
      </c>
      <c r="AB88" s="45">
        <v>45.280189999999997</v>
      </c>
      <c r="AC88" s="45">
        <v>46.532390999999997</v>
      </c>
      <c r="AD88" s="45">
        <v>47.632702000000002</v>
      </c>
      <c r="AE88" s="45">
        <v>48.701335999999998</v>
      </c>
      <c r="AF88" s="46">
        <v>2.0192000000000002E-2</v>
      </c>
      <c r="AG88" s="36"/>
    </row>
    <row r="89" spans="1:33" ht="15" customHeight="1" x14ac:dyDescent="0.3">
      <c r="A89" s="35" t="s">
        <v>146</v>
      </c>
      <c r="B89" s="44" t="s">
        <v>67</v>
      </c>
      <c r="C89" s="45">
        <v>35.263694999999998</v>
      </c>
      <c r="D89" s="45">
        <v>34.344527999999997</v>
      </c>
      <c r="E89" s="45">
        <v>32.658478000000002</v>
      </c>
      <c r="F89" s="45">
        <v>30.315842</v>
      </c>
      <c r="G89" s="45">
        <v>29.135559000000001</v>
      </c>
      <c r="H89" s="45">
        <v>27.945101000000001</v>
      </c>
      <c r="I89" s="45">
        <v>26.866716</v>
      </c>
      <c r="J89" s="45">
        <v>27.554403000000001</v>
      </c>
      <c r="K89" s="45">
        <v>28.172378999999999</v>
      </c>
      <c r="L89" s="45">
        <v>29.022541</v>
      </c>
      <c r="M89" s="45">
        <v>29.806835</v>
      </c>
      <c r="N89" s="45">
        <v>30.648589999999999</v>
      </c>
      <c r="O89" s="45">
        <v>31.455866</v>
      </c>
      <c r="P89" s="45">
        <v>32.399478999999999</v>
      </c>
      <c r="Q89" s="45">
        <v>33.183022000000001</v>
      </c>
      <c r="R89" s="45">
        <v>34.086585999999997</v>
      </c>
      <c r="S89" s="45">
        <v>34.961765</v>
      </c>
      <c r="T89" s="45">
        <v>35.791187000000001</v>
      </c>
      <c r="U89" s="45">
        <v>36.661175</v>
      </c>
      <c r="V89" s="45">
        <v>37.72419</v>
      </c>
      <c r="W89" s="45">
        <v>38.565331</v>
      </c>
      <c r="X89" s="45">
        <v>39.635489999999997</v>
      </c>
      <c r="Y89" s="45">
        <v>40.400620000000004</v>
      </c>
      <c r="Z89" s="45">
        <v>41.460686000000003</v>
      </c>
      <c r="AA89" s="45">
        <v>43.348011</v>
      </c>
      <c r="AB89" s="45">
        <v>44.403556999999999</v>
      </c>
      <c r="AC89" s="45">
        <v>45.525748999999998</v>
      </c>
      <c r="AD89" s="45">
        <v>46.750487999999997</v>
      </c>
      <c r="AE89" s="45">
        <v>47.882179000000001</v>
      </c>
      <c r="AF89" s="46">
        <v>1.0985E-2</v>
      </c>
      <c r="AG89" s="36"/>
    </row>
    <row r="90" spans="1:33" ht="15" customHeight="1" x14ac:dyDescent="0.3">
      <c r="A90" s="35" t="s">
        <v>147</v>
      </c>
      <c r="B90" s="44" t="s">
        <v>76</v>
      </c>
      <c r="C90" s="45">
        <v>12.628995</v>
      </c>
      <c r="D90" s="45">
        <v>8.190194</v>
      </c>
      <c r="E90" s="45">
        <v>10.064173</v>
      </c>
      <c r="F90" s="45">
        <v>10.614261000000001</v>
      </c>
      <c r="G90" s="45">
        <v>12.394233</v>
      </c>
      <c r="H90" s="45">
        <v>14.254799</v>
      </c>
      <c r="I90" s="45">
        <v>16.294703999999999</v>
      </c>
      <c r="J90" s="45">
        <v>16.744129000000001</v>
      </c>
      <c r="K90" s="45">
        <v>17.220006999999999</v>
      </c>
      <c r="L90" s="45">
        <v>17.747589000000001</v>
      </c>
      <c r="M90" s="45">
        <v>18.278893</v>
      </c>
      <c r="N90" s="45">
        <v>18.828437999999998</v>
      </c>
      <c r="O90" s="45">
        <v>19.412710000000001</v>
      </c>
      <c r="P90" s="45">
        <v>20.019818999999998</v>
      </c>
      <c r="Q90" s="45">
        <v>20.605381000000001</v>
      </c>
      <c r="R90" s="45">
        <v>21.204630000000002</v>
      </c>
      <c r="S90" s="45">
        <v>21.826968999999998</v>
      </c>
      <c r="T90" s="45">
        <v>22.406015</v>
      </c>
      <c r="U90" s="45">
        <v>23.034382000000001</v>
      </c>
      <c r="V90" s="45">
        <v>23.748093000000001</v>
      </c>
      <c r="W90" s="45">
        <v>24.306380999999998</v>
      </c>
      <c r="X90" s="45">
        <v>24.976209999999998</v>
      </c>
      <c r="Y90" s="45">
        <v>25.601828000000001</v>
      </c>
      <c r="Z90" s="45">
        <v>26.294802000000001</v>
      </c>
      <c r="AA90" s="45">
        <v>27.197239</v>
      </c>
      <c r="AB90" s="45">
        <v>27.841978000000001</v>
      </c>
      <c r="AC90" s="45">
        <v>28.729586000000001</v>
      </c>
      <c r="AD90" s="45">
        <v>29.587326000000001</v>
      </c>
      <c r="AE90" s="45">
        <v>30.433244999999999</v>
      </c>
      <c r="AF90" s="46">
        <v>3.1911000000000002E-2</v>
      </c>
      <c r="AG90" s="36"/>
    </row>
    <row r="91" spans="1:33" ht="15" customHeight="1" x14ac:dyDescent="0.3">
      <c r="A91" s="35" t="s">
        <v>148</v>
      </c>
      <c r="B91" s="44" t="s">
        <v>69</v>
      </c>
      <c r="C91" s="45">
        <v>10.986808</v>
      </c>
      <c r="D91" s="45">
        <v>10.752255</v>
      </c>
      <c r="E91" s="45">
        <v>9.9479480000000002</v>
      </c>
      <c r="F91" s="45">
        <v>9.6419490000000003</v>
      </c>
      <c r="G91" s="45">
        <v>9.4135589999999993</v>
      </c>
      <c r="H91" s="45">
        <v>9.3766979999999993</v>
      </c>
      <c r="I91" s="45">
        <v>9.4731009999999998</v>
      </c>
      <c r="J91" s="45">
        <v>9.7253550000000004</v>
      </c>
      <c r="K91" s="45">
        <v>9.9731579999999997</v>
      </c>
      <c r="L91" s="45">
        <v>10.300300999999999</v>
      </c>
      <c r="M91" s="45">
        <v>10.62715</v>
      </c>
      <c r="N91" s="45">
        <v>11.050625</v>
      </c>
      <c r="O91" s="45">
        <v>11.449692000000001</v>
      </c>
      <c r="P91" s="45">
        <v>11.837113</v>
      </c>
      <c r="Q91" s="45">
        <v>12.159459</v>
      </c>
      <c r="R91" s="45">
        <v>12.529586</v>
      </c>
      <c r="S91" s="45">
        <v>12.986810999999999</v>
      </c>
      <c r="T91" s="45">
        <v>13.267094</v>
      </c>
      <c r="U91" s="45">
        <v>13.688367</v>
      </c>
      <c r="V91" s="45">
        <v>14.127917</v>
      </c>
      <c r="W91" s="45">
        <v>14.471655999999999</v>
      </c>
      <c r="X91" s="45">
        <v>14.771008</v>
      </c>
      <c r="Y91" s="45">
        <v>15.036106999999999</v>
      </c>
      <c r="Z91" s="45">
        <v>15.46964</v>
      </c>
      <c r="AA91" s="45">
        <v>16.177821999999999</v>
      </c>
      <c r="AB91" s="45">
        <v>16.489763</v>
      </c>
      <c r="AC91" s="45">
        <v>16.806581000000001</v>
      </c>
      <c r="AD91" s="45">
        <v>17.210038999999998</v>
      </c>
      <c r="AE91" s="45">
        <v>17.685751</v>
      </c>
      <c r="AF91" s="46">
        <v>1.7148E-2</v>
      </c>
      <c r="AG91" s="36"/>
    </row>
    <row r="92" spans="1:33" x14ac:dyDescent="0.3">
      <c r="A92" s="35" t="s">
        <v>149</v>
      </c>
      <c r="B92" s="44" t="s">
        <v>71</v>
      </c>
      <c r="C92" s="45">
        <v>36.670883000000003</v>
      </c>
      <c r="D92" s="45">
        <v>37.384396000000002</v>
      </c>
      <c r="E92" s="45">
        <v>36.634932999999997</v>
      </c>
      <c r="F92" s="45">
        <v>35.829681000000001</v>
      </c>
      <c r="G92" s="45">
        <v>35.682613000000003</v>
      </c>
      <c r="H92" s="45">
        <v>35.778049000000003</v>
      </c>
      <c r="I92" s="45">
        <v>35.970699000000003</v>
      </c>
      <c r="J92" s="45">
        <v>36.469802999999999</v>
      </c>
      <c r="K92" s="45">
        <v>37.239471000000002</v>
      </c>
      <c r="L92" s="45">
        <v>38.070853999999997</v>
      </c>
      <c r="M92" s="45">
        <v>38.904254999999999</v>
      </c>
      <c r="N92" s="45">
        <v>40.277724999999997</v>
      </c>
      <c r="O92" s="45">
        <v>41.548606999999997</v>
      </c>
      <c r="P92" s="45">
        <v>42.420836999999999</v>
      </c>
      <c r="Q92" s="45">
        <v>43.531005999999998</v>
      </c>
      <c r="R92" s="45">
        <v>44.662574999999997</v>
      </c>
      <c r="S92" s="45">
        <v>46.012588999999998</v>
      </c>
      <c r="T92" s="45">
        <v>47.266869</v>
      </c>
      <c r="U92" s="45">
        <v>48.525996999999997</v>
      </c>
      <c r="V92" s="45">
        <v>49.775635000000001</v>
      </c>
      <c r="W92" s="45">
        <v>50.926758</v>
      </c>
      <c r="X92" s="45">
        <v>52.105659000000003</v>
      </c>
      <c r="Y92" s="45">
        <v>53.247463000000003</v>
      </c>
      <c r="Z92" s="45">
        <v>54.400368</v>
      </c>
      <c r="AA92" s="45">
        <v>55.375427000000002</v>
      </c>
      <c r="AB92" s="45">
        <v>56.220759999999999</v>
      </c>
      <c r="AC92" s="45">
        <v>57.363804000000002</v>
      </c>
      <c r="AD92" s="45">
        <v>58.272151999999998</v>
      </c>
      <c r="AE92" s="45">
        <v>59.05735</v>
      </c>
      <c r="AF92" s="46">
        <v>1.7163999999999999E-2</v>
      </c>
      <c r="AG92" s="36"/>
    </row>
    <row r="93" spans="1:33" ht="15" customHeight="1" x14ac:dyDescent="0.3">
      <c r="A93" s="34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spans="1:33" ht="15" customHeight="1" x14ac:dyDescent="0.3">
      <c r="A94" s="34"/>
      <c r="B94" s="55" t="s">
        <v>79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1:33" ht="15" customHeight="1" x14ac:dyDescent="0.3">
      <c r="A95" s="35" t="s">
        <v>150</v>
      </c>
      <c r="B95" s="44" t="s">
        <v>65</v>
      </c>
      <c r="C95" s="45">
        <v>23.435020000000002</v>
      </c>
      <c r="D95" s="45">
        <v>22.356629999999999</v>
      </c>
      <c r="E95" s="45">
        <v>20.487594999999999</v>
      </c>
      <c r="F95" s="45">
        <v>18.533535000000001</v>
      </c>
      <c r="G95" s="45">
        <v>17.736046000000002</v>
      </c>
      <c r="H95" s="45">
        <v>17.477232000000001</v>
      </c>
      <c r="I95" s="45">
        <v>17.740955</v>
      </c>
      <c r="J95" s="45">
        <v>18.286145999999999</v>
      </c>
      <c r="K95" s="45">
        <v>19.090485000000001</v>
      </c>
      <c r="L95" s="45">
        <v>20.049326000000001</v>
      </c>
      <c r="M95" s="45">
        <v>21.186962000000001</v>
      </c>
      <c r="N95" s="45">
        <v>22.464024999999999</v>
      </c>
      <c r="O95" s="45">
        <v>23.655508000000001</v>
      </c>
      <c r="P95" s="45">
        <v>24.597995999999998</v>
      </c>
      <c r="Q95" s="45">
        <v>25.405923999999999</v>
      </c>
      <c r="R95" s="45">
        <v>26.269162999999999</v>
      </c>
      <c r="S95" s="45">
        <v>27.429414999999999</v>
      </c>
      <c r="T95" s="45">
        <v>28.034966000000001</v>
      </c>
      <c r="U95" s="45">
        <v>29.178497</v>
      </c>
      <c r="V95" s="45">
        <v>30.24905</v>
      </c>
      <c r="W95" s="45">
        <v>31.111232999999999</v>
      </c>
      <c r="X95" s="45">
        <v>31.816524999999999</v>
      </c>
      <c r="Y95" s="45">
        <v>32.450352000000002</v>
      </c>
      <c r="Z95" s="45">
        <v>33.311852000000002</v>
      </c>
      <c r="AA95" s="45">
        <v>34.086624</v>
      </c>
      <c r="AB95" s="45">
        <v>34.970641999999998</v>
      </c>
      <c r="AC95" s="45">
        <v>36.006217999999997</v>
      </c>
      <c r="AD95" s="45">
        <v>36.842278</v>
      </c>
      <c r="AE95" s="45">
        <v>37.636386999999999</v>
      </c>
      <c r="AF95" s="46">
        <v>1.7062999999999998E-2</v>
      </c>
      <c r="AG95" s="36"/>
    </row>
    <row r="96" spans="1:33" ht="15" customHeight="1" x14ac:dyDescent="0.3">
      <c r="A96" s="35" t="s">
        <v>151</v>
      </c>
      <c r="B96" s="44" t="s">
        <v>67</v>
      </c>
      <c r="C96" s="45">
        <v>35.187302000000003</v>
      </c>
      <c r="D96" s="45">
        <v>34.160721000000002</v>
      </c>
      <c r="E96" s="45">
        <v>32.510654000000002</v>
      </c>
      <c r="F96" s="45">
        <v>30.122333999999999</v>
      </c>
      <c r="G96" s="45">
        <v>28.893148</v>
      </c>
      <c r="H96" s="45">
        <v>27.659189000000001</v>
      </c>
      <c r="I96" s="45">
        <v>26.532314</v>
      </c>
      <c r="J96" s="45">
        <v>27.228542000000001</v>
      </c>
      <c r="K96" s="45">
        <v>27.844920999999999</v>
      </c>
      <c r="L96" s="45">
        <v>28.691835000000001</v>
      </c>
      <c r="M96" s="45">
        <v>29.480526000000001</v>
      </c>
      <c r="N96" s="45">
        <v>30.336335999999999</v>
      </c>
      <c r="O96" s="45">
        <v>31.138449000000001</v>
      </c>
      <c r="P96" s="45">
        <v>32.100211999999999</v>
      </c>
      <c r="Q96" s="45">
        <v>32.878376000000003</v>
      </c>
      <c r="R96" s="45">
        <v>33.792220999999998</v>
      </c>
      <c r="S96" s="45">
        <v>34.671123999999999</v>
      </c>
      <c r="T96" s="45">
        <v>35.505093000000002</v>
      </c>
      <c r="U96" s="45">
        <v>36.380726000000003</v>
      </c>
      <c r="V96" s="45">
        <v>37.452629000000002</v>
      </c>
      <c r="W96" s="45">
        <v>38.299540999999998</v>
      </c>
      <c r="X96" s="45">
        <v>39.380600000000001</v>
      </c>
      <c r="Y96" s="45">
        <v>40.156269000000002</v>
      </c>
      <c r="Z96" s="45">
        <v>41.188437999999998</v>
      </c>
      <c r="AA96" s="45">
        <v>42.553871000000001</v>
      </c>
      <c r="AB96" s="45">
        <v>43.609371000000003</v>
      </c>
      <c r="AC96" s="45">
        <v>44.728596000000003</v>
      </c>
      <c r="AD96" s="45">
        <v>45.946964000000001</v>
      </c>
      <c r="AE96" s="45">
        <v>47.070819999999998</v>
      </c>
      <c r="AF96" s="46">
        <v>1.0446E-2</v>
      </c>
      <c r="AG96" s="36"/>
    </row>
    <row r="97" spans="1:33" ht="15" customHeight="1" x14ac:dyDescent="0.3">
      <c r="A97" s="35" t="s">
        <v>152</v>
      </c>
      <c r="B97" s="44" t="s">
        <v>76</v>
      </c>
      <c r="C97" s="45">
        <v>13.34515</v>
      </c>
      <c r="D97" s="45">
        <v>8.8473620000000004</v>
      </c>
      <c r="E97" s="45">
        <v>10.847251</v>
      </c>
      <c r="F97" s="45">
        <v>11.701765</v>
      </c>
      <c r="G97" s="45">
        <v>13.668666</v>
      </c>
      <c r="H97" s="45">
        <v>15.834412</v>
      </c>
      <c r="I97" s="45">
        <v>18.055012000000001</v>
      </c>
      <c r="J97" s="45">
        <v>18.550280000000001</v>
      </c>
      <c r="K97" s="45">
        <v>19.090975</v>
      </c>
      <c r="L97" s="45">
        <v>19.679285</v>
      </c>
      <c r="M97" s="45">
        <v>20.283073000000002</v>
      </c>
      <c r="N97" s="45">
        <v>20.912044999999999</v>
      </c>
      <c r="O97" s="45">
        <v>21.573601</v>
      </c>
      <c r="P97" s="45">
        <v>22.25563</v>
      </c>
      <c r="Q97" s="45">
        <v>22.905643000000001</v>
      </c>
      <c r="R97" s="45">
        <v>23.566257</v>
      </c>
      <c r="S97" s="45">
        <v>24.262720000000002</v>
      </c>
      <c r="T97" s="45">
        <v>24.90963</v>
      </c>
      <c r="U97" s="45">
        <v>25.616434000000002</v>
      </c>
      <c r="V97" s="45">
        <v>26.404326999999999</v>
      </c>
      <c r="W97" s="45">
        <v>27.034216000000001</v>
      </c>
      <c r="X97" s="45">
        <v>27.773752000000002</v>
      </c>
      <c r="Y97" s="45">
        <v>28.398886000000001</v>
      </c>
      <c r="Z97" s="45">
        <v>29.163754000000001</v>
      </c>
      <c r="AA97" s="45">
        <v>30.157468999999999</v>
      </c>
      <c r="AB97" s="45">
        <v>30.882546999999999</v>
      </c>
      <c r="AC97" s="45">
        <v>31.831925999999999</v>
      </c>
      <c r="AD97" s="45">
        <v>32.756706000000001</v>
      </c>
      <c r="AE97" s="45">
        <v>33.688113999999999</v>
      </c>
      <c r="AF97" s="46">
        <v>3.3624000000000001E-2</v>
      </c>
      <c r="AG97" s="36"/>
    </row>
    <row r="98" spans="1:33" ht="15" customHeight="1" x14ac:dyDescent="0.3">
      <c r="A98" s="35" t="s">
        <v>153</v>
      </c>
      <c r="B98" s="44" t="s">
        <v>84</v>
      </c>
      <c r="C98" s="45">
        <v>7.3309170000000003</v>
      </c>
      <c r="D98" s="45">
        <v>6.5292260000000004</v>
      </c>
      <c r="E98" s="45">
        <v>5.5049089999999996</v>
      </c>
      <c r="F98" s="45">
        <v>5.0050929999999996</v>
      </c>
      <c r="G98" s="45">
        <v>4.6300290000000004</v>
      </c>
      <c r="H98" s="45">
        <v>4.4582369999999996</v>
      </c>
      <c r="I98" s="45">
        <v>4.4578319999999998</v>
      </c>
      <c r="J98" s="45">
        <v>4.573442</v>
      </c>
      <c r="K98" s="45">
        <v>4.7465190000000002</v>
      </c>
      <c r="L98" s="45">
        <v>4.985881</v>
      </c>
      <c r="M98" s="45">
        <v>5.2409059999999998</v>
      </c>
      <c r="N98" s="45">
        <v>5.5704409999999998</v>
      </c>
      <c r="O98" s="45">
        <v>5.8719799999999998</v>
      </c>
      <c r="P98" s="45">
        <v>6.1609559999999997</v>
      </c>
      <c r="Q98" s="45">
        <v>6.3292349999999997</v>
      </c>
      <c r="R98" s="45">
        <v>6.5343970000000002</v>
      </c>
      <c r="S98" s="45">
        <v>6.859877</v>
      </c>
      <c r="T98" s="45">
        <v>6.928579</v>
      </c>
      <c r="U98" s="45">
        <v>7.2654500000000004</v>
      </c>
      <c r="V98" s="45">
        <v>7.5478690000000004</v>
      </c>
      <c r="W98" s="45">
        <v>7.7087849999999998</v>
      </c>
      <c r="X98" s="45">
        <v>7.8021539999999998</v>
      </c>
      <c r="Y98" s="45">
        <v>7.8996890000000004</v>
      </c>
      <c r="Z98" s="45">
        <v>8.0796670000000006</v>
      </c>
      <c r="AA98" s="45">
        <v>8.2079559999999994</v>
      </c>
      <c r="AB98" s="45">
        <v>8.3412450000000007</v>
      </c>
      <c r="AC98" s="45">
        <v>8.4794230000000006</v>
      </c>
      <c r="AD98" s="45">
        <v>8.6050090000000008</v>
      </c>
      <c r="AE98" s="45">
        <v>8.8054380000000005</v>
      </c>
      <c r="AF98" s="46">
        <v>6.5669999999999999E-3</v>
      </c>
      <c r="AG98" s="36"/>
    </row>
    <row r="99" spans="1:33" ht="15" customHeight="1" x14ac:dyDescent="0.3">
      <c r="A99" s="35" t="s">
        <v>154</v>
      </c>
      <c r="B99" s="44" t="s">
        <v>86</v>
      </c>
      <c r="C99" s="45">
        <v>5.4304249999999996</v>
      </c>
      <c r="D99" s="45">
        <v>5.6718549999999999</v>
      </c>
      <c r="E99" s="45">
        <v>6.0581950000000004</v>
      </c>
      <c r="F99" s="45">
        <v>6.1873269999999998</v>
      </c>
      <c r="G99" s="45">
        <v>6.3529850000000003</v>
      </c>
      <c r="H99" s="45">
        <v>6.5475529999999997</v>
      </c>
      <c r="I99" s="45">
        <v>6.7355179999999999</v>
      </c>
      <c r="J99" s="45">
        <v>6.9377659999999999</v>
      </c>
      <c r="K99" s="45">
        <v>7.2191280000000004</v>
      </c>
      <c r="L99" s="45">
        <v>7.4615220000000004</v>
      </c>
      <c r="M99" s="45">
        <v>7.7608199999999998</v>
      </c>
      <c r="N99" s="45">
        <v>8.038456</v>
      </c>
      <c r="O99" s="45">
        <v>8.3211580000000005</v>
      </c>
      <c r="P99" s="45">
        <v>8.6185759999999991</v>
      </c>
      <c r="Q99" s="45">
        <v>8.9246759999999998</v>
      </c>
      <c r="R99" s="45">
        <v>9.2558539999999994</v>
      </c>
      <c r="S99" s="45">
        <v>9.5669219999999999</v>
      </c>
      <c r="T99" s="45">
        <v>9.8821329999999996</v>
      </c>
      <c r="U99" s="45">
        <v>10.210374</v>
      </c>
      <c r="V99" s="45">
        <v>10.516508999999999</v>
      </c>
      <c r="W99" s="45">
        <v>10.829219999999999</v>
      </c>
      <c r="X99" s="45">
        <v>11.157767</v>
      </c>
      <c r="Y99" s="45">
        <v>11.502295999999999</v>
      </c>
      <c r="Z99" s="45">
        <v>11.867922999999999</v>
      </c>
      <c r="AA99" s="45">
        <v>12.240033</v>
      </c>
      <c r="AB99" s="45">
        <v>12.622064999999999</v>
      </c>
      <c r="AC99" s="45">
        <v>13.021750000000001</v>
      </c>
      <c r="AD99" s="45">
        <v>13.425182</v>
      </c>
      <c r="AE99" s="45">
        <v>13.854766</v>
      </c>
      <c r="AF99" s="46">
        <v>3.4015999999999998E-2</v>
      </c>
      <c r="AG99" s="36"/>
    </row>
    <row r="100" spans="1:33" ht="15" customHeight="1" x14ac:dyDescent="0.3">
      <c r="A100" s="35" t="s">
        <v>155</v>
      </c>
      <c r="B100" s="44" t="s">
        <v>88</v>
      </c>
      <c r="C100" s="45">
        <v>2.7995990000000002</v>
      </c>
      <c r="D100" s="45">
        <v>2.8529049999999998</v>
      </c>
      <c r="E100" s="45">
        <v>3.0040049999999998</v>
      </c>
      <c r="F100" s="45">
        <v>3.1377269999999999</v>
      </c>
      <c r="G100" s="45">
        <v>3.1961529999999998</v>
      </c>
      <c r="H100" s="45">
        <v>3.2463419999999998</v>
      </c>
      <c r="I100" s="45">
        <v>3.2951519999999999</v>
      </c>
      <c r="J100" s="45">
        <v>3.3557399999999999</v>
      </c>
      <c r="K100" s="45">
        <v>3.4231340000000001</v>
      </c>
      <c r="L100" s="45">
        <v>3.4954710000000002</v>
      </c>
      <c r="M100" s="45">
        <v>3.5673729999999999</v>
      </c>
      <c r="N100" s="45">
        <v>3.6512199999999999</v>
      </c>
      <c r="O100" s="45">
        <v>3.7400479999999998</v>
      </c>
      <c r="P100" s="45">
        <v>3.829993</v>
      </c>
      <c r="Q100" s="45">
        <v>3.9235730000000002</v>
      </c>
      <c r="R100" s="45">
        <v>4.0266419999999998</v>
      </c>
      <c r="S100" s="45">
        <v>4.1348919999999998</v>
      </c>
      <c r="T100" s="45">
        <v>4.2378229999999997</v>
      </c>
      <c r="U100" s="45">
        <v>4.336017</v>
      </c>
      <c r="V100" s="45">
        <v>4.4367539999999996</v>
      </c>
      <c r="W100" s="45">
        <v>4.536867</v>
      </c>
      <c r="X100" s="45">
        <v>4.6450690000000003</v>
      </c>
      <c r="Y100" s="45">
        <v>4.7515689999999999</v>
      </c>
      <c r="Z100" s="45">
        <v>4.8683480000000001</v>
      </c>
      <c r="AA100" s="45">
        <v>4.9891750000000004</v>
      </c>
      <c r="AB100" s="45">
        <v>5.1152439999999997</v>
      </c>
      <c r="AC100" s="45">
        <v>5.2472009999999996</v>
      </c>
      <c r="AD100" s="45">
        <v>5.3670499999999999</v>
      </c>
      <c r="AE100" s="45">
        <v>5.497344</v>
      </c>
      <c r="AF100" s="46">
        <v>2.4392E-2</v>
      </c>
      <c r="AG100" s="36"/>
    </row>
    <row r="101" spans="1:33" x14ac:dyDescent="0.3">
      <c r="A101" s="35" t="s">
        <v>156</v>
      </c>
      <c r="B101" s="44" t="s">
        <v>90</v>
      </c>
      <c r="C101" s="45" t="s">
        <v>91</v>
      </c>
      <c r="D101" s="45" t="s">
        <v>91</v>
      </c>
      <c r="E101" s="45" t="s">
        <v>91</v>
      </c>
      <c r="F101" s="45" t="s">
        <v>91</v>
      </c>
      <c r="G101" s="45" t="s">
        <v>91</v>
      </c>
      <c r="H101" s="45" t="s">
        <v>91</v>
      </c>
      <c r="I101" s="45" t="s">
        <v>91</v>
      </c>
      <c r="J101" s="45" t="s">
        <v>91</v>
      </c>
      <c r="K101" s="45" t="s">
        <v>91</v>
      </c>
      <c r="L101" s="45" t="s">
        <v>91</v>
      </c>
      <c r="M101" s="45" t="s">
        <v>91</v>
      </c>
      <c r="N101" s="45" t="s">
        <v>91</v>
      </c>
      <c r="O101" s="45" t="s">
        <v>91</v>
      </c>
      <c r="P101" s="45" t="s">
        <v>91</v>
      </c>
      <c r="Q101" s="45" t="s">
        <v>91</v>
      </c>
      <c r="R101" s="45" t="s">
        <v>91</v>
      </c>
      <c r="S101" s="45" t="s">
        <v>91</v>
      </c>
      <c r="T101" s="45" t="s">
        <v>91</v>
      </c>
      <c r="U101" s="45" t="s">
        <v>91</v>
      </c>
      <c r="V101" s="45" t="s">
        <v>91</v>
      </c>
      <c r="W101" s="45" t="s">
        <v>91</v>
      </c>
      <c r="X101" s="45" t="s">
        <v>91</v>
      </c>
      <c r="Y101" s="45" t="s">
        <v>91</v>
      </c>
      <c r="Z101" s="45" t="s">
        <v>91</v>
      </c>
      <c r="AA101" s="45" t="s">
        <v>91</v>
      </c>
      <c r="AB101" s="45" t="s">
        <v>91</v>
      </c>
      <c r="AC101" s="45" t="s">
        <v>91</v>
      </c>
      <c r="AD101" s="45" t="s">
        <v>91</v>
      </c>
      <c r="AE101" s="45" t="s">
        <v>91</v>
      </c>
      <c r="AF101" s="46" t="s">
        <v>91</v>
      </c>
      <c r="AG101" s="36" t="s">
        <v>91</v>
      </c>
    </row>
    <row r="102" spans="1:33" x14ac:dyDescent="0.3">
      <c r="A102" s="35" t="s">
        <v>157</v>
      </c>
      <c r="B102" s="44" t="s">
        <v>71</v>
      </c>
      <c r="C102" s="45">
        <v>24.421028</v>
      </c>
      <c r="D102" s="45">
        <v>24.96011</v>
      </c>
      <c r="E102" s="45">
        <v>23.644715999999999</v>
      </c>
      <c r="F102" s="45">
        <v>22.842644</v>
      </c>
      <c r="G102" s="45">
        <v>22.436012000000002</v>
      </c>
      <c r="H102" s="45">
        <v>22.280173999999999</v>
      </c>
      <c r="I102" s="45">
        <v>22.339473999999999</v>
      </c>
      <c r="J102" s="45">
        <v>22.598642000000002</v>
      </c>
      <c r="K102" s="45">
        <v>23.043182000000002</v>
      </c>
      <c r="L102" s="45">
        <v>23.561640000000001</v>
      </c>
      <c r="M102" s="45">
        <v>24.117135999999999</v>
      </c>
      <c r="N102" s="45">
        <v>25.107063</v>
      </c>
      <c r="O102" s="45">
        <v>25.837824000000001</v>
      </c>
      <c r="P102" s="45">
        <v>26.373349999999999</v>
      </c>
      <c r="Q102" s="45">
        <v>27.152471999999999</v>
      </c>
      <c r="R102" s="45">
        <v>27.991188000000001</v>
      </c>
      <c r="S102" s="45">
        <v>28.998522000000001</v>
      </c>
      <c r="T102" s="45">
        <v>29.97673</v>
      </c>
      <c r="U102" s="45">
        <v>30.894469999999998</v>
      </c>
      <c r="V102" s="45">
        <v>31.797815</v>
      </c>
      <c r="W102" s="45">
        <v>32.53051</v>
      </c>
      <c r="X102" s="45">
        <v>33.213847999999999</v>
      </c>
      <c r="Y102" s="45">
        <v>33.968719</v>
      </c>
      <c r="Z102" s="45">
        <v>34.676791999999999</v>
      </c>
      <c r="AA102" s="45">
        <v>35.274234999999997</v>
      </c>
      <c r="AB102" s="45">
        <v>35.878371999999999</v>
      </c>
      <c r="AC102" s="45">
        <v>36.606673999999998</v>
      </c>
      <c r="AD102" s="45">
        <v>37.244061000000002</v>
      </c>
      <c r="AE102" s="45">
        <v>37.78595</v>
      </c>
      <c r="AF102" s="46">
        <v>1.5710999999999999E-2</v>
      </c>
      <c r="AG102" s="36"/>
    </row>
    <row r="103" spans="1:33" ht="15" customHeight="1" x14ac:dyDescent="0.3">
      <c r="A103" s="34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spans="1:33" ht="15" customHeight="1" x14ac:dyDescent="0.3">
      <c r="A104" s="34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 spans="1:33" ht="15" customHeight="1" x14ac:dyDescent="0.3">
      <c r="A105" s="34"/>
      <c r="B105" s="55" t="s">
        <v>93</v>
      </c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 spans="1:33" ht="15" customHeight="1" x14ac:dyDescent="0.3">
      <c r="A106" s="35" t="s">
        <v>158</v>
      </c>
      <c r="B106" s="44" t="s">
        <v>65</v>
      </c>
      <c r="C106" s="45">
        <v>25.673756000000001</v>
      </c>
      <c r="D106" s="45">
        <v>25.126116</v>
      </c>
      <c r="E106" s="45">
        <v>23.972083999999999</v>
      </c>
      <c r="F106" s="45">
        <v>22.688417000000001</v>
      </c>
      <c r="G106" s="45">
        <v>22.262647999999999</v>
      </c>
      <c r="H106" s="45">
        <v>22.246663999999999</v>
      </c>
      <c r="I106" s="45">
        <v>22.646167999999999</v>
      </c>
      <c r="J106" s="45">
        <v>23.273523000000001</v>
      </c>
      <c r="K106" s="45">
        <v>24.112515999999999</v>
      </c>
      <c r="L106" s="45">
        <v>25.077665</v>
      </c>
      <c r="M106" s="45">
        <v>26.182877000000001</v>
      </c>
      <c r="N106" s="45">
        <v>27.400317999999999</v>
      </c>
      <c r="O106" s="45">
        <v>28.550802000000001</v>
      </c>
      <c r="P106" s="45">
        <v>29.507380999999999</v>
      </c>
      <c r="Q106" s="45">
        <v>30.364902000000001</v>
      </c>
      <c r="R106" s="45">
        <v>31.264492000000001</v>
      </c>
      <c r="S106" s="45">
        <v>32.390388000000002</v>
      </c>
      <c r="T106" s="45">
        <v>33.095917</v>
      </c>
      <c r="U106" s="45">
        <v>34.222808999999998</v>
      </c>
      <c r="V106" s="45">
        <v>35.294552000000003</v>
      </c>
      <c r="W106" s="45">
        <v>36.218792000000001</v>
      </c>
      <c r="X106" s="45">
        <v>37.040210999999999</v>
      </c>
      <c r="Y106" s="45">
        <v>37.820537999999999</v>
      </c>
      <c r="Z106" s="45">
        <v>38.804226</v>
      </c>
      <c r="AA106" s="45">
        <v>40.154991000000003</v>
      </c>
      <c r="AB106" s="45">
        <v>41.167042000000002</v>
      </c>
      <c r="AC106" s="45">
        <v>42.302405999999998</v>
      </c>
      <c r="AD106" s="45">
        <v>43.297089</v>
      </c>
      <c r="AE106" s="45">
        <v>44.274585999999999</v>
      </c>
      <c r="AF106" s="46">
        <v>1.9653E-2</v>
      </c>
      <c r="AG106" s="36"/>
    </row>
    <row r="107" spans="1:33" ht="15" customHeight="1" x14ac:dyDescent="0.3">
      <c r="A107" s="35" t="s">
        <v>159</v>
      </c>
      <c r="B107" s="44" t="s">
        <v>96</v>
      </c>
      <c r="C107" s="45">
        <v>38.155422000000002</v>
      </c>
      <c r="D107" s="45">
        <v>35.138969000000003</v>
      </c>
      <c r="E107" s="45">
        <v>34.57761</v>
      </c>
      <c r="F107" s="45">
        <v>32.976173000000003</v>
      </c>
      <c r="G107" s="45">
        <v>33.359932000000001</v>
      </c>
      <c r="H107" s="45">
        <v>33.896748000000002</v>
      </c>
      <c r="I107" s="45">
        <v>34.674334999999999</v>
      </c>
      <c r="J107" s="45">
        <v>35.525641999999998</v>
      </c>
      <c r="K107" s="45">
        <v>36.483246000000001</v>
      </c>
      <c r="L107" s="45">
        <v>37.289653999999999</v>
      </c>
      <c r="M107" s="45">
        <v>38.388846999999998</v>
      </c>
      <c r="N107" s="45">
        <v>39.432471999999997</v>
      </c>
      <c r="O107" s="45">
        <v>40.560032</v>
      </c>
      <c r="P107" s="45">
        <v>41.640037999999997</v>
      </c>
      <c r="Q107" s="45">
        <v>43.104500000000002</v>
      </c>
      <c r="R107" s="45">
        <v>44.169688999999998</v>
      </c>
      <c r="S107" s="45">
        <v>45.322249999999997</v>
      </c>
      <c r="T107" s="45">
        <v>46.550319999999999</v>
      </c>
      <c r="U107" s="45">
        <v>47.680573000000003</v>
      </c>
      <c r="V107" s="45">
        <v>48.776634000000001</v>
      </c>
      <c r="W107" s="45">
        <v>50.036262999999998</v>
      </c>
      <c r="X107" s="45">
        <v>50.996490000000001</v>
      </c>
      <c r="Y107" s="45">
        <v>52.537441000000001</v>
      </c>
      <c r="Z107" s="45">
        <v>53.805576000000002</v>
      </c>
      <c r="AA107" s="45">
        <v>56.541190999999998</v>
      </c>
      <c r="AB107" s="45">
        <v>57.901271999999999</v>
      </c>
      <c r="AC107" s="45">
        <v>59.805683000000002</v>
      </c>
      <c r="AD107" s="45">
        <v>61.428082000000003</v>
      </c>
      <c r="AE107" s="45">
        <v>63.500064999999999</v>
      </c>
      <c r="AF107" s="46">
        <v>1.8357999999999999E-2</v>
      </c>
      <c r="AG107" s="36"/>
    </row>
    <row r="108" spans="1:33" ht="15" customHeight="1" x14ac:dyDescent="0.3">
      <c r="A108" s="35" t="s">
        <v>160</v>
      </c>
      <c r="B108" s="44" t="s">
        <v>98</v>
      </c>
      <c r="C108" s="45">
        <v>34.785815999999997</v>
      </c>
      <c r="D108" s="45">
        <v>31.761756999999999</v>
      </c>
      <c r="E108" s="45">
        <v>29.500557000000001</v>
      </c>
      <c r="F108" s="45">
        <v>28.136593000000001</v>
      </c>
      <c r="G108" s="45">
        <v>28.431668999999999</v>
      </c>
      <c r="H108" s="45">
        <v>28.872221</v>
      </c>
      <c r="I108" s="45">
        <v>29.510045999999999</v>
      </c>
      <c r="J108" s="45">
        <v>30.210253000000002</v>
      </c>
      <c r="K108" s="45">
        <v>30.992207000000001</v>
      </c>
      <c r="L108" s="45">
        <v>31.656433</v>
      </c>
      <c r="M108" s="45">
        <v>32.552943999999997</v>
      </c>
      <c r="N108" s="45">
        <v>33.405845999999997</v>
      </c>
      <c r="O108" s="45">
        <v>34.324748999999997</v>
      </c>
      <c r="P108" s="45">
        <v>35.207287000000001</v>
      </c>
      <c r="Q108" s="45">
        <v>36.408394000000001</v>
      </c>
      <c r="R108" s="45">
        <v>37.279471999999998</v>
      </c>
      <c r="S108" s="45">
        <v>38.222057</v>
      </c>
      <c r="T108" s="45">
        <v>39.234305999999997</v>
      </c>
      <c r="U108" s="45">
        <v>40.164845</v>
      </c>
      <c r="V108" s="45">
        <v>41.068604000000001</v>
      </c>
      <c r="W108" s="45">
        <v>42.107441000000001</v>
      </c>
      <c r="X108" s="45">
        <v>42.901671999999998</v>
      </c>
      <c r="Y108" s="45">
        <v>44.183495000000001</v>
      </c>
      <c r="Z108" s="45">
        <v>45.233184999999999</v>
      </c>
      <c r="AA108" s="45">
        <v>47.590758999999998</v>
      </c>
      <c r="AB108" s="45">
        <v>48.719776000000003</v>
      </c>
      <c r="AC108" s="45">
        <v>50.296646000000003</v>
      </c>
      <c r="AD108" s="45">
        <v>51.640278000000002</v>
      </c>
      <c r="AE108" s="45">
        <v>53.353146000000002</v>
      </c>
      <c r="AF108" s="46">
        <v>1.5393E-2</v>
      </c>
      <c r="AG108" s="36"/>
    </row>
    <row r="109" spans="1:33" ht="15" customHeight="1" x14ac:dyDescent="0.3">
      <c r="A109" s="35" t="s">
        <v>161</v>
      </c>
      <c r="B109" s="44" t="s">
        <v>100</v>
      </c>
      <c r="C109" s="45">
        <v>26.739815</v>
      </c>
      <c r="D109" s="45">
        <v>23.500710999999999</v>
      </c>
      <c r="E109" s="45">
        <v>23.104317000000002</v>
      </c>
      <c r="F109" s="45">
        <v>21.990542999999999</v>
      </c>
      <c r="G109" s="45">
        <v>22.204429999999999</v>
      </c>
      <c r="H109" s="45">
        <v>22.419402999999999</v>
      </c>
      <c r="I109" s="45">
        <v>22.794266</v>
      </c>
      <c r="J109" s="45">
        <v>23.428768000000002</v>
      </c>
      <c r="K109" s="45">
        <v>23.978318999999999</v>
      </c>
      <c r="L109" s="45">
        <v>24.797031</v>
      </c>
      <c r="M109" s="45">
        <v>25.567731999999999</v>
      </c>
      <c r="N109" s="45">
        <v>26.286256999999999</v>
      </c>
      <c r="O109" s="45">
        <v>27.115189000000001</v>
      </c>
      <c r="P109" s="45">
        <v>27.960740999999999</v>
      </c>
      <c r="Q109" s="45">
        <v>28.743019</v>
      </c>
      <c r="R109" s="45">
        <v>29.563089000000002</v>
      </c>
      <c r="S109" s="45">
        <v>30.395921999999999</v>
      </c>
      <c r="T109" s="45">
        <v>31.20879</v>
      </c>
      <c r="U109" s="45">
        <v>32.088695999999999</v>
      </c>
      <c r="V109" s="45">
        <v>33.129855999999997</v>
      </c>
      <c r="W109" s="45">
        <v>33.955685000000003</v>
      </c>
      <c r="X109" s="45">
        <v>35.00074</v>
      </c>
      <c r="Y109" s="45">
        <v>35.742362999999997</v>
      </c>
      <c r="Z109" s="45">
        <v>36.840632999999997</v>
      </c>
      <c r="AA109" s="45">
        <v>38.270755999999999</v>
      </c>
      <c r="AB109" s="45">
        <v>39.262115000000001</v>
      </c>
      <c r="AC109" s="45">
        <v>40.314140000000002</v>
      </c>
      <c r="AD109" s="45">
        <v>41.469558999999997</v>
      </c>
      <c r="AE109" s="45">
        <v>42.525970000000001</v>
      </c>
      <c r="AF109" s="46">
        <v>1.6708000000000001E-2</v>
      </c>
      <c r="AG109" s="36"/>
    </row>
    <row r="110" spans="1:33" ht="15" customHeight="1" x14ac:dyDescent="0.3">
      <c r="A110" s="35" t="s">
        <v>162</v>
      </c>
      <c r="B110" s="44" t="s">
        <v>102</v>
      </c>
      <c r="C110" s="45">
        <v>37.123702999999999</v>
      </c>
      <c r="D110" s="45">
        <v>34.215778</v>
      </c>
      <c r="E110" s="45">
        <v>33.250453999999998</v>
      </c>
      <c r="F110" s="45">
        <v>31.674195999999998</v>
      </c>
      <c r="G110" s="45">
        <v>31.318249000000002</v>
      </c>
      <c r="H110" s="45">
        <v>30.929749000000001</v>
      </c>
      <c r="I110" s="45">
        <v>30.700182000000002</v>
      </c>
      <c r="J110" s="45">
        <v>31.487065999999999</v>
      </c>
      <c r="K110" s="45">
        <v>32.220764000000003</v>
      </c>
      <c r="L110" s="45">
        <v>33.151676000000002</v>
      </c>
      <c r="M110" s="45">
        <v>34.071334999999998</v>
      </c>
      <c r="N110" s="45">
        <v>35.032707000000002</v>
      </c>
      <c r="O110" s="45">
        <v>35.935519999999997</v>
      </c>
      <c r="P110" s="45">
        <v>37.058163</v>
      </c>
      <c r="Q110" s="45">
        <v>37.920760999999999</v>
      </c>
      <c r="R110" s="45">
        <v>38.966869000000003</v>
      </c>
      <c r="S110" s="45">
        <v>39.976298999999997</v>
      </c>
      <c r="T110" s="45">
        <v>40.918312</v>
      </c>
      <c r="U110" s="45">
        <v>41.903869999999998</v>
      </c>
      <c r="V110" s="45">
        <v>43.109046999999997</v>
      </c>
      <c r="W110" s="45">
        <v>44.099266</v>
      </c>
      <c r="X110" s="45">
        <v>45.305222000000001</v>
      </c>
      <c r="Y110" s="45">
        <v>46.194873999999999</v>
      </c>
      <c r="Z110" s="45">
        <v>47.366039000000001</v>
      </c>
      <c r="AA110" s="45">
        <v>49.507373999999999</v>
      </c>
      <c r="AB110" s="45">
        <v>50.729691000000003</v>
      </c>
      <c r="AC110" s="45">
        <v>52.033237</v>
      </c>
      <c r="AD110" s="45">
        <v>53.401138000000003</v>
      </c>
      <c r="AE110" s="45">
        <v>54.706234000000002</v>
      </c>
      <c r="AF110" s="46">
        <v>1.3944E-2</v>
      </c>
      <c r="AG110" s="36"/>
    </row>
    <row r="111" spans="1:33" ht="15" customHeight="1" x14ac:dyDescent="0.3">
      <c r="A111" s="35" t="s">
        <v>163</v>
      </c>
      <c r="B111" s="44" t="s">
        <v>76</v>
      </c>
      <c r="C111" s="45">
        <v>15.39181</v>
      </c>
      <c r="D111" s="45">
        <v>16.19483</v>
      </c>
      <c r="E111" s="45">
        <v>18.455704000000001</v>
      </c>
      <c r="F111" s="45">
        <v>17.885569</v>
      </c>
      <c r="G111" s="45">
        <v>18.287172000000002</v>
      </c>
      <c r="H111" s="45">
        <v>18.767561000000001</v>
      </c>
      <c r="I111" s="45">
        <v>19.210927999999999</v>
      </c>
      <c r="J111" s="45">
        <v>19.72588</v>
      </c>
      <c r="K111" s="45">
        <v>20.287731000000001</v>
      </c>
      <c r="L111" s="45">
        <v>20.848289000000001</v>
      </c>
      <c r="M111" s="45">
        <v>21.450903</v>
      </c>
      <c r="N111" s="45">
        <v>22.081071999999999</v>
      </c>
      <c r="O111" s="45">
        <v>22.733944000000001</v>
      </c>
      <c r="P111" s="45">
        <v>23.422851999999999</v>
      </c>
      <c r="Q111" s="45">
        <v>24.042952</v>
      </c>
      <c r="R111" s="45">
        <v>24.710025999999999</v>
      </c>
      <c r="S111" s="45">
        <v>25.400791000000002</v>
      </c>
      <c r="T111" s="45">
        <v>26.065795999999999</v>
      </c>
      <c r="U111" s="45">
        <v>26.746497999999999</v>
      </c>
      <c r="V111" s="45">
        <v>27.515944000000001</v>
      </c>
      <c r="W111" s="45">
        <v>28.178975999999999</v>
      </c>
      <c r="X111" s="45">
        <v>28.950792</v>
      </c>
      <c r="Y111" s="45">
        <v>29.614688999999998</v>
      </c>
      <c r="Z111" s="45">
        <v>30.381294</v>
      </c>
      <c r="AA111" s="45">
        <v>31.414185</v>
      </c>
      <c r="AB111" s="45">
        <v>32.154549000000003</v>
      </c>
      <c r="AC111" s="45">
        <v>33.114384000000001</v>
      </c>
      <c r="AD111" s="45">
        <v>34.071102000000003</v>
      </c>
      <c r="AE111" s="45">
        <v>35.065899000000002</v>
      </c>
      <c r="AF111" s="46">
        <v>2.9843999999999999E-2</v>
      </c>
      <c r="AG111" s="36"/>
    </row>
    <row r="112" spans="1:33" ht="15" customHeight="1" x14ac:dyDescent="0.3">
      <c r="A112" s="35" t="s">
        <v>164</v>
      </c>
      <c r="B112" s="44" t="s">
        <v>105</v>
      </c>
      <c r="C112" s="48">
        <v>17.54928</v>
      </c>
      <c r="D112" s="48">
        <v>16.972200000000001</v>
      </c>
      <c r="E112" s="48">
        <v>15.881209999999999</v>
      </c>
      <c r="F112" s="48">
        <v>15.590877000000001</v>
      </c>
      <c r="G112" s="48">
        <v>15.150073000000001</v>
      </c>
      <c r="H112" s="48">
        <v>15.077931</v>
      </c>
      <c r="I112" s="48">
        <v>15.114409999999999</v>
      </c>
      <c r="J112" s="48">
        <v>15.289465999999999</v>
      </c>
      <c r="K112" s="48">
        <v>15.541657000000001</v>
      </c>
      <c r="L112" s="48">
        <v>15.883558000000001</v>
      </c>
      <c r="M112" s="48">
        <v>16.221067000000001</v>
      </c>
      <c r="N112" s="48">
        <v>16.659867999999999</v>
      </c>
      <c r="O112" s="48">
        <v>17.05481</v>
      </c>
      <c r="P112" s="48">
        <v>17.415800000000001</v>
      </c>
      <c r="Q112" s="48">
        <v>17.633558000000001</v>
      </c>
      <c r="R112" s="48">
        <v>17.873118999999999</v>
      </c>
      <c r="S112" s="48">
        <v>18.259066000000001</v>
      </c>
      <c r="T112" s="48">
        <v>18.358405999999999</v>
      </c>
      <c r="U112" s="48">
        <v>18.734629000000002</v>
      </c>
      <c r="V112" s="48">
        <v>19.061485000000001</v>
      </c>
      <c r="W112" s="48">
        <v>19.275113999999999</v>
      </c>
      <c r="X112" s="48">
        <v>19.433617000000002</v>
      </c>
      <c r="Y112" s="48">
        <v>19.591116</v>
      </c>
      <c r="Z112" s="48">
        <v>19.925363999999998</v>
      </c>
      <c r="AA112" s="48">
        <v>21.447821000000001</v>
      </c>
      <c r="AB112" s="48">
        <v>21.667884999999998</v>
      </c>
      <c r="AC112" s="48">
        <v>21.905306</v>
      </c>
      <c r="AD112" s="48">
        <v>22.201149000000001</v>
      </c>
      <c r="AE112" s="48">
        <v>22.578299999999999</v>
      </c>
      <c r="AF112" s="49">
        <v>9.0399999999999994E-3</v>
      </c>
      <c r="AG112" s="36"/>
    </row>
    <row r="113" spans="1:33" ht="15" customHeight="1" x14ac:dyDescent="0.3">
      <c r="A113" s="35" t="s">
        <v>165</v>
      </c>
      <c r="B113" s="44" t="s">
        <v>71</v>
      </c>
      <c r="C113" s="45">
        <v>42.503979000000001</v>
      </c>
      <c r="D113" s="45">
        <v>45.833939000000001</v>
      </c>
      <c r="E113" s="45">
        <v>45.549683000000002</v>
      </c>
      <c r="F113" s="45">
        <v>43.892589999999998</v>
      </c>
      <c r="G113" s="45">
        <v>44.413597000000003</v>
      </c>
      <c r="H113" s="45">
        <v>45.294913999999999</v>
      </c>
      <c r="I113" s="45">
        <v>46.171925000000002</v>
      </c>
      <c r="J113" s="45">
        <v>47.164042999999999</v>
      </c>
      <c r="K113" s="45">
        <v>48.226849000000001</v>
      </c>
      <c r="L113" s="45">
        <v>49.574916999999999</v>
      </c>
      <c r="M113" s="45">
        <v>51.012875000000001</v>
      </c>
      <c r="N113" s="45">
        <v>52.739711999999997</v>
      </c>
      <c r="O113" s="45">
        <v>54.387337000000002</v>
      </c>
      <c r="P113" s="45">
        <v>55.935786999999998</v>
      </c>
      <c r="Q113" s="45">
        <v>57.241295000000001</v>
      </c>
      <c r="R113" s="45">
        <v>58.983448000000003</v>
      </c>
      <c r="S113" s="45">
        <v>60.685164999999998</v>
      </c>
      <c r="T113" s="45">
        <v>62.627850000000002</v>
      </c>
      <c r="U113" s="45">
        <v>64.344666000000004</v>
      </c>
      <c r="V113" s="45">
        <v>66.164664999999999</v>
      </c>
      <c r="W113" s="45">
        <v>67.661811999999998</v>
      </c>
      <c r="X113" s="45">
        <v>69.160797000000002</v>
      </c>
      <c r="Y113" s="45">
        <v>70.703117000000006</v>
      </c>
      <c r="Z113" s="45">
        <v>72.438582999999994</v>
      </c>
      <c r="AA113" s="45">
        <v>74.334739999999996</v>
      </c>
      <c r="AB113" s="45">
        <v>75.848502999999994</v>
      </c>
      <c r="AC113" s="45">
        <v>77.671402</v>
      </c>
      <c r="AD113" s="45">
        <v>78.670670000000001</v>
      </c>
      <c r="AE113" s="45">
        <v>79.870979000000005</v>
      </c>
      <c r="AF113" s="46">
        <v>2.2785E-2</v>
      </c>
      <c r="AG113" s="36"/>
    </row>
    <row r="114" spans="1:33" ht="15" customHeight="1" x14ac:dyDescent="0.3">
      <c r="A114" s="34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spans="1:33" ht="15" customHeight="1" x14ac:dyDescent="0.3">
      <c r="A115" s="34"/>
      <c r="B115" s="55" t="s">
        <v>107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 spans="1:33" ht="15" customHeight="1" x14ac:dyDescent="0.3">
      <c r="A116" s="35" t="s">
        <v>166</v>
      </c>
      <c r="B116" s="44" t="s">
        <v>67</v>
      </c>
      <c r="C116" s="45">
        <v>35.259407000000003</v>
      </c>
      <c r="D116" s="45">
        <v>34.269008999999997</v>
      </c>
      <c r="E116" s="45">
        <v>32.765411</v>
      </c>
      <c r="F116" s="45">
        <v>30.383576999999999</v>
      </c>
      <c r="G116" s="45">
        <v>29.2376</v>
      </c>
      <c r="H116" s="45">
        <v>28.032406000000002</v>
      </c>
      <c r="I116" s="45">
        <v>26.865120000000001</v>
      </c>
      <c r="J116" s="45">
        <v>27.668533</v>
      </c>
      <c r="K116" s="45">
        <v>28.455449999999999</v>
      </c>
      <c r="L116" s="45">
        <v>29.090471000000001</v>
      </c>
      <c r="M116" s="45">
        <v>29.901721999999999</v>
      </c>
      <c r="N116" s="45">
        <v>30.598248999999999</v>
      </c>
      <c r="O116" s="45">
        <v>31.515294999999998</v>
      </c>
      <c r="P116" s="45">
        <v>32.383910999999998</v>
      </c>
      <c r="Q116" s="45">
        <v>33.228850999999999</v>
      </c>
      <c r="R116" s="45">
        <v>34.043925999999999</v>
      </c>
      <c r="S116" s="45">
        <v>34.855010999999998</v>
      </c>
      <c r="T116" s="45">
        <v>35.732315</v>
      </c>
      <c r="U116" s="45">
        <v>36.671261000000001</v>
      </c>
      <c r="V116" s="45">
        <v>37.740310999999998</v>
      </c>
      <c r="W116" s="45">
        <v>38.580008999999997</v>
      </c>
      <c r="X116" s="45">
        <v>39.647185999999998</v>
      </c>
      <c r="Y116" s="45">
        <v>40.466434</v>
      </c>
      <c r="Z116" s="45">
        <v>41.605182999999997</v>
      </c>
      <c r="AA116" s="45">
        <v>43.006217999999997</v>
      </c>
      <c r="AB116" s="45">
        <v>44.095973999999998</v>
      </c>
      <c r="AC116" s="45">
        <v>45.241764000000003</v>
      </c>
      <c r="AD116" s="45">
        <v>46.551720000000003</v>
      </c>
      <c r="AE116" s="45">
        <v>47.688811999999999</v>
      </c>
      <c r="AF116" s="46">
        <v>1.0843E-2</v>
      </c>
      <c r="AG116" s="36"/>
    </row>
    <row r="117" spans="1:33" ht="15" customHeight="1" x14ac:dyDescent="0.3">
      <c r="A117" s="35" t="s">
        <v>167</v>
      </c>
      <c r="B117" s="44" t="s">
        <v>76</v>
      </c>
      <c r="C117" s="45">
        <v>21.746656000000002</v>
      </c>
      <c r="D117" s="45">
        <v>19.351803</v>
      </c>
      <c r="E117" s="45">
        <v>19.668565999999998</v>
      </c>
      <c r="F117" s="45">
        <v>18.99427</v>
      </c>
      <c r="G117" s="45">
        <v>19.36524</v>
      </c>
      <c r="H117" s="45">
        <v>19.845839999999999</v>
      </c>
      <c r="I117" s="45">
        <v>20.268340999999999</v>
      </c>
      <c r="J117" s="45">
        <v>20.782347000000001</v>
      </c>
      <c r="K117" s="45">
        <v>21.344961000000001</v>
      </c>
      <c r="L117" s="45">
        <v>21.885960000000001</v>
      </c>
      <c r="M117" s="45">
        <v>22.496748</v>
      </c>
      <c r="N117" s="45">
        <v>23.127866999999998</v>
      </c>
      <c r="O117" s="45">
        <v>23.776751999999998</v>
      </c>
      <c r="P117" s="45">
        <v>24.495305999999999</v>
      </c>
      <c r="Q117" s="45">
        <v>25.132807</v>
      </c>
      <c r="R117" s="45">
        <v>25.783670000000001</v>
      </c>
      <c r="S117" s="45">
        <v>26.457172</v>
      </c>
      <c r="T117" s="45">
        <v>27.123766</v>
      </c>
      <c r="U117" s="45">
        <v>27.747868</v>
      </c>
      <c r="V117" s="45">
        <v>28.331589000000001</v>
      </c>
      <c r="W117" s="45">
        <v>28.805592000000001</v>
      </c>
      <c r="X117" s="45">
        <v>29.273562999999999</v>
      </c>
      <c r="Y117" s="45">
        <v>29.630768</v>
      </c>
      <c r="Z117" s="45">
        <v>29.952159999999999</v>
      </c>
      <c r="AA117" s="45">
        <v>31.041374000000001</v>
      </c>
      <c r="AB117" s="45">
        <v>31.827347</v>
      </c>
      <c r="AC117" s="45">
        <v>32.782425000000003</v>
      </c>
      <c r="AD117" s="45">
        <v>33.747967000000003</v>
      </c>
      <c r="AE117" s="45">
        <v>34.688557000000003</v>
      </c>
      <c r="AF117" s="46">
        <v>1.6816999999999999E-2</v>
      </c>
      <c r="AG117" s="36"/>
    </row>
    <row r="118" spans="1:33" ht="15" customHeight="1" x14ac:dyDescent="0.3">
      <c r="A118" s="35" t="s">
        <v>168</v>
      </c>
      <c r="B118" s="44" t="s">
        <v>69</v>
      </c>
      <c r="C118" s="45">
        <v>7.0200610000000001</v>
      </c>
      <c r="D118" s="45">
        <v>5.8542480000000001</v>
      </c>
      <c r="E118" s="45">
        <v>4.7817379999999998</v>
      </c>
      <c r="F118" s="45">
        <v>4.2155240000000003</v>
      </c>
      <c r="G118" s="45">
        <v>3.7681770000000001</v>
      </c>
      <c r="H118" s="45">
        <v>3.5095610000000002</v>
      </c>
      <c r="I118" s="45">
        <v>3.4479899999999999</v>
      </c>
      <c r="J118" s="45">
        <v>3.5179290000000001</v>
      </c>
      <c r="K118" s="45">
        <v>3.6412629999999999</v>
      </c>
      <c r="L118" s="45">
        <v>3.8133270000000001</v>
      </c>
      <c r="M118" s="45">
        <v>4.0035619999999996</v>
      </c>
      <c r="N118" s="45">
        <v>4.2668499999999998</v>
      </c>
      <c r="O118" s="45">
        <v>4.5145970000000002</v>
      </c>
      <c r="P118" s="45">
        <v>4.7836530000000002</v>
      </c>
      <c r="Q118" s="45">
        <v>4.9428960000000002</v>
      </c>
      <c r="R118" s="45">
        <v>5.120965</v>
      </c>
      <c r="S118" s="45">
        <v>5.4377269999999998</v>
      </c>
      <c r="T118" s="45">
        <v>5.5140459999999996</v>
      </c>
      <c r="U118" s="45">
        <v>5.8494599999999997</v>
      </c>
      <c r="V118" s="45">
        <v>6.0950660000000001</v>
      </c>
      <c r="W118" s="45">
        <v>6.2025119999999996</v>
      </c>
      <c r="X118" s="45">
        <v>6.2608189999999997</v>
      </c>
      <c r="Y118" s="45">
        <v>6.2909519999999999</v>
      </c>
      <c r="Z118" s="45">
        <v>6.4234739999999997</v>
      </c>
      <c r="AA118" s="45">
        <v>6.5334880000000002</v>
      </c>
      <c r="AB118" s="45">
        <v>6.6310859999999998</v>
      </c>
      <c r="AC118" s="45">
        <v>6.7598010000000004</v>
      </c>
      <c r="AD118" s="45">
        <v>6.8192959999999996</v>
      </c>
      <c r="AE118" s="45">
        <v>6.9804029999999999</v>
      </c>
      <c r="AF118" s="46">
        <v>-2.02E-4</v>
      </c>
      <c r="AG118" s="36"/>
    </row>
    <row r="119" spans="1:33" ht="15" customHeight="1" x14ac:dyDescent="0.3">
      <c r="A119" s="35" t="s">
        <v>169</v>
      </c>
      <c r="B119" s="44" t="s">
        <v>112</v>
      </c>
      <c r="C119" s="45">
        <v>2.1347619999999998</v>
      </c>
      <c r="D119" s="45">
        <v>2.1421649999999999</v>
      </c>
      <c r="E119" s="45">
        <v>2.1909679999999998</v>
      </c>
      <c r="F119" s="45">
        <v>2.220377</v>
      </c>
      <c r="G119" s="45">
        <v>2.2354729999999998</v>
      </c>
      <c r="H119" s="45">
        <v>2.2616329999999998</v>
      </c>
      <c r="I119" s="45">
        <v>2.282006</v>
      </c>
      <c r="J119" s="45">
        <v>2.3184779999999998</v>
      </c>
      <c r="K119" s="45">
        <v>2.3718789999999998</v>
      </c>
      <c r="L119" s="45">
        <v>2.4175779999999998</v>
      </c>
      <c r="M119" s="45">
        <v>2.4353539999999998</v>
      </c>
      <c r="N119" s="45">
        <v>2.4780790000000001</v>
      </c>
      <c r="O119" s="45">
        <v>2.535536</v>
      </c>
      <c r="P119" s="45">
        <v>2.5856400000000002</v>
      </c>
      <c r="Q119" s="45">
        <v>2.6363819999999998</v>
      </c>
      <c r="R119" s="45">
        <v>2.692221</v>
      </c>
      <c r="S119" s="45">
        <v>2.7887789999999999</v>
      </c>
      <c r="T119" s="45">
        <v>2.8435320000000002</v>
      </c>
      <c r="U119" s="45">
        <v>2.9101349999999999</v>
      </c>
      <c r="V119" s="45">
        <v>2.9732970000000001</v>
      </c>
      <c r="W119" s="45">
        <v>3.0377619999999999</v>
      </c>
      <c r="X119" s="45">
        <v>3.1067650000000002</v>
      </c>
      <c r="Y119" s="45">
        <v>3.169794</v>
      </c>
      <c r="Z119" s="45">
        <v>3.2368239999999999</v>
      </c>
      <c r="AA119" s="45">
        <v>3.3144369999999999</v>
      </c>
      <c r="AB119" s="45">
        <v>3.3840140000000001</v>
      </c>
      <c r="AC119" s="45">
        <v>3.4493469999999999</v>
      </c>
      <c r="AD119" s="45">
        <v>3.5386649999999999</v>
      </c>
      <c r="AE119" s="45">
        <v>3.618458</v>
      </c>
      <c r="AF119" s="46">
        <v>1.9025E-2</v>
      </c>
      <c r="AG119" s="36"/>
    </row>
    <row r="120" spans="1:33" ht="15" customHeight="1" x14ac:dyDescent="0.3">
      <c r="A120" s="35" t="s">
        <v>170</v>
      </c>
      <c r="B120" s="44" t="s">
        <v>114</v>
      </c>
      <c r="C120" s="45">
        <v>0.71087199999999995</v>
      </c>
      <c r="D120" s="45">
        <v>0.74018399999999995</v>
      </c>
      <c r="E120" s="45">
        <v>0.758185</v>
      </c>
      <c r="F120" s="45">
        <v>0.77460499999999999</v>
      </c>
      <c r="G120" s="45">
        <v>0.79104099999999999</v>
      </c>
      <c r="H120" s="45">
        <v>0.80805899999999997</v>
      </c>
      <c r="I120" s="45">
        <v>0.82544499999999998</v>
      </c>
      <c r="J120" s="45">
        <v>0.84346299999999996</v>
      </c>
      <c r="K120" s="45">
        <v>0.86221599999999998</v>
      </c>
      <c r="L120" s="45">
        <v>0.88185400000000003</v>
      </c>
      <c r="M120" s="45">
        <v>0.90198900000000004</v>
      </c>
      <c r="N120" s="45">
        <v>0.92327000000000004</v>
      </c>
      <c r="O120" s="45">
        <v>0.94529300000000005</v>
      </c>
      <c r="P120" s="45">
        <v>0.96734500000000001</v>
      </c>
      <c r="Q120" s="45">
        <v>0.98952499999999999</v>
      </c>
      <c r="R120" s="45">
        <v>1.011585</v>
      </c>
      <c r="S120" s="45">
        <v>1.0338620000000001</v>
      </c>
      <c r="T120" s="45">
        <v>1.0564610000000001</v>
      </c>
      <c r="U120" s="45">
        <v>1.0799270000000001</v>
      </c>
      <c r="V120" s="45">
        <v>1.1040449999999999</v>
      </c>
      <c r="W120" s="45">
        <v>1.128868</v>
      </c>
      <c r="X120" s="45">
        <v>1.154644</v>
      </c>
      <c r="Y120" s="45">
        <v>1.181187</v>
      </c>
      <c r="Z120" s="45">
        <v>1.2086060000000001</v>
      </c>
      <c r="AA120" s="45">
        <v>1.237012</v>
      </c>
      <c r="AB120" s="45">
        <v>1.266273</v>
      </c>
      <c r="AC120" s="45">
        <v>1.2965150000000001</v>
      </c>
      <c r="AD120" s="45">
        <v>1.3275189999999999</v>
      </c>
      <c r="AE120" s="45">
        <v>1.3594269999999999</v>
      </c>
      <c r="AF120" s="46">
        <v>2.3425000000000001E-2</v>
      </c>
      <c r="AG120" s="36"/>
    </row>
    <row r="121" spans="1:33" ht="15" customHeight="1" x14ac:dyDescent="0.3">
      <c r="A121" s="34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 spans="1:33" ht="15" customHeight="1" x14ac:dyDescent="0.3">
      <c r="A122" s="34"/>
      <c r="B122" s="55" t="s">
        <v>115</v>
      </c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 spans="1:33" ht="15" customHeight="1" x14ac:dyDescent="0.3">
      <c r="A123" s="35" t="s">
        <v>171</v>
      </c>
      <c r="B123" s="44" t="s">
        <v>65</v>
      </c>
      <c r="C123" s="45">
        <v>28.079664000000001</v>
      </c>
      <c r="D123" s="45">
        <v>30.056221000000001</v>
      </c>
      <c r="E123" s="45">
        <v>29.418596000000001</v>
      </c>
      <c r="F123" s="45">
        <v>28.373532999999998</v>
      </c>
      <c r="G123" s="45">
        <v>27.742795999999998</v>
      </c>
      <c r="H123" s="45">
        <v>27.466362</v>
      </c>
      <c r="I123" s="45">
        <v>27.648658999999999</v>
      </c>
      <c r="J123" s="45">
        <v>28.156300000000002</v>
      </c>
      <c r="K123" s="45">
        <v>28.981328999999999</v>
      </c>
      <c r="L123" s="45">
        <v>30.035112000000002</v>
      </c>
      <c r="M123" s="45">
        <v>31.296999</v>
      </c>
      <c r="N123" s="45">
        <v>32.759708000000003</v>
      </c>
      <c r="O123" s="45">
        <v>34.221867000000003</v>
      </c>
      <c r="P123" s="45">
        <v>35.508521999999999</v>
      </c>
      <c r="Q123" s="45">
        <v>36.666687000000003</v>
      </c>
      <c r="R123" s="45">
        <v>37.818995999999999</v>
      </c>
      <c r="S123" s="45">
        <v>39.184173999999999</v>
      </c>
      <c r="T123" s="45">
        <v>40.173107000000002</v>
      </c>
      <c r="U123" s="45">
        <v>41.518802999999998</v>
      </c>
      <c r="V123" s="45">
        <v>42.860793999999999</v>
      </c>
      <c r="W123" s="45">
        <v>44.066581999999997</v>
      </c>
      <c r="X123" s="45">
        <v>45.145119000000001</v>
      </c>
      <c r="Y123" s="45">
        <v>46.141899000000002</v>
      </c>
      <c r="Z123" s="45">
        <v>47.304070000000003</v>
      </c>
      <c r="AA123" s="45">
        <v>48.694881000000002</v>
      </c>
      <c r="AB123" s="45">
        <v>49.889682999999998</v>
      </c>
      <c r="AC123" s="45">
        <v>51.224235999999998</v>
      </c>
      <c r="AD123" s="45">
        <v>52.443908999999998</v>
      </c>
      <c r="AE123" s="45">
        <v>53.623322000000002</v>
      </c>
      <c r="AF123" s="46">
        <v>2.3373999999999999E-2</v>
      </c>
      <c r="AG123" s="36"/>
    </row>
    <row r="124" spans="1:33" ht="15" customHeight="1" x14ac:dyDescent="0.3">
      <c r="A124" s="35" t="s">
        <v>172</v>
      </c>
      <c r="B124" s="44" t="s">
        <v>96</v>
      </c>
      <c r="C124" s="45">
        <v>38.155422000000002</v>
      </c>
      <c r="D124" s="45">
        <v>35.138969000000003</v>
      </c>
      <c r="E124" s="45">
        <v>34.57761</v>
      </c>
      <c r="F124" s="45">
        <v>32.976173000000003</v>
      </c>
      <c r="G124" s="45">
        <v>33.359932000000001</v>
      </c>
      <c r="H124" s="45">
        <v>33.896748000000002</v>
      </c>
      <c r="I124" s="45">
        <v>34.674334999999999</v>
      </c>
      <c r="J124" s="45">
        <v>35.525641999999998</v>
      </c>
      <c r="K124" s="45">
        <v>36.483246000000001</v>
      </c>
      <c r="L124" s="45">
        <v>37.289653999999999</v>
      </c>
      <c r="M124" s="45">
        <v>38.388846999999998</v>
      </c>
      <c r="N124" s="45">
        <v>39.432471999999997</v>
      </c>
      <c r="O124" s="45">
        <v>40.560032</v>
      </c>
      <c r="P124" s="45">
        <v>41.640037999999997</v>
      </c>
      <c r="Q124" s="45">
        <v>43.104500000000002</v>
      </c>
      <c r="R124" s="45">
        <v>44.169688999999998</v>
      </c>
      <c r="S124" s="45">
        <v>45.322249999999997</v>
      </c>
      <c r="T124" s="45">
        <v>46.550319999999999</v>
      </c>
      <c r="U124" s="45">
        <v>47.680573000000003</v>
      </c>
      <c r="V124" s="45">
        <v>48.776634000000001</v>
      </c>
      <c r="W124" s="45">
        <v>50.036262999999998</v>
      </c>
      <c r="X124" s="45">
        <v>50.996490000000001</v>
      </c>
      <c r="Y124" s="45">
        <v>52.537441000000001</v>
      </c>
      <c r="Z124" s="45">
        <v>53.805576000000002</v>
      </c>
      <c r="AA124" s="45">
        <v>56.541190999999998</v>
      </c>
      <c r="AB124" s="45">
        <v>57.901271999999999</v>
      </c>
      <c r="AC124" s="45">
        <v>59.805683000000002</v>
      </c>
      <c r="AD124" s="45">
        <v>61.428082000000003</v>
      </c>
      <c r="AE124" s="45">
        <v>63.500064999999999</v>
      </c>
      <c r="AF124" s="46">
        <v>1.8357999999999999E-2</v>
      </c>
      <c r="AG124" s="36"/>
    </row>
    <row r="125" spans="1:33" ht="15" customHeight="1" x14ac:dyDescent="0.3">
      <c r="A125" s="35" t="s">
        <v>173</v>
      </c>
      <c r="B125" s="44" t="s">
        <v>98</v>
      </c>
      <c r="C125" s="45">
        <v>34.782677</v>
      </c>
      <c r="D125" s="45">
        <v>31.711493999999998</v>
      </c>
      <c r="E125" s="45">
        <v>29.502012000000001</v>
      </c>
      <c r="F125" s="45">
        <v>28.163221</v>
      </c>
      <c r="G125" s="45">
        <v>28.465707999999999</v>
      </c>
      <c r="H125" s="45">
        <v>28.902305999999999</v>
      </c>
      <c r="I125" s="45">
        <v>29.530080999999999</v>
      </c>
      <c r="J125" s="45">
        <v>30.23189</v>
      </c>
      <c r="K125" s="45">
        <v>31.015502999999999</v>
      </c>
      <c r="L125" s="45">
        <v>31.681816000000001</v>
      </c>
      <c r="M125" s="45">
        <v>32.580115999999997</v>
      </c>
      <c r="N125" s="45">
        <v>33.435040000000001</v>
      </c>
      <c r="O125" s="45">
        <v>34.355724000000002</v>
      </c>
      <c r="P125" s="45">
        <v>35.240276000000001</v>
      </c>
      <c r="Q125" s="45">
        <v>36.442248999999997</v>
      </c>
      <c r="R125" s="45">
        <v>37.315567000000001</v>
      </c>
      <c r="S125" s="45">
        <v>38.260136000000003</v>
      </c>
      <c r="T125" s="45">
        <v>39.273986999999998</v>
      </c>
      <c r="U125" s="45">
        <v>40.206584999999997</v>
      </c>
      <c r="V125" s="45">
        <v>41.112651999999997</v>
      </c>
      <c r="W125" s="45">
        <v>42.153542000000002</v>
      </c>
      <c r="X125" s="45">
        <v>42.950268000000001</v>
      </c>
      <c r="Y125" s="45">
        <v>44.234070000000003</v>
      </c>
      <c r="Z125" s="45">
        <v>45.286670999999998</v>
      </c>
      <c r="AA125" s="45">
        <v>47.653725000000001</v>
      </c>
      <c r="AB125" s="45">
        <v>48.785259000000003</v>
      </c>
      <c r="AC125" s="45">
        <v>50.363937</v>
      </c>
      <c r="AD125" s="45">
        <v>51.710098000000002</v>
      </c>
      <c r="AE125" s="45">
        <v>53.424919000000003</v>
      </c>
      <c r="AF125" s="46">
        <v>1.5445E-2</v>
      </c>
      <c r="AG125" s="36"/>
    </row>
    <row r="126" spans="1:33" ht="15" customHeight="1" x14ac:dyDescent="0.3">
      <c r="A126" s="35" t="s">
        <v>174</v>
      </c>
      <c r="B126" s="44" t="s">
        <v>100</v>
      </c>
      <c r="C126" s="45">
        <v>26.739815</v>
      </c>
      <c r="D126" s="45">
        <v>23.500710999999999</v>
      </c>
      <c r="E126" s="45">
        <v>23.104317000000002</v>
      </c>
      <c r="F126" s="45">
        <v>21.990542999999999</v>
      </c>
      <c r="G126" s="45">
        <v>22.204429999999999</v>
      </c>
      <c r="H126" s="45">
        <v>22.419402999999999</v>
      </c>
      <c r="I126" s="45">
        <v>22.794266</v>
      </c>
      <c r="J126" s="45">
        <v>23.428768000000002</v>
      </c>
      <c r="K126" s="45">
        <v>23.978318999999999</v>
      </c>
      <c r="L126" s="45">
        <v>24.797031</v>
      </c>
      <c r="M126" s="45">
        <v>25.567731999999999</v>
      </c>
      <c r="N126" s="45">
        <v>26.286256999999999</v>
      </c>
      <c r="O126" s="45">
        <v>27.115189000000001</v>
      </c>
      <c r="P126" s="45">
        <v>27.960740999999999</v>
      </c>
      <c r="Q126" s="45">
        <v>28.743019</v>
      </c>
      <c r="R126" s="45">
        <v>29.563089000000002</v>
      </c>
      <c r="S126" s="45">
        <v>30.395921999999999</v>
      </c>
      <c r="T126" s="45">
        <v>31.20879</v>
      </c>
      <c r="U126" s="45">
        <v>32.088695999999999</v>
      </c>
      <c r="V126" s="45">
        <v>33.129855999999997</v>
      </c>
      <c r="W126" s="45">
        <v>33.955685000000003</v>
      </c>
      <c r="X126" s="45">
        <v>35.00074</v>
      </c>
      <c r="Y126" s="45">
        <v>35.742362999999997</v>
      </c>
      <c r="Z126" s="45">
        <v>36.840632999999997</v>
      </c>
      <c r="AA126" s="45">
        <v>38.270755999999999</v>
      </c>
      <c r="AB126" s="45">
        <v>39.262115000000001</v>
      </c>
      <c r="AC126" s="45">
        <v>40.314140000000002</v>
      </c>
      <c r="AD126" s="45">
        <v>41.469558999999997</v>
      </c>
      <c r="AE126" s="45">
        <v>42.525970000000001</v>
      </c>
      <c r="AF126" s="46">
        <v>1.6708000000000001E-2</v>
      </c>
      <c r="AG126" s="36"/>
    </row>
    <row r="127" spans="1:33" ht="15" customHeight="1" x14ac:dyDescent="0.3">
      <c r="A127" s="35" t="s">
        <v>175</v>
      </c>
      <c r="B127" s="44" t="s">
        <v>67</v>
      </c>
      <c r="C127" s="45">
        <v>36.677619999999997</v>
      </c>
      <c r="D127" s="45">
        <v>34.205086000000001</v>
      </c>
      <c r="E127" s="45">
        <v>33.140658999999999</v>
      </c>
      <c r="F127" s="45">
        <v>31.445800999999999</v>
      </c>
      <c r="G127" s="45">
        <v>30.953658999999998</v>
      </c>
      <c r="H127" s="45">
        <v>30.446245000000001</v>
      </c>
      <c r="I127" s="45">
        <v>30.083829999999999</v>
      </c>
      <c r="J127" s="45">
        <v>30.859518000000001</v>
      </c>
      <c r="K127" s="45">
        <v>31.560939999999999</v>
      </c>
      <c r="L127" s="45">
        <v>32.489924999999999</v>
      </c>
      <c r="M127" s="45">
        <v>33.369906999999998</v>
      </c>
      <c r="N127" s="45">
        <v>34.325623</v>
      </c>
      <c r="O127" s="45">
        <v>35.208218000000002</v>
      </c>
      <c r="P127" s="45">
        <v>36.286403999999997</v>
      </c>
      <c r="Q127" s="45">
        <v>37.138584000000002</v>
      </c>
      <c r="R127" s="45">
        <v>38.151809999999998</v>
      </c>
      <c r="S127" s="45">
        <v>39.125652000000002</v>
      </c>
      <c r="T127" s="45">
        <v>40.051437</v>
      </c>
      <c r="U127" s="45">
        <v>41.020229</v>
      </c>
      <c r="V127" s="45">
        <v>42.187263000000002</v>
      </c>
      <c r="W127" s="45">
        <v>43.132537999999997</v>
      </c>
      <c r="X127" s="45">
        <v>44.316020999999999</v>
      </c>
      <c r="Y127" s="45">
        <v>45.196086999999999</v>
      </c>
      <c r="Z127" s="45">
        <v>46.347355</v>
      </c>
      <c r="AA127" s="45">
        <v>48.293548999999999</v>
      </c>
      <c r="AB127" s="45">
        <v>49.484454999999997</v>
      </c>
      <c r="AC127" s="45">
        <v>50.733288000000002</v>
      </c>
      <c r="AD127" s="45">
        <v>52.083705999999999</v>
      </c>
      <c r="AE127" s="45">
        <v>53.346035000000001</v>
      </c>
      <c r="AF127" s="46">
        <v>1.3469999999999999E-2</v>
      </c>
      <c r="AG127" s="36"/>
    </row>
    <row r="128" spans="1:33" ht="15" customHeight="1" x14ac:dyDescent="0.3">
      <c r="A128" s="35" t="s">
        <v>176</v>
      </c>
      <c r="B128" s="44" t="s">
        <v>76</v>
      </c>
      <c r="C128" s="45">
        <v>15.551993</v>
      </c>
      <c r="D128" s="45">
        <v>15.627425000000001</v>
      </c>
      <c r="E128" s="45">
        <v>17.954018000000001</v>
      </c>
      <c r="F128" s="45">
        <v>17.538163999999998</v>
      </c>
      <c r="G128" s="45">
        <v>18.058340000000001</v>
      </c>
      <c r="H128" s="45">
        <v>18.654598</v>
      </c>
      <c r="I128" s="45">
        <v>19.205083999999999</v>
      </c>
      <c r="J128" s="45">
        <v>19.719563000000001</v>
      </c>
      <c r="K128" s="45">
        <v>20.280097999999999</v>
      </c>
      <c r="L128" s="45">
        <v>20.840857</v>
      </c>
      <c r="M128" s="45">
        <v>21.443093999999999</v>
      </c>
      <c r="N128" s="45">
        <v>22.071553999999999</v>
      </c>
      <c r="O128" s="45">
        <v>22.722760999999998</v>
      </c>
      <c r="P128" s="45">
        <v>23.410677</v>
      </c>
      <c r="Q128" s="45">
        <v>24.030815</v>
      </c>
      <c r="R128" s="45">
        <v>24.693422000000002</v>
      </c>
      <c r="S128" s="45">
        <v>25.379584999999999</v>
      </c>
      <c r="T128" s="45">
        <v>26.041328</v>
      </c>
      <c r="U128" s="45">
        <v>26.716372</v>
      </c>
      <c r="V128" s="45">
        <v>27.470734</v>
      </c>
      <c r="W128" s="45">
        <v>28.116610999999999</v>
      </c>
      <c r="X128" s="45">
        <v>28.868303000000001</v>
      </c>
      <c r="Y128" s="45">
        <v>29.513950000000001</v>
      </c>
      <c r="Z128" s="45">
        <v>30.261645999999999</v>
      </c>
      <c r="AA128" s="45">
        <v>31.294775000000001</v>
      </c>
      <c r="AB128" s="45">
        <v>32.034534000000001</v>
      </c>
      <c r="AC128" s="45">
        <v>32.992049999999999</v>
      </c>
      <c r="AD128" s="45">
        <v>33.94556</v>
      </c>
      <c r="AE128" s="45">
        <v>34.931033999999997</v>
      </c>
      <c r="AF128" s="46">
        <v>2.9321E-2</v>
      </c>
      <c r="AG128" s="36"/>
    </row>
    <row r="129" spans="1:33" ht="15" customHeight="1" x14ac:dyDescent="0.3">
      <c r="A129" s="35" t="s">
        <v>177</v>
      </c>
      <c r="B129" s="44" t="s">
        <v>69</v>
      </c>
      <c r="C129" s="45">
        <v>8.8813879999999994</v>
      </c>
      <c r="D129" s="45">
        <v>8.3057800000000004</v>
      </c>
      <c r="E129" s="45">
        <v>7.309984</v>
      </c>
      <c r="F129" s="45">
        <v>6.8600339999999997</v>
      </c>
      <c r="G129" s="45">
        <v>6.5148039999999998</v>
      </c>
      <c r="H129" s="45">
        <v>6.3961439999999996</v>
      </c>
      <c r="I129" s="45">
        <v>6.4197790000000001</v>
      </c>
      <c r="J129" s="45">
        <v>6.608568</v>
      </c>
      <c r="K129" s="45">
        <v>6.8481540000000001</v>
      </c>
      <c r="L129" s="45">
        <v>7.1586559999999997</v>
      </c>
      <c r="M129" s="45">
        <v>7.4670420000000002</v>
      </c>
      <c r="N129" s="45">
        <v>7.8515430000000004</v>
      </c>
      <c r="O129" s="45">
        <v>8.2122820000000001</v>
      </c>
      <c r="P129" s="45">
        <v>8.5563289999999999</v>
      </c>
      <c r="Q129" s="45">
        <v>8.7898370000000003</v>
      </c>
      <c r="R129" s="45">
        <v>9.0478529999999999</v>
      </c>
      <c r="S129" s="45">
        <v>9.4042519999999996</v>
      </c>
      <c r="T129" s="45">
        <v>9.5438960000000002</v>
      </c>
      <c r="U129" s="45">
        <v>9.8961269999999999</v>
      </c>
      <c r="V129" s="45">
        <v>10.221828</v>
      </c>
      <c r="W129" s="45">
        <v>10.425893</v>
      </c>
      <c r="X129" s="45">
        <v>10.581784000000001</v>
      </c>
      <c r="Y129" s="45">
        <v>10.729170999999999</v>
      </c>
      <c r="Z129" s="45">
        <v>10.98645</v>
      </c>
      <c r="AA129" s="45">
        <v>11.369418</v>
      </c>
      <c r="AB129" s="45">
        <v>11.567731</v>
      </c>
      <c r="AC129" s="45">
        <v>11.769767</v>
      </c>
      <c r="AD129" s="45">
        <v>11.979346</v>
      </c>
      <c r="AE129" s="45">
        <v>12.255666</v>
      </c>
      <c r="AF129" s="46">
        <v>1.1566999999999999E-2</v>
      </c>
      <c r="AG129" s="36"/>
    </row>
    <row r="130" spans="1:33" ht="15" customHeight="1" x14ac:dyDescent="0.3">
      <c r="A130" s="35" t="s">
        <v>178</v>
      </c>
      <c r="B130" s="44" t="s">
        <v>86</v>
      </c>
      <c r="C130" s="45">
        <v>5.4304249999999996</v>
      </c>
      <c r="D130" s="45">
        <v>5.6718549999999999</v>
      </c>
      <c r="E130" s="45">
        <v>6.0581950000000004</v>
      </c>
      <c r="F130" s="45">
        <v>6.1873269999999998</v>
      </c>
      <c r="G130" s="45">
        <v>6.3529850000000003</v>
      </c>
      <c r="H130" s="45">
        <v>6.5475529999999997</v>
      </c>
      <c r="I130" s="45">
        <v>6.7355179999999999</v>
      </c>
      <c r="J130" s="45">
        <v>6.9377659999999999</v>
      </c>
      <c r="K130" s="45">
        <v>7.2191280000000004</v>
      </c>
      <c r="L130" s="45">
        <v>7.4615220000000004</v>
      </c>
      <c r="M130" s="45">
        <v>7.7608199999999998</v>
      </c>
      <c r="N130" s="45">
        <v>8.038456</v>
      </c>
      <c r="O130" s="45">
        <v>8.3211580000000005</v>
      </c>
      <c r="P130" s="45">
        <v>8.6185759999999991</v>
      </c>
      <c r="Q130" s="45">
        <v>8.9246759999999998</v>
      </c>
      <c r="R130" s="45">
        <v>9.2558539999999994</v>
      </c>
      <c r="S130" s="45">
        <v>9.5669219999999999</v>
      </c>
      <c r="T130" s="45">
        <v>9.8821329999999996</v>
      </c>
      <c r="U130" s="45">
        <v>10.210374</v>
      </c>
      <c r="V130" s="45">
        <v>10.516508999999999</v>
      </c>
      <c r="W130" s="45">
        <v>10.829219999999999</v>
      </c>
      <c r="X130" s="45">
        <v>11.157767</v>
      </c>
      <c r="Y130" s="45">
        <v>11.502295999999999</v>
      </c>
      <c r="Z130" s="45">
        <v>11.867922999999999</v>
      </c>
      <c r="AA130" s="45">
        <v>12.240033</v>
      </c>
      <c r="AB130" s="45">
        <v>12.622064999999999</v>
      </c>
      <c r="AC130" s="45">
        <v>13.021750000000001</v>
      </c>
      <c r="AD130" s="45">
        <v>13.425182</v>
      </c>
      <c r="AE130" s="45">
        <v>13.854766</v>
      </c>
      <c r="AF130" s="46">
        <v>3.4015999999999998E-2</v>
      </c>
      <c r="AG130" s="36"/>
    </row>
    <row r="131" spans="1:33" ht="15" customHeight="1" x14ac:dyDescent="0.3">
      <c r="A131" s="35" t="s">
        <v>179</v>
      </c>
      <c r="B131" s="44" t="s">
        <v>125</v>
      </c>
      <c r="C131" s="45">
        <v>2.175554</v>
      </c>
      <c r="D131" s="45">
        <v>2.1858590000000002</v>
      </c>
      <c r="E131" s="45">
        <v>2.2353990000000001</v>
      </c>
      <c r="F131" s="45">
        <v>2.273965</v>
      </c>
      <c r="G131" s="45">
        <v>2.3001480000000001</v>
      </c>
      <c r="H131" s="45">
        <v>2.3385699999999998</v>
      </c>
      <c r="I131" s="45">
        <v>2.375311</v>
      </c>
      <c r="J131" s="45">
        <v>2.4279139999999999</v>
      </c>
      <c r="K131" s="45">
        <v>2.49261</v>
      </c>
      <c r="L131" s="45">
        <v>2.5409510000000002</v>
      </c>
      <c r="M131" s="45">
        <v>2.5638749999999999</v>
      </c>
      <c r="N131" s="45">
        <v>2.6062889999999999</v>
      </c>
      <c r="O131" s="45">
        <v>2.6657250000000001</v>
      </c>
      <c r="P131" s="45">
        <v>2.717292</v>
      </c>
      <c r="Q131" s="45">
        <v>2.7708330000000001</v>
      </c>
      <c r="R131" s="45">
        <v>2.8319589999999999</v>
      </c>
      <c r="S131" s="45">
        <v>2.9326319999999999</v>
      </c>
      <c r="T131" s="45">
        <v>2.9932690000000002</v>
      </c>
      <c r="U131" s="45">
        <v>3.065572</v>
      </c>
      <c r="V131" s="45">
        <v>3.1298780000000002</v>
      </c>
      <c r="W131" s="45">
        <v>3.196196</v>
      </c>
      <c r="X131" s="45">
        <v>3.2688730000000001</v>
      </c>
      <c r="Y131" s="45">
        <v>3.3391959999999998</v>
      </c>
      <c r="Z131" s="45">
        <v>3.4138799999999998</v>
      </c>
      <c r="AA131" s="45">
        <v>3.5015969999999998</v>
      </c>
      <c r="AB131" s="45">
        <v>3.581267</v>
      </c>
      <c r="AC131" s="45">
        <v>3.66364</v>
      </c>
      <c r="AD131" s="45">
        <v>3.757409</v>
      </c>
      <c r="AE131" s="45">
        <v>3.8484590000000001</v>
      </c>
      <c r="AF131" s="46">
        <v>2.0580000000000001E-2</v>
      </c>
      <c r="AG131" s="36"/>
    </row>
    <row r="132" spans="1:33" ht="15" customHeight="1" x14ac:dyDescent="0.3">
      <c r="A132" s="35" t="s">
        <v>180</v>
      </c>
      <c r="B132" s="44" t="s">
        <v>90</v>
      </c>
      <c r="C132" s="45" t="s">
        <v>91</v>
      </c>
      <c r="D132" s="45" t="s">
        <v>91</v>
      </c>
      <c r="E132" s="45" t="s">
        <v>91</v>
      </c>
      <c r="F132" s="45" t="s">
        <v>91</v>
      </c>
      <c r="G132" s="45" t="s">
        <v>91</v>
      </c>
      <c r="H132" s="45" t="s">
        <v>91</v>
      </c>
      <c r="I132" s="45" t="s">
        <v>91</v>
      </c>
      <c r="J132" s="45" t="s">
        <v>91</v>
      </c>
      <c r="K132" s="45" t="s">
        <v>91</v>
      </c>
      <c r="L132" s="45" t="s">
        <v>91</v>
      </c>
      <c r="M132" s="45" t="s">
        <v>91</v>
      </c>
      <c r="N132" s="45" t="s">
        <v>91</v>
      </c>
      <c r="O132" s="45" t="s">
        <v>91</v>
      </c>
      <c r="P132" s="45" t="s">
        <v>91</v>
      </c>
      <c r="Q132" s="45" t="s">
        <v>91</v>
      </c>
      <c r="R132" s="45" t="s">
        <v>91</v>
      </c>
      <c r="S132" s="45" t="s">
        <v>91</v>
      </c>
      <c r="T132" s="45" t="s">
        <v>91</v>
      </c>
      <c r="U132" s="45" t="s">
        <v>91</v>
      </c>
      <c r="V132" s="45" t="s">
        <v>91</v>
      </c>
      <c r="W132" s="45" t="s">
        <v>91</v>
      </c>
      <c r="X132" s="45" t="s">
        <v>91</v>
      </c>
      <c r="Y132" s="45" t="s">
        <v>91</v>
      </c>
      <c r="Z132" s="45" t="s">
        <v>91</v>
      </c>
      <c r="AA132" s="45" t="s">
        <v>91</v>
      </c>
      <c r="AB132" s="45" t="s">
        <v>91</v>
      </c>
      <c r="AC132" s="45" t="s">
        <v>91</v>
      </c>
      <c r="AD132" s="45" t="s">
        <v>91</v>
      </c>
      <c r="AE132" s="45" t="s">
        <v>91</v>
      </c>
      <c r="AF132" s="46" t="s">
        <v>91</v>
      </c>
      <c r="AG132" s="36" t="s">
        <v>91</v>
      </c>
    </row>
    <row r="133" spans="1:33" ht="15" customHeight="1" x14ac:dyDescent="0.3">
      <c r="A133" s="35" t="s">
        <v>181</v>
      </c>
      <c r="B133" s="44" t="s">
        <v>71</v>
      </c>
      <c r="C133" s="45">
        <v>35.829422000000001</v>
      </c>
      <c r="D133" s="45">
        <v>36.359164999999997</v>
      </c>
      <c r="E133" s="45">
        <v>35.866458999999999</v>
      </c>
      <c r="F133" s="45">
        <v>35.235881999999997</v>
      </c>
      <c r="G133" s="45">
        <v>35.134171000000002</v>
      </c>
      <c r="H133" s="45">
        <v>35.272132999999997</v>
      </c>
      <c r="I133" s="45">
        <v>35.583508000000002</v>
      </c>
      <c r="J133" s="45">
        <v>36.187798000000001</v>
      </c>
      <c r="K133" s="45">
        <v>37.046059</v>
      </c>
      <c r="L133" s="45">
        <v>38.014763000000002</v>
      </c>
      <c r="M133" s="45">
        <v>38.990749000000001</v>
      </c>
      <c r="N133" s="45">
        <v>40.502662999999998</v>
      </c>
      <c r="O133" s="45">
        <v>41.863002999999999</v>
      </c>
      <c r="P133" s="45">
        <v>42.848014999999997</v>
      </c>
      <c r="Q133" s="45">
        <v>44.091442000000001</v>
      </c>
      <c r="R133" s="45">
        <v>45.403637000000003</v>
      </c>
      <c r="S133" s="45">
        <v>46.904964</v>
      </c>
      <c r="T133" s="45">
        <v>48.330173000000002</v>
      </c>
      <c r="U133" s="45">
        <v>49.750717000000002</v>
      </c>
      <c r="V133" s="45">
        <v>51.149737999999999</v>
      </c>
      <c r="W133" s="45">
        <v>52.424168000000002</v>
      </c>
      <c r="X133" s="45">
        <v>53.699261</v>
      </c>
      <c r="Y133" s="45">
        <v>55.001506999999997</v>
      </c>
      <c r="Z133" s="45">
        <v>56.335239000000001</v>
      </c>
      <c r="AA133" s="45">
        <v>57.489230999999997</v>
      </c>
      <c r="AB133" s="45">
        <v>58.587916999999997</v>
      </c>
      <c r="AC133" s="45">
        <v>59.898162999999997</v>
      </c>
      <c r="AD133" s="45">
        <v>60.996772999999997</v>
      </c>
      <c r="AE133" s="45">
        <v>61.947029000000001</v>
      </c>
      <c r="AF133" s="46">
        <v>1.9746E-2</v>
      </c>
      <c r="AG133" s="36"/>
    </row>
    <row r="134" spans="1:33" ht="15" customHeight="1" x14ac:dyDescent="0.3">
      <c r="A134" s="34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</row>
    <row r="135" spans="1:33" ht="15" customHeight="1" x14ac:dyDescent="0.3">
      <c r="A135" s="34"/>
      <c r="B135" s="55" t="s">
        <v>128</v>
      </c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</row>
    <row r="136" spans="1:33" ht="15" customHeight="1" x14ac:dyDescent="0.3">
      <c r="A136" s="34"/>
      <c r="B136" s="55" t="s">
        <v>182</v>
      </c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 spans="1:33" ht="15" customHeight="1" x14ac:dyDescent="0.3">
      <c r="A137" s="35" t="s">
        <v>183</v>
      </c>
      <c r="B137" s="44" t="s">
        <v>63</v>
      </c>
      <c r="C137" s="47">
        <v>322.79443400000002</v>
      </c>
      <c r="D137" s="47">
        <v>323.96618699999999</v>
      </c>
      <c r="E137" s="47">
        <v>316.38116500000001</v>
      </c>
      <c r="F137" s="47">
        <v>313.378265</v>
      </c>
      <c r="G137" s="47">
        <v>313.80584700000003</v>
      </c>
      <c r="H137" s="47">
        <v>316.42208900000003</v>
      </c>
      <c r="I137" s="47">
        <v>320.67553700000002</v>
      </c>
      <c r="J137" s="47">
        <v>328.32162499999998</v>
      </c>
      <c r="K137" s="47">
        <v>337.13021900000001</v>
      </c>
      <c r="L137" s="47">
        <v>347.31375100000002</v>
      </c>
      <c r="M137" s="47">
        <v>357.72671500000001</v>
      </c>
      <c r="N137" s="47">
        <v>372.10546900000003</v>
      </c>
      <c r="O137" s="47">
        <v>385.80773900000003</v>
      </c>
      <c r="P137" s="47">
        <v>397.45077500000002</v>
      </c>
      <c r="Q137" s="47">
        <v>410.63799999999998</v>
      </c>
      <c r="R137" s="47">
        <v>424.90579200000002</v>
      </c>
      <c r="S137" s="47">
        <v>440.70797700000003</v>
      </c>
      <c r="T137" s="47">
        <v>454.92474399999998</v>
      </c>
      <c r="U137" s="47">
        <v>470.46719400000001</v>
      </c>
      <c r="V137" s="47">
        <v>486.252319</v>
      </c>
      <c r="W137" s="47">
        <v>501.30401599999999</v>
      </c>
      <c r="X137" s="47">
        <v>516.514771</v>
      </c>
      <c r="Y137" s="47">
        <v>531.99688700000002</v>
      </c>
      <c r="Z137" s="47">
        <v>549.30181900000002</v>
      </c>
      <c r="AA137" s="47">
        <v>568.15393100000006</v>
      </c>
      <c r="AB137" s="47">
        <v>584.43603499999995</v>
      </c>
      <c r="AC137" s="47">
        <v>601.94653300000004</v>
      </c>
      <c r="AD137" s="47">
        <v>619.02429199999995</v>
      </c>
      <c r="AE137" s="47">
        <v>635.86627199999998</v>
      </c>
      <c r="AF137" s="46">
        <v>2.4509E-2</v>
      </c>
      <c r="AG137" s="36"/>
    </row>
    <row r="138" spans="1:33" ht="15" customHeight="1" x14ac:dyDescent="0.3">
      <c r="A138" s="35" t="s">
        <v>184</v>
      </c>
      <c r="B138" s="44" t="s">
        <v>72</v>
      </c>
      <c r="C138" s="47">
        <v>237.58575400000001</v>
      </c>
      <c r="D138" s="47">
        <v>235.215363</v>
      </c>
      <c r="E138" s="47">
        <v>227.23172</v>
      </c>
      <c r="F138" s="47">
        <v>221.38610800000001</v>
      </c>
      <c r="G138" s="47">
        <v>220.246521</v>
      </c>
      <c r="H138" s="47">
        <v>220.52917500000001</v>
      </c>
      <c r="I138" s="47">
        <v>223.035492</v>
      </c>
      <c r="J138" s="47">
        <v>227.95399499999999</v>
      </c>
      <c r="K138" s="47">
        <v>234.02946499999999</v>
      </c>
      <c r="L138" s="47">
        <v>240.872421</v>
      </c>
      <c r="M138" s="47">
        <v>247.91056800000001</v>
      </c>
      <c r="N138" s="47">
        <v>257.46719400000001</v>
      </c>
      <c r="O138" s="47">
        <v>266.319458</v>
      </c>
      <c r="P138" s="47">
        <v>273.48553500000003</v>
      </c>
      <c r="Q138" s="47">
        <v>281.39428700000002</v>
      </c>
      <c r="R138" s="47">
        <v>289.59683200000001</v>
      </c>
      <c r="S138" s="47">
        <v>298.95288099999999</v>
      </c>
      <c r="T138" s="47">
        <v>307.10012799999998</v>
      </c>
      <c r="U138" s="47">
        <v>316.07788099999999</v>
      </c>
      <c r="V138" s="47">
        <v>325.34350599999999</v>
      </c>
      <c r="W138" s="47">
        <v>333.957672</v>
      </c>
      <c r="X138" s="47">
        <v>342.75811800000002</v>
      </c>
      <c r="Y138" s="47">
        <v>351.55493200000001</v>
      </c>
      <c r="Z138" s="47">
        <v>361.22058099999998</v>
      </c>
      <c r="AA138" s="47">
        <v>371.92254600000001</v>
      </c>
      <c r="AB138" s="47">
        <v>380.20718399999998</v>
      </c>
      <c r="AC138" s="47">
        <v>390.36471599999999</v>
      </c>
      <c r="AD138" s="47">
        <v>399.89819299999999</v>
      </c>
      <c r="AE138" s="47">
        <v>409.405823</v>
      </c>
      <c r="AF138" s="46">
        <v>1.9625E-2</v>
      </c>
      <c r="AG138" s="36"/>
    </row>
    <row r="139" spans="1:33" ht="15" customHeight="1" x14ac:dyDescent="0.3">
      <c r="A139" s="35" t="s">
        <v>185</v>
      </c>
      <c r="B139" s="44" t="s">
        <v>79</v>
      </c>
      <c r="C139" s="47">
        <v>310.10330199999999</v>
      </c>
      <c r="D139" s="47">
        <v>293.937927</v>
      </c>
      <c r="E139" s="47">
        <v>269.41128500000002</v>
      </c>
      <c r="F139" s="47">
        <v>255.99295000000001</v>
      </c>
      <c r="G139" s="47">
        <v>252.37174999999999</v>
      </c>
      <c r="H139" s="47">
        <v>251.98429899999999</v>
      </c>
      <c r="I139" s="47">
        <v>255.294601</v>
      </c>
      <c r="J139" s="47">
        <v>262.791382</v>
      </c>
      <c r="K139" s="47">
        <v>272.15884399999999</v>
      </c>
      <c r="L139" s="47">
        <v>283.44372600000003</v>
      </c>
      <c r="M139" s="47">
        <v>296.71109000000001</v>
      </c>
      <c r="N139" s="47">
        <v>312.462738</v>
      </c>
      <c r="O139" s="47">
        <v>327.410461</v>
      </c>
      <c r="P139" s="47">
        <v>340.86224399999998</v>
      </c>
      <c r="Q139" s="47">
        <v>353.05050699999998</v>
      </c>
      <c r="R139" s="47">
        <v>366.60595699999999</v>
      </c>
      <c r="S139" s="47">
        <v>382.95333900000003</v>
      </c>
      <c r="T139" s="47">
        <v>394.82739299999997</v>
      </c>
      <c r="U139" s="47">
        <v>412.51119999999997</v>
      </c>
      <c r="V139" s="47">
        <v>429.67004400000002</v>
      </c>
      <c r="W139" s="47">
        <v>444.30892899999998</v>
      </c>
      <c r="X139" s="47">
        <v>456.24182100000002</v>
      </c>
      <c r="Y139" s="47">
        <v>468.29614299999997</v>
      </c>
      <c r="Z139" s="47">
        <v>482.59146099999998</v>
      </c>
      <c r="AA139" s="47">
        <v>497.78393599999998</v>
      </c>
      <c r="AB139" s="47">
        <v>513.341858</v>
      </c>
      <c r="AC139" s="47">
        <v>528.57128899999998</v>
      </c>
      <c r="AD139" s="47">
        <v>543.32611099999997</v>
      </c>
      <c r="AE139" s="47">
        <v>561.378601</v>
      </c>
      <c r="AF139" s="46">
        <v>2.1422E-2</v>
      </c>
      <c r="AG139" s="36"/>
    </row>
    <row r="140" spans="1:33" ht="15" customHeight="1" x14ac:dyDescent="0.3">
      <c r="A140" s="35" t="s">
        <v>186</v>
      </c>
      <c r="B140" s="44" t="s">
        <v>93</v>
      </c>
      <c r="C140" s="47">
        <v>881.96179199999995</v>
      </c>
      <c r="D140" s="47">
        <v>811.42846699999996</v>
      </c>
      <c r="E140" s="47">
        <v>766.75103799999999</v>
      </c>
      <c r="F140" s="47">
        <v>723.15112299999998</v>
      </c>
      <c r="G140" s="47">
        <v>720.67791699999998</v>
      </c>
      <c r="H140" s="47">
        <v>721.14880400000004</v>
      </c>
      <c r="I140" s="47">
        <v>725.37042199999996</v>
      </c>
      <c r="J140" s="47">
        <v>736.70733600000005</v>
      </c>
      <c r="K140" s="47">
        <v>747.34710700000005</v>
      </c>
      <c r="L140" s="47">
        <v>759.18035899999995</v>
      </c>
      <c r="M140" s="47">
        <v>774.73083499999996</v>
      </c>
      <c r="N140" s="47">
        <v>791.205017</v>
      </c>
      <c r="O140" s="47">
        <v>809.23150599999997</v>
      </c>
      <c r="P140" s="47">
        <v>828.21209699999997</v>
      </c>
      <c r="Q140" s="47">
        <v>849.53375200000005</v>
      </c>
      <c r="R140" s="47">
        <v>869.042236</v>
      </c>
      <c r="S140" s="47">
        <v>890.13116500000001</v>
      </c>
      <c r="T140" s="47">
        <v>912.08129899999994</v>
      </c>
      <c r="U140" s="47">
        <v>935.030396</v>
      </c>
      <c r="V140" s="47">
        <v>960.26007100000004</v>
      </c>
      <c r="W140" s="47">
        <v>985.62011700000005</v>
      </c>
      <c r="X140" s="47">
        <v>1010.600464</v>
      </c>
      <c r="Y140" s="47">
        <v>1039.5527340000001</v>
      </c>
      <c r="Z140" s="47">
        <v>1069.6843260000001</v>
      </c>
      <c r="AA140" s="47">
        <v>1125.338379</v>
      </c>
      <c r="AB140" s="47">
        <v>1159.325073</v>
      </c>
      <c r="AC140" s="47">
        <v>1200.5155030000001</v>
      </c>
      <c r="AD140" s="47">
        <v>1239.8339840000001</v>
      </c>
      <c r="AE140" s="47">
        <v>1285.9207759999999</v>
      </c>
      <c r="AF140" s="46">
        <v>1.3558000000000001E-2</v>
      </c>
      <c r="AG140" s="36"/>
    </row>
    <row r="141" spans="1:33" x14ac:dyDescent="0.3">
      <c r="A141" s="35" t="s">
        <v>187</v>
      </c>
      <c r="B141" s="44" t="s">
        <v>135</v>
      </c>
      <c r="C141" s="47">
        <v>1752.4451899999999</v>
      </c>
      <c r="D141" s="47">
        <v>1664.5479740000001</v>
      </c>
      <c r="E141" s="47">
        <v>1579.775269</v>
      </c>
      <c r="F141" s="47">
        <v>1513.908447</v>
      </c>
      <c r="G141" s="47">
        <v>1507.102173</v>
      </c>
      <c r="H141" s="47">
        <v>1510.084351</v>
      </c>
      <c r="I141" s="47">
        <v>1524.3759769999999</v>
      </c>
      <c r="J141" s="47">
        <v>1555.774414</v>
      </c>
      <c r="K141" s="47">
        <v>1590.6655270000001</v>
      </c>
      <c r="L141" s="47">
        <v>1630.8104249999999</v>
      </c>
      <c r="M141" s="47">
        <v>1677.079346</v>
      </c>
      <c r="N141" s="47">
        <v>1733.240356</v>
      </c>
      <c r="O141" s="47">
        <v>1788.7691649999999</v>
      </c>
      <c r="P141" s="47">
        <v>1840.01062</v>
      </c>
      <c r="Q141" s="47">
        <v>1894.616577</v>
      </c>
      <c r="R141" s="47">
        <v>1950.1507570000001</v>
      </c>
      <c r="S141" s="47">
        <v>2012.7452390000001</v>
      </c>
      <c r="T141" s="47">
        <v>2068.9335940000001</v>
      </c>
      <c r="U141" s="47">
        <v>2134.0866700000001</v>
      </c>
      <c r="V141" s="47">
        <v>2201.5258789999998</v>
      </c>
      <c r="W141" s="47">
        <v>2265.1909179999998</v>
      </c>
      <c r="X141" s="47">
        <v>2326.1152339999999</v>
      </c>
      <c r="Y141" s="47">
        <v>2391.400635</v>
      </c>
      <c r="Z141" s="47">
        <v>2462.7983399999998</v>
      </c>
      <c r="AA141" s="47">
        <v>2563.1987300000001</v>
      </c>
      <c r="AB141" s="47">
        <v>2637.3100589999999</v>
      </c>
      <c r="AC141" s="47">
        <v>2721.3984380000002</v>
      </c>
      <c r="AD141" s="47">
        <v>2802.0825199999999</v>
      </c>
      <c r="AE141" s="47">
        <v>2892.5715329999998</v>
      </c>
      <c r="AF141" s="46">
        <v>1.8058999999999999E-2</v>
      </c>
      <c r="AG141" s="36"/>
    </row>
    <row r="142" spans="1:33" x14ac:dyDescent="0.3">
      <c r="A142" s="35" t="s">
        <v>188</v>
      </c>
      <c r="B142" s="44" t="s">
        <v>137</v>
      </c>
      <c r="C142" s="47">
        <v>1.2899940000000001</v>
      </c>
      <c r="D142" s="47">
        <v>1.201241</v>
      </c>
      <c r="E142" s="47">
        <v>1.109594</v>
      </c>
      <c r="F142" s="47">
        <v>1.053992</v>
      </c>
      <c r="G142" s="47">
        <v>1.0397289999999999</v>
      </c>
      <c r="H142" s="47">
        <v>1.027182</v>
      </c>
      <c r="I142" s="47">
        <v>1.0142910000000001</v>
      </c>
      <c r="J142" s="47">
        <v>0.99746900000000005</v>
      </c>
      <c r="K142" s="47">
        <v>0.97924699999999998</v>
      </c>
      <c r="L142" s="47">
        <v>0.95561600000000002</v>
      </c>
      <c r="M142" s="47">
        <v>0.93827000000000005</v>
      </c>
      <c r="N142" s="47">
        <v>0.92201699999999998</v>
      </c>
      <c r="O142" s="47">
        <v>0.90963499999999997</v>
      </c>
      <c r="P142" s="47">
        <v>0.89836499999999997</v>
      </c>
      <c r="Q142" s="47">
        <v>0.89511799999999997</v>
      </c>
      <c r="R142" s="47">
        <v>0.89109499999999997</v>
      </c>
      <c r="S142" s="47">
        <v>0.89440900000000001</v>
      </c>
      <c r="T142" s="47">
        <v>0.90472699999999995</v>
      </c>
      <c r="U142" s="47">
        <v>0.91914099999999999</v>
      </c>
      <c r="V142" s="47">
        <v>0.93616699999999997</v>
      </c>
      <c r="W142" s="47">
        <v>0.95972999999999997</v>
      </c>
      <c r="X142" s="47">
        <v>0.98244699999999996</v>
      </c>
      <c r="Y142" s="47">
        <v>1.0171840000000001</v>
      </c>
      <c r="Z142" s="47">
        <v>1.049472</v>
      </c>
      <c r="AA142" s="47">
        <v>1.1101289999999999</v>
      </c>
      <c r="AB142" s="47">
        <v>1.1506320000000001</v>
      </c>
      <c r="AC142" s="47">
        <v>1.2013210000000001</v>
      </c>
      <c r="AD142" s="47">
        <v>1.251039</v>
      </c>
      <c r="AE142" s="47">
        <v>1.3100050000000001</v>
      </c>
      <c r="AF142" s="46">
        <v>5.5000000000000003E-4</v>
      </c>
      <c r="AG142" s="36"/>
    </row>
    <row r="143" spans="1:33" x14ac:dyDescent="0.3">
      <c r="A143" s="35" t="s">
        <v>189</v>
      </c>
      <c r="B143" s="55" t="s">
        <v>139</v>
      </c>
      <c r="C143" s="56">
        <v>1753.7352289999999</v>
      </c>
      <c r="D143" s="56">
        <v>1665.749268</v>
      </c>
      <c r="E143" s="56">
        <v>1580.884888</v>
      </c>
      <c r="F143" s="56">
        <v>1514.962524</v>
      </c>
      <c r="G143" s="56">
        <v>1508.141846</v>
      </c>
      <c r="H143" s="56">
        <v>1511.1114500000001</v>
      </c>
      <c r="I143" s="56">
        <v>1525.390259</v>
      </c>
      <c r="J143" s="56">
        <v>1556.771851</v>
      </c>
      <c r="K143" s="56">
        <v>1591.6448969999999</v>
      </c>
      <c r="L143" s="56">
        <v>1631.765991</v>
      </c>
      <c r="M143" s="56">
        <v>1678.017456</v>
      </c>
      <c r="N143" s="56">
        <v>1734.1623540000001</v>
      </c>
      <c r="O143" s="56">
        <v>1789.6789550000001</v>
      </c>
      <c r="P143" s="56">
        <v>1840.909058</v>
      </c>
      <c r="Q143" s="56">
        <v>1895.5117190000001</v>
      </c>
      <c r="R143" s="56">
        <v>1951.0419919999999</v>
      </c>
      <c r="S143" s="56">
        <v>2013.6397710000001</v>
      </c>
      <c r="T143" s="56">
        <v>2069.8383789999998</v>
      </c>
      <c r="U143" s="56">
        <v>2135.0058589999999</v>
      </c>
      <c r="V143" s="56">
        <v>2202.4621579999998</v>
      </c>
      <c r="W143" s="56">
        <v>2266.150635</v>
      </c>
      <c r="X143" s="56">
        <v>2327.0976559999999</v>
      </c>
      <c r="Y143" s="56">
        <v>2392.4179690000001</v>
      </c>
      <c r="Z143" s="56">
        <v>2463.8479000000002</v>
      </c>
      <c r="AA143" s="56">
        <v>2564.3090820000002</v>
      </c>
      <c r="AB143" s="56">
        <v>2638.460693</v>
      </c>
      <c r="AC143" s="56">
        <v>2722.5996089999999</v>
      </c>
      <c r="AD143" s="56">
        <v>2803.3332519999999</v>
      </c>
      <c r="AE143" s="56">
        <v>2893.8815920000002</v>
      </c>
      <c r="AF143" s="57">
        <v>1.8048999999999999E-2</v>
      </c>
      <c r="AG143" s="36"/>
    </row>
    <row r="144" spans="1:33" x14ac:dyDescent="0.3">
      <c r="A144" s="34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 spans="2:34" ht="15" thickBot="1" x14ac:dyDescent="0.35"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4"/>
    </row>
    <row r="146" spans="2:34" x14ac:dyDescent="0.3">
      <c r="B146" s="59" t="s">
        <v>190</v>
      </c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39"/>
    </row>
    <row r="147" spans="2:34" x14ac:dyDescent="0.3">
      <c r="B147" s="36" t="s">
        <v>191</v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4"/>
    </row>
    <row r="148" spans="2:34" x14ac:dyDescent="0.3">
      <c r="B148" s="36" t="s">
        <v>192</v>
      </c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4"/>
    </row>
    <row r="149" spans="2:34" x14ac:dyDescent="0.3">
      <c r="B149" s="36" t="s">
        <v>193</v>
      </c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4"/>
    </row>
    <row r="150" spans="2:34" ht="15" customHeight="1" x14ac:dyDescent="0.3">
      <c r="B150" s="36" t="s">
        <v>194</v>
      </c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4"/>
    </row>
    <row r="151" spans="2:34" ht="15" customHeight="1" x14ac:dyDescent="0.3">
      <c r="B151" s="36" t="s">
        <v>195</v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4"/>
    </row>
    <row r="152" spans="2:34" ht="15" customHeight="1" x14ac:dyDescent="0.3">
      <c r="B152" s="36" t="s">
        <v>196</v>
      </c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4"/>
    </row>
    <row r="153" spans="2:34" ht="15" customHeight="1" x14ac:dyDescent="0.3">
      <c r="B153" s="36" t="s">
        <v>197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4"/>
    </row>
    <row r="154" spans="2:34" ht="15" customHeight="1" x14ac:dyDescent="0.3">
      <c r="B154" s="36" t="s">
        <v>198</v>
      </c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4"/>
    </row>
    <row r="155" spans="2:34" ht="15" customHeight="1" x14ac:dyDescent="0.3">
      <c r="B155" s="36" t="s">
        <v>199</v>
      </c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4"/>
    </row>
    <row r="156" spans="2:34" ht="15" customHeight="1" x14ac:dyDescent="0.3">
      <c r="B156" s="36" t="s">
        <v>200</v>
      </c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4"/>
    </row>
    <row r="157" spans="2:34" ht="15" customHeight="1" x14ac:dyDescent="0.3">
      <c r="B157" s="36" t="s">
        <v>201</v>
      </c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4"/>
    </row>
    <row r="158" spans="2:34" ht="15" customHeight="1" x14ac:dyDescent="0.3">
      <c r="B158" s="36" t="s">
        <v>202</v>
      </c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4"/>
    </row>
    <row r="159" spans="2:34" ht="15" customHeight="1" x14ac:dyDescent="0.3">
      <c r="B159" s="36" t="s">
        <v>203</v>
      </c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4"/>
    </row>
    <row r="160" spans="2:34" ht="15" customHeight="1" x14ac:dyDescent="0.3">
      <c r="B160" s="36" t="s">
        <v>204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4"/>
    </row>
    <row r="161" spans="2:33" ht="15" customHeight="1" x14ac:dyDescent="0.3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</row>
    <row r="162" spans="2:33" ht="15" customHeight="1" x14ac:dyDescent="0.3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</row>
    <row r="163" spans="2:33" ht="15" customHeight="1" x14ac:dyDescent="0.3"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</row>
    <row r="164" spans="2:33" ht="15" customHeight="1" x14ac:dyDescent="0.3"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</row>
    <row r="165" spans="2:33" x14ac:dyDescent="0.3"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</row>
    <row r="166" spans="2:33" ht="15" customHeight="1" x14ac:dyDescent="0.3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</row>
    <row r="167" spans="2:33" ht="15" customHeight="1" x14ac:dyDescent="0.3"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</row>
    <row r="168" spans="2:33" ht="15" customHeight="1" x14ac:dyDescent="0.3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</row>
    <row r="169" spans="2:33" ht="15" customHeight="1" x14ac:dyDescent="0.3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</row>
    <row r="170" spans="2:33" ht="15" customHeight="1" x14ac:dyDescent="0.3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</row>
    <row r="171" spans="2:33" ht="15" customHeight="1" x14ac:dyDescent="0.3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</row>
    <row r="172" spans="2:33" ht="15" customHeight="1" x14ac:dyDescent="0.3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</row>
    <row r="173" spans="2:33" ht="15" customHeight="1" x14ac:dyDescent="0.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 spans="2:33" ht="15" customHeight="1" x14ac:dyDescent="0.3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</row>
    <row r="175" spans="2:33" ht="15" customHeight="1" x14ac:dyDescent="0.3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</row>
    <row r="176" spans="2:33" ht="15" customHeight="1" x14ac:dyDescent="0.3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</row>
    <row r="177" spans="2:33" ht="15" customHeight="1" x14ac:dyDescent="0.3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</row>
    <row r="178" spans="2:33" ht="15" customHeight="1" x14ac:dyDescent="0.3"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</row>
    <row r="179" spans="2:33" ht="15" customHeight="1" x14ac:dyDescent="0.3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</row>
    <row r="180" spans="2:33" x14ac:dyDescent="0.3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</row>
    <row r="181" spans="2:33" ht="15" customHeight="1" x14ac:dyDescent="0.3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</row>
    <row r="182" spans="2:33" ht="15" customHeight="1" x14ac:dyDescent="0.3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</row>
    <row r="183" spans="2:33" ht="15" customHeight="1" x14ac:dyDescent="0.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</row>
    <row r="184" spans="2:33" ht="15" customHeight="1" x14ac:dyDescent="0.3"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</row>
    <row r="185" spans="2:33" ht="15" customHeight="1" x14ac:dyDescent="0.3"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</row>
    <row r="186" spans="2:33" ht="15" customHeight="1" x14ac:dyDescent="0.3"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</row>
    <row r="187" spans="2:33" ht="15" customHeight="1" x14ac:dyDescent="0.3"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</row>
    <row r="188" spans="2:33" ht="15" customHeight="1" x14ac:dyDescent="0.3"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</row>
    <row r="189" spans="2:33" ht="15" customHeight="1" x14ac:dyDescent="0.3"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</row>
    <row r="190" spans="2:33" ht="15" customHeight="1" x14ac:dyDescent="0.3"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</row>
    <row r="191" spans="2:33" ht="15" customHeight="1" x14ac:dyDescent="0.3"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</row>
    <row r="192" spans="2:33" ht="15" customHeight="1" x14ac:dyDescent="0.3"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</row>
    <row r="193" spans="2:33" ht="15" customHeight="1" x14ac:dyDescent="0.3"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</row>
    <row r="194" spans="2:33" ht="15" customHeight="1" x14ac:dyDescent="0.3"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</row>
    <row r="195" spans="2:33" ht="15" customHeight="1" x14ac:dyDescent="0.3"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</row>
    <row r="196" spans="2:33" ht="15" customHeight="1" x14ac:dyDescent="0.3"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</row>
    <row r="197" spans="2:33" ht="15" customHeight="1" x14ac:dyDescent="0.3"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</row>
    <row r="198" spans="2:33" ht="15" customHeight="1" x14ac:dyDescent="0.3"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 spans="2:33" ht="15" customHeight="1" x14ac:dyDescent="0.3"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</row>
    <row r="200" spans="2:33" ht="15" customHeight="1" x14ac:dyDescent="0.3"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</row>
    <row r="201" spans="2:33" ht="15" customHeight="1" x14ac:dyDescent="0.3"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</row>
    <row r="202" spans="2:33" ht="15" customHeight="1" x14ac:dyDescent="0.3"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</row>
    <row r="203" spans="2:33" ht="15" customHeight="1" x14ac:dyDescent="0.3"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</row>
    <row r="204" spans="2:33" ht="15" customHeight="1" x14ac:dyDescent="0.3"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</row>
    <row r="205" spans="2:33" x14ac:dyDescent="0.3"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</row>
    <row r="206" spans="2:33" x14ac:dyDescent="0.3"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</row>
    <row r="207" spans="2:33" ht="15" customHeight="1" x14ac:dyDescent="0.3"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</row>
    <row r="208" spans="2:33" ht="15" customHeight="1" x14ac:dyDescent="0.3"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</row>
    <row r="209" spans="2:33" ht="15" customHeight="1" x14ac:dyDescent="0.3"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</row>
    <row r="210" spans="2:33" ht="15" customHeight="1" x14ac:dyDescent="0.3"/>
    <row r="211" spans="2:33" ht="15" customHeight="1" x14ac:dyDescent="0.3"/>
    <row r="212" spans="2:33" ht="15" customHeight="1" x14ac:dyDescent="0.3"/>
    <row r="213" spans="2:33" ht="15" customHeight="1" x14ac:dyDescent="0.3"/>
    <row r="214" spans="2:33" ht="15" customHeight="1" x14ac:dyDescent="0.3"/>
    <row r="215" spans="2:33" ht="15" customHeight="1" x14ac:dyDescent="0.3"/>
    <row r="216" spans="2:33" ht="15" customHeight="1" x14ac:dyDescent="0.3"/>
    <row r="217" spans="2:33" ht="15" customHeight="1" x14ac:dyDescent="0.3"/>
    <row r="218" spans="2:33" ht="15" customHeight="1" x14ac:dyDescent="0.3"/>
    <row r="219" spans="2:33" ht="15" customHeight="1" x14ac:dyDescent="0.3"/>
    <row r="220" spans="2:33" ht="15" customHeight="1" x14ac:dyDescent="0.3"/>
    <row r="221" spans="2:33" ht="15" customHeight="1" x14ac:dyDescent="0.3"/>
    <row r="222" spans="2:33" ht="15" customHeight="1" x14ac:dyDescent="0.3"/>
    <row r="223" spans="2:33" x14ac:dyDescent="0.3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 spans="2:33" ht="15" customHeight="1" x14ac:dyDescent="0.3"/>
    <row r="225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spans="2:32" ht="15" customHeight="1" x14ac:dyDescent="0.3"/>
    <row r="306" spans="2:32" ht="15" customHeight="1" x14ac:dyDescent="0.3"/>
    <row r="307" spans="2:32" ht="15" customHeight="1" x14ac:dyDescent="0.3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</row>
    <row r="308" spans="2:32" ht="15" customHeight="1" x14ac:dyDescent="0.3"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</row>
    <row r="309" spans="2:32" ht="15" customHeight="1" x14ac:dyDescent="0.3"/>
    <row r="310" spans="2:32" ht="15" customHeight="1" x14ac:dyDescent="0.3"/>
    <row r="311" spans="2:32" ht="15" customHeight="1" x14ac:dyDescent="0.3"/>
    <row r="312" spans="2:32" ht="15" customHeight="1" x14ac:dyDescent="0.3"/>
    <row r="313" spans="2:32" ht="15" customHeight="1" x14ac:dyDescent="0.3"/>
    <row r="314" spans="2:32" ht="15" customHeight="1" x14ac:dyDescent="0.3"/>
    <row r="315" spans="2:32" ht="15" customHeight="1" x14ac:dyDescent="0.3"/>
    <row r="316" spans="2:32" ht="15" customHeight="1" x14ac:dyDescent="0.3"/>
    <row r="317" spans="2:32" ht="15" customHeight="1" x14ac:dyDescent="0.3"/>
    <row r="318" spans="2:32" ht="15" customHeight="1" x14ac:dyDescent="0.3"/>
    <row r="319" spans="2:32" ht="15" customHeight="1" x14ac:dyDescent="0.3"/>
    <row r="320" spans="2:32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spans="2:32" ht="15" customHeight="1" x14ac:dyDescent="0.3"/>
    <row r="498" spans="2:32" ht="15" customHeight="1" x14ac:dyDescent="0.3"/>
    <row r="499" spans="2:32" x14ac:dyDescent="0.3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</row>
    <row r="500" spans="2:32" ht="15" customHeight="1" x14ac:dyDescent="0.3"/>
    <row r="501" spans="2:32" ht="15" customHeight="1" x14ac:dyDescent="0.3"/>
    <row r="502" spans="2:32" ht="15" customHeight="1" x14ac:dyDescent="0.3"/>
    <row r="503" spans="2:32" ht="15" customHeight="1" x14ac:dyDescent="0.3"/>
    <row r="504" spans="2:32" ht="15" customHeight="1" x14ac:dyDescent="0.3"/>
    <row r="505" spans="2:32" ht="15" customHeight="1" x14ac:dyDescent="0.3"/>
    <row r="506" spans="2:32" ht="15" customHeight="1" x14ac:dyDescent="0.3"/>
    <row r="507" spans="2:32" ht="15" customHeight="1" x14ac:dyDescent="0.3"/>
    <row r="508" spans="2:32" ht="15" customHeight="1" x14ac:dyDescent="0.3"/>
    <row r="509" spans="2:32" x14ac:dyDescent="0.3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</row>
    <row r="510" spans="2:32" ht="15" customHeight="1" x14ac:dyDescent="0.3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</row>
    <row r="511" spans="2:32" ht="15" customHeight="1" x14ac:dyDescent="0.3"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</row>
    <row r="512" spans="2:3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7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9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60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spans="2:32" ht="15" customHeight="1" x14ac:dyDescent="0.3"/>
    <row r="706" spans="2:32" ht="15" customHeight="1" x14ac:dyDescent="0.3"/>
    <row r="707" spans="2:32" ht="15" customHeight="1" x14ac:dyDescent="0.3"/>
    <row r="708" spans="2:32" ht="15" customHeight="1" x14ac:dyDescent="0.3"/>
    <row r="709" spans="2:32" ht="15" customHeight="1" x14ac:dyDescent="0.3"/>
    <row r="710" spans="2:32" ht="15" customHeight="1" x14ac:dyDescent="0.3"/>
    <row r="711" spans="2:32" ht="15" customHeight="1" x14ac:dyDescent="0.3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</row>
    <row r="712" spans="2:32" ht="15" customHeight="1" x14ac:dyDescent="0.3"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</row>
    <row r="713" spans="2:32" ht="15" customHeight="1" x14ac:dyDescent="0.3"/>
    <row r="714" spans="2:32" ht="15" customHeight="1" x14ac:dyDescent="0.3"/>
    <row r="715" spans="2:32" ht="15" customHeight="1" x14ac:dyDescent="0.3"/>
    <row r="716" spans="2:32" ht="15" customHeight="1" x14ac:dyDescent="0.3"/>
    <row r="717" spans="2:32" ht="15" customHeight="1" x14ac:dyDescent="0.3"/>
    <row r="718" spans="2:32" ht="15" customHeight="1" x14ac:dyDescent="0.3"/>
    <row r="719" spans="2:32" ht="15" customHeight="1" x14ac:dyDescent="0.3"/>
    <row r="720" spans="2:32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2" ht="15" customHeight="1" x14ac:dyDescent="0.3"/>
    <row r="823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40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spans="2:32" ht="15" customHeight="1" x14ac:dyDescent="0.3"/>
    <row r="882" spans="2:32" ht="15" customHeight="1" x14ac:dyDescent="0.3"/>
    <row r="883" spans="2:32" ht="15" customHeight="1" x14ac:dyDescent="0.3"/>
    <row r="884" spans="2:32" ht="15" customHeight="1" x14ac:dyDescent="0.3"/>
    <row r="885" spans="2:32" ht="15" customHeight="1" x14ac:dyDescent="0.3"/>
    <row r="886" spans="2:32" ht="15" customHeight="1" x14ac:dyDescent="0.3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</row>
    <row r="887" spans="2:32" ht="15" customHeight="1" x14ac:dyDescent="0.3"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</row>
    <row r="888" spans="2:32" ht="15" customHeight="1" x14ac:dyDescent="0.3"/>
    <row r="889" spans="2:32" ht="15" customHeight="1" x14ac:dyDescent="0.3"/>
    <row r="890" spans="2:32" ht="15" customHeight="1" x14ac:dyDescent="0.3"/>
    <row r="891" spans="2:32" ht="15" customHeight="1" x14ac:dyDescent="0.3"/>
    <row r="892" spans="2:32" ht="15" customHeight="1" x14ac:dyDescent="0.3"/>
    <row r="893" spans="2:32" ht="15" customHeight="1" x14ac:dyDescent="0.3"/>
    <row r="894" spans="2:32" ht="15" customHeight="1" x14ac:dyDescent="0.3"/>
    <row r="895" spans="2:32" ht="15" customHeight="1" x14ac:dyDescent="0.3"/>
    <row r="896" spans="2:32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spans="2:32" ht="15" customHeight="1" x14ac:dyDescent="0.3"/>
    <row r="1090" spans="2:32" ht="15" customHeight="1" x14ac:dyDescent="0.3"/>
    <row r="1091" spans="2:32" ht="15" customHeight="1" x14ac:dyDescent="0.3"/>
    <row r="1092" spans="2:32" ht="15" customHeight="1" x14ac:dyDescent="0.3"/>
    <row r="1093" spans="2:32" ht="15" customHeight="1" x14ac:dyDescent="0.3"/>
    <row r="1094" spans="2:32" ht="15" customHeight="1" x14ac:dyDescent="0.3"/>
    <row r="1096" spans="2:32" ht="15" customHeight="1" x14ac:dyDescent="0.3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</row>
    <row r="1097" spans="2:32" ht="15" customHeight="1" x14ac:dyDescent="0.3"/>
    <row r="1098" spans="2:32" ht="15" customHeight="1" x14ac:dyDescent="0.3"/>
    <row r="1099" spans="2:32" ht="15" customHeight="1" x14ac:dyDescent="0.3"/>
    <row r="1100" spans="2:32" ht="15" customHeight="1" x14ac:dyDescent="0.3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</row>
    <row r="1101" spans="2:32" ht="15" customHeight="1" x14ac:dyDescent="0.3">
      <c r="B1101" s="61"/>
      <c r="C1101" s="61"/>
      <c r="D1101" s="61"/>
      <c r="E1101" s="61"/>
      <c r="F1101" s="61"/>
      <c r="G1101" s="61"/>
      <c r="H1101" s="61"/>
      <c r="I1101" s="61"/>
      <c r="J1101" s="61"/>
      <c r="K1101" s="61"/>
      <c r="L1101" s="61"/>
      <c r="M1101" s="61"/>
      <c r="N1101" s="61"/>
      <c r="O1101" s="61"/>
      <c r="P1101" s="61"/>
      <c r="Q1101" s="61"/>
      <c r="R1101" s="61"/>
      <c r="S1101" s="61"/>
      <c r="T1101" s="61"/>
      <c r="U1101" s="61"/>
      <c r="V1101" s="61"/>
      <c r="W1101" s="61"/>
      <c r="X1101" s="61"/>
      <c r="Y1101" s="61"/>
      <c r="Z1101" s="61"/>
      <c r="AA1101" s="61"/>
      <c r="AB1101" s="61"/>
      <c r="AC1101" s="61"/>
      <c r="AD1101" s="61"/>
      <c r="AE1101" s="61"/>
      <c r="AF1101" s="61"/>
    </row>
    <row r="1102" spans="2:32" ht="15" customHeight="1" x14ac:dyDescent="0.3"/>
    <row r="1103" spans="2:32" ht="15" customHeight="1" x14ac:dyDescent="0.3"/>
    <row r="1104" spans="2:32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spans="2:32" ht="15" customHeight="1" x14ac:dyDescent="0.3"/>
    <row r="1218" spans="2:32" ht="15" customHeight="1" x14ac:dyDescent="0.3"/>
    <row r="1219" spans="2:32" ht="15" customHeight="1" x14ac:dyDescent="0.3"/>
    <row r="1220" spans="2:32" ht="15" customHeight="1" x14ac:dyDescent="0.3"/>
    <row r="1221" spans="2:32" ht="15" customHeight="1" x14ac:dyDescent="0.3"/>
    <row r="1222" spans="2:32" ht="15" customHeight="1" x14ac:dyDescent="0.3"/>
    <row r="1223" spans="2:32" ht="15" customHeight="1" x14ac:dyDescent="0.3"/>
    <row r="1224" spans="2:32" ht="15" customHeight="1" x14ac:dyDescent="0.3"/>
    <row r="1225" spans="2:32" ht="15" customHeight="1" x14ac:dyDescent="0.3"/>
    <row r="1226" spans="2:32" ht="15" customHeight="1" x14ac:dyDescent="0.3"/>
    <row r="1227" spans="2:32" ht="15" customHeight="1" x14ac:dyDescent="0.3"/>
    <row r="1228" spans="2:32" ht="15" customHeight="1" x14ac:dyDescent="0.3"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</row>
    <row r="1229" spans="2:32" ht="15" customHeight="1" x14ac:dyDescent="0.3">
      <c r="B1229" s="61"/>
      <c r="C1229" s="61"/>
      <c r="D1229" s="61"/>
      <c r="E1229" s="61"/>
      <c r="F1229" s="61"/>
      <c r="G1229" s="61"/>
      <c r="H1229" s="61"/>
      <c r="I1229" s="61"/>
      <c r="J1229" s="61"/>
      <c r="K1229" s="61"/>
      <c r="L1229" s="61"/>
      <c r="M1229" s="61"/>
      <c r="N1229" s="61"/>
      <c r="O1229" s="61"/>
      <c r="P1229" s="61"/>
      <c r="Q1229" s="61"/>
      <c r="R1229" s="61"/>
      <c r="S1229" s="61"/>
      <c r="T1229" s="61"/>
      <c r="U1229" s="61"/>
      <c r="V1229" s="61"/>
      <c r="W1229" s="61"/>
      <c r="X1229" s="61"/>
      <c r="Y1229" s="61"/>
      <c r="Z1229" s="61"/>
      <c r="AA1229" s="61"/>
      <c r="AB1229" s="61"/>
      <c r="AC1229" s="61"/>
      <c r="AD1229" s="61"/>
      <c r="AE1229" s="61"/>
      <c r="AF1229" s="61"/>
    </row>
    <row r="1230" spans="2:32" ht="15" customHeight="1" x14ac:dyDescent="0.3"/>
    <row r="1231" spans="2:32" ht="15" customHeight="1" x14ac:dyDescent="0.3"/>
    <row r="1232" spans="2: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7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50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5" ht="15" customHeight="1" x14ac:dyDescent="0.3"/>
    <row r="1376" ht="15" customHeight="1" x14ac:dyDescent="0.3"/>
    <row r="1377" spans="2:32" ht="15" customHeight="1" x14ac:dyDescent="0.3"/>
    <row r="1378" spans="2:32" ht="15" customHeight="1" x14ac:dyDescent="0.3"/>
    <row r="1379" spans="2:32" ht="15" customHeight="1" x14ac:dyDescent="0.3"/>
    <row r="1380" spans="2:32" ht="15" customHeight="1" x14ac:dyDescent="0.3"/>
    <row r="1381" spans="2:32" ht="15" customHeight="1" x14ac:dyDescent="0.3"/>
    <row r="1382" spans="2:32" ht="15" customHeight="1" x14ac:dyDescent="0.3"/>
    <row r="1383" spans="2:32" ht="15" customHeight="1" x14ac:dyDescent="0.3"/>
    <row r="1384" spans="2:32" x14ac:dyDescent="0.3">
      <c r="B1384" s="34"/>
      <c r="C1384" s="34"/>
      <c r="D1384" s="34"/>
      <c r="E1384" s="34"/>
      <c r="F1384" s="34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</row>
    <row r="1385" spans="2:32" ht="15" customHeight="1" x14ac:dyDescent="0.3"/>
    <row r="1386" spans="2:32" ht="15" customHeight="1" x14ac:dyDescent="0.3"/>
    <row r="1387" spans="2:32" ht="15" customHeight="1" x14ac:dyDescent="0.3"/>
    <row r="1388" spans="2:32" ht="15" customHeight="1" x14ac:dyDescent="0.3"/>
    <row r="1389" spans="2:32" ht="15" customHeight="1" x14ac:dyDescent="0.3"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</row>
    <row r="1390" spans="2:32" ht="15" customHeight="1" x14ac:dyDescent="0.3">
      <c r="B1390" s="61"/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61"/>
      <c r="P1390" s="61"/>
      <c r="Q1390" s="61"/>
      <c r="R1390" s="61"/>
      <c r="S1390" s="61"/>
      <c r="T1390" s="61"/>
      <c r="U1390" s="61"/>
      <c r="V1390" s="61"/>
      <c r="W1390" s="61"/>
      <c r="X1390" s="61"/>
      <c r="Y1390" s="61"/>
      <c r="Z1390" s="61"/>
      <c r="AA1390" s="61"/>
      <c r="AB1390" s="61"/>
      <c r="AC1390" s="61"/>
      <c r="AD1390" s="61"/>
      <c r="AE1390" s="61"/>
      <c r="AF1390" s="61"/>
    </row>
    <row r="1391" spans="2:32" ht="15" customHeight="1" x14ac:dyDescent="0.3"/>
    <row r="1392" spans="2:3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9" spans="2:32" ht="15" customHeight="1" x14ac:dyDescent="0.3"/>
    <row r="1490" spans="2:32" x14ac:dyDescent="0.3">
      <c r="B1490" s="34"/>
      <c r="C1490" s="34"/>
      <c r="D1490" s="34"/>
      <c r="E1490" s="34"/>
      <c r="F1490" s="34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</row>
    <row r="1491" spans="2:32" ht="15" customHeight="1" x14ac:dyDescent="0.3"/>
    <row r="1492" spans="2:32" ht="15" customHeight="1" x14ac:dyDescent="0.3"/>
    <row r="1493" spans="2:32" ht="15" customHeight="1" x14ac:dyDescent="0.3"/>
    <row r="1494" spans="2:32" ht="15" customHeight="1" x14ac:dyDescent="0.3"/>
    <row r="1495" spans="2:32" ht="15" customHeight="1" x14ac:dyDescent="0.3"/>
    <row r="1496" spans="2:32" ht="15" customHeight="1" x14ac:dyDescent="0.3"/>
    <row r="1497" spans="2:32" ht="15" customHeight="1" x14ac:dyDescent="0.3"/>
    <row r="1498" spans="2:32" ht="15" customHeight="1" x14ac:dyDescent="0.3"/>
    <row r="1499" spans="2:32" x14ac:dyDescent="0.3">
      <c r="B1499" s="34"/>
      <c r="C1499" s="34"/>
      <c r="D1499" s="34"/>
      <c r="E1499" s="34"/>
      <c r="F1499" s="34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</row>
    <row r="1500" spans="2:32" ht="15" customHeight="1" x14ac:dyDescent="0.3"/>
    <row r="1501" spans="2:32" ht="15" customHeight="1" x14ac:dyDescent="0.3">
      <c r="B1501" s="34"/>
      <c r="C1501" s="34"/>
      <c r="D1501" s="34"/>
      <c r="E1501" s="34"/>
      <c r="F1501" s="34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</row>
    <row r="1502" spans="2:32" ht="15" customHeight="1" x14ac:dyDescent="0.3">
      <c r="B1502" s="61"/>
      <c r="C1502" s="61"/>
      <c r="D1502" s="61"/>
      <c r="E1502" s="61"/>
      <c r="F1502" s="61"/>
      <c r="G1502" s="61"/>
      <c r="H1502" s="61"/>
      <c r="I1502" s="61"/>
      <c r="J1502" s="61"/>
      <c r="K1502" s="61"/>
      <c r="L1502" s="61"/>
      <c r="M1502" s="61"/>
      <c r="N1502" s="61"/>
      <c r="O1502" s="61"/>
      <c r="P1502" s="61"/>
      <c r="Q1502" s="61"/>
      <c r="R1502" s="61"/>
      <c r="S1502" s="61"/>
      <c r="T1502" s="61"/>
      <c r="U1502" s="61"/>
      <c r="V1502" s="61"/>
      <c r="W1502" s="61"/>
      <c r="X1502" s="61"/>
      <c r="Y1502" s="61"/>
      <c r="Z1502" s="61"/>
      <c r="AA1502" s="61"/>
      <c r="AB1502" s="61"/>
      <c r="AC1502" s="61"/>
      <c r="AD1502" s="61"/>
      <c r="AE1502" s="61"/>
      <c r="AF1502" s="61"/>
    </row>
    <row r="1503" spans="2:32" ht="15" customHeight="1" x14ac:dyDescent="0.3"/>
    <row r="1504" spans="2:32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2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9" ht="15" customHeight="1" x14ac:dyDescent="0.3"/>
    <row r="1600" ht="15" customHeight="1" x14ac:dyDescent="0.3"/>
    <row r="1601" spans="2:32" ht="15" customHeight="1" x14ac:dyDescent="0.3"/>
    <row r="1602" spans="2:32" ht="15" customHeight="1" x14ac:dyDescent="0.3"/>
    <row r="1603" spans="2:32" ht="15" customHeight="1" x14ac:dyDescent="0.3">
      <c r="B1603" s="34"/>
      <c r="C1603" s="34"/>
      <c r="D1603" s="34"/>
      <c r="E1603" s="34"/>
      <c r="F1603" s="34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</row>
    <row r="1604" spans="2:32" ht="15" customHeight="1" x14ac:dyDescent="0.3">
      <c r="B1604" s="61"/>
      <c r="C1604" s="61"/>
      <c r="D1604" s="61"/>
      <c r="E1604" s="61"/>
      <c r="F1604" s="61"/>
      <c r="G1604" s="61"/>
      <c r="H1604" s="61"/>
      <c r="I1604" s="61"/>
      <c r="J1604" s="61"/>
      <c r="K1604" s="61"/>
      <c r="L1604" s="61"/>
      <c r="M1604" s="61"/>
      <c r="N1604" s="61"/>
      <c r="O1604" s="61"/>
      <c r="P1604" s="61"/>
      <c r="Q1604" s="61"/>
      <c r="R1604" s="61"/>
      <c r="S1604" s="61"/>
      <c r="T1604" s="61"/>
      <c r="U1604" s="61"/>
      <c r="V1604" s="61"/>
      <c r="W1604" s="61"/>
      <c r="X1604" s="61"/>
      <c r="Y1604" s="61"/>
      <c r="Z1604" s="61"/>
      <c r="AA1604" s="61"/>
      <c r="AB1604" s="61"/>
      <c r="AC1604" s="61"/>
      <c r="AD1604" s="61"/>
      <c r="AE1604" s="61"/>
      <c r="AF1604" s="61"/>
    </row>
    <row r="1605" spans="2:32" ht="15" customHeight="1" x14ac:dyDescent="0.3"/>
    <row r="1606" spans="2:32" ht="15" customHeight="1" x14ac:dyDescent="0.3"/>
    <row r="1607" spans="2:32" ht="15" customHeight="1" x14ac:dyDescent="0.3"/>
    <row r="1608" spans="2:32" ht="15" customHeight="1" x14ac:dyDescent="0.3"/>
    <row r="1609" spans="2:32" ht="15" customHeight="1" x14ac:dyDescent="0.3"/>
    <row r="1610" spans="2:32" ht="15" customHeight="1" x14ac:dyDescent="0.3"/>
    <row r="1612" spans="2:32" x14ac:dyDescent="0.3">
      <c r="B1612" s="34"/>
      <c r="C1612" s="34"/>
      <c r="D1612" s="34"/>
      <c r="E1612" s="34"/>
      <c r="F1612" s="34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</row>
    <row r="1613" spans="2:32" x14ac:dyDescent="0.3">
      <c r="B1613" s="34"/>
      <c r="C1613" s="34"/>
      <c r="D1613" s="34"/>
      <c r="E1613" s="34"/>
      <c r="F1613" s="34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</row>
    <row r="1614" spans="2:32" x14ac:dyDescent="0.3">
      <c r="B1614" s="34"/>
      <c r="C1614" s="34"/>
      <c r="D1614" s="34"/>
      <c r="E1614" s="34"/>
      <c r="F1614" s="34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</row>
    <row r="1615" spans="2:32" x14ac:dyDescent="0.3">
      <c r="B1615" s="34"/>
      <c r="C1615" s="34"/>
      <c r="D1615" s="34"/>
      <c r="E1615" s="34"/>
      <c r="F1615" s="34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</row>
    <row r="1616" spans="2:32" x14ac:dyDescent="0.3">
      <c r="B1616" s="34"/>
      <c r="C1616" s="34"/>
      <c r="D1616" s="34"/>
      <c r="E1616" s="34"/>
      <c r="F1616" s="34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</row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5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6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7" spans="2:32" ht="15" customHeight="1" x14ac:dyDescent="0.3">
      <c r="B1697" s="34"/>
      <c r="C1697" s="34"/>
      <c r="D1697" s="34"/>
      <c r="E1697" s="34"/>
      <c r="F1697" s="34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</row>
    <row r="1698" spans="2:32" ht="15" customHeight="1" x14ac:dyDescent="0.3">
      <c r="B1698" s="34"/>
      <c r="C1698" s="34"/>
      <c r="D1698" s="34"/>
      <c r="E1698" s="34"/>
      <c r="F1698" s="34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</row>
    <row r="1699" spans="2:32" ht="15" customHeight="1" x14ac:dyDescent="0.3">
      <c r="B1699" s="61"/>
      <c r="C1699" s="61"/>
      <c r="D1699" s="61"/>
      <c r="E1699" s="61"/>
      <c r="F1699" s="61"/>
      <c r="G1699" s="61"/>
      <c r="H1699" s="61"/>
      <c r="I1699" s="61"/>
      <c r="J1699" s="61"/>
      <c r="K1699" s="61"/>
      <c r="L1699" s="61"/>
      <c r="M1699" s="61"/>
      <c r="N1699" s="61"/>
      <c r="O1699" s="61"/>
      <c r="P1699" s="61"/>
      <c r="Q1699" s="61"/>
      <c r="R1699" s="61"/>
      <c r="S1699" s="61"/>
      <c r="T1699" s="61"/>
      <c r="U1699" s="61"/>
      <c r="V1699" s="61"/>
      <c r="W1699" s="61"/>
      <c r="X1699" s="61"/>
      <c r="Y1699" s="61"/>
      <c r="Z1699" s="61"/>
      <c r="AA1699" s="61"/>
      <c r="AB1699" s="61"/>
      <c r="AC1699" s="61"/>
      <c r="AD1699" s="61"/>
      <c r="AE1699" s="61"/>
      <c r="AF1699" s="61"/>
    </row>
    <row r="1700" spans="2:32" ht="15" customHeight="1" x14ac:dyDescent="0.3"/>
    <row r="1701" spans="2:32" ht="15" customHeight="1" x14ac:dyDescent="0.3"/>
    <row r="1702" spans="2:32" ht="15" customHeight="1" x14ac:dyDescent="0.3"/>
    <row r="1703" spans="2:32" ht="15" customHeight="1" x14ac:dyDescent="0.3"/>
    <row r="1704" spans="2:32" ht="15" customHeight="1" x14ac:dyDescent="0.3"/>
    <row r="1705" spans="2:32" ht="15" customHeight="1" x14ac:dyDescent="0.3"/>
    <row r="1706" spans="2:32" ht="15" customHeight="1" x14ac:dyDescent="0.3"/>
    <row r="1707" spans="2:32" ht="15" customHeight="1" x14ac:dyDescent="0.3"/>
    <row r="1708" spans="2:32" ht="15" customHeight="1" x14ac:dyDescent="0.3"/>
    <row r="1709" spans="2:32" ht="15" customHeight="1" x14ac:dyDescent="0.3"/>
    <row r="1710" spans="2:32" ht="15" customHeight="1" x14ac:dyDescent="0.3"/>
    <row r="1711" spans="2:32" ht="15" customHeight="1" x14ac:dyDescent="0.3"/>
    <row r="1712" spans="2:32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1" ht="15" customHeight="1" x14ac:dyDescent="0.3"/>
    <row r="1863" ht="15" customHeight="1" x14ac:dyDescent="0.3"/>
    <row r="1864" ht="15" customHeight="1" x14ac:dyDescent="0.3"/>
    <row r="1865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5" ht="15" customHeight="1" x14ac:dyDescent="0.3"/>
    <row r="1916" ht="15" customHeight="1" x14ac:dyDescent="0.3"/>
    <row r="1917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3" ht="15" customHeight="1" x14ac:dyDescent="0.3"/>
    <row r="1934" ht="15" customHeight="1" x14ac:dyDescent="0.3"/>
    <row r="1935" ht="15" customHeight="1" x14ac:dyDescent="0.3"/>
    <row r="1937" spans="2:32" ht="15" customHeight="1" x14ac:dyDescent="0.3"/>
    <row r="1938" spans="2:32" ht="15" customHeight="1" x14ac:dyDescent="0.3"/>
    <row r="1939" spans="2:32" ht="15" customHeight="1" x14ac:dyDescent="0.3"/>
    <row r="1940" spans="2:32" ht="15" customHeight="1" x14ac:dyDescent="0.3"/>
    <row r="1941" spans="2:32" ht="15" customHeight="1" x14ac:dyDescent="0.3"/>
    <row r="1942" spans="2:32" ht="15" customHeight="1" x14ac:dyDescent="0.3"/>
    <row r="1943" spans="2:32" ht="15" customHeight="1" x14ac:dyDescent="0.3"/>
    <row r="1944" spans="2:32" ht="15" customHeight="1" x14ac:dyDescent="0.3">
      <c r="B1944" s="34"/>
      <c r="C1944" s="34"/>
      <c r="D1944" s="34"/>
      <c r="E1944" s="34"/>
      <c r="F1944" s="34"/>
      <c r="G1944" s="34"/>
      <c r="H1944" s="34"/>
      <c r="I1944" s="34"/>
      <c r="J1944" s="34"/>
      <c r="K1944" s="34"/>
      <c r="L1944" s="34"/>
      <c r="M1944" s="34"/>
      <c r="N1944" s="34"/>
      <c r="O1944" s="34"/>
      <c r="P1944" s="34"/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</row>
    <row r="1945" spans="2:32" ht="15" customHeight="1" x14ac:dyDescent="0.3">
      <c r="B1945" s="61"/>
      <c r="C1945" s="61"/>
      <c r="D1945" s="61"/>
      <c r="E1945" s="61"/>
      <c r="F1945" s="61"/>
      <c r="G1945" s="61"/>
      <c r="H1945" s="61"/>
      <c r="I1945" s="61"/>
      <c r="J1945" s="61"/>
      <c r="K1945" s="61"/>
      <c r="L1945" s="61"/>
      <c r="M1945" s="61"/>
      <c r="N1945" s="61"/>
      <c r="O1945" s="61"/>
      <c r="P1945" s="61"/>
      <c r="Q1945" s="61"/>
      <c r="R1945" s="61"/>
      <c r="S1945" s="61"/>
      <c r="T1945" s="61"/>
      <c r="U1945" s="61"/>
      <c r="V1945" s="61"/>
      <c r="W1945" s="61"/>
      <c r="X1945" s="61"/>
      <c r="Y1945" s="61"/>
      <c r="Z1945" s="61"/>
      <c r="AA1945" s="61"/>
      <c r="AB1945" s="61"/>
      <c r="AC1945" s="61"/>
      <c r="AD1945" s="61"/>
      <c r="AE1945" s="61"/>
      <c r="AF1945" s="61"/>
    </row>
    <row r="1946" spans="2:32" ht="15" customHeight="1" x14ac:dyDescent="0.3"/>
    <row r="1947" spans="2:32" ht="15" customHeight="1" x14ac:dyDescent="0.3"/>
    <row r="1948" spans="2:32" ht="15" customHeight="1" x14ac:dyDescent="0.3"/>
    <row r="1949" spans="2:32" ht="15" customHeight="1" x14ac:dyDescent="0.3"/>
    <row r="1950" spans="2:32" ht="15" customHeight="1" x14ac:dyDescent="0.3"/>
    <row r="1951" spans="2:32" ht="15" customHeight="1" x14ac:dyDescent="0.3"/>
    <row r="1952" spans="2:32" ht="15" customHeight="1" x14ac:dyDescent="0.3"/>
    <row r="1953" ht="15" customHeight="1" x14ac:dyDescent="0.3"/>
    <row r="1954" ht="15" customHeight="1" x14ac:dyDescent="0.3"/>
    <row r="1955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4" ht="15" customHeight="1" x14ac:dyDescent="0.3"/>
    <row r="1985" ht="15" customHeight="1" x14ac:dyDescent="0.3"/>
    <row r="1986" ht="15" customHeight="1" x14ac:dyDescent="0.3"/>
    <row r="1988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4" ht="15" customHeight="1" x14ac:dyDescent="0.3"/>
    <row r="2006" ht="15" customHeight="1" x14ac:dyDescent="0.3"/>
    <row r="2008" ht="15" customHeight="1" x14ac:dyDescent="0.3"/>
    <row r="2009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spans="2:32" ht="15" customHeight="1" x14ac:dyDescent="0.3"/>
    <row r="2018" spans="2:32" ht="15" customHeight="1" x14ac:dyDescent="0.3"/>
    <row r="2019" spans="2:32" ht="15" customHeight="1" x14ac:dyDescent="0.3"/>
    <row r="2020" spans="2:32" ht="15" customHeight="1" x14ac:dyDescent="0.3"/>
    <row r="2021" spans="2:32" x14ac:dyDescent="0.3">
      <c r="B2021" s="34"/>
      <c r="C2021" s="34"/>
      <c r="D2021" s="34"/>
      <c r="E2021" s="34"/>
      <c r="F2021" s="34"/>
      <c r="G2021" s="34"/>
      <c r="H2021" s="34"/>
      <c r="I2021" s="34"/>
      <c r="J2021" s="34"/>
      <c r="K2021" s="34"/>
      <c r="L2021" s="34"/>
      <c r="M2021" s="34"/>
      <c r="N2021" s="34"/>
      <c r="O2021" s="34"/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</row>
    <row r="2022" spans="2:32" ht="15" customHeight="1" x14ac:dyDescent="0.3"/>
    <row r="2023" spans="2:32" ht="15" customHeight="1" x14ac:dyDescent="0.3"/>
    <row r="2024" spans="2:32" ht="15" customHeight="1" x14ac:dyDescent="0.3"/>
    <row r="2025" spans="2:32" ht="15" customHeight="1" x14ac:dyDescent="0.3"/>
    <row r="2026" spans="2:32" ht="15" customHeight="1" x14ac:dyDescent="0.3"/>
    <row r="2027" spans="2:32" ht="15" customHeight="1" x14ac:dyDescent="0.3"/>
    <row r="2028" spans="2:32" ht="15" customHeight="1" x14ac:dyDescent="0.3"/>
    <row r="2029" spans="2:32" ht="15" customHeight="1" x14ac:dyDescent="0.3"/>
    <row r="2030" spans="2:32" ht="15" customHeight="1" x14ac:dyDescent="0.3">
      <c r="B2030" s="34"/>
      <c r="C2030" s="34"/>
      <c r="D2030" s="34"/>
      <c r="E2030" s="34"/>
      <c r="F2030" s="34"/>
      <c r="G2030" s="34"/>
      <c r="H2030" s="34"/>
      <c r="I2030" s="34"/>
      <c r="J2030" s="34"/>
      <c r="K2030" s="34"/>
      <c r="L2030" s="34"/>
      <c r="M2030" s="34"/>
      <c r="N2030" s="34"/>
      <c r="O2030" s="34"/>
      <c r="P2030" s="34"/>
      <c r="Q2030" s="34"/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</row>
    <row r="2031" spans="2:32" ht="15" customHeight="1" x14ac:dyDescent="0.3">
      <c r="B2031" s="61"/>
      <c r="C2031" s="61"/>
      <c r="D2031" s="61"/>
      <c r="E2031" s="61"/>
      <c r="F2031" s="61"/>
      <c r="G2031" s="61"/>
      <c r="H2031" s="61"/>
      <c r="I2031" s="61"/>
      <c r="J2031" s="61"/>
      <c r="K2031" s="61"/>
      <c r="L2031" s="61"/>
      <c r="M2031" s="61"/>
      <c r="N2031" s="61"/>
      <c r="O2031" s="61"/>
      <c r="P2031" s="61"/>
      <c r="Q2031" s="61"/>
      <c r="R2031" s="61"/>
      <c r="S2031" s="61"/>
      <c r="T2031" s="61"/>
      <c r="U2031" s="61"/>
      <c r="V2031" s="61"/>
      <c r="W2031" s="61"/>
      <c r="X2031" s="61"/>
      <c r="Y2031" s="61"/>
      <c r="Z2031" s="61"/>
      <c r="AA2031" s="61"/>
      <c r="AB2031" s="61"/>
      <c r="AC2031" s="61"/>
      <c r="AD2031" s="61"/>
      <c r="AE2031" s="61"/>
      <c r="AF2031" s="61"/>
    </row>
    <row r="2032" spans="2:32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7" ht="15" customHeight="1" x14ac:dyDescent="0.3"/>
    <row r="2108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1" ht="15" customHeight="1" x14ac:dyDescent="0.3"/>
    <row r="2133" ht="15" customHeight="1" x14ac:dyDescent="0.3"/>
    <row r="2134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spans="2:32" ht="15" customHeight="1" x14ac:dyDescent="0.3"/>
    <row r="2146" spans="2:32" ht="15" customHeight="1" x14ac:dyDescent="0.3"/>
    <row r="2147" spans="2:32" x14ac:dyDescent="0.3">
      <c r="B2147" s="34"/>
      <c r="C2147" s="34"/>
      <c r="D2147" s="34"/>
      <c r="E2147" s="34"/>
      <c r="F2147" s="34"/>
      <c r="G2147" s="34"/>
      <c r="H2147" s="34"/>
      <c r="I2147" s="34"/>
      <c r="J2147" s="34"/>
      <c r="K2147" s="34"/>
      <c r="L2147" s="34"/>
      <c r="M2147" s="34"/>
      <c r="N2147" s="34"/>
      <c r="O2147" s="34"/>
      <c r="P2147" s="34"/>
      <c r="Q2147" s="34"/>
      <c r="R2147" s="34"/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</row>
    <row r="2148" spans="2:32" ht="15" customHeight="1" x14ac:dyDescent="0.3"/>
    <row r="2149" spans="2:32" x14ac:dyDescent="0.3">
      <c r="B2149" s="34"/>
      <c r="C2149" s="34"/>
      <c r="D2149" s="34"/>
      <c r="E2149" s="34"/>
      <c r="F2149" s="34"/>
      <c r="G2149" s="34"/>
      <c r="H2149" s="34"/>
      <c r="I2149" s="34"/>
      <c r="J2149" s="34"/>
      <c r="K2149" s="34"/>
      <c r="L2149" s="34"/>
      <c r="M2149" s="34"/>
      <c r="N2149" s="34"/>
      <c r="O2149" s="34"/>
      <c r="P2149" s="34"/>
      <c r="Q2149" s="34"/>
      <c r="R2149" s="34"/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</row>
    <row r="2150" spans="2:32" x14ac:dyDescent="0.3">
      <c r="B2150" s="34"/>
      <c r="C2150" s="34"/>
      <c r="D2150" s="34"/>
      <c r="E2150" s="34"/>
      <c r="F2150" s="34"/>
      <c r="G2150" s="34"/>
      <c r="H2150" s="34"/>
      <c r="I2150" s="34"/>
      <c r="J2150" s="34"/>
      <c r="K2150" s="34"/>
      <c r="L2150" s="34"/>
      <c r="M2150" s="34"/>
      <c r="N2150" s="34"/>
      <c r="O2150" s="34"/>
      <c r="P2150" s="34"/>
      <c r="Q2150" s="34"/>
      <c r="R2150" s="34"/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</row>
    <row r="2151" spans="2:32" ht="15" customHeight="1" x14ac:dyDescent="0.3"/>
    <row r="2152" spans="2:32" ht="15" customHeight="1" x14ac:dyDescent="0.3">
      <c r="B2152" s="34"/>
      <c r="C2152" s="34"/>
      <c r="D2152" s="34"/>
      <c r="E2152" s="34"/>
      <c r="F2152" s="34"/>
      <c r="G2152" s="34"/>
      <c r="H2152" s="34"/>
      <c r="I2152" s="34"/>
      <c r="J2152" s="34"/>
      <c r="K2152" s="34"/>
      <c r="L2152" s="34"/>
      <c r="M2152" s="34"/>
      <c r="N2152" s="34"/>
      <c r="O2152" s="34"/>
      <c r="P2152" s="34"/>
      <c r="Q2152" s="34"/>
      <c r="R2152" s="34"/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</row>
    <row r="2153" spans="2:32" ht="15" customHeight="1" x14ac:dyDescent="0.3">
      <c r="B2153" s="61"/>
      <c r="C2153" s="61"/>
      <c r="D2153" s="61"/>
      <c r="E2153" s="61"/>
      <c r="F2153" s="61"/>
      <c r="G2153" s="61"/>
      <c r="H2153" s="61"/>
      <c r="I2153" s="61"/>
      <c r="J2153" s="61"/>
      <c r="K2153" s="61"/>
      <c r="L2153" s="61"/>
      <c r="M2153" s="61"/>
      <c r="N2153" s="61"/>
      <c r="O2153" s="61"/>
      <c r="P2153" s="61"/>
      <c r="Q2153" s="61"/>
      <c r="R2153" s="61"/>
      <c r="S2153" s="61"/>
      <c r="T2153" s="61"/>
      <c r="U2153" s="61"/>
      <c r="V2153" s="61"/>
      <c r="W2153" s="61"/>
      <c r="X2153" s="61"/>
      <c r="Y2153" s="61"/>
      <c r="Z2153" s="61"/>
      <c r="AA2153" s="61"/>
      <c r="AB2153" s="61"/>
      <c r="AC2153" s="61"/>
      <c r="AD2153" s="61"/>
      <c r="AE2153" s="61"/>
      <c r="AF2153" s="61"/>
    </row>
    <row r="2154" spans="2:32" ht="15" customHeight="1" x14ac:dyDescent="0.3"/>
    <row r="2155" spans="2:32" ht="15" customHeight="1" x14ac:dyDescent="0.3"/>
    <row r="2156" spans="2:32" ht="15" customHeight="1" x14ac:dyDescent="0.3"/>
    <row r="2157" spans="2:32" ht="15" customHeight="1" x14ac:dyDescent="0.3"/>
    <row r="2158" spans="2:32" ht="15" customHeight="1" x14ac:dyDescent="0.3"/>
    <row r="2159" spans="2:32" ht="15" customHeight="1" x14ac:dyDescent="0.3"/>
    <row r="2160" spans="2:32" ht="15" customHeight="1" x14ac:dyDescent="0.3"/>
    <row r="2161" ht="15" customHeight="1" x14ac:dyDescent="0.3"/>
    <row r="2162" ht="15" customHeight="1" x14ac:dyDescent="0.3"/>
    <row r="2250" ht="15" customHeight="1" x14ac:dyDescent="0.3"/>
    <row r="2251" ht="15" customHeight="1" x14ac:dyDescent="0.3"/>
    <row r="2252" ht="15" customHeight="1" x14ac:dyDescent="0.3"/>
    <row r="2253" ht="15" customHeight="1" x14ac:dyDescent="0.3"/>
    <row r="2254" ht="15" customHeight="1" x14ac:dyDescent="0.3"/>
    <row r="2255" ht="15" customHeight="1" x14ac:dyDescent="0.3"/>
    <row r="2256" ht="15" customHeight="1" x14ac:dyDescent="0.3"/>
    <row r="2257" ht="15" customHeight="1" x14ac:dyDescent="0.3"/>
    <row r="2258" ht="15" customHeight="1" x14ac:dyDescent="0.3"/>
    <row r="2260" ht="15" customHeight="1" x14ac:dyDescent="0.3"/>
    <row r="2261" ht="15" customHeight="1" x14ac:dyDescent="0.3"/>
    <row r="2262" ht="15" customHeight="1" x14ac:dyDescent="0.3"/>
    <row r="2264" ht="15" customHeight="1" x14ac:dyDescent="0.3"/>
    <row r="2266" ht="15" customHeight="1" x14ac:dyDescent="0.3"/>
    <row r="2267" ht="15" customHeight="1" x14ac:dyDescent="0.3"/>
    <row r="2268" ht="15" customHeight="1" x14ac:dyDescent="0.3"/>
    <row r="2269" ht="15" customHeight="1" x14ac:dyDescent="0.3"/>
    <row r="2271" ht="15" customHeight="1" x14ac:dyDescent="0.3"/>
    <row r="2273" ht="15" customHeight="1" x14ac:dyDescent="0.3"/>
    <row r="2274" ht="15" customHeight="1" x14ac:dyDescent="0.3"/>
    <row r="2275" ht="15" customHeight="1" x14ac:dyDescent="0.3"/>
    <row r="2276" ht="15" customHeight="1" x14ac:dyDescent="0.3"/>
    <row r="2277" ht="15" customHeight="1" x14ac:dyDescent="0.3"/>
    <row r="2278" ht="15" customHeight="1" x14ac:dyDescent="0.3"/>
    <row r="2279" ht="15" customHeight="1" x14ac:dyDescent="0.3"/>
    <row r="2280" ht="15" customHeight="1" x14ac:dyDescent="0.3"/>
    <row r="2282" ht="15" customHeight="1" x14ac:dyDescent="0.3"/>
    <row r="2284" ht="15" customHeight="1" x14ac:dyDescent="0.3"/>
    <row r="2285" ht="15" customHeight="1" x14ac:dyDescent="0.3"/>
    <row r="2286" ht="15" customHeight="1" x14ac:dyDescent="0.3"/>
    <row r="2288" ht="15" customHeight="1" x14ac:dyDescent="0.3"/>
    <row r="2289" ht="15" customHeight="1" x14ac:dyDescent="0.3"/>
    <row r="2290" ht="15" customHeight="1" x14ac:dyDescent="0.3"/>
    <row r="2291" ht="15" customHeight="1" x14ac:dyDescent="0.3"/>
    <row r="2292" ht="15" customHeight="1" x14ac:dyDescent="0.3"/>
    <row r="2293" ht="15" customHeight="1" x14ac:dyDescent="0.3"/>
    <row r="2294" ht="15" customHeight="1" x14ac:dyDescent="0.3"/>
    <row r="2295" ht="15" customHeight="1" x14ac:dyDescent="0.3"/>
    <row r="2296" ht="15" customHeight="1" x14ac:dyDescent="0.3"/>
    <row r="2297" ht="15" customHeight="1" x14ac:dyDescent="0.3"/>
    <row r="2298" ht="15" customHeight="1" x14ac:dyDescent="0.3"/>
    <row r="2301" ht="15" customHeight="1" x14ac:dyDescent="0.3"/>
    <row r="2302" ht="15" customHeight="1" x14ac:dyDescent="0.3"/>
    <row r="2303" ht="15" customHeight="1" x14ac:dyDescent="0.3"/>
    <row r="2305" spans="2:32" ht="15" customHeight="1" x14ac:dyDescent="0.3"/>
    <row r="2306" spans="2:32" ht="15" customHeight="1" x14ac:dyDescent="0.3"/>
    <row r="2307" spans="2:32" ht="15" customHeight="1" x14ac:dyDescent="0.3"/>
    <row r="2308" spans="2:32" ht="15" customHeight="1" x14ac:dyDescent="0.3"/>
    <row r="2309" spans="2:32" ht="15" customHeight="1" x14ac:dyDescent="0.3"/>
    <row r="2310" spans="2:32" ht="15" customHeight="1" x14ac:dyDescent="0.3"/>
    <row r="2311" spans="2:32" ht="15" customHeight="1" x14ac:dyDescent="0.3"/>
    <row r="2312" spans="2:32" ht="15" customHeight="1" x14ac:dyDescent="0.3"/>
    <row r="2313" spans="2:32" ht="15" customHeight="1" x14ac:dyDescent="0.3"/>
    <row r="2314" spans="2:32" ht="15" customHeight="1" x14ac:dyDescent="0.3"/>
    <row r="2315" spans="2:32" ht="15" customHeight="1" x14ac:dyDescent="0.3"/>
    <row r="2316" spans="2:32" ht="15" customHeight="1" x14ac:dyDescent="0.3">
      <c r="B2316" s="34"/>
      <c r="C2316" s="34"/>
      <c r="D2316" s="34"/>
      <c r="E2316" s="34"/>
      <c r="F2316" s="34"/>
      <c r="G2316" s="34"/>
      <c r="H2316" s="34"/>
      <c r="I2316" s="34"/>
      <c r="J2316" s="34"/>
      <c r="K2316" s="34"/>
      <c r="L2316" s="34"/>
      <c r="M2316" s="34"/>
      <c r="N2316" s="34"/>
      <c r="O2316" s="34"/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4"/>
      <c r="AD2316" s="34"/>
      <c r="AE2316" s="34"/>
      <c r="AF2316" s="34"/>
    </row>
    <row r="2317" spans="2:32" ht="15" customHeight="1" x14ac:dyDescent="0.3">
      <c r="B2317" s="61"/>
      <c r="C2317" s="61"/>
      <c r="D2317" s="61"/>
      <c r="E2317" s="61"/>
      <c r="F2317" s="61"/>
      <c r="G2317" s="61"/>
      <c r="H2317" s="61"/>
      <c r="I2317" s="61"/>
      <c r="J2317" s="61"/>
      <c r="K2317" s="61"/>
      <c r="L2317" s="61"/>
      <c r="M2317" s="61"/>
      <c r="N2317" s="61"/>
      <c r="O2317" s="61"/>
      <c r="P2317" s="61"/>
      <c r="Q2317" s="61"/>
      <c r="R2317" s="61"/>
      <c r="S2317" s="61"/>
      <c r="T2317" s="61"/>
      <c r="U2317" s="61"/>
      <c r="V2317" s="61"/>
      <c r="W2317" s="61"/>
      <c r="X2317" s="61"/>
      <c r="Y2317" s="61"/>
      <c r="Z2317" s="61"/>
      <c r="AA2317" s="61"/>
      <c r="AB2317" s="61"/>
      <c r="AC2317" s="61"/>
      <c r="AD2317" s="61"/>
      <c r="AE2317" s="61"/>
      <c r="AF2317" s="61"/>
    </row>
    <row r="2318" spans="2:32" ht="15" customHeight="1" x14ac:dyDescent="0.3"/>
    <row r="2319" spans="2:32" ht="15" customHeight="1" x14ac:dyDescent="0.3"/>
    <row r="2320" spans="2:32" ht="15" customHeight="1" x14ac:dyDescent="0.3"/>
    <row r="2321" ht="15" customHeight="1" x14ac:dyDescent="0.3"/>
    <row r="2322" ht="15" customHeight="1" x14ac:dyDescent="0.3"/>
    <row r="2323" ht="15" customHeight="1" x14ac:dyDescent="0.3"/>
    <row r="2324" ht="15" customHeight="1" x14ac:dyDescent="0.3"/>
    <row r="2325" ht="15" customHeight="1" x14ac:dyDescent="0.3"/>
    <row r="2326" ht="15" customHeight="1" x14ac:dyDescent="0.3"/>
    <row r="2327" ht="15" customHeight="1" x14ac:dyDescent="0.3"/>
    <row r="2328" ht="15" customHeight="1" x14ac:dyDescent="0.3"/>
    <row r="2329" ht="15" customHeight="1" x14ac:dyDescent="0.3"/>
    <row r="2330" ht="15" customHeight="1" x14ac:dyDescent="0.3"/>
    <row r="2331" ht="15" customHeight="1" x14ac:dyDescent="0.3"/>
    <row r="2332" ht="15" customHeight="1" x14ac:dyDescent="0.3"/>
    <row r="2333" ht="15" customHeight="1" x14ac:dyDescent="0.3"/>
    <row r="2334" ht="15" customHeight="1" x14ac:dyDescent="0.3"/>
    <row r="2350" ht="15" customHeight="1" x14ac:dyDescent="0.3"/>
    <row r="2351" ht="15" customHeight="1" x14ac:dyDescent="0.3"/>
    <row r="2352" ht="15" customHeight="1" x14ac:dyDescent="0.3"/>
    <row r="2353" ht="15" customHeight="1" x14ac:dyDescent="0.3"/>
    <row r="2354" ht="15" customHeight="1" x14ac:dyDescent="0.3"/>
    <row r="2355" ht="15" customHeight="1" x14ac:dyDescent="0.3"/>
    <row r="2356" ht="15" customHeight="1" x14ac:dyDescent="0.3"/>
    <row r="2357" ht="15" customHeight="1" x14ac:dyDescent="0.3"/>
    <row r="2358" ht="15" customHeight="1" x14ac:dyDescent="0.3"/>
    <row r="2359" ht="15" customHeight="1" x14ac:dyDescent="0.3"/>
    <row r="2360" ht="15" customHeight="1" x14ac:dyDescent="0.3"/>
    <row r="2361" ht="15" customHeight="1" x14ac:dyDescent="0.3"/>
    <row r="2362" ht="15" customHeight="1" x14ac:dyDescent="0.3"/>
    <row r="2363" ht="15" customHeight="1" x14ac:dyDescent="0.3"/>
    <row r="2364" ht="15" customHeight="1" x14ac:dyDescent="0.3"/>
    <row r="2365" ht="15" customHeight="1" x14ac:dyDescent="0.3"/>
    <row r="2367" ht="15" customHeight="1" x14ac:dyDescent="0.3"/>
    <row r="2368" ht="15" customHeight="1" x14ac:dyDescent="0.3"/>
    <row r="2369" ht="15" customHeight="1" x14ac:dyDescent="0.3"/>
    <row r="2370" ht="15" customHeight="1" x14ac:dyDescent="0.3"/>
    <row r="2371" ht="15" customHeight="1" x14ac:dyDescent="0.3"/>
    <row r="2372" ht="15" customHeight="1" x14ac:dyDescent="0.3"/>
    <row r="2373" ht="15" customHeight="1" x14ac:dyDescent="0.3"/>
    <row r="2374" ht="15" customHeight="1" x14ac:dyDescent="0.3"/>
    <row r="2375" ht="15" customHeight="1" x14ac:dyDescent="0.3"/>
    <row r="2376" ht="15" customHeight="1" x14ac:dyDescent="0.3"/>
    <row r="2377" ht="15" customHeight="1" x14ac:dyDescent="0.3"/>
    <row r="2378" ht="15" customHeight="1" x14ac:dyDescent="0.3"/>
    <row r="2380" ht="15" customHeight="1" x14ac:dyDescent="0.3"/>
    <row r="2381" ht="15" customHeight="1" x14ac:dyDescent="0.3"/>
    <row r="2382" ht="15" customHeight="1" x14ac:dyDescent="0.3"/>
    <row r="2383" ht="15" customHeight="1" x14ac:dyDescent="0.3"/>
    <row r="2384" ht="15" customHeight="1" x14ac:dyDescent="0.3"/>
    <row r="2385" ht="15" customHeight="1" x14ac:dyDescent="0.3"/>
    <row r="2386" ht="15" customHeight="1" x14ac:dyDescent="0.3"/>
    <row r="2387" ht="15" customHeight="1" x14ac:dyDescent="0.3"/>
    <row r="2388" ht="15" customHeight="1" x14ac:dyDescent="0.3"/>
    <row r="2390" ht="15" customHeight="1" x14ac:dyDescent="0.3"/>
    <row r="2391" ht="15" customHeight="1" x14ac:dyDescent="0.3"/>
    <row r="2392" ht="15" customHeight="1" x14ac:dyDescent="0.3"/>
    <row r="2393" ht="15" customHeight="1" x14ac:dyDescent="0.3"/>
    <row r="2394" ht="15" customHeight="1" x14ac:dyDescent="0.3"/>
    <row r="2395" ht="15" customHeight="1" x14ac:dyDescent="0.3"/>
    <row r="2396" ht="15" customHeight="1" x14ac:dyDescent="0.3"/>
    <row r="2397" ht="15" customHeight="1" x14ac:dyDescent="0.3"/>
    <row r="2400" ht="15" customHeight="1" x14ac:dyDescent="0.3"/>
    <row r="2401" ht="15" customHeight="1" x14ac:dyDescent="0.3"/>
    <row r="2402" ht="15" customHeight="1" x14ac:dyDescent="0.3"/>
    <row r="2403" ht="15" customHeight="1" x14ac:dyDescent="0.3"/>
    <row r="2404" ht="15" customHeight="1" x14ac:dyDescent="0.3"/>
    <row r="2405" ht="15" customHeight="1" x14ac:dyDescent="0.3"/>
    <row r="2406" ht="15" customHeight="1" x14ac:dyDescent="0.3"/>
    <row r="2407" ht="15" customHeight="1" x14ac:dyDescent="0.3"/>
    <row r="2408" ht="15" customHeight="1" x14ac:dyDescent="0.3"/>
    <row r="2410" ht="15" customHeight="1" x14ac:dyDescent="0.3"/>
    <row r="2411" ht="15" customHeight="1" x14ac:dyDescent="0.3"/>
    <row r="2412" ht="15" customHeight="1" x14ac:dyDescent="0.3"/>
    <row r="2413" ht="15" customHeight="1" x14ac:dyDescent="0.3"/>
    <row r="2414" ht="15" customHeight="1" x14ac:dyDescent="0.3"/>
    <row r="2415" ht="15" customHeight="1" x14ac:dyDescent="0.3"/>
    <row r="2416" ht="15" customHeight="1" x14ac:dyDescent="0.3"/>
    <row r="2417" spans="2:32" ht="15" customHeight="1" x14ac:dyDescent="0.3"/>
    <row r="2418" spans="2:32" ht="15" customHeight="1" x14ac:dyDescent="0.3">
      <c r="B2418" s="34"/>
      <c r="C2418" s="34"/>
      <c r="D2418" s="34"/>
      <c r="E2418" s="34"/>
      <c r="F2418" s="34"/>
      <c r="G2418" s="34"/>
      <c r="H2418" s="34"/>
      <c r="I2418" s="34"/>
      <c r="J2418" s="34"/>
      <c r="K2418" s="34"/>
      <c r="L2418" s="34"/>
      <c r="M2418" s="34"/>
      <c r="N2418" s="34"/>
      <c r="O2418" s="34"/>
      <c r="P2418" s="34"/>
      <c r="Q2418" s="34"/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4"/>
      <c r="AD2418" s="34"/>
      <c r="AE2418" s="34"/>
      <c r="AF2418" s="34"/>
    </row>
    <row r="2419" spans="2:32" ht="15" customHeight="1" x14ac:dyDescent="0.3">
      <c r="B2419" s="61"/>
      <c r="C2419" s="61"/>
      <c r="D2419" s="61"/>
      <c r="E2419" s="61"/>
      <c r="F2419" s="61"/>
      <c r="G2419" s="61"/>
      <c r="H2419" s="61"/>
      <c r="I2419" s="61"/>
      <c r="J2419" s="61"/>
      <c r="K2419" s="61"/>
      <c r="L2419" s="61"/>
      <c r="M2419" s="61"/>
      <c r="N2419" s="61"/>
      <c r="O2419" s="61"/>
      <c r="P2419" s="61"/>
      <c r="Q2419" s="61"/>
      <c r="R2419" s="61"/>
      <c r="S2419" s="61"/>
      <c r="T2419" s="61"/>
      <c r="U2419" s="61"/>
      <c r="V2419" s="61"/>
      <c r="W2419" s="61"/>
      <c r="X2419" s="61"/>
      <c r="Y2419" s="61"/>
      <c r="Z2419" s="61"/>
      <c r="AA2419" s="61"/>
      <c r="AB2419" s="61"/>
      <c r="AC2419" s="61"/>
      <c r="AD2419" s="61"/>
      <c r="AE2419" s="61"/>
      <c r="AF2419" s="61"/>
    </row>
    <row r="2420" spans="2:32" ht="15" customHeight="1" x14ac:dyDescent="0.3"/>
    <row r="2421" spans="2:32" ht="15" customHeight="1" x14ac:dyDescent="0.3"/>
    <row r="2422" spans="2:32" ht="15" customHeight="1" x14ac:dyDescent="0.3"/>
    <row r="2423" spans="2:32" ht="15" customHeight="1" x14ac:dyDescent="0.3"/>
    <row r="2424" spans="2:32" ht="15" customHeight="1" x14ac:dyDescent="0.3"/>
    <row r="2425" spans="2:32" ht="15" customHeight="1" x14ac:dyDescent="0.3"/>
    <row r="2426" spans="2:32" ht="15" customHeight="1" x14ac:dyDescent="0.3"/>
    <row r="2427" spans="2:32" ht="15" customHeight="1" x14ac:dyDescent="0.3"/>
    <row r="2428" spans="2:32" ht="15" customHeight="1" x14ac:dyDescent="0.3"/>
    <row r="2429" spans="2:32" ht="15" customHeight="1" x14ac:dyDescent="0.3"/>
    <row r="2430" spans="2:32" ht="15" customHeight="1" x14ac:dyDescent="0.3"/>
    <row r="2431" spans="2:32" ht="15" customHeight="1" x14ac:dyDescent="0.3"/>
    <row r="2432" spans="2:32" ht="15" customHeight="1" x14ac:dyDescent="0.3"/>
    <row r="2433" ht="15" customHeight="1" x14ac:dyDescent="0.3"/>
    <row r="2434" ht="15" customHeight="1" x14ac:dyDescent="0.3"/>
    <row r="2435" ht="15" customHeight="1" x14ac:dyDescent="0.3"/>
    <row r="2436" ht="15" customHeight="1" x14ac:dyDescent="0.3"/>
    <row r="2437" ht="15" customHeight="1" x14ac:dyDescent="0.3"/>
    <row r="2450" ht="15" customHeight="1" x14ac:dyDescent="0.3"/>
    <row r="2451" ht="15" customHeight="1" x14ac:dyDescent="0.3"/>
    <row r="2452" ht="15" customHeight="1" x14ac:dyDescent="0.3"/>
    <row r="2453" ht="15" customHeight="1" x14ac:dyDescent="0.3"/>
    <row r="2454" ht="15" customHeight="1" x14ac:dyDescent="0.3"/>
    <row r="2455" ht="15" customHeight="1" x14ac:dyDescent="0.3"/>
    <row r="2457" ht="15" customHeight="1" x14ac:dyDescent="0.3"/>
    <row r="2459" ht="15" customHeight="1" x14ac:dyDescent="0.3"/>
    <row r="2461" ht="15" customHeight="1" x14ac:dyDescent="0.3"/>
    <row r="2462" ht="15" customHeight="1" x14ac:dyDescent="0.3"/>
    <row r="2463" ht="15" customHeight="1" x14ac:dyDescent="0.3"/>
    <row r="2464" ht="15" customHeight="1" x14ac:dyDescent="0.3"/>
    <row r="2465" ht="15" customHeight="1" x14ac:dyDescent="0.3"/>
    <row r="2467" ht="15" customHeight="1" x14ac:dyDescent="0.3"/>
    <row r="2468" ht="15" customHeight="1" x14ac:dyDescent="0.3"/>
    <row r="2469" ht="15" customHeight="1" x14ac:dyDescent="0.3"/>
    <row r="2470" ht="15" customHeight="1" x14ac:dyDescent="0.3"/>
    <row r="2471" ht="15" customHeight="1" x14ac:dyDescent="0.3"/>
    <row r="2472" ht="15" customHeight="1" x14ac:dyDescent="0.3"/>
    <row r="2473" ht="15" customHeight="1" x14ac:dyDescent="0.3"/>
    <row r="2475" ht="15" customHeight="1" x14ac:dyDescent="0.3"/>
    <row r="2476" ht="15" customHeight="1" x14ac:dyDescent="0.3"/>
    <row r="2477" ht="15" customHeight="1" x14ac:dyDescent="0.3"/>
    <row r="2478" ht="15" customHeight="1" x14ac:dyDescent="0.3"/>
    <row r="2479" ht="15" customHeight="1" x14ac:dyDescent="0.3"/>
    <row r="2480" ht="15" customHeight="1" x14ac:dyDescent="0.3"/>
    <row r="2481" ht="15" customHeight="1" x14ac:dyDescent="0.3"/>
    <row r="2482" ht="15" customHeight="1" x14ac:dyDescent="0.3"/>
    <row r="2483" ht="15" customHeight="1" x14ac:dyDescent="0.3"/>
    <row r="2484" ht="15" customHeight="1" x14ac:dyDescent="0.3"/>
    <row r="2486" ht="15" customHeight="1" x14ac:dyDescent="0.3"/>
    <row r="2488" ht="15" customHeight="1" x14ac:dyDescent="0.3"/>
    <row r="2489" ht="15" customHeight="1" x14ac:dyDescent="0.3"/>
    <row r="2490" ht="15" customHeight="1" x14ac:dyDescent="0.3"/>
    <row r="2491" ht="15" customHeight="1" x14ac:dyDescent="0.3"/>
    <row r="2492" ht="15" customHeight="1" x14ac:dyDescent="0.3"/>
    <row r="2495" ht="15" customHeight="1" x14ac:dyDescent="0.3"/>
    <row r="2496" ht="15" customHeight="1" x14ac:dyDescent="0.3"/>
    <row r="2497" spans="2:32" x14ac:dyDescent="0.3">
      <c r="B2497" s="34"/>
      <c r="C2497" s="34"/>
      <c r="D2497" s="34"/>
      <c r="E2497" s="34"/>
      <c r="F2497" s="34"/>
      <c r="G2497" s="34"/>
      <c r="H2497" s="34"/>
      <c r="I2497" s="34"/>
      <c r="J2497" s="34"/>
      <c r="K2497" s="34"/>
      <c r="L2497" s="34"/>
      <c r="M2497" s="34"/>
      <c r="N2497" s="34"/>
      <c r="O2497" s="34"/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</row>
    <row r="2498" spans="2:32" ht="15" customHeight="1" x14ac:dyDescent="0.3"/>
    <row r="2499" spans="2:32" ht="15" customHeight="1" x14ac:dyDescent="0.3"/>
    <row r="2500" spans="2:32" ht="15" customHeight="1" x14ac:dyDescent="0.3"/>
    <row r="2501" spans="2:32" ht="15" customHeight="1" x14ac:dyDescent="0.3"/>
    <row r="2502" spans="2:32" ht="15" customHeight="1" x14ac:dyDescent="0.3"/>
    <row r="2503" spans="2:32" x14ac:dyDescent="0.3">
      <c r="B2503" s="34"/>
      <c r="C2503" s="34"/>
      <c r="D2503" s="34"/>
      <c r="E2503" s="34"/>
      <c r="F2503" s="34"/>
      <c r="G2503" s="34"/>
      <c r="H2503" s="34"/>
      <c r="I2503" s="34"/>
      <c r="J2503" s="34"/>
      <c r="K2503" s="34"/>
      <c r="L2503" s="34"/>
      <c r="M2503" s="34"/>
      <c r="N2503" s="34"/>
      <c r="O2503" s="34"/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4"/>
      <c r="AD2503" s="34"/>
      <c r="AE2503" s="34"/>
      <c r="AF2503" s="34"/>
    </row>
    <row r="2504" spans="2:32" ht="15" customHeight="1" x14ac:dyDescent="0.3"/>
    <row r="2505" spans="2:32" ht="15" customHeight="1" x14ac:dyDescent="0.3"/>
    <row r="2506" spans="2:32" ht="15" customHeight="1" x14ac:dyDescent="0.3"/>
    <row r="2507" spans="2:32" ht="15" customHeight="1" x14ac:dyDescent="0.3"/>
    <row r="2508" spans="2:32" ht="15" customHeight="1" x14ac:dyDescent="0.3">
      <c r="B2508" s="34"/>
      <c r="C2508" s="34"/>
      <c r="D2508" s="34"/>
      <c r="E2508" s="34"/>
      <c r="F2508" s="34"/>
      <c r="G2508" s="34"/>
      <c r="H2508" s="34"/>
      <c r="I2508" s="34"/>
      <c r="J2508" s="34"/>
      <c r="K2508" s="34"/>
      <c r="L2508" s="34"/>
      <c r="M2508" s="34"/>
      <c r="N2508" s="34"/>
      <c r="O2508" s="34"/>
      <c r="P2508" s="34"/>
      <c r="Q2508" s="34"/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</row>
    <row r="2509" spans="2:32" ht="15" customHeight="1" x14ac:dyDescent="0.3">
      <c r="B2509" s="61"/>
      <c r="C2509" s="61"/>
      <c r="D2509" s="61"/>
      <c r="E2509" s="61"/>
      <c r="F2509" s="61"/>
      <c r="G2509" s="61"/>
      <c r="H2509" s="61"/>
      <c r="I2509" s="61"/>
      <c r="J2509" s="61"/>
      <c r="K2509" s="61"/>
      <c r="L2509" s="61"/>
      <c r="M2509" s="61"/>
      <c r="N2509" s="61"/>
      <c r="O2509" s="61"/>
      <c r="P2509" s="61"/>
      <c r="Q2509" s="61"/>
      <c r="R2509" s="61"/>
      <c r="S2509" s="61"/>
      <c r="T2509" s="61"/>
      <c r="U2509" s="61"/>
      <c r="V2509" s="61"/>
      <c r="W2509" s="61"/>
      <c r="X2509" s="61"/>
      <c r="Y2509" s="61"/>
      <c r="Z2509" s="61"/>
      <c r="AA2509" s="61"/>
      <c r="AB2509" s="61"/>
      <c r="AC2509" s="61"/>
      <c r="AD2509" s="61"/>
      <c r="AE2509" s="61"/>
      <c r="AF2509" s="61"/>
    </row>
    <row r="2510" spans="2:32" ht="15" customHeight="1" x14ac:dyDescent="0.3"/>
    <row r="2511" spans="2:32" ht="15" customHeight="1" x14ac:dyDescent="0.3"/>
    <row r="2512" spans="2:32" ht="15" customHeight="1" x14ac:dyDescent="0.3"/>
    <row r="2513" ht="15" customHeight="1" x14ac:dyDescent="0.3"/>
    <row r="2514" ht="15" customHeight="1" x14ac:dyDescent="0.3"/>
    <row r="2515" ht="15" customHeight="1" x14ac:dyDescent="0.3"/>
    <row r="2516" ht="15" customHeight="1" x14ac:dyDescent="0.3"/>
    <row r="2517" ht="15" customHeight="1" x14ac:dyDescent="0.3"/>
    <row r="2518" ht="15" customHeight="1" x14ac:dyDescent="0.3"/>
    <row r="2519" ht="15" customHeight="1" x14ac:dyDescent="0.3"/>
    <row r="2520" ht="15" customHeight="1" x14ac:dyDescent="0.3"/>
    <row r="2521" ht="15" customHeight="1" x14ac:dyDescent="0.3"/>
    <row r="2522" ht="15" customHeight="1" x14ac:dyDescent="0.3"/>
    <row r="2523" ht="15" customHeight="1" x14ac:dyDescent="0.3"/>
    <row r="2524" ht="15" customHeight="1" x14ac:dyDescent="0.3"/>
    <row r="2525" ht="15" customHeight="1" x14ac:dyDescent="0.3"/>
    <row r="2526" ht="15" customHeight="1" x14ac:dyDescent="0.3"/>
    <row r="2527" ht="15" customHeight="1" x14ac:dyDescent="0.3"/>
    <row r="2528" ht="15" customHeight="1" x14ac:dyDescent="0.3"/>
    <row r="2529" ht="15" customHeight="1" x14ac:dyDescent="0.3"/>
    <row r="2550" ht="15" customHeight="1" x14ac:dyDescent="0.3"/>
    <row r="2551" ht="15" customHeight="1" x14ac:dyDescent="0.3"/>
    <row r="2552" ht="15" customHeight="1" x14ac:dyDescent="0.3"/>
    <row r="2553" ht="15" customHeight="1" x14ac:dyDescent="0.3"/>
    <row r="2554" ht="15" customHeight="1" x14ac:dyDescent="0.3"/>
    <row r="2555" ht="15" customHeight="1" x14ac:dyDescent="0.3"/>
    <row r="2556" ht="15" customHeight="1" x14ac:dyDescent="0.3"/>
    <row r="2557" ht="15" customHeight="1" x14ac:dyDescent="0.3"/>
    <row r="2558" ht="15" customHeight="1" x14ac:dyDescent="0.3"/>
    <row r="2559" ht="15" customHeight="1" x14ac:dyDescent="0.3"/>
    <row r="2561" ht="15" customHeight="1" x14ac:dyDescent="0.3"/>
    <row r="2562" ht="15" customHeight="1" x14ac:dyDescent="0.3"/>
    <row r="2563" ht="15" customHeight="1" x14ac:dyDescent="0.3"/>
    <row r="2564" ht="15" customHeight="1" x14ac:dyDescent="0.3"/>
    <row r="2565" ht="15" customHeight="1" x14ac:dyDescent="0.3"/>
    <row r="2566" ht="15" customHeight="1" x14ac:dyDescent="0.3"/>
    <row r="2568" ht="15" customHeight="1" x14ac:dyDescent="0.3"/>
    <row r="2569" ht="15" customHeight="1" x14ac:dyDescent="0.3"/>
    <row r="2570" ht="15" customHeight="1" x14ac:dyDescent="0.3"/>
    <row r="2571" ht="15" customHeight="1" x14ac:dyDescent="0.3"/>
    <row r="2572" ht="15" customHeight="1" x14ac:dyDescent="0.3"/>
    <row r="2573" ht="15" customHeight="1" x14ac:dyDescent="0.3"/>
    <row r="2575" ht="15" customHeight="1" x14ac:dyDescent="0.3"/>
    <row r="2576" ht="15" customHeight="1" x14ac:dyDescent="0.3"/>
    <row r="2577" ht="15" customHeight="1" x14ac:dyDescent="0.3"/>
    <row r="2578" ht="15" customHeight="1" x14ac:dyDescent="0.3"/>
    <row r="2579" ht="15" customHeight="1" x14ac:dyDescent="0.3"/>
    <row r="2581" ht="15" customHeight="1" x14ac:dyDescent="0.3"/>
    <row r="2582" ht="15" customHeight="1" x14ac:dyDescent="0.3"/>
    <row r="2583" ht="15" customHeight="1" x14ac:dyDescent="0.3"/>
    <row r="2584" ht="15" customHeight="1" x14ac:dyDescent="0.3"/>
    <row r="2585" ht="15" customHeight="1" x14ac:dyDescent="0.3"/>
    <row r="2586" ht="15" customHeight="1" x14ac:dyDescent="0.3"/>
    <row r="2588" ht="15" customHeight="1" x14ac:dyDescent="0.3"/>
    <row r="2589" ht="15" customHeight="1" x14ac:dyDescent="0.3"/>
    <row r="2590" ht="15" customHeight="1" x14ac:dyDescent="0.3"/>
    <row r="2591" ht="15" customHeight="1" x14ac:dyDescent="0.3"/>
    <row r="2592" ht="15" customHeight="1" x14ac:dyDescent="0.3"/>
    <row r="2593" spans="2:32" ht="15" customHeight="1" x14ac:dyDescent="0.3"/>
    <row r="2594" spans="2:32" x14ac:dyDescent="0.3">
      <c r="B2594" s="34"/>
      <c r="C2594" s="34"/>
      <c r="D2594" s="34"/>
      <c r="E2594" s="34"/>
      <c r="F2594" s="34"/>
      <c r="G2594" s="34"/>
      <c r="H2594" s="34"/>
      <c r="I2594" s="34"/>
      <c r="J2594" s="34"/>
      <c r="K2594" s="34"/>
      <c r="L2594" s="34"/>
      <c r="M2594" s="34"/>
      <c r="N2594" s="34"/>
      <c r="O2594" s="34"/>
      <c r="P2594" s="34"/>
      <c r="Q2594" s="34"/>
      <c r="R2594" s="34"/>
      <c r="S2594" s="34"/>
      <c r="T2594" s="34"/>
      <c r="U2594" s="34"/>
      <c r="V2594" s="34"/>
      <c r="W2594" s="34"/>
      <c r="X2594" s="34"/>
      <c r="Y2594" s="34"/>
      <c r="Z2594" s="34"/>
      <c r="AA2594" s="34"/>
      <c r="AB2594" s="34"/>
      <c r="AC2594" s="34"/>
      <c r="AD2594" s="34"/>
      <c r="AE2594" s="34"/>
      <c r="AF2594" s="34"/>
    </row>
    <row r="2595" spans="2:32" ht="15" customHeight="1" x14ac:dyDescent="0.3"/>
    <row r="2596" spans="2:32" ht="15" customHeight="1" x14ac:dyDescent="0.3"/>
    <row r="2597" spans="2:32" ht="15" customHeight="1" x14ac:dyDescent="0.3">
      <c r="B2597" s="34"/>
      <c r="C2597" s="34"/>
      <c r="D2597" s="34"/>
      <c r="E2597" s="34"/>
      <c r="F2597" s="34"/>
      <c r="G2597" s="34"/>
      <c r="H2597" s="34"/>
      <c r="I2597" s="34"/>
      <c r="J2597" s="34"/>
      <c r="K2597" s="34"/>
      <c r="L2597" s="34"/>
      <c r="M2597" s="34"/>
      <c r="N2597" s="34"/>
      <c r="O2597" s="34"/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  <c r="AA2597" s="34"/>
      <c r="AB2597" s="34"/>
      <c r="AC2597" s="34"/>
      <c r="AD2597" s="34"/>
      <c r="AE2597" s="34"/>
      <c r="AF2597" s="34"/>
    </row>
    <row r="2598" spans="2:32" ht="15" customHeight="1" x14ac:dyDescent="0.3">
      <c r="B2598" s="61"/>
      <c r="C2598" s="61"/>
      <c r="D2598" s="61"/>
      <c r="E2598" s="61"/>
      <c r="F2598" s="61"/>
      <c r="G2598" s="61"/>
      <c r="H2598" s="61"/>
      <c r="I2598" s="61"/>
      <c r="J2598" s="61"/>
      <c r="K2598" s="61"/>
      <c r="L2598" s="61"/>
      <c r="M2598" s="61"/>
      <c r="N2598" s="61"/>
      <c r="O2598" s="61"/>
      <c r="P2598" s="61"/>
      <c r="Q2598" s="61"/>
      <c r="R2598" s="61"/>
      <c r="S2598" s="61"/>
      <c r="T2598" s="61"/>
      <c r="U2598" s="61"/>
      <c r="V2598" s="61"/>
      <c r="W2598" s="61"/>
      <c r="X2598" s="61"/>
      <c r="Y2598" s="61"/>
      <c r="Z2598" s="61"/>
      <c r="AA2598" s="61"/>
      <c r="AB2598" s="61"/>
      <c r="AC2598" s="61"/>
      <c r="AD2598" s="61"/>
      <c r="AE2598" s="61"/>
      <c r="AF2598" s="61"/>
    </row>
    <row r="2599" spans="2:32" ht="15" customHeight="1" x14ac:dyDescent="0.3"/>
    <row r="2600" spans="2:32" ht="15" customHeight="1" x14ac:dyDescent="0.3"/>
    <row r="2601" spans="2:32" ht="15" customHeight="1" x14ac:dyDescent="0.3"/>
    <row r="2602" spans="2:32" ht="15" customHeight="1" x14ac:dyDescent="0.3"/>
    <row r="2603" spans="2:32" ht="15" customHeight="1" x14ac:dyDescent="0.3"/>
    <row r="2604" spans="2:32" ht="15" customHeight="1" x14ac:dyDescent="0.3"/>
    <row r="2605" spans="2:32" ht="15" customHeight="1" x14ac:dyDescent="0.3"/>
    <row r="2606" spans="2:32" ht="15" customHeight="1" x14ac:dyDescent="0.3"/>
    <row r="2607" spans="2:32" ht="15" customHeight="1" x14ac:dyDescent="0.3"/>
    <row r="2608" spans="2:32" ht="15" customHeight="1" x14ac:dyDescent="0.3"/>
    <row r="2609" ht="15" customHeight="1" x14ac:dyDescent="0.3"/>
    <row r="2610" ht="15" customHeight="1" x14ac:dyDescent="0.3"/>
    <row r="2611" ht="15" customHeight="1" x14ac:dyDescent="0.3"/>
    <row r="2612" ht="15" customHeight="1" x14ac:dyDescent="0.3"/>
    <row r="2613" ht="15" customHeight="1" x14ac:dyDescent="0.3"/>
    <row r="2614" ht="15" customHeight="1" x14ac:dyDescent="0.3"/>
    <row r="2615" ht="15" customHeight="1" x14ac:dyDescent="0.3"/>
    <row r="2625" ht="15" customHeight="1" x14ac:dyDescent="0.3"/>
    <row r="2626" ht="15" customHeight="1" x14ac:dyDescent="0.3"/>
    <row r="2627" ht="15" customHeight="1" x14ac:dyDescent="0.3"/>
    <row r="2628" ht="15" customHeight="1" x14ac:dyDescent="0.3"/>
    <row r="2629" ht="15" customHeight="1" x14ac:dyDescent="0.3"/>
    <row r="2630" ht="15" customHeight="1" x14ac:dyDescent="0.3"/>
    <row r="2631" ht="15" customHeight="1" x14ac:dyDescent="0.3"/>
    <row r="2632" ht="15" customHeight="1" x14ac:dyDescent="0.3"/>
    <row r="2633" ht="15" customHeight="1" x14ac:dyDescent="0.3"/>
    <row r="2634" ht="15" customHeight="1" x14ac:dyDescent="0.3"/>
    <row r="2635" ht="15" customHeight="1" x14ac:dyDescent="0.3"/>
    <row r="2636" ht="15" customHeight="1" x14ac:dyDescent="0.3"/>
    <row r="2637" ht="15" customHeight="1" x14ac:dyDescent="0.3"/>
    <row r="2638" ht="15" customHeight="1" x14ac:dyDescent="0.3"/>
    <row r="2639" ht="15" customHeight="1" x14ac:dyDescent="0.3"/>
    <row r="2640" ht="15" customHeight="1" x14ac:dyDescent="0.3"/>
    <row r="2641" ht="15" customHeight="1" x14ac:dyDescent="0.3"/>
    <row r="2642" ht="15" customHeight="1" x14ac:dyDescent="0.3"/>
    <row r="2643" ht="15" customHeight="1" x14ac:dyDescent="0.3"/>
    <row r="2644" ht="15" customHeight="1" x14ac:dyDescent="0.3"/>
    <row r="2645" ht="15" customHeight="1" x14ac:dyDescent="0.3"/>
    <row r="2646" ht="15" customHeight="1" x14ac:dyDescent="0.3"/>
    <row r="2648" ht="15" customHeight="1" x14ac:dyDescent="0.3"/>
    <row r="2649" ht="15" customHeight="1" x14ac:dyDescent="0.3"/>
    <row r="2650" ht="15" customHeight="1" x14ac:dyDescent="0.3"/>
    <row r="2651" ht="15" customHeight="1" x14ac:dyDescent="0.3"/>
    <row r="2652" ht="15" customHeight="1" x14ac:dyDescent="0.3"/>
    <row r="2653" ht="15" customHeight="1" x14ac:dyDescent="0.3"/>
    <row r="2654" ht="15" customHeight="1" x14ac:dyDescent="0.3"/>
    <row r="2655" ht="15" customHeight="1" x14ac:dyDescent="0.3"/>
    <row r="2656" ht="15" customHeight="1" x14ac:dyDescent="0.3"/>
    <row r="2657" ht="15" customHeight="1" x14ac:dyDescent="0.3"/>
    <row r="2658" ht="15" customHeight="1" x14ac:dyDescent="0.3"/>
    <row r="2659" ht="15" customHeight="1" x14ac:dyDescent="0.3"/>
    <row r="2662" ht="15" customHeight="1" x14ac:dyDescent="0.3"/>
    <row r="2663" ht="15" customHeight="1" x14ac:dyDescent="0.3"/>
    <row r="2664" ht="15" customHeight="1" x14ac:dyDescent="0.3"/>
    <row r="2665" ht="15" customHeight="1" x14ac:dyDescent="0.3"/>
    <row r="2666" ht="15" customHeight="1" x14ac:dyDescent="0.3"/>
    <row r="2667" ht="15" customHeight="1" x14ac:dyDescent="0.3"/>
    <row r="2668" ht="15" customHeight="1" x14ac:dyDescent="0.3"/>
    <row r="2669" ht="15" customHeight="1" x14ac:dyDescent="0.3"/>
    <row r="2670" ht="15" customHeight="1" x14ac:dyDescent="0.3"/>
    <row r="2671" ht="15" customHeight="1" x14ac:dyDescent="0.3"/>
    <row r="2672" ht="15" customHeight="1" x14ac:dyDescent="0.3"/>
    <row r="2673" ht="15" customHeight="1" x14ac:dyDescent="0.3"/>
    <row r="2674" ht="15" customHeight="1" x14ac:dyDescent="0.3"/>
    <row r="2675" ht="15" customHeight="1" x14ac:dyDescent="0.3"/>
    <row r="2676" ht="15" customHeight="1" x14ac:dyDescent="0.3"/>
    <row r="2677" ht="15" customHeight="1" x14ac:dyDescent="0.3"/>
    <row r="2678" ht="15" customHeight="1" x14ac:dyDescent="0.3"/>
    <row r="2679" ht="15" customHeight="1" x14ac:dyDescent="0.3"/>
    <row r="2680" ht="15" customHeight="1" x14ac:dyDescent="0.3"/>
    <row r="2681" ht="15" customHeight="1" x14ac:dyDescent="0.3"/>
    <row r="2682" ht="15" customHeight="1" x14ac:dyDescent="0.3"/>
    <row r="2683" ht="15" customHeight="1" x14ac:dyDescent="0.3"/>
    <row r="2684" ht="15" customHeight="1" x14ac:dyDescent="0.3"/>
    <row r="2685" ht="15" customHeight="1" x14ac:dyDescent="0.3"/>
    <row r="2686" ht="15" customHeight="1" x14ac:dyDescent="0.3"/>
    <row r="2687" ht="15" customHeight="1" x14ac:dyDescent="0.3"/>
    <row r="2689" ht="15" customHeight="1" x14ac:dyDescent="0.3"/>
    <row r="2690" ht="15" customHeight="1" x14ac:dyDescent="0.3"/>
    <row r="2691" ht="15" customHeight="1" x14ac:dyDescent="0.3"/>
    <row r="2692" ht="15" customHeight="1" x14ac:dyDescent="0.3"/>
    <row r="2693" ht="15" customHeight="1" x14ac:dyDescent="0.3"/>
    <row r="2694" ht="15" customHeight="1" x14ac:dyDescent="0.3"/>
    <row r="2695" ht="15" customHeight="1" x14ac:dyDescent="0.3"/>
    <row r="2696" ht="15" customHeight="1" x14ac:dyDescent="0.3"/>
    <row r="2697" ht="15" customHeight="1" x14ac:dyDescent="0.3"/>
    <row r="2698" ht="15" customHeight="1" x14ac:dyDescent="0.3"/>
    <row r="2699" ht="15" customHeight="1" x14ac:dyDescent="0.3"/>
    <row r="2700" ht="15" customHeight="1" x14ac:dyDescent="0.3"/>
    <row r="2701" ht="15" customHeight="1" x14ac:dyDescent="0.3"/>
    <row r="2702" ht="15" customHeight="1" x14ac:dyDescent="0.3"/>
    <row r="2703" ht="15" customHeight="1" x14ac:dyDescent="0.3"/>
    <row r="2704" ht="15" customHeight="1" x14ac:dyDescent="0.3"/>
    <row r="2705" spans="2:32" x14ac:dyDescent="0.3">
      <c r="B2705" s="34"/>
      <c r="C2705" s="34"/>
      <c r="D2705" s="34"/>
      <c r="E2705" s="34"/>
      <c r="F2705" s="34"/>
      <c r="G2705" s="34"/>
      <c r="H2705" s="34"/>
      <c r="I2705" s="34"/>
      <c r="J2705" s="34"/>
      <c r="K2705" s="34"/>
      <c r="L2705" s="34"/>
      <c r="M2705" s="34"/>
      <c r="N2705" s="34"/>
      <c r="O2705" s="34"/>
      <c r="P2705" s="34"/>
      <c r="Q2705" s="34"/>
      <c r="R2705" s="34"/>
      <c r="S2705" s="34"/>
      <c r="T2705" s="34"/>
      <c r="U2705" s="34"/>
      <c r="V2705" s="34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</row>
    <row r="2706" spans="2:32" x14ac:dyDescent="0.3">
      <c r="B2706" s="34"/>
      <c r="C2706" s="34"/>
      <c r="D2706" s="34"/>
      <c r="E2706" s="34"/>
      <c r="F2706" s="34"/>
      <c r="G2706" s="34"/>
      <c r="H2706" s="34"/>
      <c r="I2706" s="34"/>
      <c r="J2706" s="34"/>
      <c r="K2706" s="34"/>
      <c r="L2706" s="34"/>
      <c r="M2706" s="34"/>
      <c r="N2706" s="34"/>
      <c r="O2706" s="34"/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</row>
    <row r="2707" spans="2:32" ht="15" customHeight="1" x14ac:dyDescent="0.3"/>
    <row r="2708" spans="2:32" ht="15" customHeight="1" x14ac:dyDescent="0.3"/>
    <row r="2709" spans="2:32" ht="15" customHeight="1" x14ac:dyDescent="0.3"/>
    <row r="2710" spans="2:32" ht="15" customHeight="1" x14ac:dyDescent="0.3"/>
    <row r="2711" spans="2:32" ht="15" customHeight="1" x14ac:dyDescent="0.3"/>
    <row r="2712" spans="2:32" ht="15" customHeight="1" x14ac:dyDescent="0.3"/>
    <row r="2713" spans="2:32" ht="15" customHeight="1" x14ac:dyDescent="0.3"/>
    <row r="2714" spans="2:32" ht="15" customHeight="1" x14ac:dyDescent="0.3"/>
    <row r="2715" spans="2:32" ht="15" customHeight="1" x14ac:dyDescent="0.3"/>
    <row r="2716" spans="2:32" ht="15" customHeight="1" x14ac:dyDescent="0.3"/>
    <row r="2717" spans="2:32" ht="15" customHeight="1" x14ac:dyDescent="0.3"/>
    <row r="2718" spans="2:32" ht="15" customHeight="1" x14ac:dyDescent="0.3">
      <c r="B2718" s="34"/>
      <c r="C2718" s="34"/>
      <c r="D2718" s="34"/>
      <c r="E2718" s="34"/>
      <c r="F2718" s="34"/>
      <c r="G2718" s="34"/>
      <c r="H2718" s="34"/>
      <c r="I2718" s="34"/>
      <c r="J2718" s="34"/>
      <c r="K2718" s="34"/>
      <c r="L2718" s="34"/>
      <c r="M2718" s="34"/>
      <c r="N2718" s="34"/>
      <c r="O2718" s="34"/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</row>
    <row r="2719" spans="2:32" ht="15" customHeight="1" x14ac:dyDescent="0.3">
      <c r="B2719" s="61"/>
      <c r="C2719" s="61"/>
      <c r="D2719" s="61"/>
      <c r="E2719" s="61"/>
      <c r="F2719" s="61"/>
      <c r="G2719" s="61"/>
      <c r="H2719" s="61"/>
      <c r="I2719" s="61"/>
      <c r="J2719" s="61"/>
      <c r="K2719" s="61"/>
      <c r="L2719" s="61"/>
      <c r="M2719" s="61"/>
      <c r="N2719" s="61"/>
      <c r="O2719" s="61"/>
      <c r="P2719" s="61"/>
      <c r="Q2719" s="61"/>
      <c r="R2719" s="61"/>
      <c r="S2719" s="61"/>
      <c r="T2719" s="61"/>
      <c r="U2719" s="61"/>
      <c r="V2719" s="61"/>
      <c r="W2719" s="61"/>
      <c r="X2719" s="61"/>
      <c r="Y2719" s="61"/>
      <c r="Z2719" s="61"/>
      <c r="AA2719" s="61"/>
      <c r="AB2719" s="61"/>
      <c r="AC2719" s="61"/>
      <c r="AD2719" s="61"/>
      <c r="AE2719" s="61"/>
      <c r="AF2719" s="61"/>
    </row>
    <row r="2720" spans="2:32" ht="15" customHeight="1" x14ac:dyDescent="0.3"/>
    <row r="2721" ht="15" customHeight="1" x14ac:dyDescent="0.3"/>
    <row r="2722" ht="15" customHeight="1" x14ac:dyDescent="0.3"/>
    <row r="2723" ht="15" customHeight="1" x14ac:dyDescent="0.3"/>
    <row r="2724" ht="15" customHeight="1" x14ac:dyDescent="0.3"/>
    <row r="2725" ht="15" customHeight="1" x14ac:dyDescent="0.3"/>
    <row r="2726" ht="15" customHeight="1" x14ac:dyDescent="0.3"/>
    <row r="2727" ht="15" customHeight="1" x14ac:dyDescent="0.3"/>
    <row r="2728" ht="15" customHeight="1" x14ac:dyDescent="0.3"/>
    <row r="2729" ht="15" customHeight="1" x14ac:dyDescent="0.3"/>
    <row r="2730" ht="15" customHeight="1" x14ac:dyDescent="0.3"/>
    <row r="2731" ht="15" customHeight="1" x14ac:dyDescent="0.3"/>
    <row r="2732" ht="15" customHeight="1" x14ac:dyDescent="0.3"/>
    <row r="2733" ht="15" customHeight="1" x14ac:dyDescent="0.3"/>
    <row r="2734" ht="15" customHeight="1" x14ac:dyDescent="0.3"/>
    <row r="2735" ht="15" customHeight="1" x14ac:dyDescent="0.3"/>
    <row r="2736" ht="15" customHeight="1" x14ac:dyDescent="0.3"/>
    <row r="2737" ht="15" customHeight="1" x14ac:dyDescent="0.3"/>
    <row r="2738" ht="15" customHeight="1" x14ac:dyDescent="0.3"/>
    <row r="2739" ht="15" customHeight="1" x14ac:dyDescent="0.3"/>
    <row r="2740" ht="15" customHeight="1" x14ac:dyDescent="0.3"/>
    <row r="2741" ht="15" customHeight="1" x14ac:dyDescent="0.3"/>
    <row r="2742" ht="15" customHeight="1" x14ac:dyDescent="0.3"/>
    <row r="2743" ht="15" customHeight="1" x14ac:dyDescent="0.3"/>
    <row r="2775" ht="15" customHeight="1" x14ac:dyDescent="0.3"/>
    <row r="2776" ht="15" customHeight="1" x14ac:dyDescent="0.3"/>
    <row r="2777" ht="15" customHeight="1" x14ac:dyDescent="0.3"/>
    <row r="2778" ht="15" customHeight="1" x14ac:dyDescent="0.3"/>
    <row r="2779" ht="15" customHeight="1" x14ac:dyDescent="0.3"/>
    <row r="2780" ht="15" customHeight="1" x14ac:dyDescent="0.3"/>
    <row r="2781" ht="15" customHeight="1" x14ac:dyDescent="0.3"/>
    <row r="2782" ht="15" customHeight="1" x14ac:dyDescent="0.3"/>
    <row r="2783" ht="15" customHeight="1" x14ac:dyDescent="0.3"/>
    <row r="2784" ht="15" customHeight="1" x14ac:dyDescent="0.3"/>
    <row r="2785" ht="15" customHeight="1" x14ac:dyDescent="0.3"/>
    <row r="2786" ht="15" customHeight="1" x14ac:dyDescent="0.3"/>
    <row r="2788" ht="15" customHeight="1" x14ac:dyDescent="0.3"/>
    <row r="2789" ht="15" customHeight="1" x14ac:dyDescent="0.3"/>
    <row r="2790" ht="15" customHeight="1" x14ac:dyDescent="0.3"/>
    <row r="2791" ht="15" customHeight="1" x14ac:dyDescent="0.3"/>
    <row r="2793" ht="15" customHeight="1" x14ac:dyDescent="0.3"/>
    <row r="2794" ht="15" customHeight="1" x14ac:dyDescent="0.3"/>
    <row r="2795" ht="15" customHeight="1" x14ac:dyDescent="0.3"/>
    <row r="2796" ht="15" customHeight="1" x14ac:dyDescent="0.3"/>
    <row r="2797" ht="15" customHeight="1" x14ac:dyDescent="0.3"/>
    <row r="2798" ht="15" customHeight="1" x14ac:dyDescent="0.3"/>
    <row r="2799" ht="15" customHeight="1" x14ac:dyDescent="0.3"/>
    <row r="2800" ht="15" customHeight="1" x14ac:dyDescent="0.3"/>
    <row r="2801" ht="15" customHeight="1" x14ac:dyDescent="0.3"/>
    <row r="2802" ht="15" customHeight="1" x14ac:dyDescent="0.3"/>
    <row r="2804" ht="15" customHeight="1" x14ac:dyDescent="0.3"/>
    <row r="2805" ht="15" customHeight="1" x14ac:dyDescent="0.3"/>
    <row r="2806" ht="15" customHeight="1" x14ac:dyDescent="0.3"/>
    <row r="2807" ht="15" customHeight="1" x14ac:dyDescent="0.3"/>
    <row r="2809" ht="15" customHeight="1" x14ac:dyDescent="0.3"/>
    <row r="2810" ht="15" customHeight="1" x14ac:dyDescent="0.3"/>
    <row r="2811" ht="15" customHeight="1" x14ac:dyDescent="0.3"/>
    <row r="2812" ht="15" customHeight="1" x14ac:dyDescent="0.3"/>
    <row r="2813" ht="15" customHeight="1" x14ac:dyDescent="0.3"/>
    <row r="2814" ht="15" customHeight="1" x14ac:dyDescent="0.3"/>
    <row r="2815" ht="15" customHeight="1" x14ac:dyDescent="0.3"/>
    <row r="2816" ht="15" customHeight="1" x14ac:dyDescent="0.3"/>
    <row r="2818" ht="15" customHeight="1" x14ac:dyDescent="0.3"/>
    <row r="2819" ht="15" customHeight="1" x14ac:dyDescent="0.3"/>
    <row r="2820" ht="15" customHeight="1" x14ac:dyDescent="0.3"/>
    <row r="2821" ht="15" customHeight="1" x14ac:dyDescent="0.3"/>
    <row r="2822" ht="15" customHeight="1" x14ac:dyDescent="0.3"/>
    <row r="2823" ht="15" customHeight="1" x14ac:dyDescent="0.3"/>
    <row r="2825" ht="15" customHeight="1" x14ac:dyDescent="0.3"/>
    <row r="2826" ht="15" customHeight="1" x14ac:dyDescent="0.3"/>
    <row r="2827" ht="15" customHeight="1" x14ac:dyDescent="0.3"/>
    <row r="2828" ht="15" customHeight="1" x14ac:dyDescent="0.3"/>
    <row r="2831" ht="15" customHeight="1" x14ac:dyDescent="0.3"/>
    <row r="2832" ht="15" customHeight="1" x14ac:dyDescent="0.3"/>
    <row r="2833" spans="2:32" ht="15" customHeight="1" x14ac:dyDescent="0.3"/>
    <row r="2834" spans="2:32" ht="15" customHeight="1" x14ac:dyDescent="0.3"/>
    <row r="2835" spans="2:32" ht="15" customHeight="1" x14ac:dyDescent="0.3"/>
    <row r="2836" spans="2:32" ht="15" customHeight="1" x14ac:dyDescent="0.3">
      <c r="B2836" s="34"/>
      <c r="C2836" s="34"/>
      <c r="D2836" s="34"/>
      <c r="E2836" s="34"/>
      <c r="F2836" s="34"/>
      <c r="G2836" s="34"/>
      <c r="H2836" s="34"/>
      <c r="I2836" s="34"/>
      <c r="J2836" s="34"/>
      <c r="K2836" s="34"/>
      <c r="L2836" s="34"/>
      <c r="M2836" s="34"/>
      <c r="N2836" s="34"/>
      <c r="O2836" s="34"/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  <c r="AA2836" s="34"/>
      <c r="AB2836" s="34"/>
      <c r="AC2836" s="34"/>
      <c r="AD2836" s="34"/>
      <c r="AE2836" s="34"/>
      <c r="AF2836" s="34"/>
    </row>
    <row r="2837" spans="2:32" ht="15" customHeight="1" x14ac:dyDescent="0.3">
      <c r="B2837" s="61"/>
      <c r="C2837" s="61"/>
      <c r="D2837" s="61"/>
      <c r="E2837" s="61"/>
      <c r="F2837" s="61"/>
      <c r="G2837" s="61"/>
      <c r="H2837" s="61"/>
      <c r="I2837" s="61"/>
      <c r="J2837" s="61"/>
      <c r="K2837" s="61"/>
      <c r="L2837" s="61"/>
      <c r="M2837" s="61"/>
      <c r="N2837" s="61"/>
      <c r="O2837" s="61"/>
      <c r="P2837" s="61"/>
      <c r="Q2837" s="61"/>
      <c r="R2837" s="61"/>
      <c r="S2837" s="61"/>
      <c r="T2837" s="61"/>
      <c r="U2837" s="61"/>
      <c r="V2837" s="61"/>
      <c r="W2837" s="61"/>
      <c r="X2837" s="61"/>
      <c r="Y2837" s="61"/>
      <c r="Z2837" s="61"/>
      <c r="AA2837" s="61"/>
      <c r="AB2837" s="61"/>
      <c r="AC2837" s="61"/>
      <c r="AD2837" s="61"/>
      <c r="AE2837" s="61"/>
      <c r="AF2837" s="61"/>
    </row>
    <row r="2838" spans="2:32" ht="15" customHeight="1" x14ac:dyDescent="0.3"/>
    <row r="2839" spans="2:32" ht="15" customHeight="1" x14ac:dyDescent="0.3"/>
    <row r="2840" spans="2:32" ht="15" customHeight="1" x14ac:dyDescent="0.3"/>
    <row r="2841" spans="2:32" ht="15" customHeight="1" x14ac:dyDescent="0.3"/>
  </sheetData>
  <mergeCells count="20"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46:AG146"/>
    <mergeCell ref="B1945:AF1945"/>
    <mergeCell ref="B308:AF308"/>
    <mergeCell ref="B511:AF511"/>
    <mergeCell ref="B712:AF712"/>
    <mergeCell ref="B887:AF887"/>
    <mergeCell ref="B1101:AF1101"/>
    <mergeCell ref="B1229:AF1229"/>
    <mergeCell ref="B1390:AF1390"/>
    <mergeCell ref="B1502:AF1502"/>
    <mergeCell ref="B1604:AF1604"/>
    <mergeCell ref="B1699:AF169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52C6-BB8B-4D28-A028-8787C804DFED}">
  <dimension ref="A1:AG2841"/>
  <sheetViews>
    <sheetView topLeftCell="B16" workbookViewId="0">
      <selection activeCell="B33" sqref="B33"/>
    </sheetView>
  </sheetViews>
  <sheetFormatPr defaultColWidth="8.6640625" defaultRowHeight="14.4" x14ac:dyDescent="0.3"/>
  <cols>
    <col min="1" max="1" width="21.44140625" hidden="1" customWidth="1"/>
    <col min="2" max="2" width="46.6640625" customWidth="1"/>
  </cols>
  <sheetData>
    <row r="1" spans="1:33" ht="15" customHeight="1" thickBot="1" x14ac:dyDescent="0.35">
      <c r="B1" s="13" t="s">
        <v>205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3" ht="15" customHeight="1" thickTop="1" x14ac:dyDescent="0.3"/>
    <row r="3" spans="1:33" ht="15" customHeight="1" x14ac:dyDescent="0.3">
      <c r="C3" s="28" t="s">
        <v>46</v>
      </c>
      <c r="D3" s="28" t="s">
        <v>206</v>
      </c>
      <c r="E3" s="28"/>
      <c r="F3" s="28"/>
      <c r="G3" s="28"/>
    </row>
    <row r="4" spans="1:33" ht="15" customHeight="1" x14ac:dyDescent="0.3">
      <c r="C4" s="28" t="s">
        <v>48</v>
      </c>
      <c r="D4" s="28" t="s">
        <v>207</v>
      </c>
      <c r="E4" s="28"/>
      <c r="F4" s="28"/>
      <c r="G4" s="28" t="s">
        <v>50</v>
      </c>
    </row>
    <row r="5" spans="1:33" ht="15" customHeight="1" x14ac:dyDescent="0.3">
      <c r="C5" s="28" t="s">
        <v>51</v>
      </c>
      <c r="D5" s="28" t="s">
        <v>208</v>
      </c>
      <c r="E5" s="28"/>
      <c r="F5" s="28"/>
      <c r="G5" s="28"/>
    </row>
    <row r="6" spans="1:33" ht="15" customHeight="1" x14ac:dyDescent="0.3">
      <c r="C6" s="28" t="s">
        <v>53</v>
      </c>
      <c r="D6" s="28"/>
      <c r="E6" s="28" t="s">
        <v>209</v>
      </c>
      <c r="F6" s="28"/>
      <c r="G6" s="28"/>
    </row>
    <row r="10" spans="1:33" ht="15" customHeight="1" x14ac:dyDescent="0.3">
      <c r="A10" s="6" t="s">
        <v>55</v>
      </c>
      <c r="B10" s="15" t="s">
        <v>56</v>
      </c>
      <c r="AG10" s="31" t="s">
        <v>57</v>
      </c>
    </row>
    <row r="11" spans="1:33" ht="15" customHeight="1" x14ac:dyDescent="0.3">
      <c r="B11" s="13" t="s">
        <v>210</v>
      </c>
      <c r="AG11" s="31" t="s">
        <v>59</v>
      </c>
    </row>
    <row r="12" spans="1:33" ht="15" customHeight="1" x14ac:dyDescent="0.3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1" t="s">
        <v>60</v>
      </c>
    </row>
    <row r="13" spans="1:33" ht="15" customHeight="1" thickBot="1" x14ac:dyDescent="0.35">
      <c r="B13" s="14" t="s">
        <v>61</v>
      </c>
      <c r="C13" s="14">
        <v>2021</v>
      </c>
      <c r="D13" s="14">
        <v>2022</v>
      </c>
      <c r="E13" s="14">
        <v>2023</v>
      </c>
      <c r="F13" s="14">
        <v>2024</v>
      </c>
      <c r="G13" s="14">
        <v>2025</v>
      </c>
      <c r="H13" s="14">
        <v>2026</v>
      </c>
      <c r="I13" s="14">
        <v>2027</v>
      </c>
      <c r="J13" s="14">
        <v>2028</v>
      </c>
      <c r="K13" s="14">
        <v>2029</v>
      </c>
      <c r="L13" s="14">
        <v>2030</v>
      </c>
      <c r="M13" s="14">
        <v>2031</v>
      </c>
      <c r="N13" s="14">
        <v>2032</v>
      </c>
      <c r="O13" s="14">
        <v>2033</v>
      </c>
      <c r="P13" s="14">
        <v>2034</v>
      </c>
      <c r="Q13" s="14">
        <v>2035</v>
      </c>
      <c r="R13" s="14">
        <v>2036</v>
      </c>
      <c r="S13" s="14">
        <v>2037</v>
      </c>
      <c r="T13" s="14">
        <v>2038</v>
      </c>
      <c r="U13" s="14">
        <v>2039</v>
      </c>
      <c r="V13" s="14">
        <v>2040</v>
      </c>
      <c r="W13" s="14">
        <v>2041</v>
      </c>
      <c r="X13" s="14">
        <v>2042</v>
      </c>
      <c r="Y13" s="14">
        <v>2043</v>
      </c>
      <c r="Z13" s="14">
        <v>2044</v>
      </c>
      <c r="AA13" s="14">
        <v>2045</v>
      </c>
      <c r="AB13" s="14">
        <v>2046</v>
      </c>
      <c r="AC13" s="14">
        <v>2047</v>
      </c>
      <c r="AD13" s="14">
        <v>2048</v>
      </c>
      <c r="AE13" s="14">
        <v>2049</v>
      </c>
      <c r="AF13" s="14">
        <v>2050</v>
      </c>
      <c r="AG13" s="29" t="s">
        <v>211</v>
      </c>
    </row>
    <row r="14" spans="1:33" ht="15" customHeight="1" thickTop="1" x14ac:dyDescent="0.3"/>
    <row r="15" spans="1:33" ht="15" customHeight="1" x14ac:dyDescent="0.3">
      <c r="B15" s="16" t="s">
        <v>63</v>
      </c>
    </row>
    <row r="16" spans="1:33" ht="15" customHeight="1" x14ac:dyDescent="0.3">
      <c r="A16" s="6" t="s">
        <v>64</v>
      </c>
      <c r="B16" s="17" t="s">
        <v>65</v>
      </c>
      <c r="C16" s="22">
        <v>21.519539000000002</v>
      </c>
      <c r="D16" s="22">
        <v>23.171989</v>
      </c>
      <c r="E16" s="22">
        <v>22.882878999999999</v>
      </c>
      <c r="F16" s="22">
        <v>22.879546999999999</v>
      </c>
      <c r="G16" s="22">
        <v>22.814679999999999</v>
      </c>
      <c r="H16" s="22">
        <v>22.860277</v>
      </c>
      <c r="I16" s="22">
        <v>23.090302000000001</v>
      </c>
      <c r="J16" s="22">
        <v>23.526861</v>
      </c>
      <c r="K16" s="22">
        <v>24.041060999999999</v>
      </c>
      <c r="L16" s="22">
        <v>24.518084999999999</v>
      </c>
      <c r="M16" s="22">
        <v>24.986616000000001</v>
      </c>
      <c r="N16" s="22">
        <v>25.594235999999999</v>
      </c>
      <c r="O16" s="22">
        <v>26.029458999999999</v>
      </c>
      <c r="P16" s="22">
        <v>26.333237</v>
      </c>
      <c r="Q16" s="22">
        <v>26.526838000000001</v>
      </c>
      <c r="R16" s="22">
        <v>26.637015999999999</v>
      </c>
      <c r="S16" s="22">
        <v>26.823605000000001</v>
      </c>
      <c r="T16" s="22">
        <v>27.044892999999998</v>
      </c>
      <c r="U16" s="22">
        <v>27.215188999999999</v>
      </c>
      <c r="V16" s="22">
        <v>27.495535</v>
      </c>
      <c r="W16" s="22">
        <v>27.787013999999999</v>
      </c>
      <c r="X16" s="22">
        <v>28.060248999999999</v>
      </c>
      <c r="Y16" s="22">
        <v>28.415534999999998</v>
      </c>
      <c r="Z16" s="22">
        <v>28.739542</v>
      </c>
      <c r="AA16" s="22">
        <v>28.873835</v>
      </c>
      <c r="AB16" s="22">
        <v>28.852163000000001</v>
      </c>
      <c r="AC16" s="22">
        <v>28.765711</v>
      </c>
      <c r="AD16" s="22">
        <v>28.699755</v>
      </c>
      <c r="AE16" s="22">
        <v>28.682410999999998</v>
      </c>
      <c r="AF16" s="22">
        <v>28.628247999999999</v>
      </c>
      <c r="AG16" s="19">
        <v>9.8910000000000005E-3</v>
      </c>
    </row>
    <row r="17" spans="1:33" ht="15" customHeight="1" x14ac:dyDescent="0.3">
      <c r="A17" s="6" t="s">
        <v>66</v>
      </c>
      <c r="B17" s="17" t="s">
        <v>67</v>
      </c>
      <c r="C17" s="22">
        <v>21.744820000000001</v>
      </c>
      <c r="D17" s="22">
        <v>22.068128999999999</v>
      </c>
      <c r="E17" s="22">
        <v>21.495360999999999</v>
      </c>
      <c r="F17" s="22">
        <v>22.810974000000002</v>
      </c>
      <c r="G17" s="22">
        <v>23.416267000000001</v>
      </c>
      <c r="H17" s="22">
        <v>23.953699</v>
      </c>
      <c r="I17" s="22">
        <v>24.605654000000001</v>
      </c>
      <c r="J17" s="22">
        <v>24.700975</v>
      </c>
      <c r="K17" s="22">
        <v>24.801642999999999</v>
      </c>
      <c r="L17" s="22">
        <v>24.726500999999999</v>
      </c>
      <c r="M17" s="22">
        <v>24.89443</v>
      </c>
      <c r="N17" s="22">
        <v>25.006917999999999</v>
      </c>
      <c r="O17" s="22">
        <v>25.067779999999999</v>
      </c>
      <c r="P17" s="22">
        <v>25.021007999999998</v>
      </c>
      <c r="Q17" s="22">
        <v>25.012953</v>
      </c>
      <c r="R17" s="22">
        <v>25.030716000000002</v>
      </c>
      <c r="S17" s="22">
        <v>25.173168</v>
      </c>
      <c r="T17" s="22">
        <v>25.266403</v>
      </c>
      <c r="U17" s="22">
        <v>25.269179999999999</v>
      </c>
      <c r="V17" s="22">
        <v>25.488142</v>
      </c>
      <c r="W17" s="22">
        <v>25.65202</v>
      </c>
      <c r="X17" s="22">
        <v>25.722313</v>
      </c>
      <c r="Y17" s="22">
        <v>25.994267000000001</v>
      </c>
      <c r="Z17" s="22">
        <v>26.257401000000002</v>
      </c>
      <c r="AA17" s="22">
        <v>26.239376</v>
      </c>
      <c r="AB17" s="22">
        <v>26.421462999999999</v>
      </c>
      <c r="AC17" s="22">
        <v>26.391459999999999</v>
      </c>
      <c r="AD17" s="22">
        <v>26.301579</v>
      </c>
      <c r="AE17" s="22">
        <v>26.372859999999999</v>
      </c>
      <c r="AF17" s="22">
        <v>26.23348</v>
      </c>
      <c r="AG17" s="19">
        <v>6.4920000000000004E-3</v>
      </c>
    </row>
    <row r="18" spans="1:33" ht="15" customHeight="1" x14ac:dyDescent="0.3">
      <c r="A18" s="6" t="s">
        <v>68</v>
      </c>
      <c r="B18" s="17" t="s">
        <v>69</v>
      </c>
      <c r="C18" s="22">
        <v>11.714767</v>
      </c>
      <c r="D18" s="22">
        <v>12.151939</v>
      </c>
      <c r="E18" s="22">
        <v>11.530189</v>
      </c>
      <c r="F18" s="22">
        <v>11.049291</v>
      </c>
      <c r="G18" s="22">
        <v>10.738747999999999</v>
      </c>
      <c r="H18" s="22">
        <v>10.557093999999999</v>
      </c>
      <c r="I18" s="22">
        <v>10.430873999999999</v>
      </c>
      <c r="J18" s="22">
        <v>10.569336</v>
      </c>
      <c r="K18" s="22">
        <v>10.733542</v>
      </c>
      <c r="L18" s="22">
        <v>10.824615</v>
      </c>
      <c r="M18" s="22">
        <v>10.916719000000001</v>
      </c>
      <c r="N18" s="22">
        <v>11.249624000000001</v>
      </c>
      <c r="O18" s="22">
        <v>11.388998000000001</v>
      </c>
      <c r="P18" s="22">
        <v>11.442094000000001</v>
      </c>
      <c r="Q18" s="22">
        <v>11.442280999999999</v>
      </c>
      <c r="R18" s="22">
        <v>11.411037</v>
      </c>
      <c r="S18" s="22">
        <v>11.449185999999999</v>
      </c>
      <c r="T18" s="22">
        <v>11.482208</v>
      </c>
      <c r="U18" s="22">
        <v>11.520953</v>
      </c>
      <c r="V18" s="22">
        <v>11.549916</v>
      </c>
      <c r="W18" s="22">
        <v>11.630534000000001</v>
      </c>
      <c r="X18" s="22">
        <v>11.626328000000001</v>
      </c>
      <c r="Y18" s="22">
        <v>11.591697</v>
      </c>
      <c r="Z18" s="22">
        <v>11.577318</v>
      </c>
      <c r="AA18" s="22">
        <v>11.548356</v>
      </c>
      <c r="AB18" s="22">
        <v>11.546086000000001</v>
      </c>
      <c r="AC18" s="22">
        <v>11.550601</v>
      </c>
      <c r="AD18" s="22">
        <v>11.556094999999999</v>
      </c>
      <c r="AE18" s="22">
        <v>11.593724999999999</v>
      </c>
      <c r="AF18" s="22">
        <v>11.616578000000001</v>
      </c>
      <c r="AG18" s="19">
        <v>-2.9E-4</v>
      </c>
    </row>
    <row r="19" spans="1:33" ht="15" customHeight="1" x14ac:dyDescent="0.3">
      <c r="A19" s="6" t="s">
        <v>70</v>
      </c>
      <c r="B19" s="17" t="s">
        <v>71</v>
      </c>
      <c r="C19" s="22">
        <v>38.762390000000003</v>
      </c>
      <c r="D19" s="22">
        <v>38.520023000000002</v>
      </c>
      <c r="E19" s="22">
        <v>38.213290999999998</v>
      </c>
      <c r="F19" s="22">
        <v>37.571396</v>
      </c>
      <c r="G19" s="22">
        <v>37.389544999999998</v>
      </c>
      <c r="H19" s="22">
        <v>37.544311999999998</v>
      </c>
      <c r="I19" s="22">
        <v>37.608688000000001</v>
      </c>
      <c r="J19" s="22">
        <v>37.677120000000002</v>
      </c>
      <c r="K19" s="22">
        <v>37.800606000000002</v>
      </c>
      <c r="L19" s="22">
        <v>37.826484999999998</v>
      </c>
      <c r="M19" s="22">
        <v>37.956969999999998</v>
      </c>
      <c r="N19" s="22">
        <v>38.120724000000003</v>
      </c>
      <c r="O19" s="22">
        <v>38.280704</v>
      </c>
      <c r="P19" s="22">
        <v>38.361744000000002</v>
      </c>
      <c r="Q19" s="22">
        <v>38.052211999999997</v>
      </c>
      <c r="R19" s="22">
        <v>37.810265000000001</v>
      </c>
      <c r="S19" s="22">
        <v>37.659115</v>
      </c>
      <c r="T19" s="22">
        <v>37.508750999999997</v>
      </c>
      <c r="U19" s="22">
        <v>37.363532999999997</v>
      </c>
      <c r="V19" s="22">
        <v>37.418816</v>
      </c>
      <c r="W19" s="22">
        <v>37.326819999999998</v>
      </c>
      <c r="X19" s="22">
        <v>37.339638000000001</v>
      </c>
      <c r="Y19" s="22">
        <v>37.170746000000001</v>
      </c>
      <c r="Z19" s="22">
        <v>37.042541999999997</v>
      </c>
      <c r="AA19" s="22">
        <v>37.059157999999996</v>
      </c>
      <c r="AB19" s="22">
        <v>36.817813999999998</v>
      </c>
      <c r="AC19" s="22">
        <v>36.777476999999998</v>
      </c>
      <c r="AD19" s="22">
        <v>36.656680999999999</v>
      </c>
      <c r="AE19" s="22">
        <v>36.538505999999998</v>
      </c>
      <c r="AF19" s="22">
        <v>36.290455000000001</v>
      </c>
      <c r="AG19" s="19">
        <v>-2.2699999999999999E-3</v>
      </c>
    </row>
    <row r="20" spans="1:33" ht="15" customHeight="1" x14ac:dyDescent="0.3"/>
    <row r="21" spans="1:33" ht="15" customHeight="1" x14ac:dyDescent="0.3">
      <c r="B21" s="16" t="s">
        <v>72</v>
      </c>
    </row>
    <row r="22" spans="1:33" ht="15" customHeight="1" x14ac:dyDescent="0.3">
      <c r="A22" s="6" t="s">
        <v>73</v>
      </c>
      <c r="B22" s="17" t="s">
        <v>65</v>
      </c>
      <c r="C22" s="22">
        <v>18.822289999999999</v>
      </c>
      <c r="D22" s="22">
        <v>19.715876000000002</v>
      </c>
      <c r="E22" s="22">
        <v>18.120463999999998</v>
      </c>
      <c r="F22" s="22">
        <v>18.024939</v>
      </c>
      <c r="G22" s="22">
        <v>17.919872000000002</v>
      </c>
      <c r="H22" s="22">
        <v>18.009079</v>
      </c>
      <c r="I22" s="22">
        <v>18.3034</v>
      </c>
      <c r="J22" s="22">
        <v>18.778172000000001</v>
      </c>
      <c r="K22" s="22">
        <v>19.233488000000001</v>
      </c>
      <c r="L22" s="22">
        <v>19.571338999999998</v>
      </c>
      <c r="M22" s="22">
        <v>19.902462</v>
      </c>
      <c r="N22" s="22">
        <v>20.432221999999999</v>
      </c>
      <c r="O22" s="22">
        <v>20.743967000000001</v>
      </c>
      <c r="P22" s="22">
        <v>20.877276999999999</v>
      </c>
      <c r="Q22" s="22">
        <v>20.929076999999999</v>
      </c>
      <c r="R22" s="22">
        <v>20.949825000000001</v>
      </c>
      <c r="S22" s="22">
        <v>21.118493999999998</v>
      </c>
      <c r="T22" s="22">
        <v>21.305202000000001</v>
      </c>
      <c r="U22" s="22">
        <v>21.400407999999999</v>
      </c>
      <c r="V22" s="22">
        <v>21.663758999999999</v>
      </c>
      <c r="W22" s="22">
        <v>21.891473999999999</v>
      </c>
      <c r="X22" s="22">
        <v>22.078979</v>
      </c>
      <c r="Y22" s="22">
        <v>22.382663999999998</v>
      </c>
      <c r="Z22" s="22">
        <v>22.604012000000001</v>
      </c>
      <c r="AA22" s="22">
        <v>22.578735000000002</v>
      </c>
      <c r="AB22" s="22">
        <v>22.440573000000001</v>
      </c>
      <c r="AC22" s="22">
        <v>22.312597</v>
      </c>
      <c r="AD22" s="22">
        <v>22.263029</v>
      </c>
      <c r="AE22" s="22">
        <v>22.278421000000002</v>
      </c>
      <c r="AF22" s="22">
        <v>22.221496999999999</v>
      </c>
      <c r="AG22" s="19">
        <v>5.7409999999999996E-3</v>
      </c>
    </row>
    <row r="23" spans="1:33" ht="15" customHeight="1" x14ac:dyDescent="0.3">
      <c r="A23" s="6" t="s">
        <v>74</v>
      </c>
      <c r="B23" s="17" t="s">
        <v>67</v>
      </c>
      <c r="C23" s="22">
        <v>21.823187000000001</v>
      </c>
      <c r="D23" s="22">
        <v>22.151240999999999</v>
      </c>
      <c r="E23" s="22">
        <v>20.410336999999998</v>
      </c>
      <c r="F23" s="22">
        <v>20.680358999999999</v>
      </c>
      <c r="G23" s="22">
        <v>20.203226000000001</v>
      </c>
      <c r="H23" s="22">
        <v>19.669412999999999</v>
      </c>
      <c r="I23" s="22">
        <v>19.257957000000001</v>
      </c>
      <c r="J23" s="22">
        <v>19.355927999999999</v>
      </c>
      <c r="K23" s="22">
        <v>19.454554000000002</v>
      </c>
      <c r="L23" s="22">
        <v>19.407744999999998</v>
      </c>
      <c r="M23" s="22">
        <v>19.577158000000001</v>
      </c>
      <c r="N23" s="22">
        <v>20.015388000000002</v>
      </c>
      <c r="O23" s="22">
        <v>20.072495</v>
      </c>
      <c r="P23" s="22">
        <v>20.035830000000001</v>
      </c>
      <c r="Q23" s="22">
        <v>20.077394000000002</v>
      </c>
      <c r="R23" s="22">
        <v>20.092907</v>
      </c>
      <c r="S23" s="22">
        <v>20.242428</v>
      </c>
      <c r="T23" s="22">
        <v>20.340592999999998</v>
      </c>
      <c r="U23" s="22">
        <v>20.341208999999999</v>
      </c>
      <c r="V23" s="22">
        <v>20.574266000000001</v>
      </c>
      <c r="W23" s="22">
        <v>20.738567</v>
      </c>
      <c r="X23" s="22">
        <v>20.811585999999998</v>
      </c>
      <c r="Y23" s="22">
        <v>21.077397999999999</v>
      </c>
      <c r="Z23" s="22">
        <v>21.340584</v>
      </c>
      <c r="AA23" s="22">
        <v>21.334831000000001</v>
      </c>
      <c r="AB23" s="22">
        <v>21.519756000000001</v>
      </c>
      <c r="AC23" s="22">
        <v>21.496528999999999</v>
      </c>
      <c r="AD23" s="22">
        <v>21.407710999999999</v>
      </c>
      <c r="AE23" s="22">
        <v>21.483561999999999</v>
      </c>
      <c r="AF23" s="22">
        <v>21.350731</v>
      </c>
      <c r="AG23" s="19">
        <v>-7.54E-4</v>
      </c>
    </row>
    <row r="24" spans="1:33" ht="15" customHeight="1" x14ac:dyDescent="0.3">
      <c r="A24" s="6" t="s">
        <v>75</v>
      </c>
      <c r="B24" s="17" t="s">
        <v>76</v>
      </c>
      <c r="C24" s="22">
        <v>6.5100579999999999</v>
      </c>
      <c r="D24" s="22">
        <v>7.5571320000000002</v>
      </c>
      <c r="E24" s="22">
        <v>7.5076260000000001</v>
      </c>
      <c r="F24" s="22">
        <v>8.7682140000000004</v>
      </c>
      <c r="G24" s="22">
        <v>9.385942</v>
      </c>
      <c r="H24" s="22">
        <v>9.9388869999999994</v>
      </c>
      <c r="I24" s="22">
        <v>10.723703</v>
      </c>
      <c r="J24" s="22">
        <v>10.872849</v>
      </c>
      <c r="K24" s="22">
        <v>10.957001999999999</v>
      </c>
      <c r="L24" s="22">
        <v>11.106604000000001</v>
      </c>
      <c r="M24" s="22">
        <v>11.208329000000001</v>
      </c>
      <c r="N24" s="22">
        <v>11.39804</v>
      </c>
      <c r="O24" s="22">
        <v>11.494227</v>
      </c>
      <c r="P24" s="22">
        <v>11.57103</v>
      </c>
      <c r="Q24" s="22">
        <v>11.595969999999999</v>
      </c>
      <c r="R24" s="22">
        <v>11.640589</v>
      </c>
      <c r="S24" s="22">
        <v>11.608359999999999</v>
      </c>
      <c r="T24" s="22">
        <v>11.717171</v>
      </c>
      <c r="U24" s="22">
        <v>11.650703999999999</v>
      </c>
      <c r="V24" s="22">
        <v>12.228127000000001</v>
      </c>
      <c r="W24" s="22">
        <v>12.351459</v>
      </c>
      <c r="X24" s="22">
        <v>12.376053000000001</v>
      </c>
      <c r="Y24" s="22">
        <v>12.620767000000001</v>
      </c>
      <c r="Z24" s="22">
        <v>12.870324999999999</v>
      </c>
      <c r="AA24" s="22">
        <v>12.911318</v>
      </c>
      <c r="AB24" s="22">
        <v>13.078761999999999</v>
      </c>
      <c r="AC24" s="22">
        <v>13.098419</v>
      </c>
      <c r="AD24" s="22">
        <v>13.071736</v>
      </c>
      <c r="AE24" s="22">
        <v>13.146095000000001</v>
      </c>
      <c r="AF24" s="22">
        <v>13.070271999999999</v>
      </c>
      <c r="AG24" s="19">
        <v>2.4324999999999999E-2</v>
      </c>
    </row>
    <row r="25" spans="1:33" ht="15" customHeight="1" x14ac:dyDescent="0.3">
      <c r="A25" s="6" t="s">
        <v>77</v>
      </c>
      <c r="B25" s="17" t="s">
        <v>69</v>
      </c>
      <c r="C25" s="22">
        <v>8.4425779999999992</v>
      </c>
      <c r="D25" s="22">
        <v>8.8186400000000003</v>
      </c>
      <c r="E25" s="22">
        <v>8.4970009999999991</v>
      </c>
      <c r="F25" s="22">
        <v>8.1806230000000006</v>
      </c>
      <c r="G25" s="22">
        <v>8.0178919999999998</v>
      </c>
      <c r="H25" s="22">
        <v>7.970574</v>
      </c>
      <c r="I25" s="22">
        <v>7.9628040000000002</v>
      </c>
      <c r="J25" s="22">
        <v>8.0838149999999995</v>
      </c>
      <c r="K25" s="22">
        <v>8.2239009999999997</v>
      </c>
      <c r="L25" s="22">
        <v>8.2933249999999994</v>
      </c>
      <c r="M25" s="22">
        <v>8.3639290000000006</v>
      </c>
      <c r="N25" s="22">
        <v>8.5710899999999999</v>
      </c>
      <c r="O25" s="22">
        <v>8.6705909999999999</v>
      </c>
      <c r="P25" s="22">
        <v>8.6985139999999994</v>
      </c>
      <c r="Q25" s="22">
        <v>8.6712369999999996</v>
      </c>
      <c r="R25" s="22">
        <v>8.6270919999999993</v>
      </c>
      <c r="S25" s="22">
        <v>8.6517119999999998</v>
      </c>
      <c r="T25" s="22">
        <v>8.6734170000000006</v>
      </c>
      <c r="U25" s="22">
        <v>8.7012110000000007</v>
      </c>
      <c r="V25" s="22">
        <v>8.7203239999999997</v>
      </c>
      <c r="W25" s="22">
        <v>8.7892930000000007</v>
      </c>
      <c r="X25" s="22">
        <v>8.7741849999999992</v>
      </c>
      <c r="Y25" s="22">
        <v>8.7288960000000007</v>
      </c>
      <c r="Z25" s="22">
        <v>8.7058060000000008</v>
      </c>
      <c r="AA25" s="22">
        <v>8.6689620000000005</v>
      </c>
      <c r="AB25" s="22">
        <v>8.6579730000000001</v>
      </c>
      <c r="AC25" s="22">
        <v>8.6548890000000007</v>
      </c>
      <c r="AD25" s="22">
        <v>8.6534859999999991</v>
      </c>
      <c r="AE25" s="22">
        <v>8.6836369999999992</v>
      </c>
      <c r="AF25" s="22">
        <v>8.7002330000000008</v>
      </c>
      <c r="AG25" s="19">
        <v>1.0369999999999999E-3</v>
      </c>
    </row>
    <row r="26" spans="1:33" ht="15" customHeight="1" x14ac:dyDescent="0.3">
      <c r="A26" s="6" t="s">
        <v>78</v>
      </c>
      <c r="B26" s="17" t="s">
        <v>71</v>
      </c>
      <c r="C26" s="22">
        <v>33.230530000000002</v>
      </c>
      <c r="D26" s="22">
        <v>32.918514000000002</v>
      </c>
      <c r="E26" s="22">
        <v>32.008311999999997</v>
      </c>
      <c r="F26" s="22">
        <v>31.329121000000001</v>
      </c>
      <c r="G26" s="22">
        <v>31.108647999999999</v>
      </c>
      <c r="H26" s="22">
        <v>31.226942000000001</v>
      </c>
      <c r="I26" s="22">
        <v>31.192585000000001</v>
      </c>
      <c r="J26" s="22">
        <v>31.205448000000001</v>
      </c>
      <c r="K26" s="22">
        <v>31.239993999999999</v>
      </c>
      <c r="L26" s="22">
        <v>31.164197999999999</v>
      </c>
      <c r="M26" s="22">
        <v>31.207338</v>
      </c>
      <c r="N26" s="22">
        <v>31.252337000000001</v>
      </c>
      <c r="O26" s="22">
        <v>31.384094000000001</v>
      </c>
      <c r="P26" s="22">
        <v>31.392914000000001</v>
      </c>
      <c r="Q26" s="22">
        <v>31.002915999999999</v>
      </c>
      <c r="R26" s="22">
        <v>30.702438000000001</v>
      </c>
      <c r="S26" s="22">
        <v>30.551656999999999</v>
      </c>
      <c r="T26" s="22">
        <v>30.342772</v>
      </c>
      <c r="U26" s="22">
        <v>30.176033</v>
      </c>
      <c r="V26" s="22">
        <v>30.204934999999999</v>
      </c>
      <c r="W26" s="22">
        <v>30.056618</v>
      </c>
      <c r="X26" s="22">
        <v>30.057528000000001</v>
      </c>
      <c r="Y26" s="22">
        <v>29.873531</v>
      </c>
      <c r="Z26" s="22">
        <v>29.691974999999999</v>
      </c>
      <c r="AA26" s="22">
        <v>29.655783</v>
      </c>
      <c r="AB26" s="22">
        <v>29.391348000000001</v>
      </c>
      <c r="AC26" s="22">
        <v>29.304863000000001</v>
      </c>
      <c r="AD26" s="22">
        <v>29.157902</v>
      </c>
      <c r="AE26" s="22">
        <v>29.036933999999999</v>
      </c>
      <c r="AF26" s="22">
        <v>28.768715</v>
      </c>
      <c r="AG26" s="19">
        <v>-4.9589999999999999E-3</v>
      </c>
    </row>
    <row r="27" spans="1:33" ht="15" customHeight="1" x14ac:dyDescent="0.3"/>
    <row r="28" spans="1:33" ht="15" customHeight="1" x14ac:dyDescent="0.3">
      <c r="B28" s="16" t="s">
        <v>79</v>
      </c>
    </row>
    <row r="29" spans="1:33" ht="15" customHeight="1" x14ac:dyDescent="0.3">
      <c r="A29" s="6" t="s">
        <v>80</v>
      </c>
      <c r="B29" s="17" t="s">
        <v>65</v>
      </c>
      <c r="C29" s="22">
        <v>13.663833</v>
      </c>
      <c r="D29" s="22">
        <v>14.357594000000001</v>
      </c>
      <c r="E29" s="22">
        <v>12.540751999999999</v>
      </c>
      <c r="F29" s="22">
        <v>12.504602</v>
      </c>
      <c r="G29" s="22">
        <v>12.409207</v>
      </c>
      <c r="H29" s="22">
        <v>12.512104000000001</v>
      </c>
      <c r="I29" s="22">
        <v>12.822186</v>
      </c>
      <c r="J29" s="22">
        <v>13.316794</v>
      </c>
      <c r="K29" s="22">
        <v>13.784143</v>
      </c>
      <c r="L29" s="22">
        <v>14.126072000000001</v>
      </c>
      <c r="M29" s="22">
        <v>14.469291</v>
      </c>
      <c r="N29" s="22">
        <v>14.762370000000001</v>
      </c>
      <c r="O29" s="22">
        <v>15.093699000000001</v>
      </c>
      <c r="P29" s="22">
        <v>15.225082</v>
      </c>
      <c r="Q29" s="22">
        <v>15.235613000000001</v>
      </c>
      <c r="R29" s="22">
        <v>15.257844</v>
      </c>
      <c r="S29" s="22">
        <v>15.447799</v>
      </c>
      <c r="T29" s="22">
        <v>15.651039000000001</v>
      </c>
      <c r="U29" s="22">
        <v>15.74879</v>
      </c>
      <c r="V29" s="22">
        <v>16.043150000000001</v>
      </c>
      <c r="W29" s="22">
        <v>16.289669</v>
      </c>
      <c r="X29" s="22">
        <v>16.491389999999999</v>
      </c>
      <c r="Y29" s="22">
        <v>16.830480999999999</v>
      </c>
      <c r="Z29" s="22">
        <v>17.069897000000001</v>
      </c>
      <c r="AA29" s="22">
        <v>17.026378999999999</v>
      </c>
      <c r="AB29" s="22">
        <v>16.866844</v>
      </c>
      <c r="AC29" s="22">
        <v>16.727716000000001</v>
      </c>
      <c r="AD29" s="22">
        <v>16.679976</v>
      </c>
      <c r="AE29" s="22">
        <v>16.703078999999999</v>
      </c>
      <c r="AF29" s="22">
        <v>16.638475</v>
      </c>
      <c r="AG29" s="19">
        <v>6.8149999999999999E-3</v>
      </c>
    </row>
    <row r="30" spans="1:33" ht="15" customHeight="1" x14ac:dyDescent="0.3">
      <c r="A30" s="6" t="s">
        <v>81</v>
      </c>
      <c r="B30" s="17" t="s">
        <v>67</v>
      </c>
      <c r="C30" s="22">
        <v>21.752379999999999</v>
      </c>
      <c r="D30" s="22">
        <v>22.072089999999999</v>
      </c>
      <c r="E30" s="22">
        <v>20.410429000000001</v>
      </c>
      <c r="F30" s="22">
        <v>20.646559</v>
      </c>
      <c r="G30" s="22">
        <v>20.162946999999999</v>
      </c>
      <c r="H30" s="22">
        <v>19.615082000000001</v>
      </c>
      <c r="I30" s="22">
        <v>19.183277</v>
      </c>
      <c r="J30" s="22">
        <v>19.286733999999999</v>
      </c>
      <c r="K30" s="22">
        <v>19.397879</v>
      </c>
      <c r="L30" s="22">
        <v>19.367228000000001</v>
      </c>
      <c r="M30" s="22">
        <v>19.537780999999999</v>
      </c>
      <c r="N30" s="22">
        <v>19.664978000000001</v>
      </c>
      <c r="O30" s="22">
        <v>19.740728000000001</v>
      </c>
      <c r="P30" s="22">
        <v>19.708300000000001</v>
      </c>
      <c r="Q30" s="22">
        <v>19.713743000000001</v>
      </c>
      <c r="R30" s="22">
        <v>19.732658000000001</v>
      </c>
      <c r="S30" s="22">
        <v>19.883741000000001</v>
      </c>
      <c r="T30" s="22">
        <v>19.985137999999999</v>
      </c>
      <c r="U30" s="22">
        <v>19.992160999999999</v>
      </c>
      <c r="V30" s="22">
        <v>20.237798999999999</v>
      </c>
      <c r="W30" s="22">
        <v>20.408805999999998</v>
      </c>
      <c r="X30" s="22">
        <v>20.488091000000001</v>
      </c>
      <c r="Y30" s="22">
        <v>20.759394</v>
      </c>
      <c r="Z30" s="22">
        <v>21.023619</v>
      </c>
      <c r="AA30" s="22">
        <v>21.028748</v>
      </c>
      <c r="AB30" s="22">
        <v>21.221026999999999</v>
      </c>
      <c r="AC30" s="22">
        <v>21.206429</v>
      </c>
      <c r="AD30" s="22">
        <v>21.123951000000002</v>
      </c>
      <c r="AE30" s="22">
        <v>21.206486000000002</v>
      </c>
      <c r="AF30" s="22">
        <v>21.081644000000001</v>
      </c>
      <c r="AG30" s="19">
        <v>-1.0790000000000001E-3</v>
      </c>
    </row>
    <row r="31" spans="1:33" x14ac:dyDescent="0.3">
      <c r="A31" s="6" t="s">
        <v>82</v>
      </c>
      <c r="B31" s="17" t="s">
        <v>76</v>
      </c>
      <c r="C31" s="22">
        <v>7.0922299999999998</v>
      </c>
      <c r="D31" s="22">
        <v>8.2939620000000005</v>
      </c>
      <c r="E31" s="22">
        <v>8.4533079999999998</v>
      </c>
      <c r="F31" s="22">
        <v>9.9419559999999993</v>
      </c>
      <c r="G31" s="22">
        <v>10.752402999999999</v>
      </c>
      <c r="H31" s="22">
        <v>11.551449</v>
      </c>
      <c r="I31" s="22">
        <v>12.545612</v>
      </c>
      <c r="J31" s="22">
        <v>12.711119999999999</v>
      </c>
      <c r="K31" s="22">
        <v>12.829575999999999</v>
      </c>
      <c r="L31" s="22">
        <v>12.988939</v>
      </c>
      <c r="M31" s="22">
        <v>13.118169</v>
      </c>
      <c r="N31" s="22">
        <v>13.329255</v>
      </c>
      <c r="O31" s="22">
        <v>13.446094</v>
      </c>
      <c r="P31" s="22">
        <v>13.510265</v>
      </c>
      <c r="Q31" s="22">
        <v>13.572782999999999</v>
      </c>
      <c r="R31" s="22">
        <v>13.618667</v>
      </c>
      <c r="S31" s="22">
        <v>13.563599</v>
      </c>
      <c r="T31" s="22">
        <v>13.682615999999999</v>
      </c>
      <c r="U31" s="22">
        <v>13.633998999999999</v>
      </c>
      <c r="V31" s="22">
        <v>14.207245</v>
      </c>
      <c r="W31" s="22">
        <v>14.34065</v>
      </c>
      <c r="X31" s="22">
        <v>14.376683999999999</v>
      </c>
      <c r="Y31" s="22">
        <v>14.61781</v>
      </c>
      <c r="Z31" s="22">
        <v>14.86674</v>
      </c>
      <c r="AA31" s="22">
        <v>14.907736</v>
      </c>
      <c r="AB31" s="22">
        <v>15.082319</v>
      </c>
      <c r="AC31" s="22">
        <v>15.10018</v>
      </c>
      <c r="AD31" s="22">
        <v>15.080287999999999</v>
      </c>
      <c r="AE31" s="22">
        <v>15.156901</v>
      </c>
      <c r="AF31" s="22">
        <v>15.086491000000001</v>
      </c>
      <c r="AG31" s="19">
        <v>2.6369E-2</v>
      </c>
    </row>
    <row r="32" spans="1:33" x14ac:dyDescent="0.3">
      <c r="A32" s="6" t="s">
        <v>83</v>
      </c>
      <c r="B32" s="17" t="s">
        <v>84</v>
      </c>
      <c r="C32" s="22">
        <v>5.0712760000000001</v>
      </c>
      <c r="D32" s="22">
        <v>4.843464</v>
      </c>
      <c r="E32" s="22">
        <v>4.5120310000000003</v>
      </c>
      <c r="F32" s="22">
        <v>4.1554070000000003</v>
      </c>
      <c r="G32" s="22">
        <v>3.9805540000000001</v>
      </c>
      <c r="H32" s="22">
        <v>3.9263050000000002</v>
      </c>
      <c r="I32" s="22">
        <v>3.957039</v>
      </c>
      <c r="J32" s="22">
        <v>4.1145550000000002</v>
      </c>
      <c r="K32" s="22">
        <v>4.2619189999999998</v>
      </c>
      <c r="L32" s="22">
        <v>4.3481649999999998</v>
      </c>
      <c r="M32" s="22">
        <v>4.405538</v>
      </c>
      <c r="N32" s="22">
        <v>4.4050820000000002</v>
      </c>
      <c r="O32" s="22">
        <v>4.5017959999999997</v>
      </c>
      <c r="P32" s="22">
        <v>4.5067820000000003</v>
      </c>
      <c r="Q32" s="22">
        <v>4.436007</v>
      </c>
      <c r="R32" s="22">
        <v>4.3852440000000001</v>
      </c>
      <c r="S32" s="22">
        <v>4.3839329999999999</v>
      </c>
      <c r="T32" s="22">
        <v>4.4058349999999997</v>
      </c>
      <c r="U32" s="22">
        <v>4.4264789999999996</v>
      </c>
      <c r="V32" s="22">
        <v>4.4488719999999997</v>
      </c>
      <c r="W32" s="22">
        <v>4.5032389999999998</v>
      </c>
      <c r="X32" s="22">
        <v>4.5105209999999998</v>
      </c>
      <c r="Y32" s="22">
        <v>4.4475110000000004</v>
      </c>
      <c r="Z32" s="22">
        <v>4.4126279999999998</v>
      </c>
      <c r="AA32" s="22">
        <v>4.3397050000000004</v>
      </c>
      <c r="AB32" s="22">
        <v>4.3096290000000002</v>
      </c>
      <c r="AC32" s="22">
        <v>4.2911510000000002</v>
      </c>
      <c r="AD32" s="22">
        <v>4.2856820000000004</v>
      </c>
      <c r="AE32" s="22">
        <v>4.2957679999999998</v>
      </c>
      <c r="AF32" s="22">
        <v>4.3037200000000002</v>
      </c>
      <c r="AG32" s="19">
        <v>-5.6429999999999996E-3</v>
      </c>
    </row>
    <row r="33" spans="1:33" x14ac:dyDescent="0.3">
      <c r="A33" s="6" t="s">
        <v>85</v>
      </c>
      <c r="B33" s="17" t="s">
        <v>86</v>
      </c>
      <c r="C33" s="22">
        <v>3.9278590000000002</v>
      </c>
      <c r="D33" s="22">
        <v>3.5188109999999999</v>
      </c>
      <c r="E33" s="22">
        <v>3.3476979999999998</v>
      </c>
      <c r="F33" s="22">
        <v>3.1883330000000001</v>
      </c>
      <c r="G33" s="22">
        <v>3.0981640000000001</v>
      </c>
      <c r="H33" s="22">
        <v>3.0374970000000001</v>
      </c>
      <c r="I33" s="22">
        <v>3.0094270000000001</v>
      </c>
      <c r="J33" s="22">
        <v>3.0049709999999998</v>
      </c>
      <c r="K33" s="22">
        <v>3.0161980000000002</v>
      </c>
      <c r="L33" s="22">
        <v>3.0408119999999998</v>
      </c>
      <c r="M33" s="22">
        <v>3.0632079999999999</v>
      </c>
      <c r="N33" s="22">
        <v>3.0941109999999998</v>
      </c>
      <c r="O33" s="22">
        <v>3.112654</v>
      </c>
      <c r="P33" s="22">
        <v>3.12921</v>
      </c>
      <c r="Q33" s="22">
        <v>3.151268</v>
      </c>
      <c r="R33" s="22">
        <v>3.1732849999999999</v>
      </c>
      <c r="S33" s="22">
        <v>3.1994729999999998</v>
      </c>
      <c r="T33" s="22">
        <v>3.2216550000000002</v>
      </c>
      <c r="U33" s="22">
        <v>3.243439</v>
      </c>
      <c r="V33" s="22">
        <v>3.2680319999999998</v>
      </c>
      <c r="W33" s="22">
        <v>3.2877169999999998</v>
      </c>
      <c r="X33" s="22">
        <v>3.3065359999999999</v>
      </c>
      <c r="Y33" s="22">
        <v>3.3300299999999998</v>
      </c>
      <c r="Z33" s="22">
        <v>3.3564620000000001</v>
      </c>
      <c r="AA33" s="22">
        <v>3.3831509999999998</v>
      </c>
      <c r="AB33" s="22">
        <v>3.4100950000000001</v>
      </c>
      <c r="AC33" s="22">
        <v>3.4367239999999999</v>
      </c>
      <c r="AD33" s="22">
        <v>3.4589189999999999</v>
      </c>
      <c r="AE33" s="22">
        <v>3.4835039999999999</v>
      </c>
      <c r="AF33" s="22">
        <v>3.5086189999999999</v>
      </c>
      <c r="AG33" s="19">
        <v>-3.885E-3</v>
      </c>
    </row>
    <row r="34" spans="1:33" x14ac:dyDescent="0.3">
      <c r="A34" s="6" t="s">
        <v>87</v>
      </c>
      <c r="B34" s="17" t="s">
        <v>88</v>
      </c>
      <c r="C34" s="22">
        <v>2.7294890000000001</v>
      </c>
      <c r="D34" s="22">
        <v>2.6812749999999999</v>
      </c>
      <c r="E34" s="22">
        <v>2.6905429999999999</v>
      </c>
      <c r="F34" s="22">
        <v>2.6940870000000001</v>
      </c>
      <c r="G34" s="22">
        <v>2.6956470000000001</v>
      </c>
      <c r="H34" s="22">
        <v>2.6893959999999999</v>
      </c>
      <c r="I34" s="22">
        <v>2.6776430000000002</v>
      </c>
      <c r="J34" s="22">
        <v>2.675602</v>
      </c>
      <c r="K34" s="22">
        <v>2.6753939999999998</v>
      </c>
      <c r="L34" s="22">
        <v>2.6768879999999999</v>
      </c>
      <c r="M34" s="22">
        <v>2.6771919999999998</v>
      </c>
      <c r="N34" s="22">
        <v>2.6817190000000002</v>
      </c>
      <c r="O34" s="22">
        <v>2.687179</v>
      </c>
      <c r="P34" s="22">
        <v>2.68689</v>
      </c>
      <c r="Q34" s="22">
        <v>2.6759909999999998</v>
      </c>
      <c r="R34" s="22">
        <v>2.6713420000000001</v>
      </c>
      <c r="S34" s="22">
        <v>2.6660509999999999</v>
      </c>
      <c r="T34" s="22">
        <v>2.6639900000000001</v>
      </c>
      <c r="U34" s="22">
        <v>2.670385</v>
      </c>
      <c r="V34" s="22">
        <v>2.6727479999999999</v>
      </c>
      <c r="W34" s="22">
        <v>2.6784309999999998</v>
      </c>
      <c r="X34" s="22">
        <v>2.6771639999999999</v>
      </c>
      <c r="Y34" s="22">
        <v>2.6752799999999999</v>
      </c>
      <c r="Z34" s="22">
        <v>2.6798109999999999</v>
      </c>
      <c r="AA34" s="22">
        <v>2.6825350000000001</v>
      </c>
      <c r="AB34" s="22">
        <v>2.6850320000000001</v>
      </c>
      <c r="AC34" s="22">
        <v>2.6847880000000002</v>
      </c>
      <c r="AD34" s="22">
        <v>2.6833800000000001</v>
      </c>
      <c r="AE34" s="22">
        <v>2.684288</v>
      </c>
      <c r="AF34" s="22">
        <v>2.68431</v>
      </c>
      <c r="AG34" s="19">
        <v>-5.7499999999999999E-4</v>
      </c>
    </row>
    <row r="35" spans="1:33" x14ac:dyDescent="0.3">
      <c r="A35" s="6" t="s">
        <v>89</v>
      </c>
      <c r="B35" s="17" t="s">
        <v>90</v>
      </c>
      <c r="C35" s="22" t="s">
        <v>91</v>
      </c>
      <c r="D35" s="22" t="s">
        <v>91</v>
      </c>
      <c r="E35" s="22" t="s">
        <v>91</v>
      </c>
      <c r="F35" s="22" t="s">
        <v>91</v>
      </c>
      <c r="G35" s="22" t="s">
        <v>91</v>
      </c>
      <c r="H35" s="22" t="s">
        <v>91</v>
      </c>
      <c r="I35" s="22" t="s">
        <v>91</v>
      </c>
      <c r="J35" s="22" t="s">
        <v>91</v>
      </c>
      <c r="K35" s="22" t="s">
        <v>91</v>
      </c>
      <c r="L35" s="22" t="s">
        <v>91</v>
      </c>
      <c r="M35" s="22" t="s">
        <v>91</v>
      </c>
      <c r="N35" s="22" t="s">
        <v>91</v>
      </c>
      <c r="O35" s="22" t="s">
        <v>91</v>
      </c>
      <c r="P35" s="22" t="s">
        <v>91</v>
      </c>
      <c r="Q35" s="22" t="s">
        <v>91</v>
      </c>
      <c r="R35" s="22" t="s">
        <v>91</v>
      </c>
      <c r="S35" s="22" t="s">
        <v>91</v>
      </c>
      <c r="T35" s="22" t="s">
        <v>91</v>
      </c>
      <c r="U35" s="22" t="s">
        <v>91</v>
      </c>
      <c r="V35" s="22" t="s">
        <v>91</v>
      </c>
      <c r="W35" s="22" t="s">
        <v>91</v>
      </c>
      <c r="X35" s="22" t="s">
        <v>91</v>
      </c>
      <c r="Y35" s="22" t="s">
        <v>91</v>
      </c>
      <c r="Z35" s="22" t="s">
        <v>91</v>
      </c>
      <c r="AA35" s="22" t="s">
        <v>91</v>
      </c>
      <c r="AB35" s="22" t="s">
        <v>91</v>
      </c>
      <c r="AC35" s="22" t="s">
        <v>91</v>
      </c>
      <c r="AD35" s="22" t="s">
        <v>91</v>
      </c>
      <c r="AE35" s="22" t="s">
        <v>91</v>
      </c>
      <c r="AF35" s="22" t="s">
        <v>91</v>
      </c>
      <c r="AG35" s="19" t="s">
        <v>91</v>
      </c>
    </row>
    <row r="36" spans="1:33" x14ac:dyDescent="0.3">
      <c r="A36" s="6" t="s">
        <v>92</v>
      </c>
      <c r="B36" s="17" t="s">
        <v>71</v>
      </c>
      <c r="C36" s="22">
        <v>21.954326999999999</v>
      </c>
      <c r="D36" s="22">
        <v>21.585381999999999</v>
      </c>
      <c r="E36" s="22">
        <v>20.592312</v>
      </c>
      <c r="F36" s="22">
        <v>19.991261999999999</v>
      </c>
      <c r="G36" s="22">
        <v>19.767326000000001</v>
      </c>
      <c r="H36" s="22">
        <v>19.610733</v>
      </c>
      <c r="I36" s="22">
        <v>19.560320000000001</v>
      </c>
      <c r="J36" s="22">
        <v>19.572056</v>
      </c>
      <c r="K36" s="22">
        <v>19.607358999999999</v>
      </c>
      <c r="L36" s="22">
        <v>19.590821999999999</v>
      </c>
      <c r="M36" s="22">
        <v>19.607412</v>
      </c>
      <c r="N36" s="22">
        <v>19.627659000000001</v>
      </c>
      <c r="O36" s="22">
        <v>19.631359</v>
      </c>
      <c r="P36" s="22">
        <v>19.629396</v>
      </c>
      <c r="Q36" s="22">
        <v>19.429189999999998</v>
      </c>
      <c r="R36" s="22">
        <v>19.290569000000001</v>
      </c>
      <c r="S36" s="22">
        <v>19.131826</v>
      </c>
      <c r="T36" s="22">
        <v>19.040081000000001</v>
      </c>
      <c r="U36" s="22">
        <v>18.936440000000001</v>
      </c>
      <c r="V36" s="22">
        <v>18.923027000000001</v>
      </c>
      <c r="W36" s="22">
        <v>18.863256</v>
      </c>
      <c r="X36" s="22">
        <v>18.807621000000001</v>
      </c>
      <c r="Y36" s="22">
        <v>18.641673999999998</v>
      </c>
      <c r="Z36" s="22">
        <v>18.541803000000002</v>
      </c>
      <c r="AA36" s="22">
        <v>18.475939</v>
      </c>
      <c r="AB36" s="22">
        <v>18.302622</v>
      </c>
      <c r="AC36" s="22">
        <v>18.235422</v>
      </c>
      <c r="AD36" s="22">
        <v>18.142365000000002</v>
      </c>
      <c r="AE36" s="22">
        <v>18.062515000000001</v>
      </c>
      <c r="AF36" s="22">
        <v>17.956862999999998</v>
      </c>
      <c r="AG36" s="19">
        <v>-6.9069999999999999E-3</v>
      </c>
    </row>
    <row r="38" spans="1:33" x14ac:dyDescent="0.3">
      <c r="B38" s="16" t="s">
        <v>93</v>
      </c>
    </row>
    <row r="39" spans="1:33" x14ac:dyDescent="0.3">
      <c r="A39" s="6" t="s">
        <v>94</v>
      </c>
      <c r="B39" s="17" t="s">
        <v>65</v>
      </c>
      <c r="C39" s="22">
        <v>17.771591000000001</v>
      </c>
      <c r="D39" s="22">
        <v>18.268834999999999</v>
      </c>
      <c r="E39" s="22">
        <v>16.727415000000001</v>
      </c>
      <c r="F39" s="22">
        <v>16.714047999999998</v>
      </c>
      <c r="G39" s="22">
        <v>16.63475</v>
      </c>
      <c r="H39" s="22">
        <v>16.724779000000002</v>
      </c>
      <c r="I39" s="22">
        <v>16.989108999999999</v>
      </c>
      <c r="J39" s="22">
        <v>17.403635000000001</v>
      </c>
      <c r="K39" s="22">
        <v>17.787141999999999</v>
      </c>
      <c r="L39" s="22">
        <v>18.062943000000001</v>
      </c>
      <c r="M39" s="22">
        <v>18.338911</v>
      </c>
      <c r="N39" s="22">
        <v>18.912962</v>
      </c>
      <c r="O39" s="22">
        <v>19.174692</v>
      </c>
      <c r="P39" s="22">
        <v>19.274258</v>
      </c>
      <c r="Q39" s="22">
        <v>19.327058999999998</v>
      </c>
      <c r="R39" s="22">
        <v>19.342784999999999</v>
      </c>
      <c r="S39" s="22">
        <v>19.492384000000001</v>
      </c>
      <c r="T39" s="22">
        <v>19.649984</v>
      </c>
      <c r="U39" s="22">
        <v>19.722977</v>
      </c>
      <c r="V39" s="22">
        <v>19.951733000000001</v>
      </c>
      <c r="W39" s="22">
        <v>20.139430999999998</v>
      </c>
      <c r="X39" s="22">
        <v>20.291405000000001</v>
      </c>
      <c r="Y39" s="22">
        <v>20.549433000000001</v>
      </c>
      <c r="Z39" s="22">
        <v>20.727775999999999</v>
      </c>
      <c r="AA39" s="22">
        <v>20.689185999999999</v>
      </c>
      <c r="AB39" s="22">
        <v>20.564271999999999</v>
      </c>
      <c r="AC39" s="22">
        <v>20.456610000000001</v>
      </c>
      <c r="AD39" s="22">
        <v>20.419739</v>
      </c>
      <c r="AE39" s="22">
        <v>20.436654999999998</v>
      </c>
      <c r="AF39" s="22">
        <v>20.384316999999999</v>
      </c>
      <c r="AG39" s="19">
        <v>4.7410000000000004E-3</v>
      </c>
    </row>
    <row r="40" spans="1:33" x14ac:dyDescent="0.3">
      <c r="A40" s="6" t="s">
        <v>95</v>
      </c>
      <c r="B40" s="17" t="s">
        <v>96</v>
      </c>
      <c r="C40" s="22">
        <v>25.787903</v>
      </c>
      <c r="D40" s="22">
        <v>25.761244000000001</v>
      </c>
      <c r="E40" s="22">
        <v>25.495864999999998</v>
      </c>
      <c r="F40" s="22">
        <v>25.212344999999999</v>
      </c>
      <c r="G40" s="22">
        <v>24.975625999999998</v>
      </c>
      <c r="H40" s="22">
        <v>25.043126999999998</v>
      </c>
      <c r="I40" s="22">
        <v>25.355228</v>
      </c>
      <c r="J40" s="22">
        <v>25.594719000000001</v>
      </c>
      <c r="K40" s="22">
        <v>25.777564999999999</v>
      </c>
      <c r="L40" s="22">
        <v>26.200195000000001</v>
      </c>
      <c r="M40" s="22">
        <v>26.276876000000001</v>
      </c>
      <c r="N40" s="22">
        <v>27.198093</v>
      </c>
      <c r="O40" s="22">
        <v>27.413271000000002</v>
      </c>
      <c r="P40" s="22">
        <v>27.550775999999999</v>
      </c>
      <c r="Q40" s="22">
        <v>27.680271000000001</v>
      </c>
      <c r="R40" s="22">
        <v>27.711462000000001</v>
      </c>
      <c r="S40" s="22">
        <v>27.855463</v>
      </c>
      <c r="T40" s="22">
        <v>28.059764999999999</v>
      </c>
      <c r="U40" s="22">
        <v>28.008661</v>
      </c>
      <c r="V40" s="22">
        <v>28.442335</v>
      </c>
      <c r="W40" s="22">
        <v>28.682402</v>
      </c>
      <c r="X40" s="22">
        <v>28.964655</v>
      </c>
      <c r="Y40" s="22">
        <v>29.315156999999999</v>
      </c>
      <c r="Z40" s="22">
        <v>29.494403999999999</v>
      </c>
      <c r="AA40" s="22">
        <v>29.595737</v>
      </c>
      <c r="AB40" s="22">
        <v>29.879946</v>
      </c>
      <c r="AC40" s="22">
        <v>29.952456999999999</v>
      </c>
      <c r="AD40" s="22">
        <v>30.036066000000002</v>
      </c>
      <c r="AE40" s="22">
        <v>30.150231999999999</v>
      </c>
      <c r="AF40" s="22">
        <v>29.900158000000001</v>
      </c>
      <c r="AG40" s="19">
        <v>5.1149999999999998E-3</v>
      </c>
    </row>
    <row r="41" spans="1:33" x14ac:dyDescent="0.3">
      <c r="A41" s="6" t="s">
        <v>97</v>
      </c>
      <c r="B41" s="17" t="s">
        <v>98</v>
      </c>
      <c r="C41" s="22">
        <v>25.885534</v>
      </c>
      <c r="D41" s="22">
        <v>24.823554999999999</v>
      </c>
      <c r="E41" s="22">
        <v>21.931265</v>
      </c>
      <c r="F41" s="22">
        <v>21.752617000000001</v>
      </c>
      <c r="G41" s="22">
        <v>21.573097000000001</v>
      </c>
      <c r="H41" s="22">
        <v>21.630323000000001</v>
      </c>
      <c r="I41" s="22">
        <v>21.882795000000002</v>
      </c>
      <c r="J41" s="22">
        <v>22.068708000000001</v>
      </c>
      <c r="K41" s="22">
        <v>22.206301</v>
      </c>
      <c r="L41" s="22">
        <v>22.537537</v>
      </c>
      <c r="M41" s="22">
        <v>22.592310000000001</v>
      </c>
      <c r="N41" s="22">
        <v>23.553766</v>
      </c>
      <c r="O41" s="22">
        <v>23.718865999999998</v>
      </c>
      <c r="P41" s="22">
        <v>23.814568999999999</v>
      </c>
      <c r="Q41" s="22">
        <v>23.936171000000002</v>
      </c>
      <c r="R41" s="22">
        <v>23.943441</v>
      </c>
      <c r="S41" s="22">
        <v>24.047487</v>
      </c>
      <c r="T41" s="22">
        <v>24.204654999999999</v>
      </c>
      <c r="U41" s="22">
        <v>24.154181000000001</v>
      </c>
      <c r="V41" s="22">
        <v>24.491938000000001</v>
      </c>
      <c r="W41" s="22">
        <v>24.685376999999999</v>
      </c>
      <c r="X41" s="22">
        <v>24.854437000000001</v>
      </c>
      <c r="Y41" s="22">
        <v>25.146194000000001</v>
      </c>
      <c r="Z41" s="22">
        <v>25.343546</v>
      </c>
      <c r="AA41" s="22">
        <v>25.424524000000002</v>
      </c>
      <c r="AB41" s="22">
        <v>25.671301</v>
      </c>
      <c r="AC41" s="22">
        <v>25.718651000000001</v>
      </c>
      <c r="AD41" s="22">
        <v>25.792083999999999</v>
      </c>
      <c r="AE41" s="22">
        <v>25.879534</v>
      </c>
      <c r="AF41" s="22">
        <v>25.666084000000001</v>
      </c>
      <c r="AG41" s="19">
        <v>-2.9399999999999999E-4</v>
      </c>
    </row>
    <row r="42" spans="1:33" x14ac:dyDescent="0.3">
      <c r="A42" s="6" t="s">
        <v>99</v>
      </c>
      <c r="B42" s="17" t="s">
        <v>100</v>
      </c>
      <c r="C42" s="22">
        <v>14.720805</v>
      </c>
      <c r="D42" s="22">
        <v>15.38822</v>
      </c>
      <c r="E42" s="22">
        <v>14.073745000000001</v>
      </c>
      <c r="F42" s="22">
        <v>15.179766000000001</v>
      </c>
      <c r="G42" s="22">
        <v>15.292541999999999</v>
      </c>
      <c r="H42" s="22">
        <v>15.463751</v>
      </c>
      <c r="I42" s="22">
        <v>15.704660000000001</v>
      </c>
      <c r="J42" s="22">
        <v>15.898726</v>
      </c>
      <c r="K42" s="22">
        <v>16.052320000000002</v>
      </c>
      <c r="L42" s="22">
        <v>16.046509</v>
      </c>
      <c r="M42" s="22">
        <v>16.330721</v>
      </c>
      <c r="N42" s="22">
        <v>16.697517000000001</v>
      </c>
      <c r="O42" s="22">
        <v>16.757905999999998</v>
      </c>
      <c r="P42" s="22">
        <v>16.780107000000001</v>
      </c>
      <c r="Q42" s="22">
        <v>16.810594999999999</v>
      </c>
      <c r="R42" s="22">
        <v>16.876971999999999</v>
      </c>
      <c r="S42" s="22">
        <v>17.097425000000001</v>
      </c>
      <c r="T42" s="22">
        <v>17.235626</v>
      </c>
      <c r="U42" s="22">
        <v>17.279207</v>
      </c>
      <c r="V42" s="22">
        <v>17.533007000000001</v>
      </c>
      <c r="W42" s="22">
        <v>17.728833999999999</v>
      </c>
      <c r="X42" s="22">
        <v>17.813095000000001</v>
      </c>
      <c r="Y42" s="22">
        <v>18.115818000000001</v>
      </c>
      <c r="Z42" s="22">
        <v>18.40634</v>
      </c>
      <c r="AA42" s="22">
        <v>18.427332</v>
      </c>
      <c r="AB42" s="22">
        <v>18.612141000000001</v>
      </c>
      <c r="AC42" s="22">
        <v>18.622166</v>
      </c>
      <c r="AD42" s="22">
        <v>18.579236999999999</v>
      </c>
      <c r="AE42" s="22">
        <v>18.690104999999999</v>
      </c>
      <c r="AF42" s="22">
        <v>18.608125999999999</v>
      </c>
      <c r="AG42" s="19">
        <v>8.1130000000000004E-3</v>
      </c>
    </row>
    <row r="43" spans="1:33" x14ac:dyDescent="0.3">
      <c r="A43" s="6" t="s">
        <v>101</v>
      </c>
      <c r="B43" s="17" t="s">
        <v>102</v>
      </c>
      <c r="C43" s="22">
        <v>23.750263</v>
      </c>
      <c r="D43" s="22">
        <v>22.843326999999999</v>
      </c>
      <c r="E43" s="22">
        <v>21.936340000000001</v>
      </c>
      <c r="F43" s="22">
        <v>22.651623000000001</v>
      </c>
      <c r="G43" s="22">
        <v>22.721119000000002</v>
      </c>
      <c r="H43" s="22">
        <v>22.675623000000002</v>
      </c>
      <c r="I43" s="22">
        <v>22.731688999999999</v>
      </c>
      <c r="J43" s="22">
        <v>22.822958</v>
      </c>
      <c r="K43" s="22">
        <v>22.936223999999999</v>
      </c>
      <c r="L43" s="22">
        <v>22.910613999999999</v>
      </c>
      <c r="M43" s="22">
        <v>23.069980999999999</v>
      </c>
      <c r="N43" s="22">
        <v>23.535149000000001</v>
      </c>
      <c r="O43" s="22">
        <v>23.617864999999998</v>
      </c>
      <c r="P43" s="22">
        <v>23.558996</v>
      </c>
      <c r="Q43" s="22">
        <v>23.605259</v>
      </c>
      <c r="R43" s="22">
        <v>23.598023999999999</v>
      </c>
      <c r="S43" s="22">
        <v>23.764229</v>
      </c>
      <c r="T43" s="22">
        <v>23.864792000000001</v>
      </c>
      <c r="U43" s="22">
        <v>23.869284</v>
      </c>
      <c r="V43" s="22">
        <v>24.107859000000001</v>
      </c>
      <c r="W43" s="22">
        <v>24.278905999999999</v>
      </c>
      <c r="X43" s="22">
        <v>24.369807999999999</v>
      </c>
      <c r="Y43" s="22">
        <v>24.638463999999999</v>
      </c>
      <c r="Z43" s="22">
        <v>24.907893999999999</v>
      </c>
      <c r="AA43" s="22">
        <v>24.912158999999999</v>
      </c>
      <c r="AB43" s="22">
        <v>25.116586999999999</v>
      </c>
      <c r="AC43" s="22">
        <v>25.106068</v>
      </c>
      <c r="AD43" s="22">
        <v>25.002656999999999</v>
      </c>
      <c r="AE43" s="22">
        <v>25.088144</v>
      </c>
      <c r="AF43" s="22">
        <v>24.951025000000001</v>
      </c>
      <c r="AG43" s="19">
        <v>1.702E-3</v>
      </c>
    </row>
    <row r="44" spans="1:33" x14ac:dyDescent="0.3">
      <c r="A44" s="6" t="s">
        <v>103</v>
      </c>
      <c r="B44" s="17" t="s">
        <v>76</v>
      </c>
      <c r="C44" s="22">
        <v>12.357965999999999</v>
      </c>
      <c r="D44" s="22">
        <v>10.441763</v>
      </c>
      <c r="E44" s="22">
        <v>12.662357</v>
      </c>
      <c r="F44" s="22">
        <v>13.544411999999999</v>
      </c>
      <c r="G44" s="22">
        <v>13.756762999999999</v>
      </c>
      <c r="H44" s="22">
        <v>13.919001</v>
      </c>
      <c r="I44" s="22">
        <v>14.270379</v>
      </c>
      <c r="J44" s="22">
        <v>14.384391000000001</v>
      </c>
      <c r="K44" s="22">
        <v>14.458046</v>
      </c>
      <c r="L44" s="22">
        <v>14.603832000000001</v>
      </c>
      <c r="M44" s="22">
        <v>14.679204</v>
      </c>
      <c r="N44" s="22">
        <v>14.933182</v>
      </c>
      <c r="O44" s="22">
        <v>15.015419</v>
      </c>
      <c r="P44" s="22">
        <v>15.044872</v>
      </c>
      <c r="Q44" s="22">
        <v>15.107331</v>
      </c>
      <c r="R44" s="22">
        <v>15.142351</v>
      </c>
      <c r="S44" s="22">
        <v>15.144779</v>
      </c>
      <c r="T44" s="22">
        <v>15.235153</v>
      </c>
      <c r="U44" s="22">
        <v>15.196106</v>
      </c>
      <c r="V44" s="22">
        <v>15.646362</v>
      </c>
      <c r="W44" s="22">
        <v>15.738944999999999</v>
      </c>
      <c r="X44" s="22">
        <v>15.785648999999999</v>
      </c>
      <c r="Y44" s="22">
        <v>15.987933999999999</v>
      </c>
      <c r="Z44" s="22">
        <v>16.203949000000001</v>
      </c>
      <c r="AA44" s="22">
        <v>16.243936999999999</v>
      </c>
      <c r="AB44" s="22">
        <v>16.391148000000001</v>
      </c>
      <c r="AC44" s="22">
        <v>16.410231</v>
      </c>
      <c r="AD44" s="22">
        <v>16.386232</v>
      </c>
      <c r="AE44" s="22">
        <v>16.43816</v>
      </c>
      <c r="AF44" s="22">
        <v>16.369478000000001</v>
      </c>
      <c r="AG44" s="19">
        <v>9.7409999999999997E-3</v>
      </c>
    </row>
    <row r="45" spans="1:33" x14ac:dyDescent="0.3">
      <c r="A45" s="6" t="s">
        <v>104</v>
      </c>
      <c r="B45" s="17" t="s">
        <v>105</v>
      </c>
      <c r="C45" s="22">
        <v>14.654002999999999</v>
      </c>
      <c r="D45" s="22">
        <v>14.619699000000001</v>
      </c>
      <c r="E45" s="22">
        <v>13.872672</v>
      </c>
      <c r="F45" s="22">
        <v>13.306766</v>
      </c>
      <c r="G45" s="22">
        <v>12.89931</v>
      </c>
      <c r="H45" s="22">
        <v>12.541728000000001</v>
      </c>
      <c r="I45" s="22">
        <v>12.263358999999999</v>
      </c>
      <c r="J45" s="22">
        <v>12.130099</v>
      </c>
      <c r="K45" s="22">
        <v>12.005839</v>
      </c>
      <c r="L45" s="22">
        <v>11.846902</v>
      </c>
      <c r="M45" s="22">
        <v>11.685585</v>
      </c>
      <c r="N45" s="22">
        <v>12.332364</v>
      </c>
      <c r="O45" s="22">
        <v>12.244666</v>
      </c>
      <c r="P45" s="22">
        <v>12.103299</v>
      </c>
      <c r="Q45" s="22">
        <v>11.998526999999999</v>
      </c>
      <c r="R45" s="22">
        <v>11.817565999999999</v>
      </c>
      <c r="S45" s="22">
        <v>11.702035</v>
      </c>
      <c r="T45" s="22">
        <v>11.617929999999999</v>
      </c>
      <c r="U45" s="22">
        <v>11.537096999999999</v>
      </c>
      <c r="V45" s="22">
        <v>11.515666</v>
      </c>
      <c r="W45" s="22">
        <v>11.50357</v>
      </c>
      <c r="X45" s="22">
        <v>11.440135</v>
      </c>
      <c r="Y45" s="22">
        <v>11.341637</v>
      </c>
      <c r="Z45" s="22">
        <v>11.270405999999999</v>
      </c>
      <c r="AA45" s="22">
        <v>11.168049999999999</v>
      </c>
      <c r="AB45" s="22">
        <v>11.113301</v>
      </c>
      <c r="AC45" s="22">
        <v>11.064749000000001</v>
      </c>
      <c r="AD45" s="22">
        <v>11.018502</v>
      </c>
      <c r="AE45" s="22">
        <v>10.993929</v>
      </c>
      <c r="AF45" s="22">
        <v>10.952426000000001</v>
      </c>
      <c r="AG45" s="19">
        <v>-9.9900000000000006E-3</v>
      </c>
    </row>
    <row r="46" spans="1:33" x14ac:dyDescent="0.3">
      <c r="A46" s="6" t="s">
        <v>106</v>
      </c>
      <c r="B46" s="17" t="s">
        <v>71</v>
      </c>
      <c r="C46" s="22">
        <v>39.115726000000002</v>
      </c>
      <c r="D46" s="22">
        <v>39.616028</v>
      </c>
      <c r="E46" s="22">
        <v>38.115592999999997</v>
      </c>
      <c r="F46" s="22">
        <v>37.093181999999999</v>
      </c>
      <c r="G46" s="22">
        <v>37.086497999999999</v>
      </c>
      <c r="H46" s="22">
        <v>37.542118000000002</v>
      </c>
      <c r="I46" s="22">
        <v>37.558928999999999</v>
      </c>
      <c r="J46" s="22">
        <v>37.560974000000002</v>
      </c>
      <c r="K46" s="22">
        <v>37.509597999999997</v>
      </c>
      <c r="L46" s="22">
        <v>37.302562999999999</v>
      </c>
      <c r="M46" s="22">
        <v>37.303939999999997</v>
      </c>
      <c r="N46" s="22">
        <v>37.330086000000001</v>
      </c>
      <c r="O46" s="22">
        <v>37.461796</v>
      </c>
      <c r="P46" s="22">
        <v>37.336975000000002</v>
      </c>
      <c r="Q46" s="22">
        <v>36.881053999999999</v>
      </c>
      <c r="R46" s="22">
        <v>36.467250999999997</v>
      </c>
      <c r="S46" s="22">
        <v>36.202427</v>
      </c>
      <c r="T46" s="22">
        <v>35.905403</v>
      </c>
      <c r="U46" s="22">
        <v>35.639502999999998</v>
      </c>
      <c r="V46" s="22">
        <v>35.461379999999998</v>
      </c>
      <c r="W46" s="22">
        <v>35.281731000000001</v>
      </c>
      <c r="X46" s="22">
        <v>35.079762000000002</v>
      </c>
      <c r="Y46" s="22">
        <v>34.771469000000003</v>
      </c>
      <c r="Z46" s="22">
        <v>34.571162999999999</v>
      </c>
      <c r="AA46" s="22">
        <v>34.483638999999997</v>
      </c>
      <c r="AB46" s="22">
        <v>34.241878999999997</v>
      </c>
      <c r="AC46" s="22">
        <v>34.021766999999997</v>
      </c>
      <c r="AD46" s="22">
        <v>33.821972000000002</v>
      </c>
      <c r="AE46" s="22">
        <v>33.614403000000003</v>
      </c>
      <c r="AF46" s="22">
        <v>33.397739000000001</v>
      </c>
      <c r="AG46" s="19">
        <v>-5.4349999999999997E-3</v>
      </c>
    </row>
    <row r="48" spans="1:33" x14ac:dyDescent="0.3">
      <c r="B48" s="16" t="s">
        <v>107</v>
      </c>
    </row>
    <row r="49" spans="1:33" x14ac:dyDescent="0.3">
      <c r="A49" s="6" t="s">
        <v>108</v>
      </c>
      <c r="B49" s="17" t="s">
        <v>67</v>
      </c>
      <c r="C49" s="22">
        <v>21.749472000000001</v>
      </c>
      <c r="D49" s="22">
        <v>22.063303000000001</v>
      </c>
      <c r="E49" s="22">
        <v>20.153974999999999</v>
      </c>
      <c r="F49" s="22">
        <v>20.553830999999999</v>
      </c>
      <c r="G49" s="22">
        <v>19.961507999999998</v>
      </c>
      <c r="H49" s="22">
        <v>19.321975999999999</v>
      </c>
      <c r="I49" s="22">
        <v>18.867052000000001</v>
      </c>
      <c r="J49" s="22">
        <v>18.963041</v>
      </c>
      <c r="K49" s="22">
        <v>19.071278</v>
      </c>
      <c r="L49" s="22">
        <v>19.038746</v>
      </c>
      <c r="M49" s="22">
        <v>19.098368000000001</v>
      </c>
      <c r="N49" s="22">
        <v>19.294423999999999</v>
      </c>
      <c r="O49" s="22">
        <v>19.321995000000001</v>
      </c>
      <c r="P49" s="22">
        <v>19.367440999999999</v>
      </c>
      <c r="Q49" s="22">
        <v>19.355671000000001</v>
      </c>
      <c r="R49" s="22">
        <v>19.394863000000001</v>
      </c>
      <c r="S49" s="22">
        <v>19.574009</v>
      </c>
      <c r="T49" s="22">
        <v>19.640402000000002</v>
      </c>
      <c r="U49" s="22">
        <v>19.645766999999999</v>
      </c>
      <c r="V49" s="22">
        <v>19.901247000000001</v>
      </c>
      <c r="W49" s="22">
        <v>20.06513</v>
      </c>
      <c r="X49" s="22">
        <v>20.117165</v>
      </c>
      <c r="Y49" s="22">
        <v>20.384938999999999</v>
      </c>
      <c r="Z49" s="22">
        <v>20.628145</v>
      </c>
      <c r="AA49" s="22">
        <v>20.629405999999999</v>
      </c>
      <c r="AB49" s="22">
        <v>20.826429000000001</v>
      </c>
      <c r="AC49" s="22">
        <v>20.826172</v>
      </c>
      <c r="AD49" s="22">
        <v>20.740261</v>
      </c>
      <c r="AE49" s="22">
        <v>20.844083999999999</v>
      </c>
      <c r="AF49" s="22">
        <v>20.736098999999999</v>
      </c>
      <c r="AG49" s="19">
        <v>-1.6440000000000001E-3</v>
      </c>
    </row>
    <row r="50" spans="1:33" ht="15" customHeight="1" x14ac:dyDescent="0.3">
      <c r="A50" s="6" t="s">
        <v>109</v>
      </c>
      <c r="B50" s="17" t="s">
        <v>76</v>
      </c>
      <c r="C50" s="22">
        <v>13.006465</v>
      </c>
      <c r="D50" s="22">
        <v>13.345431</v>
      </c>
      <c r="E50" s="22">
        <v>12.638396999999999</v>
      </c>
      <c r="F50" s="22">
        <v>13.540524</v>
      </c>
      <c r="G50" s="22">
        <v>13.744135</v>
      </c>
      <c r="H50" s="22">
        <v>13.901823</v>
      </c>
      <c r="I50" s="22">
        <v>14.324615</v>
      </c>
      <c r="J50" s="22">
        <v>14.413228</v>
      </c>
      <c r="K50" s="22">
        <v>14.473246</v>
      </c>
      <c r="L50" s="22">
        <v>14.597925999999999</v>
      </c>
      <c r="M50" s="22">
        <v>14.661630000000001</v>
      </c>
      <c r="N50" s="22">
        <v>14.952104</v>
      </c>
      <c r="O50" s="22">
        <v>15.023061999999999</v>
      </c>
      <c r="P50" s="22">
        <v>15.028744</v>
      </c>
      <c r="Q50" s="22">
        <v>15.100775000000001</v>
      </c>
      <c r="R50" s="22">
        <v>15.121873000000001</v>
      </c>
      <c r="S50" s="22">
        <v>15.147895999999999</v>
      </c>
      <c r="T50" s="22">
        <v>15.209865000000001</v>
      </c>
      <c r="U50" s="22">
        <v>15.144525</v>
      </c>
      <c r="V50" s="22">
        <v>15.53472</v>
      </c>
      <c r="W50" s="22">
        <v>15.481628000000001</v>
      </c>
      <c r="X50" s="22">
        <v>15.415255999999999</v>
      </c>
      <c r="Y50" s="22">
        <v>15.467604</v>
      </c>
      <c r="Z50" s="22">
        <v>15.479861</v>
      </c>
      <c r="AA50" s="22">
        <v>15.233349</v>
      </c>
      <c r="AB50" s="22">
        <v>15.422539</v>
      </c>
      <c r="AC50" s="22">
        <v>15.494014999999999</v>
      </c>
      <c r="AD50" s="22">
        <v>15.477423999999999</v>
      </c>
      <c r="AE50" s="22">
        <v>15.574907</v>
      </c>
      <c r="AF50" s="22">
        <v>15.574647000000001</v>
      </c>
      <c r="AG50" s="19">
        <v>6.2329999999999998E-3</v>
      </c>
    </row>
    <row r="51" spans="1:33" ht="15" customHeight="1" x14ac:dyDescent="0.3">
      <c r="A51" s="6" t="s">
        <v>110</v>
      </c>
      <c r="B51" s="17" t="s">
        <v>69</v>
      </c>
      <c r="C51" s="22">
        <v>5.1575009999999999</v>
      </c>
      <c r="D51" s="22">
        <v>4.041245</v>
      </c>
      <c r="E51" s="22">
        <v>3.7581289999999998</v>
      </c>
      <c r="F51" s="22">
        <v>3.4303880000000002</v>
      </c>
      <c r="G51" s="22">
        <v>3.2667250000000001</v>
      </c>
      <c r="H51" s="22">
        <v>3.2325149999999998</v>
      </c>
      <c r="I51" s="22">
        <v>3.2705250000000001</v>
      </c>
      <c r="J51" s="22">
        <v>3.439616</v>
      </c>
      <c r="K51" s="22">
        <v>3.5675620000000001</v>
      </c>
      <c r="L51" s="22">
        <v>3.6400709999999998</v>
      </c>
      <c r="M51" s="22">
        <v>3.6826629999999998</v>
      </c>
      <c r="N51" s="22">
        <v>3.6999219999999999</v>
      </c>
      <c r="O51" s="22">
        <v>3.7920769999999999</v>
      </c>
      <c r="P51" s="22">
        <v>3.7757999999999998</v>
      </c>
      <c r="Q51" s="22">
        <v>3.6735660000000001</v>
      </c>
      <c r="R51" s="22">
        <v>3.6269550000000002</v>
      </c>
      <c r="S51" s="22">
        <v>3.6216330000000001</v>
      </c>
      <c r="T51" s="22">
        <v>3.6440419999999998</v>
      </c>
      <c r="U51" s="22">
        <v>3.668771</v>
      </c>
      <c r="V51" s="22">
        <v>3.7037520000000002</v>
      </c>
      <c r="W51" s="22">
        <v>3.7545600000000001</v>
      </c>
      <c r="X51" s="22">
        <v>3.7536160000000001</v>
      </c>
      <c r="Y51" s="22">
        <v>3.6780010000000001</v>
      </c>
      <c r="Z51" s="22">
        <v>3.6412019999999998</v>
      </c>
      <c r="AA51" s="22">
        <v>3.570948</v>
      </c>
      <c r="AB51" s="22">
        <v>3.545763</v>
      </c>
      <c r="AC51" s="22">
        <v>3.5304039999999999</v>
      </c>
      <c r="AD51" s="22">
        <v>3.534259</v>
      </c>
      <c r="AE51" s="22">
        <v>3.53999</v>
      </c>
      <c r="AF51" s="22">
        <v>3.5657800000000002</v>
      </c>
      <c r="AG51" s="19">
        <v>-1.2645999999999999E-2</v>
      </c>
    </row>
    <row r="52" spans="1:33" ht="15" customHeight="1" x14ac:dyDescent="0.3">
      <c r="A52" s="6" t="s">
        <v>111</v>
      </c>
      <c r="B52" s="17" t="s">
        <v>112</v>
      </c>
      <c r="C52" s="22">
        <v>2.11768</v>
      </c>
      <c r="D52" s="22">
        <v>2.0026860000000002</v>
      </c>
      <c r="E52" s="22">
        <v>2.0037690000000001</v>
      </c>
      <c r="F52" s="22">
        <v>2.0080779999999998</v>
      </c>
      <c r="G52" s="22">
        <v>1.9562059999999999</v>
      </c>
      <c r="H52" s="22">
        <v>1.9316139999999999</v>
      </c>
      <c r="I52" s="22">
        <v>1.9167369999999999</v>
      </c>
      <c r="J52" s="22">
        <v>1.9082570000000001</v>
      </c>
      <c r="K52" s="22">
        <v>1.9206289999999999</v>
      </c>
      <c r="L52" s="22">
        <v>1.9174880000000001</v>
      </c>
      <c r="M52" s="22">
        <v>1.9117390000000001</v>
      </c>
      <c r="N52" s="22">
        <v>1.90225</v>
      </c>
      <c r="O52" s="22">
        <v>1.8955740000000001</v>
      </c>
      <c r="P52" s="22">
        <v>1.892647</v>
      </c>
      <c r="Q52" s="22">
        <v>1.86805</v>
      </c>
      <c r="R52" s="22">
        <v>1.8561080000000001</v>
      </c>
      <c r="S52" s="22">
        <v>1.853899</v>
      </c>
      <c r="T52" s="22">
        <v>1.847783</v>
      </c>
      <c r="U52" s="22">
        <v>1.8449279999999999</v>
      </c>
      <c r="V52" s="22">
        <v>1.8448420000000001</v>
      </c>
      <c r="W52" s="22">
        <v>1.8468519999999999</v>
      </c>
      <c r="X52" s="22">
        <v>1.828859</v>
      </c>
      <c r="Y52" s="22">
        <v>1.8244009999999999</v>
      </c>
      <c r="Z52" s="22">
        <v>1.8172699999999999</v>
      </c>
      <c r="AA52" s="22">
        <v>1.811768</v>
      </c>
      <c r="AB52" s="22">
        <v>1.808238</v>
      </c>
      <c r="AC52" s="22">
        <v>1.7977369999999999</v>
      </c>
      <c r="AD52" s="22">
        <v>1.7817799999999999</v>
      </c>
      <c r="AE52" s="22">
        <v>1.7779860000000001</v>
      </c>
      <c r="AF52" s="22">
        <v>1.775739</v>
      </c>
      <c r="AG52" s="19">
        <v>-6.0540000000000004E-3</v>
      </c>
    </row>
    <row r="53" spans="1:33" ht="15" customHeight="1" x14ac:dyDescent="0.3">
      <c r="A53" s="6" t="s">
        <v>113</v>
      </c>
      <c r="B53" s="17" t="s">
        <v>114</v>
      </c>
      <c r="C53" s="22">
        <v>0.71781099999999998</v>
      </c>
      <c r="D53" s="22">
        <v>0.71886300000000003</v>
      </c>
      <c r="E53" s="22">
        <v>0.72096400000000005</v>
      </c>
      <c r="F53" s="22">
        <v>0.72201499999999996</v>
      </c>
      <c r="G53" s="22">
        <v>0.72411700000000001</v>
      </c>
      <c r="H53" s="22">
        <v>0.72516800000000003</v>
      </c>
      <c r="I53" s="22">
        <v>0.72726999999999997</v>
      </c>
      <c r="J53" s="22">
        <v>0.728321</v>
      </c>
      <c r="K53" s="22">
        <v>0.73042300000000004</v>
      </c>
      <c r="L53" s="22">
        <v>0.73252499999999998</v>
      </c>
      <c r="M53" s="22">
        <v>0.73357600000000001</v>
      </c>
      <c r="N53" s="22">
        <v>0.73567800000000005</v>
      </c>
      <c r="O53" s="22">
        <v>0.73777999999999999</v>
      </c>
      <c r="P53" s="22">
        <v>0.73883100000000002</v>
      </c>
      <c r="Q53" s="22">
        <v>0.74093299999999995</v>
      </c>
      <c r="R53" s="22">
        <v>0.743035</v>
      </c>
      <c r="S53" s="22">
        <v>0.74408600000000003</v>
      </c>
      <c r="T53" s="22">
        <v>0.74618799999999996</v>
      </c>
      <c r="U53" s="22">
        <v>0.74829000000000001</v>
      </c>
      <c r="V53" s="22">
        <v>0.75039100000000003</v>
      </c>
      <c r="W53" s="22">
        <v>0.752494</v>
      </c>
      <c r="X53" s="22">
        <v>0.75459500000000002</v>
      </c>
      <c r="Y53" s="22">
        <v>0.75669699999999995</v>
      </c>
      <c r="Z53" s="22">
        <v>0.758799</v>
      </c>
      <c r="AA53" s="22">
        <v>0.76090100000000005</v>
      </c>
      <c r="AB53" s="22">
        <v>0.76300299999999999</v>
      </c>
      <c r="AC53" s="22">
        <v>0.76510500000000004</v>
      </c>
      <c r="AD53" s="22">
        <v>0.76720699999999997</v>
      </c>
      <c r="AE53" s="22">
        <v>0.76930900000000002</v>
      </c>
      <c r="AF53" s="22">
        <v>0.77141099999999996</v>
      </c>
      <c r="AG53" s="19">
        <v>2.4859999999999999E-3</v>
      </c>
    </row>
    <row r="54" spans="1:33" ht="15" customHeight="1" x14ac:dyDescent="0.3"/>
    <row r="55" spans="1:33" ht="15" customHeight="1" x14ac:dyDescent="0.3"/>
    <row r="56" spans="1:33" ht="15" customHeight="1" x14ac:dyDescent="0.3">
      <c r="B56" s="16" t="s">
        <v>115</v>
      </c>
    </row>
    <row r="57" spans="1:33" ht="15" customHeight="1" x14ac:dyDescent="0.3">
      <c r="A57" s="6" t="s">
        <v>116</v>
      </c>
      <c r="B57" s="17" t="s">
        <v>65</v>
      </c>
      <c r="C57" s="22">
        <v>19.520824000000001</v>
      </c>
      <c r="D57" s="22">
        <v>20.929960000000001</v>
      </c>
      <c r="E57" s="22">
        <v>20.082417</v>
      </c>
      <c r="F57" s="22">
        <v>20.050674000000001</v>
      </c>
      <c r="G57" s="22">
        <v>19.965826</v>
      </c>
      <c r="H57" s="22">
        <v>20.02533</v>
      </c>
      <c r="I57" s="22">
        <v>20.268194000000001</v>
      </c>
      <c r="J57" s="22">
        <v>20.706121</v>
      </c>
      <c r="K57" s="22">
        <v>21.177541999999999</v>
      </c>
      <c r="L57" s="22">
        <v>21.577401999999999</v>
      </c>
      <c r="M57" s="22">
        <v>21.969906000000002</v>
      </c>
      <c r="N57" s="22">
        <v>22.476595</v>
      </c>
      <c r="O57" s="22">
        <v>22.838239999999999</v>
      </c>
      <c r="P57" s="22">
        <v>23.050046999999999</v>
      </c>
      <c r="Q57" s="22">
        <v>23.159852999999998</v>
      </c>
      <c r="R57" s="22">
        <v>23.215166</v>
      </c>
      <c r="S57" s="22">
        <v>23.376358</v>
      </c>
      <c r="T57" s="22">
        <v>23.562716000000002</v>
      </c>
      <c r="U57" s="22">
        <v>23.677050000000001</v>
      </c>
      <c r="V57" s="22">
        <v>23.936489000000002</v>
      </c>
      <c r="W57" s="22">
        <v>24.185407999999999</v>
      </c>
      <c r="X57" s="22">
        <v>24.404105999999999</v>
      </c>
      <c r="Y57" s="22">
        <v>24.725622000000001</v>
      </c>
      <c r="Z57" s="22">
        <v>24.990144999999998</v>
      </c>
      <c r="AA57" s="22">
        <v>25.032494</v>
      </c>
      <c r="AB57" s="22">
        <v>24.937096</v>
      </c>
      <c r="AC57" s="22">
        <v>24.814219000000001</v>
      </c>
      <c r="AD57" s="22">
        <v>24.741323000000001</v>
      </c>
      <c r="AE57" s="22">
        <v>24.724777</v>
      </c>
      <c r="AF57" s="22">
        <v>24.650307000000002</v>
      </c>
      <c r="AG57" s="19">
        <v>8.0780000000000001E-3</v>
      </c>
    </row>
    <row r="58" spans="1:33" ht="15" customHeight="1" x14ac:dyDescent="0.3">
      <c r="A58" s="6" t="s">
        <v>117</v>
      </c>
      <c r="B58" s="17" t="s">
        <v>96</v>
      </c>
      <c r="C58" s="22">
        <v>25.787903</v>
      </c>
      <c r="D58" s="22">
        <v>25.761244000000001</v>
      </c>
      <c r="E58" s="22">
        <v>25.495864999999998</v>
      </c>
      <c r="F58" s="22">
        <v>25.212344999999999</v>
      </c>
      <c r="G58" s="22">
        <v>24.975625999999998</v>
      </c>
      <c r="H58" s="22">
        <v>25.043126999999998</v>
      </c>
      <c r="I58" s="22">
        <v>25.355228</v>
      </c>
      <c r="J58" s="22">
        <v>25.594719000000001</v>
      </c>
      <c r="K58" s="22">
        <v>25.777564999999999</v>
      </c>
      <c r="L58" s="22">
        <v>26.200195000000001</v>
      </c>
      <c r="M58" s="22">
        <v>26.276876000000001</v>
      </c>
      <c r="N58" s="22">
        <v>27.198093</v>
      </c>
      <c r="O58" s="22">
        <v>27.413271000000002</v>
      </c>
      <c r="P58" s="22">
        <v>27.550775999999999</v>
      </c>
      <c r="Q58" s="22">
        <v>27.680271000000001</v>
      </c>
      <c r="R58" s="22">
        <v>27.711462000000001</v>
      </c>
      <c r="S58" s="22">
        <v>27.855463</v>
      </c>
      <c r="T58" s="22">
        <v>28.059764999999999</v>
      </c>
      <c r="U58" s="22">
        <v>28.008661</v>
      </c>
      <c r="V58" s="22">
        <v>28.442335</v>
      </c>
      <c r="W58" s="22">
        <v>28.682402</v>
      </c>
      <c r="X58" s="22">
        <v>28.964655</v>
      </c>
      <c r="Y58" s="22">
        <v>29.315156999999999</v>
      </c>
      <c r="Z58" s="22">
        <v>29.494403999999999</v>
      </c>
      <c r="AA58" s="22">
        <v>29.595737</v>
      </c>
      <c r="AB58" s="22">
        <v>29.879946</v>
      </c>
      <c r="AC58" s="22">
        <v>29.952456999999999</v>
      </c>
      <c r="AD58" s="22">
        <v>30.036066000000002</v>
      </c>
      <c r="AE58" s="22">
        <v>30.150231999999999</v>
      </c>
      <c r="AF58" s="22">
        <v>29.900158000000001</v>
      </c>
      <c r="AG58" s="19">
        <v>5.1149999999999998E-3</v>
      </c>
    </row>
    <row r="59" spans="1:33" ht="15" customHeight="1" x14ac:dyDescent="0.3">
      <c r="A59" s="6" t="s">
        <v>118</v>
      </c>
      <c r="B59" s="17" t="s">
        <v>98</v>
      </c>
      <c r="C59" s="22">
        <v>25.875972999999998</v>
      </c>
      <c r="D59" s="22">
        <v>24.818628</v>
      </c>
      <c r="E59" s="22">
        <v>21.957455</v>
      </c>
      <c r="F59" s="22">
        <v>21.790281</v>
      </c>
      <c r="G59" s="22">
        <v>21.608536000000001</v>
      </c>
      <c r="H59" s="22">
        <v>21.654921000000002</v>
      </c>
      <c r="I59" s="22">
        <v>21.892026999999999</v>
      </c>
      <c r="J59" s="22">
        <v>22.07807</v>
      </c>
      <c r="K59" s="22">
        <v>22.215803000000001</v>
      </c>
      <c r="L59" s="22">
        <v>22.54702</v>
      </c>
      <c r="M59" s="22">
        <v>22.602012999999999</v>
      </c>
      <c r="N59" s="22">
        <v>23.561116999999999</v>
      </c>
      <c r="O59" s="22">
        <v>23.726306999999998</v>
      </c>
      <c r="P59" s="22">
        <v>23.822149</v>
      </c>
      <c r="Q59" s="22">
        <v>23.943625999999998</v>
      </c>
      <c r="R59" s="22">
        <v>23.951032999999999</v>
      </c>
      <c r="S59" s="22">
        <v>24.055145</v>
      </c>
      <c r="T59" s="22">
        <v>24.212412</v>
      </c>
      <c r="U59" s="22">
        <v>24.161999000000002</v>
      </c>
      <c r="V59" s="22">
        <v>24.499897000000001</v>
      </c>
      <c r="W59" s="22">
        <v>24.693489</v>
      </c>
      <c r="X59" s="22">
        <v>24.862711000000001</v>
      </c>
      <c r="Y59" s="22">
        <v>25.154668999999998</v>
      </c>
      <c r="Z59" s="22">
        <v>25.352126999999999</v>
      </c>
      <c r="AA59" s="22">
        <v>25.433323000000001</v>
      </c>
      <c r="AB59" s="22">
        <v>25.680344000000002</v>
      </c>
      <c r="AC59" s="22">
        <v>25.727892000000001</v>
      </c>
      <c r="AD59" s="22">
        <v>25.801403000000001</v>
      </c>
      <c r="AE59" s="22">
        <v>25.888936999999999</v>
      </c>
      <c r="AF59" s="22">
        <v>25.675623000000002</v>
      </c>
      <c r="AG59" s="19">
        <v>-2.6800000000000001E-4</v>
      </c>
    </row>
    <row r="60" spans="1:33" ht="15" customHeight="1" x14ac:dyDescent="0.3">
      <c r="A60" s="6" t="s">
        <v>119</v>
      </c>
      <c r="B60" s="17" t="s">
        <v>100</v>
      </c>
      <c r="C60" s="22">
        <v>14.720805</v>
      </c>
      <c r="D60" s="22">
        <v>15.38822</v>
      </c>
      <c r="E60" s="22">
        <v>14.073745000000001</v>
      </c>
      <c r="F60" s="22">
        <v>15.179766000000001</v>
      </c>
      <c r="G60" s="22">
        <v>15.292541999999999</v>
      </c>
      <c r="H60" s="22">
        <v>15.463751</v>
      </c>
      <c r="I60" s="22">
        <v>15.704660000000001</v>
      </c>
      <c r="J60" s="22">
        <v>15.898726</v>
      </c>
      <c r="K60" s="22">
        <v>16.052320000000002</v>
      </c>
      <c r="L60" s="22">
        <v>16.046509</v>
      </c>
      <c r="M60" s="22">
        <v>16.330721</v>
      </c>
      <c r="N60" s="22">
        <v>16.697517000000001</v>
      </c>
      <c r="O60" s="22">
        <v>16.757905999999998</v>
      </c>
      <c r="P60" s="22">
        <v>16.780107000000001</v>
      </c>
      <c r="Q60" s="22">
        <v>16.810594999999999</v>
      </c>
      <c r="R60" s="22">
        <v>16.876971999999999</v>
      </c>
      <c r="S60" s="22">
        <v>17.097425000000001</v>
      </c>
      <c r="T60" s="22">
        <v>17.235626</v>
      </c>
      <c r="U60" s="22">
        <v>17.279207</v>
      </c>
      <c r="V60" s="22">
        <v>17.533007000000001</v>
      </c>
      <c r="W60" s="22">
        <v>17.728833999999999</v>
      </c>
      <c r="X60" s="22">
        <v>17.813095000000001</v>
      </c>
      <c r="Y60" s="22">
        <v>18.115818000000001</v>
      </c>
      <c r="Z60" s="22">
        <v>18.40634</v>
      </c>
      <c r="AA60" s="22">
        <v>18.427332</v>
      </c>
      <c r="AB60" s="22">
        <v>18.612141000000001</v>
      </c>
      <c r="AC60" s="22">
        <v>18.622166</v>
      </c>
      <c r="AD60" s="22">
        <v>18.579236999999999</v>
      </c>
      <c r="AE60" s="22">
        <v>18.690104999999999</v>
      </c>
      <c r="AF60" s="22">
        <v>18.608125999999999</v>
      </c>
      <c r="AG60" s="19">
        <v>8.1130000000000004E-3</v>
      </c>
    </row>
    <row r="61" spans="1:33" ht="15" customHeight="1" x14ac:dyDescent="0.3">
      <c r="A61" s="6" t="s">
        <v>120</v>
      </c>
      <c r="B61" s="17" t="s">
        <v>67</v>
      </c>
      <c r="C61" s="22">
        <v>23.276806000000001</v>
      </c>
      <c r="D61" s="22">
        <v>22.657783999999999</v>
      </c>
      <c r="E61" s="22">
        <v>21.509951000000001</v>
      </c>
      <c r="F61" s="22">
        <v>22.159213999999999</v>
      </c>
      <c r="G61" s="22">
        <v>22.127479999999998</v>
      </c>
      <c r="H61" s="22">
        <v>22.01108</v>
      </c>
      <c r="I61" s="22">
        <v>22.010615999999999</v>
      </c>
      <c r="J61" s="22">
        <v>22.090154999999999</v>
      </c>
      <c r="K61" s="22">
        <v>22.191229</v>
      </c>
      <c r="L61" s="22">
        <v>22.147449000000002</v>
      </c>
      <c r="M61" s="22">
        <v>22.299382999999999</v>
      </c>
      <c r="N61" s="22">
        <v>22.668865</v>
      </c>
      <c r="O61" s="22">
        <v>22.730412000000001</v>
      </c>
      <c r="P61" s="22">
        <v>22.678328</v>
      </c>
      <c r="Q61" s="22">
        <v>22.711632000000002</v>
      </c>
      <c r="R61" s="22">
        <v>22.719546999999999</v>
      </c>
      <c r="S61" s="22">
        <v>22.852823000000001</v>
      </c>
      <c r="T61" s="22">
        <v>22.942526000000001</v>
      </c>
      <c r="U61" s="22">
        <v>22.941147000000001</v>
      </c>
      <c r="V61" s="22">
        <v>23.172097999999998</v>
      </c>
      <c r="W61" s="22">
        <v>23.334955000000001</v>
      </c>
      <c r="X61" s="22">
        <v>23.412827</v>
      </c>
      <c r="Y61" s="22">
        <v>23.677961</v>
      </c>
      <c r="Z61" s="22">
        <v>23.933039000000001</v>
      </c>
      <c r="AA61" s="22">
        <v>23.931978000000001</v>
      </c>
      <c r="AB61" s="22">
        <v>24.119178999999999</v>
      </c>
      <c r="AC61" s="22">
        <v>24.097598999999999</v>
      </c>
      <c r="AD61" s="22">
        <v>24.005205</v>
      </c>
      <c r="AE61" s="22">
        <v>24.077518000000001</v>
      </c>
      <c r="AF61" s="22">
        <v>23.943971999999999</v>
      </c>
      <c r="AG61" s="19">
        <v>9.7499999999999996E-4</v>
      </c>
    </row>
    <row r="62" spans="1:33" ht="15" customHeight="1" x14ac:dyDescent="0.3">
      <c r="A62" s="6" t="s">
        <v>121</v>
      </c>
      <c r="B62" s="17" t="s">
        <v>76</v>
      </c>
      <c r="C62" s="22">
        <v>12.032716000000001</v>
      </c>
      <c r="D62" s="22">
        <v>10.461781999999999</v>
      </c>
      <c r="E62" s="22">
        <v>12.369011</v>
      </c>
      <c r="F62" s="22">
        <v>13.310703</v>
      </c>
      <c r="G62" s="22">
        <v>13.567265000000001</v>
      </c>
      <c r="H62" s="22">
        <v>13.763799000000001</v>
      </c>
      <c r="I62" s="22">
        <v>14.156385999999999</v>
      </c>
      <c r="J62" s="22">
        <v>14.267785999999999</v>
      </c>
      <c r="K62" s="22">
        <v>14.339729</v>
      </c>
      <c r="L62" s="22">
        <v>14.481854</v>
      </c>
      <c r="M62" s="22">
        <v>14.557441000000001</v>
      </c>
      <c r="N62" s="22">
        <v>14.810274</v>
      </c>
      <c r="O62" s="22">
        <v>14.891078</v>
      </c>
      <c r="P62" s="22">
        <v>14.920389999999999</v>
      </c>
      <c r="Q62" s="22">
        <v>14.983093</v>
      </c>
      <c r="R62" s="22">
        <v>15.017566</v>
      </c>
      <c r="S62" s="22">
        <v>15.015262999999999</v>
      </c>
      <c r="T62" s="22">
        <v>15.104892</v>
      </c>
      <c r="U62" s="22">
        <v>15.061521000000001</v>
      </c>
      <c r="V62" s="22">
        <v>15.516302</v>
      </c>
      <c r="W62" s="22">
        <v>15.603861</v>
      </c>
      <c r="X62" s="22">
        <v>15.644531000000001</v>
      </c>
      <c r="Y62" s="22">
        <v>15.845129</v>
      </c>
      <c r="Z62" s="22">
        <v>16.058098000000001</v>
      </c>
      <c r="AA62" s="22">
        <v>16.091763</v>
      </c>
      <c r="AB62" s="22">
        <v>16.241569999999999</v>
      </c>
      <c r="AC62" s="22">
        <v>16.261565999999998</v>
      </c>
      <c r="AD62" s="22">
        <v>16.237041000000001</v>
      </c>
      <c r="AE62" s="22">
        <v>16.292362000000001</v>
      </c>
      <c r="AF62" s="22">
        <v>16.224509999999999</v>
      </c>
      <c r="AG62" s="19">
        <v>1.0359999999999999E-2</v>
      </c>
    </row>
    <row r="63" spans="1:33" ht="15" customHeight="1" x14ac:dyDescent="0.3">
      <c r="A63" s="6" t="s">
        <v>122</v>
      </c>
      <c r="B63" s="17" t="s">
        <v>69</v>
      </c>
      <c r="C63" s="22">
        <v>6.7270459999999996</v>
      </c>
      <c r="D63" s="22">
        <v>6.3985450000000004</v>
      </c>
      <c r="E63" s="22">
        <v>6.0075589999999996</v>
      </c>
      <c r="F63" s="22">
        <v>5.6535339999999996</v>
      </c>
      <c r="G63" s="22">
        <v>5.4877250000000002</v>
      </c>
      <c r="H63" s="22">
        <v>5.4298890000000002</v>
      </c>
      <c r="I63" s="22">
        <v>5.4549649999999996</v>
      </c>
      <c r="J63" s="22">
        <v>5.5921599999999998</v>
      </c>
      <c r="K63" s="22">
        <v>5.7411250000000003</v>
      </c>
      <c r="L63" s="22">
        <v>5.8371339999999998</v>
      </c>
      <c r="M63" s="22">
        <v>5.9071439999999997</v>
      </c>
      <c r="N63" s="22">
        <v>6.0055019999999999</v>
      </c>
      <c r="O63" s="22">
        <v>6.0906529999999997</v>
      </c>
      <c r="P63" s="22">
        <v>6.1176259999999996</v>
      </c>
      <c r="Q63" s="22">
        <v>6.0768230000000001</v>
      </c>
      <c r="R63" s="22">
        <v>6.0405899999999999</v>
      </c>
      <c r="S63" s="22">
        <v>6.0360610000000001</v>
      </c>
      <c r="T63" s="22">
        <v>6.0444909999999998</v>
      </c>
      <c r="U63" s="22">
        <v>6.0540130000000003</v>
      </c>
      <c r="V63" s="22">
        <v>6.0681839999999996</v>
      </c>
      <c r="W63" s="22">
        <v>6.1186100000000003</v>
      </c>
      <c r="X63" s="22">
        <v>6.1060759999999998</v>
      </c>
      <c r="Y63" s="22">
        <v>6.0300459999999996</v>
      </c>
      <c r="Z63" s="22">
        <v>5.9919650000000004</v>
      </c>
      <c r="AA63" s="22">
        <v>5.9233000000000002</v>
      </c>
      <c r="AB63" s="22">
        <v>5.8871869999999999</v>
      </c>
      <c r="AC63" s="22">
        <v>5.8607959999999997</v>
      </c>
      <c r="AD63" s="22">
        <v>5.8476860000000004</v>
      </c>
      <c r="AE63" s="22">
        <v>5.8510099999999996</v>
      </c>
      <c r="AF63" s="22">
        <v>5.8478110000000001</v>
      </c>
      <c r="AG63" s="19">
        <v>-4.8180000000000002E-3</v>
      </c>
    </row>
    <row r="64" spans="1:33" ht="15" customHeight="1" x14ac:dyDescent="0.3">
      <c r="A64" s="6" t="s">
        <v>123</v>
      </c>
      <c r="B64" s="17" t="s">
        <v>86</v>
      </c>
      <c r="C64" s="22">
        <v>3.9278590000000002</v>
      </c>
      <c r="D64" s="22">
        <v>3.5188109999999999</v>
      </c>
      <c r="E64" s="22">
        <v>3.3476979999999998</v>
      </c>
      <c r="F64" s="22">
        <v>3.1883330000000001</v>
      </c>
      <c r="G64" s="22">
        <v>3.0981640000000001</v>
      </c>
      <c r="H64" s="22">
        <v>3.0374970000000001</v>
      </c>
      <c r="I64" s="22">
        <v>3.0094270000000001</v>
      </c>
      <c r="J64" s="22">
        <v>3.0049709999999998</v>
      </c>
      <c r="K64" s="22">
        <v>3.0161980000000002</v>
      </c>
      <c r="L64" s="22">
        <v>3.0408119999999998</v>
      </c>
      <c r="M64" s="22">
        <v>3.0632079999999999</v>
      </c>
      <c r="N64" s="22">
        <v>3.0941109999999998</v>
      </c>
      <c r="O64" s="22">
        <v>3.112654</v>
      </c>
      <c r="P64" s="22">
        <v>3.12921</v>
      </c>
      <c r="Q64" s="22">
        <v>3.151268</v>
      </c>
      <c r="R64" s="22">
        <v>3.1732849999999999</v>
      </c>
      <c r="S64" s="22">
        <v>3.1994729999999998</v>
      </c>
      <c r="T64" s="22">
        <v>3.2216550000000002</v>
      </c>
      <c r="U64" s="22">
        <v>3.243439</v>
      </c>
      <c r="V64" s="22">
        <v>3.2680319999999998</v>
      </c>
      <c r="W64" s="22">
        <v>3.2877169999999998</v>
      </c>
      <c r="X64" s="22">
        <v>3.3065359999999999</v>
      </c>
      <c r="Y64" s="22">
        <v>3.3300299999999998</v>
      </c>
      <c r="Z64" s="22">
        <v>3.3564620000000001</v>
      </c>
      <c r="AA64" s="22">
        <v>3.3831509999999998</v>
      </c>
      <c r="AB64" s="22">
        <v>3.4100950000000001</v>
      </c>
      <c r="AC64" s="22">
        <v>3.4367239999999999</v>
      </c>
      <c r="AD64" s="22">
        <v>3.4589189999999999</v>
      </c>
      <c r="AE64" s="22">
        <v>3.4835039999999999</v>
      </c>
      <c r="AF64" s="22">
        <v>3.5086189999999999</v>
      </c>
      <c r="AG64" s="19">
        <v>-3.885E-3</v>
      </c>
    </row>
    <row r="65" spans="1:33" ht="15" customHeight="1" x14ac:dyDescent="0.3">
      <c r="A65" s="6" t="s">
        <v>124</v>
      </c>
      <c r="B65" s="17" t="s">
        <v>125</v>
      </c>
      <c r="C65" s="22">
        <v>2.151859</v>
      </c>
      <c r="D65" s="22">
        <v>2.041804</v>
      </c>
      <c r="E65" s="22">
        <v>2.0444589999999998</v>
      </c>
      <c r="F65" s="22">
        <v>2.0553900000000001</v>
      </c>
      <c r="G65" s="22">
        <v>2.0093179999999999</v>
      </c>
      <c r="H65" s="22">
        <v>1.9875940000000001</v>
      </c>
      <c r="I65" s="22">
        <v>1.974667</v>
      </c>
      <c r="J65" s="22">
        <v>1.9668779999999999</v>
      </c>
      <c r="K65" s="22">
        <v>1.9785330000000001</v>
      </c>
      <c r="L65" s="22">
        <v>1.976764</v>
      </c>
      <c r="M65" s="22">
        <v>1.9718329999999999</v>
      </c>
      <c r="N65" s="22">
        <v>1.964469</v>
      </c>
      <c r="O65" s="22">
        <v>1.958048</v>
      </c>
      <c r="P65" s="22">
        <v>1.9578089999999999</v>
      </c>
      <c r="Q65" s="22">
        <v>1.9376119999999999</v>
      </c>
      <c r="R65" s="22">
        <v>1.9276720000000001</v>
      </c>
      <c r="S65" s="22">
        <v>1.9267939999999999</v>
      </c>
      <c r="T65" s="22">
        <v>1.9214519999999999</v>
      </c>
      <c r="U65" s="22">
        <v>1.9206179999999999</v>
      </c>
      <c r="V65" s="22">
        <v>1.921497</v>
      </c>
      <c r="W65" s="22">
        <v>1.9245810000000001</v>
      </c>
      <c r="X65" s="22">
        <v>1.9087369999999999</v>
      </c>
      <c r="Y65" s="22">
        <v>1.905591</v>
      </c>
      <c r="Z65" s="22">
        <v>1.9001619999999999</v>
      </c>
      <c r="AA65" s="22">
        <v>1.896935</v>
      </c>
      <c r="AB65" s="22">
        <v>1.8945289999999999</v>
      </c>
      <c r="AC65" s="22">
        <v>1.8862190000000001</v>
      </c>
      <c r="AD65" s="22">
        <v>1.872889</v>
      </c>
      <c r="AE65" s="22">
        <v>1.869953</v>
      </c>
      <c r="AF65" s="22">
        <v>1.8669150000000001</v>
      </c>
      <c r="AG65" s="19">
        <v>-4.8859999999999997E-3</v>
      </c>
    </row>
    <row r="66" spans="1:33" x14ac:dyDescent="0.3">
      <c r="A66" s="6" t="s">
        <v>126</v>
      </c>
      <c r="B66" s="17" t="s">
        <v>90</v>
      </c>
      <c r="C66" s="22" t="s">
        <v>91</v>
      </c>
      <c r="D66" s="22" t="s">
        <v>91</v>
      </c>
      <c r="E66" s="22" t="s">
        <v>91</v>
      </c>
      <c r="F66" s="22" t="s">
        <v>91</v>
      </c>
      <c r="G66" s="22" t="s">
        <v>91</v>
      </c>
      <c r="H66" s="22" t="s">
        <v>91</v>
      </c>
      <c r="I66" s="22" t="s">
        <v>91</v>
      </c>
      <c r="J66" s="22" t="s">
        <v>91</v>
      </c>
      <c r="K66" s="22" t="s">
        <v>91</v>
      </c>
      <c r="L66" s="22" t="s">
        <v>91</v>
      </c>
      <c r="M66" s="22" t="s">
        <v>91</v>
      </c>
      <c r="N66" s="22" t="s">
        <v>91</v>
      </c>
      <c r="O66" s="22" t="s">
        <v>91</v>
      </c>
      <c r="P66" s="22" t="s">
        <v>91</v>
      </c>
      <c r="Q66" s="22" t="s">
        <v>91</v>
      </c>
      <c r="R66" s="22" t="s">
        <v>91</v>
      </c>
      <c r="S66" s="22" t="s">
        <v>91</v>
      </c>
      <c r="T66" s="22" t="s">
        <v>91</v>
      </c>
      <c r="U66" s="22" t="s">
        <v>91</v>
      </c>
      <c r="V66" s="22" t="s">
        <v>91</v>
      </c>
      <c r="W66" s="22" t="s">
        <v>91</v>
      </c>
      <c r="X66" s="22" t="s">
        <v>91</v>
      </c>
      <c r="Y66" s="22" t="s">
        <v>91</v>
      </c>
      <c r="Z66" s="22" t="s">
        <v>91</v>
      </c>
      <c r="AA66" s="22" t="s">
        <v>91</v>
      </c>
      <c r="AB66" s="22" t="s">
        <v>91</v>
      </c>
      <c r="AC66" s="22" t="s">
        <v>91</v>
      </c>
      <c r="AD66" s="22" t="s">
        <v>91</v>
      </c>
      <c r="AE66" s="22" t="s">
        <v>91</v>
      </c>
      <c r="AF66" s="22" t="s">
        <v>91</v>
      </c>
      <c r="AG66" s="19" t="s">
        <v>91</v>
      </c>
    </row>
    <row r="67" spans="1:33" ht="15" customHeight="1" x14ac:dyDescent="0.3">
      <c r="A67" s="6" t="s">
        <v>127</v>
      </c>
      <c r="B67" s="17" t="s">
        <v>71</v>
      </c>
      <c r="C67" s="22">
        <v>32.508968000000003</v>
      </c>
      <c r="D67" s="22">
        <v>32.166167999999999</v>
      </c>
      <c r="E67" s="22">
        <v>31.513943000000001</v>
      </c>
      <c r="F67" s="22">
        <v>30.893537999999999</v>
      </c>
      <c r="G67" s="22">
        <v>30.700683999999999</v>
      </c>
      <c r="H67" s="22">
        <v>30.778041999999999</v>
      </c>
      <c r="I67" s="22">
        <v>30.796724000000001</v>
      </c>
      <c r="J67" s="22">
        <v>30.842818999999999</v>
      </c>
      <c r="K67" s="22">
        <v>30.930161999999999</v>
      </c>
      <c r="L67" s="22">
        <v>30.923807</v>
      </c>
      <c r="M67" s="22">
        <v>31.010801000000001</v>
      </c>
      <c r="N67" s="22">
        <v>31.099874</v>
      </c>
      <c r="O67" s="22">
        <v>31.225034999999998</v>
      </c>
      <c r="P67" s="22">
        <v>31.281096999999999</v>
      </c>
      <c r="Q67" s="22">
        <v>30.992538</v>
      </c>
      <c r="R67" s="22">
        <v>30.775299</v>
      </c>
      <c r="S67" s="22">
        <v>30.640684</v>
      </c>
      <c r="T67" s="22">
        <v>30.502255999999999</v>
      </c>
      <c r="U67" s="22">
        <v>30.375847</v>
      </c>
      <c r="V67" s="22">
        <v>30.421075999999999</v>
      </c>
      <c r="W67" s="22">
        <v>30.332274999999999</v>
      </c>
      <c r="X67" s="22">
        <v>30.332272</v>
      </c>
      <c r="Y67" s="22">
        <v>30.166447000000002</v>
      </c>
      <c r="Z67" s="22">
        <v>30.047378999999999</v>
      </c>
      <c r="AA67" s="22">
        <v>30.044782999999999</v>
      </c>
      <c r="AB67" s="22">
        <v>29.821831</v>
      </c>
      <c r="AC67" s="22">
        <v>29.770481</v>
      </c>
      <c r="AD67" s="22">
        <v>29.670555</v>
      </c>
      <c r="AE67" s="22">
        <v>29.580069000000002</v>
      </c>
      <c r="AF67" s="22">
        <v>29.370739</v>
      </c>
      <c r="AG67" s="19">
        <v>-3.4940000000000001E-3</v>
      </c>
    </row>
    <row r="68" spans="1:33" ht="15" customHeight="1" x14ac:dyDescent="0.3"/>
    <row r="69" spans="1:33" ht="15" customHeight="1" x14ac:dyDescent="0.3">
      <c r="B69" s="16" t="s">
        <v>128</v>
      </c>
    </row>
    <row r="70" spans="1:33" ht="15" customHeight="1" x14ac:dyDescent="0.3">
      <c r="B70" s="16" t="s">
        <v>212</v>
      </c>
    </row>
    <row r="71" spans="1:33" ht="15" customHeight="1" x14ac:dyDescent="0.3">
      <c r="A71" s="6" t="s">
        <v>130</v>
      </c>
      <c r="B71" s="17" t="s">
        <v>63</v>
      </c>
      <c r="C71" s="18">
        <v>275.19543499999997</v>
      </c>
      <c r="D71" s="18">
        <v>274.69827299999997</v>
      </c>
      <c r="E71" s="18">
        <v>272.04226699999998</v>
      </c>
      <c r="F71" s="18">
        <v>268.02911399999999</v>
      </c>
      <c r="G71" s="18">
        <v>266.80419899999998</v>
      </c>
      <c r="H71" s="18">
        <v>267.53424100000001</v>
      </c>
      <c r="I71" s="18">
        <v>267.90832499999999</v>
      </c>
      <c r="J71" s="18">
        <v>269.61636399999998</v>
      </c>
      <c r="K71" s="18">
        <v>271.74517800000001</v>
      </c>
      <c r="L71" s="18">
        <v>272.91384900000003</v>
      </c>
      <c r="M71" s="18">
        <v>274.753265</v>
      </c>
      <c r="N71" s="18">
        <v>278.11163299999998</v>
      </c>
      <c r="O71" s="18">
        <v>280.47540300000003</v>
      </c>
      <c r="P71" s="18">
        <v>281.95062300000001</v>
      </c>
      <c r="Q71" s="18">
        <v>281.42996199999999</v>
      </c>
      <c r="R71" s="18">
        <v>281.35778800000003</v>
      </c>
      <c r="S71" s="18">
        <v>282.30389400000001</v>
      </c>
      <c r="T71" s="18">
        <v>283.22006199999998</v>
      </c>
      <c r="U71" s="18">
        <v>284.15469400000001</v>
      </c>
      <c r="V71" s="18">
        <v>286.064392</v>
      </c>
      <c r="W71" s="18">
        <v>287.368469</v>
      </c>
      <c r="X71" s="18">
        <v>288.87005599999998</v>
      </c>
      <c r="Y71" s="18">
        <v>289.41064499999999</v>
      </c>
      <c r="Z71" s="18">
        <v>290.36166400000002</v>
      </c>
      <c r="AA71" s="18">
        <v>291.914917</v>
      </c>
      <c r="AB71" s="18">
        <v>292.26711999999998</v>
      </c>
      <c r="AC71" s="18">
        <v>293.71710200000001</v>
      </c>
      <c r="AD71" s="18">
        <v>294.71783399999998</v>
      </c>
      <c r="AE71" s="18">
        <v>295.96994000000001</v>
      </c>
      <c r="AF71" s="18">
        <v>296.49972500000001</v>
      </c>
      <c r="AG71" s="19">
        <v>2.575E-3</v>
      </c>
    </row>
    <row r="72" spans="1:33" ht="15" customHeight="1" x14ac:dyDescent="0.3">
      <c r="A72" s="6" t="s">
        <v>131</v>
      </c>
      <c r="B72" s="17" t="s">
        <v>72</v>
      </c>
      <c r="C72" s="18">
        <v>198.23921200000001</v>
      </c>
      <c r="D72" s="18">
        <v>201.05306999999999</v>
      </c>
      <c r="E72" s="18">
        <v>194.741806</v>
      </c>
      <c r="F72" s="18">
        <v>190.23672500000001</v>
      </c>
      <c r="G72" s="18">
        <v>188.21302800000001</v>
      </c>
      <c r="H72" s="18">
        <v>187.65823399999999</v>
      </c>
      <c r="I72" s="18">
        <v>187.63826</v>
      </c>
      <c r="J72" s="18">
        <v>188.45782500000001</v>
      </c>
      <c r="K72" s="18">
        <v>189.38261399999999</v>
      </c>
      <c r="L72" s="18">
        <v>189.44868500000001</v>
      </c>
      <c r="M72" s="18">
        <v>190.23713699999999</v>
      </c>
      <c r="N72" s="18">
        <v>192.083618</v>
      </c>
      <c r="O72" s="18">
        <v>193.46835300000001</v>
      </c>
      <c r="P72" s="18">
        <v>194.118515</v>
      </c>
      <c r="Q72" s="18">
        <v>193.13897700000001</v>
      </c>
      <c r="R72" s="18">
        <v>192.45632900000001</v>
      </c>
      <c r="S72" s="18">
        <v>192.71270799999999</v>
      </c>
      <c r="T72" s="18">
        <v>192.80084199999999</v>
      </c>
      <c r="U72" s="18">
        <v>192.959991</v>
      </c>
      <c r="V72" s="18">
        <v>194.02557400000001</v>
      </c>
      <c r="W72" s="18">
        <v>194.53627</v>
      </c>
      <c r="X72" s="18">
        <v>195.41012599999999</v>
      </c>
      <c r="Y72" s="18">
        <v>195.601562</v>
      </c>
      <c r="Z72" s="18">
        <v>195.910797</v>
      </c>
      <c r="AA72" s="18">
        <v>196.69555700000001</v>
      </c>
      <c r="AB72" s="18">
        <v>196.62048300000001</v>
      </c>
      <c r="AC72" s="18">
        <v>197.38299599999999</v>
      </c>
      <c r="AD72" s="18">
        <v>197.89434800000001</v>
      </c>
      <c r="AE72" s="18">
        <v>198.69300799999999</v>
      </c>
      <c r="AF72" s="18">
        <v>198.65846300000001</v>
      </c>
      <c r="AG72" s="19">
        <v>7.2999999999999999E-5</v>
      </c>
    </row>
    <row r="73" spans="1:33" x14ac:dyDescent="0.3">
      <c r="A73" s="6" t="s">
        <v>132</v>
      </c>
      <c r="B73" s="17" t="s">
        <v>79</v>
      </c>
      <c r="C73" s="18">
        <v>208.204117</v>
      </c>
      <c r="D73" s="18">
        <v>210.053955</v>
      </c>
      <c r="E73" s="18">
        <v>199.01409899999999</v>
      </c>
      <c r="F73" s="18">
        <v>195.01040599999999</v>
      </c>
      <c r="G73" s="18">
        <v>193.97601299999999</v>
      </c>
      <c r="H73" s="18">
        <v>194.49800099999999</v>
      </c>
      <c r="I73" s="18">
        <v>196.375092</v>
      </c>
      <c r="J73" s="18">
        <v>201.220505</v>
      </c>
      <c r="K73" s="18">
        <v>205.68647799999999</v>
      </c>
      <c r="L73" s="18">
        <v>208.69906599999999</v>
      </c>
      <c r="M73" s="18">
        <v>212.24527</v>
      </c>
      <c r="N73" s="18">
        <v>216.80934099999999</v>
      </c>
      <c r="O73" s="18">
        <v>221.010559</v>
      </c>
      <c r="P73" s="18">
        <v>221.60986299999999</v>
      </c>
      <c r="Q73" s="18">
        <v>220.988586</v>
      </c>
      <c r="R73" s="18">
        <v>220.650803</v>
      </c>
      <c r="S73" s="18">
        <v>222.124863</v>
      </c>
      <c r="T73" s="18">
        <v>224.479874</v>
      </c>
      <c r="U73" s="18">
        <v>225.49440000000001</v>
      </c>
      <c r="V73" s="18">
        <v>228.347443</v>
      </c>
      <c r="W73" s="18">
        <v>231.27825899999999</v>
      </c>
      <c r="X73" s="18">
        <v>233.87385599999999</v>
      </c>
      <c r="Y73" s="18">
        <v>235.76959199999999</v>
      </c>
      <c r="Z73" s="18">
        <v>236.96980300000001</v>
      </c>
      <c r="AA73" s="18">
        <v>236.51177999999999</v>
      </c>
      <c r="AB73" s="18">
        <v>237.47439600000001</v>
      </c>
      <c r="AC73" s="18">
        <v>237.511841</v>
      </c>
      <c r="AD73" s="18">
        <v>236.39202900000001</v>
      </c>
      <c r="AE73" s="18">
        <v>236.965576</v>
      </c>
      <c r="AF73" s="18">
        <v>238.35934399999999</v>
      </c>
      <c r="AG73" s="19">
        <v>4.6750000000000003E-3</v>
      </c>
    </row>
    <row r="74" spans="1:33" ht="15" customHeight="1" x14ac:dyDescent="0.3">
      <c r="A74" s="6" t="s">
        <v>133</v>
      </c>
      <c r="B74" s="17" t="s">
        <v>93</v>
      </c>
      <c r="C74" s="18">
        <v>609.53594999999996</v>
      </c>
      <c r="D74" s="18">
        <v>598.28845200000001</v>
      </c>
      <c r="E74" s="18">
        <v>547.89263900000003</v>
      </c>
      <c r="F74" s="18">
        <v>551.61621100000002</v>
      </c>
      <c r="G74" s="18">
        <v>547.54290800000001</v>
      </c>
      <c r="H74" s="18">
        <v>545.69781499999999</v>
      </c>
      <c r="I74" s="18">
        <v>546.79840100000001</v>
      </c>
      <c r="J74" s="18">
        <v>547.26238999999998</v>
      </c>
      <c r="K74" s="18">
        <v>546.77886999999998</v>
      </c>
      <c r="L74" s="18">
        <v>548.69134499999996</v>
      </c>
      <c r="M74" s="18">
        <v>548.89294400000006</v>
      </c>
      <c r="N74" s="18">
        <v>565.02355999999997</v>
      </c>
      <c r="O74" s="18">
        <v>565.95117200000004</v>
      </c>
      <c r="P74" s="18">
        <v>564.18975799999998</v>
      </c>
      <c r="Q74" s="18">
        <v>563.70739700000001</v>
      </c>
      <c r="R74" s="18">
        <v>561.88098100000002</v>
      </c>
      <c r="S74" s="18">
        <v>563.49658199999999</v>
      </c>
      <c r="T74" s="18">
        <v>565.82550000000003</v>
      </c>
      <c r="U74" s="18">
        <v>565.11724900000002</v>
      </c>
      <c r="V74" s="18">
        <v>572.72222899999997</v>
      </c>
      <c r="W74" s="18">
        <v>577.58526600000005</v>
      </c>
      <c r="X74" s="18">
        <v>581.76525900000001</v>
      </c>
      <c r="Y74" s="18">
        <v>589.78558299999997</v>
      </c>
      <c r="Z74" s="18">
        <v>596.39648399999999</v>
      </c>
      <c r="AA74" s="18">
        <v>599.49060099999997</v>
      </c>
      <c r="AB74" s="18">
        <v>607.73553500000003</v>
      </c>
      <c r="AC74" s="18">
        <v>611.27429199999995</v>
      </c>
      <c r="AD74" s="18">
        <v>614.31207300000005</v>
      </c>
      <c r="AE74" s="18">
        <v>619.45440699999995</v>
      </c>
      <c r="AF74" s="18">
        <v>619.66424600000005</v>
      </c>
      <c r="AG74" s="19">
        <v>5.6800000000000004E-4</v>
      </c>
    </row>
    <row r="75" spans="1:33" ht="15" customHeight="1" x14ac:dyDescent="0.3">
      <c r="A75" s="6" t="s">
        <v>134</v>
      </c>
      <c r="B75" s="17" t="s">
        <v>135</v>
      </c>
      <c r="C75" s="18">
        <v>1291.174683</v>
      </c>
      <c r="D75" s="18">
        <v>1284.09375</v>
      </c>
      <c r="E75" s="18">
        <v>1213.6907960000001</v>
      </c>
      <c r="F75" s="18">
        <v>1204.892456</v>
      </c>
      <c r="G75" s="18">
        <v>1196.5361330000001</v>
      </c>
      <c r="H75" s="18">
        <v>1195.3883060000001</v>
      </c>
      <c r="I75" s="18">
        <v>1198.719971</v>
      </c>
      <c r="J75" s="18">
        <v>1206.557129</v>
      </c>
      <c r="K75" s="18">
        <v>1213.5931399999999</v>
      </c>
      <c r="L75" s="18">
        <v>1219.7529300000001</v>
      </c>
      <c r="M75" s="18">
        <v>1226.1286620000001</v>
      </c>
      <c r="N75" s="18">
        <v>1252.0280760000001</v>
      </c>
      <c r="O75" s="18">
        <v>1260.905518</v>
      </c>
      <c r="P75" s="18">
        <v>1261.868774</v>
      </c>
      <c r="Q75" s="18">
        <v>1259.264893</v>
      </c>
      <c r="R75" s="18">
        <v>1256.345947</v>
      </c>
      <c r="S75" s="18">
        <v>1260.638062</v>
      </c>
      <c r="T75" s="18">
        <v>1266.326294</v>
      </c>
      <c r="U75" s="18">
        <v>1267.726318</v>
      </c>
      <c r="V75" s="18">
        <v>1281.159668</v>
      </c>
      <c r="W75" s="18">
        <v>1290.768311</v>
      </c>
      <c r="X75" s="18">
        <v>1299.919312</v>
      </c>
      <c r="Y75" s="18">
        <v>1310.5673830000001</v>
      </c>
      <c r="Z75" s="18">
        <v>1319.638672</v>
      </c>
      <c r="AA75" s="18">
        <v>1324.612793</v>
      </c>
      <c r="AB75" s="18">
        <v>1334.097534</v>
      </c>
      <c r="AC75" s="18">
        <v>1339.8862300000001</v>
      </c>
      <c r="AD75" s="18">
        <v>1343.316284</v>
      </c>
      <c r="AE75" s="18">
        <v>1351.0830080000001</v>
      </c>
      <c r="AF75" s="18">
        <v>1353.181885</v>
      </c>
      <c r="AG75" s="19">
        <v>1.619E-3</v>
      </c>
    </row>
    <row r="76" spans="1:33" ht="15" customHeight="1" x14ac:dyDescent="0.3">
      <c r="A76" s="6" t="s">
        <v>136</v>
      </c>
      <c r="B76" s="17" t="s">
        <v>137</v>
      </c>
      <c r="C76" s="18">
        <v>0.79351799999999995</v>
      </c>
      <c r="D76" s="18">
        <v>0.85520600000000002</v>
      </c>
      <c r="E76" s="18">
        <v>0.88273299999999999</v>
      </c>
      <c r="F76" s="18">
        <v>0.86548000000000003</v>
      </c>
      <c r="G76" s="18">
        <v>0.84421299999999999</v>
      </c>
      <c r="H76" s="18">
        <v>0.82575799999999999</v>
      </c>
      <c r="I76" s="18">
        <v>0.80896000000000001</v>
      </c>
      <c r="J76" s="18">
        <v>0.78920100000000004</v>
      </c>
      <c r="K76" s="18">
        <v>0.76737200000000005</v>
      </c>
      <c r="L76" s="18">
        <v>0.75133700000000003</v>
      </c>
      <c r="M76" s="18">
        <v>0.72710200000000003</v>
      </c>
      <c r="N76" s="18">
        <v>0.72403499999999998</v>
      </c>
      <c r="O76" s="18">
        <v>0.70578099999999999</v>
      </c>
      <c r="P76" s="18">
        <v>0.686639</v>
      </c>
      <c r="Q76" s="18">
        <v>0.67041700000000004</v>
      </c>
      <c r="R76" s="18">
        <v>0.65540500000000002</v>
      </c>
      <c r="S76" s="18">
        <v>0.646374</v>
      </c>
      <c r="T76" s="18">
        <v>0.64178199999999996</v>
      </c>
      <c r="U76" s="18">
        <v>0.63880700000000001</v>
      </c>
      <c r="V76" s="18">
        <v>0.64500599999999997</v>
      </c>
      <c r="W76" s="18">
        <v>0.65085599999999999</v>
      </c>
      <c r="X76" s="18">
        <v>0.65063700000000002</v>
      </c>
      <c r="Y76" s="18">
        <v>0.66227899999999995</v>
      </c>
      <c r="Z76" s="18">
        <v>0.68001599999999995</v>
      </c>
      <c r="AA76" s="18">
        <v>0.68970100000000001</v>
      </c>
      <c r="AB76" s="18">
        <v>0.70481199999999999</v>
      </c>
      <c r="AC76" s="18">
        <v>0.71571300000000004</v>
      </c>
      <c r="AD76" s="18">
        <v>0.729132</v>
      </c>
      <c r="AE76" s="18">
        <v>0.74276299999999995</v>
      </c>
      <c r="AF76" s="18">
        <v>0.75120200000000004</v>
      </c>
      <c r="AG76" s="19">
        <v>-1.8879999999999999E-3</v>
      </c>
    </row>
    <row r="77" spans="1:33" ht="15" customHeight="1" x14ac:dyDescent="0.3">
      <c r="A77" s="6" t="s">
        <v>138</v>
      </c>
      <c r="B77" s="16" t="s">
        <v>139</v>
      </c>
      <c r="C77" s="20">
        <v>1291.9681399999999</v>
      </c>
      <c r="D77" s="20">
        <v>1284.948975</v>
      </c>
      <c r="E77" s="20">
        <v>1214.573486</v>
      </c>
      <c r="F77" s="20">
        <v>1205.7579350000001</v>
      </c>
      <c r="G77" s="20">
        <v>1197.380371</v>
      </c>
      <c r="H77" s="20">
        <v>1196.214111</v>
      </c>
      <c r="I77" s="20">
        <v>1199.5289310000001</v>
      </c>
      <c r="J77" s="20">
        <v>1207.346313</v>
      </c>
      <c r="K77" s="20">
        <v>1214.3604740000001</v>
      </c>
      <c r="L77" s="20">
        <v>1220.5042719999999</v>
      </c>
      <c r="M77" s="20">
        <v>1226.8557129999999</v>
      </c>
      <c r="N77" s="20">
        <v>1252.7520750000001</v>
      </c>
      <c r="O77" s="20">
        <v>1261.611328</v>
      </c>
      <c r="P77" s="20">
        <v>1262.5554199999999</v>
      </c>
      <c r="Q77" s="20">
        <v>1259.935303</v>
      </c>
      <c r="R77" s="20">
        <v>1257.0013429999999</v>
      </c>
      <c r="S77" s="20">
        <v>1261.2844239999999</v>
      </c>
      <c r="T77" s="20">
        <v>1266.968018</v>
      </c>
      <c r="U77" s="20">
        <v>1268.365112</v>
      </c>
      <c r="V77" s="20">
        <v>1281.8046879999999</v>
      </c>
      <c r="W77" s="20">
        <v>1291.419189</v>
      </c>
      <c r="X77" s="20">
        <v>1300.5699460000001</v>
      </c>
      <c r="Y77" s="20">
        <v>1311.2296140000001</v>
      </c>
      <c r="Z77" s="20">
        <v>1320.318726</v>
      </c>
      <c r="AA77" s="20">
        <v>1325.30249</v>
      </c>
      <c r="AB77" s="20">
        <v>1334.8023679999999</v>
      </c>
      <c r="AC77" s="20">
        <v>1340.6019289999999</v>
      </c>
      <c r="AD77" s="20">
        <v>1344.0454099999999</v>
      </c>
      <c r="AE77" s="20">
        <v>1351.8258060000001</v>
      </c>
      <c r="AF77" s="20">
        <v>1353.9331050000001</v>
      </c>
      <c r="AG77" s="21">
        <v>1.6169999999999999E-3</v>
      </c>
    </row>
    <row r="78" spans="1:33" ht="15" customHeight="1" x14ac:dyDescent="0.3"/>
    <row r="80" spans="1:33" ht="15" customHeight="1" x14ac:dyDescent="0.3">
      <c r="B80" s="16" t="s">
        <v>140</v>
      </c>
    </row>
    <row r="81" spans="1:33" x14ac:dyDescent="0.3">
      <c r="B81" s="16" t="s">
        <v>63</v>
      </c>
    </row>
    <row r="82" spans="1:33" ht="15" customHeight="1" x14ac:dyDescent="0.3">
      <c r="A82" s="6" t="s">
        <v>141</v>
      </c>
      <c r="B82" s="17" t="s">
        <v>65</v>
      </c>
      <c r="C82" s="22">
        <v>21.519539000000002</v>
      </c>
      <c r="D82" s="22">
        <v>23.918144000000002</v>
      </c>
      <c r="E82" s="22">
        <v>24.217051000000001</v>
      </c>
      <c r="F82" s="22">
        <v>24.935790999999998</v>
      </c>
      <c r="G82" s="22">
        <v>25.653113999999999</v>
      </c>
      <c r="H82" s="22">
        <v>26.580560999999999</v>
      </c>
      <c r="I82" s="22">
        <v>27.797075</v>
      </c>
      <c r="J82" s="22">
        <v>29.328686000000001</v>
      </c>
      <c r="K82" s="22">
        <v>31.014244000000001</v>
      </c>
      <c r="L82" s="22">
        <v>32.694023000000001</v>
      </c>
      <c r="M82" s="22">
        <v>34.429127000000001</v>
      </c>
      <c r="N82" s="22">
        <v>36.408802000000001</v>
      </c>
      <c r="O82" s="22">
        <v>38.23621</v>
      </c>
      <c r="P82" s="22">
        <v>39.975242999999999</v>
      </c>
      <c r="Q82" s="22">
        <v>41.643776000000003</v>
      </c>
      <c r="R82" s="22">
        <v>43.255378999999998</v>
      </c>
      <c r="S82" s="22">
        <v>45.068809999999999</v>
      </c>
      <c r="T82" s="22">
        <v>47.014851</v>
      </c>
      <c r="U82" s="22">
        <v>48.922707000000003</v>
      </c>
      <c r="V82" s="22">
        <v>51.130653000000002</v>
      </c>
      <c r="W82" s="22">
        <v>53.447806999999997</v>
      </c>
      <c r="X82" s="22">
        <v>55.830475</v>
      </c>
      <c r="Y82" s="22">
        <v>58.463219000000002</v>
      </c>
      <c r="Z82" s="22">
        <v>61.121395</v>
      </c>
      <c r="AA82" s="22">
        <v>63.463867</v>
      </c>
      <c r="AB82" s="22">
        <v>65.540503999999999</v>
      </c>
      <c r="AC82" s="22">
        <v>67.531943999999996</v>
      </c>
      <c r="AD82" s="22">
        <v>69.613517999999999</v>
      </c>
      <c r="AE82" s="22">
        <v>71.843872000000005</v>
      </c>
      <c r="AF82" s="22">
        <v>74.008056999999994</v>
      </c>
      <c r="AG82" s="19">
        <v>4.3513999999999997E-2</v>
      </c>
    </row>
    <row r="83" spans="1:33" ht="15" customHeight="1" x14ac:dyDescent="0.3">
      <c r="A83" s="6" t="s">
        <v>142</v>
      </c>
      <c r="B83" s="17" t="s">
        <v>67</v>
      </c>
      <c r="C83" s="22">
        <v>21.744820000000001</v>
      </c>
      <c r="D83" s="22">
        <v>22.778738000000001</v>
      </c>
      <c r="E83" s="22">
        <v>22.748636000000001</v>
      </c>
      <c r="F83" s="22">
        <v>24.861052999999998</v>
      </c>
      <c r="G83" s="22">
        <v>26.329546000000001</v>
      </c>
      <c r="H83" s="22">
        <v>27.851925000000001</v>
      </c>
      <c r="I83" s="22">
        <v>29.621317000000001</v>
      </c>
      <c r="J83" s="22">
        <v>30.792341</v>
      </c>
      <c r="K83" s="22">
        <v>31.995436000000002</v>
      </c>
      <c r="L83" s="22">
        <v>32.971935000000002</v>
      </c>
      <c r="M83" s="22">
        <v>34.302104999999997</v>
      </c>
      <c r="N83" s="22">
        <v>35.573318</v>
      </c>
      <c r="O83" s="22">
        <v>36.823543999999998</v>
      </c>
      <c r="P83" s="22">
        <v>37.983207999999998</v>
      </c>
      <c r="Q83" s="22">
        <v>39.267166000000003</v>
      </c>
      <c r="R83" s="22">
        <v>40.646937999999999</v>
      </c>
      <c r="S83" s="22">
        <v>42.295757000000002</v>
      </c>
      <c r="T83" s="22">
        <v>43.923121999999999</v>
      </c>
      <c r="U83" s="22">
        <v>45.424511000000003</v>
      </c>
      <c r="V83" s="22">
        <v>47.397708999999999</v>
      </c>
      <c r="W83" s="22">
        <v>49.341186999999998</v>
      </c>
      <c r="X83" s="22">
        <v>51.178767999999998</v>
      </c>
      <c r="Y83" s="22">
        <v>53.481608999999999</v>
      </c>
      <c r="Z83" s="22">
        <v>55.842537</v>
      </c>
      <c r="AA83" s="22">
        <v>57.673405000000002</v>
      </c>
      <c r="AB83" s="22">
        <v>60.018929</v>
      </c>
      <c r="AC83" s="22">
        <v>61.958022999999997</v>
      </c>
      <c r="AD83" s="22">
        <v>63.796551000000001</v>
      </c>
      <c r="AE83" s="22">
        <v>66.058898999999997</v>
      </c>
      <c r="AF83" s="22">
        <v>67.817245</v>
      </c>
      <c r="AG83" s="19">
        <v>4.0001000000000002E-2</v>
      </c>
    </row>
    <row r="84" spans="1:33" ht="15" customHeight="1" x14ac:dyDescent="0.3">
      <c r="A84" s="6" t="s">
        <v>143</v>
      </c>
      <c r="B84" s="17" t="s">
        <v>69</v>
      </c>
      <c r="C84" s="22">
        <v>11.714767</v>
      </c>
      <c r="D84" s="22">
        <v>12.543241</v>
      </c>
      <c r="E84" s="22">
        <v>12.202449</v>
      </c>
      <c r="F84" s="22">
        <v>12.042318</v>
      </c>
      <c r="G84" s="22">
        <v>12.074783999999999</v>
      </c>
      <c r="H84" s="22">
        <v>12.275156000000001</v>
      </c>
      <c r="I84" s="22">
        <v>12.557124</v>
      </c>
      <c r="J84" s="22">
        <v>13.175777999999999</v>
      </c>
      <c r="K84" s="22">
        <v>13.846838999999999</v>
      </c>
      <c r="L84" s="22">
        <v>14.43425</v>
      </c>
      <c r="M84" s="22">
        <v>15.042178</v>
      </c>
      <c r="N84" s="22">
        <v>16.003031</v>
      </c>
      <c r="O84" s="22">
        <v>16.729973000000001</v>
      </c>
      <c r="P84" s="22">
        <v>17.369700999999999</v>
      </c>
      <c r="Q84" s="22">
        <v>17.962931000000001</v>
      </c>
      <c r="R84" s="22">
        <v>18.530180000000001</v>
      </c>
      <c r="S84" s="22">
        <v>19.236832</v>
      </c>
      <c r="T84" s="22">
        <v>19.960674000000001</v>
      </c>
      <c r="U84" s="22">
        <v>20.710352</v>
      </c>
      <c r="V84" s="22">
        <v>21.478207000000001</v>
      </c>
      <c r="W84" s="22">
        <v>22.371119</v>
      </c>
      <c r="X84" s="22">
        <v>23.132490000000001</v>
      </c>
      <c r="Y84" s="22">
        <v>23.849205000000001</v>
      </c>
      <c r="Z84" s="22">
        <v>24.621888999999999</v>
      </c>
      <c r="AA84" s="22">
        <v>25.382959</v>
      </c>
      <c r="AB84" s="22">
        <v>26.228062000000001</v>
      </c>
      <c r="AC84" s="22">
        <v>27.116817000000001</v>
      </c>
      <c r="AD84" s="22">
        <v>28.030218000000001</v>
      </c>
      <c r="AE84" s="22">
        <v>29.040030000000002</v>
      </c>
      <c r="AF84" s="22">
        <v>30.030491000000001</v>
      </c>
      <c r="AG84" s="19">
        <v>3.2993000000000001E-2</v>
      </c>
    </row>
    <row r="85" spans="1:33" ht="15" customHeight="1" x14ac:dyDescent="0.3">
      <c r="A85" s="6" t="s">
        <v>144</v>
      </c>
      <c r="B85" s="17" t="s">
        <v>71</v>
      </c>
      <c r="C85" s="22">
        <v>38.762390000000003</v>
      </c>
      <c r="D85" s="22">
        <v>39.760395000000003</v>
      </c>
      <c r="E85" s="22">
        <v>40.441296000000001</v>
      </c>
      <c r="F85" s="22">
        <v>40.948036000000002</v>
      </c>
      <c r="G85" s="22">
        <v>42.041279000000003</v>
      </c>
      <c r="H85" s="22">
        <v>43.654277999999998</v>
      </c>
      <c r="I85" s="22">
        <v>45.274918</v>
      </c>
      <c r="J85" s="22">
        <v>46.968456000000003</v>
      </c>
      <c r="K85" s="22">
        <v>48.764786000000001</v>
      </c>
      <c r="L85" s="22">
        <v>50.440311000000001</v>
      </c>
      <c r="M85" s="22">
        <v>52.301014000000002</v>
      </c>
      <c r="N85" s="22">
        <v>54.228222000000002</v>
      </c>
      <c r="O85" s="22">
        <v>56.232787999999999</v>
      </c>
      <c r="P85" s="22">
        <v>58.235149</v>
      </c>
      <c r="Q85" s="22">
        <v>59.737147999999998</v>
      </c>
      <c r="R85" s="22">
        <v>61.399422000000001</v>
      </c>
      <c r="S85" s="22">
        <v>63.274548000000003</v>
      </c>
      <c r="T85" s="22">
        <v>65.205223000000004</v>
      </c>
      <c r="U85" s="22">
        <v>67.165619000000007</v>
      </c>
      <c r="V85" s="22">
        <v>69.583977000000004</v>
      </c>
      <c r="W85" s="22">
        <v>71.797447000000005</v>
      </c>
      <c r="X85" s="22">
        <v>74.293342999999993</v>
      </c>
      <c r="Y85" s="22">
        <v>76.476523999999998</v>
      </c>
      <c r="Z85" s="22">
        <v>78.779670999999993</v>
      </c>
      <c r="AA85" s="22">
        <v>81.454978999999994</v>
      </c>
      <c r="AB85" s="22">
        <v>83.635261999999997</v>
      </c>
      <c r="AC85" s="22">
        <v>86.340796999999995</v>
      </c>
      <c r="AD85" s="22">
        <v>88.913673000000003</v>
      </c>
      <c r="AE85" s="22">
        <v>91.521866000000003</v>
      </c>
      <c r="AF85" s="22">
        <v>93.815933000000001</v>
      </c>
      <c r="AG85" s="19">
        <v>3.0948E-2</v>
      </c>
    </row>
    <row r="86" spans="1:33" ht="15" customHeight="1" x14ac:dyDescent="0.3"/>
    <row r="87" spans="1:33" ht="15" customHeight="1" x14ac:dyDescent="0.3">
      <c r="B87" s="16" t="s">
        <v>72</v>
      </c>
    </row>
    <row r="88" spans="1:33" ht="15" customHeight="1" x14ac:dyDescent="0.3">
      <c r="A88" s="6" t="s">
        <v>145</v>
      </c>
      <c r="B88" s="17" t="s">
        <v>65</v>
      </c>
      <c r="C88" s="22">
        <v>18.822289999999999</v>
      </c>
      <c r="D88" s="22">
        <v>20.350739999999998</v>
      </c>
      <c r="E88" s="22">
        <v>19.176967999999999</v>
      </c>
      <c r="F88" s="22">
        <v>19.644886</v>
      </c>
      <c r="G88" s="22">
        <v>20.149332000000001</v>
      </c>
      <c r="H88" s="22">
        <v>20.939876999999999</v>
      </c>
      <c r="I88" s="22">
        <v>22.034400999999999</v>
      </c>
      <c r="J88" s="22">
        <v>23.408949</v>
      </c>
      <c r="K88" s="22">
        <v>24.81222</v>
      </c>
      <c r="L88" s="22">
        <v>26.097705999999999</v>
      </c>
      <c r="M88" s="22">
        <v>27.423658</v>
      </c>
      <c r="N88" s="22">
        <v>29.065638</v>
      </c>
      <c r="O88" s="22">
        <v>30.472038000000001</v>
      </c>
      <c r="P88" s="22">
        <v>31.692806000000001</v>
      </c>
      <c r="Q88" s="22">
        <v>32.855998999999997</v>
      </c>
      <c r="R88" s="22">
        <v>34.020049999999998</v>
      </c>
      <c r="S88" s="22">
        <v>35.483128000000001</v>
      </c>
      <c r="T88" s="22">
        <v>37.036971999999999</v>
      </c>
      <c r="U88" s="22">
        <v>38.469906000000002</v>
      </c>
      <c r="V88" s="22">
        <v>40.285891999999997</v>
      </c>
      <c r="W88" s="22">
        <v>42.107844999999998</v>
      </c>
      <c r="X88" s="22">
        <v>43.929760000000002</v>
      </c>
      <c r="Y88" s="22">
        <v>46.050961000000001</v>
      </c>
      <c r="Z88" s="22">
        <v>48.072746000000002</v>
      </c>
      <c r="AA88" s="22">
        <v>49.627422000000003</v>
      </c>
      <c r="AB88" s="22">
        <v>50.975948000000002</v>
      </c>
      <c r="AC88" s="22">
        <v>52.382263000000002</v>
      </c>
      <c r="AD88" s="22">
        <v>54.000731999999999</v>
      </c>
      <c r="AE88" s="22">
        <v>55.80312</v>
      </c>
      <c r="AF88" s="22">
        <v>57.445701999999997</v>
      </c>
      <c r="AG88" s="19">
        <v>3.9225999999999997E-2</v>
      </c>
    </row>
    <row r="89" spans="1:33" ht="15" customHeight="1" x14ac:dyDescent="0.3">
      <c r="A89" s="6" t="s">
        <v>146</v>
      </c>
      <c r="B89" s="17" t="s">
        <v>67</v>
      </c>
      <c r="C89" s="22">
        <v>21.823187000000001</v>
      </c>
      <c r="D89" s="22">
        <v>22.864526999999999</v>
      </c>
      <c r="E89" s="22">
        <v>21.600349000000001</v>
      </c>
      <c r="F89" s="22">
        <v>22.538955999999999</v>
      </c>
      <c r="G89" s="22">
        <v>22.716763</v>
      </c>
      <c r="H89" s="22">
        <v>22.870412999999999</v>
      </c>
      <c r="I89" s="22">
        <v>23.183537000000001</v>
      </c>
      <c r="J89" s="22">
        <v>24.129183000000001</v>
      </c>
      <c r="K89" s="22">
        <v>25.097404000000001</v>
      </c>
      <c r="L89" s="22">
        <v>25.879559</v>
      </c>
      <c r="M89" s="22">
        <v>26.97542</v>
      </c>
      <c r="N89" s="22">
        <v>28.472673</v>
      </c>
      <c r="O89" s="22">
        <v>29.485673999999999</v>
      </c>
      <c r="P89" s="22">
        <v>30.415444999999998</v>
      </c>
      <c r="Q89" s="22">
        <v>31.518965000000001</v>
      </c>
      <c r="R89" s="22">
        <v>32.628517000000002</v>
      </c>
      <c r="S89" s="22">
        <v>34.011166000000003</v>
      </c>
      <c r="T89" s="22">
        <v>35.360092000000002</v>
      </c>
      <c r="U89" s="22">
        <v>36.565868000000002</v>
      </c>
      <c r="V89" s="22">
        <v>38.259872000000001</v>
      </c>
      <c r="W89" s="22">
        <v>39.890250999999999</v>
      </c>
      <c r="X89" s="22">
        <v>41.408070000000002</v>
      </c>
      <c r="Y89" s="22">
        <v>43.365456000000002</v>
      </c>
      <c r="Z89" s="22">
        <v>45.385769000000003</v>
      </c>
      <c r="AA89" s="22">
        <v>46.893352999999998</v>
      </c>
      <c r="AB89" s="22">
        <v>48.884224000000003</v>
      </c>
      <c r="AC89" s="22">
        <v>50.466414999999998</v>
      </c>
      <c r="AD89" s="22">
        <v>51.926085999999998</v>
      </c>
      <c r="AE89" s="22">
        <v>53.812156999999999</v>
      </c>
      <c r="AF89" s="22">
        <v>55.194648999999998</v>
      </c>
      <c r="AG89" s="19">
        <v>3.2514000000000001E-2</v>
      </c>
    </row>
    <row r="90" spans="1:33" ht="15" customHeight="1" x14ac:dyDescent="0.3">
      <c r="A90" s="6" t="s">
        <v>147</v>
      </c>
      <c r="B90" s="17" t="s">
        <v>76</v>
      </c>
      <c r="C90" s="22">
        <v>6.5100579999999999</v>
      </c>
      <c r="D90" s="22">
        <v>7.8004769999999999</v>
      </c>
      <c r="E90" s="22">
        <v>7.9453529999999999</v>
      </c>
      <c r="F90" s="22">
        <v>9.5562349999999991</v>
      </c>
      <c r="G90" s="22">
        <v>10.553672000000001</v>
      </c>
      <c r="H90" s="22">
        <v>11.556342000000001</v>
      </c>
      <c r="I90" s="22">
        <v>12.909644</v>
      </c>
      <c r="J90" s="22">
        <v>13.55414</v>
      </c>
      <c r="K90" s="22">
        <v>14.135114</v>
      </c>
      <c r="L90" s="22">
        <v>14.810273</v>
      </c>
      <c r="M90" s="22">
        <v>15.443987999999999</v>
      </c>
      <c r="N90" s="22">
        <v>16.214158999999999</v>
      </c>
      <c r="O90" s="22">
        <v>16.884550000000001</v>
      </c>
      <c r="P90" s="22">
        <v>17.565434</v>
      </c>
      <c r="Q90" s="22">
        <v>18.204203</v>
      </c>
      <c r="R90" s="22">
        <v>18.902946</v>
      </c>
      <c r="S90" s="22">
        <v>19.504273999999999</v>
      </c>
      <c r="T90" s="22">
        <v>20.369133000000001</v>
      </c>
      <c r="U90" s="22">
        <v>20.943598000000001</v>
      </c>
      <c r="V90" s="22">
        <v>22.739405000000001</v>
      </c>
      <c r="W90" s="22">
        <v>23.757801000000001</v>
      </c>
      <c r="X90" s="22">
        <v>24.624191</v>
      </c>
      <c r="Y90" s="22">
        <v>25.966453999999999</v>
      </c>
      <c r="Z90" s="22">
        <v>27.371773000000001</v>
      </c>
      <c r="AA90" s="22">
        <v>28.378710000000002</v>
      </c>
      <c r="AB90" s="22">
        <v>29.709683999999999</v>
      </c>
      <c r="AC90" s="22">
        <v>30.750561000000001</v>
      </c>
      <c r="AD90" s="22">
        <v>31.706526</v>
      </c>
      <c r="AE90" s="22">
        <v>32.928417000000003</v>
      </c>
      <c r="AF90" s="22">
        <v>33.788494</v>
      </c>
      <c r="AG90" s="19">
        <v>5.8429000000000002E-2</v>
      </c>
    </row>
    <row r="91" spans="1:33" ht="15" customHeight="1" x14ac:dyDescent="0.3">
      <c r="A91" s="6" t="s">
        <v>148</v>
      </c>
      <c r="B91" s="17" t="s">
        <v>69</v>
      </c>
      <c r="C91" s="22">
        <v>8.4425779999999992</v>
      </c>
      <c r="D91" s="22">
        <v>9.1026070000000008</v>
      </c>
      <c r="E91" s="22">
        <v>8.9924140000000001</v>
      </c>
      <c r="F91" s="22">
        <v>8.9158360000000005</v>
      </c>
      <c r="G91" s="22">
        <v>9.0154189999999996</v>
      </c>
      <c r="H91" s="22">
        <v>9.2677060000000004</v>
      </c>
      <c r="I91" s="22">
        <v>9.5859579999999998</v>
      </c>
      <c r="J91" s="22">
        <v>10.077318</v>
      </c>
      <c r="K91" s="22">
        <v>10.609268</v>
      </c>
      <c r="L91" s="22">
        <v>11.058864</v>
      </c>
      <c r="M91" s="22">
        <v>11.524680999999999</v>
      </c>
      <c r="N91" s="22">
        <v>12.192710999999999</v>
      </c>
      <c r="O91" s="22">
        <v>12.736744</v>
      </c>
      <c r="P91" s="22">
        <v>13.204803</v>
      </c>
      <c r="Q91" s="22">
        <v>13.612743999999999</v>
      </c>
      <c r="R91" s="22">
        <v>14.009382</v>
      </c>
      <c r="S91" s="22">
        <v>14.536538999999999</v>
      </c>
      <c r="T91" s="22">
        <v>15.077870000000001</v>
      </c>
      <c r="U91" s="22">
        <v>15.641514000000001</v>
      </c>
      <c r="V91" s="22">
        <v>16.216298999999999</v>
      </c>
      <c r="W91" s="22">
        <v>16.906044000000001</v>
      </c>
      <c r="X91" s="22">
        <v>17.457684</v>
      </c>
      <c r="Y91" s="22">
        <v>17.959168999999999</v>
      </c>
      <c r="Z91" s="22">
        <v>18.514944</v>
      </c>
      <c r="AA91" s="22">
        <v>19.054134000000001</v>
      </c>
      <c r="AB91" s="22">
        <v>19.667431000000001</v>
      </c>
      <c r="AC91" s="22">
        <v>20.318686</v>
      </c>
      <c r="AD91" s="22">
        <v>20.989712000000001</v>
      </c>
      <c r="AE91" s="22">
        <v>21.750826</v>
      </c>
      <c r="AF91" s="22">
        <v>22.491329</v>
      </c>
      <c r="AG91" s="19">
        <v>3.4365E-2</v>
      </c>
    </row>
    <row r="92" spans="1:33" x14ac:dyDescent="0.3">
      <c r="A92" s="6" t="s">
        <v>149</v>
      </c>
      <c r="B92" s="17" t="s">
        <v>71</v>
      </c>
      <c r="C92" s="22">
        <v>33.230530000000002</v>
      </c>
      <c r="D92" s="22">
        <v>33.978515999999999</v>
      </c>
      <c r="E92" s="22">
        <v>33.874538000000001</v>
      </c>
      <c r="F92" s="22">
        <v>34.144748999999997</v>
      </c>
      <c r="G92" s="22">
        <v>34.978957999999999</v>
      </c>
      <c r="H92" s="22">
        <v>36.308815000000003</v>
      </c>
      <c r="I92" s="22">
        <v>37.550941000000002</v>
      </c>
      <c r="J92" s="22">
        <v>38.900844999999997</v>
      </c>
      <c r="K92" s="22">
        <v>40.301246999999996</v>
      </c>
      <c r="L92" s="22">
        <v>41.556381000000002</v>
      </c>
      <c r="M92" s="22">
        <v>43.000675000000001</v>
      </c>
      <c r="N92" s="22">
        <v>44.457672000000002</v>
      </c>
      <c r="O92" s="22">
        <v>46.101951999999997</v>
      </c>
      <c r="P92" s="22">
        <v>47.656097000000003</v>
      </c>
      <c r="Q92" s="22">
        <v>48.670650000000002</v>
      </c>
      <c r="R92" s="22">
        <v>49.857143000000001</v>
      </c>
      <c r="S92" s="22">
        <v>51.332649000000004</v>
      </c>
      <c r="T92" s="22">
        <v>52.747883000000002</v>
      </c>
      <c r="U92" s="22">
        <v>54.245193</v>
      </c>
      <c r="V92" s="22">
        <v>56.169052000000001</v>
      </c>
      <c r="W92" s="22">
        <v>57.813347</v>
      </c>
      <c r="X92" s="22">
        <v>59.804386000000001</v>
      </c>
      <c r="Y92" s="22">
        <v>61.462963000000002</v>
      </c>
      <c r="Z92" s="22">
        <v>63.146968999999999</v>
      </c>
      <c r="AA92" s="22">
        <v>65.182570999999996</v>
      </c>
      <c r="AB92" s="22">
        <v>66.765311999999994</v>
      </c>
      <c r="AC92" s="22">
        <v>68.797684000000004</v>
      </c>
      <c r="AD92" s="22">
        <v>70.724791999999994</v>
      </c>
      <c r="AE92" s="22">
        <v>72.731880000000004</v>
      </c>
      <c r="AF92" s="22">
        <v>74.371184999999997</v>
      </c>
      <c r="AG92" s="19">
        <v>2.8169E-2</v>
      </c>
    </row>
    <row r="93" spans="1:33" ht="15" customHeight="1" x14ac:dyDescent="0.3"/>
    <row r="94" spans="1:33" ht="15" customHeight="1" x14ac:dyDescent="0.3">
      <c r="B94" s="16" t="s">
        <v>79</v>
      </c>
    </row>
    <row r="95" spans="1:33" ht="15" customHeight="1" x14ac:dyDescent="0.3">
      <c r="A95" s="6" t="s">
        <v>150</v>
      </c>
      <c r="B95" s="17" t="s">
        <v>65</v>
      </c>
      <c r="C95" s="22">
        <v>13.663833</v>
      </c>
      <c r="D95" s="22">
        <v>14.819919000000001</v>
      </c>
      <c r="E95" s="22">
        <v>13.271934</v>
      </c>
      <c r="F95" s="22">
        <v>13.628423</v>
      </c>
      <c r="G95" s="22">
        <v>13.95307</v>
      </c>
      <c r="H95" s="22">
        <v>14.548325</v>
      </c>
      <c r="I95" s="22">
        <v>15.435884</v>
      </c>
      <c r="J95" s="22">
        <v>16.600773</v>
      </c>
      <c r="K95" s="22">
        <v>17.782276</v>
      </c>
      <c r="L95" s="22">
        <v>18.83663</v>
      </c>
      <c r="M95" s="22">
        <v>19.937275</v>
      </c>
      <c r="N95" s="22">
        <v>21.000050000000002</v>
      </c>
      <c r="O95" s="22">
        <v>22.172025999999999</v>
      </c>
      <c r="P95" s="22">
        <v>23.112477999999999</v>
      </c>
      <c r="Q95" s="22">
        <v>23.917981999999999</v>
      </c>
      <c r="R95" s="22">
        <v>24.776942999999999</v>
      </c>
      <c r="S95" s="22">
        <v>25.955269000000001</v>
      </c>
      <c r="T95" s="22">
        <v>27.207771000000001</v>
      </c>
      <c r="U95" s="22">
        <v>28.310419</v>
      </c>
      <c r="V95" s="22">
        <v>29.833817</v>
      </c>
      <c r="W95" s="22">
        <v>31.332878000000001</v>
      </c>
      <c r="X95" s="22">
        <v>32.812331999999998</v>
      </c>
      <c r="Y95" s="22">
        <v>34.627685999999997</v>
      </c>
      <c r="Z95" s="22">
        <v>36.303150000000002</v>
      </c>
      <c r="AA95" s="22">
        <v>37.423499999999997</v>
      </c>
      <c r="AB95" s="22">
        <v>38.314681999999998</v>
      </c>
      <c r="AC95" s="22">
        <v>39.270896999999998</v>
      </c>
      <c r="AD95" s="22">
        <v>40.458590999999998</v>
      </c>
      <c r="AE95" s="22">
        <v>41.837971000000003</v>
      </c>
      <c r="AF95" s="22">
        <v>43.012805999999998</v>
      </c>
      <c r="AG95" s="19">
        <v>4.0335000000000003E-2</v>
      </c>
    </row>
    <row r="96" spans="1:33" ht="15" customHeight="1" x14ac:dyDescent="0.3">
      <c r="A96" s="6" t="s">
        <v>151</v>
      </c>
      <c r="B96" s="17" t="s">
        <v>67</v>
      </c>
      <c r="C96" s="22">
        <v>21.752379999999999</v>
      </c>
      <c r="D96" s="22">
        <v>22.782827000000001</v>
      </c>
      <c r="E96" s="22">
        <v>21.600446999999999</v>
      </c>
      <c r="F96" s="22">
        <v>22.502116999999998</v>
      </c>
      <c r="G96" s="22">
        <v>22.671472999999999</v>
      </c>
      <c r="H96" s="22">
        <v>22.807241000000001</v>
      </c>
      <c r="I96" s="22">
        <v>23.093634000000002</v>
      </c>
      <c r="J96" s="22">
        <v>24.042925</v>
      </c>
      <c r="K96" s="22">
        <v>25.024291999999999</v>
      </c>
      <c r="L96" s="22">
        <v>25.825529</v>
      </c>
      <c r="M96" s="22">
        <v>26.921161999999999</v>
      </c>
      <c r="N96" s="22">
        <v>27.974201000000001</v>
      </c>
      <c r="O96" s="22">
        <v>28.998322999999999</v>
      </c>
      <c r="P96" s="22">
        <v>29.918237999999999</v>
      </c>
      <c r="Q96" s="22">
        <v>30.948077999999999</v>
      </c>
      <c r="R96" s="22">
        <v>32.043514000000002</v>
      </c>
      <c r="S96" s="22">
        <v>33.408504000000001</v>
      </c>
      <c r="T96" s="22">
        <v>34.742167999999999</v>
      </c>
      <c r="U96" s="22">
        <v>35.938408000000003</v>
      </c>
      <c r="V96" s="22">
        <v>37.634182000000003</v>
      </c>
      <c r="W96" s="22">
        <v>39.255958999999997</v>
      </c>
      <c r="X96" s="22">
        <v>40.764423000000001</v>
      </c>
      <c r="Y96" s="22">
        <v>42.711177999999997</v>
      </c>
      <c r="Z96" s="22">
        <v>44.711669999999998</v>
      </c>
      <c r="AA96" s="22">
        <v>46.220592000000003</v>
      </c>
      <c r="AB96" s="22">
        <v>48.205630999999997</v>
      </c>
      <c r="AC96" s="22">
        <v>49.785361999999999</v>
      </c>
      <c r="AD96" s="22">
        <v>51.237803999999997</v>
      </c>
      <c r="AE96" s="22">
        <v>53.118130000000001</v>
      </c>
      <c r="AF96" s="22">
        <v>54.499023000000001</v>
      </c>
      <c r="AG96" s="19">
        <v>3.2177999999999998E-2</v>
      </c>
    </row>
    <row r="97" spans="1:33" ht="15" customHeight="1" x14ac:dyDescent="0.3">
      <c r="A97" s="6" t="s">
        <v>152</v>
      </c>
      <c r="B97" s="17" t="s">
        <v>76</v>
      </c>
      <c r="C97" s="22">
        <v>7.0922299999999998</v>
      </c>
      <c r="D97" s="22">
        <v>8.5610320000000009</v>
      </c>
      <c r="E97" s="22">
        <v>8.9461729999999999</v>
      </c>
      <c r="F97" s="22">
        <v>10.835464</v>
      </c>
      <c r="G97" s="22">
        <v>12.090138</v>
      </c>
      <c r="H97" s="22">
        <v>13.431333</v>
      </c>
      <c r="I97" s="22">
        <v>15.102933999999999</v>
      </c>
      <c r="J97" s="22">
        <v>15.845736</v>
      </c>
      <c r="K97" s="22">
        <v>16.550834999999999</v>
      </c>
      <c r="L97" s="22">
        <v>17.320302999999999</v>
      </c>
      <c r="M97" s="22">
        <v>18.075562000000001</v>
      </c>
      <c r="N97" s="22">
        <v>18.961387999999999</v>
      </c>
      <c r="O97" s="22">
        <v>19.751760000000001</v>
      </c>
      <c r="P97" s="22">
        <v>20.509295000000002</v>
      </c>
      <c r="Q97" s="22">
        <v>21.307549999999999</v>
      </c>
      <c r="R97" s="22">
        <v>22.115112</v>
      </c>
      <c r="S97" s="22">
        <v>22.789452000000001</v>
      </c>
      <c r="T97" s="22">
        <v>23.785865999999999</v>
      </c>
      <c r="U97" s="22">
        <v>24.508815999999999</v>
      </c>
      <c r="V97" s="22">
        <v>26.419771000000001</v>
      </c>
      <c r="W97" s="22">
        <v>27.583974999999999</v>
      </c>
      <c r="X97" s="22">
        <v>28.604773999999999</v>
      </c>
      <c r="Y97" s="22">
        <v>30.075248999999999</v>
      </c>
      <c r="Z97" s="22">
        <v>31.617619000000001</v>
      </c>
      <c r="AA97" s="22">
        <v>32.766781000000002</v>
      </c>
      <c r="AB97" s="22">
        <v>34.260959999999997</v>
      </c>
      <c r="AC97" s="22">
        <v>35.450001</v>
      </c>
      <c r="AD97" s="22">
        <v>36.578426</v>
      </c>
      <c r="AE97" s="22">
        <v>37.965096000000003</v>
      </c>
      <c r="AF97" s="22">
        <v>39.000706000000001</v>
      </c>
      <c r="AG97" s="19">
        <v>6.0539999999999997E-2</v>
      </c>
    </row>
    <row r="98" spans="1:33" ht="15" customHeight="1" x14ac:dyDescent="0.3">
      <c r="A98" s="6" t="s">
        <v>153</v>
      </c>
      <c r="B98" s="17" t="s">
        <v>84</v>
      </c>
      <c r="C98" s="22">
        <v>5.0712760000000001</v>
      </c>
      <c r="D98" s="22">
        <v>4.9994269999999998</v>
      </c>
      <c r="E98" s="22">
        <v>4.7751020000000004</v>
      </c>
      <c r="F98" s="22">
        <v>4.5288639999999996</v>
      </c>
      <c r="G98" s="22">
        <v>4.4757850000000001</v>
      </c>
      <c r="H98" s="22">
        <v>4.5652720000000002</v>
      </c>
      <c r="I98" s="22">
        <v>4.763649</v>
      </c>
      <c r="J98" s="22">
        <v>5.1292220000000004</v>
      </c>
      <c r="K98" s="22">
        <v>5.4981010000000001</v>
      </c>
      <c r="L98" s="22">
        <v>5.7981280000000002</v>
      </c>
      <c r="M98" s="22">
        <v>6.0704029999999998</v>
      </c>
      <c r="N98" s="22">
        <v>6.2664020000000002</v>
      </c>
      <c r="O98" s="22">
        <v>6.6129550000000004</v>
      </c>
      <c r="P98" s="22">
        <v>6.8415330000000001</v>
      </c>
      <c r="Q98" s="22">
        <v>6.9639680000000004</v>
      </c>
      <c r="R98" s="22">
        <v>7.1211200000000003</v>
      </c>
      <c r="S98" s="22">
        <v>7.3658489999999999</v>
      </c>
      <c r="T98" s="22">
        <v>7.6591050000000003</v>
      </c>
      <c r="U98" s="22">
        <v>7.9571490000000002</v>
      </c>
      <c r="V98" s="22">
        <v>8.2731150000000007</v>
      </c>
      <c r="W98" s="22">
        <v>8.6618969999999997</v>
      </c>
      <c r="X98" s="22">
        <v>8.9744220000000006</v>
      </c>
      <c r="Y98" s="22">
        <v>9.1504809999999992</v>
      </c>
      <c r="Z98" s="22">
        <v>9.3844910000000006</v>
      </c>
      <c r="AA98" s="22">
        <v>9.5385480000000005</v>
      </c>
      <c r="AB98" s="22">
        <v>9.7897420000000004</v>
      </c>
      <c r="AC98" s="22">
        <v>10.074139000000001</v>
      </c>
      <c r="AD98" s="22">
        <v>10.39526</v>
      </c>
      <c r="AE98" s="22">
        <v>10.760066</v>
      </c>
      <c r="AF98" s="22">
        <v>11.125721</v>
      </c>
      <c r="AG98" s="19">
        <v>2.7462E-2</v>
      </c>
    </row>
    <row r="99" spans="1:33" ht="15" customHeight="1" x14ac:dyDescent="0.3">
      <c r="A99" s="6" t="s">
        <v>154</v>
      </c>
      <c r="B99" s="17" t="s">
        <v>86</v>
      </c>
      <c r="C99" s="22">
        <v>3.9278590000000002</v>
      </c>
      <c r="D99" s="22">
        <v>3.6321189999999999</v>
      </c>
      <c r="E99" s="22">
        <v>3.5428829999999998</v>
      </c>
      <c r="F99" s="22">
        <v>3.4748770000000002</v>
      </c>
      <c r="G99" s="22">
        <v>3.4836140000000002</v>
      </c>
      <c r="H99" s="22">
        <v>3.5318200000000002</v>
      </c>
      <c r="I99" s="22">
        <v>3.6228739999999999</v>
      </c>
      <c r="J99" s="22">
        <v>3.7460089999999999</v>
      </c>
      <c r="K99" s="22">
        <v>3.8910559999999998</v>
      </c>
      <c r="L99" s="22">
        <v>4.054818</v>
      </c>
      <c r="M99" s="22">
        <v>4.2208030000000001</v>
      </c>
      <c r="N99" s="22">
        <v>4.4014939999999996</v>
      </c>
      <c r="O99" s="22">
        <v>4.5723609999999999</v>
      </c>
      <c r="P99" s="22">
        <v>4.7503060000000001</v>
      </c>
      <c r="Q99" s="22">
        <v>4.9470919999999996</v>
      </c>
      <c r="R99" s="22">
        <v>5.1530399999999998</v>
      </c>
      <c r="S99" s="22">
        <v>5.3757289999999998</v>
      </c>
      <c r="T99" s="22">
        <v>5.6005260000000003</v>
      </c>
      <c r="U99" s="22">
        <v>5.8304869999999998</v>
      </c>
      <c r="V99" s="22">
        <v>6.0772279999999999</v>
      </c>
      <c r="W99" s="22">
        <v>6.3238630000000002</v>
      </c>
      <c r="X99" s="22">
        <v>6.5788970000000004</v>
      </c>
      <c r="Y99" s="22">
        <v>6.8513330000000003</v>
      </c>
      <c r="Z99" s="22">
        <v>7.1383049999999999</v>
      </c>
      <c r="AA99" s="22">
        <v>7.4360689999999998</v>
      </c>
      <c r="AB99" s="22">
        <v>7.7463649999999999</v>
      </c>
      <c r="AC99" s="22">
        <v>8.0682399999999994</v>
      </c>
      <c r="AD99" s="22">
        <v>8.3898799999999998</v>
      </c>
      <c r="AE99" s="22">
        <v>8.7255020000000005</v>
      </c>
      <c r="AF99" s="22">
        <v>9.0702739999999995</v>
      </c>
      <c r="AG99" s="19">
        <v>2.9278999999999999E-2</v>
      </c>
    </row>
    <row r="100" spans="1:33" ht="15" customHeight="1" x14ac:dyDescent="0.3">
      <c r="A100" s="6" t="s">
        <v>155</v>
      </c>
      <c r="B100" s="17" t="s">
        <v>88</v>
      </c>
      <c r="C100" s="22">
        <v>2.7294890000000001</v>
      </c>
      <c r="D100" s="22">
        <v>2.767614</v>
      </c>
      <c r="E100" s="22">
        <v>2.847413</v>
      </c>
      <c r="F100" s="22">
        <v>2.9362119999999998</v>
      </c>
      <c r="G100" s="22">
        <v>3.0310190000000001</v>
      </c>
      <c r="H100" s="22">
        <v>3.127068</v>
      </c>
      <c r="I100" s="22">
        <v>3.2234590000000001</v>
      </c>
      <c r="J100" s="22">
        <v>3.3354170000000001</v>
      </c>
      <c r="K100" s="22">
        <v>3.4514010000000002</v>
      </c>
      <c r="L100" s="22">
        <v>3.569537</v>
      </c>
      <c r="M100" s="22">
        <v>3.6889110000000001</v>
      </c>
      <c r="N100" s="22">
        <v>3.814851</v>
      </c>
      <c r="O100" s="22">
        <v>3.9473560000000001</v>
      </c>
      <c r="P100" s="22">
        <v>4.0788399999999996</v>
      </c>
      <c r="Q100" s="22">
        <v>4.2009660000000002</v>
      </c>
      <c r="R100" s="22">
        <v>4.3379440000000002</v>
      </c>
      <c r="S100" s="22">
        <v>4.4794780000000003</v>
      </c>
      <c r="T100" s="22">
        <v>4.6310820000000001</v>
      </c>
      <c r="U100" s="22">
        <v>4.800351</v>
      </c>
      <c r="V100" s="22">
        <v>4.9702380000000002</v>
      </c>
      <c r="W100" s="22">
        <v>5.1519120000000003</v>
      </c>
      <c r="X100" s="22">
        <v>5.326657</v>
      </c>
      <c r="Y100" s="22">
        <v>5.5042249999999999</v>
      </c>
      <c r="Z100" s="22">
        <v>5.699249</v>
      </c>
      <c r="AA100" s="22">
        <v>5.8961360000000003</v>
      </c>
      <c r="AB100" s="22">
        <v>6.0993130000000004</v>
      </c>
      <c r="AC100" s="22">
        <v>6.3029549999999999</v>
      </c>
      <c r="AD100" s="22">
        <v>6.50875</v>
      </c>
      <c r="AE100" s="22">
        <v>6.7236200000000004</v>
      </c>
      <c r="AF100" s="22">
        <v>6.9393200000000004</v>
      </c>
      <c r="AG100" s="19">
        <v>3.2698999999999999E-2</v>
      </c>
    </row>
    <row r="101" spans="1:33" x14ac:dyDescent="0.3">
      <c r="A101" s="6" t="s">
        <v>156</v>
      </c>
      <c r="B101" s="17" t="s">
        <v>90</v>
      </c>
      <c r="C101" s="22" t="s">
        <v>91</v>
      </c>
      <c r="D101" s="22" t="s">
        <v>91</v>
      </c>
      <c r="E101" s="22" t="s">
        <v>91</v>
      </c>
      <c r="F101" s="22" t="s">
        <v>91</v>
      </c>
      <c r="G101" s="22" t="s">
        <v>91</v>
      </c>
      <c r="H101" s="22" t="s">
        <v>91</v>
      </c>
      <c r="I101" s="22" t="s">
        <v>91</v>
      </c>
      <c r="J101" s="22" t="s">
        <v>91</v>
      </c>
      <c r="K101" s="22" t="s">
        <v>91</v>
      </c>
      <c r="L101" s="22" t="s">
        <v>91</v>
      </c>
      <c r="M101" s="22" t="s">
        <v>91</v>
      </c>
      <c r="N101" s="22" t="s">
        <v>91</v>
      </c>
      <c r="O101" s="22" t="s">
        <v>91</v>
      </c>
      <c r="P101" s="22" t="s">
        <v>91</v>
      </c>
      <c r="Q101" s="22" t="s">
        <v>91</v>
      </c>
      <c r="R101" s="22" t="s">
        <v>91</v>
      </c>
      <c r="S101" s="22" t="s">
        <v>91</v>
      </c>
      <c r="T101" s="22" t="s">
        <v>91</v>
      </c>
      <c r="U101" s="22" t="s">
        <v>91</v>
      </c>
      <c r="V101" s="22" t="s">
        <v>91</v>
      </c>
      <c r="W101" s="22" t="s">
        <v>91</v>
      </c>
      <c r="X101" s="22" t="s">
        <v>91</v>
      </c>
      <c r="Y101" s="22" t="s">
        <v>91</v>
      </c>
      <c r="Z101" s="22" t="s">
        <v>91</v>
      </c>
      <c r="AA101" s="22" t="s">
        <v>91</v>
      </c>
      <c r="AB101" s="22" t="s">
        <v>91</v>
      </c>
      <c r="AC101" s="22" t="s">
        <v>91</v>
      </c>
      <c r="AD101" s="22" t="s">
        <v>91</v>
      </c>
      <c r="AE101" s="22" t="s">
        <v>91</v>
      </c>
      <c r="AF101" s="22" t="s">
        <v>91</v>
      </c>
      <c r="AG101" s="19" t="s">
        <v>91</v>
      </c>
    </row>
    <row r="102" spans="1:33" x14ac:dyDescent="0.3">
      <c r="A102" s="6" t="s">
        <v>157</v>
      </c>
      <c r="B102" s="17" t="s">
        <v>71</v>
      </c>
      <c r="C102" s="22">
        <v>21.954326999999999</v>
      </c>
      <c r="D102" s="22">
        <v>22.280446999999999</v>
      </c>
      <c r="E102" s="22">
        <v>21.792933999999999</v>
      </c>
      <c r="F102" s="22">
        <v>21.787928000000001</v>
      </c>
      <c r="G102" s="22">
        <v>22.226633</v>
      </c>
      <c r="H102" s="22">
        <v>22.802185000000001</v>
      </c>
      <c r="I102" s="22">
        <v>23.547533000000001</v>
      </c>
      <c r="J102" s="22">
        <v>24.398606999999998</v>
      </c>
      <c r="K102" s="22">
        <v>25.294533000000001</v>
      </c>
      <c r="L102" s="22">
        <v>26.123685999999999</v>
      </c>
      <c r="M102" s="22">
        <v>27.017106999999999</v>
      </c>
      <c r="N102" s="22">
        <v>27.921112000000001</v>
      </c>
      <c r="O102" s="22">
        <v>28.837664</v>
      </c>
      <c r="P102" s="22">
        <v>29.798458</v>
      </c>
      <c r="Q102" s="22">
        <v>30.501366000000001</v>
      </c>
      <c r="R102" s="22">
        <v>31.325613000000001</v>
      </c>
      <c r="S102" s="22">
        <v>32.145142</v>
      </c>
      <c r="T102" s="22">
        <v>33.099280999999998</v>
      </c>
      <c r="U102" s="22">
        <v>34.040619</v>
      </c>
      <c r="V102" s="22">
        <v>35.189231999999997</v>
      </c>
      <c r="W102" s="22">
        <v>36.283123000000003</v>
      </c>
      <c r="X102" s="22">
        <v>37.420853000000001</v>
      </c>
      <c r="Y102" s="22">
        <v>38.354103000000002</v>
      </c>
      <c r="Z102" s="22">
        <v>39.433506000000001</v>
      </c>
      <c r="AA102" s="22">
        <v>40.609591999999999</v>
      </c>
      <c r="AB102" s="22">
        <v>41.576191000000001</v>
      </c>
      <c r="AC102" s="22">
        <v>42.810467000000003</v>
      </c>
      <c r="AD102" s="22">
        <v>44.005732999999999</v>
      </c>
      <c r="AE102" s="22">
        <v>45.243094999999997</v>
      </c>
      <c r="AF102" s="22">
        <v>46.421021000000003</v>
      </c>
      <c r="AG102" s="19">
        <v>2.6157E-2</v>
      </c>
    </row>
    <row r="103" spans="1:33" ht="15" customHeight="1" x14ac:dyDescent="0.3"/>
    <row r="104" spans="1:33" ht="15" customHeight="1" x14ac:dyDescent="0.3"/>
    <row r="105" spans="1:33" ht="15" customHeight="1" x14ac:dyDescent="0.3">
      <c r="B105" s="16" t="s">
        <v>93</v>
      </c>
    </row>
    <row r="106" spans="1:33" ht="15" customHeight="1" x14ac:dyDescent="0.3">
      <c r="A106" s="6" t="s">
        <v>158</v>
      </c>
      <c r="B106" s="17" t="s">
        <v>65</v>
      </c>
      <c r="C106" s="22">
        <v>17.771591000000001</v>
      </c>
      <c r="D106" s="22">
        <v>18.857105000000001</v>
      </c>
      <c r="E106" s="22">
        <v>17.702696</v>
      </c>
      <c r="F106" s="22">
        <v>18.216183000000001</v>
      </c>
      <c r="G106" s="22">
        <v>18.704325000000001</v>
      </c>
      <c r="H106" s="22">
        <v>19.446570999999999</v>
      </c>
      <c r="I106" s="22">
        <v>20.452202</v>
      </c>
      <c r="J106" s="22">
        <v>21.695446</v>
      </c>
      <c r="K106" s="22">
        <v>22.946356000000002</v>
      </c>
      <c r="L106" s="22">
        <v>24.086309</v>
      </c>
      <c r="M106" s="22">
        <v>25.269235999999999</v>
      </c>
      <c r="N106" s="22">
        <v>26.904427999999999</v>
      </c>
      <c r="O106" s="22">
        <v>28.166837999999998</v>
      </c>
      <c r="P106" s="22">
        <v>29.259338</v>
      </c>
      <c r="Q106" s="22">
        <v>30.341031999999998</v>
      </c>
      <c r="R106" s="22">
        <v>31.410405999999998</v>
      </c>
      <c r="S106" s="22">
        <v>32.750950000000003</v>
      </c>
      <c r="T106" s="22">
        <v>34.159537999999998</v>
      </c>
      <c r="U106" s="22">
        <v>35.454517000000003</v>
      </c>
      <c r="V106" s="22">
        <v>37.102210999999997</v>
      </c>
      <c r="W106" s="22">
        <v>38.737819999999999</v>
      </c>
      <c r="X106" s="22">
        <v>40.373085000000003</v>
      </c>
      <c r="Y106" s="22">
        <v>42.279198000000001</v>
      </c>
      <c r="Z106" s="22">
        <v>44.082489000000002</v>
      </c>
      <c r="AA106" s="22">
        <v>45.474243000000001</v>
      </c>
      <c r="AB106" s="22">
        <v>46.713749</v>
      </c>
      <c r="AC106" s="22">
        <v>48.025042999999997</v>
      </c>
      <c r="AD106" s="22">
        <v>49.529682000000001</v>
      </c>
      <c r="AE106" s="22">
        <v>51.189853999999997</v>
      </c>
      <c r="AF106" s="22">
        <v>52.696334999999998</v>
      </c>
      <c r="AG106" s="19">
        <v>3.8191999999999997E-2</v>
      </c>
    </row>
    <row r="107" spans="1:33" ht="15" customHeight="1" x14ac:dyDescent="0.3">
      <c r="A107" s="6" t="s">
        <v>159</v>
      </c>
      <c r="B107" s="17" t="s">
        <v>96</v>
      </c>
      <c r="C107" s="22">
        <v>25.787903</v>
      </c>
      <c r="D107" s="22">
        <v>26.590775000000001</v>
      </c>
      <c r="E107" s="22">
        <v>26.982386000000002</v>
      </c>
      <c r="F107" s="22">
        <v>27.478241000000001</v>
      </c>
      <c r="G107" s="22">
        <v>28.082909000000001</v>
      </c>
      <c r="H107" s="22">
        <v>29.118649000000001</v>
      </c>
      <c r="I107" s="22">
        <v>30.523686999999999</v>
      </c>
      <c r="J107" s="22">
        <v>31.906485</v>
      </c>
      <c r="K107" s="22">
        <v>33.254424999999998</v>
      </c>
      <c r="L107" s="22">
        <v>34.937057000000003</v>
      </c>
      <c r="M107" s="22">
        <v>36.206982000000004</v>
      </c>
      <c r="N107" s="22">
        <v>38.690353000000002</v>
      </c>
      <c r="O107" s="22">
        <v>40.268974</v>
      </c>
      <c r="P107" s="22">
        <v>41.823528000000003</v>
      </c>
      <c r="Q107" s="22">
        <v>43.454517000000003</v>
      </c>
      <c r="R107" s="22">
        <v>45.000152999999997</v>
      </c>
      <c r="S107" s="22">
        <v>46.802525000000003</v>
      </c>
      <c r="T107" s="22">
        <v>48.779102000000002</v>
      </c>
      <c r="U107" s="22">
        <v>50.349072</v>
      </c>
      <c r="V107" s="22">
        <v>52.891319000000003</v>
      </c>
      <c r="W107" s="22">
        <v>55.170071</v>
      </c>
      <c r="X107" s="22">
        <v>57.629939999999998</v>
      </c>
      <c r="Y107" s="22">
        <v>60.314137000000002</v>
      </c>
      <c r="Z107" s="22">
        <v>62.726787999999999</v>
      </c>
      <c r="AA107" s="22">
        <v>65.050590999999997</v>
      </c>
      <c r="AB107" s="22">
        <v>67.875214</v>
      </c>
      <c r="AC107" s="22">
        <v>70.318016</v>
      </c>
      <c r="AD107" s="22">
        <v>72.854843000000002</v>
      </c>
      <c r="AE107" s="22">
        <v>75.520477</v>
      </c>
      <c r="AF107" s="22">
        <v>77.296126999999998</v>
      </c>
      <c r="AG107" s="19">
        <v>3.8579000000000002E-2</v>
      </c>
    </row>
    <row r="108" spans="1:33" ht="15" customHeight="1" x14ac:dyDescent="0.3">
      <c r="A108" s="6" t="s">
        <v>160</v>
      </c>
      <c r="B108" s="17" t="s">
        <v>98</v>
      </c>
      <c r="C108" s="22">
        <v>25.885534</v>
      </c>
      <c r="D108" s="22">
        <v>25.622890000000002</v>
      </c>
      <c r="E108" s="22">
        <v>23.209952999999999</v>
      </c>
      <c r="F108" s="22">
        <v>23.707578999999999</v>
      </c>
      <c r="G108" s="22">
        <v>24.257062999999999</v>
      </c>
      <c r="H108" s="22">
        <v>25.150444</v>
      </c>
      <c r="I108" s="22">
        <v>26.343427999999999</v>
      </c>
      <c r="J108" s="22">
        <v>27.510943999999999</v>
      </c>
      <c r="K108" s="22">
        <v>28.647304999999999</v>
      </c>
      <c r="L108" s="22">
        <v>30.053028000000001</v>
      </c>
      <c r="M108" s="22">
        <v>31.130006999999999</v>
      </c>
      <c r="N108" s="22">
        <v>33.506157000000002</v>
      </c>
      <c r="O108" s="22">
        <v>34.842044999999999</v>
      </c>
      <c r="P108" s="22">
        <v>36.151772000000001</v>
      </c>
      <c r="Q108" s="22">
        <v>37.576756000000003</v>
      </c>
      <c r="R108" s="22">
        <v>38.881332</v>
      </c>
      <c r="S108" s="22">
        <v>40.404395999999998</v>
      </c>
      <c r="T108" s="22">
        <v>42.077376999999998</v>
      </c>
      <c r="U108" s="22">
        <v>43.420158000000001</v>
      </c>
      <c r="V108" s="22">
        <v>45.545169999999999</v>
      </c>
      <c r="W108" s="22">
        <v>47.481864999999999</v>
      </c>
      <c r="X108" s="22">
        <v>49.451988</v>
      </c>
      <c r="Y108" s="22">
        <v>51.736752000000003</v>
      </c>
      <c r="Z108" s="22">
        <v>53.899009999999997</v>
      </c>
      <c r="AA108" s="22">
        <v>55.882384999999999</v>
      </c>
      <c r="AB108" s="22">
        <v>58.314864999999998</v>
      </c>
      <c r="AC108" s="22">
        <v>60.378498</v>
      </c>
      <c r="AD108" s="22">
        <v>62.56073</v>
      </c>
      <c r="AE108" s="22">
        <v>64.823204000000004</v>
      </c>
      <c r="AF108" s="22">
        <v>66.350448999999998</v>
      </c>
      <c r="AG108" s="19">
        <v>3.2989999999999998E-2</v>
      </c>
    </row>
    <row r="109" spans="1:33" ht="15" customHeight="1" x14ac:dyDescent="0.3">
      <c r="A109" s="6" t="s">
        <v>161</v>
      </c>
      <c r="B109" s="17" t="s">
        <v>100</v>
      </c>
      <c r="C109" s="22">
        <v>14.720805</v>
      </c>
      <c r="D109" s="22">
        <v>15.883732</v>
      </c>
      <c r="E109" s="22">
        <v>14.894306</v>
      </c>
      <c r="F109" s="22">
        <v>16.54401</v>
      </c>
      <c r="G109" s="22">
        <v>17.195129000000001</v>
      </c>
      <c r="H109" s="22">
        <v>17.980322000000001</v>
      </c>
      <c r="I109" s="22">
        <v>18.905930000000001</v>
      </c>
      <c r="J109" s="22">
        <v>19.819420000000001</v>
      </c>
      <c r="K109" s="22">
        <v>20.708345000000001</v>
      </c>
      <c r="L109" s="22">
        <v>21.397466999999999</v>
      </c>
      <c r="M109" s="22">
        <v>22.502146</v>
      </c>
      <c r="N109" s="22">
        <v>23.752870999999999</v>
      </c>
      <c r="O109" s="22">
        <v>24.616678</v>
      </c>
      <c r="P109" s="22">
        <v>25.473087</v>
      </c>
      <c r="Q109" s="22">
        <v>26.390502999999999</v>
      </c>
      <c r="R109" s="22">
        <v>27.406216000000001</v>
      </c>
      <c r="S109" s="22">
        <v>28.726956999999999</v>
      </c>
      <c r="T109" s="22">
        <v>29.962418</v>
      </c>
      <c r="U109" s="22">
        <v>31.061534999999999</v>
      </c>
      <c r="V109" s="22">
        <v>32.604354999999998</v>
      </c>
      <c r="W109" s="22">
        <v>34.101086000000002</v>
      </c>
      <c r="X109" s="22">
        <v>35.442081000000002</v>
      </c>
      <c r="Y109" s="22">
        <v>37.272185999999998</v>
      </c>
      <c r="Z109" s="22">
        <v>39.145409000000001</v>
      </c>
      <c r="AA109" s="22">
        <v>40.502749999999999</v>
      </c>
      <c r="AB109" s="22">
        <v>42.279293000000003</v>
      </c>
      <c r="AC109" s="22">
        <v>43.718406999999999</v>
      </c>
      <c r="AD109" s="22">
        <v>45.065403000000003</v>
      </c>
      <c r="AE109" s="22">
        <v>46.815086000000001</v>
      </c>
      <c r="AF109" s="22">
        <v>48.104626000000003</v>
      </c>
      <c r="AG109" s="19">
        <v>4.1676999999999999E-2</v>
      </c>
    </row>
    <row r="110" spans="1:33" ht="15" customHeight="1" x14ac:dyDescent="0.3">
      <c r="A110" s="6" t="s">
        <v>162</v>
      </c>
      <c r="B110" s="17" t="s">
        <v>102</v>
      </c>
      <c r="C110" s="22">
        <v>23.750263</v>
      </c>
      <c r="D110" s="22">
        <v>23.578897000000001</v>
      </c>
      <c r="E110" s="22">
        <v>23.215323999999999</v>
      </c>
      <c r="F110" s="22">
        <v>24.687381999999999</v>
      </c>
      <c r="G110" s="22">
        <v>25.547915</v>
      </c>
      <c r="H110" s="22">
        <v>26.365853999999999</v>
      </c>
      <c r="I110" s="22">
        <v>27.365362000000001</v>
      </c>
      <c r="J110" s="22">
        <v>28.451197000000001</v>
      </c>
      <c r="K110" s="22">
        <v>29.588944999999999</v>
      </c>
      <c r="L110" s="22">
        <v>30.550512000000001</v>
      </c>
      <c r="M110" s="22">
        <v>31.788191000000001</v>
      </c>
      <c r="N110" s="22">
        <v>33.479671000000003</v>
      </c>
      <c r="O110" s="22">
        <v>34.693676000000004</v>
      </c>
      <c r="P110" s="22">
        <v>35.763798000000001</v>
      </c>
      <c r="Q110" s="22">
        <v>37.057265999999998</v>
      </c>
      <c r="R110" s="22">
        <v>38.320411999999997</v>
      </c>
      <c r="S110" s="22">
        <v>39.928471000000002</v>
      </c>
      <c r="T110" s="22">
        <v>41.486561000000002</v>
      </c>
      <c r="U110" s="22">
        <v>42.90802</v>
      </c>
      <c r="V110" s="22">
        <v>44.830936000000001</v>
      </c>
      <c r="W110" s="22">
        <v>46.700026999999999</v>
      </c>
      <c r="X110" s="22">
        <v>48.487735999999998</v>
      </c>
      <c r="Y110" s="22">
        <v>50.692126999999999</v>
      </c>
      <c r="Z110" s="22">
        <v>52.972492000000003</v>
      </c>
      <c r="AA110" s="22">
        <v>54.756222000000001</v>
      </c>
      <c r="AB110" s="22">
        <v>57.054774999999999</v>
      </c>
      <c r="AC110" s="22">
        <v>58.940365</v>
      </c>
      <c r="AD110" s="22">
        <v>60.645912000000003</v>
      </c>
      <c r="AE110" s="22">
        <v>62.840930999999998</v>
      </c>
      <c r="AF110" s="22">
        <v>64.501914999999997</v>
      </c>
      <c r="AG110" s="19">
        <v>3.5052E-2</v>
      </c>
    </row>
    <row r="111" spans="1:33" ht="15" customHeight="1" x14ac:dyDescent="0.3">
      <c r="A111" s="6" t="s">
        <v>163</v>
      </c>
      <c r="B111" s="17" t="s">
        <v>76</v>
      </c>
      <c r="C111" s="22">
        <v>12.357965999999999</v>
      </c>
      <c r="D111" s="22">
        <v>10.777995000000001</v>
      </c>
      <c r="E111" s="22">
        <v>13.400627999999999</v>
      </c>
      <c r="F111" s="22">
        <v>14.761683</v>
      </c>
      <c r="G111" s="22">
        <v>15.468278</v>
      </c>
      <c r="H111" s="22">
        <v>16.184179</v>
      </c>
      <c r="I111" s="22">
        <v>17.179281</v>
      </c>
      <c r="J111" s="22">
        <v>17.931643000000001</v>
      </c>
      <c r="K111" s="22">
        <v>18.651646</v>
      </c>
      <c r="L111" s="22">
        <v>19.473707000000001</v>
      </c>
      <c r="M111" s="22">
        <v>20.226514999999999</v>
      </c>
      <c r="N111" s="22">
        <v>21.243036</v>
      </c>
      <c r="O111" s="22">
        <v>22.057034999999999</v>
      </c>
      <c r="P111" s="22">
        <v>22.838909000000001</v>
      </c>
      <c r="Q111" s="22">
        <v>23.716595000000002</v>
      </c>
      <c r="R111" s="22">
        <v>24.589396000000001</v>
      </c>
      <c r="S111" s="22">
        <v>25.446138000000001</v>
      </c>
      <c r="T111" s="22">
        <v>26.484794999999998</v>
      </c>
      <c r="U111" s="22">
        <v>27.3169</v>
      </c>
      <c r="V111" s="22">
        <v>29.095949000000001</v>
      </c>
      <c r="W111" s="22">
        <v>30.273571</v>
      </c>
      <c r="X111" s="22">
        <v>31.408142000000002</v>
      </c>
      <c r="Y111" s="22">
        <v>32.894196000000001</v>
      </c>
      <c r="Z111" s="22">
        <v>34.461506</v>
      </c>
      <c r="AA111" s="22">
        <v>35.703712000000003</v>
      </c>
      <c r="AB111" s="22">
        <v>37.234088999999997</v>
      </c>
      <c r="AC111" s="22">
        <v>38.525547000000003</v>
      </c>
      <c r="AD111" s="22">
        <v>39.746098000000003</v>
      </c>
      <c r="AE111" s="22">
        <v>41.174399999999999</v>
      </c>
      <c r="AF111" s="22">
        <v>42.317410000000002</v>
      </c>
      <c r="AG111" s="19">
        <v>4.3358000000000001E-2</v>
      </c>
    </row>
    <row r="112" spans="1:33" ht="15" customHeight="1" x14ac:dyDescent="0.3">
      <c r="A112" s="6" t="s">
        <v>164</v>
      </c>
      <c r="B112" s="17" t="s">
        <v>105</v>
      </c>
      <c r="C112" s="22">
        <v>14.654002999999999</v>
      </c>
      <c r="D112" s="22">
        <v>15.090463</v>
      </c>
      <c r="E112" s="22">
        <v>14.681509999999999</v>
      </c>
      <c r="F112" s="22">
        <v>14.502679000000001</v>
      </c>
      <c r="G112" s="22">
        <v>14.504148000000001</v>
      </c>
      <c r="H112" s="22">
        <v>14.582769000000001</v>
      </c>
      <c r="I112" s="22">
        <v>14.763145</v>
      </c>
      <c r="J112" s="22">
        <v>15.121434000000001</v>
      </c>
      <c r="K112" s="22">
        <v>15.48817</v>
      </c>
      <c r="L112" s="22">
        <v>15.797434000000001</v>
      </c>
      <c r="M112" s="22">
        <v>16.101600999999999</v>
      </c>
      <c r="N112" s="22">
        <v>17.54327</v>
      </c>
      <c r="O112" s="22">
        <v>17.986913999999999</v>
      </c>
      <c r="P112" s="22">
        <v>18.373446999999999</v>
      </c>
      <c r="Q112" s="22">
        <v>18.836165999999999</v>
      </c>
      <c r="R112" s="22">
        <v>19.190335999999999</v>
      </c>
      <c r="S112" s="22">
        <v>19.661667000000001</v>
      </c>
      <c r="T112" s="22">
        <v>20.196612999999999</v>
      </c>
      <c r="U112" s="22">
        <v>20.739374000000002</v>
      </c>
      <c r="V112" s="22">
        <v>21.414515000000002</v>
      </c>
      <c r="W112" s="22">
        <v>22.126902000000001</v>
      </c>
      <c r="X112" s="22">
        <v>22.762029999999999</v>
      </c>
      <c r="Y112" s="22">
        <v>23.334723</v>
      </c>
      <c r="Z112" s="22">
        <v>23.969168</v>
      </c>
      <c r="AA112" s="22">
        <v>24.547056000000001</v>
      </c>
      <c r="AB112" s="22">
        <v>25.244947</v>
      </c>
      <c r="AC112" s="22">
        <v>25.976206000000001</v>
      </c>
      <c r="AD112" s="22">
        <v>26.726246</v>
      </c>
      <c r="AE112" s="22">
        <v>27.537659000000001</v>
      </c>
      <c r="AF112" s="22">
        <v>28.313566000000002</v>
      </c>
      <c r="AG112" s="19">
        <v>2.2970999999999998E-2</v>
      </c>
    </row>
    <row r="113" spans="1:33" ht="15" customHeight="1" x14ac:dyDescent="0.3">
      <c r="A113" s="6" t="s">
        <v>165</v>
      </c>
      <c r="B113" s="17" t="s">
        <v>71</v>
      </c>
      <c r="C113" s="22">
        <v>39.115726000000002</v>
      </c>
      <c r="D113" s="22">
        <v>40.891689</v>
      </c>
      <c r="E113" s="22">
        <v>40.337898000000003</v>
      </c>
      <c r="F113" s="22">
        <v>40.426842000000001</v>
      </c>
      <c r="G113" s="22">
        <v>41.700527000000001</v>
      </c>
      <c r="H113" s="22">
        <v>43.651725999999996</v>
      </c>
      <c r="I113" s="22">
        <v>45.215015000000001</v>
      </c>
      <c r="J113" s="22">
        <v>46.823669000000002</v>
      </c>
      <c r="K113" s="22">
        <v>48.38937</v>
      </c>
      <c r="L113" s="22">
        <v>49.741680000000002</v>
      </c>
      <c r="M113" s="22">
        <v>51.401198999999998</v>
      </c>
      <c r="N113" s="22">
        <v>53.103507999999998</v>
      </c>
      <c r="O113" s="22">
        <v>55.029850000000003</v>
      </c>
      <c r="P113" s="22">
        <v>56.679493000000001</v>
      </c>
      <c r="Q113" s="22">
        <v>57.898581999999998</v>
      </c>
      <c r="R113" s="22">
        <v>59.218525</v>
      </c>
      <c r="S113" s="22">
        <v>60.827025999999996</v>
      </c>
      <c r="T113" s="22">
        <v>62.417960999999998</v>
      </c>
      <c r="U113" s="22">
        <v>64.066467000000003</v>
      </c>
      <c r="V113" s="22">
        <v>65.943932000000004</v>
      </c>
      <c r="W113" s="22">
        <v>67.863761999999994</v>
      </c>
      <c r="X113" s="22">
        <v>69.796951000000007</v>
      </c>
      <c r="Y113" s="22">
        <v>71.540169000000006</v>
      </c>
      <c r="Z113" s="22">
        <v>73.523705000000007</v>
      </c>
      <c r="AA113" s="22">
        <v>75.794060000000002</v>
      </c>
      <c r="AB113" s="22">
        <v>77.783767999999995</v>
      </c>
      <c r="AC113" s="22">
        <v>79.871346000000003</v>
      </c>
      <c r="AD113" s="22">
        <v>82.037857000000002</v>
      </c>
      <c r="AE113" s="22">
        <v>84.197556000000006</v>
      </c>
      <c r="AF113" s="22">
        <v>86.337860000000006</v>
      </c>
      <c r="AG113" s="19">
        <v>2.7678000000000001E-2</v>
      </c>
    </row>
    <row r="114" spans="1:33" ht="15" customHeight="1" x14ac:dyDescent="0.3"/>
    <row r="115" spans="1:33" ht="15" customHeight="1" x14ac:dyDescent="0.3">
      <c r="B115" s="16" t="s">
        <v>107</v>
      </c>
    </row>
    <row r="116" spans="1:33" ht="15" customHeight="1" x14ac:dyDescent="0.3">
      <c r="A116" s="6" t="s">
        <v>166</v>
      </c>
      <c r="B116" s="17" t="s">
        <v>67</v>
      </c>
      <c r="C116" s="22">
        <v>21.749472000000001</v>
      </c>
      <c r="D116" s="22">
        <v>22.773755999999999</v>
      </c>
      <c r="E116" s="22">
        <v>21.329041</v>
      </c>
      <c r="F116" s="22">
        <v>22.401056000000001</v>
      </c>
      <c r="G116" s="22">
        <v>22.444970999999999</v>
      </c>
      <c r="H116" s="22">
        <v>22.466434</v>
      </c>
      <c r="I116" s="22">
        <v>22.712948000000001</v>
      </c>
      <c r="J116" s="22">
        <v>23.639408</v>
      </c>
      <c r="K116" s="22">
        <v>24.602958999999998</v>
      </c>
      <c r="L116" s="22">
        <v>25.387509999999999</v>
      </c>
      <c r="M116" s="22">
        <v>26.315695000000002</v>
      </c>
      <c r="N116" s="22">
        <v>27.447075000000002</v>
      </c>
      <c r="O116" s="22">
        <v>28.383220999999999</v>
      </c>
      <c r="P116" s="22">
        <v>29.400794999999999</v>
      </c>
      <c r="Q116" s="22">
        <v>30.385952</v>
      </c>
      <c r="R116" s="22">
        <v>31.494976000000001</v>
      </c>
      <c r="S116" s="22">
        <v>32.888092</v>
      </c>
      <c r="T116" s="22">
        <v>34.142879000000001</v>
      </c>
      <c r="U116" s="22">
        <v>35.315722999999998</v>
      </c>
      <c r="V116" s="22">
        <v>37.008327000000001</v>
      </c>
      <c r="W116" s="22">
        <v>38.594909999999999</v>
      </c>
      <c r="X116" s="22">
        <v>40.026404999999997</v>
      </c>
      <c r="Y116" s="22">
        <v>41.940761999999999</v>
      </c>
      <c r="Z116" s="22">
        <v>43.870601999999998</v>
      </c>
      <c r="AA116" s="22">
        <v>45.342849999999999</v>
      </c>
      <c r="AB116" s="22">
        <v>47.309265000000003</v>
      </c>
      <c r="AC116" s="22">
        <v>48.892651000000001</v>
      </c>
      <c r="AD116" s="22">
        <v>50.307139999999997</v>
      </c>
      <c r="AE116" s="22">
        <v>52.210383999999998</v>
      </c>
      <c r="AF116" s="22">
        <v>53.605736</v>
      </c>
      <c r="AG116" s="19">
        <v>3.1594999999999998E-2</v>
      </c>
    </row>
    <row r="117" spans="1:33" ht="15" customHeight="1" x14ac:dyDescent="0.3">
      <c r="A117" s="6" t="s">
        <v>167</v>
      </c>
      <c r="B117" s="17" t="s">
        <v>76</v>
      </c>
      <c r="C117" s="22">
        <v>13.006465</v>
      </c>
      <c r="D117" s="22">
        <v>13.775164</v>
      </c>
      <c r="E117" s="22">
        <v>13.375271</v>
      </c>
      <c r="F117" s="22">
        <v>14.757445000000001</v>
      </c>
      <c r="G117" s="22">
        <v>15.454079</v>
      </c>
      <c r="H117" s="22">
        <v>16.164206</v>
      </c>
      <c r="I117" s="22">
        <v>17.244572000000002</v>
      </c>
      <c r="J117" s="22">
        <v>17.967590000000001</v>
      </c>
      <c r="K117" s="22">
        <v>18.671254999999999</v>
      </c>
      <c r="L117" s="22">
        <v>19.465831999999999</v>
      </c>
      <c r="M117" s="22">
        <v>20.202300999999999</v>
      </c>
      <c r="N117" s="22">
        <v>21.269953000000001</v>
      </c>
      <c r="O117" s="22">
        <v>22.068263999999999</v>
      </c>
      <c r="P117" s="22">
        <v>22.814425</v>
      </c>
      <c r="Q117" s="22">
        <v>23.706302999999998</v>
      </c>
      <c r="R117" s="22">
        <v>24.556141</v>
      </c>
      <c r="S117" s="22">
        <v>25.451374000000001</v>
      </c>
      <c r="T117" s="22">
        <v>26.440833999999999</v>
      </c>
      <c r="U117" s="22">
        <v>27.224174000000001</v>
      </c>
      <c r="V117" s="22">
        <v>28.888342000000002</v>
      </c>
      <c r="W117" s="22">
        <v>29.778625000000002</v>
      </c>
      <c r="X117" s="22">
        <v>30.671182999999999</v>
      </c>
      <c r="Y117" s="22">
        <v>31.823647000000001</v>
      </c>
      <c r="Z117" s="22">
        <v>32.921565999999999</v>
      </c>
      <c r="AA117" s="22">
        <v>33.482467999999997</v>
      </c>
      <c r="AB117" s="22">
        <v>35.033802000000001</v>
      </c>
      <c r="AC117" s="22">
        <v>36.374592</v>
      </c>
      <c r="AD117" s="22">
        <v>37.541710000000002</v>
      </c>
      <c r="AE117" s="22">
        <v>39.012118999999998</v>
      </c>
      <c r="AF117" s="22">
        <v>40.262656999999997</v>
      </c>
      <c r="AG117" s="19">
        <v>3.9733999999999998E-2</v>
      </c>
    </row>
    <row r="118" spans="1:33" ht="15" customHeight="1" x14ac:dyDescent="0.3">
      <c r="A118" s="6" t="s">
        <v>168</v>
      </c>
      <c r="B118" s="17" t="s">
        <v>69</v>
      </c>
      <c r="C118" s="22">
        <v>5.1575009999999999</v>
      </c>
      <c r="D118" s="22">
        <v>4.1713760000000004</v>
      </c>
      <c r="E118" s="22">
        <v>3.9772439999999998</v>
      </c>
      <c r="F118" s="22">
        <v>3.7386849999999998</v>
      </c>
      <c r="G118" s="22">
        <v>3.673146</v>
      </c>
      <c r="H118" s="22">
        <v>3.758575</v>
      </c>
      <c r="I118" s="22">
        <v>3.937195</v>
      </c>
      <c r="J118" s="22">
        <v>4.287839</v>
      </c>
      <c r="K118" s="22">
        <v>4.6023440000000004</v>
      </c>
      <c r="L118" s="22">
        <v>4.8539089999999998</v>
      </c>
      <c r="M118" s="22">
        <v>5.0743510000000001</v>
      </c>
      <c r="N118" s="22">
        <v>5.2632839999999996</v>
      </c>
      <c r="O118" s="22">
        <v>5.5704060000000002</v>
      </c>
      <c r="P118" s="22">
        <v>5.7318629999999997</v>
      </c>
      <c r="Q118" s="22">
        <v>5.7670329999999996</v>
      </c>
      <c r="R118" s="22">
        <v>5.889748</v>
      </c>
      <c r="S118" s="22">
        <v>6.0850390000000001</v>
      </c>
      <c r="T118" s="22">
        <v>6.334803</v>
      </c>
      <c r="U118" s="22">
        <v>6.5950749999999996</v>
      </c>
      <c r="V118" s="22">
        <v>6.8874909999999998</v>
      </c>
      <c r="W118" s="22">
        <v>7.2218270000000002</v>
      </c>
      <c r="X118" s="22">
        <v>7.4684350000000004</v>
      </c>
      <c r="Y118" s="22">
        <v>7.5672620000000004</v>
      </c>
      <c r="Z118" s="22">
        <v>7.7438729999999998</v>
      </c>
      <c r="AA118" s="22">
        <v>7.8488429999999996</v>
      </c>
      <c r="AB118" s="22">
        <v>8.0545469999999995</v>
      </c>
      <c r="AC118" s="22">
        <v>8.2881680000000006</v>
      </c>
      <c r="AD118" s="22">
        <v>8.5726230000000001</v>
      </c>
      <c r="AE118" s="22">
        <v>8.8669860000000007</v>
      </c>
      <c r="AF118" s="22">
        <v>9.2180440000000008</v>
      </c>
      <c r="AG118" s="19">
        <v>2.0226000000000001E-2</v>
      </c>
    </row>
    <row r="119" spans="1:33" ht="15" customHeight="1" x14ac:dyDescent="0.3">
      <c r="A119" s="6" t="s">
        <v>169</v>
      </c>
      <c r="B119" s="17" t="s">
        <v>112</v>
      </c>
      <c r="C119" s="22">
        <v>2.11768</v>
      </c>
      <c r="D119" s="22">
        <v>2.0671740000000001</v>
      </c>
      <c r="E119" s="22">
        <v>2.1205970000000001</v>
      </c>
      <c r="F119" s="22">
        <v>2.1885490000000001</v>
      </c>
      <c r="G119" s="22">
        <v>2.1995830000000001</v>
      </c>
      <c r="H119" s="22">
        <v>2.245965</v>
      </c>
      <c r="I119" s="22">
        <v>2.3074479999999999</v>
      </c>
      <c r="J119" s="22">
        <v>2.378841</v>
      </c>
      <c r="K119" s="22">
        <v>2.4777130000000001</v>
      </c>
      <c r="L119" s="22">
        <v>2.5569039999999998</v>
      </c>
      <c r="M119" s="22">
        <v>2.6341899999999998</v>
      </c>
      <c r="N119" s="22">
        <v>2.7060249999999999</v>
      </c>
      <c r="O119" s="22">
        <v>2.7845209999999998</v>
      </c>
      <c r="P119" s="22">
        <v>2.873138</v>
      </c>
      <c r="Q119" s="22">
        <v>2.9326020000000002</v>
      </c>
      <c r="R119" s="22">
        <v>3.0141010000000001</v>
      </c>
      <c r="S119" s="22">
        <v>3.114906</v>
      </c>
      <c r="T119" s="22">
        <v>3.212186</v>
      </c>
      <c r="U119" s="22">
        <v>3.3164889999999998</v>
      </c>
      <c r="V119" s="22">
        <v>3.4306649999999999</v>
      </c>
      <c r="W119" s="22">
        <v>3.5523850000000001</v>
      </c>
      <c r="X119" s="22">
        <v>3.6388159999999998</v>
      </c>
      <c r="Y119" s="22">
        <v>3.753593</v>
      </c>
      <c r="Z119" s="22">
        <v>3.864852</v>
      </c>
      <c r="AA119" s="22">
        <v>3.9822150000000001</v>
      </c>
      <c r="AB119" s="22">
        <v>4.1075900000000001</v>
      </c>
      <c r="AC119" s="22">
        <v>4.2204649999999999</v>
      </c>
      <c r="AD119" s="22">
        <v>4.3218490000000003</v>
      </c>
      <c r="AE119" s="22">
        <v>4.4535090000000004</v>
      </c>
      <c r="AF119" s="22">
        <v>4.590535</v>
      </c>
      <c r="AG119" s="19">
        <v>2.7038E-2</v>
      </c>
    </row>
    <row r="120" spans="1:33" ht="15" customHeight="1" x14ac:dyDescent="0.3">
      <c r="A120" s="6" t="s">
        <v>170</v>
      </c>
      <c r="B120" s="17" t="s">
        <v>114</v>
      </c>
      <c r="C120" s="22">
        <v>0.71781099999999998</v>
      </c>
      <c r="D120" s="22">
        <v>0.74200999999999995</v>
      </c>
      <c r="E120" s="22">
        <v>0.76300000000000001</v>
      </c>
      <c r="F120" s="22">
        <v>0.78690499999999997</v>
      </c>
      <c r="G120" s="22">
        <v>0.81420700000000001</v>
      </c>
      <c r="H120" s="22">
        <v>0.84318199999999999</v>
      </c>
      <c r="I120" s="22">
        <v>0.87551900000000005</v>
      </c>
      <c r="J120" s="22">
        <v>0.90792799999999996</v>
      </c>
      <c r="K120" s="22">
        <v>0.94228400000000001</v>
      </c>
      <c r="L120" s="22">
        <v>0.97679700000000003</v>
      </c>
      <c r="M120" s="22">
        <v>1.0107969999999999</v>
      </c>
      <c r="N120" s="22">
        <v>1.0465310000000001</v>
      </c>
      <c r="O120" s="22">
        <v>1.0837680000000001</v>
      </c>
      <c r="P120" s="22">
        <v>1.1215839999999999</v>
      </c>
      <c r="Q120" s="22">
        <v>1.163171</v>
      </c>
      <c r="R120" s="22">
        <v>1.206601</v>
      </c>
      <c r="S120" s="22">
        <v>1.2502070000000001</v>
      </c>
      <c r="T120" s="22">
        <v>1.2971729999999999</v>
      </c>
      <c r="U120" s="22">
        <v>1.3451439999999999</v>
      </c>
      <c r="V120" s="22">
        <v>1.395427</v>
      </c>
      <c r="W120" s="22">
        <v>1.4474070000000001</v>
      </c>
      <c r="X120" s="22">
        <v>1.5013909999999999</v>
      </c>
      <c r="Y120" s="22">
        <v>1.5568580000000001</v>
      </c>
      <c r="Z120" s="22">
        <v>1.6137649999999999</v>
      </c>
      <c r="AA120" s="22">
        <v>1.672439</v>
      </c>
      <c r="AB120" s="22">
        <v>1.733236</v>
      </c>
      <c r="AC120" s="22">
        <v>1.7962020000000001</v>
      </c>
      <c r="AD120" s="22">
        <v>1.860921</v>
      </c>
      <c r="AE120" s="22">
        <v>1.9269700000000001</v>
      </c>
      <c r="AF120" s="22">
        <v>1.9942059999999999</v>
      </c>
      <c r="AG120" s="19">
        <v>3.5861999999999998E-2</v>
      </c>
    </row>
    <row r="121" spans="1:33" ht="15" customHeight="1" x14ac:dyDescent="0.3"/>
    <row r="122" spans="1:33" ht="15" customHeight="1" x14ac:dyDescent="0.3">
      <c r="B122" s="16" t="s">
        <v>115</v>
      </c>
    </row>
    <row r="123" spans="1:33" ht="15" customHeight="1" x14ac:dyDescent="0.3">
      <c r="A123" s="6" t="s">
        <v>171</v>
      </c>
      <c r="B123" s="17" t="s">
        <v>65</v>
      </c>
      <c r="C123" s="22">
        <v>19.520824000000001</v>
      </c>
      <c r="D123" s="22">
        <v>21.603919999999999</v>
      </c>
      <c r="E123" s="22">
        <v>21.253309000000002</v>
      </c>
      <c r="F123" s="22">
        <v>21.852679999999999</v>
      </c>
      <c r="G123" s="22">
        <v>22.449829000000001</v>
      </c>
      <c r="H123" s="22">
        <v>23.284254000000001</v>
      </c>
      <c r="I123" s="22">
        <v>24.399702000000001</v>
      </c>
      <c r="J123" s="22">
        <v>25.812338</v>
      </c>
      <c r="K123" s="22">
        <v>27.320150000000002</v>
      </c>
      <c r="L123" s="22">
        <v>28.77272</v>
      </c>
      <c r="M123" s="22">
        <v>30.272393999999998</v>
      </c>
      <c r="N123" s="22">
        <v>31.973837</v>
      </c>
      <c r="O123" s="22">
        <v>33.548439000000002</v>
      </c>
      <c r="P123" s="22">
        <v>34.991183999999997</v>
      </c>
      <c r="Q123" s="22">
        <v>36.358035999999998</v>
      </c>
      <c r="R123" s="22">
        <v>37.698695999999998</v>
      </c>
      <c r="S123" s="22">
        <v>39.276772000000001</v>
      </c>
      <c r="T123" s="22">
        <v>40.961433</v>
      </c>
      <c r="U123" s="22">
        <v>42.562457999999999</v>
      </c>
      <c r="V123" s="22">
        <v>44.512256999999998</v>
      </c>
      <c r="W123" s="22">
        <v>46.520184</v>
      </c>
      <c r="X123" s="22">
        <v>48.555981000000003</v>
      </c>
      <c r="Y123" s="22">
        <v>50.871451999999998</v>
      </c>
      <c r="Z123" s="22">
        <v>53.147418999999999</v>
      </c>
      <c r="AA123" s="22">
        <v>55.020710000000001</v>
      </c>
      <c r="AB123" s="22">
        <v>56.647044999999999</v>
      </c>
      <c r="AC123" s="22">
        <v>58.255203000000002</v>
      </c>
      <c r="AD123" s="22">
        <v>60.012031999999998</v>
      </c>
      <c r="AE123" s="22">
        <v>61.930767000000003</v>
      </c>
      <c r="AF123" s="22">
        <v>63.724518000000003</v>
      </c>
      <c r="AG123" s="19">
        <v>4.1640000000000003E-2</v>
      </c>
    </row>
    <row r="124" spans="1:33" ht="15" customHeight="1" x14ac:dyDescent="0.3">
      <c r="A124" s="6" t="s">
        <v>172</v>
      </c>
      <c r="B124" s="17" t="s">
        <v>96</v>
      </c>
      <c r="C124" s="22">
        <v>25.787903</v>
      </c>
      <c r="D124" s="22">
        <v>26.590775000000001</v>
      </c>
      <c r="E124" s="22">
        <v>26.982386000000002</v>
      </c>
      <c r="F124" s="22">
        <v>27.478241000000001</v>
      </c>
      <c r="G124" s="22">
        <v>28.082909000000001</v>
      </c>
      <c r="H124" s="22">
        <v>29.118649000000001</v>
      </c>
      <c r="I124" s="22">
        <v>30.523686999999999</v>
      </c>
      <c r="J124" s="22">
        <v>31.906485</v>
      </c>
      <c r="K124" s="22">
        <v>33.254424999999998</v>
      </c>
      <c r="L124" s="22">
        <v>34.937057000000003</v>
      </c>
      <c r="M124" s="22">
        <v>36.206982000000004</v>
      </c>
      <c r="N124" s="22">
        <v>38.690353000000002</v>
      </c>
      <c r="O124" s="22">
        <v>40.268974</v>
      </c>
      <c r="P124" s="22">
        <v>41.823528000000003</v>
      </c>
      <c r="Q124" s="22">
        <v>43.454517000000003</v>
      </c>
      <c r="R124" s="22">
        <v>45.000152999999997</v>
      </c>
      <c r="S124" s="22">
        <v>46.802525000000003</v>
      </c>
      <c r="T124" s="22">
        <v>48.779102000000002</v>
      </c>
      <c r="U124" s="22">
        <v>50.349072</v>
      </c>
      <c r="V124" s="22">
        <v>52.891319000000003</v>
      </c>
      <c r="W124" s="22">
        <v>55.170071</v>
      </c>
      <c r="X124" s="22">
        <v>57.629939999999998</v>
      </c>
      <c r="Y124" s="22">
        <v>60.314137000000002</v>
      </c>
      <c r="Z124" s="22">
        <v>62.726787999999999</v>
      </c>
      <c r="AA124" s="22">
        <v>65.050590999999997</v>
      </c>
      <c r="AB124" s="22">
        <v>67.875214</v>
      </c>
      <c r="AC124" s="22">
        <v>70.318016</v>
      </c>
      <c r="AD124" s="22">
        <v>72.854843000000002</v>
      </c>
      <c r="AE124" s="22">
        <v>75.520477</v>
      </c>
      <c r="AF124" s="22">
        <v>77.296126999999998</v>
      </c>
      <c r="AG124" s="19">
        <v>3.8579000000000002E-2</v>
      </c>
    </row>
    <row r="125" spans="1:33" ht="15" customHeight="1" x14ac:dyDescent="0.3">
      <c r="A125" s="6" t="s">
        <v>173</v>
      </c>
      <c r="B125" s="17" t="s">
        <v>98</v>
      </c>
      <c r="C125" s="22">
        <v>25.875972999999998</v>
      </c>
      <c r="D125" s="22">
        <v>25.617805000000001</v>
      </c>
      <c r="E125" s="22">
        <v>23.237670999999999</v>
      </c>
      <c r="F125" s="22">
        <v>23.748631</v>
      </c>
      <c r="G125" s="22">
        <v>24.296911000000001</v>
      </c>
      <c r="H125" s="22">
        <v>25.179044999999999</v>
      </c>
      <c r="I125" s="22">
        <v>26.354541999999999</v>
      </c>
      <c r="J125" s="22">
        <v>27.522617</v>
      </c>
      <c r="K125" s="22">
        <v>28.659565000000001</v>
      </c>
      <c r="L125" s="22">
        <v>30.065671999999999</v>
      </c>
      <c r="M125" s="22">
        <v>31.143377000000001</v>
      </c>
      <c r="N125" s="22">
        <v>33.516613</v>
      </c>
      <c r="O125" s="22">
        <v>34.852974000000003</v>
      </c>
      <c r="P125" s="22">
        <v>36.163277000000001</v>
      </c>
      <c r="Q125" s="22">
        <v>37.588459</v>
      </c>
      <c r="R125" s="22">
        <v>38.893658000000002</v>
      </c>
      <c r="S125" s="22">
        <v>40.417262999999998</v>
      </c>
      <c r="T125" s="22">
        <v>42.090862000000001</v>
      </c>
      <c r="U125" s="22">
        <v>43.434212000000002</v>
      </c>
      <c r="V125" s="22">
        <v>45.559970999999997</v>
      </c>
      <c r="W125" s="22">
        <v>47.497467</v>
      </c>
      <c r="X125" s="22">
        <v>49.468449</v>
      </c>
      <c r="Y125" s="22">
        <v>51.754192000000003</v>
      </c>
      <c r="Z125" s="22">
        <v>53.917262999999998</v>
      </c>
      <c r="AA125" s="22">
        <v>55.901721999999999</v>
      </c>
      <c r="AB125" s="22">
        <v>58.335402999999999</v>
      </c>
      <c r="AC125" s="22">
        <v>60.400196000000001</v>
      </c>
      <c r="AD125" s="22">
        <v>62.583336000000003</v>
      </c>
      <c r="AE125" s="22">
        <v>64.846755999999999</v>
      </c>
      <c r="AF125" s="22">
        <v>66.375107</v>
      </c>
      <c r="AG125" s="19">
        <v>3.3015999999999997E-2</v>
      </c>
    </row>
    <row r="126" spans="1:33" ht="15" customHeight="1" x14ac:dyDescent="0.3">
      <c r="A126" s="6" t="s">
        <v>174</v>
      </c>
      <c r="B126" s="17" t="s">
        <v>100</v>
      </c>
      <c r="C126" s="22">
        <v>14.720805</v>
      </c>
      <c r="D126" s="22">
        <v>15.883732</v>
      </c>
      <c r="E126" s="22">
        <v>14.894306</v>
      </c>
      <c r="F126" s="22">
        <v>16.54401</v>
      </c>
      <c r="G126" s="22">
        <v>17.195129000000001</v>
      </c>
      <c r="H126" s="22">
        <v>17.980322000000001</v>
      </c>
      <c r="I126" s="22">
        <v>18.905930000000001</v>
      </c>
      <c r="J126" s="22">
        <v>19.819420000000001</v>
      </c>
      <c r="K126" s="22">
        <v>20.708345000000001</v>
      </c>
      <c r="L126" s="22">
        <v>21.397466999999999</v>
      </c>
      <c r="M126" s="22">
        <v>22.502146</v>
      </c>
      <c r="N126" s="22">
        <v>23.752870999999999</v>
      </c>
      <c r="O126" s="22">
        <v>24.616678</v>
      </c>
      <c r="P126" s="22">
        <v>25.473087</v>
      </c>
      <c r="Q126" s="22">
        <v>26.390502999999999</v>
      </c>
      <c r="R126" s="22">
        <v>27.406216000000001</v>
      </c>
      <c r="S126" s="22">
        <v>28.726956999999999</v>
      </c>
      <c r="T126" s="22">
        <v>29.962418</v>
      </c>
      <c r="U126" s="22">
        <v>31.061534999999999</v>
      </c>
      <c r="V126" s="22">
        <v>32.604354999999998</v>
      </c>
      <c r="W126" s="22">
        <v>34.101086000000002</v>
      </c>
      <c r="X126" s="22">
        <v>35.442081000000002</v>
      </c>
      <c r="Y126" s="22">
        <v>37.272185999999998</v>
      </c>
      <c r="Z126" s="22">
        <v>39.145409000000001</v>
      </c>
      <c r="AA126" s="22">
        <v>40.502749999999999</v>
      </c>
      <c r="AB126" s="22">
        <v>42.279293000000003</v>
      </c>
      <c r="AC126" s="22">
        <v>43.718406999999999</v>
      </c>
      <c r="AD126" s="22">
        <v>45.065403000000003</v>
      </c>
      <c r="AE126" s="22">
        <v>46.815086000000001</v>
      </c>
      <c r="AF126" s="22">
        <v>48.104626000000003</v>
      </c>
      <c r="AG126" s="19">
        <v>4.1676999999999999E-2</v>
      </c>
    </row>
    <row r="127" spans="1:33" ht="15" customHeight="1" x14ac:dyDescent="0.3">
      <c r="A127" s="6" t="s">
        <v>175</v>
      </c>
      <c r="B127" s="17" t="s">
        <v>67</v>
      </c>
      <c r="C127" s="22">
        <v>23.276806000000001</v>
      </c>
      <c r="D127" s="22">
        <v>23.387381000000001</v>
      </c>
      <c r="E127" s="22">
        <v>22.764074000000001</v>
      </c>
      <c r="F127" s="22">
        <v>24.150718999999999</v>
      </c>
      <c r="G127" s="22">
        <v>24.880419</v>
      </c>
      <c r="H127" s="22">
        <v>25.593164000000002</v>
      </c>
      <c r="I127" s="22">
        <v>26.497302999999999</v>
      </c>
      <c r="J127" s="22">
        <v>27.537680000000002</v>
      </c>
      <c r="K127" s="22">
        <v>28.627863000000001</v>
      </c>
      <c r="L127" s="22">
        <v>29.532859999999999</v>
      </c>
      <c r="M127" s="22">
        <v>30.726381</v>
      </c>
      <c r="N127" s="22">
        <v>32.247349</v>
      </c>
      <c r="O127" s="22">
        <v>33.390045000000001</v>
      </c>
      <c r="P127" s="22">
        <v>34.426895000000002</v>
      </c>
      <c r="Q127" s="22">
        <v>35.654384999999998</v>
      </c>
      <c r="R127" s="22">
        <v>36.893870999999997</v>
      </c>
      <c r="S127" s="22">
        <v>38.397132999999997</v>
      </c>
      <c r="T127" s="22">
        <v>39.883293000000002</v>
      </c>
      <c r="U127" s="22">
        <v>41.239578000000002</v>
      </c>
      <c r="V127" s="22">
        <v>43.090797000000002</v>
      </c>
      <c r="W127" s="22">
        <v>44.884354000000002</v>
      </c>
      <c r="X127" s="22">
        <v>46.583663999999999</v>
      </c>
      <c r="Y127" s="22">
        <v>48.715954000000004</v>
      </c>
      <c r="Z127" s="22">
        <v>50.899234999999997</v>
      </c>
      <c r="AA127" s="22">
        <v>52.60181</v>
      </c>
      <c r="AB127" s="22">
        <v>54.789065999999998</v>
      </c>
      <c r="AC127" s="22">
        <v>56.572834</v>
      </c>
      <c r="AD127" s="22">
        <v>58.226517000000001</v>
      </c>
      <c r="AE127" s="22">
        <v>60.309513000000003</v>
      </c>
      <c r="AF127" s="22">
        <v>61.898539999999997</v>
      </c>
      <c r="AG127" s="19">
        <v>3.4300999999999998E-2</v>
      </c>
    </row>
    <row r="128" spans="1:33" ht="15" customHeight="1" x14ac:dyDescent="0.3">
      <c r="A128" s="6" t="s">
        <v>176</v>
      </c>
      <c r="B128" s="17" t="s">
        <v>76</v>
      </c>
      <c r="C128" s="22">
        <v>12.032716000000001</v>
      </c>
      <c r="D128" s="22">
        <v>10.798659000000001</v>
      </c>
      <c r="E128" s="22">
        <v>13.090178</v>
      </c>
      <c r="F128" s="22">
        <v>14.506969</v>
      </c>
      <c r="G128" s="22">
        <v>15.255203</v>
      </c>
      <c r="H128" s="22">
        <v>16.003720999999999</v>
      </c>
      <c r="I128" s="22">
        <v>17.042051000000001</v>
      </c>
      <c r="J128" s="22">
        <v>17.786282</v>
      </c>
      <c r="K128" s="22">
        <v>18.499012</v>
      </c>
      <c r="L128" s="22">
        <v>19.311052</v>
      </c>
      <c r="M128" s="22">
        <v>20.058738999999999</v>
      </c>
      <c r="N128" s="22">
        <v>21.068194999999999</v>
      </c>
      <c r="O128" s="22">
        <v>21.874383999999999</v>
      </c>
      <c r="P128" s="22">
        <v>22.649939</v>
      </c>
      <c r="Q128" s="22">
        <v>23.521557000000001</v>
      </c>
      <c r="R128" s="22">
        <v>24.386759000000001</v>
      </c>
      <c r="S128" s="22">
        <v>25.228525000000001</v>
      </c>
      <c r="T128" s="22">
        <v>26.258348000000002</v>
      </c>
      <c r="U128" s="22">
        <v>27.074964999999999</v>
      </c>
      <c r="V128" s="22">
        <v>28.854092000000001</v>
      </c>
      <c r="W128" s="22">
        <v>30.013736999999999</v>
      </c>
      <c r="X128" s="22">
        <v>31.127365000000001</v>
      </c>
      <c r="Y128" s="22">
        <v>32.600380000000001</v>
      </c>
      <c r="Z128" s="22">
        <v>34.151321000000003</v>
      </c>
      <c r="AA128" s="22">
        <v>35.369236000000001</v>
      </c>
      <c r="AB128" s="22">
        <v>36.894309999999997</v>
      </c>
      <c r="AC128" s="22">
        <v>38.176537000000003</v>
      </c>
      <c r="AD128" s="22">
        <v>39.384224000000003</v>
      </c>
      <c r="AE128" s="22">
        <v>40.809204000000001</v>
      </c>
      <c r="AF128" s="22">
        <v>41.942646000000003</v>
      </c>
      <c r="AG128" s="19">
        <v>4.3998000000000002E-2</v>
      </c>
    </row>
    <row r="129" spans="1:33" ht="15" customHeight="1" x14ac:dyDescent="0.3">
      <c r="A129" s="6" t="s">
        <v>177</v>
      </c>
      <c r="B129" s="17" t="s">
        <v>69</v>
      </c>
      <c r="C129" s="22">
        <v>6.7270459999999996</v>
      </c>
      <c r="D129" s="22">
        <v>6.6045829999999999</v>
      </c>
      <c r="E129" s="22">
        <v>6.3578260000000002</v>
      </c>
      <c r="F129" s="22">
        <v>6.161632</v>
      </c>
      <c r="G129" s="22">
        <v>6.1704679999999996</v>
      </c>
      <c r="H129" s="22">
        <v>6.3135500000000002</v>
      </c>
      <c r="I129" s="22">
        <v>6.566916</v>
      </c>
      <c r="J129" s="22">
        <v>6.9712100000000001</v>
      </c>
      <c r="K129" s="22">
        <v>7.4063559999999997</v>
      </c>
      <c r="L129" s="22">
        <v>7.7836169999999996</v>
      </c>
      <c r="M129" s="22">
        <v>8.1394699999999993</v>
      </c>
      <c r="N129" s="22">
        <v>8.5430620000000008</v>
      </c>
      <c r="O129" s="22">
        <v>8.9469200000000004</v>
      </c>
      <c r="P129" s="22">
        <v>9.2868790000000008</v>
      </c>
      <c r="Q129" s="22">
        <v>9.5398429999999994</v>
      </c>
      <c r="R129" s="22">
        <v>9.8092070000000007</v>
      </c>
      <c r="S129" s="22">
        <v>10.141741</v>
      </c>
      <c r="T129" s="22">
        <v>10.507744000000001</v>
      </c>
      <c r="U129" s="22">
        <v>10.882846000000001</v>
      </c>
      <c r="V129" s="22">
        <v>11.284386</v>
      </c>
      <c r="W129" s="22">
        <v>11.769034</v>
      </c>
      <c r="X129" s="22">
        <v>12.149042</v>
      </c>
      <c r="Y129" s="22">
        <v>12.406451000000001</v>
      </c>
      <c r="Z129" s="22">
        <v>12.743321999999999</v>
      </c>
      <c r="AA129" s="22">
        <v>13.019246000000001</v>
      </c>
      <c r="AB129" s="22">
        <v>13.373319</v>
      </c>
      <c r="AC129" s="22">
        <v>13.759123000000001</v>
      </c>
      <c r="AD129" s="22">
        <v>14.184024000000001</v>
      </c>
      <c r="AE129" s="22">
        <v>14.655643</v>
      </c>
      <c r="AF129" s="22">
        <v>15.117414999999999</v>
      </c>
      <c r="AG129" s="19">
        <v>2.8313999999999999E-2</v>
      </c>
    </row>
    <row r="130" spans="1:33" ht="15" customHeight="1" x14ac:dyDescent="0.3">
      <c r="A130" s="6" t="s">
        <v>178</v>
      </c>
      <c r="B130" s="17" t="s">
        <v>86</v>
      </c>
      <c r="C130" s="22">
        <v>3.9278590000000002</v>
      </c>
      <c r="D130" s="22">
        <v>3.6321189999999999</v>
      </c>
      <c r="E130" s="22">
        <v>3.5428829999999998</v>
      </c>
      <c r="F130" s="22">
        <v>3.4748770000000002</v>
      </c>
      <c r="G130" s="22">
        <v>3.4836140000000002</v>
      </c>
      <c r="H130" s="22">
        <v>3.5318200000000002</v>
      </c>
      <c r="I130" s="22">
        <v>3.6228739999999999</v>
      </c>
      <c r="J130" s="22">
        <v>3.7460089999999999</v>
      </c>
      <c r="K130" s="22">
        <v>3.8910559999999998</v>
      </c>
      <c r="L130" s="22">
        <v>4.054818</v>
      </c>
      <c r="M130" s="22">
        <v>4.2208030000000001</v>
      </c>
      <c r="N130" s="22">
        <v>4.4014939999999996</v>
      </c>
      <c r="O130" s="22">
        <v>4.5723609999999999</v>
      </c>
      <c r="P130" s="22">
        <v>4.7503060000000001</v>
      </c>
      <c r="Q130" s="22">
        <v>4.9470919999999996</v>
      </c>
      <c r="R130" s="22">
        <v>5.1530399999999998</v>
      </c>
      <c r="S130" s="22">
        <v>5.3757289999999998</v>
      </c>
      <c r="T130" s="22">
        <v>5.6005260000000003</v>
      </c>
      <c r="U130" s="22">
        <v>5.8304869999999998</v>
      </c>
      <c r="V130" s="22">
        <v>6.0772279999999999</v>
      </c>
      <c r="W130" s="22">
        <v>6.3238630000000002</v>
      </c>
      <c r="X130" s="22">
        <v>6.5788970000000004</v>
      </c>
      <c r="Y130" s="22">
        <v>6.8513330000000003</v>
      </c>
      <c r="Z130" s="22">
        <v>7.1383049999999999</v>
      </c>
      <c r="AA130" s="22">
        <v>7.4360689999999998</v>
      </c>
      <c r="AB130" s="22">
        <v>7.7463649999999999</v>
      </c>
      <c r="AC130" s="22">
        <v>8.0682399999999994</v>
      </c>
      <c r="AD130" s="22">
        <v>8.3898799999999998</v>
      </c>
      <c r="AE130" s="22">
        <v>8.7255020000000005</v>
      </c>
      <c r="AF130" s="22">
        <v>9.0702739999999995</v>
      </c>
      <c r="AG130" s="19">
        <v>2.9278999999999999E-2</v>
      </c>
    </row>
    <row r="131" spans="1:33" ht="15" customHeight="1" x14ac:dyDescent="0.3">
      <c r="A131" s="6" t="s">
        <v>179</v>
      </c>
      <c r="B131" s="17" t="s">
        <v>125</v>
      </c>
      <c r="C131" s="22">
        <v>2.151859</v>
      </c>
      <c r="D131" s="22">
        <v>2.1075520000000001</v>
      </c>
      <c r="E131" s="22">
        <v>2.1636600000000001</v>
      </c>
      <c r="F131" s="22">
        <v>2.240113</v>
      </c>
      <c r="G131" s="22">
        <v>2.2593019999999999</v>
      </c>
      <c r="H131" s="22">
        <v>2.3110550000000001</v>
      </c>
      <c r="I131" s="22">
        <v>2.3771870000000002</v>
      </c>
      <c r="J131" s="22">
        <v>2.451918</v>
      </c>
      <c r="K131" s="22">
        <v>2.5524119999999999</v>
      </c>
      <c r="L131" s="22">
        <v>2.6359469999999998</v>
      </c>
      <c r="M131" s="22">
        <v>2.7169949999999998</v>
      </c>
      <c r="N131" s="22">
        <v>2.7945340000000001</v>
      </c>
      <c r="O131" s="22">
        <v>2.8762919999999998</v>
      </c>
      <c r="P131" s="22">
        <v>2.9720580000000001</v>
      </c>
      <c r="Q131" s="22">
        <v>3.0418050000000001</v>
      </c>
      <c r="R131" s="22">
        <v>3.1303130000000001</v>
      </c>
      <c r="S131" s="22">
        <v>3.237384</v>
      </c>
      <c r="T131" s="22">
        <v>3.340252</v>
      </c>
      <c r="U131" s="22">
        <v>3.4525510000000001</v>
      </c>
      <c r="V131" s="22">
        <v>3.573213</v>
      </c>
      <c r="W131" s="22">
        <v>3.7018949999999999</v>
      </c>
      <c r="X131" s="22">
        <v>3.7977460000000001</v>
      </c>
      <c r="Y131" s="22">
        <v>3.920636</v>
      </c>
      <c r="Z131" s="22">
        <v>4.0411419999999998</v>
      </c>
      <c r="AA131" s="22">
        <v>4.1694100000000001</v>
      </c>
      <c r="AB131" s="22">
        <v>4.3036070000000004</v>
      </c>
      <c r="AC131" s="22">
        <v>4.4281899999999998</v>
      </c>
      <c r="AD131" s="22">
        <v>4.54284</v>
      </c>
      <c r="AE131" s="22">
        <v>4.6838689999999996</v>
      </c>
      <c r="AF131" s="22">
        <v>4.8262369999999999</v>
      </c>
      <c r="AG131" s="19">
        <v>2.8243999999999998E-2</v>
      </c>
    </row>
    <row r="132" spans="1:33" ht="15" customHeight="1" x14ac:dyDescent="0.3">
      <c r="A132" s="6" t="s">
        <v>180</v>
      </c>
      <c r="B132" s="17" t="s">
        <v>90</v>
      </c>
      <c r="C132" s="22" t="s">
        <v>91</v>
      </c>
      <c r="D132" s="22" t="s">
        <v>91</v>
      </c>
      <c r="E132" s="22" t="s">
        <v>91</v>
      </c>
      <c r="F132" s="22" t="s">
        <v>91</v>
      </c>
      <c r="G132" s="22" t="s">
        <v>91</v>
      </c>
      <c r="H132" s="22" t="s">
        <v>91</v>
      </c>
      <c r="I132" s="22" t="s">
        <v>91</v>
      </c>
      <c r="J132" s="22" t="s">
        <v>91</v>
      </c>
      <c r="K132" s="22" t="s">
        <v>91</v>
      </c>
      <c r="L132" s="22" t="s">
        <v>91</v>
      </c>
      <c r="M132" s="22" t="s">
        <v>91</v>
      </c>
      <c r="N132" s="22" t="s">
        <v>91</v>
      </c>
      <c r="O132" s="22" t="s">
        <v>91</v>
      </c>
      <c r="P132" s="22" t="s">
        <v>91</v>
      </c>
      <c r="Q132" s="22" t="s">
        <v>91</v>
      </c>
      <c r="R132" s="22" t="s">
        <v>91</v>
      </c>
      <c r="S132" s="22" t="s">
        <v>91</v>
      </c>
      <c r="T132" s="22" t="s">
        <v>91</v>
      </c>
      <c r="U132" s="22" t="s">
        <v>91</v>
      </c>
      <c r="V132" s="22" t="s">
        <v>91</v>
      </c>
      <c r="W132" s="22" t="s">
        <v>91</v>
      </c>
      <c r="X132" s="22" t="s">
        <v>91</v>
      </c>
      <c r="Y132" s="22" t="s">
        <v>91</v>
      </c>
      <c r="Z132" s="22" t="s">
        <v>91</v>
      </c>
      <c r="AA132" s="22" t="s">
        <v>91</v>
      </c>
      <c r="AB132" s="22" t="s">
        <v>91</v>
      </c>
      <c r="AC132" s="22" t="s">
        <v>91</v>
      </c>
      <c r="AD132" s="22" t="s">
        <v>91</v>
      </c>
      <c r="AE132" s="22" t="s">
        <v>91</v>
      </c>
      <c r="AF132" s="22" t="s">
        <v>91</v>
      </c>
      <c r="AG132" s="19" t="s">
        <v>91</v>
      </c>
    </row>
    <row r="133" spans="1:33" ht="15" customHeight="1" x14ac:dyDescent="0.3">
      <c r="A133" s="6" t="s">
        <v>181</v>
      </c>
      <c r="B133" s="17" t="s">
        <v>71</v>
      </c>
      <c r="C133" s="22">
        <v>32.508968000000003</v>
      </c>
      <c r="D133" s="22">
        <v>33.201942000000003</v>
      </c>
      <c r="E133" s="22">
        <v>33.351345000000002</v>
      </c>
      <c r="F133" s="22">
        <v>33.670017000000001</v>
      </c>
      <c r="G133" s="22">
        <v>34.520237000000002</v>
      </c>
      <c r="H133" s="22">
        <v>35.786861000000002</v>
      </c>
      <c r="I133" s="22">
        <v>37.074390000000001</v>
      </c>
      <c r="J133" s="22">
        <v>38.448791999999997</v>
      </c>
      <c r="K133" s="22">
        <v>39.90155</v>
      </c>
      <c r="L133" s="22">
        <v>41.235827999999998</v>
      </c>
      <c r="M133" s="22">
        <v>42.729869999999998</v>
      </c>
      <c r="N133" s="22">
        <v>44.240788000000002</v>
      </c>
      <c r="O133" s="22">
        <v>45.868301000000002</v>
      </c>
      <c r="P133" s="22">
        <v>47.486355000000003</v>
      </c>
      <c r="Q133" s="22">
        <v>48.654358000000002</v>
      </c>
      <c r="R133" s="22">
        <v>49.975464000000002</v>
      </c>
      <c r="S133" s="22">
        <v>51.482235000000003</v>
      </c>
      <c r="T133" s="22">
        <v>53.025131000000002</v>
      </c>
      <c r="U133" s="22">
        <v>54.604382000000001</v>
      </c>
      <c r="V133" s="22">
        <v>56.570984000000003</v>
      </c>
      <c r="W133" s="22">
        <v>58.343570999999997</v>
      </c>
      <c r="X133" s="22">
        <v>60.351036000000001</v>
      </c>
      <c r="Y133" s="22">
        <v>62.065617000000003</v>
      </c>
      <c r="Z133" s="22">
        <v>63.902816999999999</v>
      </c>
      <c r="AA133" s="22">
        <v>66.037582</v>
      </c>
      <c r="AB133" s="22">
        <v>67.743195</v>
      </c>
      <c r="AC133" s="22">
        <v>69.890799999999999</v>
      </c>
      <c r="AD133" s="22">
        <v>71.968269000000006</v>
      </c>
      <c r="AE133" s="22">
        <v>74.092331000000001</v>
      </c>
      <c r="AF133" s="22">
        <v>75.927504999999996</v>
      </c>
      <c r="AG133" s="19">
        <v>2.9682E-2</v>
      </c>
    </row>
    <row r="134" spans="1:33" ht="15" customHeight="1" x14ac:dyDescent="0.3"/>
    <row r="135" spans="1:33" ht="15" customHeight="1" x14ac:dyDescent="0.3">
      <c r="B135" s="16" t="s">
        <v>128</v>
      </c>
    </row>
    <row r="136" spans="1:33" ht="15" customHeight="1" x14ac:dyDescent="0.3">
      <c r="B136" s="16" t="s">
        <v>182</v>
      </c>
    </row>
    <row r="137" spans="1:33" ht="15" customHeight="1" x14ac:dyDescent="0.3">
      <c r="A137" s="6" t="s">
        <v>183</v>
      </c>
      <c r="B137" s="17" t="s">
        <v>63</v>
      </c>
      <c r="C137" s="18">
        <v>275.19543499999997</v>
      </c>
      <c r="D137" s="18">
        <v>283.54376200000002</v>
      </c>
      <c r="E137" s="18">
        <v>287.90353399999998</v>
      </c>
      <c r="F137" s="18">
        <v>292.11755399999998</v>
      </c>
      <c r="G137" s="18">
        <v>299.99801600000001</v>
      </c>
      <c r="H137" s="18">
        <v>311.07278400000001</v>
      </c>
      <c r="I137" s="18">
        <v>322.51928700000002</v>
      </c>
      <c r="J137" s="18">
        <v>336.10488900000001</v>
      </c>
      <c r="K137" s="18">
        <v>350.56570399999998</v>
      </c>
      <c r="L137" s="18">
        <v>363.92120399999999</v>
      </c>
      <c r="M137" s="18">
        <v>378.58331299999998</v>
      </c>
      <c r="N137" s="18">
        <v>395.62469499999997</v>
      </c>
      <c r="O137" s="18">
        <v>412.006866</v>
      </c>
      <c r="P137" s="18">
        <v>428.01593000000003</v>
      </c>
      <c r="Q137" s="18">
        <v>441.80938700000002</v>
      </c>
      <c r="R137" s="18">
        <v>456.89193699999998</v>
      </c>
      <c r="S137" s="18">
        <v>474.32476800000001</v>
      </c>
      <c r="T137" s="18">
        <v>492.34982300000001</v>
      </c>
      <c r="U137" s="18">
        <v>510.80355800000001</v>
      </c>
      <c r="V137" s="18">
        <v>531.96490500000004</v>
      </c>
      <c r="W137" s="18">
        <v>552.74792500000001</v>
      </c>
      <c r="X137" s="18">
        <v>574.75439500000005</v>
      </c>
      <c r="Y137" s="18">
        <v>595.44464100000005</v>
      </c>
      <c r="Z137" s="18">
        <v>617.52239999999995</v>
      </c>
      <c r="AA137" s="18">
        <v>641.62072799999999</v>
      </c>
      <c r="AB137" s="18">
        <v>663.91326900000001</v>
      </c>
      <c r="AC137" s="18">
        <v>689.54620399999999</v>
      </c>
      <c r="AD137" s="18">
        <v>714.86132799999996</v>
      </c>
      <c r="AE137" s="18">
        <v>741.34722899999997</v>
      </c>
      <c r="AF137" s="18">
        <v>766.49359100000004</v>
      </c>
      <c r="AG137" s="19">
        <v>3.5954E-2</v>
      </c>
    </row>
    <row r="138" spans="1:33" ht="15" customHeight="1" x14ac:dyDescent="0.3">
      <c r="A138" s="6" t="s">
        <v>184</v>
      </c>
      <c r="B138" s="17" t="s">
        <v>72</v>
      </c>
      <c r="C138" s="18">
        <v>198.23921200000001</v>
      </c>
      <c r="D138" s="18">
        <v>207.52711500000001</v>
      </c>
      <c r="E138" s="18">
        <v>206.09610000000001</v>
      </c>
      <c r="F138" s="18">
        <v>207.333786</v>
      </c>
      <c r="G138" s="18">
        <v>211.62910500000001</v>
      </c>
      <c r="H138" s="18">
        <v>218.197754</v>
      </c>
      <c r="I138" s="18">
        <v>225.88681</v>
      </c>
      <c r="J138" s="18">
        <v>234.93232699999999</v>
      </c>
      <c r="K138" s="18">
        <v>244.313614</v>
      </c>
      <c r="L138" s="18">
        <v>252.623276</v>
      </c>
      <c r="M138" s="18">
        <v>262.128265</v>
      </c>
      <c r="N138" s="18">
        <v>273.24646000000001</v>
      </c>
      <c r="O138" s="18">
        <v>284.19708300000002</v>
      </c>
      <c r="P138" s="18">
        <v>294.68212899999997</v>
      </c>
      <c r="Q138" s="18">
        <v>303.20373499999999</v>
      </c>
      <c r="R138" s="18">
        <v>312.52642800000001</v>
      </c>
      <c r="S138" s="18">
        <v>323.79437300000001</v>
      </c>
      <c r="T138" s="18">
        <v>335.16503899999998</v>
      </c>
      <c r="U138" s="18">
        <v>346.86968999999999</v>
      </c>
      <c r="V138" s="18">
        <v>360.809662</v>
      </c>
      <c r="W138" s="18">
        <v>374.18691999999999</v>
      </c>
      <c r="X138" s="18">
        <v>388.800568</v>
      </c>
      <c r="Y138" s="18">
        <v>402.43823200000003</v>
      </c>
      <c r="Z138" s="18">
        <v>416.65039100000001</v>
      </c>
      <c r="AA138" s="18">
        <v>432.33123799999998</v>
      </c>
      <c r="AB138" s="18">
        <v>446.64257800000001</v>
      </c>
      <c r="AC138" s="18">
        <v>463.387024</v>
      </c>
      <c r="AD138" s="18">
        <v>480.00830100000002</v>
      </c>
      <c r="AE138" s="18">
        <v>497.68743899999998</v>
      </c>
      <c r="AF138" s="18">
        <v>513.56011999999998</v>
      </c>
      <c r="AG138" s="19">
        <v>3.3369000000000003E-2</v>
      </c>
    </row>
    <row r="139" spans="1:33" ht="15" customHeight="1" x14ac:dyDescent="0.3">
      <c r="A139" s="6" t="s">
        <v>185</v>
      </c>
      <c r="B139" s="17" t="s">
        <v>79</v>
      </c>
      <c r="C139" s="18">
        <v>208.204117</v>
      </c>
      <c r="D139" s="18">
        <v>216.81784099999999</v>
      </c>
      <c r="E139" s="18">
        <v>210.617493</v>
      </c>
      <c r="F139" s="18">
        <v>212.536484</v>
      </c>
      <c r="G139" s="18">
        <v>218.10908499999999</v>
      </c>
      <c r="H139" s="18">
        <v>226.15060399999999</v>
      </c>
      <c r="I139" s="18">
        <v>236.404572</v>
      </c>
      <c r="J139" s="18">
        <v>250.842331</v>
      </c>
      <c r="K139" s="18">
        <v>265.34646600000002</v>
      </c>
      <c r="L139" s="18">
        <v>278.29299900000001</v>
      </c>
      <c r="M139" s="18">
        <v>292.45333900000003</v>
      </c>
      <c r="N139" s="18">
        <v>308.41980000000001</v>
      </c>
      <c r="O139" s="18">
        <v>324.65545700000001</v>
      </c>
      <c r="P139" s="18">
        <v>336.41546599999998</v>
      </c>
      <c r="Q139" s="18">
        <v>346.92407200000002</v>
      </c>
      <c r="R139" s="18">
        <v>358.31094400000001</v>
      </c>
      <c r="S139" s="18">
        <v>373.21243299999998</v>
      </c>
      <c r="T139" s="18">
        <v>390.23586999999998</v>
      </c>
      <c r="U139" s="18">
        <v>405.35437000000002</v>
      </c>
      <c r="V139" s="18">
        <v>424.63455199999999</v>
      </c>
      <c r="W139" s="18">
        <v>444.85943600000002</v>
      </c>
      <c r="X139" s="18">
        <v>465.33047499999998</v>
      </c>
      <c r="Y139" s="18">
        <v>485.08148199999999</v>
      </c>
      <c r="Z139" s="18">
        <v>503.97198500000002</v>
      </c>
      <c r="AA139" s="18">
        <v>519.84619099999998</v>
      </c>
      <c r="AB139" s="18">
        <v>539.44628899999998</v>
      </c>
      <c r="AC139" s="18">
        <v>557.59570299999996</v>
      </c>
      <c r="AD139" s="18">
        <v>573.38745100000006</v>
      </c>
      <c r="AE139" s="18">
        <v>593.55273399999999</v>
      </c>
      <c r="AF139" s="18">
        <v>616.19250499999998</v>
      </c>
      <c r="AG139" s="19">
        <v>3.8123999999999998E-2</v>
      </c>
    </row>
    <row r="140" spans="1:33" ht="15" customHeight="1" x14ac:dyDescent="0.3">
      <c r="A140" s="6" t="s">
        <v>186</v>
      </c>
      <c r="B140" s="17" t="s">
        <v>93</v>
      </c>
      <c r="C140" s="18">
        <v>609.53594999999996</v>
      </c>
      <c r="D140" s="18">
        <v>617.55377199999998</v>
      </c>
      <c r="E140" s="18">
        <v>579.83715800000004</v>
      </c>
      <c r="F140" s="18">
        <v>601.19134499999996</v>
      </c>
      <c r="G140" s="18">
        <v>615.66418499999997</v>
      </c>
      <c r="H140" s="18">
        <v>634.50469999999996</v>
      </c>
      <c r="I140" s="18">
        <v>658.25891100000001</v>
      </c>
      <c r="J140" s="18">
        <v>682.219604</v>
      </c>
      <c r="K140" s="18">
        <v>705.37371800000005</v>
      </c>
      <c r="L140" s="18">
        <v>731.66094999999996</v>
      </c>
      <c r="M140" s="18">
        <v>756.32110599999999</v>
      </c>
      <c r="N140" s="18">
        <v>803.76812700000005</v>
      </c>
      <c r="O140" s="18">
        <v>831.35906999999997</v>
      </c>
      <c r="P140" s="18">
        <v>856.46978799999999</v>
      </c>
      <c r="Q140" s="18">
        <v>884.94915800000001</v>
      </c>
      <c r="R140" s="18">
        <v>912.42858899999999</v>
      </c>
      <c r="S140" s="18">
        <v>946.78247099999999</v>
      </c>
      <c r="T140" s="18">
        <v>983.63122599999997</v>
      </c>
      <c r="U140" s="18">
        <v>1015.8688959999999</v>
      </c>
      <c r="V140" s="18">
        <v>1065.0333250000001</v>
      </c>
      <c r="W140" s="18">
        <v>1110.9746090000001</v>
      </c>
      <c r="X140" s="18">
        <v>1157.517578</v>
      </c>
      <c r="Y140" s="18">
        <v>1213.4476320000001</v>
      </c>
      <c r="Z140" s="18">
        <v>1268.3774410000001</v>
      </c>
      <c r="AA140" s="18">
        <v>1317.6633300000001</v>
      </c>
      <c r="AB140" s="18">
        <v>1380.530518</v>
      </c>
      <c r="AC140" s="18">
        <v>1435.060669</v>
      </c>
      <c r="AD140" s="18">
        <v>1490.0623780000001</v>
      </c>
      <c r="AE140" s="18">
        <v>1551.6130370000001</v>
      </c>
      <c r="AF140" s="18">
        <v>1601.9195560000001</v>
      </c>
      <c r="AG140" s="19">
        <v>3.3881000000000001E-2</v>
      </c>
    </row>
    <row r="141" spans="1:33" x14ac:dyDescent="0.3">
      <c r="A141" s="6" t="s">
        <v>187</v>
      </c>
      <c r="B141" s="17" t="s">
        <v>135</v>
      </c>
      <c r="C141" s="18">
        <v>1291.174683</v>
      </c>
      <c r="D141" s="18">
        <v>1325.442505</v>
      </c>
      <c r="E141" s="18">
        <v>1284.454346</v>
      </c>
      <c r="F141" s="18">
        <v>1313.1791989999999</v>
      </c>
      <c r="G141" s="18">
        <v>1345.400269</v>
      </c>
      <c r="H141" s="18">
        <v>1389.9259030000001</v>
      </c>
      <c r="I141" s="18">
        <v>1443.069336</v>
      </c>
      <c r="J141" s="18">
        <v>1504.0992429999999</v>
      </c>
      <c r="K141" s="18">
        <v>1565.599487</v>
      </c>
      <c r="L141" s="18">
        <v>1626.4985349999999</v>
      </c>
      <c r="M141" s="18">
        <v>1689.4860839999999</v>
      </c>
      <c r="N141" s="18">
        <v>1781.059082</v>
      </c>
      <c r="O141" s="18">
        <v>1852.2186280000001</v>
      </c>
      <c r="P141" s="18">
        <v>1915.583374</v>
      </c>
      <c r="Q141" s="18">
        <v>1976.8862300000001</v>
      </c>
      <c r="R141" s="18">
        <v>2040.1579589999999</v>
      </c>
      <c r="S141" s="18">
        <v>2118.1140140000002</v>
      </c>
      <c r="T141" s="18">
        <v>2201.3820799999999</v>
      </c>
      <c r="U141" s="18">
        <v>2278.8964839999999</v>
      </c>
      <c r="V141" s="18">
        <v>2382.4426269999999</v>
      </c>
      <c r="W141" s="18">
        <v>2482.7690429999998</v>
      </c>
      <c r="X141" s="18">
        <v>2586.4030760000001</v>
      </c>
      <c r="Y141" s="18">
        <v>2696.411865</v>
      </c>
      <c r="Z141" s="18">
        <v>2806.5219729999999</v>
      </c>
      <c r="AA141" s="18">
        <v>2911.461182</v>
      </c>
      <c r="AB141" s="18">
        <v>3030.5327149999998</v>
      </c>
      <c r="AC141" s="18">
        <v>3145.5895999999998</v>
      </c>
      <c r="AD141" s="18">
        <v>3258.3195799999999</v>
      </c>
      <c r="AE141" s="18">
        <v>3384.2004390000002</v>
      </c>
      <c r="AF141" s="18">
        <v>3498.1660160000001</v>
      </c>
      <c r="AG141" s="19">
        <v>3.4965999999999997E-2</v>
      </c>
    </row>
    <row r="142" spans="1:33" x14ac:dyDescent="0.3">
      <c r="A142" s="6" t="s">
        <v>188</v>
      </c>
      <c r="B142" s="17" t="s">
        <v>137</v>
      </c>
      <c r="C142" s="18">
        <v>0.79351799999999995</v>
      </c>
      <c r="D142" s="18">
        <v>0.88274399999999997</v>
      </c>
      <c r="E142" s="18">
        <v>0.93420000000000003</v>
      </c>
      <c r="F142" s="18">
        <v>0.94326299999999996</v>
      </c>
      <c r="G142" s="18">
        <v>0.94924399999999998</v>
      </c>
      <c r="H142" s="18">
        <v>0.96014100000000002</v>
      </c>
      <c r="I142" s="18">
        <v>0.97385999999999995</v>
      </c>
      <c r="J142" s="18">
        <v>0.98382199999999997</v>
      </c>
      <c r="K142" s="18">
        <v>0.98995</v>
      </c>
      <c r="L142" s="18">
        <v>1.001881</v>
      </c>
      <c r="M142" s="18">
        <v>1.001876</v>
      </c>
      <c r="N142" s="18">
        <v>1.0299689999999999</v>
      </c>
      <c r="O142" s="18">
        <v>1.036764</v>
      </c>
      <c r="P142" s="18">
        <v>1.0423549999999999</v>
      </c>
      <c r="Q142" s="18">
        <v>1.0524690000000001</v>
      </c>
      <c r="R142" s="18">
        <v>1.0643</v>
      </c>
      <c r="S142" s="18">
        <v>1.0860320000000001</v>
      </c>
      <c r="T142" s="18">
        <v>1.1156740000000001</v>
      </c>
      <c r="U142" s="18">
        <v>1.1483350000000001</v>
      </c>
      <c r="V142" s="18">
        <v>1.199452</v>
      </c>
      <c r="W142" s="18">
        <v>1.2519089999999999</v>
      </c>
      <c r="X142" s="18">
        <v>1.2945489999999999</v>
      </c>
      <c r="Y142" s="18">
        <v>1.3625989999999999</v>
      </c>
      <c r="Z142" s="18">
        <v>1.4462140000000001</v>
      </c>
      <c r="AA142" s="18">
        <v>1.515943</v>
      </c>
      <c r="AB142" s="18">
        <v>1.6010489999999999</v>
      </c>
      <c r="AC142" s="18">
        <v>1.680247</v>
      </c>
      <c r="AD142" s="18">
        <v>1.768567</v>
      </c>
      <c r="AE142" s="18">
        <v>1.860476</v>
      </c>
      <c r="AF142" s="18">
        <v>1.941964</v>
      </c>
      <c r="AG142" s="19">
        <v>3.1343000000000003E-2</v>
      </c>
    </row>
    <row r="143" spans="1:33" x14ac:dyDescent="0.3">
      <c r="A143" s="6" t="s">
        <v>189</v>
      </c>
      <c r="B143" s="16" t="s">
        <v>139</v>
      </c>
      <c r="C143" s="20">
        <v>1291.9681399999999</v>
      </c>
      <c r="D143" s="20">
        <v>1326.3251949999999</v>
      </c>
      <c r="E143" s="20">
        <v>1285.388428</v>
      </c>
      <c r="F143" s="20">
        <v>1314.122437</v>
      </c>
      <c r="G143" s="20">
        <v>1346.3496090000001</v>
      </c>
      <c r="H143" s="20">
        <v>1390.885986</v>
      </c>
      <c r="I143" s="20">
        <v>1444.0433350000001</v>
      </c>
      <c r="J143" s="20">
        <v>1505.0830080000001</v>
      </c>
      <c r="K143" s="20">
        <v>1566.5894780000001</v>
      </c>
      <c r="L143" s="20">
        <v>1627.500366</v>
      </c>
      <c r="M143" s="20">
        <v>1690.4879149999999</v>
      </c>
      <c r="N143" s="20">
        <v>1782.0889890000001</v>
      </c>
      <c r="O143" s="20">
        <v>1853.255371</v>
      </c>
      <c r="P143" s="20">
        <v>1916.625732</v>
      </c>
      <c r="Q143" s="20">
        <v>1977.9388429999999</v>
      </c>
      <c r="R143" s="20">
        <v>2041.222168</v>
      </c>
      <c r="S143" s="20">
        <v>2119.1999510000001</v>
      </c>
      <c r="T143" s="20">
        <v>2202.4975589999999</v>
      </c>
      <c r="U143" s="20">
        <v>2280.044922</v>
      </c>
      <c r="V143" s="20">
        <v>2383.6420899999998</v>
      </c>
      <c r="W143" s="20">
        <v>2484.0207519999999</v>
      </c>
      <c r="X143" s="20">
        <v>2587.69751</v>
      </c>
      <c r="Y143" s="20">
        <v>2697.774414</v>
      </c>
      <c r="Z143" s="20">
        <v>2807.9682619999999</v>
      </c>
      <c r="AA143" s="20">
        <v>2912.9772950000001</v>
      </c>
      <c r="AB143" s="20">
        <v>3032.133789</v>
      </c>
      <c r="AC143" s="20">
        <v>3147.2697750000002</v>
      </c>
      <c r="AD143" s="20">
        <v>3260.0878910000001</v>
      </c>
      <c r="AE143" s="20">
        <v>3386.061279</v>
      </c>
      <c r="AF143" s="20">
        <v>3500.1079100000002</v>
      </c>
      <c r="AG143" s="21">
        <v>3.4964000000000002E-2</v>
      </c>
    </row>
    <row r="145" spans="2:2" ht="15" thickBot="1" x14ac:dyDescent="0.35"/>
    <row r="146" spans="2:2" ht="24.6" x14ac:dyDescent="0.3">
      <c r="B146" s="30" t="s">
        <v>213</v>
      </c>
    </row>
    <row r="147" spans="2:2" x14ac:dyDescent="0.3">
      <c r="B147" s="7" t="s">
        <v>191</v>
      </c>
    </row>
    <row r="148" spans="2:2" x14ac:dyDescent="0.3">
      <c r="B148" s="7" t="s">
        <v>214</v>
      </c>
    </row>
    <row r="149" spans="2:2" x14ac:dyDescent="0.3">
      <c r="B149" s="7" t="s">
        <v>215</v>
      </c>
    </row>
    <row r="150" spans="2:2" ht="15" customHeight="1" x14ac:dyDescent="0.3">
      <c r="B150" s="7" t="s">
        <v>194</v>
      </c>
    </row>
    <row r="151" spans="2:2" ht="15" customHeight="1" x14ac:dyDescent="0.3">
      <c r="B151" s="7" t="s">
        <v>216</v>
      </c>
    </row>
    <row r="152" spans="2:2" ht="15" customHeight="1" x14ac:dyDescent="0.3">
      <c r="B152" s="7" t="s">
        <v>217</v>
      </c>
    </row>
    <row r="153" spans="2:2" ht="15" customHeight="1" x14ac:dyDescent="0.3">
      <c r="B153" s="7" t="s">
        <v>197</v>
      </c>
    </row>
    <row r="154" spans="2:2" ht="15" customHeight="1" x14ac:dyDescent="0.3">
      <c r="B154" s="7" t="s">
        <v>198</v>
      </c>
    </row>
    <row r="155" spans="2:2" ht="15" customHeight="1" x14ac:dyDescent="0.3">
      <c r="B155" s="7" t="s">
        <v>218</v>
      </c>
    </row>
    <row r="156" spans="2:2" ht="15" customHeight="1" x14ac:dyDescent="0.3">
      <c r="B156" s="7" t="s">
        <v>200</v>
      </c>
    </row>
    <row r="157" spans="2:2" ht="15" customHeight="1" x14ac:dyDescent="0.3">
      <c r="B157" s="7" t="s">
        <v>201</v>
      </c>
    </row>
    <row r="158" spans="2:2" ht="15" customHeight="1" x14ac:dyDescent="0.3">
      <c r="B158" s="7" t="s">
        <v>202</v>
      </c>
    </row>
    <row r="159" spans="2:2" ht="15" customHeight="1" x14ac:dyDescent="0.3">
      <c r="B159" s="7" t="s">
        <v>219</v>
      </c>
    </row>
    <row r="160" spans="2:2" ht="15" customHeight="1" x14ac:dyDescent="0.3">
      <c r="B160" s="7" t="s">
        <v>220</v>
      </c>
    </row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4" ht="15" customHeight="1" x14ac:dyDescent="0.3"/>
    <row r="225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spans="2:33" ht="15" customHeight="1" x14ac:dyDescent="0.3"/>
    <row r="306" spans="2:33" ht="15" customHeight="1" x14ac:dyDescent="0.3"/>
    <row r="307" spans="2:33" ht="15" customHeight="1" x14ac:dyDescent="0.3"/>
    <row r="308" spans="2:33" ht="15" customHeight="1" x14ac:dyDescent="0.3"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</row>
    <row r="309" spans="2:33" ht="15" customHeight="1" x14ac:dyDescent="0.3"/>
    <row r="310" spans="2:33" ht="15" customHeight="1" x14ac:dyDescent="0.3"/>
    <row r="311" spans="2:33" ht="15" customHeight="1" x14ac:dyDescent="0.3"/>
    <row r="312" spans="2:33" ht="15" customHeight="1" x14ac:dyDescent="0.3"/>
    <row r="313" spans="2:33" ht="15" customHeight="1" x14ac:dyDescent="0.3"/>
    <row r="314" spans="2:33" ht="15" customHeight="1" x14ac:dyDescent="0.3"/>
    <row r="315" spans="2:33" ht="15" customHeight="1" x14ac:dyDescent="0.3"/>
    <row r="316" spans="2:33" ht="15" customHeight="1" x14ac:dyDescent="0.3"/>
    <row r="317" spans="2:33" ht="15" customHeight="1" x14ac:dyDescent="0.3"/>
    <row r="318" spans="2:33" ht="15" customHeight="1" x14ac:dyDescent="0.3"/>
    <row r="319" spans="2:33" ht="15" customHeight="1" x14ac:dyDescent="0.3"/>
    <row r="320" spans="2:33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spans="2:33" ht="15" customHeight="1" x14ac:dyDescent="0.3"/>
    <row r="498" spans="2:33" ht="15" customHeight="1" x14ac:dyDescent="0.3"/>
    <row r="500" spans="2:33" ht="15" customHeight="1" x14ac:dyDescent="0.3"/>
    <row r="501" spans="2:33" ht="15" customHeight="1" x14ac:dyDescent="0.3"/>
    <row r="502" spans="2:33" ht="15" customHeight="1" x14ac:dyDescent="0.3"/>
    <row r="503" spans="2:33" ht="15" customHeight="1" x14ac:dyDescent="0.3"/>
    <row r="504" spans="2:33" ht="15" customHeight="1" x14ac:dyDescent="0.3"/>
    <row r="505" spans="2:33" ht="15" customHeight="1" x14ac:dyDescent="0.3"/>
    <row r="506" spans="2:33" ht="15" customHeight="1" x14ac:dyDescent="0.3"/>
    <row r="507" spans="2:33" ht="15" customHeight="1" x14ac:dyDescent="0.3"/>
    <row r="508" spans="2:33" ht="15" customHeight="1" x14ac:dyDescent="0.3"/>
    <row r="510" spans="2:33" ht="15" customHeight="1" x14ac:dyDescent="0.3"/>
    <row r="511" spans="2:33" ht="15" customHeight="1" x14ac:dyDescent="0.3"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</row>
    <row r="512" spans="2:33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7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9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60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spans="2:33" ht="15" customHeight="1" x14ac:dyDescent="0.3"/>
    <row r="706" spans="2:33" ht="15" customHeight="1" x14ac:dyDescent="0.3"/>
    <row r="707" spans="2:33" ht="15" customHeight="1" x14ac:dyDescent="0.3"/>
    <row r="708" spans="2:33" ht="15" customHeight="1" x14ac:dyDescent="0.3"/>
    <row r="709" spans="2:33" ht="15" customHeight="1" x14ac:dyDescent="0.3"/>
    <row r="710" spans="2:33" ht="15" customHeight="1" x14ac:dyDescent="0.3"/>
    <row r="711" spans="2:33" ht="15" customHeight="1" x14ac:dyDescent="0.3"/>
    <row r="712" spans="2:33" ht="15" customHeight="1" x14ac:dyDescent="0.3"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</row>
    <row r="713" spans="2:33" ht="15" customHeight="1" x14ac:dyDescent="0.3"/>
    <row r="714" spans="2:33" ht="15" customHeight="1" x14ac:dyDescent="0.3"/>
    <row r="715" spans="2:33" ht="15" customHeight="1" x14ac:dyDescent="0.3"/>
    <row r="716" spans="2:33" ht="15" customHeight="1" x14ac:dyDescent="0.3"/>
    <row r="717" spans="2:33" ht="15" customHeight="1" x14ac:dyDescent="0.3"/>
    <row r="718" spans="2:33" ht="15" customHeight="1" x14ac:dyDescent="0.3"/>
    <row r="719" spans="2:33" ht="15" customHeight="1" x14ac:dyDescent="0.3"/>
    <row r="720" spans="2:33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2" ht="15" customHeight="1" x14ac:dyDescent="0.3"/>
    <row r="823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40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spans="2:33" ht="15" customHeight="1" x14ac:dyDescent="0.3"/>
    <row r="882" spans="2:33" ht="15" customHeight="1" x14ac:dyDescent="0.3"/>
    <row r="883" spans="2:33" ht="15" customHeight="1" x14ac:dyDescent="0.3"/>
    <row r="884" spans="2:33" ht="15" customHeight="1" x14ac:dyDescent="0.3"/>
    <row r="885" spans="2:33" ht="15" customHeight="1" x14ac:dyDescent="0.3"/>
    <row r="886" spans="2:33" ht="15" customHeight="1" x14ac:dyDescent="0.3"/>
    <row r="887" spans="2:33" ht="15" customHeight="1" x14ac:dyDescent="0.3"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</row>
    <row r="888" spans="2:33" ht="15" customHeight="1" x14ac:dyDescent="0.3"/>
    <row r="889" spans="2:33" ht="15" customHeight="1" x14ac:dyDescent="0.3"/>
    <row r="890" spans="2:33" ht="15" customHeight="1" x14ac:dyDescent="0.3"/>
    <row r="891" spans="2:33" ht="15" customHeight="1" x14ac:dyDescent="0.3"/>
    <row r="892" spans="2:33" ht="15" customHeight="1" x14ac:dyDescent="0.3"/>
    <row r="893" spans="2:33" ht="15" customHeight="1" x14ac:dyDescent="0.3"/>
    <row r="894" spans="2:33" ht="15" customHeight="1" x14ac:dyDescent="0.3"/>
    <row r="895" spans="2:33" ht="15" customHeight="1" x14ac:dyDescent="0.3"/>
    <row r="896" spans="2:33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spans="2:33" ht="15" customHeight="1" x14ac:dyDescent="0.3"/>
    <row r="1090" spans="2:33" ht="15" customHeight="1" x14ac:dyDescent="0.3"/>
    <row r="1091" spans="2:33" ht="15" customHeight="1" x14ac:dyDescent="0.3"/>
    <row r="1092" spans="2:33" ht="15" customHeight="1" x14ac:dyDescent="0.3"/>
    <row r="1093" spans="2:33" ht="15" customHeight="1" x14ac:dyDescent="0.3"/>
    <row r="1094" spans="2:33" ht="15" customHeight="1" x14ac:dyDescent="0.3"/>
    <row r="1096" spans="2:33" ht="15" customHeight="1" x14ac:dyDescent="0.3"/>
    <row r="1097" spans="2:33" ht="15" customHeight="1" x14ac:dyDescent="0.3"/>
    <row r="1098" spans="2:33" ht="15" customHeight="1" x14ac:dyDescent="0.3"/>
    <row r="1099" spans="2:33" ht="15" customHeight="1" x14ac:dyDescent="0.3"/>
    <row r="1100" spans="2:33" ht="15" customHeight="1" x14ac:dyDescent="0.3">
      <c r="B1100" s="62"/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</row>
    <row r="1101" spans="2:33" ht="15" customHeight="1" x14ac:dyDescent="0.3"/>
    <row r="1102" spans="2:33" ht="15" customHeight="1" x14ac:dyDescent="0.3"/>
    <row r="1103" spans="2:33" ht="15" customHeight="1" x14ac:dyDescent="0.3"/>
    <row r="1104" spans="2:33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spans="2:33" ht="15" customHeight="1" x14ac:dyDescent="0.3"/>
    <row r="1218" spans="2:33" ht="15" customHeight="1" x14ac:dyDescent="0.3"/>
    <row r="1219" spans="2:33" ht="15" customHeight="1" x14ac:dyDescent="0.3"/>
    <row r="1220" spans="2:33" ht="15" customHeight="1" x14ac:dyDescent="0.3"/>
    <row r="1221" spans="2:33" ht="15" customHeight="1" x14ac:dyDescent="0.3"/>
    <row r="1222" spans="2:33" ht="15" customHeight="1" x14ac:dyDescent="0.3"/>
    <row r="1223" spans="2:33" ht="15" customHeight="1" x14ac:dyDescent="0.3"/>
    <row r="1224" spans="2:33" ht="15" customHeight="1" x14ac:dyDescent="0.3"/>
    <row r="1225" spans="2:33" ht="15" customHeight="1" x14ac:dyDescent="0.3"/>
    <row r="1226" spans="2:33" ht="15" customHeight="1" x14ac:dyDescent="0.3"/>
    <row r="1227" spans="2:33" ht="15" customHeight="1" x14ac:dyDescent="0.3">
      <c r="B1227" s="62"/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</row>
    <row r="1228" spans="2:33" ht="15" customHeight="1" x14ac:dyDescent="0.3"/>
    <row r="1229" spans="2:33" ht="15" customHeight="1" x14ac:dyDescent="0.3"/>
    <row r="1230" spans="2:33" ht="15" customHeight="1" x14ac:dyDescent="0.3"/>
    <row r="1231" spans="2:33" ht="15" customHeight="1" x14ac:dyDescent="0.3"/>
    <row r="1232" spans="2:33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7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50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5" ht="15" customHeight="1" x14ac:dyDescent="0.3"/>
    <row r="1376" ht="15" customHeight="1" x14ac:dyDescent="0.3"/>
    <row r="1377" spans="2:33" ht="15" customHeight="1" x14ac:dyDescent="0.3"/>
    <row r="1378" spans="2:33" ht="15" customHeight="1" x14ac:dyDescent="0.3"/>
    <row r="1379" spans="2:33" ht="15" customHeight="1" x14ac:dyDescent="0.3"/>
    <row r="1380" spans="2:33" ht="15" customHeight="1" x14ac:dyDescent="0.3"/>
    <row r="1381" spans="2:33" ht="15" customHeight="1" x14ac:dyDescent="0.3"/>
    <row r="1382" spans="2:33" ht="15" customHeight="1" x14ac:dyDescent="0.3"/>
    <row r="1383" spans="2:33" ht="15" customHeight="1" x14ac:dyDescent="0.3"/>
    <row r="1385" spans="2:33" ht="15" customHeight="1" x14ac:dyDescent="0.3"/>
    <row r="1386" spans="2:33" ht="15" customHeight="1" x14ac:dyDescent="0.3"/>
    <row r="1387" spans="2:33" ht="15" customHeight="1" x14ac:dyDescent="0.3"/>
    <row r="1388" spans="2:33" ht="15" customHeight="1" x14ac:dyDescent="0.3"/>
    <row r="1389" spans="2:33" ht="15" customHeight="1" x14ac:dyDescent="0.3"/>
    <row r="1390" spans="2:33" ht="15" customHeight="1" x14ac:dyDescent="0.3">
      <c r="B1390" s="62"/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</row>
    <row r="1391" spans="2:33" ht="15" customHeight="1" x14ac:dyDescent="0.3"/>
    <row r="1392" spans="2:33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9" spans="2:33" ht="15" customHeight="1" x14ac:dyDescent="0.3"/>
    <row r="1491" spans="2:33" ht="15" customHeight="1" x14ac:dyDescent="0.3"/>
    <row r="1492" spans="2:33" ht="15" customHeight="1" x14ac:dyDescent="0.3"/>
    <row r="1493" spans="2:33" ht="15" customHeight="1" x14ac:dyDescent="0.3"/>
    <row r="1494" spans="2:33" ht="15" customHeight="1" x14ac:dyDescent="0.3"/>
    <row r="1495" spans="2:33" ht="15" customHeight="1" x14ac:dyDescent="0.3"/>
    <row r="1496" spans="2:33" ht="15" customHeight="1" x14ac:dyDescent="0.3"/>
    <row r="1497" spans="2:33" ht="15" customHeight="1" x14ac:dyDescent="0.3"/>
    <row r="1498" spans="2:33" ht="15" customHeight="1" x14ac:dyDescent="0.3"/>
    <row r="1500" spans="2:33" ht="15" customHeight="1" x14ac:dyDescent="0.3"/>
    <row r="1501" spans="2:33" ht="15" customHeight="1" x14ac:dyDescent="0.3"/>
    <row r="1502" spans="2:33" ht="15" customHeight="1" x14ac:dyDescent="0.3">
      <c r="B1502" s="62"/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</row>
    <row r="1503" spans="2:33" ht="15" customHeight="1" x14ac:dyDescent="0.3"/>
    <row r="1504" spans="2:33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7" ht="15" customHeight="1" x14ac:dyDescent="0.3"/>
    <row r="1588" ht="15" customHeight="1" x14ac:dyDescent="0.3"/>
    <row r="1589" ht="15" customHeight="1" x14ac:dyDescent="0.3"/>
    <row r="1590" ht="15" customHeight="1" x14ac:dyDescent="0.3"/>
    <row r="1592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9" ht="15" customHeight="1" x14ac:dyDescent="0.3"/>
    <row r="1600" ht="15" customHeight="1" x14ac:dyDescent="0.3"/>
    <row r="1601" spans="2:33" ht="15" customHeight="1" x14ac:dyDescent="0.3"/>
    <row r="1602" spans="2:33" ht="15" customHeight="1" x14ac:dyDescent="0.3"/>
    <row r="1603" spans="2:33" ht="15" customHeight="1" x14ac:dyDescent="0.3"/>
    <row r="1604" spans="2:33" ht="15" customHeight="1" x14ac:dyDescent="0.3">
      <c r="B1604" s="62"/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  <c r="Z1604" s="62"/>
      <c r="AA1604" s="62"/>
      <c r="AB1604" s="62"/>
      <c r="AC1604" s="62"/>
      <c r="AD1604" s="62"/>
      <c r="AE1604" s="62"/>
      <c r="AF1604" s="62"/>
      <c r="AG1604" s="62"/>
    </row>
    <row r="1605" spans="2:33" ht="15" customHeight="1" x14ac:dyDescent="0.3"/>
    <row r="1606" spans="2:33" ht="15" customHeight="1" x14ac:dyDescent="0.3"/>
    <row r="1607" spans="2:33" ht="15" customHeight="1" x14ac:dyDescent="0.3"/>
    <row r="1608" spans="2:33" ht="15" customHeight="1" x14ac:dyDescent="0.3"/>
    <row r="1609" spans="2:33" ht="15" customHeight="1" x14ac:dyDescent="0.3"/>
    <row r="1610" spans="2:33" ht="15" customHeight="1" x14ac:dyDescent="0.3"/>
    <row r="1625" ht="15" customHeight="1" x14ac:dyDescent="0.3"/>
    <row r="1626" ht="15" customHeight="1" x14ac:dyDescent="0.3"/>
    <row r="1627" ht="15" customHeight="1" x14ac:dyDescent="0.3"/>
    <row r="1628" ht="15" customHeight="1" x14ac:dyDescent="0.3"/>
    <row r="1629" ht="15" customHeight="1" x14ac:dyDescent="0.3"/>
    <row r="1630" ht="15" customHeight="1" x14ac:dyDescent="0.3"/>
    <row r="1631" ht="15" customHeight="1" x14ac:dyDescent="0.3"/>
    <row r="1632" ht="15" customHeight="1" x14ac:dyDescent="0.3"/>
    <row r="1633" ht="15" customHeight="1" x14ac:dyDescent="0.3"/>
    <row r="1634" ht="15" customHeight="1" x14ac:dyDescent="0.3"/>
    <row r="1635" ht="15" customHeight="1" x14ac:dyDescent="0.3"/>
    <row r="1636" ht="15" customHeight="1" x14ac:dyDescent="0.3"/>
    <row r="1637" ht="15" customHeight="1" x14ac:dyDescent="0.3"/>
    <row r="1638" ht="15" customHeight="1" x14ac:dyDescent="0.3"/>
    <row r="1640" ht="15" customHeight="1" x14ac:dyDescent="0.3"/>
    <row r="1641" ht="15" customHeight="1" x14ac:dyDescent="0.3"/>
    <row r="1642" ht="15" customHeight="1" x14ac:dyDescent="0.3"/>
    <row r="1643" ht="15" customHeight="1" x14ac:dyDescent="0.3"/>
    <row r="1644" ht="15" customHeight="1" x14ac:dyDescent="0.3"/>
    <row r="1645" ht="15" customHeight="1" x14ac:dyDescent="0.3"/>
    <row r="1646" ht="15" customHeight="1" x14ac:dyDescent="0.3"/>
    <row r="1647" ht="15" customHeight="1" x14ac:dyDescent="0.3"/>
    <row r="1648" ht="15" customHeight="1" x14ac:dyDescent="0.3"/>
    <row r="1649" ht="15" customHeight="1" x14ac:dyDescent="0.3"/>
    <row r="1650" ht="15" customHeight="1" x14ac:dyDescent="0.3"/>
    <row r="1651" ht="15" customHeight="1" x14ac:dyDescent="0.3"/>
    <row r="1652" ht="15" customHeight="1" x14ac:dyDescent="0.3"/>
    <row r="1653" ht="15" customHeight="1" x14ac:dyDescent="0.3"/>
    <row r="1654" ht="15" customHeight="1" x14ac:dyDescent="0.3"/>
    <row r="1655" ht="15" customHeight="1" x14ac:dyDescent="0.3"/>
    <row r="1656" ht="15" customHeight="1" x14ac:dyDescent="0.3"/>
    <row r="1657" ht="15" customHeight="1" x14ac:dyDescent="0.3"/>
    <row r="1658" ht="15" customHeight="1" x14ac:dyDescent="0.3"/>
    <row r="1659" ht="15" customHeight="1" x14ac:dyDescent="0.3"/>
    <row r="1660" ht="15" customHeight="1" x14ac:dyDescent="0.3"/>
    <row r="1661" ht="15" customHeight="1" x14ac:dyDescent="0.3"/>
    <row r="1662" ht="15" customHeight="1" x14ac:dyDescent="0.3"/>
    <row r="1663" ht="15" customHeight="1" x14ac:dyDescent="0.3"/>
    <row r="1665" ht="15" customHeight="1" x14ac:dyDescent="0.3"/>
    <row r="1668" ht="15" customHeight="1" x14ac:dyDescent="0.3"/>
    <row r="1669" ht="15" customHeight="1" x14ac:dyDescent="0.3"/>
    <row r="1670" ht="15" customHeight="1" x14ac:dyDescent="0.3"/>
    <row r="1671" ht="15" customHeight="1" x14ac:dyDescent="0.3"/>
    <row r="1672" ht="15" customHeight="1" x14ac:dyDescent="0.3"/>
    <row r="1673" ht="15" customHeight="1" x14ac:dyDescent="0.3"/>
    <row r="1674" ht="15" customHeight="1" x14ac:dyDescent="0.3"/>
    <row r="1675" ht="15" customHeight="1" x14ac:dyDescent="0.3"/>
    <row r="1676" ht="15" customHeight="1" x14ac:dyDescent="0.3"/>
    <row r="1677" ht="15" customHeight="1" x14ac:dyDescent="0.3"/>
    <row r="1678" ht="15" customHeight="1" x14ac:dyDescent="0.3"/>
    <row r="1679" ht="15" customHeight="1" x14ac:dyDescent="0.3"/>
    <row r="1680" ht="15" customHeight="1" x14ac:dyDescent="0.3"/>
    <row r="1681" ht="15" customHeight="1" x14ac:dyDescent="0.3"/>
    <row r="1682" ht="15" customHeight="1" x14ac:dyDescent="0.3"/>
    <row r="1683" ht="15" customHeight="1" x14ac:dyDescent="0.3"/>
    <row r="1684" ht="15" customHeight="1" x14ac:dyDescent="0.3"/>
    <row r="1686" ht="15" customHeight="1" x14ac:dyDescent="0.3"/>
    <row r="1688" ht="15" customHeight="1" x14ac:dyDescent="0.3"/>
    <row r="1689" ht="15" customHeight="1" x14ac:dyDescent="0.3"/>
    <row r="1690" ht="15" customHeight="1" x14ac:dyDescent="0.3"/>
    <row r="1691" ht="15" customHeight="1" x14ac:dyDescent="0.3"/>
    <row r="1692" ht="15" customHeight="1" x14ac:dyDescent="0.3"/>
    <row r="1693" ht="15" customHeight="1" x14ac:dyDescent="0.3"/>
    <row r="1694" ht="15" customHeight="1" x14ac:dyDescent="0.3"/>
    <row r="1695" ht="15" customHeight="1" x14ac:dyDescent="0.3"/>
    <row r="1697" spans="2:33" ht="15" customHeight="1" x14ac:dyDescent="0.3"/>
    <row r="1698" spans="2:33" ht="15" customHeight="1" x14ac:dyDescent="0.3">
      <c r="B1698" s="62"/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2"/>
      <c r="Y1698" s="62"/>
      <c r="Z1698" s="62"/>
      <c r="AA1698" s="62"/>
      <c r="AB1698" s="62"/>
      <c r="AC1698" s="62"/>
      <c r="AD1698" s="62"/>
      <c r="AE1698" s="62"/>
      <c r="AF1698" s="62"/>
      <c r="AG1698" s="62"/>
    </row>
    <row r="1699" spans="2:33" ht="15" customHeight="1" x14ac:dyDescent="0.3"/>
    <row r="1700" spans="2:33" ht="15" customHeight="1" x14ac:dyDescent="0.3"/>
    <row r="1701" spans="2:33" ht="15" customHeight="1" x14ac:dyDescent="0.3"/>
    <row r="1702" spans="2:33" ht="15" customHeight="1" x14ac:dyDescent="0.3"/>
    <row r="1703" spans="2:33" ht="15" customHeight="1" x14ac:dyDescent="0.3"/>
    <row r="1704" spans="2:33" ht="15" customHeight="1" x14ac:dyDescent="0.3"/>
    <row r="1705" spans="2:33" ht="15" customHeight="1" x14ac:dyDescent="0.3"/>
    <row r="1706" spans="2:33" ht="15" customHeight="1" x14ac:dyDescent="0.3"/>
    <row r="1707" spans="2:33" ht="15" customHeight="1" x14ac:dyDescent="0.3"/>
    <row r="1708" spans="2:33" ht="15" customHeight="1" x14ac:dyDescent="0.3"/>
    <row r="1709" spans="2:33" ht="15" customHeight="1" x14ac:dyDescent="0.3"/>
    <row r="1710" spans="2:33" ht="15" customHeight="1" x14ac:dyDescent="0.3"/>
    <row r="1711" spans="2:33" ht="15" customHeight="1" x14ac:dyDescent="0.3"/>
    <row r="1712" spans="2:33" ht="15" customHeight="1" x14ac:dyDescent="0.3"/>
    <row r="1713" ht="15" customHeight="1" x14ac:dyDescent="0.3"/>
    <row r="1714" ht="15" customHeight="1" x14ac:dyDescent="0.3"/>
    <row r="1715" ht="15" customHeight="1" x14ac:dyDescent="0.3"/>
    <row r="1716" ht="15" customHeight="1" x14ac:dyDescent="0.3"/>
    <row r="1717" ht="15" customHeight="1" x14ac:dyDescent="0.3"/>
    <row r="1718" ht="15" customHeight="1" x14ac:dyDescent="0.3"/>
    <row r="1719" ht="15" customHeight="1" x14ac:dyDescent="0.3"/>
    <row r="1720" ht="15" customHeight="1" x14ac:dyDescent="0.3"/>
    <row r="1721" ht="15" customHeight="1" x14ac:dyDescent="0.3"/>
    <row r="1722" ht="15" customHeight="1" x14ac:dyDescent="0.3"/>
    <row r="1723" ht="15" customHeight="1" x14ac:dyDescent="0.3"/>
    <row r="1724" ht="15" customHeight="1" x14ac:dyDescent="0.3"/>
    <row r="1725" ht="15" customHeight="1" x14ac:dyDescent="0.3"/>
    <row r="1726" ht="15" customHeight="1" x14ac:dyDescent="0.3"/>
    <row r="1850" ht="15" customHeight="1" x14ac:dyDescent="0.3"/>
    <row r="1851" ht="15" customHeight="1" x14ac:dyDescent="0.3"/>
    <row r="1852" ht="15" customHeight="1" x14ac:dyDescent="0.3"/>
    <row r="1853" ht="15" customHeight="1" x14ac:dyDescent="0.3"/>
    <row r="1854" ht="15" customHeight="1" x14ac:dyDescent="0.3"/>
    <row r="1855" ht="15" customHeight="1" x14ac:dyDescent="0.3"/>
    <row r="1856" ht="15" customHeight="1" x14ac:dyDescent="0.3"/>
    <row r="1857" ht="15" customHeight="1" x14ac:dyDescent="0.3"/>
    <row r="1858" ht="15" customHeight="1" x14ac:dyDescent="0.3"/>
    <row r="1859" ht="15" customHeight="1" x14ac:dyDescent="0.3"/>
    <row r="1861" ht="15" customHeight="1" x14ac:dyDescent="0.3"/>
    <row r="1863" ht="15" customHeight="1" x14ac:dyDescent="0.3"/>
    <row r="1864" ht="15" customHeight="1" x14ac:dyDescent="0.3"/>
    <row r="1865" ht="15" customHeight="1" x14ac:dyDescent="0.3"/>
    <row r="1867" ht="15" customHeight="1" x14ac:dyDescent="0.3"/>
    <row r="1868" ht="15" customHeight="1" x14ac:dyDescent="0.3"/>
    <row r="1869" ht="15" customHeight="1" x14ac:dyDescent="0.3"/>
    <row r="1870" ht="15" customHeight="1" x14ac:dyDescent="0.3"/>
    <row r="1872" ht="15" customHeight="1" x14ac:dyDescent="0.3"/>
    <row r="1873" ht="15" customHeight="1" x14ac:dyDescent="0.3"/>
    <row r="1874" ht="15" customHeight="1" x14ac:dyDescent="0.3"/>
    <row r="1875" ht="15" customHeight="1" x14ac:dyDescent="0.3"/>
    <row r="1876" ht="15" customHeight="1" x14ac:dyDescent="0.3"/>
    <row r="1878" ht="15" customHeight="1" x14ac:dyDescent="0.3"/>
    <row r="1879" ht="15" customHeight="1" x14ac:dyDescent="0.3"/>
    <row r="1880" ht="15" customHeight="1" x14ac:dyDescent="0.3"/>
    <row r="1881" ht="15" customHeight="1" x14ac:dyDescent="0.3"/>
    <row r="1882" ht="15" customHeight="1" x14ac:dyDescent="0.3"/>
    <row r="1883" ht="15" customHeight="1" x14ac:dyDescent="0.3"/>
    <row r="1884" ht="15" customHeight="1" x14ac:dyDescent="0.3"/>
    <row r="1885" ht="15" customHeight="1" x14ac:dyDescent="0.3"/>
    <row r="1886" ht="15" customHeight="1" x14ac:dyDescent="0.3"/>
    <row r="1888" ht="15" customHeight="1" x14ac:dyDescent="0.3"/>
    <row r="1889" ht="15" customHeight="1" x14ac:dyDescent="0.3"/>
    <row r="1890" ht="15" customHeight="1" x14ac:dyDescent="0.3"/>
    <row r="1891" ht="15" customHeight="1" x14ac:dyDescent="0.3"/>
    <row r="1893" ht="15" customHeight="1" x14ac:dyDescent="0.3"/>
    <row r="1894" ht="15" customHeight="1" x14ac:dyDescent="0.3"/>
    <row r="1895" ht="15" customHeight="1" x14ac:dyDescent="0.3"/>
    <row r="1896" ht="15" customHeight="1" x14ac:dyDescent="0.3"/>
    <row r="1897" ht="15" customHeight="1" x14ac:dyDescent="0.3"/>
    <row r="1898" ht="15" customHeight="1" x14ac:dyDescent="0.3"/>
    <row r="1899" ht="15" customHeight="1" x14ac:dyDescent="0.3"/>
    <row r="1900" ht="15" customHeight="1" x14ac:dyDescent="0.3"/>
    <row r="1903" ht="15" customHeight="1" x14ac:dyDescent="0.3"/>
    <row r="1904" ht="15" customHeight="1" x14ac:dyDescent="0.3"/>
    <row r="1905" ht="15" customHeight="1" x14ac:dyDescent="0.3"/>
    <row r="1906" ht="15" customHeight="1" x14ac:dyDescent="0.3"/>
    <row r="1907" ht="15" customHeight="1" x14ac:dyDescent="0.3"/>
    <row r="1909" ht="15" customHeight="1" x14ac:dyDescent="0.3"/>
    <row r="1910" ht="15" customHeight="1" x14ac:dyDescent="0.3"/>
    <row r="1911" ht="15" customHeight="1" x14ac:dyDescent="0.3"/>
    <row r="1912" ht="15" customHeight="1" x14ac:dyDescent="0.3"/>
    <row r="1913" ht="15" customHeight="1" x14ac:dyDescent="0.3"/>
    <row r="1915" ht="15" customHeight="1" x14ac:dyDescent="0.3"/>
    <row r="1916" ht="15" customHeight="1" x14ac:dyDescent="0.3"/>
    <row r="1917" ht="15" customHeight="1" x14ac:dyDescent="0.3"/>
    <row r="1919" ht="15" customHeight="1" x14ac:dyDescent="0.3"/>
    <row r="1920" ht="15" customHeight="1" x14ac:dyDescent="0.3"/>
    <row r="1921" ht="15" customHeight="1" x14ac:dyDescent="0.3"/>
    <row r="1922" ht="15" customHeight="1" x14ac:dyDescent="0.3"/>
    <row r="1924" ht="15" customHeight="1" x14ac:dyDescent="0.3"/>
    <row r="1925" ht="15" customHeight="1" x14ac:dyDescent="0.3"/>
    <row r="1926" ht="15" customHeight="1" x14ac:dyDescent="0.3"/>
    <row r="1927" ht="15" customHeight="1" x14ac:dyDescent="0.3"/>
    <row r="1928" ht="15" customHeight="1" x14ac:dyDescent="0.3"/>
    <row r="1929" ht="15" customHeight="1" x14ac:dyDescent="0.3"/>
    <row r="1930" ht="15" customHeight="1" x14ac:dyDescent="0.3"/>
    <row r="1931" ht="15" customHeight="1" x14ac:dyDescent="0.3"/>
    <row r="1933" ht="15" customHeight="1" x14ac:dyDescent="0.3"/>
    <row r="1934" ht="15" customHeight="1" x14ac:dyDescent="0.3"/>
    <row r="1935" ht="15" customHeight="1" x14ac:dyDescent="0.3"/>
    <row r="1937" spans="2:33" ht="15" customHeight="1" x14ac:dyDescent="0.3"/>
    <row r="1938" spans="2:33" ht="15" customHeight="1" x14ac:dyDescent="0.3"/>
    <row r="1939" spans="2:33" ht="15" customHeight="1" x14ac:dyDescent="0.3"/>
    <row r="1940" spans="2:33" ht="15" customHeight="1" x14ac:dyDescent="0.3"/>
    <row r="1941" spans="2:33" ht="15" customHeight="1" x14ac:dyDescent="0.3"/>
    <row r="1942" spans="2:33" ht="15" customHeight="1" x14ac:dyDescent="0.3"/>
    <row r="1943" spans="2:33" ht="15" customHeight="1" x14ac:dyDescent="0.3"/>
    <row r="1944" spans="2:33" ht="15" customHeight="1" x14ac:dyDescent="0.3"/>
    <row r="1945" spans="2:33" ht="15" customHeight="1" x14ac:dyDescent="0.3">
      <c r="B1945" s="62"/>
      <c r="C1945" s="62"/>
      <c r="D1945" s="62"/>
      <c r="E1945" s="62"/>
      <c r="F1945" s="62"/>
      <c r="G1945" s="62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</row>
    <row r="1946" spans="2:33" ht="15" customHeight="1" x14ac:dyDescent="0.3"/>
    <row r="1947" spans="2:33" ht="15" customHeight="1" x14ac:dyDescent="0.3"/>
    <row r="1948" spans="2:33" ht="15" customHeight="1" x14ac:dyDescent="0.3"/>
    <row r="1949" spans="2:33" ht="15" customHeight="1" x14ac:dyDescent="0.3"/>
    <row r="1950" spans="2:33" ht="15" customHeight="1" x14ac:dyDescent="0.3"/>
    <row r="1951" spans="2:33" ht="15" customHeight="1" x14ac:dyDescent="0.3"/>
    <row r="1952" spans="2:33" ht="15" customHeight="1" x14ac:dyDescent="0.3"/>
    <row r="1953" ht="15" customHeight="1" x14ac:dyDescent="0.3"/>
    <row r="1954" ht="15" customHeight="1" x14ac:dyDescent="0.3"/>
    <row r="1955" ht="15" customHeight="1" x14ac:dyDescent="0.3"/>
    <row r="1975" ht="15" customHeight="1" x14ac:dyDescent="0.3"/>
    <row r="1976" ht="15" customHeight="1" x14ac:dyDescent="0.3"/>
    <row r="1977" ht="15" customHeight="1" x14ac:dyDescent="0.3"/>
    <row r="1978" ht="15" customHeight="1" x14ac:dyDescent="0.3"/>
    <row r="1979" ht="15" customHeight="1" x14ac:dyDescent="0.3"/>
    <row r="1980" ht="15" customHeight="1" x14ac:dyDescent="0.3"/>
    <row r="1981" ht="15" customHeight="1" x14ac:dyDescent="0.3"/>
    <row r="1982" ht="15" customHeight="1" x14ac:dyDescent="0.3"/>
    <row r="1984" ht="15" customHeight="1" x14ac:dyDescent="0.3"/>
    <row r="1985" ht="15" customHeight="1" x14ac:dyDescent="0.3"/>
    <row r="1986" ht="15" customHeight="1" x14ac:dyDescent="0.3"/>
    <row r="1988" ht="15" customHeight="1" x14ac:dyDescent="0.3"/>
    <row r="1990" ht="15" customHeight="1" x14ac:dyDescent="0.3"/>
    <row r="1991" ht="15" customHeight="1" x14ac:dyDescent="0.3"/>
    <row r="1992" ht="15" customHeight="1" x14ac:dyDescent="0.3"/>
    <row r="1993" ht="15" customHeight="1" x14ac:dyDescent="0.3"/>
    <row r="1994" ht="15" customHeight="1" x14ac:dyDescent="0.3"/>
    <row r="1995" ht="15" customHeight="1" x14ac:dyDescent="0.3"/>
    <row r="1996" ht="15" customHeight="1" x14ac:dyDescent="0.3"/>
    <row r="1997" ht="15" customHeight="1" x14ac:dyDescent="0.3"/>
    <row r="1998" ht="15" customHeight="1" x14ac:dyDescent="0.3"/>
    <row r="1999" ht="15" customHeight="1" x14ac:dyDescent="0.3"/>
    <row r="2000" ht="15" customHeight="1" x14ac:dyDescent="0.3"/>
    <row r="2001" ht="15" customHeight="1" x14ac:dyDescent="0.3"/>
    <row r="2002" ht="15" customHeight="1" x14ac:dyDescent="0.3"/>
    <row r="2004" ht="15" customHeight="1" x14ac:dyDescent="0.3"/>
    <row r="2006" ht="15" customHeight="1" x14ac:dyDescent="0.3"/>
    <row r="2008" ht="15" customHeight="1" x14ac:dyDescent="0.3"/>
    <row r="2009" ht="15" customHeight="1" x14ac:dyDescent="0.3"/>
    <row r="2011" ht="15" customHeight="1" x14ac:dyDescent="0.3"/>
    <row r="2012" ht="15" customHeight="1" x14ac:dyDescent="0.3"/>
    <row r="2013" ht="15" customHeight="1" x14ac:dyDescent="0.3"/>
    <row r="2014" ht="15" customHeight="1" x14ac:dyDescent="0.3"/>
    <row r="2015" ht="15" customHeight="1" x14ac:dyDescent="0.3"/>
    <row r="2016" ht="15" customHeight="1" x14ac:dyDescent="0.3"/>
    <row r="2017" spans="2:33" ht="15" customHeight="1" x14ac:dyDescent="0.3"/>
    <row r="2018" spans="2:33" ht="15" customHeight="1" x14ac:dyDescent="0.3"/>
    <row r="2019" spans="2:33" ht="15" customHeight="1" x14ac:dyDescent="0.3"/>
    <row r="2020" spans="2:33" ht="15" customHeight="1" x14ac:dyDescent="0.3"/>
    <row r="2022" spans="2:33" ht="15" customHeight="1" x14ac:dyDescent="0.3"/>
    <row r="2023" spans="2:33" ht="15" customHeight="1" x14ac:dyDescent="0.3"/>
    <row r="2024" spans="2:33" ht="15" customHeight="1" x14ac:dyDescent="0.3"/>
    <row r="2025" spans="2:33" ht="15" customHeight="1" x14ac:dyDescent="0.3"/>
    <row r="2026" spans="2:33" ht="15" customHeight="1" x14ac:dyDescent="0.3"/>
    <row r="2027" spans="2:33" ht="15" customHeight="1" x14ac:dyDescent="0.3"/>
    <row r="2028" spans="2:33" ht="15" customHeight="1" x14ac:dyDescent="0.3"/>
    <row r="2029" spans="2:33" ht="15" customHeight="1" x14ac:dyDescent="0.3"/>
    <row r="2030" spans="2:33" ht="15" customHeight="1" x14ac:dyDescent="0.3"/>
    <row r="2031" spans="2:33" ht="15" customHeight="1" x14ac:dyDescent="0.3">
      <c r="B2031" s="62"/>
      <c r="C2031" s="62"/>
      <c r="D2031" s="62"/>
      <c r="E2031" s="62"/>
      <c r="F2031" s="62"/>
      <c r="G2031" s="62"/>
      <c r="H2031" s="62"/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</row>
    <row r="2032" spans="2:33" ht="15" customHeight="1" x14ac:dyDescent="0.3"/>
    <row r="2033" ht="15" customHeight="1" x14ac:dyDescent="0.3"/>
    <row r="2034" ht="15" customHeight="1" x14ac:dyDescent="0.3"/>
    <row r="2035" ht="15" customHeight="1" x14ac:dyDescent="0.3"/>
    <row r="2036" ht="15" customHeight="1" x14ac:dyDescent="0.3"/>
    <row r="2037" ht="15" customHeight="1" x14ac:dyDescent="0.3"/>
    <row r="2038" ht="15" customHeight="1" x14ac:dyDescent="0.3"/>
    <row r="2039" ht="15" customHeight="1" x14ac:dyDescent="0.3"/>
    <row r="2040" ht="15" customHeight="1" x14ac:dyDescent="0.3"/>
    <row r="2041" ht="15" customHeight="1" x14ac:dyDescent="0.3"/>
    <row r="2042" ht="15" customHeight="1" x14ac:dyDescent="0.3"/>
    <row r="2043" ht="15" customHeight="1" x14ac:dyDescent="0.3"/>
    <row r="2044" ht="15" customHeight="1" x14ac:dyDescent="0.3"/>
    <row r="2045" ht="15" customHeight="1" x14ac:dyDescent="0.3"/>
    <row r="2046" ht="15" customHeight="1" x14ac:dyDescent="0.3"/>
    <row r="2047" ht="15" customHeight="1" x14ac:dyDescent="0.3"/>
    <row r="2048" ht="15" customHeight="1" x14ac:dyDescent="0.3"/>
    <row r="2049" ht="15" customHeight="1" x14ac:dyDescent="0.3"/>
    <row r="2050" ht="15" customHeight="1" x14ac:dyDescent="0.3"/>
    <row r="2051" ht="15" customHeight="1" x14ac:dyDescent="0.3"/>
    <row r="2052" ht="15" customHeight="1" x14ac:dyDescent="0.3"/>
    <row r="2053" ht="15" customHeight="1" x14ac:dyDescent="0.3"/>
    <row r="2100" ht="15" customHeight="1" x14ac:dyDescent="0.3"/>
    <row r="2101" ht="15" customHeight="1" x14ac:dyDescent="0.3"/>
    <row r="2102" ht="15" customHeight="1" x14ac:dyDescent="0.3"/>
    <row r="2103" ht="15" customHeight="1" x14ac:dyDescent="0.3"/>
    <row r="2104" ht="15" customHeight="1" x14ac:dyDescent="0.3"/>
    <row r="2105" ht="15" customHeight="1" x14ac:dyDescent="0.3"/>
    <row r="2107" ht="15" customHeight="1" x14ac:dyDescent="0.3"/>
    <row r="2108" ht="15" customHeight="1" x14ac:dyDescent="0.3"/>
    <row r="2110" ht="15" customHeight="1" x14ac:dyDescent="0.3"/>
    <row r="2111" ht="15" customHeight="1" x14ac:dyDescent="0.3"/>
    <row r="2112" ht="15" customHeight="1" x14ac:dyDescent="0.3"/>
    <row r="2113" ht="15" customHeight="1" x14ac:dyDescent="0.3"/>
    <row r="2114" ht="15" customHeight="1" x14ac:dyDescent="0.3"/>
    <row r="2115" ht="15" customHeight="1" x14ac:dyDescent="0.3"/>
    <row r="2116" ht="15" customHeight="1" x14ac:dyDescent="0.3"/>
    <row r="2117" ht="15" customHeight="1" x14ac:dyDescent="0.3"/>
    <row r="2118" ht="15" customHeight="1" x14ac:dyDescent="0.3"/>
    <row r="2119" ht="15" customHeight="1" x14ac:dyDescent="0.3"/>
    <row r="2120" ht="15" customHeight="1" x14ac:dyDescent="0.3"/>
    <row r="2121" ht="15" customHeight="1" x14ac:dyDescent="0.3"/>
    <row r="2122" ht="15" customHeight="1" x14ac:dyDescent="0.3"/>
    <row r="2124" ht="15" customHeight="1" x14ac:dyDescent="0.3"/>
    <row r="2125" ht="15" customHeight="1" x14ac:dyDescent="0.3"/>
    <row r="2126" ht="15" customHeight="1" x14ac:dyDescent="0.3"/>
    <row r="2127" ht="15" customHeight="1" x14ac:dyDescent="0.3"/>
    <row r="2128" ht="15" customHeight="1" x14ac:dyDescent="0.3"/>
    <row r="2129" ht="15" customHeight="1" x14ac:dyDescent="0.3"/>
    <row r="2131" ht="15" customHeight="1" x14ac:dyDescent="0.3"/>
    <row r="2133" ht="15" customHeight="1" x14ac:dyDescent="0.3"/>
    <row r="2134" ht="15" customHeight="1" x14ac:dyDescent="0.3"/>
    <row r="2136" ht="15" customHeight="1" x14ac:dyDescent="0.3"/>
    <row r="2137" ht="15" customHeight="1" x14ac:dyDescent="0.3"/>
    <row r="2138" ht="15" customHeight="1" x14ac:dyDescent="0.3"/>
    <row r="2139" ht="15" customHeight="1" x14ac:dyDescent="0.3"/>
    <row r="2140" ht="15" customHeight="1" x14ac:dyDescent="0.3"/>
    <row r="2141" ht="15" customHeight="1" x14ac:dyDescent="0.3"/>
    <row r="2142" ht="15" customHeight="1" x14ac:dyDescent="0.3"/>
    <row r="2143" ht="15" customHeight="1" x14ac:dyDescent="0.3"/>
    <row r="2144" ht="15" customHeight="1" x14ac:dyDescent="0.3"/>
    <row r="2145" spans="2:33" ht="15" customHeight="1" x14ac:dyDescent="0.3"/>
    <row r="2146" spans="2:33" ht="15" customHeight="1" x14ac:dyDescent="0.3"/>
    <row r="2148" spans="2:33" ht="15" customHeight="1" x14ac:dyDescent="0.3"/>
    <row r="2151" spans="2:33" ht="15" customHeight="1" x14ac:dyDescent="0.3"/>
    <row r="2152" spans="2:33" ht="15" customHeight="1" x14ac:dyDescent="0.3"/>
    <row r="2153" spans="2:33" ht="15" customHeight="1" x14ac:dyDescent="0.3">
      <c r="B2153" s="62"/>
      <c r="C2153" s="62"/>
      <c r="D2153" s="62"/>
      <c r="E2153" s="62"/>
      <c r="F2153" s="62"/>
      <c r="G2153" s="62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2"/>
      <c r="X2153" s="62"/>
      <c r="Y2153" s="62"/>
      <c r="Z2153" s="62"/>
      <c r="AA2153" s="62"/>
      <c r="AB2153" s="62"/>
      <c r="AC2153" s="62"/>
      <c r="AD2153" s="62"/>
      <c r="AE2153" s="62"/>
      <c r="AF2153" s="62"/>
      <c r="AG2153" s="62"/>
    </row>
    <row r="2154" spans="2:33" ht="15" customHeight="1" x14ac:dyDescent="0.3"/>
    <row r="2155" spans="2:33" ht="15" customHeight="1" x14ac:dyDescent="0.3"/>
    <row r="2156" spans="2:33" ht="15" customHeight="1" x14ac:dyDescent="0.3"/>
    <row r="2157" spans="2:33" ht="15" customHeight="1" x14ac:dyDescent="0.3"/>
    <row r="2158" spans="2:33" ht="15" customHeight="1" x14ac:dyDescent="0.3"/>
    <row r="2159" spans="2:33" ht="15" customHeight="1" x14ac:dyDescent="0.3"/>
    <row r="2160" spans="2:33" ht="15" customHeight="1" x14ac:dyDescent="0.3"/>
    <row r="2161" ht="15" customHeight="1" x14ac:dyDescent="0.3"/>
    <row r="2162" ht="15" customHeight="1" x14ac:dyDescent="0.3"/>
    <row r="2250" ht="15" customHeight="1" x14ac:dyDescent="0.3"/>
    <row r="2251" ht="15" customHeight="1" x14ac:dyDescent="0.3"/>
    <row r="2252" ht="15" customHeight="1" x14ac:dyDescent="0.3"/>
    <row r="2253" ht="15" customHeight="1" x14ac:dyDescent="0.3"/>
    <row r="2254" ht="15" customHeight="1" x14ac:dyDescent="0.3"/>
    <row r="2255" ht="15" customHeight="1" x14ac:dyDescent="0.3"/>
    <row r="2256" ht="15" customHeight="1" x14ac:dyDescent="0.3"/>
    <row r="2257" ht="15" customHeight="1" x14ac:dyDescent="0.3"/>
    <row r="2258" ht="15" customHeight="1" x14ac:dyDescent="0.3"/>
    <row r="2260" ht="15" customHeight="1" x14ac:dyDescent="0.3"/>
    <row r="2261" ht="15" customHeight="1" x14ac:dyDescent="0.3"/>
    <row r="2262" ht="15" customHeight="1" x14ac:dyDescent="0.3"/>
    <row r="2264" ht="15" customHeight="1" x14ac:dyDescent="0.3"/>
    <row r="2266" ht="15" customHeight="1" x14ac:dyDescent="0.3"/>
    <row r="2267" ht="15" customHeight="1" x14ac:dyDescent="0.3"/>
    <row r="2268" ht="15" customHeight="1" x14ac:dyDescent="0.3"/>
    <row r="2269" ht="15" customHeight="1" x14ac:dyDescent="0.3"/>
    <row r="2271" ht="15" customHeight="1" x14ac:dyDescent="0.3"/>
    <row r="2273" ht="15" customHeight="1" x14ac:dyDescent="0.3"/>
    <row r="2274" ht="15" customHeight="1" x14ac:dyDescent="0.3"/>
    <row r="2275" ht="15" customHeight="1" x14ac:dyDescent="0.3"/>
    <row r="2276" ht="15" customHeight="1" x14ac:dyDescent="0.3"/>
    <row r="2277" ht="15" customHeight="1" x14ac:dyDescent="0.3"/>
    <row r="2278" ht="15" customHeight="1" x14ac:dyDescent="0.3"/>
    <row r="2279" ht="15" customHeight="1" x14ac:dyDescent="0.3"/>
    <row r="2280" ht="15" customHeight="1" x14ac:dyDescent="0.3"/>
    <row r="2282" ht="15" customHeight="1" x14ac:dyDescent="0.3"/>
    <row r="2284" ht="15" customHeight="1" x14ac:dyDescent="0.3"/>
    <row r="2285" ht="15" customHeight="1" x14ac:dyDescent="0.3"/>
    <row r="2286" ht="15" customHeight="1" x14ac:dyDescent="0.3"/>
    <row r="2288" ht="15" customHeight="1" x14ac:dyDescent="0.3"/>
    <row r="2289" ht="15" customHeight="1" x14ac:dyDescent="0.3"/>
    <row r="2290" ht="15" customHeight="1" x14ac:dyDescent="0.3"/>
    <row r="2291" ht="15" customHeight="1" x14ac:dyDescent="0.3"/>
    <row r="2292" ht="15" customHeight="1" x14ac:dyDescent="0.3"/>
    <row r="2293" ht="15" customHeight="1" x14ac:dyDescent="0.3"/>
    <row r="2294" ht="15" customHeight="1" x14ac:dyDescent="0.3"/>
    <row r="2295" ht="15" customHeight="1" x14ac:dyDescent="0.3"/>
    <row r="2296" ht="15" customHeight="1" x14ac:dyDescent="0.3"/>
    <row r="2297" ht="15" customHeight="1" x14ac:dyDescent="0.3"/>
    <row r="2298" ht="15" customHeight="1" x14ac:dyDescent="0.3"/>
    <row r="2301" ht="15" customHeight="1" x14ac:dyDescent="0.3"/>
    <row r="2302" ht="15" customHeight="1" x14ac:dyDescent="0.3"/>
    <row r="2303" ht="15" customHeight="1" x14ac:dyDescent="0.3"/>
    <row r="2305" spans="2:33" ht="15" customHeight="1" x14ac:dyDescent="0.3"/>
    <row r="2306" spans="2:33" ht="15" customHeight="1" x14ac:dyDescent="0.3"/>
    <row r="2307" spans="2:33" ht="15" customHeight="1" x14ac:dyDescent="0.3"/>
    <row r="2308" spans="2:33" ht="15" customHeight="1" x14ac:dyDescent="0.3"/>
    <row r="2309" spans="2:33" ht="15" customHeight="1" x14ac:dyDescent="0.3"/>
    <row r="2310" spans="2:33" ht="15" customHeight="1" x14ac:dyDescent="0.3"/>
    <row r="2311" spans="2:33" ht="15" customHeight="1" x14ac:dyDescent="0.3"/>
    <row r="2312" spans="2:33" ht="15" customHeight="1" x14ac:dyDescent="0.3"/>
    <row r="2313" spans="2:33" ht="15" customHeight="1" x14ac:dyDescent="0.3"/>
    <row r="2314" spans="2:33" ht="15" customHeight="1" x14ac:dyDescent="0.3"/>
    <row r="2315" spans="2:33" ht="15" customHeight="1" x14ac:dyDescent="0.3"/>
    <row r="2316" spans="2:33" ht="15" customHeight="1" x14ac:dyDescent="0.3"/>
    <row r="2317" spans="2:33" ht="15" customHeight="1" x14ac:dyDescent="0.3">
      <c r="B2317" s="62"/>
      <c r="C2317" s="62"/>
      <c r="D2317" s="62"/>
      <c r="E2317" s="62"/>
      <c r="F2317" s="62"/>
      <c r="G2317" s="62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2"/>
      <c r="X2317" s="62"/>
      <c r="Y2317" s="62"/>
      <c r="Z2317" s="62"/>
      <c r="AA2317" s="62"/>
      <c r="AB2317" s="62"/>
      <c r="AC2317" s="62"/>
      <c r="AD2317" s="62"/>
      <c r="AE2317" s="62"/>
      <c r="AF2317" s="62"/>
      <c r="AG2317" s="62"/>
    </row>
    <row r="2318" spans="2:33" ht="15" customHeight="1" x14ac:dyDescent="0.3"/>
    <row r="2319" spans="2:33" ht="15" customHeight="1" x14ac:dyDescent="0.3"/>
    <row r="2320" spans="2:33" ht="15" customHeight="1" x14ac:dyDescent="0.3"/>
    <row r="2321" ht="15" customHeight="1" x14ac:dyDescent="0.3"/>
    <row r="2322" ht="15" customHeight="1" x14ac:dyDescent="0.3"/>
    <row r="2323" ht="15" customHeight="1" x14ac:dyDescent="0.3"/>
    <row r="2324" ht="15" customHeight="1" x14ac:dyDescent="0.3"/>
    <row r="2325" ht="15" customHeight="1" x14ac:dyDescent="0.3"/>
    <row r="2326" ht="15" customHeight="1" x14ac:dyDescent="0.3"/>
    <row r="2327" ht="15" customHeight="1" x14ac:dyDescent="0.3"/>
    <row r="2328" ht="15" customHeight="1" x14ac:dyDescent="0.3"/>
    <row r="2329" ht="15" customHeight="1" x14ac:dyDescent="0.3"/>
    <row r="2330" ht="15" customHeight="1" x14ac:dyDescent="0.3"/>
    <row r="2331" ht="15" customHeight="1" x14ac:dyDescent="0.3"/>
    <row r="2332" ht="15" customHeight="1" x14ac:dyDescent="0.3"/>
    <row r="2333" ht="15" customHeight="1" x14ac:dyDescent="0.3"/>
    <row r="2334" ht="15" customHeight="1" x14ac:dyDescent="0.3"/>
    <row r="2350" ht="15" customHeight="1" x14ac:dyDescent="0.3"/>
    <row r="2351" ht="15" customHeight="1" x14ac:dyDescent="0.3"/>
    <row r="2352" ht="15" customHeight="1" x14ac:dyDescent="0.3"/>
    <row r="2353" ht="15" customHeight="1" x14ac:dyDescent="0.3"/>
    <row r="2354" ht="15" customHeight="1" x14ac:dyDescent="0.3"/>
    <row r="2355" ht="15" customHeight="1" x14ac:dyDescent="0.3"/>
    <row r="2356" ht="15" customHeight="1" x14ac:dyDescent="0.3"/>
    <row r="2357" ht="15" customHeight="1" x14ac:dyDescent="0.3"/>
    <row r="2358" ht="15" customHeight="1" x14ac:dyDescent="0.3"/>
    <row r="2359" ht="15" customHeight="1" x14ac:dyDescent="0.3"/>
    <row r="2360" ht="15" customHeight="1" x14ac:dyDescent="0.3"/>
    <row r="2361" ht="15" customHeight="1" x14ac:dyDescent="0.3"/>
    <row r="2362" ht="15" customHeight="1" x14ac:dyDescent="0.3"/>
    <row r="2363" ht="15" customHeight="1" x14ac:dyDescent="0.3"/>
    <row r="2364" ht="15" customHeight="1" x14ac:dyDescent="0.3"/>
    <row r="2365" ht="15" customHeight="1" x14ac:dyDescent="0.3"/>
    <row r="2367" ht="15" customHeight="1" x14ac:dyDescent="0.3"/>
    <row r="2368" ht="15" customHeight="1" x14ac:dyDescent="0.3"/>
    <row r="2369" ht="15" customHeight="1" x14ac:dyDescent="0.3"/>
    <row r="2370" ht="15" customHeight="1" x14ac:dyDescent="0.3"/>
    <row r="2371" ht="15" customHeight="1" x14ac:dyDescent="0.3"/>
    <row r="2372" ht="15" customHeight="1" x14ac:dyDescent="0.3"/>
    <row r="2373" ht="15" customHeight="1" x14ac:dyDescent="0.3"/>
    <row r="2374" ht="15" customHeight="1" x14ac:dyDescent="0.3"/>
    <row r="2375" ht="15" customHeight="1" x14ac:dyDescent="0.3"/>
    <row r="2376" ht="15" customHeight="1" x14ac:dyDescent="0.3"/>
    <row r="2377" ht="15" customHeight="1" x14ac:dyDescent="0.3"/>
    <row r="2378" ht="15" customHeight="1" x14ac:dyDescent="0.3"/>
    <row r="2380" ht="15" customHeight="1" x14ac:dyDescent="0.3"/>
    <row r="2381" ht="15" customHeight="1" x14ac:dyDescent="0.3"/>
    <row r="2382" ht="15" customHeight="1" x14ac:dyDescent="0.3"/>
    <row r="2383" ht="15" customHeight="1" x14ac:dyDescent="0.3"/>
    <row r="2384" ht="15" customHeight="1" x14ac:dyDescent="0.3"/>
    <row r="2385" ht="15" customHeight="1" x14ac:dyDescent="0.3"/>
    <row r="2386" ht="15" customHeight="1" x14ac:dyDescent="0.3"/>
    <row r="2387" ht="15" customHeight="1" x14ac:dyDescent="0.3"/>
    <row r="2388" ht="15" customHeight="1" x14ac:dyDescent="0.3"/>
    <row r="2390" ht="15" customHeight="1" x14ac:dyDescent="0.3"/>
    <row r="2391" ht="15" customHeight="1" x14ac:dyDescent="0.3"/>
    <row r="2392" ht="15" customHeight="1" x14ac:dyDescent="0.3"/>
    <row r="2393" ht="15" customHeight="1" x14ac:dyDescent="0.3"/>
    <row r="2394" ht="15" customHeight="1" x14ac:dyDescent="0.3"/>
    <row r="2395" ht="15" customHeight="1" x14ac:dyDescent="0.3"/>
    <row r="2396" ht="15" customHeight="1" x14ac:dyDescent="0.3"/>
    <row r="2397" ht="15" customHeight="1" x14ac:dyDescent="0.3"/>
    <row r="2400" ht="15" customHeight="1" x14ac:dyDescent="0.3"/>
    <row r="2401" ht="15" customHeight="1" x14ac:dyDescent="0.3"/>
    <row r="2402" ht="15" customHeight="1" x14ac:dyDescent="0.3"/>
    <row r="2403" ht="15" customHeight="1" x14ac:dyDescent="0.3"/>
    <row r="2404" ht="15" customHeight="1" x14ac:dyDescent="0.3"/>
    <row r="2405" ht="15" customHeight="1" x14ac:dyDescent="0.3"/>
    <row r="2406" ht="15" customHeight="1" x14ac:dyDescent="0.3"/>
    <row r="2407" ht="15" customHeight="1" x14ac:dyDescent="0.3"/>
    <row r="2408" ht="15" customHeight="1" x14ac:dyDescent="0.3"/>
    <row r="2410" ht="15" customHeight="1" x14ac:dyDescent="0.3"/>
    <row r="2411" ht="15" customHeight="1" x14ac:dyDescent="0.3"/>
    <row r="2412" ht="15" customHeight="1" x14ac:dyDescent="0.3"/>
    <row r="2413" ht="15" customHeight="1" x14ac:dyDescent="0.3"/>
    <row r="2414" ht="15" customHeight="1" x14ac:dyDescent="0.3"/>
    <row r="2415" ht="15" customHeight="1" x14ac:dyDescent="0.3"/>
    <row r="2416" ht="15" customHeight="1" x14ac:dyDescent="0.3"/>
    <row r="2417" spans="2:33" ht="15" customHeight="1" x14ac:dyDescent="0.3"/>
    <row r="2418" spans="2:33" ht="15" customHeight="1" x14ac:dyDescent="0.3"/>
    <row r="2419" spans="2:33" ht="15" customHeight="1" x14ac:dyDescent="0.3">
      <c r="B2419" s="62"/>
      <c r="C2419" s="62"/>
      <c r="D2419" s="62"/>
      <c r="E2419" s="62"/>
      <c r="F2419" s="62"/>
      <c r="G2419" s="62"/>
      <c r="H2419" s="62"/>
      <c r="I2419" s="62"/>
      <c r="J2419" s="62"/>
      <c r="K2419" s="62"/>
      <c r="L2419" s="62"/>
      <c r="M2419" s="62"/>
      <c r="N2419" s="62"/>
      <c r="O2419" s="62"/>
      <c r="P2419" s="62"/>
      <c r="Q2419" s="62"/>
      <c r="R2419" s="62"/>
      <c r="S2419" s="62"/>
      <c r="T2419" s="62"/>
      <c r="U2419" s="62"/>
      <c r="V2419" s="62"/>
      <c r="W2419" s="62"/>
      <c r="X2419" s="62"/>
      <c r="Y2419" s="62"/>
      <c r="Z2419" s="62"/>
      <c r="AA2419" s="62"/>
      <c r="AB2419" s="62"/>
      <c r="AC2419" s="62"/>
      <c r="AD2419" s="62"/>
      <c r="AE2419" s="62"/>
      <c r="AF2419" s="62"/>
      <c r="AG2419" s="62"/>
    </row>
    <row r="2420" spans="2:33" ht="15" customHeight="1" x14ac:dyDescent="0.3"/>
    <row r="2421" spans="2:33" ht="15" customHeight="1" x14ac:dyDescent="0.3"/>
    <row r="2422" spans="2:33" ht="15" customHeight="1" x14ac:dyDescent="0.3"/>
    <row r="2423" spans="2:33" ht="15" customHeight="1" x14ac:dyDescent="0.3"/>
    <row r="2424" spans="2:33" ht="15" customHeight="1" x14ac:dyDescent="0.3"/>
    <row r="2425" spans="2:33" ht="15" customHeight="1" x14ac:dyDescent="0.3"/>
    <row r="2426" spans="2:33" ht="15" customHeight="1" x14ac:dyDescent="0.3"/>
    <row r="2427" spans="2:33" ht="15" customHeight="1" x14ac:dyDescent="0.3"/>
    <row r="2428" spans="2:33" ht="15" customHeight="1" x14ac:dyDescent="0.3"/>
    <row r="2429" spans="2:33" ht="15" customHeight="1" x14ac:dyDescent="0.3"/>
    <row r="2430" spans="2:33" ht="15" customHeight="1" x14ac:dyDescent="0.3"/>
    <row r="2431" spans="2:33" ht="15" customHeight="1" x14ac:dyDescent="0.3"/>
    <row r="2432" spans="2:33" ht="15" customHeight="1" x14ac:dyDescent="0.3"/>
    <row r="2433" ht="15" customHeight="1" x14ac:dyDescent="0.3"/>
    <row r="2434" ht="15" customHeight="1" x14ac:dyDescent="0.3"/>
    <row r="2435" ht="15" customHeight="1" x14ac:dyDescent="0.3"/>
    <row r="2436" ht="15" customHeight="1" x14ac:dyDescent="0.3"/>
    <row r="2437" ht="15" customHeight="1" x14ac:dyDescent="0.3"/>
    <row r="2450" ht="15" customHeight="1" x14ac:dyDescent="0.3"/>
    <row r="2451" ht="15" customHeight="1" x14ac:dyDescent="0.3"/>
    <row r="2452" ht="15" customHeight="1" x14ac:dyDescent="0.3"/>
    <row r="2453" ht="15" customHeight="1" x14ac:dyDescent="0.3"/>
    <row r="2454" ht="15" customHeight="1" x14ac:dyDescent="0.3"/>
    <row r="2455" ht="15" customHeight="1" x14ac:dyDescent="0.3"/>
    <row r="2457" ht="15" customHeight="1" x14ac:dyDescent="0.3"/>
    <row r="2459" ht="15" customHeight="1" x14ac:dyDescent="0.3"/>
    <row r="2461" ht="15" customHeight="1" x14ac:dyDescent="0.3"/>
    <row r="2462" ht="15" customHeight="1" x14ac:dyDescent="0.3"/>
    <row r="2463" ht="15" customHeight="1" x14ac:dyDescent="0.3"/>
    <row r="2464" ht="15" customHeight="1" x14ac:dyDescent="0.3"/>
    <row r="2465" ht="15" customHeight="1" x14ac:dyDescent="0.3"/>
    <row r="2467" ht="15" customHeight="1" x14ac:dyDescent="0.3"/>
    <row r="2468" ht="15" customHeight="1" x14ac:dyDescent="0.3"/>
    <row r="2469" ht="15" customHeight="1" x14ac:dyDescent="0.3"/>
    <row r="2470" ht="15" customHeight="1" x14ac:dyDescent="0.3"/>
    <row r="2471" ht="15" customHeight="1" x14ac:dyDescent="0.3"/>
    <row r="2472" ht="15" customHeight="1" x14ac:dyDescent="0.3"/>
    <row r="2473" ht="15" customHeight="1" x14ac:dyDescent="0.3"/>
    <row r="2475" ht="15" customHeight="1" x14ac:dyDescent="0.3"/>
    <row r="2476" ht="15" customHeight="1" x14ac:dyDescent="0.3"/>
    <row r="2477" ht="15" customHeight="1" x14ac:dyDescent="0.3"/>
    <row r="2478" ht="15" customHeight="1" x14ac:dyDescent="0.3"/>
    <row r="2479" ht="15" customHeight="1" x14ac:dyDescent="0.3"/>
    <row r="2480" ht="15" customHeight="1" x14ac:dyDescent="0.3"/>
    <row r="2481" ht="15" customHeight="1" x14ac:dyDescent="0.3"/>
    <row r="2482" ht="15" customHeight="1" x14ac:dyDescent="0.3"/>
    <row r="2483" ht="15" customHeight="1" x14ac:dyDescent="0.3"/>
    <row r="2484" ht="15" customHeight="1" x14ac:dyDescent="0.3"/>
    <row r="2486" ht="15" customHeight="1" x14ac:dyDescent="0.3"/>
    <row r="2488" ht="15" customHeight="1" x14ac:dyDescent="0.3"/>
    <row r="2489" ht="15" customHeight="1" x14ac:dyDescent="0.3"/>
    <row r="2490" ht="15" customHeight="1" x14ac:dyDescent="0.3"/>
    <row r="2491" ht="15" customHeight="1" x14ac:dyDescent="0.3"/>
    <row r="2492" ht="15" customHeight="1" x14ac:dyDescent="0.3"/>
    <row r="2495" ht="15" customHeight="1" x14ac:dyDescent="0.3"/>
    <row r="2496" ht="15" customHeight="1" x14ac:dyDescent="0.3"/>
    <row r="2498" spans="2:33" ht="15" customHeight="1" x14ac:dyDescent="0.3"/>
    <row r="2499" spans="2:33" ht="15" customHeight="1" x14ac:dyDescent="0.3"/>
    <row r="2500" spans="2:33" ht="15" customHeight="1" x14ac:dyDescent="0.3"/>
    <row r="2501" spans="2:33" ht="15" customHeight="1" x14ac:dyDescent="0.3"/>
    <row r="2502" spans="2:33" ht="15" customHeight="1" x14ac:dyDescent="0.3"/>
    <row r="2504" spans="2:33" ht="15" customHeight="1" x14ac:dyDescent="0.3"/>
    <row r="2505" spans="2:33" ht="15" customHeight="1" x14ac:dyDescent="0.3"/>
    <row r="2506" spans="2:33" ht="15" customHeight="1" x14ac:dyDescent="0.3"/>
    <row r="2507" spans="2:33" ht="15" customHeight="1" x14ac:dyDescent="0.3"/>
    <row r="2508" spans="2:33" ht="15" customHeight="1" x14ac:dyDescent="0.3"/>
    <row r="2509" spans="2:33" ht="15" customHeight="1" x14ac:dyDescent="0.3">
      <c r="B2509" s="62"/>
      <c r="C2509" s="62"/>
      <c r="D2509" s="62"/>
      <c r="E2509" s="62"/>
      <c r="F2509" s="62"/>
      <c r="G2509" s="62"/>
      <c r="H2509" s="62"/>
      <c r="I2509" s="62"/>
      <c r="J2509" s="62"/>
      <c r="K2509" s="62"/>
      <c r="L2509" s="62"/>
      <c r="M2509" s="62"/>
      <c r="N2509" s="62"/>
      <c r="O2509" s="62"/>
      <c r="P2509" s="62"/>
      <c r="Q2509" s="62"/>
      <c r="R2509" s="62"/>
      <c r="S2509" s="62"/>
      <c r="T2509" s="62"/>
      <c r="U2509" s="62"/>
      <c r="V2509" s="62"/>
      <c r="W2509" s="62"/>
      <c r="X2509" s="62"/>
      <c r="Y2509" s="62"/>
      <c r="Z2509" s="62"/>
      <c r="AA2509" s="62"/>
      <c r="AB2509" s="62"/>
      <c r="AC2509" s="62"/>
      <c r="AD2509" s="62"/>
      <c r="AE2509" s="62"/>
      <c r="AF2509" s="62"/>
      <c r="AG2509" s="62"/>
    </row>
    <row r="2510" spans="2:33" ht="15" customHeight="1" x14ac:dyDescent="0.3"/>
    <row r="2511" spans="2:33" ht="15" customHeight="1" x14ac:dyDescent="0.3"/>
    <row r="2512" spans="2:33" ht="15" customHeight="1" x14ac:dyDescent="0.3"/>
    <row r="2513" ht="15" customHeight="1" x14ac:dyDescent="0.3"/>
    <row r="2514" ht="15" customHeight="1" x14ac:dyDescent="0.3"/>
    <row r="2515" ht="15" customHeight="1" x14ac:dyDescent="0.3"/>
    <row r="2516" ht="15" customHeight="1" x14ac:dyDescent="0.3"/>
    <row r="2517" ht="15" customHeight="1" x14ac:dyDescent="0.3"/>
    <row r="2518" ht="15" customHeight="1" x14ac:dyDescent="0.3"/>
    <row r="2519" ht="15" customHeight="1" x14ac:dyDescent="0.3"/>
    <row r="2520" ht="15" customHeight="1" x14ac:dyDescent="0.3"/>
    <row r="2521" ht="15" customHeight="1" x14ac:dyDescent="0.3"/>
    <row r="2522" ht="15" customHeight="1" x14ac:dyDescent="0.3"/>
    <row r="2523" ht="15" customHeight="1" x14ac:dyDescent="0.3"/>
    <row r="2524" ht="15" customHeight="1" x14ac:dyDescent="0.3"/>
    <row r="2525" ht="15" customHeight="1" x14ac:dyDescent="0.3"/>
    <row r="2526" ht="15" customHeight="1" x14ac:dyDescent="0.3"/>
    <row r="2527" ht="15" customHeight="1" x14ac:dyDescent="0.3"/>
    <row r="2528" ht="15" customHeight="1" x14ac:dyDescent="0.3"/>
    <row r="2529" ht="15" customHeight="1" x14ac:dyDescent="0.3"/>
    <row r="2550" ht="15" customHeight="1" x14ac:dyDescent="0.3"/>
    <row r="2551" ht="15" customHeight="1" x14ac:dyDescent="0.3"/>
    <row r="2552" ht="15" customHeight="1" x14ac:dyDescent="0.3"/>
    <row r="2553" ht="15" customHeight="1" x14ac:dyDescent="0.3"/>
    <row r="2554" ht="15" customHeight="1" x14ac:dyDescent="0.3"/>
    <row r="2555" ht="15" customHeight="1" x14ac:dyDescent="0.3"/>
    <row r="2556" ht="15" customHeight="1" x14ac:dyDescent="0.3"/>
    <row r="2557" ht="15" customHeight="1" x14ac:dyDescent="0.3"/>
    <row r="2558" ht="15" customHeight="1" x14ac:dyDescent="0.3"/>
    <row r="2559" ht="15" customHeight="1" x14ac:dyDescent="0.3"/>
    <row r="2561" ht="15" customHeight="1" x14ac:dyDescent="0.3"/>
    <row r="2562" ht="15" customHeight="1" x14ac:dyDescent="0.3"/>
    <row r="2563" ht="15" customHeight="1" x14ac:dyDescent="0.3"/>
    <row r="2564" ht="15" customHeight="1" x14ac:dyDescent="0.3"/>
    <row r="2565" ht="15" customHeight="1" x14ac:dyDescent="0.3"/>
    <row r="2566" ht="15" customHeight="1" x14ac:dyDescent="0.3"/>
    <row r="2568" ht="15" customHeight="1" x14ac:dyDescent="0.3"/>
    <row r="2569" ht="15" customHeight="1" x14ac:dyDescent="0.3"/>
    <row r="2570" ht="15" customHeight="1" x14ac:dyDescent="0.3"/>
    <row r="2571" ht="15" customHeight="1" x14ac:dyDescent="0.3"/>
    <row r="2572" ht="15" customHeight="1" x14ac:dyDescent="0.3"/>
    <row r="2573" ht="15" customHeight="1" x14ac:dyDescent="0.3"/>
    <row r="2575" ht="15" customHeight="1" x14ac:dyDescent="0.3"/>
    <row r="2576" ht="15" customHeight="1" x14ac:dyDescent="0.3"/>
    <row r="2577" ht="15" customHeight="1" x14ac:dyDescent="0.3"/>
    <row r="2578" ht="15" customHeight="1" x14ac:dyDescent="0.3"/>
    <row r="2579" ht="15" customHeight="1" x14ac:dyDescent="0.3"/>
    <row r="2581" ht="15" customHeight="1" x14ac:dyDescent="0.3"/>
    <row r="2582" ht="15" customHeight="1" x14ac:dyDescent="0.3"/>
    <row r="2583" ht="15" customHeight="1" x14ac:dyDescent="0.3"/>
    <row r="2584" ht="15" customHeight="1" x14ac:dyDescent="0.3"/>
    <row r="2585" ht="15" customHeight="1" x14ac:dyDescent="0.3"/>
    <row r="2586" ht="15" customHeight="1" x14ac:dyDescent="0.3"/>
    <row r="2588" ht="15" customHeight="1" x14ac:dyDescent="0.3"/>
    <row r="2589" ht="15" customHeight="1" x14ac:dyDescent="0.3"/>
    <row r="2590" ht="15" customHeight="1" x14ac:dyDescent="0.3"/>
    <row r="2591" ht="15" customHeight="1" x14ac:dyDescent="0.3"/>
    <row r="2592" ht="15" customHeight="1" x14ac:dyDescent="0.3"/>
    <row r="2593" spans="2:33" ht="15" customHeight="1" x14ac:dyDescent="0.3"/>
    <row r="2595" spans="2:33" ht="15" customHeight="1" x14ac:dyDescent="0.3"/>
    <row r="2596" spans="2:33" ht="15" customHeight="1" x14ac:dyDescent="0.3"/>
    <row r="2597" spans="2:33" ht="15" customHeight="1" x14ac:dyDescent="0.3"/>
    <row r="2598" spans="2:33" ht="15" customHeight="1" x14ac:dyDescent="0.3">
      <c r="B2598" s="62"/>
      <c r="C2598" s="62"/>
      <c r="D2598" s="62"/>
      <c r="E2598" s="62"/>
      <c r="F2598" s="62"/>
      <c r="G2598" s="62"/>
      <c r="H2598" s="62"/>
      <c r="I2598" s="62"/>
      <c r="J2598" s="62"/>
      <c r="K2598" s="62"/>
      <c r="L2598" s="62"/>
      <c r="M2598" s="62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</row>
    <row r="2599" spans="2:33" ht="15" customHeight="1" x14ac:dyDescent="0.3"/>
    <row r="2600" spans="2:33" ht="15" customHeight="1" x14ac:dyDescent="0.3"/>
    <row r="2601" spans="2:33" ht="15" customHeight="1" x14ac:dyDescent="0.3"/>
    <row r="2602" spans="2:33" ht="15" customHeight="1" x14ac:dyDescent="0.3"/>
    <row r="2603" spans="2:33" ht="15" customHeight="1" x14ac:dyDescent="0.3"/>
    <row r="2604" spans="2:33" ht="15" customHeight="1" x14ac:dyDescent="0.3"/>
    <row r="2605" spans="2:33" ht="15" customHeight="1" x14ac:dyDescent="0.3"/>
    <row r="2606" spans="2:33" ht="15" customHeight="1" x14ac:dyDescent="0.3"/>
    <row r="2607" spans="2:33" ht="15" customHeight="1" x14ac:dyDescent="0.3"/>
    <row r="2608" spans="2:33" ht="15" customHeight="1" x14ac:dyDescent="0.3"/>
    <row r="2609" ht="15" customHeight="1" x14ac:dyDescent="0.3"/>
    <row r="2610" ht="15" customHeight="1" x14ac:dyDescent="0.3"/>
    <row r="2611" ht="15" customHeight="1" x14ac:dyDescent="0.3"/>
    <row r="2612" ht="15" customHeight="1" x14ac:dyDescent="0.3"/>
    <row r="2613" ht="15" customHeight="1" x14ac:dyDescent="0.3"/>
    <row r="2614" ht="15" customHeight="1" x14ac:dyDescent="0.3"/>
    <row r="2615" ht="15" customHeight="1" x14ac:dyDescent="0.3"/>
    <row r="2625" ht="15" customHeight="1" x14ac:dyDescent="0.3"/>
    <row r="2626" ht="15" customHeight="1" x14ac:dyDescent="0.3"/>
    <row r="2627" ht="15" customHeight="1" x14ac:dyDescent="0.3"/>
    <row r="2628" ht="15" customHeight="1" x14ac:dyDescent="0.3"/>
    <row r="2629" ht="15" customHeight="1" x14ac:dyDescent="0.3"/>
    <row r="2630" ht="15" customHeight="1" x14ac:dyDescent="0.3"/>
    <row r="2631" ht="15" customHeight="1" x14ac:dyDescent="0.3"/>
    <row r="2632" ht="15" customHeight="1" x14ac:dyDescent="0.3"/>
    <row r="2633" ht="15" customHeight="1" x14ac:dyDescent="0.3"/>
    <row r="2634" ht="15" customHeight="1" x14ac:dyDescent="0.3"/>
    <row r="2635" ht="15" customHeight="1" x14ac:dyDescent="0.3"/>
    <row r="2636" ht="15" customHeight="1" x14ac:dyDescent="0.3"/>
    <row r="2637" ht="15" customHeight="1" x14ac:dyDescent="0.3"/>
    <row r="2638" ht="15" customHeight="1" x14ac:dyDescent="0.3"/>
    <row r="2639" ht="15" customHeight="1" x14ac:dyDescent="0.3"/>
    <row r="2640" ht="15" customHeight="1" x14ac:dyDescent="0.3"/>
    <row r="2641" ht="15" customHeight="1" x14ac:dyDescent="0.3"/>
    <row r="2642" ht="15" customHeight="1" x14ac:dyDescent="0.3"/>
    <row r="2643" ht="15" customHeight="1" x14ac:dyDescent="0.3"/>
    <row r="2644" ht="15" customHeight="1" x14ac:dyDescent="0.3"/>
    <row r="2645" ht="15" customHeight="1" x14ac:dyDescent="0.3"/>
    <row r="2646" ht="15" customHeight="1" x14ac:dyDescent="0.3"/>
    <row r="2648" ht="15" customHeight="1" x14ac:dyDescent="0.3"/>
    <row r="2649" ht="15" customHeight="1" x14ac:dyDescent="0.3"/>
    <row r="2650" ht="15" customHeight="1" x14ac:dyDescent="0.3"/>
    <row r="2651" ht="15" customHeight="1" x14ac:dyDescent="0.3"/>
    <row r="2652" ht="15" customHeight="1" x14ac:dyDescent="0.3"/>
    <row r="2653" ht="15" customHeight="1" x14ac:dyDescent="0.3"/>
    <row r="2654" ht="15" customHeight="1" x14ac:dyDescent="0.3"/>
    <row r="2655" ht="15" customHeight="1" x14ac:dyDescent="0.3"/>
    <row r="2656" ht="15" customHeight="1" x14ac:dyDescent="0.3"/>
    <row r="2657" ht="15" customHeight="1" x14ac:dyDescent="0.3"/>
    <row r="2658" ht="15" customHeight="1" x14ac:dyDescent="0.3"/>
    <row r="2659" ht="15" customHeight="1" x14ac:dyDescent="0.3"/>
    <row r="2662" ht="15" customHeight="1" x14ac:dyDescent="0.3"/>
    <row r="2663" ht="15" customHeight="1" x14ac:dyDescent="0.3"/>
    <row r="2664" ht="15" customHeight="1" x14ac:dyDescent="0.3"/>
    <row r="2665" ht="15" customHeight="1" x14ac:dyDescent="0.3"/>
    <row r="2666" ht="15" customHeight="1" x14ac:dyDescent="0.3"/>
    <row r="2667" ht="15" customHeight="1" x14ac:dyDescent="0.3"/>
    <row r="2668" ht="15" customHeight="1" x14ac:dyDescent="0.3"/>
    <row r="2669" ht="15" customHeight="1" x14ac:dyDescent="0.3"/>
    <row r="2670" ht="15" customHeight="1" x14ac:dyDescent="0.3"/>
    <row r="2671" ht="15" customHeight="1" x14ac:dyDescent="0.3"/>
    <row r="2672" ht="15" customHeight="1" x14ac:dyDescent="0.3"/>
    <row r="2673" ht="15" customHeight="1" x14ac:dyDescent="0.3"/>
    <row r="2674" ht="15" customHeight="1" x14ac:dyDescent="0.3"/>
    <row r="2675" ht="15" customHeight="1" x14ac:dyDescent="0.3"/>
    <row r="2676" ht="15" customHeight="1" x14ac:dyDescent="0.3"/>
    <row r="2677" ht="15" customHeight="1" x14ac:dyDescent="0.3"/>
    <row r="2678" ht="15" customHeight="1" x14ac:dyDescent="0.3"/>
    <row r="2679" ht="15" customHeight="1" x14ac:dyDescent="0.3"/>
    <row r="2680" ht="15" customHeight="1" x14ac:dyDescent="0.3"/>
    <row r="2681" ht="15" customHeight="1" x14ac:dyDescent="0.3"/>
    <row r="2682" ht="15" customHeight="1" x14ac:dyDescent="0.3"/>
    <row r="2683" ht="15" customHeight="1" x14ac:dyDescent="0.3"/>
    <row r="2684" ht="15" customHeight="1" x14ac:dyDescent="0.3"/>
    <row r="2685" ht="15" customHeight="1" x14ac:dyDescent="0.3"/>
    <row r="2686" ht="15" customHeight="1" x14ac:dyDescent="0.3"/>
    <row r="2687" ht="15" customHeight="1" x14ac:dyDescent="0.3"/>
    <row r="2689" ht="15" customHeight="1" x14ac:dyDescent="0.3"/>
    <row r="2690" ht="15" customHeight="1" x14ac:dyDescent="0.3"/>
    <row r="2691" ht="15" customHeight="1" x14ac:dyDescent="0.3"/>
    <row r="2692" ht="15" customHeight="1" x14ac:dyDescent="0.3"/>
    <row r="2693" ht="15" customHeight="1" x14ac:dyDescent="0.3"/>
    <row r="2694" ht="15" customHeight="1" x14ac:dyDescent="0.3"/>
    <row r="2695" ht="15" customHeight="1" x14ac:dyDescent="0.3"/>
    <row r="2696" ht="15" customHeight="1" x14ac:dyDescent="0.3"/>
    <row r="2697" ht="15" customHeight="1" x14ac:dyDescent="0.3"/>
    <row r="2698" ht="15" customHeight="1" x14ac:dyDescent="0.3"/>
    <row r="2699" ht="15" customHeight="1" x14ac:dyDescent="0.3"/>
    <row r="2700" ht="15" customHeight="1" x14ac:dyDescent="0.3"/>
    <row r="2701" ht="15" customHeight="1" x14ac:dyDescent="0.3"/>
    <row r="2702" ht="15" customHeight="1" x14ac:dyDescent="0.3"/>
    <row r="2703" ht="15" customHeight="1" x14ac:dyDescent="0.3"/>
    <row r="2704" ht="15" customHeight="1" x14ac:dyDescent="0.3"/>
    <row r="2707" spans="2:33" ht="15" customHeight="1" x14ac:dyDescent="0.3"/>
    <row r="2708" spans="2:33" ht="15" customHeight="1" x14ac:dyDescent="0.3"/>
    <row r="2709" spans="2:33" ht="15" customHeight="1" x14ac:dyDescent="0.3"/>
    <row r="2710" spans="2:33" ht="15" customHeight="1" x14ac:dyDescent="0.3"/>
    <row r="2711" spans="2:33" ht="15" customHeight="1" x14ac:dyDescent="0.3"/>
    <row r="2712" spans="2:33" ht="15" customHeight="1" x14ac:dyDescent="0.3"/>
    <row r="2713" spans="2:33" ht="15" customHeight="1" x14ac:dyDescent="0.3"/>
    <row r="2714" spans="2:33" ht="15" customHeight="1" x14ac:dyDescent="0.3"/>
    <row r="2715" spans="2:33" ht="15" customHeight="1" x14ac:dyDescent="0.3"/>
    <row r="2716" spans="2:33" ht="15" customHeight="1" x14ac:dyDescent="0.3"/>
    <row r="2717" spans="2:33" ht="15" customHeight="1" x14ac:dyDescent="0.3"/>
    <row r="2718" spans="2:33" ht="15" customHeight="1" x14ac:dyDescent="0.3"/>
    <row r="2719" spans="2:33" ht="15" customHeight="1" x14ac:dyDescent="0.3">
      <c r="B2719" s="62"/>
      <c r="C2719" s="62"/>
      <c r="D2719" s="62"/>
      <c r="E2719" s="62"/>
      <c r="F2719" s="62"/>
      <c r="G2719" s="62"/>
      <c r="H2719" s="62"/>
      <c r="I2719" s="62"/>
      <c r="J2719" s="62"/>
      <c r="K2719" s="62"/>
      <c r="L2719" s="62"/>
      <c r="M2719" s="62"/>
      <c r="N2719" s="62"/>
      <c r="O2719" s="62"/>
      <c r="P2719" s="62"/>
      <c r="Q2719" s="62"/>
      <c r="R2719" s="62"/>
      <c r="S2719" s="62"/>
      <c r="T2719" s="62"/>
      <c r="U2719" s="62"/>
      <c r="V2719" s="62"/>
      <c r="W2719" s="62"/>
      <c r="X2719" s="62"/>
      <c r="Y2719" s="62"/>
      <c r="Z2719" s="62"/>
      <c r="AA2719" s="62"/>
      <c r="AB2719" s="62"/>
      <c r="AC2719" s="62"/>
      <c r="AD2719" s="62"/>
      <c r="AE2719" s="62"/>
      <c r="AF2719" s="62"/>
      <c r="AG2719" s="62"/>
    </row>
    <row r="2720" spans="2:33" ht="15" customHeight="1" x14ac:dyDescent="0.3"/>
    <row r="2721" ht="15" customHeight="1" x14ac:dyDescent="0.3"/>
    <row r="2722" ht="15" customHeight="1" x14ac:dyDescent="0.3"/>
    <row r="2723" ht="15" customHeight="1" x14ac:dyDescent="0.3"/>
    <row r="2724" ht="15" customHeight="1" x14ac:dyDescent="0.3"/>
    <row r="2725" ht="15" customHeight="1" x14ac:dyDescent="0.3"/>
    <row r="2726" ht="15" customHeight="1" x14ac:dyDescent="0.3"/>
    <row r="2727" ht="15" customHeight="1" x14ac:dyDescent="0.3"/>
    <row r="2728" ht="15" customHeight="1" x14ac:dyDescent="0.3"/>
    <row r="2729" ht="15" customHeight="1" x14ac:dyDescent="0.3"/>
    <row r="2730" ht="15" customHeight="1" x14ac:dyDescent="0.3"/>
    <row r="2731" ht="15" customHeight="1" x14ac:dyDescent="0.3"/>
    <row r="2732" ht="15" customHeight="1" x14ac:dyDescent="0.3"/>
    <row r="2733" ht="15" customHeight="1" x14ac:dyDescent="0.3"/>
    <row r="2734" ht="15" customHeight="1" x14ac:dyDescent="0.3"/>
    <row r="2735" ht="15" customHeight="1" x14ac:dyDescent="0.3"/>
    <row r="2736" ht="15" customHeight="1" x14ac:dyDescent="0.3"/>
    <row r="2737" ht="15" customHeight="1" x14ac:dyDescent="0.3"/>
    <row r="2738" ht="15" customHeight="1" x14ac:dyDescent="0.3"/>
    <row r="2739" ht="15" customHeight="1" x14ac:dyDescent="0.3"/>
    <row r="2740" ht="15" customHeight="1" x14ac:dyDescent="0.3"/>
    <row r="2741" ht="15" customHeight="1" x14ac:dyDescent="0.3"/>
    <row r="2742" ht="15" customHeight="1" x14ac:dyDescent="0.3"/>
    <row r="2743" ht="15" customHeight="1" x14ac:dyDescent="0.3"/>
    <row r="2775" ht="15" customHeight="1" x14ac:dyDescent="0.3"/>
    <row r="2776" ht="15" customHeight="1" x14ac:dyDescent="0.3"/>
    <row r="2777" ht="15" customHeight="1" x14ac:dyDescent="0.3"/>
    <row r="2778" ht="15" customHeight="1" x14ac:dyDescent="0.3"/>
    <row r="2779" ht="15" customHeight="1" x14ac:dyDescent="0.3"/>
    <row r="2780" ht="15" customHeight="1" x14ac:dyDescent="0.3"/>
    <row r="2781" ht="15" customHeight="1" x14ac:dyDescent="0.3"/>
    <row r="2782" ht="15" customHeight="1" x14ac:dyDescent="0.3"/>
    <row r="2783" ht="15" customHeight="1" x14ac:dyDescent="0.3"/>
    <row r="2784" ht="15" customHeight="1" x14ac:dyDescent="0.3"/>
    <row r="2785" ht="15" customHeight="1" x14ac:dyDescent="0.3"/>
    <row r="2786" ht="15" customHeight="1" x14ac:dyDescent="0.3"/>
    <row r="2788" ht="15" customHeight="1" x14ac:dyDescent="0.3"/>
    <row r="2789" ht="15" customHeight="1" x14ac:dyDescent="0.3"/>
    <row r="2790" ht="15" customHeight="1" x14ac:dyDescent="0.3"/>
    <row r="2791" ht="15" customHeight="1" x14ac:dyDescent="0.3"/>
    <row r="2793" ht="15" customHeight="1" x14ac:dyDescent="0.3"/>
    <row r="2794" ht="15" customHeight="1" x14ac:dyDescent="0.3"/>
    <row r="2795" ht="15" customHeight="1" x14ac:dyDescent="0.3"/>
    <row r="2796" ht="15" customHeight="1" x14ac:dyDescent="0.3"/>
    <row r="2797" ht="15" customHeight="1" x14ac:dyDescent="0.3"/>
    <row r="2798" ht="15" customHeight="1" x14ac:dyDescent="0.3"/>
    <row r="2799" ht="15" customHeight="1" x14ac:dyDescent="0.3"/>
    <row r="2800" ht="15" customHeight="1" x14ac:dyDescent="0.3"/>
    <row r="2801" ht="15" customHeight="1" x14ac:dyDescent="0.3"/>
    <row r="2802" ht="15" customHeight="1" x14ac:dyDescent="0.3"/>
    <row r="2804" ht="15" customHeight="1" x14ac:dyDescent="0.3"/>
    <row r="2805" ht="15" customHeight="1" x14ac:dyDescent="0.3"/>
    <row r="2806" ht="15" customHeight="1" x14ac:dyDescent="0.3"/>
    <row r="2807" ht="15" customHeight="1" x14ac:dyDescent="0.3"/>
    <row r="2809" ht="15" customHeight="1" x14ac:dyDescent="0.3"/>
    <row r="2810" ht="15" customHeight="1" x14ac:dyDescent="0.3"/>
    <row r="2811" ht="15" customHeight="1" x14ac:dyDescent="0.3"/>
    <row r="2812" ht="15" customHeight="1" x14ac:dyDescent="0.3"/>
    <row r="2813" ht="15" customHeight="1" x14ac:dyDescent="0.3"/>
    <row r="2814" ht="15" customHeight="1" x14ac:dyDescent="0.3"/>
    <row r="2815" ht="15" customHeight="1" x14ac:dyDescent="0.3"/>
    <row r="2816" ht="15" customHeight="1" x14ac:dyDescent="0.3"/>
    <row r="2818" ht="15" customHeight="1" x14ac:dyDescent="0.3"/>
    <row r="2819" ht="15" customHeight="1" x14ac:dyDescent="0.3"/>
    <row r="2820" ht="15" customHeight="1" x14ac:dyDescent="0.3"/>
    <row r="2821" ht="15" customHeight="1" x14ac:dyDescent="0.3"/>
    <row r="2822" ht="15" customHeight="1" x14ac:dyDescent="0.3"/>
    <row r="2823" ht="15" customHeight="1" x14ac:dyDescent="0.3"/>
    <row r="2825" ht="15" customHeight="1" x14ac:dyDescent="0.3"/>
    <row r="2826" ht="15" customHeight="1" x14ac:dyDescent="0.3"/>
    <row r="2827" ht="15" customHeight="1" x14ac:dyDescent="0.3"/>
    <row r="2828" ht="15" customHeight="1" x14ac:dyDescent="0.3"/>
    <row r="2831" ht="15" customHeight="1" x14ac:dyDescent="0.3"/>
    <row r="2832" ht="15" customHeight="1" x14ac:dyDescent="0.3"/>
    <row r="2833" spans="2:33" ht="15" customHeight="1" x14ac:dyDescent="0.3"/>
    <row r="2834" spans="2:33" ht="15" customHeight="1" x14ac:dyDescent="0.3"/>
    <row r="2835" spans="2:33" ht="15" customHeight="1" x14ac:dyDescent="0.3"/>
    <row r="2836" spans="2:33" ht="15" customHeight="1" x14ac:dyDescent="0.3"/>
    <row r="2837" spans="2:33" ht="15" customHeight="1" x14ac:dyDescent="0.3">
      <c r="B2837" s="62"/>
      <c r="C2837" s="62"/>
      <c r="D2837" s="62"/>
      <c r="E2837" s="62"/>
      <c r="F2837" s="62"/>
      <c r="G2837" s="62"/>
      <c r="H2837" s="62"/>
      <c r="I2837" s="62"/>
      <c r="J2837" s="62"/>
      <c r="K2837" s="62"/>
      <c r="L2837" s="62"/>
      <c r="M2837" s="62"/>
      <c r="N2837" s="62"/>
      <c r="O2837" s="62"/>
      <c r="P2837" s="62"/>
      <c r="Q2837" s="62"/>
      <c r="R2837" s="62"/>
      <c r="S2837" s="62"/>
      <c r="T2837" s="62"/>
      <c r="U2837" s="62"/>
      <c r="V2837" s="62"/>
      <c r="W2837" s="62"/>
      <c r="X2837" s="62"/>
      <c r="Y2837" s="62"/>
      <c r="Z2837" s="62"/>
      <c r="AA2837" s="62"/>
      <c r="AB2837" s="62"/>
      <c r="AC2837" s="62"/>
      <c r="AD2837" s="62"/>
      <c r="AE2837" s="62"/>
      <c r="AF2837" s="62"/>
      <c r="AG2837" s="62"/>
    </row>
    <row r="2838" spans="2:33" ht="15" customHeight="1" x14ac:dyDescent="0.3"/>
    <row r="2839" spans="2:33" ht="15" customHeight="1" x14ac:dyDescent="0.3"/>
    <row r="2840" spans="2:33" ht="15" customHeight="1" x14ac:dyDescent="0.3"/>
    <row r="2841" spans="2:33" ht="15" customHeight="1" x14ac:dyDescent="0.3"/>
  </sheetData>
  <mergeCells count="19">
    <mergeCell ref="B2031:AG2031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1945:AG1945"/>
    <mergeCell ref="B2837:AG2837"/>
    <mergeCell ref="B2153:AG2153"/>
    <mergeCell ref="B2317:AG2317"/>
    <mergeCell ref="B2419:AG2419"/>
    <mergeCell ref="B2509:AG2509"/>
    <mergeCell ref="B2598:AG2598"/>
    <mergeCell ref="B2719:AG27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EFAF-451C-49D3-BFB4-3F4D2576DA7D}">
  <dimension ref="A1:AH2837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55" sqref="J55"/>
    </sheetView>
  </sheetViews>
  <sheetFormatPr defaultColWidth="9.109375" defaultRowHeight="15" customHeight="1" x14ac:dyDescent="0.3"/>
  <cols>
    <col min="1" max="1" width="21.88671875" customWidth="1"/>
    <col min="2" max="2" width="49" customWidth="1"/>
  </cols>
  <sheetData>
    <row r="1" spans="1:34" ht="15" customHeight="1" thickBot="1" x14ac:dyDescent="0.35">
      <c r="B1" s="13" t="s">
        <v>221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4" ht="15" customHeight="1" thickTop="1" x14ac:dyDescent="0.3"/>
    <row r="3" spans="1:34" ht="15" customHeight="1" x14ac:dyDescent="0.3">
      <c r="C3" s="23" t="s">
        <v>46</v>
      </c>
      <c r="D3" s="23" t="s">
        <v>222</v>
      </c>
      <c r="E3" s="24"/>
      <c r="F3" s="24"/>
      <c r="G3" s="24"/>
      <c r="H3" s="24"/>
    </row>
    <row r="4" spans="1:34" ht="15" customHeight="1" x14ac:dyDescent="0.3">
      <c r="C4" s="23" t="s">
        <v>48</v>
      </c>
      <c r="D4" s="23" t="s">
        <v>223</v>
      </c>
      <c r="E4" s="24"/>
      <c r="F4" s="24"/>
      <c r="G4" s="23" t="s">
        <v>224</v>
      </c>
      <c r="H4" s="24"/>
    </row>
    <row r="5" spans="1:34" ht="15" customHeight="1" x14ac:dyDescent="0.3">
      <c r="C5" s="23" t="s">
        <v>51</v>
      </c>
      <c r="D5" s="23" t="s">
        <v>225</v>
      </c>
      <c r="E5" s="24"/>
      <c r="F5" s="24"/>
      <c r="G5" s="24"/>
      <c r="H5" s="24"/>
    </row>
    <row r="6" spans="1:34" ht="15" customHeight="1" x14ac:dyDescent="0.3">
      <c r="C6" s="23" t="s">
        <v>53</v>
      </c>
      <c r="D6" s="24"/>
      <c r="E6" s="23" t="s">
        <v>226</v>
      </c>
      <c r="F6" s="24"/>
      <c r="G6" s="24"/>
      <c r="H6" s="24"/>
    </row>
    <row r="7" spans="1:34" ht="15" customHeight="1" x14ac:dyDescent="0.3">
      <c r="C7" s="24"/>
      <c r="D7" s="24"/>
      <c r="E7" s="24"/>
      <c r="F7" s="24"/>
      <c r="G7" s="24"/>
      <c r="H7" s="24"/>
    </row>
    <row r="10" spans="1:34" ht="15" customHeight="1" x14ac:dyDescent="0.3">
      <c r="A10" s="6" t="s">
        <v>55</v>
      </c>
      <c r="B10" s="15" t="s">
        <v>56</v>
      </c>
      <c r="AH10" s="25" t="s">
        <v>227</v>
      </c>
    </row>
    <row r="11" spans="1:34" ht="15" customHeight="1" x14ac:dyDescent="0.3">
      <c r="B11" s="13" t="s">
        <v>228</v>
      </c>
      <c r="AH11" s="25" t="s">
        <v>229</v>
      </c>
    </row>
    <row r="12" spans="1:34" ht="15" customHeight="1" x14ac:dyDescent="0.3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5" t="s">
        <v>230</v>
      </c>
    </row>
    <row r="13" spans="1:34" ht="15" customHeight="1" thickBot="1" x14ac:dyDescent="0.35">
      <c r="B13" s="14" t="s">
        <v>61</v>
      </c>
      <c r="C13" s="14">
        <v>2020</v>
      </c>
      <c r="D13" s="14">
        <v>2021</v>
      </c>
      <c r="E13" s="14">
        <v>2022</v>
      </c>
      <c r="F13" s="14">
        <v>2023</v>
      </c>
      <c r="G13" s="14">
        <v>2024</v>
      </c>
      <c r="H13" s="14">
        <v>2025</v>
      </c>
      <c r="I13" s="14">
        <v>2026</v>
      </c>
      <c r="J13" s="14">
        <v>2027</v>
      </c>
      <c r="K13" s="14">
        <v>2028</v>
      </c>
      <c r="L13" s="14">
        <v>2029</v>
      </c>
      <c r="M13" s="14">
        <v>2030</v>
      </c>
      <c r="N13" s="14">
        <v>2031</v>
      </c>
      <c r="O13" s="14">
        <v>2032</v>
      </c>
      <c r="P13" s="14">
        <v>2033</v>
      </c>
      <c r="Q13" s="14">
        <v>2034</v>
      </c>
      <c r="R13" s="14">
        <v>2035</v>
      </c>
      <c r="S13" s="14">
        <v>2036</v>
      </c>
      <c r="T13" s="14">
        <v>2037</v>
      </c>
      <c r="U13" s="14">
        <v>2038</v>
      </c>
      <c r="V13" s="14">
        <v>2039</v>
      </c>
      <c r="W13" s="14">
        <v>2040</v>
      </c>
      <c r="X13" s="14">
        <v>2041</v>
      </c>
      <c r="Y13" s="14">
        <v>2042</v>
      </c>
      <c r="Z13" s="14">
        <v>2043</v>
      </c>
      <c r="AA13" s="14">
        <v>2044</v>
      </c>
      <c r="AB13" s="14">
        <v>2045</v>
      </c>
      <c r="AC13" s="14">
        <v>2046</v>
      </c>
      <c r="AD13" s="14">
        <v>2047</v>
      </c>
      <c r="AE13" s="14">
        <v>2048</v>
      </c>
      <c r="AF13" s="14">
        <v>2049</v>
      </c>
      <c r="AG13" s="14">
        <v>2050</v>
      </c>
      <c r="AH13" s="26" t="s">
        <v>231</v>
      </c>
    </row>
    <row r="14" spans="1:34" ht="15" customHeight="1" thickTop="1" x14ac:dyDescent="0.3"/>
    <row r="15" spans="1:34" ht="15" customHeight="1" x14ac:dyDescent="0.3">
      <c r="B15" s="16" t="s">
        <v>63</v>
      </c>
    </row>
    <row r="16" spans="1:34" ht="15" customHeight="1" x14ac:dyDescent="0.3">
      <c r="A16" s="6" t="s">
        <v>64</v>
      </c>
      <c r="B16" s="17" t="s">
        <v>65</v>
      </c>
      <c r="C16" s="22">
        <v>17.296467</v>
      </c>
      <c r="D16" s="22">
        <v>17.183254000000002</v>
      </c>
      <c r="E16" s="22">
        <v>17.386811999999999</v>
      </c>
      <c r="F16" s="22">
        <v>17.278085999999998</v>
      </c>
      <c r="G16" s="22">
        <v>17.282633000000001</v>
      </c>
      <c r="H16" s="22">
        <v>17.365963000000001</v>
      </c>
      <c r="I16" s="22">
        <v>17.281718999999999</v>
      </c>
      <c r="J16" s="22">
        <v>17.232769000000001</v>
      </c>
      <c r="K16" s="22">
        <v>17.352678000000001</v>
      </c>
      <c r="L16" s="22">
        <v>17.525155999999999</v>
      </c>
      <c r="M16" s="22">
        <v>18.105442</v>
      </c>
      <c r="N16" s="22">
        <v>18.397449000000002</v>
      </c>
      <c r="O16" s="22">
        <v>18.665576999999999</v>
      </c>
      <c r="P16" s="22">
        <v>18.886859999999999</v>
      </c>
      <c r="Q16" s="22">
        <v>19.101889</v>
      </c>
      <c r="R16" s="22">
        <v>19.237110000000001</v>
      </c>
      <c r="S16" s="22">
        <v>19.411159999999999</v>
      </c>
      <c r="T16" s="22">
        <v>19.712313000000002</v>
      </c>
      <c r="U16" s="22">
        <v>19.979467</v>
      </c>
      <c r="V16" s="22">
        <v>20.173356999999999</v>
      </c>
      <c r="W16" s="22">
        <v>20.375391</v>
      </c>
      <c r="X16" s="22">
        <v>20.580265000000001</v>
      </c>
      <c r="Y16" s="22">
        <v>20.773108000000001</v>
      </c>
      <c r="Z16" s="22">
        <v>20.871334000000001</v>
      </c>
      <c r="AA16" s="22">
        <v>21.039562</v>
      </c>
      <c r="AB16" s="22">
        <v>21.186533000000001</v>
      </c>
      <c r="AC16" s="22">
        <v>21.381789999999999</v>
      </c>
      <c r="AD16" s="22">
        <v>21.587627000000001</v>
      </c>
      <c r="AE16" s="22">
        <v>21.790129</v>
      </c>
      <c r="AF16" s="22">
        <v>22.029543</v>
      </c>
      <c r="AG16" s="22">
        <v>22.264085999999999</v>
      </c>
      <c r="AH16" s="19">
        <v>8.4510000000000002E-3</v>
      </c>
    </row>
    <row r="17" spans="1:34" ht="15" customHeight="1" x14ac:dyDescent="0.3">
      <c r="A17" s="6" t="s">
        <v>66</v>
      </c>
      <c r="B17" s="17" t="s">
        <v>67</v>
      </c>
      <c r="C17" s="22">
        <v>17.748362</v>
      </c>
      <c r="D17" s="22">
        <v>17.778863999999999</v>
      </c>
      <c r="E17" s="22">
        <v>18.840993999999998</v>
      </c>
      <c r="F17" s="22">
        <v>20.194541999999998</v>
      </c>
      <c r="G17" s="22">
        <v>20.900642000000001</v>
      </c>
      <c r="H17" s="22">
        <v>21.347785999999999</v>
      </c>
      <c r="I17" s="22">
        <v>21.959849999999999</v>
      </c>
      <c r="J17" s="22">
        <v>22.373480000000001</v>
      </c>
      <c r="K17" s="22">
        <v>22.572247000000001</v>
      </c>
      <c r="L17" s="22">
        <v>22.803101999999999</v>
      </c>
      <c r="M17" s="22">
        <v>23.134236999999999</v>
      </c>
      <c r="N17" s="22">
        <v>23.233163999999999</v>
      </c>
      <c r="O17" s="22">
        <v>23.457367000000001</v>
      </c>
      <c r="P17" s="22">
        <v>23.595133000000001</v>
      </c>
      <c r="Q17" s="22">
        <v>23.692457000000001</v>
      </c>
      <c r="R17" s="22">
        <v>23.53126</v>
      </c>
      <c r="S17" s="22">
        <v>23.427430999999999</v>
      </c>
      <c r="T17" s="22">
        <v>23.589839999999999</v>
      </c>
      <c r="U17" s="22">
        <v>23.769676</v>
      </c>
      <c r="V17" s="22">
        <v>23.632313</v>
      </c>
      <c r="W17" s="22">
        <v>24.000731999999999</v>
      </c>
      <c r="X17" s="22">
        <v>24.131430000000002</v>
      </c>
      <c r="Y17" s="22">
        <v>24.220469000000001</v>
      </c>
      <c r="Z17" s="22">
        <v>24.344158</v>
      </c>
      <c r="AA17" s="22">
        <v>24.514250000000001</v>
      </c>
      <c r="AB17" s="22">
        <v>24.754840999999999</v>
      </c>
      <c r="AC17" s="22">
        <v>24.880372999999999</v>
      </c>
      <c r="AD17" s="22">
        <v>24.974497</v>
      </c>
      <c r="AE17" s="22">
        <v>25.016258000000001</v>
      </c>
      <c r="AF17" s="22">
        <v>25.183064999999999</v>
      </c>
      <c r="AG17" s="22">
        <v>25.323920999999999</v>
      </c>
      <c r="AH17" s="19">
        <v>1.1919000000000001E-2</v>
      </c>
    </row>
    <row r="18" spans="1:34" ht="15" customHeight="1" x14ac:dyDescent="0.3">
      <c r="A18" s="6" t="s">
        <v>68</v>
      </c>
      <c r="B18" s="17" t="s">
        <v>69</v>
      </c>
      <c r="C18" s="22">
        <v>10.141716000000001</v>
      </c>
      <c r="D18" s="22">
        <v>10.51412</v>
      </c>
      <c r="E18" s="22">
        <v>10.202188</v>
      </c>
      <c r="F18" s="22">
        <v>9.9132259999999999</v>
      </c>
      <c r="G18" s="22">
        <v>9.6494809999999998</v>
      </c>
      <c r="H18" s="22">
        <v>9.6609160000000003</v>
      </c>
      <c r="I18" s="22">
        <v>9.7374840000000003</v>
      </c>
      <c r="J18" s="22">
        <v>9.8500920000000001</v>
      </c>
      <c r="K18" s="22">
        <v>9.9233119999999992</v>
      </c>
      <c r="L18" s="22">
        <v>10.06601</v>
      </c>
      <c r="M18" s="22">
        <v>10.422234</v>
      </c>
      <c r="N18" s="22">
        <v>10.498061</v>
      </c>
      <c r="O18" s="22">
        <v>10.580394</v>
      </c>
      <c r="P18" s="22">
        <v>10.658723</v>
      </c>
      <c r="Q18" s="22">
        <v>10.693797999999999</v>
      </c>
      <c r="R18" s="22">
        <v>10.700832</v>
      </c>
      <c r="S18" s="22">
        <v>10.715192</v>
      </c>
      <c r="T18" s="22">
        <v>10.731377999999999</v>
      </c>
      <c r="U18" s="22">
        <v>10.724482</v>
      </c>
      <c r="V18" s="22">
        <v>10.712460999999999</v>
      </c>
      <c r="W18" s="22">
        <v>10.708804000000001</v>
      </c>
      <c r="X18" s="22">
        <v>10.731961</v>
      </c>
      <c r="Y18" s="22">
        <v>10.757458</v>
      </c>
      <c r="Z18" s="22">
        <v>10.775259</v>
      </c>
      <c r="AA18" s="22">
        <v>10.802486</v>
      </c>
      <c r="AB18" s="22">
        <v>10.823373999999999</v>
      </c>
      <c r="AC18" s="22">
        <v>10.832981999999999</v>
      </c>
      <c r="AD18" s="22">
        <v>10.843533000000001</v>
      </c>
      <c r="AE18" s="22">
        <v>10.825556000000001</v>
      </c>
      <c r="AF18" s="22">
        <v>10.832338999999999</v>
      </c>
      <c r="AG18" s="22">
        <v>10.859444999999999</v>
      </c>
      <c r="AH18" s="19">
        <v>2.2820000000000002E-3</v>
      </c>
    </row>
    <row r="19" spans="1:34" ht="15" customHeight="1" x14ac:dyDescent="0.3">
      <c r="A19" s="6" t="s">
        <v>70</v>
      </c>
      <c r="B19" s="17" t="s">
        <v>71</v>
      </c>
      <c r="C19" s="22">
        <v>35.768967000000004</v>
      </c>
      <c r="D19" s="22">
        <v>36.572845000000001</v>
      </c>
      <c r="E19" s="22">
        <v>36.200896999999998</v>
      </c>
      <c r="F19" s="22">
        <v>35.847926999999999</v>
      </c>
      <c r="G19" s="22">
        <v>35.555779000000001</v>
      </c>
      <c r="H19" s="22">
        <v>35.370303999999997</v>
      </c>
      <c r="I19" s="22">
        <v>35.271217</v>
      </c>
      <c r="J19" s="22">
        <v>35.232407000000002</v>
      </c>
      <c r="K19" s="22">
        <v>35.179946999999999</v>
      </c>
      <c r="L19" s="22">
        <v>35.137309999999999</v>
      </c>
      <c r="M19" s="22">
        <v>35.114113000000003</v>
      </c>
      <c r="N19" s="22">
        <v>35.213706999999999</v>
      </c>
      <c r="O19" s="22">
        <v>35.215426999999998</v>
      </c>
      <c r="P19" s="22">
        <v>35.186942999999999</v>
      </c>
      <c r="Q19" s="22">
        <v>35.111834999999999</v>
      </c>
      <c r="R19" s="22">
        <v>34.965026999999999</v>
      </c>
      <c r="S19" s="22">
        <v>34.841293</v>
      </c>
      <c r="T19" s="22">
        <v>34.730331</v>
      </c>
      <c r="U19" s="22">
        <v>34.648322999999998</v>
      </c>
      <c r="V19" s="22">
        <v>34.567348000000003</v>
      </c>
      <c r="W19" s="22">
        <v>34.484665</v>
      </c>
      <c r="X19" s="22">
        <v>34.428879000000002</v>
      </c>
      <c r="Y19" s="22">
        <v>34.354916000000003</v>
      </c>
      <c r="Z19" s="22">
        <v>34.264564999999997</v>
      </c>
      <c r="AA19" s="22">
        <v>34.180298000000001</v>
      </c>
      <c r="AB19" s="22">
        <v>34.138596</v>
      </c>
      <c r="AC19" s="22">
        <v>34.020420000000001</v>
      </c>
      <c r="AD19" s="22">
        <v>33.894435999999999</v>
      </c>
      <c r="AE19" s="22">
        <v>33.717101999999997</v>
      </c>
      <c r="AF19" s="22">
        <v>33.468890999999999</v>
      </c>
      <c r="AG19" s="22">
        <v>33.255077</v>
      </c>
      <c r="AH19" s="19">
        <v>-2.4260000000000002E-3</v>
      </c>
    </row>
    <row r="21" spans="1:34" ht="15" customHeight="1" x14ac:dyDescent="0.3">
      <c r="B21" s="16" t="s">
        <v>72</v>
      </c>
    </row>
    <row r="22" spans="1:34" ht="15" customHeight="1" x14ac:dyDescent="0.3">
      <c r="A22" s="6" t="s">
        <v>73</v>
      </c>
      <c r="B22" s="17" t="s">
        <v>65</v>
      </c>
      <c r="C22" s="22">
        <v>12.770180999999999</v>
      </c>
      <c r="D22" s="22">
        <v>13.596351</v>
      </c>
      <c r="E22" s="22">
        <v>14.132167000000001</v>
      </c>
      <c r="F22" s="22">
        <v>13.946478000000001</v>
      </c>
      <c r="G22" s="22">
        <v>13.993321999999999</v>
      </c>
      <c r="H22" s="22">
        <v>14.109780000000001</v>
      </c>
      <c r="I22" s="22">
        <v>13.959495</v>
      </c>
      <c r="J22" s="22">
        <v>13.925439000000001</v>
      </c>
      <c r="K22" s="22">
        <v>14.114777</v>
      </c>
      <c r="L22" s="22">
        <v>14.294835000000001</v>
      </c>
      <c r="M22" s="22">
        <v>14.966532000000001</v>
      </c>
      <c r="N22" s="22">
        <v>15.145462999999999</v>
      </c>
      <c r="O22" s="22">
        <v>15.316516</v>
      </c>
      <c r="P22" s="22">
        <v>15.455636999999999</v>
      </c>
      <c r="Q22" s="22">
        <v>15.603415</v>
      </c>
      <c r="R22" s="22">
        <v>15.650969999999999</v>
      </c>
      <c r="S22" s="22">
        <v>15.789752</v>
      </c>
      <c r="T22" s="22">
        <v>16.088107999999998</v>
      </c>
      <c r="U22" s="22">
        <v>16.278292</v>
      </c>
      <c r="V22" s="22">
        <v>16.373463000000001</v>
      </c>
      <c r="W22" s="22">
        <v>16.514631000000001</v>
      </c>
      <c r="X22" s="22">
        <v>16.663309000000002</v>
      </c>
      <c r="Y22" s="22">
        <v>16.795403</v>
      </c>
      <c r="Z22" s="22">
        <v>16.807694999999999</v>
      </c>
      <c r="AA22" s="22">
        <v>16.958041999999999</v>
      </c>
      <c r="AB22" s="22">
        <v>17.057176999999999</v>
      </c>
      <c r="AC22" s="22">
        <v>17.224889999999998</v>
      </c>
      <c r="AD22" s="22">
        <v>17.384920000000001</v>
      </c>
      <c r="AE22" s="22">
        <v>17.530947000000001</v>
      </c>
      <c r="AF22" s="22">
        <v>17.725052000000002</v>
      </c>
      <c r="AG22" s="22">
        <v>17.895052</v>
      </c>
      <c r="AH22" s="19">
        <v>1.1311E-2</v>
      </c>
    </row>
    <row r="23" spans="1:34" ht="15" customHeight="1" x14ac:dyDescent="0.3">
      <c r="A23" s="6" t="s">
        <v>74</v>
      </c>
      <c r="B23" s="17" t="s">
        <v>67</v>
      </c>
      <c r="C23" s="22">
        <v>17.825056</v>
      </c>
      <c r="D23" s="22">
        <v>17.904530000000001</v>
      </c>
      <c r="E23" s="22">
        <v>17.917162000000001</v>
      </c>
      <c r="F23" s="22">
        <v>18.273129000000001</v>
      </c>
      <c r="G23" s="22">
        <v>17.977633000000001</v>
      </c>
      <c r="H23" s="22">
        <v>17.420300999999998</v>
      </c>
      <c r="I23" s="22">
        <v>17.035746</v>
      </c>
      <c r="J23" s="22">
        <v>17.451329999999999</v>
      </c>
      <c r="K23" s="22">
        <v>17.649296</v>
      </c>
      <c r="L23" s="22">
        <v>17.881008000000001</v>
      </c>
      <c r="M23" s="22">
        <v>18.477827000000001</v>
      </c>
      <c r="N23" s="22">
        <v>18.582241</v>
      </c>
      <c r="O23" s="22">
        <v>18.841583</v>
      </c>
      <c r="P23" s="22">
        <v>18.984005</v>
      </c>
      <c r="Q23" s="22">
        <v>19.086586</v>
      </c>
      <c r="R23" s="22">
        <v>18.923241000000001</v>
      </c>
      <c r="S23" s="22">
        <v>18.824065999999998</v>
      </c>
      <c r="T23" s="22">
        <v>18.987247</v>
      </c>
      <c r="U23" s="22">
        <v>19.171538999999999</v>
      </c>
      <c r="V23" s="22">
        <v>19.037495</v>
      </c>
      <c r="W23" s="22">
        <v>19.410124</v>
      </c>
      <c r="X23" s="22">
        <v>19.543423000000001</v>
      </c>
      <c r="Y23" s="22">
        <v>19.633227999999999</v>
      </c>
      <c r="Z23" s="22">
        <v>19.766468</v>
      </c>
      <c r="AA23" s="22">
        <v>19.946016</v>
      </c>
      <c r="AB23" s="22">
        <v>20.193110000000001</v>
      </c>
      <c r="AC23" s="22">
        <v>20.325541000000001</v>
      </c>
      <c r="AD23" s="22">
        <v>20.426331000000001</v>
      </c>
      <c r="AE23" s="22">
        <v>20.483273000000001</v>
      </c>
      <c r="AF23" s="22">
        <v>20.656472999999998</v>
      </c>
      <c r="AG23" s="22">
        <v>20.796879000000001</v>
      </c>
      <c r="AH23" s="19">
        <v>5.1529999999999996E-3</v>
      </c>
    </row>
    <row r="24" spans="1:34" ht="15" customHeight="1" x14ac:dyDescent="0.3">
      <c r="A24" s="6" t="s">
        <v>75</v>
      </c>
      <c r="B24" s="17" t="s">
        <v>76</v>
      </c>
      <c r="C24" s="22">
        <v>5.2465200000000003</v>
      </c>
      <c r="D24" s="22">
        <v>4.0942629999999998</v>
      </c>
      <c r="E24" s="22">
        <v>5.1555109999999997</v>
      </c>
      <c r="F24" s="22">
        <v>6.3887859999999996</v>
      </c>
      <c r="G24" s="22">
        <v>7.4177150000000003</v>
      </c>
      <c r="H24" s="22">
        <v>8.0842039999999997</v>
      </c>
      <c r="I24" s="22">
        <v>8.7977109999999996</v>
      </c>
      <c r="J24" s="22">
        <v>9.2713420000000006</v>
      </c>
      <c r="K24" s="22">
        <v>9.3801520000000007</v>
      </c>
      <c r="L24" s="22">
        <v>9.6307539999999996</v>
      </c>
      <c r="M24" s="22">
        <v>9.9774270000000005</v>
      </c>
      <c r="N24" s="22">
        <v>10.056495999999999</v>
      </c>
      <c r="O24" s="22">
        <v>10.322896</v>
      </c>
      <c r="P24" s="22">
        <v>10.494814999999999</v>
      </c>
      <c r="Q24" s="22">
        <v>10.659212</v>
      </c>
      <c r="R24" s="22">
        <v>10.565108</v>
      </c>
      <c r="S24" s="22">
        <v>10.57521</v>
      </c>
      <c r="T24" s="22">
        <v>10.757941000000001</v>
      </c>
      <c r="U24" s="22">
        <v>10.935437</v>
      </c>
      <c r="V24" s="22">
        <v>10.928781000000001</v>
      </c>
      <c r="W24" s="22">
        <v>11.256634999999999</v>
      </c>
      <c r="X24" s="22">
        <v>11.398070000000001</v>
      </c>
      <c r="Y24" s="22">
        <v>11.526395000000001</v>
      </c>
      <c r="Z24" s="22">
        <v>11.652903999999999</v>
      </c>
      <c r="AA24" s="22">
        <v>11.895937</v>
      </c>
      <c r="AB24" s="22">
        <v>12.079579000000001</v>
      </c>
      <c r="AC24" s="22">
        <v>12.282360000000001</v>
      </c>
      <c r="AD24" s="22">
        <v>12.398063</v>
      </c>
      <c r="AE24" s="22">
        <v>12.434025999999999</v>
      </c>
      <c r="AF24" s="22">
        <v>12.576523999999999</v>
      </c>
      <c r="AG24" s="22">
        <v>12.679845</v>
      </c>
      <c r="AH24" s="19">
        <v>2.9852E-2</v>
      </c>
    </row>
    <row r="25" spans="1:34" ht="15" customHeight="1" x14ac:dyDescent="0.3">
      <c r="A25" s="6" t="s">
        <v>77</v>
      </c>
      <c r="B25" s="17" t="s">
        <v>69</v>
      </c>
      <c r="C25" s="22">
        <v>7.2274659999999997</v>
      </c>
      <c r="D25" s="22">
        <v>7.7571760000000003</v>
      </c>
      <c r="E25" s="22">
        <v>7.7584379999999999</v>
      </c>
      <c r="F25" s="22">
        <v>7.4329689999999999</v>
      </c>
      <c r="G25" s="22">
        <v>7.1538599999999999</v>
      </c>
      <c r="H25" s="22">
        <v>7.1408820000000004</v>
      </c>
      <c r="I25" s="22">
        <v>7.1871619999999998</v>
      </c>
      <c r="J25" s="22">
        <v>7.2622150000000003</v>
      </c>
      <c r="K25" s="22">
        <v>7.3037089999999996</v>
      </c>
      <c r="L25" s="22">
        <v>7.4168450000000004</v>
      </c>
      <c r="M25" s="22">
        <v>7.668393</v>
      </c>
      <c r="N25" s="22">
        <v>7.7091729999999998</v>
      </c>
      <c r="O25" s="22">
        <v>7.7567729999999999</v>
      </c>
      <c r="P25" s="22">
        <v>7.8144150000000003</v>
      </c>
      <c r="Q25" s="22">
        <v>7.8314700000000004</v>
      </c>
      <c r="R25" s="22">
        <v>7.8232949999999999</v>
      </c>
      <c r="S25" s="22">
        <v>7.8236619999999997</v>
      </c>
      <c r="T25" s="22">
        <v>7.825634</v>
      </c>
      <c r="U25" s="22">
        <v>7.8057910000000001</v>
      </c>
      <c r="V25" s="22">
        <v>7.7819539999999998</v>
      </c>
      <c r="W25" s="22">
        <v>7.7688930000000003</v>
      </c>
      <c r="X25" s="22">
        <v>7.7830769999999996</v>
      </c>
      <c r="Y25" s="22">
        <v>7.7994719999999997</v>
      </c>
      <c r="Z25" s="22">
        <v>7.8087359999999997</v>
      </c>
      <c r="AA25" s="22">
        <v>7.828284</v>
      </c>
      <c r="AB25" s="22">
        <v>7.8415439999999998</v>
      </c>
      <c r="AC25" s="22">
        <v>7.8443149999999999</v>
      </c>
      <c r="AD25" s="22">
        <v>7.8465090000000002</v>
      </c>
      <c r="AE25" s="22">
        <v>7.8194090000000003</v>
      </c>
      <c r="AF25" s="22">
        <v>7.816325</v>
      </c>
      <c r="AG25" s="22">
        <v>7.8338789999999996</v>
      </c>
      <c r="AH25" s="19">
        <v>2.689E-3</v>
      </c>
    </row>
    <row r="26" spans="1:34" ht="15" customHeight="1" x14ac:dyDescent="0.3">
      <c r="A26" s="6" t="s">
        <v>78</v>
      </c>
      <c r="B26" s="17" t="s">
        <v>71</v>
      </c>
      <c r="C26" s="22">
        <v>31.322282999999999</v>
      </c>
      <c r="D26" s="22">
        <v>31.751370999999999</v>
      </c>
      <c r="E26" s="22">
        <v>31.36965</v>
      </c>
      <c r="F26" s="22">
        <v>30.770927</v>
      </c>
      <c r="G26" s="22">
        <v>30.355267000000001</v>
      </c>
      <c r="H26" s="22">
        <v>30.114547999999999</v>
      </c>
      <c r="I26" s="22">
        <v>29.891642000000001</v>
      </c>
      <c r="J26" s="22">
        <v>29.798216</v>
      </c>
      <c r="K26" s="22">
        <v>29.668579000000001</v>
      </c>
      <c r="L26" s="22">
        <v>29.541620000000002</v>
      </c>
      <c r="M26" s="22">
        <v>29.447769000000001</v>
      </c>
      <c r="N26" s="22">
        <v>29.516173999999999</v>
      </c>
      <c r="O26" s="22">
        <v>29.407202000000002</v>
      </c>
      <c r="P26" s="22">
        <v>29.362704999999998</v>
      </c>
      <c r="Q26" s="22">
        <v>29.207032999999999</v>
      </c>
      <c r="R26" s="22">
        <v>29.013252000000001</v>
      </c>
      <c r="S26" s="22">
        <v>28.803070000000002</v>
      </c>
      <c r="T26" s="22">
        <v>28.61985</v>
      </c>
      <c r="U26" s="22">
        <v>28.475729000000001</v>
      </c>
      <c r="V26" s="22">
        <v>28.334457</v>
      </c>
      <c r="W26" s="22">
        <v>28.186321</v>
      </c>
      <c r="X26" s="22">
        <v>28.052315</v>
      </c>
      <c r="Y26" s="22">
        <v>27.894957000000002</v>
      </c>
      <c r="Z26" s="22">
        <v>27.748570999999998</v>
      </c>
      <c r="AA26" s="22">
        <v>27.573784</v>
      </c>
      <c r="AB26" s="22">
        <v>27.437695999999999</v>
      </c>
      <c r="AC26" s="22">
        <v>27.26679</v>
      </c>
      <c r="AD26" s="22">
        <v>27.070989999999998</v>
      </c>
      <c r="AE26" s="22">
        <v>26.838395999999999</v>
      </c>
      <c r="AF26" s="22">
        <v>26.563027999999999</v>
      </c>
      <c r="AG26" s="22">
        <v>26.336114999999999</v>
      </c>
      <c r="AH26" s="19">
        <v>-5.7629999999999999E-3</v>
      </c>
    </row>
    <row r="28" spans="1:34" ht="15" customHeight="1" x14ac:dyDescent="0.3">
      <c r="B28" s="16" t="s">
        <v>79</v>
      </c>
    </row>
    <row r="29" spans="1:34" ht="15" customHeight="1" x14ac:dyDescent="0.3">
      <c r="A29" s="6" t="s">
        <v>80</v>
      </c>
      <c r="B29" s="17" t="s">
        <v>65</v>
      </c>
      <c r="C29" s="22">
        <v>7.6224270000000001</v>
      </c>
      <c r="D29" s="22">
        <v>8.4961190000000002</v>
      </c>
      <c r="E29" s="22">
        <v>8.9951640000000008</v>
      </c>
      <c r="F29" s="22">
        <v>8.7914549999999991</v>
      </c>
      <c r="G29" s="22">
        <v>8.8415490000000005</v>
      </c>
      <c r="H29" s="22">
        <v>8.9540679999999995</v>
      </c>
      <c r="I29" s="22">
        <v>8.8042309999999997</v>
      </c>
      <c r="J29" s="22">
        <v>8.7771810000000006</v>
      </c>
      <c r="K29" s="22">
        <v>8.9623369999999998</v>
      </c>
      <c r="L29" s="22">
        <v>9.1296269999999993</v>
      </c>
      <c r="M29" s="22">
        <v>9.5621650000000002</v>
      </c>
      <c r="N29" s="22">
        <v>9.7187319999999993</v>
      </c>
      <c r="O29" s="22">
        <v>9.8474039999999992</v>
      </c>
      <c r="P29" s="22">
        <v>9.9792590000000008</v>
      </c>
      <c r="Q29" s="22">
        <v>10.120851999999999</v>
      </c>
      <c r="R29" s="22">
        <v>10.16201</v>
      </c>
      <c r="S29" s="22">
        <v>10.299414000000001</v>
      </c>
      <c r="T29" s="22">
        <v>10.596047</v>
      </c>
      <c r="U29" s="22">
        <v>10.776484</v>
      </c>
      <c r="V29" s="22">
        <v>10.863864</v>
      </c>
      <c r="W29" s="22">
        <v>11.003838</v>
      </c>
      <c r="X29" s="22">
        <v>11.150719</v>
      </c>
      <c r="Y29" s="22">
        <v>11.280412999999999</v>
      </c>
      <c r="Z29" s="22">
        <v>11.286859</v>
      </c>
      <c r="AA29" s="22">
        <v>11.442306</v>
      </c>
      <c r="AB29" s="22">
        <v>11.53952</v>
      </c>
      <c r="AC29" s="22">
        <v>11.710324</v>
      </c>
      <c r="AD29" s="22">
        <v>11.870820999999999</v>
      </c>
      <c r="AE29" s="22">
        <v>12.016953000000001</v>
      </c>
      <c r="AF29" s="22">
        <v>12.215362000000001</v>
      </c>
      <c r="AG29" s="22">
        <v>12.386858999999999</v>
      </c>
      <c r="AH29" s="19">
        <v>1.6316000000000001E-2</v>
      </c>
    </row>
    <row r="30" spans="1:34" ht="15" customHeight="1" x14ac:dyDescent="0.3">
      <c r="A30" s="6" t="s">
        <v>81</v>
      </c>
      <c r="B30" s="17" t="s">
        <v>67</v>
      </c>
      <c r="C30" s="22">
        <v>17.750837000000001</v>
      </c>
      <c r="D30" s="22">
        <v>17.784217999999999</v>
      </c>
      <c r="E30" s="22">
        <v>17.832457999999999</v>
      </c>
      <c r="F30" s="22">
        <v>18.255758</v>
      </c>
      <c r="G30" s="22">
        <v>17.965651999999999</v>
      </c>
      <c r="H30" s="22">
        <v>17.418257000000001</v>
      </c>
      <c r="I30" s="22">
        <v>17.043358000000001</v>
      </c>
      <c r="J30" s="22">
        <v>17.464335999999999</v>
      </c>
      <c r="K30" s="22">
        <v>17.665486999999999</v>
      </c>
      <c r="L30" s="22">
        <v>17.903829999999999</v>
      </c>
      <c r="M30" s="22">
        <v>18.228373999999999</v>
      </c>
      <c r="N30" s="22">
        <v>18.345334999999999</v>
      </c>
      <c r="O30" s="22">
        <v>18.564774</v>
      </c>
      <c r="P30" s="22">
        <v>18.711565</v>
      </c>
      <c r="Q30" s="22">
        <v>18.823149000000001</v>
      </c>
      <c r="R30" s="22">
        <v>18.657301</v>
      </c>
      <c r="S30" s="22">
        <v>18.557192000000001</v>
      </c>
      <c r="T30" s="22">
        <v>18.721062</v>
      </c>
      <c r="U30" s="22">
        <v>18.906943999999999</v>
      </c>
      <c r="V30" s="22">
        <v>18.769888000000002</v>
      </c>
      <c r="W30" s="22">
        <v>19.141383999999999</v>
      </c>
      <c r="X30" s="22">
        <v>19.276993000000001</v>
      </c>
      <c r="Y30" s="22">
        <v>19.368721000000001</v>
      </c>
      <c r="Z30" s="22">
        <v>19.507062999999999</v>
      </c>
      <c r="AA30" s="22">
        <v>19.688092999999999</v>
      </c>
      <c r="AB30" s="22">
        <v>19.940121000000001</v>
      </c>
      <c r="AC30" s="22">
        <v>20.075132</v>
      </c>
      <c r="AD30" s="22">
        <v>20.182839999999999</v>
      </c>
      <c r="AE30" s="22">
        <v>20.246756000000001</v>
      </c>
      <c r="AF30" s="22">
        <v>20.426596</v>
      </c>
      <c r="AG30" s="22">
        <v>20.570136999999999</v>
      </c>
      <c r="AH30" s="19">
        <v>4.9259999999999998E-3</v>
      </c>
    </row>
    <row r="31" spans="1:34" ht="14.4" x14ac:dyDescent="0.3">
      <c r="A31" s="6" t="s">
        <v>82</v>
      </c>
      <c r="B31" s="17" t="s">
        <v>76</v>
      </c>
      <c r="C31" s="22">
        <v>5.4227400000000001</v>
      </c>
      <c r="D31" s="22">
        <v>4.4313440000000002</v>
      </c>
      <c r="E31" s="22">
        <v>5.8066459999999998</v>
      </c>
      <c r="F31" s="22">
        <v>7.3529660000000003</v>
      </c>
      <c r="G31" s="22">
        <v>8.6041519999999991</v>
      </c>
      <c r="H31" s="22">
        <v>9.5880430000000008</v>
      </c>
      <c r="I31" s="22">
        <v>10.678126000000001</v>
      </c>
      <c r="J31" s="22">
        <v>11.122404</v>
      </c>
      <c r="K31" s="22">
        <v>11.319103999999999</v>
      </c>
      <c r="L31" s="22">
        <v>11.560950999999999</v>
      </c>
      <c r="M31" s="22">
        <v>11.886528999999999</v>
      </c>
      <c r="N31" s="22">
        <v>11.988492000000001</v>
      </c>
      <c r="O31" s="22">
        <v>12.214651</v>
      </c>
      <c r="P31" s="22">
        <v>12.396055</v>
      </c>
      <c r="Q31" s="22">
        <v>12.541180000000001</v>
      </c>
      <c r="R31" s="22">
        <v>12.441390999999999</v>
      </c>
      <c r="S31" s="22">
        <v>12.436083</v>
      </c>
      <c r="T31" s="22">
        <v>12.619387</v>
      </c>
      <c r="U31" s="22">
        <v>12.817525</v>
      </c>
      <c r="V31" s="22">
        <v>12.799621999999999</v>
      </c>
      <c r="W31" s="22">
        <v>13.127105999999999</v>
      </c>
      <c r="X31" s="22">
        <v>13.276533000000001</v>
      </c>
      <c r="Y31" s="22">
        <v>13.389760000000001</v>
      </c>
      <c r="Z31" s="22">
        <v>13.499091999999999</v>
      </c>
      <c r="AA31" s="22">
        <v>13.732372</v>
      </c>
      <c r="AB31" s="22">
        <v>13.936438000000001</v>
      </c>
      <c r="AC31" s="22">
        <v>14.088271000000001</v>
      </c>
      <c r="AD31" s="22">
        <v>14.181101999999999</v>
      </c>
      <c r="AE31" s="22">
        <v>14.234844000000001</v>
      </c>
      <c r="AF31" s="22">
        <v>14.370006</v>
      </c>
      <c r="AG31" s="22">
        <v>14.531082</v>
      </c>
      <c r="AH31" s="19">
        <v>3.3402000000000001E-2</v>
      </c>
    </row>
    <row r="32" spans="1:34" ht="14.4" x14ac:dyDescent="0.3">
      <c r="A32" s="6" t="s">
        <v>83</v>
      </c>
      <c r="B32" s="17" t="s">
        <v>84</v>
      </c>
      <c r="C32" s="22">
        <v>3.0584310000000001</v>
      </c>
      <c r="D32" s="22">
        <v>4.0450590000000002</v>
      </c>
      <c r="E32" s="22">
        <v>3.9792369999999999</v>
      </c>
      <c r="F32" s="22">
        <v>3.5640879999999999</v>
      </c>
      <c r="G32" s="22">
        <v>3.222769</v>
      </c>
      <c r="H32" s="22">
        <v>3.1671170000000002</v>
      </c>
      <c r="I32" s="22">
        <v>3.1963200000000001</v>
      </c>
      <c r="J32" s="22">
        <v>3.2941820000000002</v>
      </c>
      <c r="K32" s="22">
        <v>3.3580540000000001</v>
      </c>
      <c r="L32" s="22">
        <v>3.462901</v>
      </c>
      <c r="M32" s="22">
        <v>3.5161280000000001</v>
      </c>
      <c r="N32" s="22">
        <v>3.5448559999999998</v>
      </c>
      <c r="O32" s="22">
        <v>3.5678160000000001</v>
      </c>
      <c r="P32" s="22">
        <v>3.613658</v>
      </c>
      <c r="Q32" s="22">
        <v>3.6143239999999999</v>
      </c>
      <c r="R32" s="22">
        <v>3.5944099999999999</v>
      </c>
      <c r="S32" s="22">
        <v>3.5878670000000001</v>
      </c>
      <c r="T32" s="22">
        <v>3.5750280000000001</v>
      </c>
      <c r="U32" s="22">
        <v>3.5572240000000002</v>
      </c>
      <c r="V32" s="22">
        <v>3.5318700000000001</v>
      </c>
      <c r="W32" s="22">
        <v>3.5117440000000002</v>
      </c>
      <c r="X32" s="22">
        <v>3.5121660000000001</v>
      </c>
      <c r="Y32" s="22">
        <v>3.514958</v>
      </c>
      <c r="Z32" s="22">
        <v>3.5046200000000001</v>
      </c>
      <c r="AA32" s="22">
        <v>3.5171489999999999</v>
      </c>
      <c r="AB32" s="22">
        <v>3.4990869999999998</v>
      </c>
      <c r="AC32" s="22">
        <v>3.4861049999999998</v>
      </c>
      <c r="AD32" s="22">
        <v>3.499511</v>
      </c>
      <c r="AE32" s="22">
        <v>3.4690270000000001</v>
      </c>
      <c r="AF32" s="22">
        <v>3.4452410000000002</v>
      </c>
      <c r="AG32" s="22">
        <v>3.4617290000000001</v>
      </c>
      <c r="AH32" s="19">
        <v>4.1370000000000001E-3</v>
      </c>
    </row>
    <row r="33" spans="1:34" ht="14.4" x14ac:dyDescent="0.3">
      <c r="A33" s="6" t="s">
        <v>85</v>
      </c>
      <c r="B33" s="17" t="s">
        <v>86</v>
      </c>
      <c r="C33" s="22">
        <v>4.0174000000000003</v>
      </c>
      <c r="D33" s="22">
        <v>3.598935</v>
      </c>
      <c r="E33" s="22">
        <v>3.356058</v>
      </c>
      <c r="F33" s="22">
        <v>3.2078790000000001</v>
      </c>
      <c r="G33" s="22">
        <v>3.117534</v>
      </c>
      <c r="H33" s="22">
        <v>3.070951</v>
      </c>
      <c r="I33" s="22">
        <v>3.0295830000000001</v>
      </c>
      <c r="J33" s="22">
        <v>3.0136099999999999</v>
      </c>
      <c r="K33" s="22">
        <v>3.014059</v>
      </c>
      <c r="L33" s="22">
        <v>3.0367769999999998</v>
      </c>
      <c r="M33" s="22">
        <v>3.0668120000000001</v>
      </c>
      <c r="N33" s="22">
        <v>3.1021339999999999</v>
      </c>
      <c r="O33" s="22">
        <v>3.1370369999999999</v>
      </c>
      <c r="P33" s="22">
        <v>3.1691760000000002</v>
      </c>
      <c r="Q33" s="22">
        <v>3.1995740000000001</v>
      </c>
      <c r="R33" s="22">
        <v>3.23061</v>
      </c>
      <c r="S33" s="22">
        <v>3.2614040000000002</v>
      </c>
      <c r="T33" s="22">
        <v>3.2944689999999999</v>
      </c>
      <c r="U33" s="22">
        <v>3.3282949999999998</v>
      </c>
      <c r="V33" s="22">
        <v>3.36151</v>
      </c>
      <c r="W33" s="22">
        <v>3.3950330000000002</v>
      </c>
      <c r="X33" s="22">
        <v>3.4296359999999999</v>
      </c>
      <c r="Y33" s="22">
        <v>3.4663460000000001</v>
      </c>
      <c r="Z33" s="22">
        <v>3.5055459999999998</v>
      </c>
      <c r="AA33" s="22">
        <v>3.5455589999999999</v>
      </c>
      <c r="AB33" s="22">
        <v>3.5867200000000001</v>
      </c>
      <c r="AC33" s="22">
        <v>3.6247240000000001</v>
      </c>
      <c r="AD33" s="22">
        <v>3.6615160000000002</v>
      </c>
      <c r="AE33" s="22">
        <v>3.6991040000000002</v>
      </c>
      <c r="AF33" s="22">
        <v>3.7375989999999999</v>
      </c>
      <c r="AG33" s="22">
        <v>3.7801840000000002</v>
      </c>
      <c r="AH33" s="19">
        <v>-2.0270000000000002E-3</v>
      </c>
    </row>
    <row r="34" spans="1:34" ht="14.4" x14ac:dyDescent="0.3">
      <c r="A34" s="6" t="s">
        <v>87</v>
      </c>
      <c r="B34" s="17" t="s">
        <v>88</v>
      </c>
      <c r="C34" s="22">
        <v>2.815477</v>
      </c>
      <c r="D34" s="22">
        <v>2.8278660000000002</v>
      </c>
      <c r="E34" s="22">
        <v>2.8846579999999999</v>
      </c>
      <c r="F34" s="22">
        <v>2.8736839999999999</v>
      </c>
      <c r="G34" s="22">
        <v>2.8735629999999999</v>
      </c>
      <c r="H34" s="22">
        <v>2.861837</v>
      </c>
      <c r="I34" s="22">
        <v>2.849145</v>
      </c>
      <c r="J34" s="22">
        <v>2.8373849999999998</v>
      </c>
      <c r="K34" s="22">
        <v>2.8257639999999999</v>
      </c>
      <c r="L34" s="22">
        <v>2.8206519999999999</v>
      </c>
      <c r="M34" s="22">
        <v>2.830257</v>
      </c>
      <c r="N34" s="22">
        <v>2.8289970000000002</v>
      </c>
      <c r="O34" s="22">
        <v>2.815725</v>
      </c>
      <c r="P34" s="22">
        <v>2.8164419999999999</v>
      </c>
      <c r="Q34" s="22">
        <v>2.8170860000000002</v>
      </c>
      <c r="R34" s="22">
        <v>2.8212009999999998</v>
      </c>
      <c r="S34" s="22">
        <v>2.8233160000000002</v>
      </c>
      <c r="T34" s="22">
        <v>2.8278110000000001</v>
      </c>
      <c r="U34" s="22">
        <v>2.8272119999999998</v>
      </c>
      <c r="V34" s="22">
        <v>2.82924</v>
      </c>
      <c r="W34" s="22">
        <v>2.8376489999999999</v>
      </c>
      <c r="X34" s="22">
        <v>2.8406349999999998</v>
      </c>
      <c r="Y34" s="22">
        <v>2.8446440000000002</v>
      </c>
      <c r="Z34" s="22">
        <v>2.8497300000000001</v>
      </c>
      <c r="AA34" s="22">
        <v>2.8464550000000002</v>
      </c>
      <c r="AB34" s="22">
        <v>2.857904</v>
      </c>
      <c r="AC34" s="22">
        <v>2.8609059999999999</v>
      </c>
      <c r="AD34" s="22">
        <v>2.8697949999999999</v>
      </c>
      <c r="AE34" s="22">
        <v>2.8793570000000002</v>
      </c>
      <c r="AF34" s="22">
        <v>2.8885149999999999</v>
      </c>
      <c r="AG34" s="22">
        <v>2.900779</v>
      </c>
      <c r="AH34" s="19">
        <v>9.9500000000000001E-4</v>
      </c>
    </row>
    <row r="35" spans="1:34" ht="14.4" x14ac:dyDescent="0.3">
      <c r="A35" s="6" t="s">
        <v>89</v>
      </c>
      <c r="B35" s="17" t="s">
        <v>90</v>
      </c>
      <c r="C35" s="19" t="s">
        <v>91</v>
      </c>
      <c r="D35" s="19" t="s">
        <v>91</v>
      </c>
      <c r="E35" s="19" t="s">
        <v>91</v>
      </c>
      <c r="F35" s="19" t="s">
        <v>91</v>
      </c>
      <c r="G35" s="19" t="s">
        <v>91</v>
      </c>
      <c r="H35" s="19" t="s">
        <v>91</v>
      </c>
      <c r="I35" s="19" t="s">
        <v>91</v>
      </c>
      <c r="J35" s="19" t="s">
        <v>91</v>
      </c>
      <c r="K35" s="19" t="s">
        <v>91</v>
      </c>
      <c r="L35" s="19" t="s">
        <v>91</v>
      </c>
      <c r="M35" s="19" t="s">
        <v>91</v>
      </c>
      <c r="N35" s="19" t="s">
        <v>91</v>
      </c>
      <c r="O35" s="19" t="s">
        <v>91</v>
      </c>
      <c r="P35" s="19" t="s">
        <v>91</v>
      </c>
      <c r="Q35" s="19" t="s">
        <v>91</v>
      </c>
      <c r="R35" s="19" t="s">
        <v>91</v>
      </c>
      <c r="S35" s="19" t="s">
        <v>91</v>
      </c>
      <c r="T35" s="19" t="s">
        <v>91</v>
      </c>
      <c r="U35" s="19" t="s">
        <v>91</v>
      </c>
      <c r="V35" s="19" t="s">
        <v>91</v>
      </c>
      <c r="W35" s="19" t="s">
        <v>91</v>
      </c>
      <c r="X35" s="19" t="s">
        <v>91</v>
      </c>
      <c r="Y35" s="19" t="s">
        <v>91</v>
      </c>
      <c r="Z35" s="19" t="s">
        <v>91</v>
      </c>
      <c r="AA35" s="19" t="s">
        <v>91</v>
      </c>
      <c r="AB35" s="19" t="s">
        <v>91</v>
      </c>
      <c r="AC35" s="19" t="s">
        <v>91</v>
      </c>
      <c r="AD35" s="19" t="s">
        <v>91</v>
      </c>
      <c r="AE35" s="19" t="s">
        <v>91</v>
      </c>
      <c r="AF35" s="19" t="s">
        <v>91</v>
      </c>
      <c r="AG35" s="19" t="s">
        <v>91</v>
      </c>
      <c r="AH35" s="19" t="s">
        <v>91</v>
      </c>
    </row>
    <row r="36" spans="1:34" ht="14.4" x14ac:dyDescent="0.3">
      <c r="A36" s="6" t="s">
        <v>92</v>
      </c>
      <c r="B36" s="17" t="s">
        <v>71</v>
      </c>
      <c r="C36" s="22">
        <v>20.703951</v>
      </c>
      <c r="D36" s="22">
        <v>20.963263999999999</v>
      </c>
      <c r="E36" s="22">
        <v>20.467887999999999</v>
      </c>
      <c r="F36" s="22">
        <v>19.783636000000001</v>
      </c>
      <c r="G36" s="22">
        <v>19.357731000000001</v>
      </c>
      <c r="H36" s="22">
        <v>19.106280999999999</v>
      </c>
      <c r="I36" s="22">
        <v>18.963926000000001</v>
      </c>
      <c r="J36" s="22">
        <v>18.841094999999999</v>
      </c>
      <c r="K36" s="22">
        <v>18.735588</v>
      </c>
      <c r="L36" s="22">
        <v>18.663567</v>
      </c>
      <c r="M36" s="22">
        <v>18.617512000000001</v>
      </c>
      <c r="N36" s="22">
        <v>18.676767000000002</v>
      </c>
      <c r="O36" s="22">
        <v>18.634557999999998</v>
      </c>
      <c r="P36" s="22">
        <v>18.545500000000001</v>
      </c>
      <c r="Q36" s="22">
        <v>18.446601999999999</v>
      </c>
      <c r="R36" s="22">
        <v>18.351669000000001</v>
      </c>
      <c r="S36" s="22">
        <v>18.239789999999999</v>
      </c>
      <c r="T36" s="22">
        <v>18.124399</v>
      </c>
      <c r="U36" s="22">
        <v>18.044464000000001</v>
      </c>
      <c r="V36" s="22">
        <v>17.939983000000002</v>
      </c>
      <c r="W36" s="22">
        <v>17.836859</v>
      </c>
      <c r="X36" s="22">
        <v>17.750677</v>
      </c>
      <c r="Y36" s="22">
        <v>17.663349</v>
      </c>
      <c r="Z36" s="22">
        <v>17.552032000000001</v>
      </c>
      <c r="AA36" s="22">
        <v>17.488479999999999</v>
      </c>
      <c r="AB36" s="22">
        <v>17.401014</v>
      </c>
      <c r="AC36" s="22">
        <v>17.289835</v>
      </c>
      <c r="AD36" s="22">
        <v>17.180754</v>
      </c>
      <c r="AE36" s="22">
        <v>17.048691000000002</v>
      </c>
      <c r="AF36" s="22">
        <v>16.892347000000001</v>
      </c>
      <c r="AG36" s="22">
        <v>16.778521999999999</v>
      </c>
      <c r="AH36" s="19">
        <v>-6.9829999999999996E-3</v>
      </c>
    </row>
    <row r="38" spans="1:34" ht="14.4" x14ac:dyDescent="0.3">
      <c r="B38" s="16" t="s">
        <v>93</v>
      </c>
    </row>
    <row r="39" spans="1:34" ht="14.4" x14ac:dyDescent="0.3">
      <c r="A39" s="6" t="s">
        <v>94</v>
      </c>
      <c r="B39" s="17" t="s">
        <v>65</v>
      </c>
      <c r="C39" s="22">
        <v>11.989126000000001</v>
      </c>
      <c r="D39" s="22">
        <v>12.919199000000001</v>
      </c>
      <c r="E39" s="22">
        <v>13.387473999999999</v>
      </c>
      <c r="F39" s="22">
        <v>13.175584000000001</v>
      </c>
      <c r="G39" s="22">
        <v>13.226618</v>
      </c>
      <c r="H39" s="22">
        <v>13.334444</v>
      </c>
      <c r="I39" s="22">
        <v>13.185479000000001</v>
      </c>
      <c r="J39" s="22">
        <v>13.161032000000001</v>
      </c>
      <c r="K39" s="22">
        <v>13.340968</v>
      </c>
      <c r="L39" s="22">
        <v>13.497202</v>
      </c>
      <c r="M39" s="22">
        <v>14.332110999999999</v>
      </c>
      <c r="N39" s="22">
        <v>14.464104000000001</v>
      </c>
      <c r="O39" s="22">
        <v>14.634573</v>
      </c>
      <c r="P39" s="22">
        <v>14.748526</v>
      </c>
      <c r="Q39" s="22">
        <v>14.872234000000001</v>
      </c>
      <c r="R39" s="22">
        <v>14.902267</v>
      </c>
      <c r="S39" s="22">
        <v>15.02397</v>
      </c>
      <c r="T39" s="22">
        <v>15.289154</v>
      </c>
      <c r="U39" s="22">
        <v>15.443079000000001</v>
      </c>
      <c r="V39" s="22">
        <v>15.51417</v>
      </c>
      <c r="W39" s="22">
        <v>15.635192</v>
      </c>
      <c r="X39" s="22">
        <v>15.760916</v>
      </c>
      <c r="Y39" s="22">
        <v>15.870314</v>
      </c>
      <c r="Z39" s="22">
        <v>15.870430000000001</v>
      </c>
      <c r="AA39" s="22">
        <v>16.006077000000001</v>
      </c>
      <c r="AB39" s="22">
        <v>16.086893</v>
      </c>
      <c r="AC39" s="22">
        <v>16.233222999999999</v>
      </c>
      <c r="AD39" s="22">
        <v>16.368509</v>
      </c>
      <c r="AE39" s="22">
        <v>16.490397999999999</v>
      </c>
      <c r="AF39" s="22">
        <v>16.657537000000001</v>
      </c>
      <c r="AG39" s="22">
        <v>16.799364000000001</v>
      </c>
      <c r="AH39" s="19">
        <v>1.1308E-2</v>
      </c>
    </row>
    <row r="40" spans="1:34" ht="14.4" x14ac:dyDescent="0.3">
      <c r="A40" s="6" t="s">
        <v>95</v>
      </c>
      <c r="B40" s="17" t="s">
        <v>96</v>
      </c>
      <c r="C40" s="22">
        <v>21.197994000000001</v>
      </c>
      <c r="D40" s="22">
        <v>22.2544</v>
      </c>
      <c r="E40" s="22">
        <v>23.610071000000001</v>
      </c>
      <c r="F40" s="22">
        <v>23.112133</v>
      </c>
      <c r="G40" s="22">
        <v>22.835497</v>
      </c>
      <c r="H40" s="22">
        <v>22.609148000000001</v>
      </c>
      <c r="I40" s="22">
        <v>22.527273000000001</v>
      </c>
      <c r="J40" s="22">
        <v>23.046517999999999</v>
      </c>
      <c r="K40" s="22">
        <v>23.283846</v>
      </c>
      <c r="L40" s="22">
        <v>23.639156</v>
      </c>
      <c r="M40" s="22">
        <v>24.640180999999998</v>
      </c>
      <c r="N40" s="22">
        <v>24.558274999999998</v>
      </c>
      <c r="O40" s="22">
        <v>24.877409</v>
      </c>
      <c r="P40" s="22">
        <v>25.090036000000001</v>
      </c>
      <c r="Q40" s="22">
        <v>25.613430000000001</v>
      </c>
      <c r="R40" s="22">
        <v>25.302700000000002</v>
      </c>
      <c r="S40" s="22">
        <v>25.378855000000001</v>
      </c>
      <c r="T40" s="22">
        <v>25.663869999999999</v>
      </c>
      <c r="U40" s="22">
        <v>25.927429</v>
      </c>
      <c r="V40" s="22">
        <v>25.975618000000001</v>
      </c>
      <c r="W40" s="22">
        <v>26.159890999999998</v>
      </c>
      <c r="X40" s="22">
        <v>26.357863999999999</v>
      </c>
      <c r="Y40" s="22">
        <v>26.34479</v>
      </c>
      <c r="Z40" s="22">
        <v>26.476631000000001</v>
      </c>
      <c r="AA40" s="22">
        <v>26.680527000000001</v>
      </c>
      <c r="AB40" s="22">
        <v>26.959340999999998</v>
      </c>
      <c r="AC40" s="22">
        <v>27.088846</v>
      </c>
      <c r="AD40" s="22">
        <v>27.212554999999998</v>
      </c>
      <c r="AE40" s="22">
        <v>27.351645000000001</v>
      </c>
      <c r="AF40" s="22">
        <v>27.548573000000001</v>
      </c>
      <c r="AG40" s="22">
        <v>27.762180000000001</v>
      </c>
      <c r="AH40" s="19">
        <v>9.0329999999999994E-3</v>
      </c>
    </row>
    <row r="41" spans="1:34" ht="14.4" x14ac:dyDescent="0.3">
      <c r="A41" s="6" t="s">
        <v>97</v>
      </c>
      <c r="B41" s="17" t="s">
        <v>98</v>
      </c>
      <c r="C41" s="22">
        <v>18.753328</v>
      </c>
      <c r="D41" s="22">
        <v>19.581623</v>
      </c>
      <c r="E41" s="22">
        <v>19.852088999999999</v>
      </c>
      <c r="F41" s="22">
        <v>19.731396</v>
      </c>
      <c r="G41" s="22">
        <v>19.549955000000001</v>
      </c>
      <c r="H41" s="22">
        <v>19.404346</v>
      </c>
      <c r="I41" s="22">
        <v>19.369586999999999</v>
      </c>
      <c r="J41" s="22">
        <v>19.802026999999999</v>
      </c>
      <c r="K41" s="22">
        <v>19.986060999999999</v>
      </c>
      <c r="L41" s="22">
        <v>20.267641000000001</v>
      </c>
      <c r="M41" s="22">
        <v>21.249949000000001</v>
      </c>
      <c r="N41" s="22">
        <v>21.156803</v>
      </c>
      <c r="O41" s="22">
        <v>21.426884000000001</v>
      </c>
      <c r="P41" s="22">
        <v>21.582792000000001</v>
      </c>
      <c r="Q41" s="22">
        <v>22.004716999999999</v>
      </c>
      <c r="R41" s="22">
        <v>21.723973999999998</v>
      </c>
      <c r="S41" s="22">
        <v>21.772912999999999</v>
      </c>
      <c r="T41" s="22">
        <v>22.005011</v>
      </c>
      <c r="U41" s="22">
        <v>22.215183</v>
      </c>
      <c r="V41" s="22">
        <v>22.246717</v>
      </c>
      <c r="W41" s="22">
        <v>22.394072999999999</v>
      </c>
      <c r="X41" s="22">
        <v>22.547350000000002</v>
      </c>
      <c r="Y41" s="22">
        <v>22.523793999999999</v>
      </c>
      <c r="Z41" s="22">
        <v>22.623035000000002</v>
      </c>
      <c r="AA41" s="22">
        <v>22.783685999999999</v>
      </c>
      <c r="AB41" s="22">
        <v>22.996141000000001</v>
      </c>
      <c r="AC41" s="22">
        <v>23.074652</v>
      </c>
      <c r="AD41" s="22">
        <v>23.173857000000002</v>
      </c>
      <c r="AE41" s="22">
        <v>23.260543999999999</v>
      </c>
      <c r="AF41" s="22">
        <v>23.427748000000001</v>
      </c>
      <c r="AG41" s="22">
        <v>23.597351</v>
      </c>
      <c r="AH41" s="19">
        <v>7.6880000000000004E-3</v>
      </c>
    </row>
    <row r="42" spans="1:34" ht="14.4" x14ac:dyDescent="0.3">
      <c r="A42" s="6" t="s">
        <v>99</v>
      </c>
      <c r="B42" s="17" t="s">
        <v>100</v>
      </c>
      <c r="C42" s="22">
        <v>9.5686540000000004</v>
      </c>
      <c r="D42" s="22">
        <v>10.382089000000001</v>
      </c>
      <c r="E42" s="22">
        <v>11.359349</v>
      </c>
      <c r="F42" s="22">
        <v>12.190462</v>
      </c>
      <c r="G42" s="22">
        <v>12.696320999999999</v>
      </c>
      <c r="H42" s="22">
        <v>12.903029999999999</v>
      </c>
      <c r="I42" s="22">
        <v>13.260797</v>
      </c>
      <c r="J42" s="22">
        <v>13.761744</v>
      </c>
      <c r="K42" s="22">
        <v>14.027101</v>
      </c>
      <c r="L42" s="22">
        <v>14.319986</v>
      </c>
      <c r="M42" s="22">
        <v>14.720231999999999</v>
      </c>
      <c r="N42" s="22">
        <v>14.946351</v>
      </c>
      <c r="O42" s="22">
        <v>15.259788</v>
      </c>
      <c r="P42" s="22">
        <v>15.467662000000001</v>
      </c>
      <c r="Q42" s="22">
        <v>15.60177</v>
      </c>
      <c r="R42" s="22">
        <v>15.515354</v>
      </c>
      <c r="S42" s="22">
        <v>15.477219</v>
      </c>
      <c r="T42" s="22">
        <v>15.705437999999999</v>
      </c>
      <c r="U42" s="22">
        <v>15.944727</v>
      </c>
      <c r="V42" s="22">
        <v>15.870374999999999</v>
      </c>
      <c r="W42" s="22">
        <v>16.294031</v>
      </c>
      <c r="X42" s="22">
        <v>16.474257999999999</v>
      </c>
      <c r="Y42" s="22">
        <v>16.612787000000001</v>
      </c>
      <c r="Z42" s="22">
        <v>16.803795000000001</v>
      </c>
      <c r="AA42" s="22">
        <v>17.055935000000002</v>
      </c>
      <c r="AB42" s="22">
        <v>17.333383999999999</v>
      </c>
      <c r="AC42" s="22">
        <v>17.508016999999999</v>
      </c>
      <c r="AD42" s="22">
        <v>17.640877</v>
      </c>
      <c r="AE42" s="22">
        <v>17.718878</v>
      </c>
      <c r="AF42" s="22">
        <v>17.919551999999999</v>
      </c>
      <c r="AG42" s="22">
        <v>18.078150000000001</v>
      </c>
      <c r="AH42" s="19">
        <v>2.1433000000000001E-2</v>
      </c>
    </row>
    <row r="43" spans="1:34" ht="14.4" x14ac:dyDescent="0.3">
      <c r="A43" s="6" t="s">
        <v>101</v>
      </c>
      <c r="B43" s="17" t="s">
        <v>102</v>
      </c>
      <c r="C43" s="22">
        <v>18.329231</v>
      </c>
      <c r="D43" s="22">
        <v>18.273304</v>
      </c>
      <c r="E43" s="22">
        <v>19.018625</v>
      </c>
      <c r="F43" s="22">
        <v>20.184968999999999</v>
      </c>
      <c r="G43" s="22">
        <v>20.458480999999999</v>
      </c>
      <c r="H43" s="22">
        <v>20.666316999999999</v>
      </c>
      <c r="I43" s="22">
        <v>20.773323000000001</v>
      </c>
      <c r="J43" s="22">
        <v>21.303528</v>
      </c>
      <c r="K43" s="22">
        <v>21.534609</v>
      </c>
      <c r="L43" s="22">
        <v>21.744458999999999</v>
      </c>
      <c r="M43" s="22">
        <v>22.445812</v>
      </c>
      <c r="N43" s="22">
        <v>22.594145000000001</v>
      </c>
      <c r="O43" s="22">
        <v>22.867038999999998</v>
      </c>
      <c r="P43" s="22">
        <v>23.024622000000001</v>
      </c>
      <c r="Q43" s="22">
        <v>23.134772999999999</v>
      </c>
      <c r="R43" s="22">
        <v>22.871684999999999</v>
      </c>
      <c r="S43" s="22">
        <v>22.789750999999999</v>
      </c>
      <c r="T43" s="22">
        <v>22.977484</v>
      </c>
      <c r="U43" s="22">
        <v>23.1539</v>
      </c>
      <c r="V43" s="22">
        <v>23.013912000000001</v>
      </c>
      <c r="W43" s="22">
        <v>23.353069000000001</v>
      </c>
      <c r="X43" s="22">
        <v>23.471916</v>
      </c>
      <c r="Y43" s="22">
        <v>23.546527999999999</v>
      </c>
      <c r="Z43" s="22">
        <v>23.659164000000001</v>
      </c>
      <c r="AA43" s="22">
        <v>23.822613</v>
      </c>
      <c r="AB43" s="22">
        <v>24.034845000000001</v>
      </c>
      <c r="AC43" s="22">
        <v>24.176539999999999</v>
      </c>
      <c r="AD43" s="22">
        <v>24.286657000000002</v>
      </c>
      <c r="AE43" s="22">
        <v>24.364197000000001</v>
      </c>
      <c r="AF43" s="22">
        <v>24.512602000000001</v>
      </c>
      <c r="AG43" s="22">
        <v>24.657568000000001</v>
      </c>
      <c r="AH43" s="19">
        <v>9.9349999999999994E-3</v>
      </c>
    </row>
    <row r="44" spans="1:34" ht="14.4" x14ac:dyDescent="0.3">
      <c r="A44" s="6" t="s">
        <v>103</v>
      </c>
      <c r="B44" s="17" t="s">
        <v>76</v>
      </c>
      <c r="C44" s="22">
        <v>9.2080660000000005</v>
      </c>
      <c r="D44" s="22">
        <v>6.989611</v>
      </c>
      <c r="E44" s="22">
        <v>7.144215</v>
      </c>
      <c r="F44" s="22">
        <v>8.1884130000000006</v>
      </c>
      <c r="G44" s="22">
        <v>9.3499669999999995</v>
      </c>
      <c r="H44" s="22">
        <v>9.3756959999999996</v>
      </c>
      <c r="I44" s="22">
        <v>9.6402699999999992</v>
      </c>
      <c r="J44" s="22">
        <v>10.126381</v>
      </c>
      <c r="K44" s="22">
        <v>10.226327</v>
      </c>
      <c r="L44" s="22">
        <v>10.968683</v>
      </c>
      <c r="M44" s="22">
        <v>11.327226</v>
      </c>
      <c r="N44" s="22">
        <v>11.050945</v>
      </c>
      <c r="O44" s="22">
        <v>11.334099</v>
      </c>
      <c r="P44" s="22">
        <v>11.461785000000001</v>
      </c>
      <c r="Q44" s="22">
        <v>11.880727</v>
      </c>
      <c r="R44" s="22">
        <v>11.526116999999999</v>
      </c>
      <c r="S44" s="22">
        <v>11.641574</v>
      </c>
      <c r="T44" s="22">
        <v>11.783689000000001</v>
      </c>
      <c r="U44" s="22">
        <v>11.978284</v>
      </c>
      <c r="V44" s="22">
        <v>12.118925000000001</v>
      </c>
      <c r="W44" s="22">
        <v>12.296306</v>
      </c>
      <c r="X44" s="22">
        <v>12.352102</v>
      </c>
      <c r="Y44" s="22">
        <v>12.596482999999999</v>
      </c>
      <c r="Z44" s="22">
        <v>12.935369</v>
      </c>
      <c r="AA44" s="22">
        <v>13.238238000000001</v>
      </c>
      <c r="AB44" s="22">
        <v>13.200082</v>
      </c>
      <c r="AC44" s="22">
        <v>13.803732</v>
      </c>
      <c r="AD44" s="22">
        <v>13.884045</v>
      </c>
      <c r="AE44" s="22">
        <v>13.935924999999999</v>
      </c>
      <c r="AF44" s="22">
        <v>14.105252</v>
      </c>
      <c r="AG44" s="22">
        <v>14.331807</v>
      </c>
      <c r="AH44" s="19">
        <v>1.4855999999999999E-2</v>
      </c>
    </row>
    <row r="45" spans="1:34" ht="14.4" x14ac:dyDescent="0.3">
      <c r="A45" s="6" t="s">
        <v>104</v>
      </c>
      <c r="B45" s="17" t="s">
        <v>105</v>
      </c>
      <c r="C45" s="22">
        <v>12.999203</v>
      </c>
      <c r="D45" s="22">
        <v>13.612721000000001</v>
      </c>
      <c r="E45" s="22">
        <v>13.962173</v>
      </c>
      <c r="F45" s="22">
        <v>13.394043999999999</v>
      </c>
      <c r="G45" s="22">
        <v>12.701124999999999</v>
      </c>
      <c r="H45" s="22">
        <v>12.455730000000001</v>
      </c>
      <c r="I45" s="22">
        <v>12.231553999999999</v>
      </c>
      <c r="J45" s="22">
        <v>12.004652</v>
      </c>
      <c r="K45" s="22">
        <v>11.749408000000001</v>
      </c>
      <c r="L45" s="22">
        <v>11.559972</v>
      </c>
      <c r="M45" s="22">
        <v>12.036060000000001</v>
      </c>
      <c r="N45" s="22">
        <v>11.756859</v>
      </c>
      <c r="O45" s="22">
        <v>11.637912999999999</v>
      </c>
      <c r="P45" s="22">
        <v>11.466904</v>
      </c>
      <c r="Q45" s="22">
        <v>11.297943</v>
      </c>
      <c r="R45" s="22">
        <v>11.078620000000001</v>
      </c>
      <c r="S45" s="22">
        <v>10.936546</v>
      </c>
      <c r="T45" s="22">
        <v>10.797910999999999</v>
      </c>
      <c r="U45" s="22">
        <v>10.667474</v>
      </c>
      <c r="V45" s="22">
        <v>10.546728999999999</v>
      </c>
      <c r="W45" s="22">
        <v>10.458061000000001</v>
      </c>
      <c r="X45" s="22">
        <v>10.372773</v>
      </c>
      <c r="Y45" s="22">
        <v>10.336288</v>
      </c>
      <c r="Z45" s="22">
        <v>10.268269</v>
      </c>
      <c r="AA45" s="22">
        <v>10.251918</v>
      </c>
      <c r="AB45" s="22">
        <v>10.198373</v>
      </c>
      <c r="AC45" s="22">
        <v>10.155938000000001</v>
      </c>
      <c r="AD45" s="22">
        <v>10.137851</v>
      </c>
      <c r="AE45" s="22">
        <v>10.073518</v>
      </c>
      <c r="AF45" s="22">
        <v>10.031018</v>
      </c>
      <c r="AG45" s="22">
        <v>10.035291000000001</v>
      </c>
      <c r="AH45" s="19">
        <v>-8.5889999999999994E-3</v>
      </c>
    </row>
    <row r="46" spans="1:34" ht="14.4" x14ac:dyDescent="0.3">
      <c r="A46" s="6" t="s">
        <v>106</v>
      </c>
      <c r="B46" s="17" t="s">
        <v>71</v>
      </c>
      <c r="C46" s="22">
        <v>34.881683000000002</v>
      </c>
      <c r="D46" s="22">
        <v>36.432147999999998</v>
      </c>
      <c r="E46" s="22">
        <v>35.382660000000001</v>
      </c>
      <c r="F46" s="22">
        <v>34.505398</v>
      </c>
      <c r="G46" s="22">
        <v>33.776938999999999</v>
      </c>
      <c r="H46" s="22">
        <v>33.571579</v>
      </c>
      <c r="I46" s="22">
        <v>33.493298000000003</v>
      </c>
      <c r="J46" s="22">
        <v>33.463439999999999</v>
      </c>
      <c r="K46" s="22">
        <v>33.426532999999999</v>
      </c>
      <c r="L46" s="22">
        <v>33.438160000000003</v>
      </c>
      <c r="M46" s="22">
        <v>33.332622999999998</v>
      </c>
      <c r="N46" s="22">
        <v>33.562083999999999</v>
      </c>
      <c r="O46" s="22">
        <v>33.609898000000001</v>
      </c>
      <c r="P46" s="22">
        <v>33.642971000000003</v>
      </c>
      <c r="Q46" s="22">
        <v>33.577801000000001</v>
      </c>
      <c r="R46" s="22">
        <v>33.383285999999998</v>
      </c>
      <c r="S46" s="22">
        <v>33.236187000000001</v>
      </c>
      <c r="T46" s="22">
        <v>33.116970000000002</v>
      </c>
      <c r="U46" s="22">
        <v>32.992995999999998</v>
      </c>
      <c r="V46" s="22">
        <v>32.848633</v>
      </c>
      <c r="W46" s="22">
        <v>32.697341999999999</v>
      </c>
      <c r="X46" s="22">
        <v>32.558188999999999</v>
      </c>
      <c r="Y46" s="22">
        <v>32.407673000000003</v>
      </c>
      <c r="Z46" s="22">
        <v>32.201774999999998</v>
      </c>
      <c r="AA46" s="22">
        <v>32.014209999999999</v>
      </c>
      <c r="AB46" s="22">
        <v>31.856124999999999</v>
      </c>
      <c r="AC46" s="22">
        <v>31.642790000000002</v>
      </c>
      <c r="AD46" s="22">
        <v>31.444817</v>
      </c>
      <c r="AE46" s="22">
        <v>31.182276000000002</v>
      </c>
      <c r="AF46" s="22">
        <v>30.867584000000001</v>
      </c>
      <c r="AG46" s="22">
        <v>30.581862999999998</v>
      </c>
      <c r="AH46" s="19">
        <v>-4.3759999999999997E-3</v>
      </c>
    </row>
    <row r="48" spans="1:34" ht="14.4" x14ac:dyDescent="0.3">
      <c r="B48" s="16" t="s">
        <v>107</v>
      </c>
    </row>
    <row r="49" spans="1:34" ht="14.4" x14ac:dyDescent="0.3">
      <c r="A49" s="6" t="s">
        <v>108</v>
      </c>
      <c r="B49" s="17" t="s">
        <v>67</v>
      </c>
      <c r="C49" s="22">
        <v>17.708587999999999</v>
      </c>
      <c r="D49" s="22">
        <v>17.735790000000001</v>
      </c>
      <c r="E49" s="22">
        <v>17.772366999999999</v>
      </c>
      <c r="F49" s="22">
        <v>17.757168</v>
      </c>
      <c r="G49" s="22">
        <v>17.440514</v>
      </c>
      <c r="H49" s="22">
        <v>16.906562999999998</v>
      </c>
      <c r="I49" s="22">
        <v>16.321712000000002</v>
      </c>
      <c r="J49" s="22">
        <v>16.740919000000002</v>
      </c>
      <c r="K49" s="22">
        <v>16.886804999999999</v>
      </c>
      <c r="L49" s="22">
        <v>17.092268000000001</v>
      </c>
      <c r="M49" s="22">
        <v>17.428493</v>
      </c>
      <c r="N49" s="22">
        <v>17.382967000000001</v>
      </c>
      <c r="O49" s="22">
        <v>17.607697000000002</v>
      </c>
      <c r="P49" s="22">
        <v>17.753260000000001</v>
      </c>
      <c r="Q49" s="22">
        <v>17.881567</v>
      </c>
      <c r="R49" s="22">
        <v>17.759588000000001</v>
      </c>
      <c r="S49" s="22">
        <v>17.726186999999999</v>
      </c>
      <c r="T49" s="22">
        <v>17.897390000000001</v>
      </c>
      <c r="U49" s="22">
        <v>17.993275000000001</v>
      </c>
      <c r="V49" s="22">
        <v>17.910706999999999</v>
      </c>
      <c r="W49" s="22">
        <v>18.340789999999998</v>
      </c>
      <c r="X49" s="22">
        <v>18.489763</v>
      </c>
      <c r="Y49" s="22">
        <v>18.573277000000001</v>
      </c>
      <c r="Z49" s="22">
        <v>18.707031000000001</v>
      </c>
      <c r="AA49" s="22">
        <v>18.910122000000001</v>
      </c>
      <c r="AB49" s="22">
        <v>19.160456</v>
      </c>
      <c r="AC49" s="22">
        <v>19.332260000000002</v>
      </c>
      <c r="AD49" s="22">
        <v>19.448906000000001</v>
      </c>
      <c r="AE49" s="22">
        <v>19.543752999999999</v>
      </c>
      <c r="AF49" s="22">
        <v>19.758375000000001</v>
      </c>
      <c r="AG49" s="22">
        <v>19.904820999999998</v>
      </c>
      <c r="AH49" s="19">
        <v>3.9050000000000001E-3</v>
      </c>
    </row>
    <row r="50" spans="1:34" ht="15" customHeight="1" x14ac:dyDescent="0.3">
      <c r="A50" s="6" t="s">
        <v>109</v>
      </c>
      <c r="B50" s="17" t="s">
        <v>76</v>
      </c>
      <c r="C50" s="22">
        <v>8.2907299999999999</v>
      </c>
      <c r="D50" s="22">
        <v>8.8536610000000007</v>
      </c>
      <c r="E50" s="22">
        <v>9.7206170000000007</v>
      </c>
      <c r="F50" s="22">
        <v>10.69387</v>
      </c>
      <c r="G50" s="22">
        <v>11.372703</v>
      </c>
      <c r="H50" s="22">
        <v>11.701245</v>
      </c>
      <c r="I50" s="22">
        <v>12.102871</v>
      </c>
      <c r="J50" s="22">
        <v>12.510104999999999</v>
      </c>
      <c r="K50" s="22">
        <v>12.626429</v>
      </c>
      <c r="L50" s="22">
        <v>12.84155</v>
      </c>
      <c r="M50" s="22">
        <v>13.156910999999999</v>
      </c>
      <c r="N50" s="22">
        <v>13.264642</v>
      </c>
      <c r="O50" s="22">
        <v>13.461684999999999</v>
      </c>
      <c r="P50" s="22">
        <v>13.653866000000001</v>
      </c>
      <c r="Q50" s="22">
        <v>13.733962</v>
      </c>
      <c r="R50" s="22">
        <v>13.649095000000001</v>
      </c>
      <c r="S50" s="22">
        <v>13.591269</v>
      </c>
      <c r="T50" s="22">
        <v>13.757904999999999</v>
      </c>
      <c r="U50" s="22">
        <v>13.930717</v>
      </c>
      <c r="V50" s="22">
        <v>13.97852</v>
      </c>
      <c r="W50" s="22">
        <v>14.261134</v>
      </c>
      <c r="X50" s="22">
        <v>14.30029</v>
      </c>
      <c r="Y50" s="22">
        <v>14.296969000000001</v>
      </c>
      <c r="Z50" s="22">
        <v>14.277528999999999</v>
      </c>
      <c r="AA50" s="22">
        <v>14.328882</v>
      </c>
      <c r="AB50" s="22">
        <v>14.239768</v>
      </c>
      <c r="AC50" s="22">
        <v>14.427329</v>
      </c>
      <c r="AD50" s="22">
        <v>14.57197</v>
      </c>
      <c r="AE50" s="22">
        <v>14.66136</v>
      </c>
      <c r="AF50" s="22">
        <v>14.848314999999999</v>
      </c>
      <c r="AG50" s="22">
        <v>15.050549</v>
      </c>
      <c r="AH50" s="19">
        <v>2.0074999999999999E-2</v>
      </c>
    </row>
    <row r="51" spans="1:34" ht="15" customHeight="1" x14ac:dyDescent="0.3">
      <c r="A51" s="6" t="s">
        <v>110</v>
      </c>
      <c r="B51" s="17" t="s">
        <v>69</v>
      </c>
      <c r="C51" s="22">
        <v>2.4475359999999999</v>
      </c>
      <c r="D51" s="22">
        <v>3.5377540000000001</v>
      </c>
      <c r="E51" s="22">
        <v>3.433262</v>
      </c>
      <c r="F51" s="22">
        <v>3.015679</v>
      </c>
      <c r="G51" s="22">
        <v>2.6849409999999998</v>
      </c>
      <c r="H51" s="22">
        <v>2.64967</v>
      </c>
      <c r="I51" s="22">
        <v>2.6746370000000002</v>
      </c>
      <c r="J51" s="22">
        <v>2.7499859999999998</v>
      </c>
      <c r="K51" s="22">
        <v>2.8047689999999998</v>
      </c>
      <c r="L51" s="22">
        <v>2.9016790000000001</v>
      </c>
      <c r="M51" s="22">
        <v>2.9613369999999999</v>
      </c>
      <c r="N51" s="22">
        <v>2.9948389999999998</v>
      </c>
      <c r="O51" s="22">
        <v>3.0135689999999999</v>
      </c>
      <c r="P51" s="22">
        <v>3.046341</v>
      </c>
      <c r="Q51" s="22">
        <v>3.0397609999999999</v>
      </c>
      <c r="R51" s="22">
        <v>3.0194350000000001</v>
      </c>
      <c r="S51" s="22">
        <v>3.0151469999999998</v>
      </c>
      <c r="T51" s="22">
        <v>2.99057</v>
      </c>
      <c r="U51" s="22">
        <v>2.965697</v>
      </c>
      <c r="V51" s="22">
        <v>2.9375529999999999</v>
      </c>
      <c r="W51" s="22">
        <v>2.921646</v>
      </c>
      <c r="X51" s="22">
        <v>2.9222980000000001</v>
      </c>
      <c r="Y51" s="22">
        <v>2.9232429999999998</v>
      </c>
      <c r="Z51" s="22">
        <v>2.9078240000000002</v>
      </c>
      <c r="AA51" s="22">
        <v>2.9255339999999999</v>
      </c>
      <c r="AB51" s="22">
        <v>2.9019879999999998</v>
      </c>
      <c r="AC51" s="22">
        <v>2.885729</v>
      </c>
      <c r="AD51" s="22">
        <v>2.8889610000000001</v>
      </c>
      <c r="AE51" s="22">
        <v>2.8487960000000001</v>
      </c>
      <c r="AF51" s="22">
        <v>2.8097089999999998</v>
      </c>
      <c r="AG51" s="22">
        <v>2.824214</v>
      </c>
      <c r="AH51" s="19">
        <v>4.7829999999999999E-3</v>
      </c>
    </row>
    <row r="52" spans="1:34" ht="15" customHeight="1" x14ac:dyDescent="0.3">
      <c r="A52" s="6" t="s">
        <v>111</v>
      </c>
      <c r="B52" s="17" t="s">
        <v>112</v>
      </c>
      <c r="C52" s="22">
        <v>1.9139900000000001</v>
      </c>
      <c r="D52" s="22">
        <v>1.992829</v>
      </c>
      <c r="E52" s="22">
        <v>1.9976529999999999</v>
      </c>
      <c r="F52" s="22">
        <v>1.922558</v>
      </c>
      <c r="G52" s="22">
        <v>1.8888240000000001</v>
      </c>
      <c r="H52" s="22">
        <v>1.808135</v>
      </c>
      <c r="I52" s="22">
        <v>1.7887230000000001</v>
      </c>
      <c r="J52" s="22">
        <v>1.771312</v>
      </c>
      <c r="K52" s="22">
        <v>1.730594</v>
      </c>
      <c r="L52" s="22">
        <v>1.7246509999999999</v>
      </c>
      <c r="M52" s="22">
        <v>1.720315</v>
      </c>
      <c r="N52" s="22">
        <v>1.7246379999999999</v>
      </c>
      <c r="O52" s="22">
        <v>1.700455</v>
      </c>
      <c r="P52" s="22">
        <v>1.6854579999999999</v>
      </c>
      <c r="Q52" s="22">
        <v>1.6802440000000001</v>
      </c>
      <c r="R52" s="22">
        <v>1.665702</v>
      </c>
      <c r="S52" s="22">
        <v>1.655894</v>
      </c>
      <c r="T52" s="22">
        <v>1.6545019999999999</v>
      </c>
      <c r="U52" s="22">
        <v>1.6677360000000001</v>
      </c>
      <c r="V52" s="22">
        <v>1.664871</v>
      </c>
      <c r="W52" s="22">
        <v>1.6638310000000001</v>
      </c>
      <c r="X52" s="22">
        <v>1.66272</v>
      </c>
      <c r="Y52" s="22">
        <v>1.6576850000000001</v>
      </c>
      <c r="Z52" s="22">
        <v>1.6561950000000001</v>
      </c>
      <c r="AA52" s="22">
        <v>1.6538379999999999</v>
      </c>
      <c r="AB52" s="22">
        <v>1.64913</v>
      </c>
      <c r="AC52" s="22">
        <v>1.647008</v>
      </c>
      <c r="AD52" s="22">
        <v>1.6447270000000001</v>
      </c>
      <c r="AE52" s="22">
        <v>1.6342840000000001</v>
      </c>
      <c r="AF52" s="22">
        <v>1.631901</v>
      </c>
      <c r="AG52" s="22">
        <v>1.6306769999999999</v>
      </c>
      <c r="AH52" s="19">
        <v>-5.326E-3</v>
      </c>
    </row>
    <row r="53" spans="1:34" ht="15" customHeight="1" x14ac:dyDescent="0.3">
      <c r="A53" s="6" t="s">
        <v>113</v>
      </c>
      <c r="B53" s="17" t="s">
        <v>114</v>
      </c>
      <c r="C53" s="22">
        <v>0.68612300000000004</v>
      </c>
      <c r="D53" s="22">
        <v>0.68712899999999999</v>
      </c>
      <c r="E53" s="22">
        <v>0.68813500000000005</v>
      </c>
      <c r="F53" s="22">
        <v>0.69014699999999995</v>
      </c>
      <c r="G53" s="22">
        <v>0.69115300000000002</v>
      </c>
      <c r="H53" s="22">
        <v>0.69316500000000003</v>
      </c>
      <c r="I53" s="22">
        <v>0.69417099999999998</v>
      </c>
      <c r="J53" s="22">
        <v>0.696183</v>
      </c>
      <c r="K53" s="22">
        <v>0.69718899999999995</v>
      </c>
      <c r="L53" s="22">
        <v>0.69920099999999996</v>
      </c>
      <c r="M53" s="22">
        <v>0.70121299999999998</v>
      </c>
      <c r="N53" s="22">
        <v>0.70221900000000004</v>
      </c>
      <c r="O53" s="22">
        <v>0.70423100000000005</v>
      </c>
      <c r="P53" s="22">
        <v>0.70624299999999995</v>
      </c>
      <c r="Q53" s="22">
        <v>0.70725000000000005</v>
      </c>
      <c r="R53" s="22">
        <v>0.70926199999999995</v>
      </c>
      <c r="S53" s="22">
        <v>0.71127399999999996</v>
      </c>
      <c r="T53" s="22">
        <v>0.71228000000000002</v>
      </c>
      <c r="U53" s="22">
        <v>0.71429200000000004</v>
      </c>
      <c r="V53" s="22">
        <v>0.71630400000000005</v>
      </c>
      <c r="W53" s="22">
        <v>0.71831599999999995</v>
      </c>
      <c r="X53" s="22">
        <v>0.72032799999999997</v>
      </c>
      <c r="Y53" s="22">
        <v>0.72233999999999998</v>
      </c>
      <c r="Z53" s="22">
        <v>0.724352</v>
      </c>
      <c r="AA53" s="22">
        <v>0.72636400000000001</v>
      </c>
      <c r="AB53" s="22">
        <v>0.72837600000000002</v>
      </c>
      <c r="AC53" s="22">
        <v>0.73038899999999995</v>
      </c>
      <c r="AD53" s="22">
        <v>0.73240099999999997</v>
      </c>
      <c r="AE53" s="22">
        <v>0.73441299999999998</v>
      </c>
      <c r="AF53" s="22">
        <v>0.736425</v>
      </c>
      <c r="AG53" s="22">
        <v>0.73843700000000001</v>
      </c>
      <c r="AH53" s="19">
        <v>2.4520000000000002E-3</v>
      </c>
    </row>
    <row r="56" spans="1:34" ht="15" customHeight="1" x14ac:dyDescent="0.3">
      <c r="B56" s="16" t="s">
        <v>115</v>
      </c>
    </row>
    <row r="57" spans="1:34" ht="15" customHeight="1" x14ac:dyDescent="0.3">
      <c r="A57" s="6" t="s">
        <v>116</v>
      </c>
      <c r="B57" s="17" t="s">
        <v>65</v>
      </c>
      <c r="C57" s="22">
        <v>14.345898999999999</v>
      </c>
      <c r="D57" s="22">
        <v>14.713685</v>
      </c>
      <c r="E57" s="22">
        <v>15.243047000000001</v>
      </c>
      <c r="F57" s="22">
        <v>14.460915</v>
      </c>
      <c r="G57" s="22">
        <v>14.477819999999999</v>
      </c>
      <c r="H57" s="22">
        <v>14.54909</v>
      </c>
      <c r="I57" s="22">
        <v>14.412589000000001</v>
      </c>
      <c r="J57" s="22">
        <v>14.35487</v>
      </c>
      <c r="K57" s="22">
        <v>14.495398</v>
      </c>
      <c r="L57" s="22">
        <v>14.655359000000001</v>
      </c>
      <c r="M57" s="22">
        <v>15.206007</v>
      </c>
      <c r="N57" s="22">
        <v>15.418426999999999</v>
      </c>
      <c r="O57" s="22">
        <v>15.603514000000001</v>
      </c>
      <c r="P57" s="22">
        <v>15.762777</v>
      </c>
      <c r="Q57" s="22">
        <v>15.921435000000001</v>
      </c>
      <c r="R57" s="22">
        <v>15.985692</v>
      </c>
      <c r="S57" s="22">
        <v>16.117588000000001</v>
      </c>
      <c r="T57" s="22">
        <v>16.395572999999999</v>
      </c>
      <c r="U57" s="22">
        <v>16.597930999999999</v>
      </c>
      <c r="V57" s="22">
        <v>16.714835999999998</v>
      </c>
      <c r="W57" s="22">
        <v>16.862282</v>
      </c>
      <c r="X57" s="22">
        <v>17.012253000000001</v>
      </c>
      <c r="Y57" s="22">
        <v>17.148232</v>
      </c>
      <c r="Z57" s="22">
        <v>17.174129000000001</v>
      </c>
      <c r="AA57" s="22">
        <v>17.310279999999999</v>
      </c>
      <c r="AB57" s="22">
        <v>17.405563000000001</v>
      </c>
      <c r="AC57" s="22">
        <v>17.561202999999999</v>
      </c>
      <c r="AD57" s="22">
        <v>17.719315000000002</v>
      </c>
      <c r="AE57" s="22">
        <v>17.866385999999999</v>
      </c>
      <c r="AF57" s="22">
        <v>18.056528</v>
      </c>
      <c r="AG57" s="22">
        <v>18.228179999999998</v>
      </c>
      <c r="AH57" s="19">
        <v>8.0149999999999996E-3</v>
      </c>
    </row>
    <row r="58" spans="1:34" ht="15" customHeight="1" x14ac:dyDescent="0.3">
      <c r="A58" s="6" t="s">
        <v>117</v>
      </c>
      <c r="B58" s="17" t="s">
        <v>96</v>
      </c>
      <c r="C58" s="22">
        <v>21.197994000000001</v>
      </c>
      <c r="D58" s="22">
        <v>22.2544</v>
      </c>
      <c r="E58" s="22">
        <v>23.610071000000001</v>
      </c>
      <c r="F58" s="22">
        <v>23.112133</v>
      </c>
      <c r="G58" s="22">
        <v>22.835497</v>
      </c>
      <c r="H58" s="22">
        <v>22.609148000000001</v>
      </c>
      <c r="I58" s="22">
        <v>22.527273000000001</v>
      </c>
      <c r="J58" s="22">
        <v>23.046517999999999</v>
      </c>
      <c r="K58" s="22">
        <v>23.283846</v>
      </c>
      <c r="L58" s="22">
        <v>23.639156</v>
      </c>
      <c r="M58" s="22">
        <v>24.640180999999998</v>
      </c>
      <c r="N58" s="22">
        <v>24.558274999999998</v>
      </c>
      <c r="O58" s="22">
        <v>24.877409</v>
      </c>
      <c r="P58" s="22">
        <v>25.090036000000001</v>
      </c>
      <c r="Q58" s="22">
        <v>25.613430000000001</v>
      </c>
      <c r="R58" s="22">
        <v>25.302700000000002</v>
      </c>
      <c r="S58" s="22">
        <v>25.378855000000001</v>
      </c>
      <c r="T58" s="22">
        <v>25.663869999999999</v>
      </c>
      <c r="U58" s="22">
        <v>25.927429</v>
      </c>
      <c r="V58" s="22">
        <v>25.975618000000001</v>
      </c>
      <c r="W58" s="22">
        <v>26.159890999999998</v>
      </c>
      <c r="X58" s="22">
        <v>26.357863999999999</v>
      </c>
      <c r="Y58" s="22">
        <v>26.34479</v>
      </c>
      <c r="Z58" s="22">
        <v>26.476631000000001</v>
      </c>
      <c r="AA58" s="22">
        <v>26.680527000000001</v>
      </c>
      <c r="AB58" s="22">
        <v>26.959340999999998</v>
      </c>
      <c r="AC58" s="22">
        <v>27.088846</v>
      </c>
      <c r="AD58" s="22">
        <v>27.212554999999998</v>
      </c>
      <c r="AE58" s="22">
        <v>27.351645000000001</v>
      </c>
      <c r="AF58" s="22">
        <v>27.548573000000001</v>
      </c>
      <c r="AG58" s="22">
        <v>27.762180000000001</v>
      </c>
      <c r="AH58" s="19">
        <v>9.0329999999999994E-3</v>
      </c>
    </row>
    <row r="59" spans="1:34" ht="15" customHeight="1" x14ac:dyDescent="0.3">
      <c r="A59" s="6" t="s">
        <v>118</v>
      </c>
      <c r="B59" s="17" t="s">
        <v>98</v>
      </c>
      <c r="C59" s="22">
        <v>18.741726</v>
      </c>
      <c r="D59" s="22">
        <v>19.573618</v>
      </c>
      <c r="E59" s="22">
        <v>19.847180999999999</v>
      </c>
      <c r="F59" s="22">
        <v>19.730119999999999</v>
      </c>
      <c r="G59" s="22">
        <v>19.552361000000001</v>
      </c>
      <c r="H59" s="22">
        <v>19.410413999999999</v>
      </c>
      <c r="I59" s="22">
        <v>19.379324</v>
      </c>
      <c r="J59" s="22">
        <v>19.811895</v>
      </c>
      <c r="K59" s="22">
        <v>19.996117000000002</v>
      </c>
      <c r="L59" s="22">
        <v>20.277868000000002</v>
      </c>
      <c r="M59" s="22">
        <v>21.256985</v>
      </c>
      <c r="N59" s="22">
        <v>21.163912</v>
      </c>
      <c r="O59" s="22">
        <v>21.433541999999999</v>
      </c>
      <c r="P59" s="22">
        <v>21.589587999999999</v>
      </c>
      <c r="Q59" s="22">
        <v>22.011628999999999</v>
      </c>
      <c r="R59" s="22">
        <v>21.731033</v>
      </c>
      <c r="S59" s="22">
        <v>21.780111000000002</v>
      </c>
      <c r="T59" s="22">
        <v>22.012319999999999</v>
      </c>
      <c r="U59" s="22">
        <v>22.22261</v>
      </c>
      <c r="V59" s="22">
        <v>22.25421</v>
      </c>
      <c r="W59" s="22">
        <v>22.401754</v>
      </c>
      <c r="X59" s="22">
        <v>22.555140000000002</v>
      </c>
      <c r="Y59" s="22">
        <v>22.531652000000001</v>
      </c>
      <c r="Z59" s="22">
        <v>22.631084000000001</v>
      </c>
      <c r="AA59" s="22">
        <v>22.791840000000001</v>
      </c>
      <c r="AB59" s="22">
        <v>23.004425000000001</v>
      </c>
      <c r="AC59" s="22">
        <v>23.083075000000001</v>
      </c>
      <c r="AD59" s="22">
        <v>23.182410999999998</v>
      </c>
      <c r="AE59" s="22">
        <v>23.269247</v>
      </c>
      <c r="AF59" s="22">
        <v>23.436558000000002</v>
      </c>
      <c r="AG59" s="22">
        <v>23.606294999999999</v>
      </c>
      <c r="AH59" s="19">
        <v>7.7219999999999997E-3</v>
      </c>
    </row>
    <row r="60" spans="1:34" ht="15" customHeight="1" x14ac:dyDescent="0.3">
      <c r="A60" s="6" t="s">
        <v>119</v>
      </c>
      <c r="B60" s="17" t="s">
        <v>100</v>
      </c>
      <c r="C60" s="22">
        <v>9.5686540000000004</v>
      </c>
      <c r="D60" s="22">
        <v>10.382089000000001</v>
      </c>
      <c r="E60" s="22">
        <v>11.359349</v>
      </c>
      <c r="F60" s="22">
        <v>12.190462</v>
      </c>
      <c r="G60" s="22">
        <v>12.696320999999999</v>
      </c>
      <c r="H60" s="22">
        <v>12.903029999999999</v>
      </c>
      <c r="I60" s="22">
        <v>13.260797</v>
      </c>
      <c r="J60" s="22">
        <v>13.761744</v>
      </c>
      <c r="K60" s="22">
        <v>14.027101</v>
      </c>
      <c r="L60" s="22">
        <v>14.319986</v>
      </c>
      <c r="M60" s="22">
        <v>14.720231999999999</v>
      </c>
      <c r="N60" s="22">
        <v>14.946351</v>
      </c>
      <c r="O60" s="22">
        <v>15.259788</v>
      </c>
      <c r="P60" s="22">
        <v>15.467662000000001</v>
      </c>
      <c r="Q60" s="22">
        <v>15.60177</v>
      </c>
      <c r="R60" s="22">
        <v>15.515354</v>
      </c>
      <c r="S60" s="22">
        <v>15.477219</v>
      </c>
      <c r="T60" s="22">
        <v>15.705437999999999</v>
      </c>
      <c r="U60" s="22">
        <v>15.944727</v>
      </c>
      <c r="V60" s="22">
        <v>15.870374999999999</v>
      </c>
      <c r="W60" s="22">
        <v>16.294031</v>
      </c>
      <c r="X60" s="22">
        <v>16.474257999999999</v>
      </c>
      <c r="Y60" s="22">
        <v>16.612787000000001</v>
      </c>
      <c r="Z60" s="22">
        <v>16.803795000000001</v>
      </c>
      <c r="AA60" s="22">
        <v>17.055935000000002</v>
      </c>
      <c r="AB60" s="22">
        <v>17.333383999999999</v>
      </c>
      <c r="AC60" s="22">
        <v>17.508016999999999</v>
      </c>
      <c r="AD60" s="22">
        <v>17.640877</v>
      </c>
      <c r="AE60" s="22">
        <v>17.718878</v>
      </c>
      <c r="AF60" s="22">
        <v>17.919551999999999</v>
      </c>
      <c r="AG60" s="22">
        <v>18.078150000000001</v>
      </c>
      <c r="AH60" s="19">
        <v>2.1433000000000001E-2</v>
      </c>
    </row>
    <row r="61" spans="1:34" ht="15" customHeight="1" x14ac:dyDescent="0.3">
      <c r="A61" s="6" t="s">
        <v>120</v>
      </c>
      <c r="B61" s="17" t="s">
        <v>67</v>
      </c>
      <c r="C61" s="22">
        <v>18.18478</v>
      </c>
      <c r="D61" s="22">
        <v>18.15044</v>
      </c>
      <c r="E61" s="22">
        <v>18.691106999999999</v>
      </c>
      <c r="F61" s="22">
        <v>19.695511</v>
      </c>
      <c r="G61" s="22">
        <v>19.908745</v>
      </c>
      <c r="H61" s="22">
        <v>19.860835999999999</v>
      </c>
      <c r="I61" s="22">
        <v>19.983017</v>
      </c>
      <c r="J61" s="22">
        <v>20.39817</v>
      </c>
      <c r="K61" s="22">
        <v>20.586687000000001</v>
      </c>
      <c r="L61" s="22">
        <v>20.817989000000001</v>
      </c>
      <c r="M61" s="22">
        <v>21.381784</v>
      </c>
      <c r="N61" s="22">
        <v>21.479427000000001</v>
      </c>
      <c r="O61" s="22">
        <v>21.722721</v>
      </c>
      <c r="P61" s="22">
        <v>21.850819000000001</v>
      </c>
      <c r="Q61" s="22">
        <v>21.951104999999998</v>
      </c>
      <c r="R61" s="22">
        <v>21.765625</v>
      </c>
      <c r="S61" s="22">
        <v>21.643816000000001</v>
      </c>
      <c r="T61" s="22">
        <v>21.794834000000002</v>
      </c>
      <c r="U61" s="22">
        <v>21.965029000000001</v>
      </c>
      <c r="V61" s="22">
        <v>21.811845999999999</v>
      </c>
      <c r="W61" s="22">
        <v>22.161391999999999</v>
      </c>
      <c r="X61" s="22">
        <v>22.279399999999999</v>
      </c>
      <c r="Y61" s="22">
        <v>22.364939</v>
      </c>
      <c r="Z61" s="22">
        <v>22.489794</v>
      </c>
      <c r="AA61" s="22">
        <v>22.653406</v>
      </c>
      <c r="AB61" s="22">
        <v>22.892004</v>
      </c>
      <c r="AC61" s="22">
        <v>23.013697000000001</v>
      </c>
      <c r="AD61" s="22">
        <v>23.111158</v>
      </c>
      <c r="AE61" s="22">
        <v>23.160799000000001</v>
      </c>
      <c r="AF61" s="22">
        <v>23.327538000000001</v>
      </c>
      <c r="AG61" s="22">
        <v>23.461897</v>
      </c>
      <c r="AH61" s="19">
        <v>8.5290000000000001E-3</v>
      </c>
    </row>
    <row r="62" spans="1:34" ht="15" customHeight="1" x14ac:dyDescent="0.3">
      <c r="A62" s="6" t="s">
        <v>121</v>
      </c>
      <c r="B62" s="17" t="s">
        <v>76</v>
      </c>
      <c r="C62" s="22">
        <v>8.8440189999999994</v>
      </c>
      <c r="D62" s="22">
        <v>6.948499</v>
      </c>
      <c r="E62" s="22">
        <v>7.2065910000000004</v>
      </c>
      <c r="F62" s="22">
        <v>8.2569800000000004</v>
      </c>
      <c r="G62" s="22">
        <v>9.4059039999999996</v>
      </c>
      <c r="H62" s="22">
        <v>9.4920840000000002</v>
      </c>
      <c r="I62" s="22">
        <v>9.7995339999999995</v>
      </c>
      <c r="J62" s="22">
        <v>10.292654000000001</v>
      </c>
      <c r="K62" s="22">
        <v>10.398303</v>
      </c>
      <c r="L62" s="22">
        <v>11.087937</v>
      </c>
      <c r="M62" s="22">
        <v>11.440716999999999</v>
      </c>
      <c r="N62" s="22">
        <v>11.198093</v>
      </c>
      <c r="O62" s="22">
        <v>11.482384</v>
      </c>
      <c r="P62" s="22">
        <v>11.61646</v>
      </c>
      <c r="Q62" s="22">
        <v>12.002509</v>
      </c>
      <c r="R62" s="22">
        <v>11.670424000000001</v>
      </c>
      <c r="S62" s="22">
        <v>11.776406</v>
      </c>
      <c r="T62" s="22">
        <v>11.921858</v>
      </c>
      <c r="U62" s="22">
        <v>12.109484</v>
      </c>
      <c r="V62" s="22">
        <v>12.24009</v>
      </c>
      <c r="W62" s="22">
        <v>12.432967</v>
      </c>
      <c r="X62" s="22">
        <v>12.48371</v>
      </c>
      <c r="Y62" s="22">
        <v>12.711926</v>
      </c>
      <c r="Z62" s="22">
        <v>13.016185999999999</v>
      </c>
      <c r="AA62" s="22">
        <v>13.303496000000001</v>
      </c>
      <c r="AB62" s="22">
        <v>13.280557999999999</v>
      </c>
      <c r="AC62" s="22">
        <v>13.835614</v>
      </c>
      <c r="AD62" s="22">
        <v>13.919657000000001</v>
      </c>
      <c r="AE62" s="22">
        <v>13.972842999999999</v>
      </c>
      <c r="AF62" s="22">
        <v>14.140262999999999</v>
      </c>
      <c r="AG62" s="22">
        <v>14.360459000000001</v>
      </c>
      <c r="AH62" s="19">
        <v>1.6289000000000001E-2</v>
      </c>
    </row>
    <row r="63" spans="1:34" ht="15" customHeight="1" x14ac:dyDescent="0.3">
      <c r="A63" s="6" t="s">
        <v>122</v>
      </c>
      <c r="B63" s="17" t="s">
        <v>69</v>
      </c>
      <c r="C63" s="22">
        <v>4.5302720000000001</v>
      </c>
      <c r="D63" s="22">
        <v>5.5292370000000002</v>
      </c>
      <c r="E63" s="22">
        <v>5.4028390000000002</v>
      </c>
      <c r="F63" s="22">
        <v>4.9624069999999998</v>
      </c>
      <c r="G63" s="22">
        <v>4.6136220000000003</v>
      </c>
      <c r="H63" s="22">
        <v>4.5179109999999998</v>
      </c>
      <c r="I63" s="22">
        <v>4.5198349999999996</v>
      </c>
      <c r="J63" s="22">
        <v>4.5829969999999998</v>
      </c>
      <c r="K63" s="22">
        <v>4.6368559999999999</v>
      </c>
      <c r="L63" s="22">
        <v>4.7259060000000002</v>
      </c>
      <c r="M63" s="22">
        <v>4.8611329999999997</v>
      </c>
      <c r="N63" s="22">
        <v>4.8851959999999996</v>
      </c>
      <c r="O63" s="22">
        <v>4.9055540000000004</v>
      </c>
      <c r="P63" s="22">
        <v>4.9442839999999997</v>
      </c>
      <c r="Q63" s="22">
        <v>4.9354050000000003</v>
      </c>
      <c r="R63" s="22">
        <v>4.9149750000000001</v>
      </c>
      <c r="S63" s="22">
        <v>4.9045930000000002</v>
      </c>
      <c r="T63" s="22">
        <v>4.8734120000000001</v>
      </c>
      <c r="U63" s="22">
        <v>4.838724</v>
      </c>
      <c r="V63" s="22">
        <v>4.80314</v>
      </c>
      <c r="W63" s="22">
        <v>4.7789950000000001</v>
      </c>
      <c r="X63" s="22">
        <v>4.7718860000000003</v>
      </c>
      <c r="Y63" s="22">
        <v>4.7653359999999996</v>
      </c>
      <c r="Z63" s="22">
        <v>4.7378220000000004</v>
      </c>
      <c r="AA63" s="22">
        <v>4.7295059999999998</v>
      </c>
      <c r="AB63" s="22">
        <v>4.7014699999999996</v>
      </c>
      <c r="AC63" s="22">
        <v>4.6844190000000001</v>
      </c>
      <c r="AD63" s="22">
        <v>4.6855640000000003</v>
      </c>
      <c r="AE63" s="22">
        <v>4.6444729999999996</v>
      </c>
      <c r="AF63" s="22">
        <v>4.6179170000000003</v>
      </c>
      <c r="AG63" s="22">
        <v>4.6252959999999996</v>
      </c>
      <c r="AH63" s="19">
        <v>6.9200000000000002E-4</v>
      </c>
    </row>
    <row r="64" spans="1:34" ht="15" customHeight="1" x14ac:dyDescent="0.3">
      <c r="A64" s="6" t="s">
        <v>123</v>
      </c>
      <c r="B64" s="17" t="s">
        <v>86</v>
      </c>
      <c r="C64" s="22">
        <v>4.0174000000000003</v>
      </c>
      <c r="D64" s="22">
        <v>3.598935</v>
      </c>
      <c r="E64" s="22">
        <v>3.356058</v>
      </c>
      <c r="F64" s="22">
        <v>3.2078790000000001</v>
      </c>
      <c r="G64" s="22">
        <v>3.117534</v>
      </c>
      <c r="H64" s="22">
        <v>3.070951</v>
      </c>
      <c r="I64" s="22">
        <v>3.0295830000000001</v>
      </c>
      <c r="J64" s="22">
        <v>3.0136099999999999</v>
      </c>
      <c r="K64" s="22">
        <v>3.014059</v>
      </c>
      <c r="L64" s="22">
        <v>3.0367769999999998</v>
      </c>
      <c r="M64" s="22">
        <v>3.0668120000000001</v>
      </c>
      <c r="N64" s="22">
        <v>3.1021339999999999</v>
      </c>
      <c r="O64" s="22">
        <v>3.1370369999999999</v>
      </c>
      <c r="P64" s="22">
        <v>3.1691760000000002</v>
      </c>
      <c r="Q64" s="22">
        <v>3.1995740000000001</v>
      </c>
      <c r="R64" s="22">
        <v>3.23061</v>
      </c>
      <c r="S64" s="22">
        <v>3.2614040000000002</v>
      </c>
      <c r="T64" s="22">
        <v>3.2944689999999999</v>
      </c>
      <c r="U64" s="22">
        <v>3.3282949999999998</v>
      </c>
      <c r="V64" s="22">
        <v>3.36151</v>
      </c>
      <c r="W64" s="22">
        <v>3.3950330000000002</v>
      </c>
      <c r="X64" s="22">
        <v>3.4296359999999999</v>
      </c>
      <c r="Y64" s="22">
        <v>3.4663460000000001</v>
      </c>
      <c r="Z64" s="22">
        <v>3.5055459999999998</v>
      </c>
      <c r="AA64" s="22">
        <v>3.5455589999999999</v>
      </c>
      <c r="AB64" s="22">
        <v>3.5867200000000001</v>
      </c>
      <c r="AC64" s="22">
        <v>3.6247240000000001</v>
      </c>
      <c r="AD64" s="22">
        <v>3.6615160000000002</v>
      </c>
      <c r="AE64" s="22">
        <v>3.6991040000000002</v>
      </c>
      <c r="AF64" s="22">
        <v>3.7375989999999999</v>
      </c>
      <c r="AG64" s="22">
        <v>3.7801840000000002</v>
      </c>
      <c r="AH64" s="19">
        <v>-2.0270000000000002E-3</v>
      </c>
    </row>
    <row r="65" spans="1:34" ht="15" customHeight="1" x14ac:dyDescent="0.3">
      <c r="A65" s="6" t="s">
        <v>124</v>
      </c>
      <c r="B65" s="17" t="s">
        <v>125</v>
      </c>
      <c r="C65" s="22">
        <v>1.9738340000000001</v>
      </c>
      <c r="D65" s="22">
        <v>2.0376210000000001</v>
      </c>
      <c r="E65" s="22">
        <v>2.0439189999999998</v>
      </c>
      <c r="F65" s="22">
        <v>1.983716</v>
      </c>
      <c r="G65" s="22">
        <v>1.96444</v>
      </c>
      <c r="H65" s="22">
        <v>1.912539</v>
      </c>
      <c r="I65" s="22">
        <v>1.892117</v>
      </c>
      <c r="J65" s="22">
        <v>1.877834</v>
      </c>
      <c r="K65" s="22">
        <v>1.838427</v>
      </c>
      <c r="L65" s="22">
        <v>1.831164</v>
      </c>
      <c r="M65" s="22">
        <v>1.826424</v>
      </c>
      <c r="N65" s="22">
        <v>1.8310340000000001</v>
      </c>
      <c r="O65" s="22">
        <v>1.8095950000000001</v>
      </c>
      <c r="P65" s="22">
        <v>1.7954570000000001</v>
      </c>
      <c r="Q65" s="22">
        <v>1.792116</v>
      </c>
      <c r="R65" s="22">
        <v>1.7822800000000001</v>
      </c>
      <c r="S65" s="22">
        <v>1.7752669999999999</v>
      </c>
      <c r="T65" s="22">
        <v>1.77634</v>
      </c>
      <c r="U65" s="22">
        <v>1.7911250000000001</v>
      </c>
      <c r="V65" s="22">
        <v>1.789499</v>
      </c>
      <c r="W65" s="22">
        <v>1.7905279999999999</v>
      </c>
      <c r="X65" s="22">
        <v>1.791391</v>
      </c>
      <c r="Y65" s="22">
        <v>1.7899910000000001</v>
      </c>
      <c r="Z65" s="22">
        <v>1.7912699999999999</v>
      </c>
      <c r="AA65" s="22">
        <v>1.7920750000000001</v>
      </c>
      <c r="AB65" s="22">
        <v>1.7937190000000001</v>
      </c>
      <c r="AC65" s="22">
        <v>1.794313</v>
      </c>
      <c r="AD65" s="22">
        <v>1.7947979999999999</v>
      </c>
      <c r="AE65" s="22">
        <v>1.7898829999999999</v>
      </c>
      <c r="AF65" s="22">
        <v>1.791704</v>
      </c>
      <c r="AG65" s="22">
        <v>1.792621</v>
      </c>
      <c r="AH65" s="19">
        <v>-3.2049999999999999E-3</v>
      </c>
    </row>
    <row r="66" spans="1:34" ht="14.4" x14ac:dyDescent="0.3">
      <c r="A66" s="6" t="s">
        <v>126</v>
      </c>
      <c r="B66" s="17" t="s">
        <v>90</v>
      </c>
      <c r="C66" s="19" t="s">
        <v>91</v>
      </c>
      <c r="D66" s="19" t="s">
        <v>91</v>
      </c>
      <c r="E66" s="19" t="s">
        <v>91</v>
      </c>
      <c r="F66" s="19" t="s">
        <v>91</v>
      </c>
      <c r="G66" s="19" t="s">
        <v>91</v>
      </c>
      <c r="H66" s="19" t="s">
        <v>91</v>
      </c>
      <c r="I66" s="19" t="s">
        <v>91</v>
      </c>
      <c r="J66" s="19" t="s">
        <v>91</v>
      </c>
      <c r="K66" s="19" t="s">
        <v>91</v>
      </c>
      <c r="L66" s="19" t="s">
        <v>91</v>
      </c>
      <c r="M66" s="19" t="s">
        <v>91</v>
      </c>
      <c r="N66" s="19" t="s">
        <v>91</v>
      </c>
      <c r="O66" s="19" t="s">
        <v>91</v>
      </c>
      <c r="P66" s="19" t="s">
        <v>91</v>
      </c>
      <c r="Q66" s="19" t="s">
        <v>91</v>
      </c>
      <c r="R66" s="19" t="s">
        <v>91</v>
      </c>
      <c r="S66" s="19" t="s">
        <v>91</v>
      </c>
      <c r="T66" s="19" t="s">
        <v>91</v>
      </c>
      <c r="U66" s="19" t="s">
        <v>91</v>
      </c>
      <c r="V66" s="19" t="s">
        <v>91</v>
      </c>
      <c r="W66" s="19" t="s">
        <v>91</v>
      </c>
      <c r="X66" s="19" t="s">
        <v>91</v>
      </c>
      <c r="Y66" s="19" t="s">
        <v>91</v>
      </c>
      <c r="Z66" s="19" t="s">
        <v>91</v>
      </c>
      <c r="AA66" s="19" t="s">
        <v>91</v>
      </c>
      <c r="AB66" s="19" t="s">
        <v>91</v>
      </c>
      <c r="AC66" s="19" t="s">
        <v>91</v>
      </c>
      <c r="AD66" s="19" t="s">
        <v>91</v>
      </c>
      <c r="AE66" s="19" t="s">
        <v>91</v>
      </c>
      <c r="AF66" s="19" t="s">
        <v>91</v>
      </c>
      <c r="AG66" s="19" t="s">
        <v>91</v>
      </c>
      <c r="AH66" s="19" t="s">
        <v>91</v>
      </c>
    </row>
    <row r="67" spans="1:34" ht="15" customHeight="1" x14ac:dyDescent="0.3">
      <c r="A67" s="6" t="s">
        <v>127</v>
      </c>
      <c r="B67" s="17" t="s">
        <v>71</v>
      </c>
      <c r="C67" s="22">
        <v>30.523893000000001</v>
      </c>
      <c r="D67" s="22">
        <v>31.073757000000001</v>
      </c>
      <c r="E67" s="22">
        <v>30.644400000000001</v>
      </c>
      <c r="F67" s="22">
        <v>30.064250999999999</v>
      </c>
      <c r="G67" s="22">
        <v>29.625053000000001</v>
      </c>
      <c r="H67" s="22">
        <v>29.354122</v>
      </c>
      <c r="I67" s="22">
        <v>29.175063999999999</v>
      </c>
      <c r="J67" s="22">
        <v>29.083216</v>
      </c>
      <c r="K67" s="22">
        <v>28.980820000000001</v>
      </c>
      <c r="L67" s="22">
        <v>28.902287999999999</v>
      </c>
      <c r="M67" s="22">
        <v>28.841974</v>
      </c>
      <c r="N67" s="22">
        <v>28.919063999999999</v>
      </c>
      <c r="O67" s="22">
        <v>28.865849999999998</v>
      </c>
      <c r="P67" s="22">
        <v>28.825009999999999</v>
      </c>
      <c r="Q67" s="22">
        <v>28.718841999999999</v>
      </c>
      <c r="R67" s="22">
        <v>28.568573000000001</v>
      </c>
      <c r="S67" s="22">
        <v>28.420290000000001</v>
      </c>
      <c r="T67" s="22">
        <v>28.288022999999999</v>
      </c>
      <c r="U67" s="22">
        <v>28.189094999999998</v>
      </c>
      <c r="V67" s="22">
        <v>28.082899000000001</v>
      </c>
      <c r="W67" s="22">
        <v>27.978746000000001</v>
      </c>
      <c r="X67" s="22">
        <v>27.888967999999998</v>
      </c>
      <c r="Y67" s="22">
        <v>27.78153</v>
      </c>
      <c r="Z67" s="22">
        <v>27.658246999999999</v>
      </c>
      <c r="AA67" s="22">
        <v>27.550391999999999</v>
      </c>
      <c r="AB67" s="22">
        <v>27.461987000000001</v>
      </c>
      <c r="AC67" s="22">
        <v>27.334007</v>
      </c>
      <c r="AD67" s="22">
        <v>27.199771999999999</v>
      </c>
      <c r="AE67" s="22">
        <v>27.024487000000001</v>
      </c>
      <c r="AF67" s="22">
        <v>26.797374999999999</v>
      </c>
      <c r="AG67" s="22">
        <v>26.609511999999999</v>
      </c>
      <c r="AH67" s="19">
        <v>-4.5640000000000003E-3</v>
      </c>
    </row>
    <row r="69" spans="1:34" ht="15" customHeight="1" x14ac:dyDescent="0.3">
      <c r="B69" s="16" t="s">
        <v>128</v>
      </c>
    </row>
    <row r="70" spans="1:34" ht="15" customHeight="1" x14ac:dyDescent="0.3">
      <c r="B70" s="16" t="s">
        <v>232</v>
      </c>
    </row>
    <row r="71" spans="1:34" ht="15" customHeight="1" x14ac:dyDescent="0.3">
      <c r="A71" s="6" t="s">
        <v>130</v>
      </c>
      <c r="B71" s="17" t="s">
        <v>63</v>
      </c>
      <c r="C71" s="18">
        <v>246.62069700000001</v>
      </c>
      <c r="D71" s="18">
        <v>253.130234</v>
      </c>
      <c r="E71" s="18">
        <v>252.01663199999999</v>
      </c>
      <c r="F71" s="18">
        <v>249.833527</v>
      </c>
      <c r="G71" s="18">
        <v>248.12788399999999</v>
      </c>
      <c r="H71" s="18">
        <v>248.284515</v>
      </c>
      <c r="I71" s="18">
        <v>249.34051500000001</v>
      </c>
      <c r="J71" s="18">
        <v>250.656158</v>
      </c>
      <c r="K71" s="18">
        <v>251.75119000000001</v>
      </c>
      <c r="L71" s="18">
        <v>253.27865600000001</v>
      </c>
      <c r="M71" s="18">
        <v>256.011414</v>
      </c>
      <c r="N71" s="18">
        <v>257.78015099999999</v>
      </c>
      <c r="O71" s="18">
        <v>259.22811899999999</v>
      </c>
      <c r="P71" s="18">
        <v>260.54663099999999</v>
      </c>
      <c r="Q71" s="18">
        <v>261.635651</v>
      </c>
      <c r="R71" s="18">
        <v>262.25628699999999</v>
      </c>
      <c r="S71" s="18">
        <v>263.13259900000003</v>
      </c>
      <c r="T71" s="18">
        <v>264.25726300000002</v>
      </c>
      <c r="U71" s="18">
        <v>265.39077800000001</v>
      </c>
      <c r="V71" s="18">
        <v>266.38806199999999</v>
      </c>
      <c r="W71" s="18">
        <v>267.52377300000001</v>
      </c>
      <c r="X71" s="18">
        <v>268.83184799999998</v>
      </c>
      <c r="Y71" s="18">
        <v>270.06149299999998</v>
      </c>
      <c r="Z71" s="18">
        <v>271.15643299999999</v>
      </c>
      <c r="AA71" s="18">
        <v>272.41125499999998</v>
      </c>
      <c r="AB71" s="18">
        <v>273.90283199999999</v>
      </c>
      <c r="AC71" s="18">
        <v>274.91461199999998</v>
      </c>
      <c r="AD71" s="18">
        <v>275.87060500000001</v>
      </c>
      <c r="AE71" s="18">
        <v>276.51177999999999</v>
      </c>
      <c r="AF71" s="18">
        <v>276.92877199999998</v>
      </c>
      <c r="AG71" s="18">
        <v>277.669556</v>
      </c>
      <c r="AH71" s="19">
        <v>3.96E-3</v>
      </c>
    </row>
    <row r="72" spans="1:34" ht="15" customHeight="1" x14ac:dyDescent="0.3">
      <c r="A72" s="6" t="s">
        <v>131</v>
      </c>
      <c r="B72" s="17" t="s">
        <v>72</v>
      </c>
      <c r="C72" s="18">
        <v>173.48147599999999</v>
      </c>
      <c r="D72" s="18">
        <v>181.113373</v>
      </c>
      <c r="E72" s="18">
        <v>182.814392</v>
      </c>
      <c r="F72" s="18">
        <v>182.45297199999999</v>
      </c>
      <c r="G72" s="18">
        <v>182.736572</v>
      </c>
      <c r="H72" s="18">
        <v>184.55038500000001</v>
      </c>
      <c r="I72" s="18">
        <v>184.27929700000001</v>
      </c>
      <c r="J72" s="18">
        <v>184.96017499999999</v>
      </c>
      <c r="K72" s="18">
        <v>185.21028100000001</v>
      </c>
      <c r="L72" s="18">
        <v>185.74584999999999</v>
      </c>
      <c r="M72" s="18">
        <v>187.11746199999999</v>
      </c>
      <c r="N72" s="18">
        <v>187.964935</v>
      </c>
      <c r="O72" s="18">
        <v>188.467331</v>
      </c>
      <c r="P72" s="18">
        <v>189.28500399999999</v>
      </c>
      <c r="Q72" s="18">
        <v>189.63021900000001</v>
      </c>
      <c r="R72" s="18">
        <v>189.46244799999999</v>
      </c>
      <c r="S72" s="18">
        <v>189.41784699999999</v>
      </c>
      <c r="T72" s="18">
        <v>189.78436300000001</v>
      </c>
      <c r="U72" s="18">
        <v>190.24285900000001</v>
      </c>
      <c r="V72" s="18">
        <v>190.58105499999999</v>
      </c>
      <c r="W72" s="18">
        <v>191.092209</v>
      </c>
      <c r="X72" s="18">
        <v>191.863373</v>
      </c>
      <c r="Y72" s="18">
        <v>192.50102200000001</v>
      </c>
      <c r="Z72" s="18">
        <v>193.29667699999999</v>
      </c>
      <c r="AA72" s="18">
        <v>194.11904899999999</v>
      </c>
      <c r="AB72" s="18">
        <v>195.205658</v>
      </c>
      <c r="AC72" s="18">
        <v>196.03663599999999</v>
      </c>
      <c r="AD72" s="18">
        <v>196.93029799999999</v>
      </c>
      <c r="AE72" s="18">
        <v>197.60815400000001</v>
      </c>
      <c r="AF72" s="18">
        <v>198.31926000000001</v>
      </c>
      <c r="AG72" s="18">
        <v>199.38540599999999</v>
      </c>
      <c r="AH72" s="19">
        <v>4.6499999999999996E-3</v>
      </c>
    </row>
    <row r="73" spans="1:34" ht="14.4" x14ac:dyDescent="0.3">
      <c r="A73" s="6" t="s">
        <v>132</v>
      </c>
      <c r="B73" s="17" t="s">
        <v>79</v>
      </c>
      <c r="C73" s="18">
        <v>151.848038</v>
      </c>
      <c r="D73" s="18">
        <v>165.11462399999999</v>
      </c>
      <c r="E73" s="18">
        <v>170.16429099999999</v>
      </c>
      <c r="F73" s="18">
        <v>170.95889299999999</v>
      </c>
      <c r="G73" s="18">
        <v>172.68073999999999</v>
      </c>
      <c r="H73" s="18">
        <v>175.70645099999999</v>
      </c>
      <c r="I73" s="18">
        <v>177.856247</v>
      </c>
      <c r="J73" s="18">
        <v>181.78732299999999</v>
      </c>
      <c r="K73" s="18">
        <v>185.88343800000001</v>
      </c>
      <c r="L73" s="18">
        <v>190.063965</v>
      </c>
      <c r="M73" s="18">
        <v>195.25730899999999</v>
      </c>
      <c r="N73" s="18">
        <v>199.51869199999999</v>
      </c>
      <c r="O73" s="18">
        <v>203.37735000000001</v>
      </c>
      <c r="P73" s="18">
        <v>206.16082800000001</v>
      </c>
      <c r="Q73" s="18">
        <v>209.285583</v>
      </c>
      <c r="R73" s="18">
        <v>212.13353000000001</v>
      </c>
      <c r="S73" s="18">
        <v>214.53504899999999</v>
      </c>
      <c r="T73" s="18">
        <v>218.42817700000001</v>
      </c>
      <c r="U73" s="18">
        <v>221.85586499999999</v>
      </c>
      <c r="V73" s="18">
        <v>223.43197599999999</v>
      </c>
      <c r="W73" s="18">
        <v>226.55085800000001</v>
      </c>
      <c r="X73" s="18">
        <v>230.105133</v>
      </c>
      <c r="Y73" s="18">
        <v>233.68272400000001</v>
      </c>
      <c r="Z73" s="18">
        <v>237.015839</v>
      </c>
      <c r="AA73" s="18">
        <v>241.07835399999999</v>
      </c>
      <c r="AB73" s="18">
        <v>245.14498900000001</v>
      </c>
      <c r="AC73" s="18">
        <v>248.453461</v>
      </c>
      <c r="AD73" s="18">
        <v>251.573746</v>
      </c>
      <c r="AE73" s="18">
        <v>254.08210800000001</v>
      </c>
      <c r="AF73" s="18">
        <v>258.03216600000002</v>
      </c>
      <c r="AG73" s="18">
        <v>262.57321200000001</v>
      </c>
      <c r="AH73" s="19">
        <v>1.8422999999999998E-2</v>
      </c>
    </row>
    <row r="74" spans="1:34" ht="15" customHeight="1" x14ac:dyDescent="0.3">
      <c r="A74" s="6" t="s">
        <v>133</v>
      </c>
      <c r="B74" s="17" t="s">
        <v>93</v>
      </c>
      <c r="C74" s="18">
        <v>411.84991500000001</v>
      </c>
      <c r="D74" s="18">
        <v>447.95297199999999</v>
      </c>
      <c r="E74" s="18">
        <v>465.37207000000001</v>
      </c>
      <c r="F74" s="18">
        <v>477.469604</v>
      </c>
      <c r="G74" s="18">
        <v>482.10873400000003</v>
      </c>
      <c r="H74" s="18">
        <v>482.54916400000002</v>
      </c>
      <c r="I74" s="18">
        <v>484.44396999999998</v>
      </c>
      <c r="J74" s="18">
        <v>494.09118699999999</v>
      </c>
      <c r="K74" s="18">
        <v>497.25134300000002</v>
      </c>
      <c r="L74" s="18">
        <v>502.08032200000002</v>
      </c>
      <c r="M74" s="18">
        <v>520.23266599999999</v>
      </c>
      <c r="N74" s="18">
        <v>517.75805700000001</v>
      </c>
      <c r="O74" s="18">
        <v>523.00543200000004</v>
      </c>
      <c r="P74" s="18">
        <v>525.63324</v>
      </c>
      <c r="Q74" s="18">
        <v>532.64874299999997</v>
      </c>
      <c r="R74" s="18">
        <v>527.36926300000005</v>
      </c>
      <c r="S74" s="18">
        <v>527.97564699999998</v>
      </c>
      <c r="T74" s="18">
        <v>533.87902799999995</v>
      </c>
      <c r="U74" s="18">
        <v>539.88324</v>
      </c>
      <c r="V74" s="18">
        <v>540.74920699999996</v>
      </c>
      <c r="W74" s="18">
        <v>548.76000999999997</v>
      </c>
      <c r="X74" s="18">
        <v>554.73199499999998</v>
      </c>
      <c r="Y74" s="18">
        <v>558.28698699999995</v>
      </c>
      <c r="Z74" s="18">
        <v>564.58496100000002</v>
      </c>
      <c r="AA74" s="18">
        <v>571.83953899999995</v>
      </c>
      <c r="AB74" s="18">
        <v>580.52154499999995</v>
      </c>
      <c r="AC74" s="18">
        <v>586.19775400000003</v>
      </c>
      <c r="AD74" s="18">
        <v>591.22277799999995</v>
      </c>
      <c r="AE74" s="18">
        <v>595.93066399999998</v>
      </c>
      <c r="AF74" s="18">
        <v>603.30053699999996</v>
      </c>
      <c r="AG74" s="18">
        <v>610.66247599999997</v>
      </c>
      <c r="AH74" s="19">
        <v>1.3216E-2</v>
      </c>
    </row>
    <row r="75" spans="1:34" ht="15" customHeight="1" x14ac:dyDescent="0.3">
      <c r="A75" s="6" t="s">
        <v>134</v>
      </c>
      <c r="B75" s="17" t="s">
        <v>135</v>
      </c>
      <c r="C75" s="18">
        <v>983.80011000000002</v>
      </c>
      <c r="D75" s="18">
        <v>1047.3111570000001</v>
      </c>
      <c r="E75" s="18">
        <v>1070.367432</v>
      </c>
      <c r="F75" s="18">
        <v>1080.714966</v>
      </c>
      <c r="G75" s="18">
        <v>1085.6539310000001</v>
      </c>
      <c r="H75" s="18">
        <v>1091.0905760000001</v>
      </c>
      <c r="I75" s="18">
        <v>1095.920044</v>
      </c>
      <c r="J75" s="18">
        <v>1111.4948730000001</v>
      </c>
      <c r="K75" s="18">
        <v>1120.0961910000001</v>
      </c>
      <c r="L75" s="18">
        <v>1131.168823</v>
      </c>
      <c r="M75" s="18">
        <v>1158.6188959999999</v>
      </c>
      <c r="N75" s="18">
        <v>1163.021851</v>
      </c>
      <c r="O75" s="18">
        <v>1174.078125</v>
      </c>
      <c r="P75" s="18">
        <v>1181.625732</v>
      </c>
      <c r="Q75" s="18">
        <v>1193.2001949999999</v>
      </c>
      <c r="R75" s="18">
        <v>1191.221558</v>
      </c>
      <c r="S75" s="18">
        <v>1195.0611570000001</v>
      </c>
      <c r="T75" s="18">
        <v>1206.3488769999999</v>
      </c>
      <c r="U75" s="18">
        <v>1217.372803</v>
      </c>
      <c r="V75" s="18">
        <v>1221.1503909999999</v>
      </c>
      <c r="W75" s="18">
        <v>1233.9267580000001</v>
      </c>
      <c r="X75" s="18">
        <v>1245.5323490000001</v>
      </c>
      <c r="Y75" s="18">
        <v>1254.5322269999999</v>
      </c>
      <c r="Z75" s="18">
        <v>1266.0539550000001</v>
      </c>
      <c r="AA75" s="18">
        <v>1279.4482419999999</v>
      </c>
      <c r="AB75" s="18">
        <v>1294.775024</v>
      </c>
      <c r="AC75" s="18">
        <v>1305.6024170000001</v>
      </c>
      <c r="AD75" s="18">
        <v>1315.5974120000001</v>
      </c>
      <c r="AE75" s="18">
        <v>1324.1326899999999</v>
      </c>
      <c r="AF75" s="18">
        <v>1336.580811</v>
      </c>
      <c r="AG75" s="18">
        <v>1350.290649</v>
      </c>
      <c r="AH75" s="19">
        <v>1.0611000000000001E-2</v>
      </c>
    </row>
    <row r="76" spans="1:34" ht="15" customHeight="1" x14ac:dyDescent="0.3">
      <c r="A76" s="6" t="s">
        <v>136</v>
      </c>
      <c r="B76" s="17" t="s">
        <v>137</v>
      </c>
      <c r="C76" s="18">
        <v>0.64150499999999999</v>
      </c>
      <c r="D76" s="18">
        <v>0.72432700000000005</v>
      </c>
      <c r="E76" s="18">
        <v>0.7319</v>
      </c>
      <c r="F76" s="18">
        <v>0.74716300000000002</v>
      </c>
      <c r="G76" s="18">
        <v>0.73789499999999997</v>
      </c>
      <c r="H76" s="18">
        <v>0.72590600000000005</v>
      </c>
      <c r="I76" s="18">
        <v>0.71561699999999995</v>
      </c>
      <c r="J76" s="18">
        <v>0.71817699999999995</v>
      </c>
      <c r="K76" s="18">
        <v>0.71192500000000003</v>
      </c>
      <c r="L76" s="18">
        <v>0.70856200000000003</v>
      </c>
      <c r="M76" s="18">
        <v>0.72455599999999998</v>
      </c>
      <c r="N76" s="18">
        <v>0.71118700000000001</v>
      </c>
      <c r="O76" s="18">
        <v>0.70987500000000003</v>
      </c>
      <c r="P76" s="18">
        <v>0.70798099999999997</v>
      </c>
      <c r="Q76" s="18">
        <v>0.71608000000000005</v>
      </c>
      <c r="R76" s="18">
        <v>0.70723599999999998</v>
      </c>
      <c r="S76" s="18">
        <v>0.70961600000000002</v>
      </c>
      <c r="T76" s="18">
        <v>0.71983299999999995</v>
      </c>
      <c r="U76" s="18">
        <v>0.73004999999999998</v>
      </c>
      <c r="V76" s="18">
        <v>0.738035</v>
      </c>
      <c r="W76" s="18">
        <v>0.75117500000000004</v>
      </c>
      <c r="X76" s="18">
        <v>0.76513399999999998</v>
      </c>
      <c r="Y76" s="18">
        <v>0.77443899999999999</v>
      </c>
      <c r="Z76" s="18">
        <v>0.78794600000000004</v>
      </c>
      <c r="AA76" s="18">
        <v>0.80436600000000003</v>
      </c>
      <c r="AB76" s="18">
        <v>0.82130800000000004</v>
      </c>
      <c r="AC76" s="18">
        <v>0.83407200000000004</v>
      </c>
      <c r="AD76" s="18">
        <v>0.85039399999999998</v>
      </c>
      <c r="AE76" s="18">
        <v>0.86407100000000003</v>
      </c>
      <c r="AF76" s="18">
        <v>0.88452600000000003</v>
      </c>
      <c r="AG76" s="18">
        <v>0.904505</v>
      </c>
      <c r="AH76" s="19">
        <v>1.1518E-2</v>
      </c>
    </row>
    <row r="77" spans="1:34" ht="15" customHeight="1" x14ac:dyDescent="0.3">
      <c r="A77" s="6" t="s">
        <v>138</v>
      </c>
      <c r="B77" s="16" t="s">
        <v>139</v>
      </c>
      <c r="C77" s="20">
        <v>984.44158900000002</v>
      </c>
      <c r="D77" s="20">
        <v>1048.0355219999999</v>
      </c>
      <c r="E77" s="20">
        <v>1071.099365</v>
      </c>
      <c r="F77" s="20">
        <v>1081.462158</v>
      </c>
      <c r="G77" s="20">
        <v>1086.391846</v>
      </c>
      <c r="H77" s="20">
        <v>1091.8165280000001</v>
      </c>
      <c r="I77" s="20">
        <v>1096.63562</v>
      </c>
      <c r="J77" s="20">
        <v>1112.213013</v>
      </c>
      <c r="K77" s="20">
        <v>1120.8081050000001</v>
      </c>
      <c r="L77" s="20">
        <v>1131.8774410000001</v>
      </c>
      <c r="M77" s="20">
        <v>1159.3435059999999</v>
      </c>
      <c r="N77" s="20">
        <v>1163.7330320000001</v>
      </c>
      <c r="O77" s="20">
        <v>1174.7879640000001</v>
      </c>
      <c r="P77" s="20">
        <v>1182.33374</v>
      </c>
      <c r="Q77" s="20">
        <v>1193.91626</v>
      </c>
      <c r="R77" s="20">
        <v>1191.9288329999999</v>
      </c>
      <c r="S77" s="20">
        <v>1195.7707519999999</v>
      </c>
      <c r="T77" s="20">
        <v>1207.068726</v>
      </c>
      <c r="U77" s="20">
        <v>1218.102905</v>
      </c>
      <c r="V77" s="20">
        <v>1221.888428</v>
      </c>
      <c r="W77" s="20">
        <v>1234.6779790000001</v>
      </c>
      <c r="X77" s="20">
        <v>1246.2974850000001</v>
      </c>
      <c r="Y77" s="20">
        <v>1255.3066409999999</v>
      </c>
      <c r="Z77" s="20">
        <v>1266.841919</v>
      </c>
      <c r="AA77" s="20">
        <v>1280.252563</v>
      </c>
      <c r="AB77" s="20">
        <v>1295.596313</v>
      </c>
      <c r="AC77" s="20">
        <v>1306.4365230000001</v>
      </c>
      <c r="AD77" s="20">
        <v>1316.447754</v>
      </c>
      <c r="AE77" s="20">
        <v>1324.9967039999999</v>
      </c>
      <c r="AF77" s="20">
        <v>1337.465332</v>
      </c>
      <c r="AG77" s="20">
        <v>1351.1951899999999</v>
      </c>
      <c r="AH77" s="21">
        <v>1.0612E-2</v>
      </c>
    </row>
    <row r="80" spans="1:34" ht="15" customHeight="1" x14ac:dyDescent="0.3">
      <c r="B80" s="16" t="s">
        <v>140</v>
      </c>
    </row>
    <row r="81" spans="1:34" ht="14.4" x14ac:dyDescent="0.3">
      <c r="B81" s="16" t="s">
        <v>63</v>
      </c>
    </row>
    <row r="82" spans="1:34" ht="15" customHeight="1" x14ac:dyDescent="0.3">
      <c r="A82" s="6" t="s">
        <v>141</v>
      </c>
      <c r="B82" s="17" t="s">
        <v>65</v>
      </c>
      <c r="C82" s="22">
        <v>17.296467</v>
      </c>
      <c r="D82" s="22">
        <v>17.364542</v>
      </c>
      <c r="E82" s="22">
        <v>17.773216000000001</v>
      </c>
      <c r="F82" s="22">
        <v>17.895593999999999</v>
      </c>
      <c r="G82" s="22">
        <v>18.205120000000001</v>
      </c>
      <c r="H82" s="22">
        <v>18.688912999999999</v>
      </c>
      <c r="I82" s="22">
        <v>19.072323000000001</v>
      </c>
      <c r="J82" s="22">
        <v>19.563379000000001</v>
      </c>
      <c r="K82" s="22">
        <v>20.288091999999999</v>
      </c>
      <c r="L82" s="22">
        <v>21.121528999999999</v>
      </c>
      <c r="M82" s="22">
        <v>22.49015</v>
      </c>
      <c r="N82" s="22">
        <v>23.541407</v>
      </c>
      <c r="O82" s="22">
        <v>24.573855999999999</v>
      </c>
      <c r="P82" s="22">
        <v>25.557503000000001</v>
      </c>
      <c r="Q82" s="22">
        <v>26.529509999999998</v>
      </c>
      <c r="R82" s="22">
        <v>27.389928999999999</v>
      </c>
      <c r="S82" s="22">
        <v>28.309729000000001</v>
      </c>
      <c r="T82" s="22">
        <v>29.424144999999999</v>
      </c>
      <c r="U82" s="22">
        <v>30.513109</v>
      </c>
      <c r="V82" s="22">
        <v>31.496549999999999</v>
      </c>
      <c r="W82" s="22">
        <v>32.537384000000003</v>
      </c>
      <c r="X82" s="22">
        <v>33.617427999999997</v>
      </c>
      <c r="Y82" s="22">
        <v>34.722183000000001</v>
      </c>
      <c r="Z82" s="22">
        <v>35.721493000000002</v>
      </c>
      <c r="AA82" s="22">
        <v>36.903725000000001</v>
      </c>
      <c r="AB82" s="22">
        <v>38.092830999999997</v>
      </c>
      <c r="AC82" s="22">
        <v>39.457756000000003</v>
      </c>
      <c r="AD82" s="22">
        <v>40.901833000000003</v>
      </c>
      <c r="AE82" s="22">
        <v>42.397967999999999</v>
      </c>
      <c r="AF82" s="22">
        <v>44.048859</v>
      </c>
      <c r="AG82" s="22">
        <v>45.773941000000001</v>
      </c>
      <c r="AH82" s="19">
        <v>3.2972000000000001E-2</v>
      </c>
    </row>
    <row r="83" spans="1:34" ht="15" customHeight="1" x14ac:dyDescent="0.3">
      <c r="A83" s="6" t="s">
        <v>142</v>
      </c>
      <c r="B83" s="17" t="s">
        <v>67</v>
      </c>
      <c r="C83" s="22">
        <v>17.748362</v>
      </c>
      <c r="D83" s="22">
        <v>17.966434</v>
      </c>
      <c r="E83" s="22">
        <v>19.259716000000001</v>
      </c>
      <c r="F83" s="22">
        <v>20.916284999999998</v>
      </c>
      <c r="G83" s="22">
        <v>22.016247</v>
      </c>
      <c r="H83" s="22">
        <v>22.974073000000001</v>
      </c>
      <c r="I83" s="22">
        <v>24.235168000000002</v>
      </c>
      <c r="J83" s="22">
        <v>25.399334</v>
      </c>
      <c r="K83" s="22">
        <v>26.390613999999999</v>
      </c>
      <c r="L83" s="22">
        <v>27.482574</v>
      </c>
      <c r="M83" s="22">
        <v>28.736801</v>
      </c>
      <c r="N83" s="22">
        <v>29.729196999999999</v>
      </c>
      <c r="O83" s="22">
        <v>30.882408000000002</v>
      </c>
      <c r="P83" s="22">
        <v>31.928685999999999</v>
      </c>
      <c r="Q83" s="22">
        <v>32.905087000000002</v>
      </c>
      <c r="R83" s="22">
        <v>33.503971</v>
      </c>
      <c r="S83" s="22">
        <v>34.167160000000003</v>
      </c>
      <c r="T83" s="22">
        <v>35.212048000000003</v>
      </c>
      <c r="U83" s="22">
        <v>36.301605000000002</v>
      </c>
      <c r="V83" s="22">
        <v>36.896996000000001</v>
      </c>
      <c r="W83" s="22">
        <v>38.326675000000002</v>
      </c>
      <c r="X83" s="22">
        <v>39.418179000000002</v>
      </c>
      <c r="Y83" s="22">
        <v>40.484431999999998</v>
      </c>
      <c r="Z83" s="22">
        <v>41.665267999999998</v>
      </c>
      <c r="AA83" s="22">
        <v>42.998382999999997</v>
      </c>
      <c r="AB83" s="22">
        <v>44.508552999999999</v>
      </c>
      <c r="AC83" s="22">
        <v>45.914009</v>
      </c>
      <c r="AD83" s="22">
        <v>47.318893000000003</v>
      </c>
      <c r="AE83" s="22">
        <v>48.675185999999997</v>
      </c>
      <c r="AF83" s="22">
        <v>50.354438999999999</v>
      </c>
      <c r="AG83" s="22">
        <v>52.064827000000001</v>
      </c>
      <c r="AH83" s="19">
        <v>3.6524000000000001E-2</v>
      </c>
    </row>
    <row r="84" spans="1:34" ht="15" customHeight="1" x14ac:dyDescent="0.3">
      <c r="A84" s="6" t="s">
        <v>143</v>
      </c>
      <c r="B84" s="17" t="s">
        <v>69</v>
      </c>
      <c r="C84" s="22">
        <v>10.141716000000001</v>
      </c>
      <c r="D84" s="22">
        <v>10.625045999999999</v>
      </c>
      <c r="E84" s="22">
        <v>10.428921000000001</v>
      </c>
      <c r="F84" s="22">
        <v>10.267519</v>
      </c>
      <c r="G84" s="22">
        <v>10.164536</v>
      </c>
      <c r="H84" s="22">
        <v>10.396891</v>
      </c>
      <c r="I84" s="22">
        <v>10.746409999999999</v>
      </c>
      <c r="J84" s="22">
        <v>11.182247</v>
      </c>
      <c r="K84" s="22">
        <v>11.60196</v>
      </c>
      <c r="L84" s="22">
        <v>12.131678000000001</v>
      </c>
      <c r="M84" s="22">
        <v>12.946251</v>
      </c>
      <c r="N84" s="22">
        <v>13.433337999999999</v>
      </c>
      <c r="O84" s="22">
        <v>13.929442</v>
      </c>
      <c r="P84" s="22">
        <v>14.423272000000001</v>
      </c>
      <c r="Q84" s="22">
        <v>14.851998999999999</v>
      </c>
      <c r="R84" s="22">
        <v>15.235919000000001</v>
      </c>
      <c r="S84" s="22">
        <v>15.627309</v>
      </c>
      <c r="T84" s="22">
        <v>16.018497</v>
      </c>
      <c r="U84" s="22">
        <v>16.378679000000002</v>
      </c>
      <c r="V84" s="22">
        <v>16.725304000000001</v>
      </c>
      <c r="W84" s="22">
        <v>17.100847000000002</v>
      </c>
      <c r="X84" s="22">
        <v>17.530432000000001</v>
      </c>
      <c r="Y84" s="22">
        <v>17.981055999999999</v>
      </c>
      <c r="Z84" s="22">
        <v>18.441963000000001</v>
      </c>
      <c r="AA84" s="22">
        <v>18.947731000000001</v>
      </c>
      <c r="AB84" s="22">
        <v>19.460142000000001</v>
      </c>
      <c r="AC84" s="22">
        <v>19.991085000000002</v>
      </c>
      <c r="AD84" s="22">
        <v>20.545117999999999</v>
      </c>
      <c r="AE84" s="22">
        <v>21.063739999999999</v>
      </c>
      <c r="AF84" s="22">
        <v>21.659649000000002</v>
      </c>
      <c r="AG84" s="22">
        <v>22.326521</v>
      </c>
      <c r="AH84" s="19">
        <v>2.6653E-2</v>
      </c>
    </row>
    <row r="85" spans="1:34" ht="15" customHeight="1" x14ac:dyDescent="0.3">
      <c r="A85" s="6" t="s">
        <v>144</v>
      </c>
      <c r="B85" s="17" t="s">
        <v>71</v>
      </c>
      <c r="C85" s="22">
        <v>35.768967000000004</v>
      </c>
      <c r="D85" s="22">
        <v>36.958694000000001</v>
      </c>
      <c r="E85" s="22">
        <v>37.005428000000002</v>
      </c>
      <c r="F85" s="22">
        <v>37.129111999999999</v>
      </c>
      <c r="G85" s="22">
        <v>37.453620999999998</v>
      </c>
      <c r="H85" s="22">
        <v>38.064835000000002</v>
      </c>
      <c r="I85" s="22">
        <v>38.925761999999999</v>
      </c>
      <c r="J85" s="22">
        <v>39.997340999999999</v>
      </c>
      <c r="K85" s="22">
        <v>41.131058000000003</v>
      </c>
      <c r="L85" s="22">
        <v>42.347912000000001</v>
      </c>
      <c r="M85" s="22">
        <v>43.617919999999998</v>
      </c>
      <c r="N85" s="22">
        <v>45.059520999999997</v>
      </c>
      <c r="O85" s="22">
        <v>46.362288999999997</v>
      </c>
      <c r="P85" s="22">
        <v>47.614604999999997</v>
      </c>
      <c r="Q85" s="22">
        <v>48.764800999999999</v>
      </c>
      <c r="R85" s="22">
        <v>49.783447000000002</v>
      </c>
      <c r="S85" s="22">
        <v>50.813431000000001</v>
      </c>
      <c r="T85" s="22">
        <v>51.841217</v>
      </c>
      <c r="U85" s="22">
        <v>52.915725999999999</v>
      </c>
      <c r="V85" s="22">
        <v>53.969807000000003</v>
      </c>
      <c r="W85" s="22">
        <v>55.068424</v>
      </c>
      <c r="X85" s="22">
        <v>56.238846000000002</v>
      </c>
      <c r="Y85" s="22">
        <v>57.424132999999998</v>
      </c>
      <c r="Z85" s="22">
        <v>58.644145999999999</v>
      </c>
      <c r="AA85" s="22">
        <v>59.952781999999999</v>
      </c>
      <c r="AB85" s="22">
        <v>61.380294999999997</v>
      </c>
      <c r="AC85" s="22">
        <v>62.780963999999997</v>
      </c>
      <c r="AD85" s="22">
        <v>64.219397999999998</v>
      </c>
      <c r="AE85" s="22">
        <v>65.604782</v>
      </c>
      <c r="AF85" s="22">
        <v>66.922248999999994</v>
      </c>
      <c r="AG85" s="22">
        <v>68.370925999999997</v>
      </c>
      <c r="AH85" s="19">
        <v>2.1829999999999999E-2</v>
      </c>
    </row>
    <row r="87" spans="1:34" ht="15" customHeight="1" x14ac:dyDescent="0.3">
      <c r="B87" s="16" t="s">
        <v>72</v>
      </c>
    </row>
    <row r="88" spans="1:34" ht="15" customHeight="1" x14ac:dyDescent="0.3">
      <c r="A88" s="6" t="s">
        <v>145</v>
      </c>
      <c r="B88" s="17" t="s">
        <v>65</v>
      </c>
      <c r="C88" s="22">
        <v>12.770180999999999</v>
      </c>
      <c r="D88" s="22">
        <v>13.739795000000001</v>
      </c>
      <c r="E88" s="22">
        <v>14.44624</v>
      </c>
      <c r="F88" s="22">
        <v>14.444917999999999</v>
      </c>
      <c r="G88" s="22">
        <v>14.740237</v>
      </c>
      <c r="H88" s="22">
        <v>15.184672000000001</v>
      </c>
      <c r="I88" s="22">
        <v>15.405874000000001</v>
      </c>
      <c r="J88" s="22">
        <v>15.808756000000001</v>
      </c>
      <c r="K88" s="22">
        <v>16.502459999999999</v>
      </c>
      <c r="L88" s="22">
        <v>17.228307999999998</v>
      </c>
      <c r="M88" s="22">
        <v>18.591069999999998</v>
      </c>
      <c r="N88" s="22">
        <v>19.380161000000001</v>
      </c>
      <c r="O88" s="22">
        <v>20.164705000000001</v>
      </c>
      <c r="P88" s="22">
        <v>20.914408000000002</v>
      </c>
      <c r="Q88" s="22">
        <v>21.670684999999999</v>
      </c>
      <c r="R88" s="22">
        <v>22.283957999999998</v>
      </c>
      <c r="S88" s="22">
        <v>23.028175000000001</v>
      </c>
      <c r="T88" s="22">
        <v>24.014372000000002</v>
      </c>
      <c r="U88" s="22">
        <v>24.860586000000001</v>
      </c>
      <c r="V88" s="22">
        <v>25.563794999999999</v>
      </c>
      <c r="W88" s="22">
        <v>26.372150000000001</v>
      </c>
      <c r="X88" s="22">
        <v>27.219159999999999</v>
      </c>
      <c r="Y88" s="22">
        <v>28.073461999999999</v>
      </c>
      <c r="Z88" s="22">
        <v>28.766537</v>
      </c>
      <c r="AA88" s="22">
        <v>29.744672999999999</v>
      </c>
      <c r="AB88" s="22">
        <v>30.668355999999999</v>
      </c>
      <c r="AC88" s="22">
        <v>31.786650000000002</v>
      </c>
      <c r="AD88" s="22">
        <v>32.939011000000001</v>
      </c>
      <c r="AE88" s="22">
        <v>34.110698999999997</v>
      </c>
      <c r="AF88" s="22">
        <v>35.441875000000003</v>
      </c>
      <c r="AG88" s="22">
        <v>36.791409000000002</v>
      </c>
      <c r="AH88" s="19">
        <v>3.5901000000000002E-2</v>
      </c>
    </row>
    <row r="89" spans="1:34" ht="15" customHeight="1" x14ac:dyDescent="0.3">
      <c r="A89" s="6" t="s">
        <v>146</v>
      </c>
      <c r="B89" s="17" t="s">
        <v>67</v>
      </c>
      <c r="C89" s="22">
        <v>17.825056</v>
      </c>
      <c r="D89" s="22">
        <v>18.093426000000001</v>
      </c>
      <c r="E89" s="22">
        <v>18.315351</v>
      </c>
      <c r="F89" s="22">
        <v>18.926200999999999</v>
      </c>
      <c r="G89" s="22">
        <v>18.937215999999999</v>
      </c>
      <c r="H89" s="22">
        <v>18.747388999999998</v>
      </c>
      <c r="I89" s="22">
        <v>18.800863</v>
      </c>
      <c r="J89" s="22">
        <v>19.811499000000001</v>
      </c>
      <c r="K89" s="22">
        <v>20.634888</v>
      </c>
      <c r="L89" s="22">
        <v>21.550405999999999</v>
      </c>
      <c r="M89" s="22">
        <v>22.952717</v>
      </c>
      <c r="N89" s="22">
        <v>23.777868000000002</v>
      </c>
      <c r="O89" s="22">
        <v>24.805574</v>
      </c>
      <c r="P89" s="22">
        <v>25.688956999999998</v>
      </c>
      <c r="Q89" s="22">
        <v>26.508257</v>
      </c>
      <c r="R89" s="22">
        <v>26.943041000000001</v>
      </c>
      <c r="S89" s="22">
        <v>27.453496999999999</v>
      </c>
      <c r="T89" s="22">
        <v>28.341854000000001</v>
      </c>
      <c r="U89" s="22">
        <v>29.279222000000001</v>
      </c>
      <c r="V89" s="22">
        <v>29.723133000000001</v>
      </c>
      <c r="W89" s="22">
        <v>30.995951000000002</v>
      </c>
      <c r="X89" s="22">
        <v>31.923767000000002</v>
      </c>
      <c r="Y89" s="22">
        <v>32.816875000000003</v>
      </c>
      <c r="Z89" s="22">
        <v>33.830505000000002</v>
      </c>
      <c r="AA89" s="22">
        <v>34.985626000000003</v>
      </c>
      <c r="AB89" s="22">
        <v>36.306683</v>
      </c>
      <c r="AC89" s="22">
        <v>37.508560000000003</v>
      </c>
      <c r="AD89" s="22">
        <v>38.701534000000002</v>
      </c>
      <c r="AE89" s="22">
        <v>39.855164000000002</v>
      </c>
      <c r="AF89" s="22">
        <v>41.303359999999998</v>
      </c>
      <c r="AG89" s="22">
        <v>42.757435000000001</v>
      </c>
      <c r="AH89" s="19">
        <v>2.9593999999999999E-2</v>
      </c>
    </row>
    <row r="90" spans="1:34" ht="15" customHeight="1" x14ac:dyDescent="0.3">
      <c r="A90" s="6" t="s">
        <v>147</v>
      </c>
      <c r="B90" s="17" t="s">
        <v>76</v>
      </c>
      <c r="C90" s="22">
        <v>5.2465200000000003</v>
      </c>
      <c r="D90" s="22">
        <v>4.1374570000000004</v>
      </c>
      <c r="E90" s="22">
        <v>5.2700870000000002</v>
      </c>
      <c r="F90" s="22">
        <v>6.6171170000000004</v>
      </c>
      <c r="G90" s="22">
        <v>7.8136460000000003</v>
      </c>
      <c r="H90" s="22">
        <v>8.7000630000000001</v>
      </c>
      <c r="I90" s="22">
        <v>9.7092659999999995</v>
      </c>
      <c r="J90" s="22">
        <v>10.525226</v>
      </c>
      <c r="K90" s="22">
        <v>10.966917</v>
      </c>
      <c r="L90" s="22">
        <v>11.607101</v>
      </c>
      <c r="M90" s="22">
        <v>12.393723</v>
      </c>
      <c r="N90" s="22">
        <v>12.868309999999999</v>
      </c>
      <c r="O90" s="22">
        <v>13.590438000000001</v>
      </c>
      <c r="P90" s="22">
        <v>14.201473</v>
      </c>
      <c r="Q90" s="22">
        <v>14.803964000000001</v>
      </c>
      <c r="R90" s="22">
        <v>15.042674</v>
      </c>
      <c r="S90" s="22">
        <v>15.423155</v>
      </c>
      <c r="T90" s="22">
        <v>16.058147000000002</v>
      </c>
      <c r="U90" s="22">
        <v>16.700855000000001</v>
      </c>
      <c r="V90" s="22">
        <v>17.063044000000001</v>
      </c>
      <c r="W90" s="22">
        <v>17.975677000000001</v>
      </c>
      <c r="X90" s="22">
        <v>18.618504999999999</v>
      </c>
      <c r="Y90" s="22">
        <v>19.266331000000001</v>
      </c>
      <c r="Z90" s="22">
        <v>19.944061000000001</v>
      </c>
      <c r="AA90" s="22">
        <v>20.865662</v>
      </c>
      <c r="AB90" s="22">
        <v>21.718767</v>
      </c>
      <c r="AC90" s="22">
        <v>22.665752000000001</v>
      </c>
      <c r="AD90" s="22">
        <v>23.490469000000001</v>
      </c>
      <c r="AE90" s="22">
        <v>24.193407000000001</v>
      </c>
      <c r="AF90" s="22">
        <v>25.147209</v>
      </c>
      <c r="AG90" s="22">
        <v>26.069181</v>
      </c>
      <c r="AH90" s="19">
        <v>5.4892999999999997E-2</v>
      </c>
    </row>
    <row r="91" spans="1:34" ht="15" customHeight="1" x14ac:dyDescent="0.3">
      <c r="A91" s="6" t="s">
        <v>148</v>
      </c>
      <c r="B91" s="17" t="s">
        <v>69</v>
      </c>
      <c r="C91" s="22">
        <v>7.2274659999999997</v>
      </c>
      <c r="D91" s="22">
        <v>7.8390149999999998</v>
      </c>
      <c r="E91" s="22">
        <v>7.9308610000000002</v>
      </c>
      <c r="F91" s="22">
        <v>7.6986189999999999</v>
      </c>
      <c r="G91" s="22">
        <v>7.5357079999999996</v>
      </c>
      <c r="H91" s="22">
        <v>7.6848780000000003</v>
      </c>
      <c r="I91" s="22">
        <v>7.9318429999999998</v>
      </c>
      <c r="J91" s="22">
        <v>8.2443770000000001</v>
      </c>
      <c r="K91" s="22">
        <v>8.5392189999999992</v>
      </c>
      <c r="L91" s="22">
        <v>8.9388699999999996</v>
      </c>
      <c r="M91" s="22">
        <v>9.5254960000000004</v>
      </c>
      <c r="N91" s="22">
        <v>9.8646720000000006</v>
      </c>
      <c r="O91" s="22">
        <v>10.212051000000001</v>
      </c>
      <c r="P91" s="22">
        <v>10.574384</v>
      </c>
      <c r="Q91" s="22">
        <v>10.876677000000001</v>
      </c>
      <c r="R91" s="22">
        <v>11.138861</v>
      </c>
      <c r="S91" s="22">
        <v>11.410228</v>
      </c>
      <c r="T91" s="22">
        <v>11.681153999999999</v>
      </c>
      <c r="U91" s="22">
        <v>11.921187</v>
      </c>
      <c r="V91" s="22">
        <v>12.14992</v>
      </c>
      <c r="W91" s="22">
        <v>12.406116000000001</v>
      </c>
      <c r="X91" s="22">
        <v>12.713490999999999</v>
      </c>
      <c r="Y91" s="22">
        <v>13.036792</v>
      </c>
      <c r="Z91" s="22">
        <v>13.364729000000001</v>
      </c>
      <c r="AA91" s="22">
        <v>13.730934</v>
      </c>
      <c r="AB91" s="22">
        <v>14.098891</v>
      </c>
      <c r="AC91" s="22">
        <v>14.475825</v>
      </c>
      <c r="AD91" s="22">
        <v>14.866690999999999</v>
      </c>
      <c r="AE91" s="22">
        <v>15.214554</v>
      </c>
      <c r="AF91" s="22">
        <v>15.629021</v>
      </c>
      <c r="AG91" s="22">
        <v>16.106097999999999</v>
      </c>
      <c r="AH91" s="19">
        <v>2.707E-2</v>
      </c>
    </row>
    <row r="92" spans="1:34" ht="14.4" x14ac:dyDescent="0.3">
      <c r="A92" s="6" t="s">
        <v>149</v>
      </c>
      <c r="B92" s="17" t="s">
        <v>71</v>
      </c>
      <c r="C92" s="22">
        <v>31.322282999999999</v>
      </c>
      <c r="D92" s="22">
        <v>32.086353000000003</v>
      </c>
      <c r="E92" s="22">
        <v>32.066811000000001</v>
      </c>
      <c r="F92" s="22">
        <v>31.870663</v>
      </c>
      <c r="G92" s="22">
        <v>31.975525000000001</v>
      </c>
      <c r="H92" s="22">
        <v>32.408690999999997</v>
      </c>
      <c r="I92" s="22">
        <v>32.988791999999997</v>
      </c>
      <c r="J92" s="22">
        <v>33.828212999999998</v>
      </c>
      <c r="K92" s="22">
        <v>34.687373999999998</v>
      </c>
      <c r="L92" s="22">
        <v>35.603915999999998</v>
      </c>
      <c r="M92" s="22">
        <v>36.579318999999998</v>
      </c>
      <c r="N92" s="22">
        <v>37.768948000000002</v>
      </c>
      <c r="O92" s="22">
        <v>38.715564999999998</v>
      </c>
      <c r="P92" s="22">
        <v>39.733307000000003</v>
      </c>
      <c r="Q92" s="22">
        <v>40.563960999999999</v>
      </c>
      <c r="R92" s="22">
        <v>41.309269</v>
      </c>
      <c r="S92" s="22">
        <v>42.007129999999997</v>
      </c>
      <c r="T92" s="22">
        <v>42.720233999999998</v>
      </c>
      <c r="U92" s="22">
        <v>43.488796000000001</v>
      </c>
      <c r="V92" s="22">
        <v>44.238425999999997</v>
      </c>
      <c r="W92" s="22">
        <v>45.010627999999997</v>
      </c>
      <c r="X92" s="22">
        <v>45.822861000000003</v>
      </c>
      <c r="Y92" s="22">
        <v>46.626328000000001</v>
      </c>
      <c r="Z92" s="22">
        <v>47.491954999999997</v>
      </c>
      <c r="AA92" s="22">
        <v>48.364852999999997</v>
      </c>
      <c r="AB92" s="22">
        <v>49.332256000000001</v>
      </c>
      <c r="AC92" s="22">
        <v>50.317883000000002</v>
      </c>
      <c r="AD92" s="22">
        <v>51.291096000000003</v>
      </c>
      <c r="AE92" s="22">
        <v>52.220596</v>
      </c>
      <c r="AF92" s="22">
        <v>53.113723999999998</v>
      </c>
      <c r="AG92" s="22">
        <v>54.145847000000003</v>
      </c>
      <c r="AH92" s="19">
        <v>1.8412000000000001E-2</v>
      </c>
    </row>
    <row r="94" spans="1:34" ht="15" customHeight="1" x14ac:dyDescent="0.3">
      <c r="B94" s="16" t="s">
        <v>79</v>
      </c>
    </row>
    <row r="95" spans="1:34" ht="15" customHeight="1" x14ac:dyDescent="0.3">
      <c r="A95" s="6" t="s">
        <v>150</v>
      </c>
      <c r="B95" s="17" t="s">
        <v>65</v>
      </c>
      <c r="C95" s="22">
        <v>7.6224270000000001</v>
      </c>
      <c r="D95" s="22">
        <v>8.5857550000000007</v>
      </c>
      <c r="E95" s="22">
        <v>9.1950730000000007</v>
      </c>
      <c r="F95" s="22">
        <v>9.105658</v>
      </c>
      <c r="G95" s="22">
        <v>9.3134800000000002</v>
      </c>
      <c r="H95" s="22">
        <v>9.6361939999999997</v>
      </c>
      <c r="I95" s="22">
        <v>9.7164590000000004</v>
      </c>
      <c r="J95" s="22">
        <v>9.9642320000000009</v>
      </c>
      <c r="K95" s="22">
        <v>10.478424</v>
      </c>
      <c r="L95" s="22">
        <v>11.003137000000001</v>
      </c>
      <c r="M95" s="22">
        <v>11.877894</v>
      </c>
      <c r="N95" s="22">
        <v>12.436106000000001</v>
      </c>
      <c r="O95" s="22">
        <v>12.964437</v>
      </c>
      <c r="P95" s="22">
        <v>13.503829</v>
      </c>
      <c r="Q95" s="22">
        <v>14.056269</v>
      </c>
      <c r="R95" s="22">
        <v>14.46874</v>
      </c>
      <c r="S95" s="22">
        <v>15.020927</v>
      </c>
      <c r="T95" s="22">
        <v>15.816492</v>
      </c>
      <c r="U95" s="22">
        <v>16.458099000000001</v>
      </c>
      <c r="V95" s="22">
        <v>16.961690999999998</v>
      </c>
      <c r="W95" s="22">
        <v>17.571985000000002</v>
      </c>
      <c r="X95" s="22">
        <v>18.214462000000001</v>
      </c>
      <c r="Y95" s="22">
        <v>18.855173000000001</v>
      </c>
      <c r="Z95" s="22">
        <v>19.31757</v>
      </c>
      <c r="AA95" s="22">
        <v>20.069984000000002</v>
      </c>
      <c r="AB95" s="22">
        <v>20.747752999999999</v>
      </c>
      <c r="AC95" s="22">
        <v>21.610123000000002</v>
      </c>
      <c r="AD95" s="22">
        <v>22.491508</v>
      </c>
      <c r="AE95" s="22">
        <v>23.381889000000001</v>
      </c>
      <c r="AF95" s="22">
        <v>24.425052999999998</v>
      </c>
      <c r="AG95" s="22">
        <v>25.466816000000001</v>
      </c>
      <c r="AH95" s="19">
        <v>4.1029000000000003E-2</v>
      </c>
    </row>
    <row r="96" spans="1:34" ht="15" customHeight="1" x14ac:dyDescent="0.3">
      <c r="A96" s="6" t="s">
        <v>151</v>
      </c>
      <c r="B96" s="17" t="s">
        <v>67</v>
      </c>
      <c r="C96" s="22">
        <v>17.750837000000001</v>
      </c>
      <c r="D96" s="22">
        <v>17.971844000000001</v>
      </c>
      <c r="E96" s="22">
        <v>18.228767000000001</v>
      </c>
      <c r="F96" s="22">
        <v>18.908208999999999</v>
      </c>
      <c r="G96" s="22">
        <v>18.924596999999999</v>
      </c>
      <c r="H96" s="22">
        <v>18.745190000000001</v>
      </c>
      <c r="I96" s="22">
        <v>18.809263000000001</v>
      </c>
      <c r="J96" s="22">
        <v>19.826264999999999</v>
      </c>
      <c r="K96" s="22">
        <v>20.653815999999999</v>
      </c>
      <c r="L96" s="22">
        <v>21.577911</v>
      </c>
      <c r="M96" s="22">
        <v>22.642855000000001</v>
      </c>
      <c r="N96" s="22">
        <v>23.474722</v>
      </c>
      <c r="O96" s="22">
        <v>24.441144999999999</v>
      </c>
      <c r="P96" s="22">
        <v>25.320295000000002</v>
      </c>
      <c r="Q96" s="22">
        <v>26.142385000000001</v>
      </c>
      <c r="R96" s="22">
        <v>26.564394</v>
      </c>
      <c r="S96" s="22">
        <v>27.064281000000001</v>
      </c>
      <c r="T96" s="22">
        <v>27.944524999999999</v>
      </c>
      <c r="U96" s="22">
        <v>28.875128</v>
      </c>
      <c r="V96" s="22">
        <v>29.305320999999999</v>
      </c>
      <c r="W96" s="22">
        <v>30.566803</v>
      </c>
      <c r="X96" s="22">
        <v>31.488558000000001</v>
      </c>
      <c r="Y96" s="22">
        <v>32.374752000000001</v>
      </c>
      <c r="Z96" s="22">
        <v>33.386532000000003</v>
      </c>
      <c r="AA96" s="22">
        <v>34.533225999999999</v>
      </c>
      <c r="AB96" s="22">
        <v>35.851813999999997</v>
      </c>
      <c r="AC96" s="22">
        <v>37.046463000000003</v>
      </c>
      <c r="AD96" s="22">
        <v>38.240195999999997</v>
      </c>
      <c r="AE96" s="22">
        <v>39.394962</v>
      </c>
      <c r="AF96" s="22">
        <v>40.843707999999999</v>
      </c>
      <c r="AG96" s="22">
        <v>42.291260000000001</v>
      </c>
      <c r="AH96" s="19">
        <v>2.9361000000000002E-2</v>
      </c>
    </row>
    <row r="97" spans="1:34" ht="15" customHeight="1" x14ac:dyDescent="0.3">
      <c r="A97" s="6" t="s">
        <v>152</v>
      </c>
      <c r="B97" s="17" t="s">
        <v>76</v>
      </c>
      <c r="C97" s="22">
        <v>5.4227400000000001</v>
      </c>
      <c r="D97" s="22">
        <v>4.4780959999999999</v>
      </c>
      <c r="E97" s="22">
        <v>5.9356929999999997</v>
      </c>
      <c r="F97" s="22">
        <v>7.6157570000000003</v>
      </c>
      <c r="G97" s="22">
        <v>9.0634119999999996</v>
      </c>
      <c r="H97" s="22">
        <v>10.318466000000001</v>
      </c>
      <c r="I97" s="22">
        <v>11.784514</v>
      </c>
      <c r="J97" s="22">
        <v>12.62663</v>
      </c>
      <c r="K97" s="22">
        <v>13.233867</v>
      </c>
      <c r="L97" s="22">
        <v>13.933396999999999</v>
      </c>
      <c r="M97" s="22">
        <v>14.765164</v>
      </c>
      <c r="N97" s="22">
        <v>15.340495000000001</v>
      </c>
      <c r="O97" s="22">
        <v>16.080995999999999</v>
      </c>
      <c r="P97" s="22">
        <v>16.774211999999999</v>
      </c>
      <c r="Q97" s="22">
        <v>17.417721</v>
      </c>
      <c r="R97" s="22">
        <v>17.714137999999998</v>
      </c>
      <c r="S97" s="22">
        <v>18.1371</v>
      </c>
      <c r="T97" s="22">
        <v>18.836687000000001</v>
      </c>
      <c r="U97" s="22">
        <v>19.575223999999999</v>
      </c>
      <c r="V97" s="22">
        <v>19.983975999999998</v>
      </c>
      <c r="W97" s="22">
        <v>20.962624000000002</v>
      </c>
      <c r="X97" s="22">
        <v>21.686934999999998</v>
      </c>
      <c r="Y97" s="22">
        <v>22.380941</v>
      </c>
      <c r="Z97" s="22">
        <v>23.103829999999999</v>
      </c>
      <c r="AA97" s="22">
        <v>24.086798000000002</v>
      </c>
      <c r="AB97" s="22">
        <v>25.05735</v>
      </c>
      <c r="AC97" s="22">
        <v>25.998363000000001</v>
      </c>
      <c r="AD97" s="22">
        <v>26.868773000000001</v>
      </c>
      <c r="AE97" s="22">
        <v>27.697334000000001</v>
      </c>
      <c r="AF97" s="22">
        <v>28.733340999999999</v>
      </c>
      <c r="AG97" s="22">
        <v>29.875240000000002</v>
      </c>
      <c r="AH97" s="19">
        <v>5.8529999999999999E-2</v>
      </c>
    </row>
    <row r="98" spans="1:34" ht="15" customHeight="1" x14ac:dyDescent="0.3">
      <c r="A98" s="6" t="s">
        <v>153</v>
      </c>
      <c r="B98" s="17" t="s">
        <v>84</v>
      </c>
      <c r="C98" s="22">
        <v>3.0584310000000001</v>
      </c>
      <c r="D98" s="22">
        <v>4.0877359999999996</v>
      </c>
      <c r="E98" s="22">
        <v>4.067672</v>
      </c>
      <c r="F98" s="22">
        <v>3.6914660000000001</v>
      </c>
      <c r="G98" s="22">
        <v>3.3947889999999998</v>
      </c>
      <c r="H98" s="22">
        <v>3.4083899999999998</v>
      </c>
      <c r="I98" s="22">
        <v>3.527498</v>
      </c>
      <c r="J98" s="22">
        <v>3.739697</v>
      </c>
      <c r="K98" s="22">
        <v>3.9261089999999998</v>
      </c>
      <c r="L98" s="22">
        <v>4.1735300000000004</v>
      </c>
      <c r="M98" s="22">
        <v>4.3676500000000003</v>
      </c>
      <c r="N98" s="22">
        <v>4.5360040000000001</v>
      </c>
      <c r="O98" s="22">
        <v>4.6971499999999997</v>
      </c>
      <c r="P98" s="22">
        <v>4.8899650000000001</v>
      </c>
      <c r="Q98" s="22">
        <v>5.0197260000000004</v>
      </c>
      <c r="R98" s="22">
        <v>5.1177450000000002</v>
      </c>
      <c r="S98" s="22">
        <v>5.2326360000000003</v>
      </c>
      <c r="T98" s="22">
        <v>5.3363680000000002</v>
      </c>
      <c r="U98" s="22">
        <v>5.4326759999999998</v>
      </c>
      <c r="V98" s="22">
        <v>5.5142879999999996</v>
      </c>
      <c r="W98" s="22">
        <v>5.6078900000000003</v>
      </c>
      <c r="X98" s="22">
        <v>5.7370489999999998</v>
      </c>
      <c r="Y98" s="22">
        <v>5.8752420000000001</v>
      </c>
      <c r="Z98" s="22">
        <v>5.9981920000000004</v>
      </c>
      <c r="AA98" s="22">
        <v>6.1691339999999997</v>
      </c>
      <c r="AB98" s="22">
        <v>6.2912670000000004</v>
      </c>
      <c r="AC98" s="22">
        <v>6.4332250000000002</v>
      </c>
      <c r="AD98" s="22">
        <v>6.630484</v>
      </c>
      <c r="AE98" s="22">
        <v>6.7498300000000002</v>
      </c>
      <c r="AF98" s="22">
        <v>6.888884</v>
      </c>
      <c r="AG98" s="22">
        <v>7.1171569999999997</v>
      </c>
      <c r="AH98" s="19">
        <v>2.8554E-2</v>
      </c>
    </row>
    <row r="99" spans="1:34" ht="15" customHeight="1" x14ac:dyDescent="0.3">
      <c r="A99" s="6" t="s">
        <v>154</v>
      </c>
      <c r="B99" s="17" t="s">
        <v>86</v>
      </c>
      <c r="C99" s="22">
        <v>4.0174000000000003</v>
      </c>
      <c r="D99" s="22">
        <v>3.6369050000000001</v>
      </c>
      <c r="E99" s="22">
        <v>3.4306429999999999</v>
      </c>
      <c r="F99" s="22">
        <v>3.3225259999999999</v>
      </c>
      <c r="G99" s="22">
        <v>3.2839369999999999</v>
      </c>
      <c r="H99" s="22">
        <v>3.3048980000000001</v>
      </c>
      <c r="I99" s="22">
        <v>3.3434870000000001</v>
      </c>
      <c r="J99" s="22">
        <v>3.4211800000000001</v>
      </c>
      <c r="K99" s="22">
        <v>3.5239240000000001</v>
      </c>
      <c r="L99" s="22">
        <v>3.6599599999999999</v>
      </c>
      <c r="M99" s="22">
        <v>3.8095210000000002</v>
      </c>
      <c r="N99" s="22">
        <v>3.9694959999999999</v>
      </c>
      <c r="O99" s="22">
        <v>4.1300129999999999</v>
      </c>
      <c r="P99" s="22">
        <v>4.2884950000000002</v>
      </c>
      <c r="Q99" s="22">
        <v>4.4437040000000003</v>
      </c>
      <c r="R99" s="22">
        <v>4.5997649999999997</v>
      </c>
      <c r="S99" s="22">
        <v>4.7565150000000003</v>
      </c>
      <c r="T99" s="22">
        <v>4.9175829999999996</v>
      </c>
      <c r="U99" s="22">
        <v>5.0830500000000001</v>
      </c>
      <c r="V99" s="22">
        <v>5.2483069999999996</v>
      </c>
      <c r="W99" s="22">
        <v>5.4215150000000003</v>
      </c>
      <c r="X99" s="22">
        <v>5.6022369999999997</v>
      </c>
      <c r="Y99" s="22">
        <v>5.7939860000000003</v>
      </c>
      <c r="Z99" s="22">
        <v>5.9997759999999998</v>
      </c>
      <c r="AA99" s="22">
        <v>6.218966</v>
      </c>
      <c r="AB99" s="22">
        <v>6.4488289999999999</v>
      </c>
      <c r="AC99" s="22">
        <v>6.6890320000000001</v>
      </c>
      <c r="AD99" s="22">
        <v>6.9374320000000003</v>
      </c>
      <c r="AE99" s="22">
        <v>7.1975020000000001</v>
      </c>
      <c r="AF99" s="22">
        <v>7.4734619999999996</v>
      </c>
      <c r="AG99" s="22">
        <v>7.7718850000000002</v>
      </c>
      <c r="AH99" s="19">
        <v>2.2239999999999999E-2</v>
      </c>
    </row>
    <row r="100" spans="1:34" ht="15" customHeight="1" x14ac:dyDescent="0.3">
      <c r="A100" s="6" t="s">
        <v>155</v>
      </c>
      <c r="B100" s="17" t="s">
        <v>88</v>
      </c>
      <c r="C100" s="22">
        <v>2.815477</v>
      </c>
      <c r="D100" s="22">
        <v>2.8576999999999999</v>
      </c>
      <c r="E100" s="22">
        <v>2.948766</v>
      </c>
      <c r="F100" s="22">
        <v>2.976388</v>
      </c>
      <c r="G100" s="22">
        <v>3.0269430000000002</v>
      </c>
      <c r="H100" s="22">
        <v>3.079853</v>
      </c>
      <c r="I100" s="22">
        <v>3.144352</v>
      </c>
      <c r="J100" s="22">
        <v>3.2211210000000001</v>
      </c>
      <c r="K100" s="22">
        <v>3.303776</v>
      </c>
      <c r="L100" s="22">
        <v>3.3994840000000002</v>
      </c>
      <c r="M100" s="22">
        <v>3.5156779999999999</v>
      </c>
      <c r="N100" s="22">
        <v>3.61999</v>
      </c>
      <c r="O100" s="22">
        <v>3.7069960000000002</v>
      </c>
      <c r="P100" s="22">
        <v>3.8111790000000001</v>
      </c>
      <c r="Q100" s="22">
        <v>3.9124880000000002</v>
      </c>
      <c r="R100" s="22">
        <v>4.016845</v>
      </c>
      <c r="S100" s="22">
        <v>4.1175959999999998</v>
      </c>
      <c r="T100" s="22">
        <v>4.2210140000000003</v>
      </c>
      <c r="U100" s="22">
        <v>4.3177849999999998</v>
      </c>
      <c r="V100" s="22">
        <v>4.4172770000000003</v>
      </c>
      <c r="W100" s="22">
        <v>4.5314300000000003</v>
      </c>
      <c r="X100" s="22">
        <v>4.640117</v>
      </c>
      <c r="Y100" s="22">
        <v>4.7548139999999997</v>
      </c>
      <c r="Z100" s="22">
        <v>4.8773419999999996</v>
      </c>
      <c r="AA100" s="22">
        <v>4.9927279999999996</v>
      </c>
      <c r="AB100" s="22">
        <v>5.1384359999999996</v>
      </c>
      <c r="AC100" s="22">
        <v>5.2794889999999999</v>
      </c>
      <c r="AD100" s="22">
        <v>5.4373670000000001</v>
      </c>
      <c r="AE100" s="22">
        <v>5.602487</v>
      </c>
      <c r="AF100" s="22">
        <v>5.77569</v>
      </c>
      <c r="AG100" s="22">
        <v>5.9638689999999999</v>
      </c>
      <c r="AH100" s="19">
        <v>2.5335E-2</v>
      </c>
    </row>
    <row r="101" spans="1:34" ht="14.4" x14ac:dyDescent="0.3">
      <c r="A101" s="6" t="s">
        <v>156</v>
      </c>
      <c r="B101" s="17" t="s">
        <v>90</v>
      </c>
      <c r="C101" s="19" t="s">
        <v>91</v>
      </c>
      <c r="D101" s="19" t="s">
        <v>91</v>
      </c>
      <c r="E101" s="19" t="s">
        <v>91</v>
      </c>
      <c r="F101" s="19" t="s">
        <v>91</v>
      </c>
      <c r="G101" s="19" t="s">
        <v>91</v>
      </c>
      <c r="H101" s="19" t="s">
        <v>91</v>
      </c>
      <c r="I101" s="19" t="s">
        <v>91</v>
      </c>
      <c r="J101" s="19" t="s">
        <v>91</v>
      </c>
      <c r="K101" s="19" t="s">
        <v>91</v>
      </c>
      <c r="L101" s="19" t="s">
        <v>91</v>
      </c>
      <c r="M101" s="19" t="s">
        <v>91</v>
      </c>
      <c r="N101" s="19" t="s">
        <v>91</v>
      </c>
      <c r="O101" s="19" t="s">
        <v>91</v>
      </c>
      <c r="P101" s="19" t="s">
        <v>91</v>
      </c>
      <c r="Q101" s="19" t="s">
        <v>91</v>
      </c>
      <c r="R101" s="19" t="s">
        <v>91</v>
      </c>
      <c r="S101" s="19" t="s">
        <v>91</v>
      </c>
      <c r="T101" s="19" t="s">
        <v>91</v>
      </c>
      <c r="U101" s="19" t="s">
        <v>91</v>
      </c>
      <c r="V101" s="19" t="s">
        <v>91</v>
      </c>
      <c r="W101" s="19" t="s">
        <v>91</v>
      </c>
      <c r="X101" s="19" t="s">
        <v>91</v>
      </c>
      <c r="Y101" s="19" t="s">
        <v>91</v>
      </c>
      <c r="Z101" s="19" t="s">
        <v>91</v>
      </c>
      <c r="AA101" s="19" t="s">
        <v>91</v>
      </c>
      <c r="AB101" s="19" t="s">
        <v>91</v>
      </c>
      <c r="AC101" s="19" t="s">
        <v>91</v>
      </c>
      <c r="AD101" s="19" t="s">
        <v>91</v>
      </c>
      <c r="AE101" s="19" t="s">
        <v>91</v>
      </c>
      <c r="AF101" s="19" t="s">
        <v>91</v>
      </c>
      <c r="AG101" s="19" t="s">
        <v>91</v>
      </c>
      <c r="AH101" s="19" t="s">
        <v>91</v>
      </c>
    </row>
    <row r="102" spans="1:34" ht="14.4" x14ac:dyDescent="0.3">
      <c r="A102" s="6" t="s">
        <v>157</v>
      </c>
      <c r="B102" s="17" t="s">
        <v>71</v>
      </c>
      <c r="C102" s="22">
        <v>20.703951</v>
      </c>
      <c r="D102" s="22">
        <v>21.184431</v>
      </c>
      <c r="E102" s="22">
        <v>20.922765999999999</v>
      </c>
      <c r="F102" s="22">
        <v>20.490691999999999</v>
      </c>
      <c r="G102" s="22">
        <v>20.390978</v>
      </c>
      <c r="H102" s="22">
        <v>20.561810000000001</v>
      </c>
      <c r="I102" s="22">
        <v>20.928826999999998</v>
      </c>
      <c r="J102" s="22">
        <v>21.389219000000001</v>
      </c>
      <c r="K102" s="22">
        <v>21.904938000000001</v>
      </c>
      <c r="L102" s="22">
        <v>22.493555000000001</v>
      </c>
      <c r="M102" s="22">
        <v>23.126232000000002</v>
      </c>
      <c r="N102" s="22">
        <v>23.898823</v>
      </c>
      <c r="O102" s="22">
        <v>24.533017999999998</v>
      </c>
      <c r="P102" s="22">
        <v>25.095576999999999</v>
      </c>
      <c r="Q102" s="22">
        <v>25.619420999999999</v>
      </c>
      <c r="R102" s="22">
        <v>26.129231999999998</v>
      </c>
      <c r="S102" s="22">
        <v>26.601374</v>
      </c>
      <c r="T102" s="22">
        <v>27.053902000000001</v>
      </c>
      <c r="U102" s="22">
        <v>27.557925999999998</v>
      </c>
      <c r="V102" s="22">
        <v>28.009595999999998</v>
      </c>
      <c r="W102" s="22">
        <v>28.483612000000001</v>
      </c>
      <c r="X102" s="22">
        <v>28.995356000000001</v>
      </c>
      <c r="Y102" s="22">
        <v>29.524231</v>
      </c>
      <c r="Z102" s="22">
        <v>30.040479999999999</v>
      </c>
      <c r="AA102" s="22">
        <v>30.675072</v>
      </c>
      <c r="AB102" s="22">
        <v>31.286566000000001</v>
      </c>
      <c r="AC102" s="22">
        <v>31.906497999999999</v>
      </c>
      <c r="AD102" s="22">
        <v>32.552177</v>
      </c>
      <c r="AE102" s="22">
        <v>33.172356000000001</v>
      </c>
      <c r="AF102" s="22">
        <v>33.776854999999998</v>
      </c>
      <c r="AG102" s="22">
        <v>34.495876000000003</v>
      </c>
      <c r="AH102" s="19">
        <v>1.7163000000000001E-2</v>
      </c>
    </row>
    <row r="105" spans="1:34" ht="15" customHeight="1" x14ac:dyDescent="0.3">
      <c r="B105" s="16" t="s">
        <v>93</v>
      </c>
    </row>
    <row r="106" spans="1:34" ht="15" customHeight="1" x14ac:dyDescent="0.3">
      <c r="A106" s="6" t="s">
        <v>158</v>
      </c>
      <c r="B106" s="17" t="s">
        <v>65</v>
      </c>
      <c r="C106" s="22">
        <v>11.989126000000001</v>
      </c>
      <c r="D106" s="22">
        <v>13.055498</v>
      </c>
      <c r="E106" s="22">
        <v>13.684998</v>
      </c>
      <c r="F106" s="22">
        <v>13.646471999999999</v>
      </c>
      <c r="G106" s="22">
        <v>13.932608999999999</v>
      </c>
      <c r="H106" s="22">
        <v>14.35027</v>
      </c>
      <c r="I106" s="22">
        <v>14.551660999999999</v>
      </c>
      <c r="J106" s="22">
        <v>14.940968</v>
      </c>
      <c r="K106" s="22">
        <v>15.597754</v>
      </c>
      <c r="L106" s="22">
        <v>16.266991000000001</v>
      </c>
      <c r="M106" s="22">
        <v>17.803008999999999</v>
      </c>
      <c r="N106" s="22">
        <v>18.508292999999998</v>
      </c>
      <c r="O106" s="22">
        <v>19.266905000000001</v>
      </c>
      <c r="P106" s="22">
        <v>19.957550000000001</v>
      </c>
      <c r="Q106" s="22">
        <v>20.655187999999999</v>
      </c>
      <c r="R106" s="22">
        <v>21.217950999999999</v>
      </c>
      <c r="S106" s="22">
        <v>21.911341</v>
      </c>
      <c r="T106" s="22">
        <v>22.821793</v>
      </c>
      <c r="U106" s="22">
        <v>23.585032000000002</v>
      </c>
      <c r="V106" s="22">
        <v>24.222187000000002</v>
      </c>
      <c r="W106" s="22">
        <v>24.967777000000002</v>
      </c>
      <c r="X106" s="22">
        <v>25.745121000000001</v>
      </c>
      <c r="Y106" s="22">
        <v>26.527177999999999</v>
      </c>
      <c r="Z106" s="22">
        <v>27.162399000000001</v>
      </c>
      <c r="AA106" s="22">
        <v>28.074911</v>
      </c>
      <c r="AB106" s="22">
        <v>28.923811000000001</v>
      </c>
      <c r="AC106" s="22">
        <v>29.956638000000002</v>
      </c>
      <c r="AD106" s="22">
        <v>31.013227000000001</v>
      </c>
      <c r="AE106" s="22">
        <v>32.086063000000003</v>
      </c>
      <c r="AF106" s="22">
        <v>33.307343000000003</v>
      </c>
      <c r="AG106" s="22">
        <v>34.538722999999997</v>
      </c>
      <c r="AH106" s="19">
        <v>3.5899E-2</v>
      </c>
    </row>
    <row r="107" spans="1:34" ht="15" customHeight="1" x14ac:dyDescent="0.3">
      <c r="A107" s="6" t="s">
        <v>159</v>
      </c>
      <c r="B107" s="17" t="s">
        <v>96</v>
      </c>
      <c r="C107" s="22">
        <v>21.197994000000001</v>
      </c>
      <c r="D107" s="22">
        <v>22.489187000000001</v>
      </c>
      <c r="E107" s="22">
        <v>24.134782999999999</v>
      </c>
      <c r="F107" s="22">
        <v>23.938148000000002</v>
      </c>
      <c r="G107" s="22">
        <v>24.054376999999999</v>
      </c>
      <c r="H107" s="22">
        <v>24.331526</v>
      </c>
      <c r="I107" s="22">
        <v>24.861383</v>
      </c>
      <c r="J107" s="22">
        <v>26.163397</v>
      </c>
      <c r="K107" s="22">
        <v>27.222588999999999</v>
      </c>
      <c r="L107" s="22">
        <v>28.490193999999999</v>
      </c>
      <c r="M107" s="22">
        <v>30.607447000000001</v>
      </c>
      <c r="N107" s="22">
        <v>31.424811999999999</v>
      </c>
      <c r="O107" s="22">
        <v>32.751942</v>
      </c>
      <c r="P107" s="22">
        <v>33.951576000000003</v>
      </c>
      <c r="Q107" s="22">
        <v>35.573013000000003</v>
      </c>
      <c r="R107" s="22">
        <v>36.026156999999998</v>
      </c>
      <c r="S107" s="22">
        <v>37.013168</v>
      </c>
      <c r="T107" s="22">
        <v>38.307907</v>
      </c>
      <c r="U107" s="22">
        <v>39.596972999999998</v>
      </c>
      <c r="V107" s="22">
        <v>40.555588</v>
      </c>
      <c r="W107" s="22">
        <v>41.774628</v>
      </c>
      <c r="X107" s="22">
        <v>43.055011999999998</v>
      </c>
      <c r="Y107" s="22">
        <v>44.035229000000001</v>
      </c>
      <c r="Z107" s="22">
        <v>45.315018000000002</v>
      </c>
      <c r="AA107" s="22">
        <v>46.798065000000001</v>
      </c>
      <c r="AB107" s="22">
        <v>48.472186999999998</v>
      </c>
      <c r="AC107" s="22">
        <v>49.989505999999999</v>
      </c>
      <c r="AD107" s="22">
        <v>51.559319000000002</v>
      </c>
      <c r="AE107" s="22">
        <v>53.219242000000001</v>
      </c>
      <c r="AF107" s="22">
        <v>55.084353999999998</v>
      </c>
      <c r="AG107" s="22">
        <v>57.077778000000002</v>
      </c>
      <c r="AH107" s="19">
        <v>3.3568000000000001E-2</v>
      </c>
    </row>
    <row r="108" spans="1:34" ht="15" customHeight="1" x14ac:dyDescent="0.3">
      <c r="A108" s="6" t="s">
        <v>160</v>
      </c>
      <c r="B108" s="17" t="s">
        <v>98</v>
      </c>
      <c r="C108" s="22">
        <v>18.753328</v>
      </c>
      <c r="D108" s="22">
        <v>19.788212000000001</v>
      </c>
      <c r="E108" s="22">
        <v>20.293282000000001</v>
      </c>
      <c r="F108" s="22">
        <v>20.436584</v>
      </c>
      <c r="G108" s="22">
        <v>20.593464000000001</v>
      </c>
      <c r="H108" s="22">
        <v>20.882581999999999</v>
      </c>
      <c r="I108" s="22">
        <v>21.376519999999999</v>
      </c>
      <c r="J108" s="22">
        <v>22.48011</v>
      </c>
      <c r="K108" s="22">
        <v>23.366942999999999</v>
      </c>
      <c r="L108" s="22">
        <v>24.426805000000002</v>
      </c>
      <c r="M108" s="22">
        <v>26.396180999999999</v>
      </c>
      <c r="N108" s="22">
        <v>27.072281</v>
      </c>
      <c r="O108" s="22">
        <v>28.209209000000001</v>
      </c>
      <c r="P108" s="22">
        <v>29.205608000000002</v>
      </c>
      <c r="Q108" s="22">
        <v>30.561083</v>
      </c>
      <c r="R108" s="22">
        <v>30.930744000000001</v>
      </c>
      <c r="S108" s="22">
        <v>31.754170999999999</v>
      </c>
      <c r="T108" s="22">
        <v>32.846404999999997</v>
      </c>
      <c r="U108" s="22">
        <v>33.927546999999997</v>
      </c>
      <c r="V108" s="22">
        <v>34.733677</v>
      </c>
      <c r="W108" s="22">
        <v>35.761009000000001</v>
      </c>
      <c r="X108" s="22">
        <v>36.830620000000003</v>
      </c>
      <c r="Y108" s="22">
        <v>37.648448999999999</v>
      </c>
      <c r="Z108" s="22">
        <v>38.719551000000003</v>
      </c>
      <c r="AA108" s="22">
        <v>39.962944</v>
      </c>
      <c r="AB108" s="22">
        <v>41.346457999999998</v>
      </c>
      <c r="AC108" s="22">
        <v>42.581744999999998</v>
      </c>
      <c r="AD108" s="22">
        <v>43.907246000000001</v>
      </c>
      <c r="AE108" s="22">
        <v>45.259014000000001</v>
      </c>
      <c r="AF108" s="22">
        <v>46.844619999999999</v>
      </c>
      <c r="AG108" s="22">
        <v>48.515076000000001</v>
      </c>
      <c r="AH108" s="19">
        <v>3.2190999999999997E-2</v>
      </c>
    </row>
    <row r="109" spans="1:34" ht="15" customHeight="1" x14ac:dyDescent="0.3">
      <c r="A109" s="6" t="s">
        <v>161</v>
      </c>
      <c r="B109" s="17" t="s">
        <v>100</v>
      </c>
      <c r="C109" s="22">
        <v>9.5686540000000004</v>
      </c>
      <c r="D109" s="22">
        <v>10.491621</v>
      </c>
      <c r="E109" s="22">
        <v>11.611799</v>
      </c>
      <c r="F109" s="22">
        <v>12.626143000000001</v>
      </c>
      <c r="G109" s="22">
        <v>13.374006</v>
      </c>
      <c r="H109" s="22">
        <v>13.885991000000001</v>
      </c>
      <c r="I109" s="22">
        <v>14.634782</v>
      </c>
      <c r="J109" s="22">
        <v>15.622922000000001</v>
      </c>
      <c r="K109" s="22">
        <v>16.399954000000001</v>
      </c>
      <c r="L109" s="22">
        <v>17.258618999999999</v>
      </c>
      <c r="M109" s="22">
        <v>18.285124</v>
      </c>
      <c r="N109" s="22">
        <v>19.125378000000001</v>
      </c>
      <c r="O109" s="22">
        <v>20.090021</v>
      </c>
      <c r="P109" s="22">
        <v>20.930676999999999</v>
      </c>
      <c r="Q109" s="22">
        <v>21.668398</v>
      </c>
      <c r="R109" s="22">
        <v>22.090868</v>
      </c>
      <c r="S109" s="22">
        <v>22.572368999999998</v>
      </c>
      <c r="T109" s="22">
        <v>23.443169000000001</v>
      </c>
      <c r="U109" s="22">
        <v>24.351158000000002</v>
      </c>
      <c r="V109" s="22">
        <v>24.778327999999998</v>
      </c>
      <c r="W109" s="22">
        <v>26.019874999999999</v>
      </c>
      <c r="X109" s="22">
        <v>26.910350999999999</v>
      </c>
      <c r="Y109" s="22">
        <v>27.768221</v>
      </c>
      <c r="Z109" s="22">
        <v>28.759862999999999</v>
      </c>
      <c r="AA109" s="22">
        <v>29.916378000000002</v>
      </c>
      <c r="AB109" s="22">
        <v>31.164967999999998</v>
      </c>
      <c r="AC109" s="22">
        <v>32.309131999999998</v>
      </c>
      <c r="AD109" s="22">
        <v>33.423969</v>
      </c>
      <c r="AE109" s="22">
        <v>34.476363999999997</v>
      </c>
      <c r="AF109" s="22">
        <v>35.830787999999998</v>
      </c>
      <c r="AG109" s="22">
        <v>37.167850000000001</v>
      </c>
      <c r="AH109" s="19">
        <v>4.6269999999999999E-2</v>
      </c>
    </row>
    <row r="110" spans="1:34" ht="15" customHeight="1" x14ac:dyDescent="0.3">
      <c r="A110" s="6" t="s">
        <v>162</v>
      </c>
      <c r="B110" s="17" t="s">
        <v>102</v>
      </c>
      <c r="C110" s="22">
        <v>18.329231</v>
      </c>
      <c r="D110" s="22">
        <v>18.466090999999999</v>
      </c>
      <c r="E110" s="22">
        <v>19.441296000000001</v>
      </c>
      <c r="F110" s="22">
        <v>20.906368000000001</v>
      </c>
      <c r="G110" s="22">
        <v>21.550484000000001</v>
      </c>
      <c r="H110" s="22">
        <v>22.240687999999999</v>
      </c>
      <c r="I110" s="22">
        <v>22.925701</v>
      </c>
      <c r="J110" s="22">
        <v>24.184678999999999</v>
      </c>
      <c r="K110" s="22">
        <v>25.177447999999998</v>
      </c>
      <c r="L110" s="22">
        <v>26.206683999999999</v>
      </c>
      <c r="M110" s="22">
        <v>27.881654999999999</v>
      </c>
      <c r="N110" s="22">
        <v>28.911507</v>
      </c>
      <c r="O110" s="22">
        <v>30.105221</v>
      </c>
      <c r="P110" s="22">
        <v>31.156676999999998</v>
      </c>
      <c r="Q110" s="22">
        <v>32.130553999999997</v>
      </c>
      <c r="R110" s="22">
        <v>32.564861000000001</v>
      </c>
      <c r="S110" s="22">
        <v>33.237152000000002</v>
      </c>
      <c r="T110" s="22">
        <v>34.297997000000002</v>
      </c>
      <c r="U110" s="22">
        <v>35.361176</v>
      </c>
      <c r="V110" s="22">
        <v>35.931491999999999</v>
      </c>
      <c r="W110" s="22">
        <v>37.292427000000004</v>
      </c>
      <c r="X110" s="22">
        <v>38.340877999999996</v>
      </c>
      <c r="Y110" s="22">
        <v>39.357944000000003</v>
      </c>
      <c r="Z110" s="22">
        <v>40.492893000000002</v>
      </c>
      <c r="AA110" s="22">
        <v>41.785235999999998</v>
      </c>
      <c r="AB110" s="22">
        <v>43.214019999999998</v>
      </c>
      <c r="AC110" s="22">
        <v>44.615161999999998</v>
      </c>
      <c r="AD110" s="22">
        <v>46.015656</v>
      </c>
      <c r="AE110" s="22">
        <v>47.406441000000001</v>
      </c>
      <c r="AF110" s="22">
        <v>49.013824</v>
      </c>
      <c r="AG110" s="22">
        <v>50.694831999999998</v>
      </c>
      <c r="AH110" s="19">
        <v>3.4492000000000002E-2</v>
      </c>
    </row>
    <row r="111" spans="1:34" ht="15" customHeight="1" x14ac:dyDescent="0.3">
      <c r="A111" s="6" t="s">
        <v>163</v>
      </c>
      <c r="B111" s="17" t="s">
        <v>76</v>
      </c>
      <c r="C111" s="22">
        <v>9.2080660000000005</v>
      </c>
      <c r="D111" s="22">
        <v>7.0633520000000001</v>
      </c>
      <c r="E111" s="22">
        <v>7.302988</v>
      </c>
      <c r="F111" s="22">
        <v>8.4810619999999997</v>
      </c>
      <c r="G111" s="22">
        <v>9.8490350000000007</v>
      </c>
      <c r="H111" s="22">
        <v>10.089943</v>
      </c>
      <c r="I111" s="22">
        <v>10.639123</v>
      </c>
      <c r="J111" s="22">
        <v>11.495901</v>
      </c>
      <c r="K111" s="22">
        <v>11.956232999999999</v>
      </c>
      <c r="L111" s="22">
        <v>13.219588</v>
      </c>
      <c r="M111" s="22">
        <v>14.070411999999999</v>
      </c>
      <c r="N111" s="22">
        <v>14.140808</v>
      </c>
      <c r="O111" s="22">
        <v>14.921721</v>
      </c>
      <c r="P111" s="22">
        <v>15.509969</v>
      </c>
      <c r="Q111" s="22">
        <v>16.500456</v>
      </c>
      <c r="R111" s="22">
        <v>16.410965000000001</v>
      </c>
      <c r="S111" s="22">
        <v>16.978366999999999</v>
      </c>
      <c r="T111" s="22">
        <v>17.589258000000001</v>
      </c>
      <c r="U111" s="22">
        <v>18.293513999999998</v>
      </c>
      <c r="V111" s="22">
        <v>18.921209000000001</v>
      </c>
      <c r="W111" s="22">
        <v>19.635922999999998</v>
      </c>
      <c r="X111" s="22">
        <v>20.176897</v>
      </c>
      <c r="Y111" s="22">
        <v>21.054981000000002</v>
      </c>
      <c r="Z111" s="22">
        <v>22.139012999999998</v>
      </c>
      <c r="AA111" s="22">
        <v>23.220078999999998</v>
      </c>
      <c r="AB111" s="22">
        <v>23.7334</v>
      </c>
      <c r="AC111" s="22">
        <v>25.473278000000001</v>
      </c>
      <c r="AD111" s="22">
        <v>26.305942999999999</v>
      </c>
      <c r="AE111" s="22">
        <v>27.115713</v>
      </c>
      <c r="AF111" s="22">
        <v>28.203956999999999</v>
      </c>
      <c r="AG111" s="22">
        <v>29.465541999999999</v>
      </c>
      <c r="AH111" s="19">
        <v>3.9532999999999999E-2</v>
      </c>
    </row>
    <row r="112" spans="1:34" ht="15" customHeight="1" x14ac:dyDescent="0.3">
      <c r="A112" s="6" t="s">
        <v>164</v>
      </c>
      <c r="B112" s="63" t="s">
        <v>105</v>
      </c>
      <c r="C112" s="64">
        <v>12.999203</v>
      </c>
      <c r="D112" s="64">
        <v>13.756338</v>
      </c>
      <c r="E112" s="64">
        <v>14.272468</v>
      </c>
      <c r="F112" s="64">
        <v>13.87274</v>
      </c>
      <c r="G112" s="64">
        <v>13.379066999999999</v>
      </c>
      <c r="H112" s="64">
        <v>13.404615</v>
      </c>
      <c r="I112" s="64">
        <v>13.498896999999999</v>
      </c>
      <c r="J112" s="64">
        <v>13.628196000000001</v>
      </c>
      <c r="K112" s="64">
        <v>13.736962</v>
      </c>
      <c r="L112" s="64">
        <v>13.932218000000001</v>
      </c>
      <c r="M112" s="64">
        <v>14.950908999999999</v>
      </c>
      <c r="N112" s="64">
        <v>15.044097000000001</v>
      </c>
      <c r="O112" s="64">
        <v>15.321702</v>
      </c>
      <c r="P112" s="64">
        <v>15.516894000000001</v>
      </c>
      <c r="Q112" s="64">
        <v>15.691060999999999</v>
      </c>
      <c r="R112" s="64">
        <v>15.773815000000001</v>
      </c>
      <c r="S112" s="64">
        <v>15.950137</v>
      </c>
      <c r="T112" s="64">
        <v>16.117809000000001</v>
      </c>
      <c r="U112" s="64">
        <v>16.291615</v>
      </c>
      <c r="V112" s="64">
        <v>16.466549000000001</v>
      </c>
      <c r="W112" s="64">
        <v>16.700437999999998</v>
      </c>
      <c r="X112" s="64">
        <v>16.943705000000001</v>
      </c>
      <c r="Y112" s="64">
        <v>17.277073000000001</v>
      </c>
      <c r="Z112" s="64">
        <v>17.574244</v>
      </c>
      <c r="AA112" s="64">
        <v>17.982026999999999</v>
      </c>
      <c r="AB112" s="64">
        <v>18.336407000000001</v>
      </c>
      <c r="AC112" s="64">
        <v>18.741672999999999</v>
      </c>
      <c r="AD112" s="64">
        <v>19.208071</v>
      </c>
      <c r="AE112" s="64">
        <v>19.600466000000001</v>
      </c>
      <c r="AF112" s="64">
        <v>20.057380999999999</v>
      </c>
      <c r="AG112" s="64">
        <v>20.632099</v>
      </c>
      <c r="AH112" s="65">
        <v>1.5518000000000001E-2</v>
      </c>
    </row>
    <row r="113" spans="1:34" ht="15" customHeight="1" x14ac:dyDescent="0.3">
      <c r="A113" s="6" t="s">
        <v>165</v>
      </c>
      <c r="B113" s="17" t="s">
        <v>71</v>
      </c>
      <c r="C113" s="22">
        <v>34.881683000000002</v>
      </c>
      <c r="D113" s="22">
        <v>36.816513</v>
      </c>
      <c r="E113" s="22">
        <v>36.169002999999996</v>
      </c>
      <c r="F113" s="22">
        <v>35.738602</v>
      </c>
      <c r="G113" s="22">
        <v>35.579833999999998</v>
      </c>
      <c r="H113" s="22">
        <v>36.129081999999997</v>
      </c>
      <c r="I113" s="22">
        <v>36.963622999999998</v>
      </c>
      <c r="J113" s="22">
        <v>37.989131999999998</v>
      </c>
      <c r="K113" s="22">
        <v>39.081032</v>
      </c>
      <c r="L113" s="22">
        <v>40.300075999999997</v>
      </c>
      <c r="M113" s="22">
        <v>41.404995</v>
      </c>
      <c r="N113" s="22">
        <v>42.946102000000003</v>
      </c>
      <c r="O113" s="22">
        <v>44.248558000000003</v>
      </c>
      <c r="P113" s="22">
        <v>45.525314000000002</v>
      </c>
      <c r="Q113" s="22">
        <v>46.634273999999998</v>
      </c>
      <c r="R113" s="22">
        <v>47.531353000000003</v>
      </c>
      <c r="S113" s="22">
        <v>48.472499999999997</v>
      </c>
      <c r="T113" s="22">
        <v>49.432986999999997</v>
      </c>
      <c r="U113" s="22">
        <v>50.387675999999999</v>
      </c>
      <c r="V113" s="22">
        <v>51.286388000000002</v>
      </c>
      <c r="W113" s="22">
        <v>52.214260000000003</v>
      </c>
      <c r="X113" s="22">
        <v>53.183109000000002</v>
      </c>
      <c r="Y113" s="22">
        <v>54.169322999999999</v>
      </c>
      <c r="Z113" s="22">
        <v>55.113655000000001</v>
      </c>
      <c r="AA113" s="22">
        <v>56.153427000000001</v>
      </c>
      <c r="AB113" s="22">
        <v>57.276477999999997</v>
      </c>
      <c r="AC113" s="22">
        <v>58.393307</v>
      </c>
      <c r="AD113" s="22">
        <v>59.578139999999998</v>
      </c>
      <c r="AE113" s="22">
        <v>60.672660999999998</v>
      </c>
      <c r="AF113" s="22">
        <v>61.720840000000003</v>
      </c>
      <c r="AG113" s="22">
        <v>62.874915999999999</v>
      </c>
      <c r="AH113" s="19">
        <v>1.9834000000000001E-2</v>
      </c>
    </row>
    <row r="115" spans="1:34" ht="15" customHeight="1" x14ac:dyDescent="0.3">
      <c r="B115" s="16" t="s">
        <v>107</v>
      </c>
    </row>
    <row r="116" spans="1:34" ht="15" customHeight="1" x14ac:dyDescent="0.3">
      <c r="A116" s="6" t="s">
        <v>166</v>
      </c>
      <c r="B116" s="17" t="s">
        <v>67</v>
      </c>
      <c r="C116" s="22">
        <v>17.708587999999999</v>
      </c>
      <c r="D116" s="22">
        <v>17.922906999999999</v>
      </c>
      <c r="E116" s="22">
        <v>18.167338999999998</v>
      </c>
      <c r="F116" s="22">
        <v>18.391798000000001</v>
      </c>
      <c r="G116" s="22">
        <v>18.371428000000002</v>
      </c>
      <c r="H116" s="22">
        <v>18.194514999999999</v>
      </c>
      <c r="I116" s="22">
        <v>18.012846</v>
      </c>
      <c r="J116" s="22">
        <v>19.005011</v>
      </c>
      <c r="K116" s="22">
        <v>19.743411999999999</v>
      </c>
      <c r="L116" s="22">
        <v>20.599807999999999</v>
      </c>
      <c r="M116" s="22">
        <v>21.649260999999999</v>
      </c>
      <c r="N116" s="22">
        <v>22.243275000000001</v>
      </c>
      <c r="O116" s="22">
        <v>23.181121999999998</v>
      </c>
      <c r="P116" s="22">
        <v>24.023527000000001</v>
      </c>
      <c r="Q116" s="22">
        <v>24.834676999999999</v>
      </c>
      <c r="R116" s="22">
        <v>25.286221999999999</v>
      </c>
      <c r="S116" s="22">
        <v>25.852322000000001</v>
      </c>
      <c r="T116" s="22">
        <v>26.715047999999999</v>
      </c>
      <c r="U116" s="22">
        <v>27.479749999999999</v>
      </c>
      <c r="V116" s="22">
        <v>27.963885999999999</v>
      </c>
      <c r="W116" s="22">
        <v>29.288336000000001</v>
      </c>
      <c r="X116" s="22">
        <v>30.202635000000001</v>
      </c>
      <c r="Y116" s="22">
        <v>31.045172000000001</v>
      </c>
      <c r="Z116" s="22">
        <v>32.017268999999999</v>
      </c>
      <c r="AA116" s="22">
        <v>33.168652000000002</v>
      </c>
      <c r="AB116" s="22">
        <v>34.449997000000003</v>
      </c>
      <c r="AC116" s="22">
        <v>35.675570999999998</v>
      </c>
      <c r="AD116" s="22">
        <v>36.849620999999999</v>
      </c>
      <c r="AE116" s="22">
        <v>38.027099999999997</v>
      </c>
      <c r="AF116" s="22">
        <v>39.507576</v>
      </c>
      <c r="AG116" s="22">
        <v>40.923405000000002</v>
      </c>
      <c r="AH116" s="19">
        <v>2.8315E-2</v>
      </c>
    </row>
    <row r="117" spans="1:34" ht="15" customHeight="1" x14ac:dyDescent="0.3">
      <c r="A117" s="6" t="s">
        <v>167</v>
      </c>
      <c r="B117" s="17" t="s">
        <v>76</v>
      </c>
      <c r="C117" s="22">
        <v>8.2907299999999999</v>
      </c>
      <c r="D117" s="22">
        <v>8.9470679999999998</v>
      </c>
      <c r="E117" s="22">
        <v>9.9366479999999999</v>
      </c>
      <c r="F117" s="22">
        <v>11.076062</v>
      </c>
      <c r="G117" s="22">
        <v>11.979737999999999</v>
      </c>
      <c r="H117" s="22">
        <v>12.592653</v>
      </c>
      <c r="I117" s="22">
        <v>13.356881</v>
      </c>
      <c r="J117" s="22">
        <v>14.202007999999999</v>
      </c>
      <c r="K117" s="22">
        <v>14.762340999999999</v>
      </c>
      <c r="L117" s="22">
        <v>15.476789999999999</v>
      </c>
      <c r="M117" s="22">
        <v>16.343202999999999</v>
      </c>
      <c r="N117" s="22">
        <v>16.973457</v>
      </c>
      <c r="O117" s="22">
        <v>17.722759</v>
      </c>
      <c r="P117" s="22">
        <v>18.476268999999998</v>
      </c>
      <c r="Q117" s="22">
        <v>19.074306</v>
      </c>
      <c r="R117" s="22">
        <v>19.433674</v>
      </c>
      <c r="S117" s="22">
        <v>19.821852</v>
      </c>
      <c r="T117" s="22">
        <v>20.536128999999999</v>
      </c>
      <c r="U117" s="22">
        <v>21.275314000000002</v>
      </c>
      <c r="V117" s="22">
        <v>21.824587000000001</v>
      </c>
      <c r="W117" s="22">
        <v>22.77355</v>
      </c>
      <c r="X117" s="22">
        <v>23.359221000000002</v>
      </c>
      <c r="Y117" s="22">
        <v>23.897337</v>
      </c>
      <c r="Z117" s="22">
        <v>24.436132000000001</v>
      </c>
      <c r="AA117" s="22">
        <v>25.133085000000001</v>
      </c>
      <c r="AB117" s="22">
        <v>25.602730000000001</v>
      </c>
      <c r="AC117" s="22">
        <v>26.62406</v>
      </c>
      <c r="AD117" s="22">
        <v>27.609345999999999</v>
      </c>
      <c r="AE117" s="22">
        <v>28.527224</v>
      </c>
      <c r="AF117" s="22">
        <v>29.689737000000001</v>
      </c>
      <c r="AG117" s="22">
        <v>30.943238999999998</v>
      </c>
      <c r="AH117" s="19">
        <v>4.4878000000000001E-2</v>
      </c>
    </row>
    <row r="118" spans="1:34" ht="15" customHeight="1" x14ac:dyDescent="0.3">
      <c r="A118" s="6" t="s">
        <v>168</v>
      </c>
      <c r="B118" s="17" t="s">
        <v>69</v>
      </c>
      <c r="C118" s="22">
        <v>2.4475359999999999</v>
      </c>
      <c r="D118" s="22">
        <v>3.575078</v>
      </c>
      <c r="E118" s="22">
        <v>3.509563</v>
      </c>
      <c r="F118" s="22">
        <v>3.1234579999999998</v>
      </c>
      <c r="G118" s="22">
        <v>2.8282539999999998</v>
      </c>
      <c r="H118" s="22">
        <v>2.8515229999999998</v>
      </c>
      <c r="I118" s="22">
        <v>2.9517630000000001</v>
      </c>
      <c r="J118" s="22">
        <v>3.121902</v>
      </c>
      <c r="K118" s="22">
        <v>3.2792289999999999</v>
      </c>
      <c r="L118" s="22">
        <v>3.4971390000000002</v>
      </c>
      <c r="M118" s="22">
        <v>3.6785019999999999</v>
      </c>
      <c r="N118" s="22">
        <v>3.832201</v>
      </c>
      <c r="O118" s="22">
        <v>3.9674640000000001</v>
      </c>
      <c r="P118" s="22">
        <v>4.1222770000000004</v>
      </c>
      <c r="Q118" s="22">
        <v>4.2217479999999998</v>
      </c>
      <c r="R118" s="22">
        <v>4.2990930000000001</v>
      </c>
      <c r="S118" s="22">
        <v>4.397367</v>
      </c>
      <c r="T118" s="22">
        <v>4.4639600000000002</v>
      </c>
      <c r="U118" s="22">
        <v>4.5292820000000003</v>
      </c>
      <c r="V118" s="22">
        <v>4.5863860000000001</v>
      </c>
      <c r="W118" s="22">
        <v>4.665565</v>
      </c>
      <c r="X118" s="22">
        <v>4.7735110000000001</v>
      </c>
      <c r="Y118" s="22">
        <v>4.8861920000000003</v>
      </c>
      <c r="Z118" s="22">
        <v>4.9767700000000001</v>
      </c>
      <c r="AA118" s="22">
        <v>5.1314330000000004</v>
      </c>
      <c r="AB118" s="22">
        <v>5.2176989999999996</v>
      </c>
      <c r="AC118" s="22">
        <v>5.3252980000000001</v>
      </c>
      <c r="AD118" s="22">
        <v>5.473681</v>
      </c>
      <c r="AE118" s="22">
        <v>5.5430219999999997</v>
      </c>
      <c r="AF118" s="22">
        <v>5.6181130000000001</v>
      </c>
      <c r="AG118" s="22">
        <v>5.8064549999999997</v>
      </c>
      <c r="AH118" s="19">
        <v>2.9215000000000001E-2</v>
      </c>
    </row>
    <row r="119" spans="1:34" ht="15" customHeight="1" x14ac:dyDescent="0.3">
      <c r="A119" s="6" t="s">
        <v>169</v>
      </c>
      <c r="B119" s="17" t="s">
        <v>112</v>
      </c>
      <c r="C119" s="22">
        <v>1.9139900000000001</v>
      </c>
      <c r="D119" s="22">
        <v>2.0138539999999998</v>
      </c>
      <c r="E119" s="22">
        <v>2.0420479999999999</v>
      </c>
      <c r="F119" s="22">
        <v>1.991269</v>
      </c>
      <c r="G119" s="22">
        <v>1.9896430000000001</v>
      </c>
      <c r="H119" s="22">
        <v>1.9458800000000001</v>
      </c>
      <c r="I119" s="22">
        <v>1.974057</v>
      </c>
      <c r="J119" s="22">
        <v>2.0108700000000002</v>
      </c>
      <c r="K119" s="22">
        <v>2.0233449999999999</v>
      </c>
      <c r="L119" s="22">
        <v>2.0785710000000002</v>
      </c>
      <c r="M119" s="22">
        <v>2.1369340000000001</v>
      </c>
      <c r="N119" s="22">
        <v>2.2068490000000001</v>
      </c>
      <c r="O119" s="22">
        <v>2.2387060000000001</v>
      </c>
      <c r="P119" s="22">
        <v>2.280745</v>
      </c>
      <c r="Q119" s="22">
        <v>2.3335940000000002</v>
      </c>
      <c r="R119" s="22">
        <v>2.3716379999999999</v>
      </c>
      <c r="S119" s="22">
        <v>2.4149980000000002</v>
      </c>
      <c r="T119" s="22">
        <v>2.4696400000000001</v>
      </c>
      <c r="U119" s="22">
        <v>2.547005</v>
      </c>
      <c r="V119" s="22">
        <v>2.5993539999999999</v>
      </c>
      <c r="W119" s="22">
        <v>2.656965</v>
      </c>
      <c r="X119" s="22">
        <v>2.716018</v>
      </c>
      <c r="Y119" s="22">
        <v>2.7708159999999999</v>
      </c>
      <c r="Z119" s="22">
        <v>2.8345940000000001</v>
      </c>
      <c r="AA119" s="22">
        <v>2.9008579999999999</v>
      </c>
      <c r="AB119" s="22">
        <v>2.9650919999999998</v>
      </c>
      <c r="AC119" s="22">
        <v>3.0393720000000002</v>
      </c>
      <c r="AD119" s="22">
        <v>3.1162450000000002</v>
      </c>
      <c r="AE119" s="22">
        <v>3.1798959999999998</v>
      </c>
      <c r="AF119" s="22">
        <v>3.263045</v>
      </c>
      <c r="AG119" s="22">
        <v>3.3525969999999998</v>
      </c>
      <c r="AH119" s="19">
        <v>1.8859999999999998E-2</v>
      </c>
    </row>
    <row r="120" spans="1:34" ht="15" customHeight="1" x14ac:dyDescent="0.3">
      <c r="A120" s="6" t="s">
        <v>170</v>
      </c>
      <c r="B120" s="17" t="s">
        <v>114</v>
      </c>
      <c r="C120" s="22">
        <v>0.68612300000000004</v>
      </c>
      <c r="D120" s="22">
        <v>0.69437800000000005</v>
      </c>
      <c r="E120" s="22">
        <v>0.70342800000000005</v>
      </c>
      <c r="F120" s="22">
        <v>0.714812</v>
      </c>
      <c r="G120" s="22">
        <v>0.72804400000000002</v>
      </c>
      <c r="H120" s="22">
        <v>0.74597000000000002</v>
      </c>
      <c r="I120" s="22">
        <v>0.766096</v>
      </c>
      <c r="J120" s="22">
        <v>0.79033699999999996</v>
      </c>
      <c r="K120" s="22">
        <v>0.81512700000000005</v>
      </c>
      <c r="L120" s="22">
        <v>0.84268600000000005</v>
      </c>
      <c r="M120" s="22">
        <v>0.87102999999999997</v>
      </c>
      <c r="N120" s="22">
        <v>0.89856100000000005</v>
      </c>
      <c r="O120" s="22">
        <v>0.92714399999999997</v>
      </c>
      <c r="P120" s="22">
        <v>0.955681</v>
      </c>
      <c r="Q120" s="22">
        <v>0.98225799999999996</v>
      </c>
      <c r="R120" s="22">
        <v>1.0098510000000001</v>
      </c>
      <c r="S120" s="22">
        <v>1.0373399999999999</v>
      </c>
      <c r="T120" s="22">
        <v>1.063205</v>
      </c>
      <c r="U120" s="22">
        <v>1.090883</v>
      </c>
      <c r="V120" s="22">
        <v>1.1183609999999999</v>
      </c>
      <c r="W120" s="22">
        <v>1.147076</v>
      </c>
      <c r="X120" s="22">
        <v>1.176641</v>
      </c>
      <c r="Y120" s="22">
        <v>1.207389</v>
      </c>
      <c r="Z120" s="22">
        <v>1.2397359999999999</v>
      </c>
      <c r="AA120" s="22">
        <v>1.2740549999999999</v>
      </c>
      <c r="AB120" s="22">
        <v>1.3096019999999999</v>
      </c>
      <c r="AC120" s="22">
        <v>1.3478520000000001</v>
      </c>
      <c r="AD120" s="22">
        <v>1.3876710000000001</v>
      </c>
      <c r="AE120" s="22">
        <v>1.4289780000000001</v>
      </c>
      <c r="AF120" s="22">
        <v>1.4725079999999999</v>
      </c>
      <c r="AG120" s="22">
        <v>1.518192</v>
      </c>
      <c r="AH120" s="19">
        <v>2.6828000000000001E-2</v>
      </c>
    </row>
    <row r="122" spans="1:34" ht="15" customHeight="1" x14ac:dyDescent="0.3">
      <c r="B122" s="16" t="s">
        <v>115</v>
      </c>
    </row>
    <row r="123" spans="1:34" ht="15" customHeight="1" x14ac:dyDescent="0.3">
      <c r="A123" s="6" t="s">
        <v>171</v>
      </c>
      <c r="B123" s="17" t="s">
        <v>65</v>
      </c>
      <c r="C123" s="22">
        <v>14.345898999999999</v>
      </c>
      <c r="D123" s="22">
        <v>14.868917</v>
      </c>
      <c r="E123" s="22">
        <v>15.581808000000001</v>
      </c>
      <c r="F123" s="22">
        <v>14.977739</v>
      </c>
      <c r="G123" s="22">
        <v>15.250596</v>
      </c>
      <c r="H123" s="22">
        <v>15.657450000000001</v>
      </c>
      <c r="I123" s="22">
        <v>15.905913999999999</v>
      </c>
      <c r="J123" s="22">
        <v>16.296264999999998</v>
      </c>
      <c r="K123" s="22">
        <v>16.947468000000001</v>
      </c>
      <c r="L123" s="22">
        <v>17.662814999999998</v>
      </c>
      <c r="M123" s="22">
        <v>18.888542000000001</v>
      </c>
      <c r="N123" s="22">
        <v>19.729445999999999</v>
      </c>
      <c r="O123" s="22">
        <v>20.542546999999999</v>
      </c>
      <c r="P123" s="22">
        <v>21.330027000000001</v>
      </c>
      <c r="Q123" s="22">
        <v>22.112363999999999</v>
      </c>
      <c r="R123" s="22">
        <v>22.760538</v>
      </c>
      <c r="S123" s="22">
        <v>23.506302000000002</v>
      </c>
      <c r="T123" s="22">
        <v>24.473317999999999</v>
      </c>
      <c r="U123" s="22">
        <v>25.348746999999999</v>
      </c>
      <c r="V123" s="22">
        <v>26.096779000000002</v>
      </c>
      <c r="W123" s="22">
        <v>26.927315</v>
      </c>
      <c r="X123" s="22">
        <v>27.789152000000001</v>
      </c>
      <c r="Y123" s="22">
        <v>28.663212000000001</v>
      </c>
      <c r="Z123" s="22">
        <v>29.393692000000001</v>
      </c>
      <c r="AA123" s="22">
        <v>30.362504999999999</v>
      </c>
      <c r="AB123" s="22">
        <v>31.294746</v>
      </c>
      <c r="AC123" s="22">
        <v>32.40728</v>
      </c>
      <c r="AD123" s="22">
        <v>33.572581999999997</v>
      </c>
      <c r="AE123" s="22">
        <v>34.763378000000003</v>
      </c>
      <c r="AF123" s="22">
        <v>36.104675</v>
      </c>
      <c r="AG123" s="22">
        <v>37.476303000000001</v>
      </c>
      <c r="AH123" s="19">
        <v>3.2525999999999999E-2</v>
      </c>
    </row>
    <row r="124" spans="1:34" ht="15" customHeight="1" x14ac:dyDescent="0.3">
      <c r="A124" s="6" t="s">
        <v>172</v>
      </c>
      <c r="B124" s="17" t="s">
        <v>96</v>
      </c>
      <c r="C124" s="22">
        <v>21.197994000000001</v>
      </c>
      <c r="D124" s="22">
        <v>22.489187000000001</v>
      </c>
      <c r="E124" s="22">
        <v>24.134782999999999</v>
      </c>
      <c r="F124" s="22">
        <v>23.938148000000002</v>
      </c>
      <c r="G124" s="22">
        <v>24.054376999999999</v>
      </c>
      <c r="H124" s="22">
        <v>24.331526</v>
      </c>
      <c r="I124" s="22">
        <v>24.861383</v>
      </c>
      <c r="J124" s="22">
        <v>26.163397</v>
      </c>
      <c r="K124" s="22">
        <v>27.222588999999999</v>
      </c>
      <c r="L124" s="22">
        <v>28.490193999999999</v>
      </c>
      <c r="M124" s="22">
        <v>30.607447000000001</v>
      </c>
      <c r="N124" s="22">
        <v>31.424811999999999</v>
      </c>
      <c r="O124" s="22">
        <v>32.751942</v>
      </c>
      <c r="P124" s="22">
        <v>33.951576000000003</v>
      </c>
      <c r="Q124" s="22">
        <v>35.573013000000003</v>
      </c>
      <c r="R124" s="22">
        <v>36.026156999999998</v>
      </c>
      <c r="S124" s="22">
        <v>37.013168</v>
      </c>
      <c r="T124" s="22">
        <v>38.307907</v>
      </c>
      <c r="U124" s="22">
        <v>39.596972999999998</v>
      </c>
      <c r="V124" s="22">
        <v>40.555588</v>
      </c>
      <c r="W124" s="22">
        <v>41.774628</v>
      </c>
      <c r="X124" s="22">
        <v>43.055011999999998</v>
      </c>
      <c r="Y124" s="22">
        <v>44.035229000000001</v>
      </c>
      <c r="Z124" s="22">
        <v>45.315018000000002</v>
      </c>
      <c r="AA124" s="22">
        <v>46.798065000000001</v>
      </c>
      <c r="AB124" s="22">
        <v>48.472186999999998</v>
      </c>
      <c r="AC124" s="22">
        <v>49.989505999999999</v>
      </c>
      <c r="AD124" s="22">
        <v>51.559319000000002</v>
      </c>
      <c r="AE124" s="22">
        <v>53.219242000000001</v>
      </c>
      <c r="AF124" s="22">
        <v>55.084353999999998</v>
      </c>
      <c r="AG124" s="22">
        <v>57.077778000000002</v>
      </c>
      <c r="AH124" s="19">
        <v>3.3568000000000001E-2</v>
      </c>
    </row>
    <row r="125" spans="1:34" ht="15" customHeight="1" x14ac:dyDescent="0.3">
      <c r="A125" s="6" t="s">
        <v>173</v>
      </c>
      <c r="B125" s="17" t="s">
        <v>98</v>
      </c>
      <c r="C125" s="22">
        <v>18.741726</v>
      </c>
      <c r="D125" s="22">
        <v>19.780123</v>
      </c>
      <c r="E125" s="22">
        <v>20.288264999999999</v>
      </c>
      <c r="F125" s="22">
        <v>20.435262999999999</v>
      </c>
      <c r="G125" s="22">
        <v>20.595998999999999</v>
      </c>
      <c r="H125" s="22">
        <v>20.889111</v>
      </c>
      <c r="I125" s="22">
        <v>21.387266</v>
      </c>
      <c r="J125" s="22">
        <v>22.491313999999999</v>
      </c>
      <c r="K125" s="22">
        <v>23.378699999999998</v>
      </c>
      <c r="L125" s="22">
        <v>24.439133000000002</v>
      </c>
      <c r="M125" s="22">
        <v>26.404921000000002</v>
      </c>
      <c r="N125" s="22">
        <v>27.081378999999998</v>
      </c>
      <c r="O125" s="22">
        <v>28.217976</v>
      </c>
      <c r="P125" s="22">
        <v>29.214804000000001</v>
      </c>
      <c r="Q125" s="22">
        <v>30.570681</v>
      </c>
      <c r="R125" s="22">
        <v>30.940794</v>
      </c>
      <c r="S125" s="22">
        <v>31.764669000000001</v>
      </c>
      <c r="T125" s="22">
        <v>32.857315</v>
      </c>
      <c r="U125" s="22">
        <v>33.938889000000003</v>
      </c>
      <c r="V125" s="22">
        <v>34.745373000000001</v>
      </c>
      <c r="W125" s="22">
        <v>35.773273000000003</v>
      </c>
      <c r="X125" s="22">
        <v>36.843342</v>
      </c>
      <c r="Y125" s="22">
        <v>37.661583</v>
      </c>
      <c r="Z125" s="22">
        <v>38.733325999999998</v>
      </c>
      <c r="AA125" s="22">
        <v>39.977245000000003</v>
      </c>
      <c r="AB125" s="22">
        <v>41.361350999999999</v>
      </c>
      <c r="AC125" s="22">
        <v>42.597290000000001</v>
      </c>
      <c r="AD125" s="22">
        <v>43.923450000000003</v>
      </c>
      <c r="AE125" s="22">
        <v>45.275948</v>
      </c>
      <c r="AF125" s="22">
        <v>46.862236000000003</v>
      </c>
      <c r="AG125" s="22">
        <v>48.533465999999997</v>
      </c>
      <c r="AH125" s="19">
        <v>3.2224999999999997E-2</v>
      </c>
    </row>
    <row r="126" spans="1:34" ht="15" customHeight="1" x14ac:dyDescent="0.3">
      <c r="A126" s="6" t="s">
        <v>174</v>
      </c>
      <c r="B126" s="17" t="s">
        <v>100</v>
      </c>
      <c r="C126" s="22">
        <v>9.5686540000000004</v>
      </c>
      <c r="D126" s="22">
        <v>10.491621</v>
      </c>
      <c r="E126" s="22">
        <v>11.611799</v>
      </c>
      <c r="F126" s="22">
        <v>12.626143000000001</v>
      </c>
      <c r="G126" s="22">
        <v>13.374006</v>
      </c>
      <c r="H126" s="22">
        <v>13.885991000000001</v>
      </c>
      <c r="I126" s="22">
        <v>14.634782</v>
      </c>
      <c r="J126" s="22">
        <v>15.622922000000001</v>
      </c>
      <c r="K126" s="22">
        <v>16.399954000000001</v>
      </c>
      <c r="L126" s="22">
        <v>17.258618999999999</v>
      </c>
      <c r="M126" s="22">
        <v>18.285124</v>
      </c>
      <c r="N126" s="22">
        <v>19.125378000000001</v>
      </c>
      <c r="O126" s="22">
        <v>20.090021</v>
      </c>
      <c r="P126" s="22">
        <v>20.930676999999999</v>
      </c>
      <c r="Q126" s="22">
        <v>21.668398</v>
      </c>
      <c r="R126" s="22">
        <v>22.090868</v>
      </c>
      <c r="S126" s="22">
        <v>22.572368999999998</v>
      </c>
      <c r="T126" s="22">
        <v>23.443169000000001</v>
      </c>
      <c r="U126" s="22">
        <v>24.351158000000002</v>
      </c>
      <c r="V126" s="22">
        <v>24.778327999999998</v>
      </c>
      <c r="W126" s="22">
        <v>26.019874999999999</v>
      </c>
      <c r="X126" s="22">
        <v>26.910350999999999</v>
      </c>
      <c r="Y126" s="22">
        <v>27.768221</v>
      </c>
      <c r="Z126" s="22">
        <v>28.759862999999999</v>
      </c>
      <c r="AA126" s="22">
        <v>29.916378000000002</v>
      </c>
      <c r="AB126" s="22">
        <v>31.164967999999998</v>
      </c>
      <c r="AC126" s="22">
        <v>32.309131999999998</v>
      </c>
      <c r="AD126" s="22">
        <v>33.423969</v>
      </c>
      <c r="AE126" s="22">
        <v>34.476363999999997</v>
      </c>
      <c r="AF126" s="22">
        <v>35.830787999999998</v>
      </c>
      <c r="AG126" s="22">
        <v>37.167850000000001</v>
      </c>
      <c r="AH126" s="19">
        <v>4.6269999999999999E-2</v>
      </c>
    </row>
    <row r="127" spans="1:34" ht="15" customHeight="1" x14ac:dyDescent="0.3">
      <c r="A127" s="6" t="s">
        <v>175</v>
      </c>
      <c r="B127" s="17" t="s">
        <v>67</v>
      </c>
      <c r="C127" s="22">
        <v>18.18478</v>
      </c>
      <c r="D127" s="22">
        <v>18.341930000000001</v>
      </c>
      <c r="E127" s="22">
        <v>19.106498999999999</v>
      </c>
      <c r="F127" s="22">
        <v>20.399415999999999</v>
      </c>
      <c r="G127" s="22">
        <v>20.971402999999999</v>
      </c>
      <c r="H127" s="22">
        <v>21.373846</v>
      </c>
      <c r="I127" s="22">
        <v>22.053508999999998</v>
      </c>
      <c r="J127" s="22">
        <v>23.156879</v>
      </c>
      <c r="K127" s="22">
        <v>24.069171999999998</v>
      </c>
      <c r="L127" s="22">
        <v>25.090091999999999</v>
      </c>
      <c r="M127" s="22">
        <v>26.559946</v>
      </c>
      <c r="N127" s="22">
        <v>27.485112999999998</v>
      </c>
      <c r="O127" s="22">
        <v>28.598687999999999</v>
      </c>
      <c r="P127" s="22">
        <v>29.568297999999999</v>
      </c>
      <c r="Q127" s="22">
        <v>30.486623999999999</v>
      </c>
      <c r="R127" s="22">
        <v>30.990047000000001</v>
      </c>
      <c r="S127" s="22">
        <v>31.565892999999999</v>
      </c>
      <c r="T127" s="22">
        <v>32.532680999999997</v>
      </c>
      <c r="U127" s="22">
        <v>33.545501999999999</v>
      </c>
      <c r="V127" s="22">
        <v>34.05471</v>
      </c>
      <c r="W127" s="22">
        <v>35.389442000000003</v>
      </c>
      <c r="X127" s="22">
        <v>36.392929000000002</v>
      </c>
      <c r="Y127" s="22">
        <v>37.382919000000001</v>
      </c>
      <c r="Z127" s="22">
        <v>38.491504999999997</v>
      </c>
      <c r="AA127" s="22">
        <v>39.734431999999998</v>
      </c>
      <c r="AB127" s="22">
        <v>41.159222</v>
      </c>
      <c r="AC127" s="22">
        <v>42.469261000000003</v>
      </c>
      <c r="AD127" s="22">
        <v>43.788451999999999</v>
      </c>
      <c r="AE127" s="22">
        <v>45.064937999999998</v>
      </c>
      <c r="AF127" s="22">
        <v>46.644249000000002</v>
      </c>
      <c r="AG127" s="22">
        <v>48.236587999999998</v>
      </c>
      <c r="AH127" s="19">
        <v>3.3051999999999998E-2</v>
      </c>
    </row>
    <row r="128" spans="1:34" ht="15" customHeight="1" x14ac:dyDescent="0.3">
      <c r="A128" s="6" t="s">
        <v>176</v>
      </c>
      <c r="B128" s="17" t="s">
        <v>76</v>
      </c>
      <c r="C128" s="22">
        <v>8.8440189999999994</v>
      </c>
      <c r="D128" s="22">
        <v>7.0218069999999999</v>
      </c>
      <c r="E128" s="22">
        <v>7.3667499999999997</v>
      </c>
      <c r="F128" s="22">
        <v>8.5520800000000001</v>
      </c>
      <c r="G128" s="22">
        <v>9.9079580000000007</v>
      </c>
      <c r="H128" s="22">
        <v>10.215197</v>
      </c>
      <c r="I128" s="22">
        <v>10.814889000000001</v>
      </c>
      <c r="J128" s="22">
        <v>11.684661999999999</v>
      </c>
      <c r="K128" s="22">
        <v>12.157301</v>
      </c>
      <c r="L128" s="22">
        <v>13.363315999999999</v>
      </c>
      <c r="M128" s="22">
        <v>14.211387</v>
      </c>
      <c r="N128" s="22">
        <v>14.329101</v>
      </c>
      <c r="O128" s="22">
        <v>15.116942</v>
      </c>
      <c r="P128" s="22">
        <v>15.719272999999999</v>
      </c>
      <c r="Q128" s="22">
        <v>16.669592000000002</v>
      </c>
      <c r="R128" s="22">
        <v>16.616427999999999</v>
      </c>
      <c r="S128" s="22">
        <v>17.175011000000001</v>
      </c>
      <c r="T128" s="22">
        <v>17.795501999999999</v>
      </c>
      <c r="U128" s="22">
        <v>18.493887000000001</v>
      </c>
      <c r="V128" s="22">
        <v>19.110384</v>
      </c>
      <c r="W128" s="22">
        <v>19.854156</v>
      </c>
      <c r="X128" s="22">
        <v>20.391876</v>
      </c>
      <c r="Y128" s="22">
        <v>21.247944</v>
      </c>
      <c r="Z128" s="22">
        <v>22.277329999999999</v>
      </c>
      <c r="AA128" s="22">
        <v>23.334541000000002</v>
      </c>
      <c r="AB128" s="22">
        <v>23.878094000000001</v>
      </c>
      <c r="AC128" s="22">
        <v>25.532112000000001</v>
      </c>
      <c r="AD128" s="22">
        <v>26.373415000000001</v>
      </c>
      <c r="AE128" s="22">
        <v>27.187548</v>
      </c>
      <c r="AF128" s="22">
        <v>28.273959999999999</v>
      </c>
      <c r="AG128" s="22">
        <v>29.524448</v>
      </c>
      <c r="AH128" s="19">
        <v>4.1001000000000003E-2</v>
      </c>
    </row>
    <row r="129" spans="1:34" ht="15" customHeight="1" x14ac:dyDescent="0.3">
      <c r="A129" s="6" t="s">
        <v>177</v>
      </c>
      <c r="B129" s="17" t="s">
        <v>69</v>
      </c>
      <c r="C129" s="22">
        <v>4.5302720000000001</v>
      </c>
      <c r="D129" s="22">
        <v>5.5875709999999996</v>
      </c>
      <c r="E129" s="22">
        <v>5.5229119999999998</v>
      </c>
      <c r="F129" s="22">
        <v>5.1397599999999999</v>
      </c>
      <c r="G129" s="22">
        <v>4.8598800000000004</v>
      </c>
      <c r="H129" s="22">
        <v>4.862088</v>
      </c>
      <c r="I129" s="22">
        <v>4.9881469999999997</v>
      </c>
      <c r="J129" s="22">
        <v>5.2028150000000002</v>
      </c>
      <c r="K129" s="22">
        <v>5.4212360000000004</v>
      </c>
      <c r="L129" s="22">
        <v>5.6957190000000004</v>
      </c>
      <c r="M129" s="22">
        <v>6.0383839999999998</v>
      </c>
      <c r="N129" s="22">
        <v>6.2511049999999999</v>
      </c>
      <c r="O129" s="22">
        <v>6.4583269999999997</v>
      </c>
      <c r="P129" s="22">
        <v>6.6905539999999997</v>
      </c>
      <c r="Q129" s="22">
        <v>6.8544989999999997</v>
      </c>
      <c r="R129" s="22">
        <v>6.9979750000000003</v>
      </c>
      <c r="S129" s="22">
        <v>7.1529829999999999</v>
      </c>
      <c r="T129" s="22">
        <v>7.2744369999999998</v>
      </c>
      <c r="U129" s="22">
        <v>7.389812</v>
      </c>
      <c r="V129" s="22">
        <v>7.4991159999999999</v>
      </c>
      <c r="W129" s="22">
        <v>7.6315569999999999</v>
      </c>
      <c r="X129" s="22">
        <v>7.7947749999999996</v>
      </c>
      <c r="Y129" s="22">
        <v>7.9652430000000001</v>
      </c>
      <c r="Z129" s="22">
        <v>8.1088290000000001</v>
      </c>
      <c r="AA129" s="22">
        <v>8.2956299999999992</v>
      </c>
      <c r="AB129" s="22">
        <v>8.4531189999999992</v>
      </c>
      <c r="AC129" s="22">
        <v>8.644584</v>
      </c>
      <c r="AD129" s="22">
        <v>8.8776840000000004</v>
      </c>
      <c r="AE129" s="22">
        <v>9.0369460000000004</v>
      </c>
      <c r="AF129" s="22">
        <v>9.233689</v>
      </c>
      <c r="AG129" s="22">
        <v>9.5093969999999999</v>
      </c>
      <c r="AH129" s="19">
        <v>2.5024999999999999E-2</v>
      </c>
    </row>
    <row r="130" spans="1:34" ht="15" customHeight="1" x14ac:dyDescent="0.3">
      <c r="A130" s="6" t="s">
        <v>178</v>
      </c>
      <c r="B130" s="17" t="s">
        <v>86</v>
      </c>
      <c r="C130" s="22">
        <v>4.0174000000000003</v>
      </c>
      <c r="D130" s="22">
        <v>3.6369050000000001</v>
      </c>
      <c r="E130" s="22">
        <v>3.4306429999999999</v>
      </c>
      <c r="F130" s="22">
        <v>3.3225259999999999</v>
      </c>
      <c r="G130" s="22">
        <v>3.2839369999999999</v>
      </c>
      <c r="H130" s="22">
        <v>3.3048980000000001</v>
      </c>
      <c r="I130" s="22">
        <v>3.3434870000000001</v>
      </c>
      <c r="J130" s="22">
        <v>3.4211800000000001</v>
      </c>
      <c r="K130" s="22">
        <v>3.5239240000000001</v>
      </c>
      <c r="L130" s="22">
        <v>3.6599599999999999</v>
      </c>
      <c r="M130" s="22">
        <v>3.8095210000000002</v>
      </c>
      <c r="N130" s="22">
        <v>3.9694959999999999</v>
      </c>
      <c r="O130" s="22">
        <v>4.1300129999999999</v>
      </c>
      <c r="P130" s="22">
        <v>4.2884950000000002</v>
      </c>
      <c r="Q130" s="22">
        <v>4.4437040000000003</v>
      </c>
      <c r="R130" s="22">
        <v>4.5997649999999997</v>
      </c>
      <c r="S130" s="22">
        <v>4.7565150000000003</v>
      </c>
      <c r="T130" s="22">
        <v>4.9175829999999996</v>
      </c>
      <c r="U130" s="22">
        <v>5.0830500000000001</v>
      </c>
      <c r="V130" s="22">
        <v>5.2483069999999996</v>
      </c>
      <c r="W130" s="22">
        <v>5.4215150000000003</v>
      </c>
      <c r="X130" s="22">
        <v>5.6022369999999997</v>
      </c>
      <c r="Y130" s="22">
        <v>5.7939860000000003</v>
      </c>
      <c r="Z130" s="22">
        <v>5.9997759999999998</v>
      </c>
      <c r="AA130" s="22">
        <v>6.218966</v>
      </c>
      <c r="AB130" s="22">
        <v>6.4488289999999999</v>
      </c>
      <c r="AC130" s="22">
        <v>6.6890320000000001</v>
      </c>
      <c r="AD130" s="22">
        <v>6.9374320000000003</v>
      </c>
      <c r="AE130" s="22">
        <v>7.1975020000000001</v>
      </c>
      <c r="AF130" s="22">
        <v>7.4734619999999996</v>
      </c>
      <c r="AG130" s="22">
        <v>7.7718850000000002</v>
      </c>
      <c r="AH130" s="19">
        <v>2.2239999999999999E-2</v>
      </c>
    </row>
    <row r="131" spans="1:34" ht="15" customHeight="1" x14ac:dyDescent="0.3">
      <c r="A131" s="6" t="s">
        <v>179</v>
      </c>
      <c r="B131" s="17" t="s">
        <v>125</v>
      </c>
      <c r="C131" s="22">
        <v>1.9738340000000001</v>
      </c>
      <c r="D131" s="22">
        <v>2.0591179999999998</v>
      </c>
      <c r="E131" s="22">
        <v>2.089343</v>
      </c>
      <c r="F131" s="22">
        <v>2.0546129999999998</v>
      </c>
      <c r="G131" s="22">
        <v>2.0692949999999999</v>
      </c>
      <c r="H131" s="22">
        <v>2.0582370000000001</v>
      </c>
      <c r="I131" s="22">
        <v>2.0881639999999999</v>
      </c>
      <c r="J131" s="22">
        <v>2.1317979999999999</v>
      </c>
      <c r="K131" s="22">
        <v>2.149419</v>
      </c>
      <c r="L131" s="22">
        <v>2.2069420000000002</v>
      </c>
      <c r="M131" s="22">
        <v>2.2687400000000002</v>
      </c>
      <c r="N131" s="22">
        <v>2.342994</v>
      </c>
      <c r="O131" s="22">
        <v>2.3823919999999998</v>
      </c>
      <c r="P131" s="22">
        <v>2.4295939999999998</v>
      </c>
      <c r="Q131" s="22">
        <v>2.488966</v>
      </c>
      <c r="R131" s="22">
        <v>2.5376219999999998</v>
      </c>
      <c r="S131" s="22">
        <v>2.5890939999999998</v>
      </c>
      <c r="T131" s="22">
        <v>2.6515049999999998</v>
      </c>
      <c r="U131" s="22">
        <v>2.735449</v>
      </c>
      <c r="V131" s="22">
        <v>2.7939340000000001</v>
      </c>
      <c r="W131" s="22">
        <v>2.8592879999999998</v>
      </c>
      <c r="X131" s="22">
        <v>2.9262000000000001</v>
      </c>
      <c r="Y131" s="22">
        <v>2.991965</v>
      </c>
      <c r="Z131" s="22">
        <v>3.0657760000000001</v>
      </c>
      <c r="AA131" s="22">
        <v>3.1433279999999999</v>
      </c>
      <c r="AB131" s="22">
        <v>3.22506</v>
      </c>
      <c r="AC131" s="22">
        <v>3.3112080000000002</v>
      </c>
      <c r="AD131" s="22">
        <v>3.4005830000000001</v>
      </c>
      <c r="AE131" s="22">
        <v>3.4826510000000002</v>
      </c>
      <c r="AF131" s="22">
        <v>3.582576</v>
      </c>
      <c r="AG131" s="22">
        <v>3.685546</v>
      </c>
      <c r="AH131" s="19">
        <v>2.1033E-2</v>
      </c>
    </row>
    <row r="132" spans="1:34" ht="15" customHeight="1" x14ac:dyDescent="0.3">
      <c r="A132" s="6" t="s">
        <v>180</v>
      </c>
      <c r="B132" s="17" t="s">
        <v>90</v>
      </c>
      <c r="C132" s="19" t="s">
        <v>91</v>
      </c>
      <c r="D132" s="19" t="s">
        <v>91</v>
      </c>
      <c r="E132" s="19" t="s">
        <v>91</v>
      </c>
      <c r="F132" s="19" t="s">
        <v>91</v>
      </c>
      <c r="G132" s="19" t="s">
        <v>91</v>
      </c>
      <c r="H132" s="19" t="s">
        <v>91</v>
      </c>
      <c r="I132" s="19" t="s">
        <v>91</v>
      </c>
      <c r="J132" s="19" t="s">
        <v>91</v>
      </c>
      <c r="K132" s="19" t="s">
        <v>91</v>
      </c>
      <c r="L132" s="19" t="s">
        <v>91</v>
      </c>
      <c r="M132" s="19" t="s">
        <v>91</v>
      </c>
      <c r="N132" s="19" t="s">
        <v>91</v>
      </c>
      <c r="O132" s="19" t="s">
        <v>91</v>
      </c>
      <c r="P132" s="19" t="s">
        <v>91</v>
      </c>
      <c r="Q132" s="19" t="s">
        <v>91</v>
      </c>
      <c r="R132" s="19" t="s">
        <v>91</v>
      </c>
      <c r="S132" s="19" t="s">
        <v>91</v>
      </c>
      <c r="T132" s="19" t="s">
        <v>91</v>
      </c>
      <c r="U132" s="19" t="s">
        <v>91</v>
      </c>
      <c r="V132" s="19" t="s">
        <v>91</v>
      </c>
      <c r="W132" s="19" t="s">
        <v>91</v>
      </c>
      <c r="X132" s="19" t="s">
        <v>91</v>
      </c>
      <c r="Y132" s="19" t="s">
        <v>91</v>
      </c>
      <c r="Z132" s="19" t="s">
        <v>91</v>
      </c>
      <c r="AA132" s="19" t="s">
        <v>91</v>
      </c>
      <c r="AB132" s="19" t="s">
        <v>91</v>
      </c>
      <c r="AC132" s="19" t="s">
        <v>91</v>
      </c>
      <c r="AD132" s="19" t="s">
        <v>91</v>
      </c>
      <c r="AE132" s="19" t="s">
        <v>91</v>
      </c>
      <c r="AF132" s="19" t="s">
        <v>91</v>
      </c>
      <c r="AG132" s="19" t="s">
        <v>91</v>
      </c>
      <c r="AH132" s="19" t="s">
        <v>91</v>
      </c>
    </row>
    <row r="133" spans="1:34" ht="15" customHeight="1" x14ac:dyDescent="0.3">
      <c r="A133" s="6" t="s">
        <v>181</v>
      </c>
      <c r="B133" s="17" t="s">
        <v>71</v>
      </c>
      <c r="C133" s="22">
        <v>30.523893000000001</v>
      </c>
      <c r="D133" s="22">
        <v>31.401592000000001</v>
      </c>
      <c r="E133" s="22">
        <v>31.325438999999999</v>
      </c>
      <c r="F133" s="22">
        <v>31.138731</v>
      </c>
      <c r="G133" s="22">
        <v>31.206337000000001</v>
      </c>
      <c r="H133" s="22">
        <v>31.590336000000001</v>
      </c>
      <c r="I133" s="22">
        <v>32.197968000000003</v>
      </c>
      <c r="J133" s="22">
        <v>33.016514000000001</v>
      </c>
      <c r="K133" s="22">
        <v>33.883274</v>
      </c>
      <c r="L133" s="22">
        <v>34.833385</v>
      </c>
      <c r="M133" s="22">
        <v>35.826816999999998</v>
      </c>
      <c r="N133" s="22">
        <v>37.004886999999997</v>
      </c>
      <c r="O133" s="22">
        <v>38.002856999999999</v>
      </c>
      <c r="P133" s="22">
        <v>39.005702999999997</v>
      </c>
      <c r="Q133" s="22">
        <v>39.885941000000003</v>
      </c>
      <c r="R133" s="22">
        <v>40.676127999999999</v>
      </c>
      <c r="S133" s="22">
        <v>41.448872000000001</v>
      </c>
      <c r="T133" s="22">
        <v>42.224921999999999</v>
      </c>
      <c r="U133" s="22">
        <v>43.051040999999998</v>
      </c>
      <c r="V133" s="22">
        <v>43.845672999999998</v>
      </c>
      <c r="W133" s="22">
        <v>44.67915</v>
      </c>
      <c r="X133" s="22">
        <v>45.556038000000001</v>
      </c>
      <c r="Y133" s="22">
        <v>46.436737000000001</v>
      </c>
      <c r="Z133" s="22">
        <v>47.337364000000001</v>
      </c>
      <c r="AA133" s="22">
        <v>48.323822</v>
      </c>
      <c r="AB133" s="22">
        <v>49.375931000000001</v>
      </c>
      <c r="AC133" s="22">
        <v>50.441921000000001</v>
      </c>
      <c r="AD133" s="22">
        <v>51.535099000000002</v>
      </c>
      <c r="AE133" s="22">
        <v>52.582680000000003</v>
      </c>
      <c r="AF133" s="22">
        <v>53.58231</v>
      </c>
      <c r="AG133" s="22">
        <v>54.707943</v>
      </c>
      <c r="AH133" s="19">
        <v>1.9640000000000001E-2</v>
      </c>
    </row>
    <row r="135" spans="1:34" ht="15" customHeight="1" x14ac:dyDescent="0.3">
      <c r="B135" s="16" t="s">
        <v>128</v>
      </c>
    </row>
    <row r="136" spans="1:34" ht="15" customHeight="1" x14ac:dyDescent="0.3">
      <c r="B136" s="16" t="s">
        <v>182</v>
      </c>
    </row>
    <row r="137" spans="1:34" ht="15" customHeight="1" x14ac:dyDescent="0.3">
      <c r="A137" s="6" t="s">
        <v>183</v>
      </c>
      <c r="B137" s="17" t="s">
        <v>63</v>
      </c>
      <c r="C137" s="18">
        <v>246.62069700000001</v>
      </c>
      <c r="D137" s="18">
        <v>255.80079699999999</v>
      </c>
      <c r="E137" s="18">
        <v>257.61743200000001</v>
      </c>
      <c r="F137" s="18">
        <v>258.76242100000002</v>
      </c>
      <c r="G137" s="18">
        <v>261.37207000000001</v>
      </c>
      <c r="H137" s="18">
        <v>267.19897500000002</v>
      </c>
      <c r="I137" s="18">
        <v>275.17532299999999</v>
      </c>
      <c r="J137" s="18">
        <v>284.555634</v>
      </c>
      <c r="K137" s="18">
        <v>294.33792099999999</v>
      </c>
      <c r="L137" s="18">
        <v>305.25448599999999</v>
      </c>
      <c r="M137" s="18">
        <v>318.01129200000003</v>
      </c>
      <c r="N137" s="18">
        <v>329.85592700000001</v>
      </c>
      <c r="O137" s="18">
        <v>341.28250100000002</v>
      </c>
      <c r="P137" s="18">
        <v>352.56900000000002</v>
      </c>
      <c r="Q137" s="18">
        <v>363.37063599999999</v>
      </c>
      <c r="R137" s="18">
        <v>373.40228300000001</v>
      </c>
      <c r="S137" s="18">
        <v>383.75924700000002</v>
      </c>
      <c r="T137" s="18">
        <v>394.45114100000001</v>
      </c>
      <c r="U137" s="18">
        <v>405.31100500000002</v>
      </c>
      <c r="V137" s="18">
        <v>415.91018700000001</v>
      </c>
      <c r="W137" s="18">
        <v>427.207672</v>
      </c>
      <c r="X137" s="18">
        <v>439.13110399999999</v>
      </c>
      <c r="Y137" s="18">
        <v>451.40689099999997</v>
      </c>
      <c r="Z137" s="18">
        <v>464.08691399999998</v>
      </c>
      <c r="AA137" s="18">
        <v>477.81366000000003</v>
      </c>
      <c r="AB137" s="18">
        <v>492.470123</v>
      </c>
      <c r="AC137" s="18">
        <v>507.32486</v>
      </c>
      <c r="AD137" s="18">
        <v>522.68890399999998</v>
      </c>
      <c r="AE137" s="18">
        <v>538.02062999999998</v>
      </c>
      <c r="AF137" s="18">
        <v>553.72900400000003</v>
      </c>
      <c r="AG137" s="18">
        <v>570.87591599999996</v>
      </c>
      <c r="AH137" s="19">
        <v>2.8372000000000001E-2</v>
      </c>
    </row>
    <row r="138" spans="1:34" ht="15" customHeight="1" x14ac:dyDescent="0.3">
      <c r="A138" s="6" t="s">
        <v>184</v>
      </c>
      <c r="B138" s="17" t="s">
        <v>72</v>
      </c>
      <c r="C138" s="18">
        <v>173.48147599999999</v>
      </c>
      <c r="D138" s="18">
        <v>183.02415500000001</v>
      </c>
      <c r="E138" s="18">
        <v>186.87725800000001</v>
      </c>
      <c r="F138" s="18">
        <v>188.97373999999999</v>
      </c>
      <c r="G138" s="18">
        <v>192.49041700000001</v>
      </c>
      <c r="H138" s="18">
        <v>198.609543</v>
      </c>
      <c r="I138" s="18">
        <v>203.37295499999999</v>
      </c>
      <c r="J138" s="18">
        <v>209.97473099999999</v>
      </c>
      <c r="K138" s="18">
        <v>216.540817</v>
      </c>
      <c r="L138" s="18">
        <v>223.86312899999999</v>
      </c>
      <c r="M138" s="18">
        <v>232.43287699999999</v>
      </c>
      <c r="N138" s="18">
        <v>240.520264</v>
      </c>
      <c r="O138" s="18">
        <v>248.123535</v>
      </c>
      <c r="P138" s="18">
        <v>256.13848899999999</v>
      </c>
      <c r="Q138" s="18">
        <v>263.36645499999997</v>
      </c>
      <c r="R138" s="18">
        <v>269.75793499999997</v>
      </c>
      <c r="S138" s="18">
        <v>276.251801</v>
      </c>
      <c r="T138" s="18">
        <v>283.28701799999999</v>
      </c>
      <c r="U138" s="18">
        <v>290.54333500000001</v>
      </c>
      <c r="V138" s="18">
        <v>297.55313100000001</v>
      </c>
      <c r="W138" s="18">
        <v>305.15441900000002</v>
      </c>
      <c r="X138" s="18">
        <v>313.40475500000002</v>
      </c>
      <c r="Y138" s="18">
        <v>321.76483200000001</v>
      </c>
      <c r="Z138" s="18">
        <v>330.82919299999998</v>
      </c>
      <c r="AA138" s="18">
        <v>340.48788500000001</v>
      </c>
      <c r="AB138" s="18">
        <v>350.97464000000002</v>
      </c>
      <c r="AC138" s="18">
        <v>361.76419099999998</v>
      </c>
      <c r="AD138" s="18">
        <v>373.12158199999999</v>
      </c>
      <c r="AE138" s="18">
        <v>384.49447600000002</v>
      </c>
      <c r="AF138" s="18">
        <v>396.546448</v>
      </c>
      <c r="AG138" s="18">
        <v>409.927277</v>
      </c>
      <c r="AH138" s="19">
        <v>2.9078E-2</v>
      </c>
    </row>
    <row r="139" spans="1:34" ht="15" customHeight="1" x14ac:dyDescent="0.3">
      <c r="A139" s="6" t="s">
        <v>185</v>
      </c>
      <c r="B139" s="17" t="s">
        <v>79</v>
      </c>
      <c r="C139" s="18">
        <v>151.848038</v>
      </c>
      <c r="D139" s="18">
        <v>166.85661300000001</v>
      </c>
      <c r="E139" s="18">
        <v>173.94603000000001</v>
      </c>
      <c r="F139" s="18">
        <v>177.06886299999999</v>
      </c>
      <c r="G139" s="18">
        <v>181.897842</v>
      </c>
      <c r="H139" s="18">
        <v>189.09188800000001</v>
      </c>
      <c r="I139" s="18">
        <v>196.28439299999999</v>
      </c>
      <c r="J139" s="18">
        <v>206.37275700000001</v>
      </c>
      <c r="K139" s="18">
        <v>217.32785000000001</v>
      </c>
      <c r="L139" s="18">
        <v>229.06736799999999</v>
      </c>
      <c r="M139" s="18">
        <v>242.54399100000001</v>
      </c>
      <c r="N139" s="18">
        <v>255.30445900000001</v>
      </c>
      <c r="O139" s="18">
        <v>267.75308200000001</v>
      </c>
      <c r="P139" s="18">
        <v>278.97467</v>
      </c>
      <c r="Q139" s="18">
        <v>290.66467299999999</v>
      </c>
      <c r="R139" s="18">
        <v>302.03717</v>
      </c>
      <c r="S139" s="18">
        <v>312.88336199999998</v>
      </c>
      <c r="T139" s="18">
        <v>326.04302999999999</v>
      </c>
      <c r="U139" s="18">
        <v>338.82345600000002</v>
      </c>
      <c r="V139" s="18">
        <v>348.84307899999999</v>
      </c>
      <c r="W139" s="18">
        <v>361.77819799999997</v>
      </c>
      <c r="X139" s="18">
        <v>375.87185699999998</v>
      </c>
      <c r="Y139" s="18">
        <v>390.59991500000001</v>
      </c>
      <c r="Z139" s="18">
        <v>405.654968</v>
      </c>
      <c r="AA139" s="18">
        <v>422.855255</v>
      </c>
      <c r="AB139" s="18">
        <v>440.764252</v>
      </c>
      <c r="AC139" s="18">
        <v>458.49368299999998</v>
      </c>
      <c r="AD139" s="18">
        <v>476.653931</v>
      </c>
      <c r="AE139" s="18">
        <v>494.37823500000002</v>
      </c>
      <c r="AF139" s="18">
        <v>515.94451900000001</v>
      </c>
      <c r="AG139" s="18">
        <v>539.83850099999995</v>
      </c>
      <c r="AH139" s="19">
        <v>4.3186000000000002E-2</v>
      </c>
    </row>
    <row r="140" spans="1:34" ht="15" customHeight="1" x14ac:dyDescent="0.3">
      <c r="A140" s="6" t="s">
        <v>186</v>
      </c>
      <c r="B140" s="17" t="s">
        <v>93</v>
      </c>
      <c r="C140" s="18">
        <v>411.84991500000001</v>
      </c>
      <c r="D140" s="18">
        <v>452.67895499999997</v>
      </c>
      <c r="E140" s="18">
        <v>475.71450800000002</v>
      </c>
      <c r="F140" s="18">
        <v>494.534088</v>
      </c>
      <c r="G140" s="18">
        <v>507.84201000000002</v>
      </c>
      <c r="H140" s="18">
        <v>519.31005900000002</v>
      </c>
      <c r="I140" s="18">
        <v>534.63848900000005</v>
      </c>
      <c r="J140" s="18">
        <v>560.91351299999997</v>
      </c>
      <c r="K140" s="18">
        <v>581.36737100000005</v>
      </c>
      <c r="L140" s="18">
        <v>605.11321999999996</v>
      </c>
      <c r="M140" s="18">
        <v>646.220642</v>
      </c>
      <c r="N140" s="18">
        <v>662.52410899999995</v>
      </c>
      <c r="O140" s="18">
        <v>688.55419900000004</v>
      </c>
      <c r="P140" s="18">
        <v>711.28143299999999</v>
      </c>
      <c r="Q140" s="18">
        <v>739.76507600000002</v>
      </c>
      <c r="R140" s="18">
        <v>750.87200900000005</v>
      </c>
      <c r="S140" s="18">
        <v>770.01312299999995</v>
      </c>
      <c r="T140" s="18">
        <v>796.90972899999997</v>
      </c>
      <c r="U140" s="18">
        <v>824.52233899999999</v>
      </c>
      <c r="V140" s="18">
        <v>844.26873799999998</v>
      </c>
      <c r="W140" s="18">
        <v>876.31274399999995</v>
      </c>
      <c r="X140" s="18">
        <v>906.14294400000006</v>
      </c>
      <c r="Y140" s="18">
        <v>933.17486599999995</v>
      </c>
      <c r="Z140" s="18">
        <v>966.29278599999998</v>
      </c>
      <c r="AA140" s="18">
        <v>1003.015503</v>
      </c>
      <c r="AB140" s="18">
        <v>1043.7624510000001</v>
      </c>
      <c r="AC140" s="18">
        <v>1081.7639160000001</v>
      </c>
      <c r="AD140" s="18">
        <v>1120.1831050000001</v>
      </c>
      <c r="AE140" s="18">
        <v>1159.5272219999999</v>
      </c>
      <c r="AF140" s="18">
        <v>1206.3210449999999</v>
      </c>
      <c r="AG140" s="18">
        <v>1255.4941409999999</v>
      </c>
      <c r="AH140" s="19">
        <v>3.7852999999999998E-2</v>
      </c>
    </row>
    <row r="141" spans="1:34" ht="14.4" x14ac:dyDescent="0.3">
      <c r="A141" s="6" t="s">
        <v>187</v>
      </c>
      <c r="B141" s="17" t="s">
        <v>135</v>
      </c>
      <c r="C141" s="18">
        <v>983.80011000000002</v>
      </c>
      <c r="D141" s="18">
        <v>1058.3604740000001</v>
      </c>
      <c r="E141" s="18">
        <v>1094.1552730000001</v>
      </c>
      <c r="F141" s="18">
        <v>1119.339111</v>
      </c>
      <c r="G141" s="18">
        <v>1143.6022949999999</v>
      </c>
      <c r="H141" s="18">
        <v>1174.2104489999999</v>
      </c>
      <c r="I141" s="18">
        <v>1209.4710689999999</v>
      </c>
      <c r="J141" s="18">
        <v>1261.81665</v>
      </c>
      <c r="K141" s="18">
        <v>1309.5738530000001</v>
      </c>
      <c r="L141" s="18">
        <v>1363.2982179999999</v>
      </c>
      <c r="M141" s="18">
        <v>1439.2089840000001</v>
      </c>
      <c r="N141" s="18">
        <v>1488.2048339999999</v>
      </c>
      <c r="O141" s="18">
        <v>1545.713135</v>
      </c>
      <c r="P141" s="18">
        <v>1598.9636230000001</v>
      </c>
      <c r="Q141" s="18">
        <v>1657.16687</v>
      </c>
      <c r="R141" s="18">
        <v>1696.0694579999999</v>
      </c>
      <c r="S141" s="18">
        <v>1742.9075929999999</v>
      </c>
      <c r="T141" s="18">
        <v>1800.690918</v>
      </c>
      <c r="U141" s="18">
        <v>1859.2001949999999</v>
      </c>
      <c r="V141" s="18">
        <v>1906.575317</v>
      </c>
      <c r="W141" s="18">
        <v>1970.4528809999999</v>
      </c>
      <c r="X141" s="18">
        <v>2034.5507809999999</v>
      </c>
      <c r="Y141" s="18">
        <v>2096.9465329999998</v>
      </c>
      <c r="Z141" s="18">
        <v>2166.8637699999999</v>
      </c>
      <c r="AA141" s="18">
        <v>2244.1723630000001</v>
      </c>
      <c r="AB141" s="18">
        <v>2327.9714359999998</v>
      </c>
      <c r="AC141" s="18">
        <v>2409.3464359999998</v>
      </c>
      <c r="AD141" s="18">
        <v>2492.647461</v>
      </c>
      <c r="AE141" s="18">
        <v>2576.4204100000002</v>
      </c>
      <c r="AF141" s="18">
        <v>2672.5410160000001</v>
      </c>
      <c r="AG141" s="18">
        <v>2776.1359859999998</v>
      </c>
      <c r="AH141" s="19">
        <v>3.5185000000000001E-2</v>
      </c>
    </row>
    <row r="142" spans="1:34" ht="14.4" x14ac:dyDescent="0.3">
      <c r="A142" s="6" t="s">
        <v>188</v>
      </c>
      <c r="B142" s="17" t="s">
        <v>137</v>
      </c>
      <c r="C142" s="18">
        <v>0.64150499999999999</v>
      </c>
      <c r="D142" s="18">
        <v>0.73196899999999998</v>
      </c>
      <c r="E142" s="18">
        <v>0.748166</v>
      </c>
      <c r="F142" s="18">
        <v>0.77386600000000005</v>
      </c>
      <c r="G142" s="18">
        <v>0.777281</v>
      </c>
      <c r="H142" s="18">
        <v>0.78120599999999996</v>
      </c>
      <c r="I142" s="18">
        <v>0.78976400000000002</v>
      </c>
      <c r="J142" s="18">
        <v>0.81530599999999998</v>
      </c>
      <c r="K142" s="18">
        <v>0.83235499999999996</v>
      </c>
      <c r="L142" s="18">
        <v>0.85396799999999995</v>
      </c>
      <c r="M142" s="18">
        <v>0.90002700000000002</v>
      </c>
      <c r="N142" s="18">
        <v>0.91003599999999996</v>
      </c>
      <c r="O142" s="18">
        <v>0.93457400000000002</v>
      </c>
      <c r="P142" s="18">
        <v>0.95803199999999999</v>
      </c>
      <c r="Q142" s="18">
        <v>0.99452200000000002</v>
      </c>
      <c r="R142" s="18">
        <v>1.0069669999999999</v>
      </c>
      <c r="S142" s="18">
        <v>1.034923</v>
      </c>
      <c r="T142" s="18">
        <v>1.074479</v>
      </c>
      <c r="U142" s="18">
        <v>1.1149500000000001</v>
      </c>
      <c r="V142" s="18">
        <v>1.15229</v>
      </c>
      <c r="W142" s="18">
        <v>1.1995480000000001</v>
      </c>
      <c r="X142" s="18">
        <v>1.24983</v>
      </c>
      <c r="Y142" s="18">
        <v>1.294473</v>
      </c>
      <c r="Z142" s="18">
        <v>1.3485780000000001</v>
      </c>
      <c r="AA142" s="18">
        <v>1.4108700000000001</v>
      </c>
      <c r="AB142" s="18">
        <v>1.4766900000000001</v>
      </c>
      <c r="AC142" s="18">
        <v>1.539188</v>
      </c>
      <c r="AD142" s="18">
        <v>1.6112310000000001</v>
      </c>
      <c r="AE142" s="18">
        <v>1.68126</v>
      </c>
      <c r="AF142" s="18">
        <v>1.7686409999999999</v>
      </c>
      <c r="AG142" s="18">
        <v>1.8596200000000001</v>
      </c>
      <c r="AH142" s="19">
        <v>3.6114E-2</v>
      </c>
    </row>
    <row r="143" spans="1:34" ht="14.4" x14ac:dyDescent="0.3">
      <c r="A143" s="6" t="s">
        <v>189</v>
      </c>
      <c r="B143" s="16" t="s">
        <v>139</v>
      </c>
      <c r="C143" s="20">
        <v>984.44158900000002</v>
      </c>
      <c r="D143" s="20">
        <v>1059.0924070000001</v>
      </c>
      <c r="E143" s="20">
        <v>1094.903564</v>
      </c>
      <c r="F143" s="20">
        <v>1120.1130370000001</v>
      </c>
      <c r="G143" s="20">
        <v>1144.379639</v>
      </c>
      <c r="H143" s="20">
        <v>1174.9918210000001</v>
      </c>
      <c r="I143" s="20">
        <v>1210.260986</v>
      </c>
      <c r="J143" s="20">
        <v>1262.631836</v>
      </c>
      <c r="K143" s="20">
        <v>1310.40625</v>
      </c>
      <c r="L143" s="20">
        <v>1364.1523440000001</v>
      </c>
      <c r="M143" s="20">
        <v>1440.109009</v>
      </c>
      <c r="N143" s="20">
        <v>1489.114746</v>
      </c>
      <c r="O143" s="20">
        <v>1546.6475829999999</v>
      </c>
      <c r="P143" s="20">
        <v>1599.9216309999999</v>
      </c>
      <c r="Q143" s="20">
        <v>1658.161255</v>
      </c>
      <c r="R143" s="20">
        <v>1697.076538</v>
      </c>
      <c r="S143" s="20">
        <v>1743.942505</v>
      </c>
      <c r="T143" s="20">
        <v>1801.7655030000001</v>
      </c>
      <c r="U143" s="20">
        <v>1860.315186</v>
      </c>
      <c r="V143" s="20">
        <v>1907.727539</v>
      </c>
      <c r="W143" s="20">
        <v>1971.652466</v>
      </c>
      <c r="X143" s="20">
        <v>2035.8005370000001</v>
      </c>
      <c r="Y143" s="20">
        <v>2098.2409670000002</v>
      </c>
      <c r="Z143" s="20">
        <v>2168.2126459999999</v>
      </c>
      <c r="AA143" s="20">
        <v>2245.5832519999999</v>
      </c>
      <c r="AB143" s="20">
        <v>2329.4479980000001</v>
      </c>
      <c r="AC143" s="20">
        <v>2410.8857419999999</v>
      </c>
      <c r="AD143" s="20">
        <v>2494.2585450000001</v>
      </c>
      <c r="AE143" s="20">
        <v>2578.101807</v>
      </c>
      <c r="AF143" s="20">
        <v>2674.3098140000002</v>
      </c>
      <c r="AG143" s="20">
        <v>2777.9956050000001</v>
      </c>
      <c r="AH143" s="21">
        <v>3.5185000000000001E-2</v>
      </c>
    </row>
    <row r="145" spans="2:34" thickBot="1" x14ac:dyDescent="0.35"/>
    <row r="146" spans="2:34" ht="14.4" x14ac:dyDescent="0.3">
      <c r="B146" s="66" t="s">
        <v>213</v>
      </c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27"/>
    </row>
    <row r="147" spans="2:34" ht="14.4" x14ac:dyDescent="0.3">
      <c r="B147" s="7" t="s">
        <v>191</v>
      </c>
    </row>
    <row r="148" spans="2:34" ht="14.4" x14ac:dyDescent="0.3">
      <c r="B148" s="7" t="s">
        <v>233</v>
      </c>
    </row>
    <row r="149" spans="2:34" ht="14.4" x14ac:dyDescent="0.3">
      <c r="B149" s="7" t="s">
        <v>215</v>
      </c>
    </row>
    <row r="150" spans="2:34" ht="15" customHeight="1" x14ac:dyDescent="0.3">
      <c r="B150" s="7" t="s">
        <v>194</v>
      </c>
    </row>
    <row r="151" spans="2:34" ht="15" customHeight="1" x14ac:dyDescent="0.3">
      <c r="B151" s="7" t="s">
        <v>216</v>
      </c>
    </row>
    <row r="152" spans="2:34" ht="15" customHeight="1" x14ac:dyDescent="0.3">
      <c r="B152" s="7" t="s">
        <v>217</v>
      </c>
    </row>
    <row r="153" spans="2:34" ht="15" customHeight="1" x14ac:dyDescent="0.3">
      <c r="B153" s="7" t="s">
        <v>197</v>
      </c>
    </row>
    <row r="154" spans="2:34" ht="15" customHeight="1" x14ac:dyDescent="0.3">
      <c r="B154" s="7" t="s">
        <v>198</v>
      </c>
    </row>
    <row r="155" spans="2:34" ht="15" customHeight="1" x14ac:dyDescent="0.3">
      <c r="B155" s="7" t="s">
        <v>218</v>
      </c>
    </row>
    <row r="156" spans="2:34" ht="15" customHeight="1" x14ac:dyDescent="0.3">
      <c r="B156" s="7" t="s">
        <v>200</v>
      </c>
    </row>
    <row r="157" spans="2:34" ht="15" customHeight="1" x14ac:dyDescent="0.3">
      <c r="B157" s="7" t="s">
        <v>201</v>
      </c>
    </row>
    <row r="158" spans="2:34" ht="15" customHeight="1" x14ac:dyDescent="0.3">
      <c r="B158" s="7" t="s">
        <v>202</v>
      </c>
    </row>
    <row r="159" spans="2:34" ht="15" customHeight="1" x14ac:dyDescent="0.3">
      <c r="B159" s="7" t="s">
        <v>234</v>
      </c>
    </row>
    <row r="160" spans="2:34" ht="15" customHeight="1" x14ac:dyDescent="0.3">
      <c r="B160" s="7" t="s">
        <v>235</v>
      </c>
    </row>
    <row r="308" spans="2:34" ht="15" customHeight="1" x14ac:dyDescent="0.3"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511" spans="2:34" ht="15" customHeight="1" x14ac:dyDescent="0.3"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</row>
    <row r="712" spans="2:34" ht="15" customHeight="1" x14ac:dyDescent="0.3"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</row>
    <row r="887" spans="2:34" ht="15" customHeight="1" x14ac:dyDescent="0.3"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</row>
    <row r="1100" spans="2:34" ht="15" customHeight="1" x14ac:dyDescent="0.3">
      <c r="B1100" s="62"/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  <c r="AH1100" s="62"/>
    </row>
    <row r="1227" spans="2:34" ht="15" customHeight="1" x14ac:dyDescent="0.3">
      <c r="B1227" s="62"/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</row>
    <row r="1390" spans="2:34" ht="15" customHeight="1" x14ac:dyDescent="0.3">
      <c r="B1390" s="62"/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</row>
    <row r="1502" spans="2:34" ht="15" customHeight="1" x14ac:dyDescent="0.3">
      <c r="B1502" s="62"/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</row>
    <row r="1604" spans="2:34" ht="15" customHeight="1" x14ac:dyDescent="0.3">
      <c r="B1604" s="62"/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  <c r="Z1604" s="62"/>
      <c r="AA1604" s="62"/>
      <c r="AB1604" s="62"/>
      <c r="AC1604" s="62"/>
      <c r="AD1604" s="62"/>
      <c r="AE1604" s="62"/>
      <c r="AF1604" s="62"/>
      <c r="AG1604" s="62"/>
      <c r="AH1604" s="62"/>
    </row>
    <row r="1698" spans="2:34" ht="15" customHeight="1" x14ac:dyDescent="0.3">
      <c r="B1698" s="62"/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2"/>
      <c r="Y1698" s="62"/>
      <c r="Z1698" s="62"/>
      <c r="AA1698" s="62"/>
      <c r="AB1698" s="62"/>
      <c r="AC1698" s="62"/>
      <c r="AD1698" s="62"/>
      <c r="AE1698" s="62"/>
      <c r="AF1698" s="62"/>
      <c r="AG1698" s="62"/>
      <c r="AH1698" s="62"/>
    </row>
    <row r="1945" spans="2:34" ht="15" customHeight="1" x14ac:dyDescent="0.3">
      <c r="B1945" s="62"/>
      <c r="C1945" s="62"/>
      <c r="D1945" s="62"/>
      <c r="E1945" s="62"/>
      <c r="F1945" s="62"/>
      <c r="G1945" s="62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</row>
    <row r="2031" spans="2:34" ht="15" customHeight="1" x14ac:dyDescent="0.3">
      <c r="B2031" s="62"/>
      <c r="C2031" s="62"/>
      <c r="D2031" s="62"/>
      <c r="E2031" s="62"/>
      <c r="F2031" s="62"/>
      <c r="G2031" s="62"/>
      <c r="H2031" s="62"/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</row>
    <row r="2153" spans="2:34" ht="15" customHeight="1" x14ac:dyDescent="0.3">
      <c r="B2153" s="62"/>
      <c r="C2153" s="62"/>
      <c r="D2153" s="62"/>
      <c r="E2153" s="62"/>
      <c r="F2153" s="62"/>
      <c r="G2153" s="62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2"/>
      <c r="X2153" s="62"/>
      <c r="Y2153" s="62"/>
      <c r="Z2153" s="62"/>
      <c r="AA2153" s="62"/>
      <c r="AB2153" s="62"/>
      <c r="AC2153" s="62"/>
      <c r="AD2153" s="62"/>
      <c r="AE2153" s="62"/>
      <c r="AF2153" s="62"/>
      <c r="AG2153" s="62"/>
      <c r="AH2153" s="62"/>
    </row>
    <row r="2317" spans="2:34" ht="15" customHeight="1" x14ac:dyDescent="0.3">
      <c r="B2317" s="62"/>
      <c r="C2317" s="62"/>
      <c r="D2317" s="62"/>
      <c r="E2317" s="62"/>
      <c r="F2317" s="62"/>
      <c r="G2317" s="62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2"/>
      <c r="X2317" s="62"/>
      <c r="Y2317" s="62"/>
      <c r="Z2317" s="62"/>
      <c r="AA2317" s="62"/>
      <c r="AB2317" s="62"/>
      <c r="AC2317" s="62"/>
      <c r="AD2317" s="62"/>
      <c r="AE2317" s="62"/>
      <c r="AF2317" s="62"/>
      <c r="AG2317" s="62"/>
      <c r="AH2317" s="62"/>
    </row>
    <row r="2419" spans="2:34" ht="15" customHeight="1" x14ac:dyDescent="0.3">
      <c r="B2419" s="62"/>
      <c r="C2419" s="62"/>
      <c r="D2419" s="62"/>
      <c r="E2419" s="62"/>
      <c r="F2419" s="62"/>
      <c r="G2419" s="62"/>
      <c r="H2419" s="62"/>
      <c r="I2419" s="62"/>
      <c r="J2419" s="62"/>
      <c r="K2419" s="62"/>
      <c r="L2419" s="62"/>
      <c r="M2419" s="62"/>
      <c r="N2419" s="62"/>
      <c r="O2419" s="62"/>
      <c r="P2419" s="62"/>
      <c r="Q2419" s="62"/>
      <c r="R2419" s="62"/>
      <c r="S2419" s="62"/>
      <c r="T2419" s="62"/>
      <c r="U2419" s="62"/>
      <c r="V2419" s="62"/>
      <c r="W2419" s="62"/>
      <c r="X2419" s="62"/>
      <c r="Y2419" s="62"/>
      <c r="Z2419" s="62"/>
      <c r="AA2419" s="62"/>
      <c r="AB2419" s="62"/>
      <c r="AC2419" s="62"/>
      <c r="AD2419" s="62"/>
      <c r="AE2419" s="62"/>
      <c r="AF2419" s="62"/>
      <c r="AG2419" s="62"/>
      <c r="AH2419" s="62"/>
    </row>
    <row r="2509" spans="2:34" ht="15" customHeight="1" x14ac:dyDescent="0.3">
      <c r="B2509" s="62"/>
      <c r="C2509" s="62"/>
      <c r="D2509" s="62"/>
      <c r="E2509" s="62"/>
      <c r="F2509" s="62"/>
      <c r="G2509" s="62"/>
      <c r="H2509" s="62"/>
      <c r="I2509" s="62"/>
      <c r="J2509" s="62"/>
      <c r="K2509" s="62"/>
      <c r="L2509" s="62"/>
      <c r="M2509" s="62"/>
      <c r="N2509" s="62"/>
      <c r="O2509" s="62"/>
      <c r="P2509" s="62"/>
      <c r="Q2509" s="62"/>
      <c r="R2509" s="62"/>
      <c r="S2509" s="62"/>
      <c r="T2509" s="62"/>
      <c r="U2509" s="62"/>
      <c r="V2509" s="62"/>
      <c r="W2509" s="62"/>
      <c r="X2509" s="62"/>
      <c r="Y2509" s="62"/>
      <c r="Z2509" s="62"/>
      <c r="AA2509" s="62"/>
      <c r="AB2509" s="62"/>
      <c r="AC2509" s="62"/>
      <c r="AD2509" s="62"/>
      <c r="AE2509" s="62"/>
      <c r="AF2509" s="62"/>
      <c r="AG2509" s="62"/>
      <c r="AH2509" s="62"/>
    </row>
    <row r="2598" spans="2:34" ht="15" customHeight="1" x14ac:dyDescent="0.3">
      <c r="B2598" s="62"/>
      <c r="C2598" s="62"/>
      <c r="D2598" s="62"/>
      <c r="E2598" s="62"/>
      <c r="F2598" s="62"/>
      <c r="G2598" s="62"/>
      <c r="H2598" s="62"/>
      <c r="I2598" s="62"/>
      <c r="J2598" s="62"/>
      <c r="K2598" s="62"/>
      <c r="L2598" s="62"/>
      <c r="M2598" s="62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</row>
    <row r="2719" spans="2:34" ht="15" customHeight="1" x14ac:dyDescent="0.3">
      <c r="B2719" s="62"/>
      <c r="C2719" s="62"/>
      <c r="D2719" s="62"/>
      <c r="E2719" s="62"/>
      <c r="F2719" s="62"/>
      <c r="G2719" s="62"/>
      <c r="H2719" s="62"/>
      <c r="I2719" s="62"/>
      <c r="J2719" s="62"/>
      <c r="K2719" s="62"/>
      <c r="L2719" s="62"/>
      <c r="M2719" s="62"/>
      <c r="N2719" s="62"/>
      <c r="O2719" s="62"/>
      <c r="P2719" s="62"/>
      <c r="Q2719" s="62"/>
      <c r="R2719" s="62"/>
      <c r="S2719" s="62"/>
      <c r="T2719" s="62"/>
      <c r="U2719" s="62"/>
      <c r="V2719" s="62"/>
      <c r="W2719" s="62"/>
      <c r="X2719" s="62"/>
      <c r="Y2719" s="62"/>
      <c r="Z2719" s="62"/>
      <c r="AA2719" s="62"/>
      <c r="AB2719" s="62"/>
      <c r="AC2719" s="62"/>
      <c r="AD2719" s="62"/>
      <c r="AE2719" s="62"/>
      <c r="AF2719" s="62"/>
      <c r="AG2719" s="62"/>
      <c r="AH2719" s="62"/>
    </row>
    <row r="2837" spans="2:34" ht="15" customHeight="1" x14ac:dyDescent="0.3">
      <c r="B2837" s="62"/>
      <c r="C2837" s="62"/>
      <c r="D2837" s="62"/>
      <c r="E2837" s="62"/>
      <c r="F2837" s="62"/>
      <c r="G2837" s="62"/>
      <c r="H2837" s="62"/>
      <c r="I2837" s="62"/>
      <c r="J2837" s="62"/>
      <c r="K2837" s="62"/>
      <c r="L2837" s="62"/>
      <c r="M2837" s="62"/>
      <c r="N2837" s="62"/>
      <c r="O2837" s="62"/>
      <c r="P2837" s="62"/>
      <c r="Q2837" s="62"/>
      <c r="R2837" s="62"/>
      <c r="S2837" s="62"/>
      <c r="T2837" s="62"/>
      <c r="U2837" s="62"/>
      <c r="V2837" s="62"/>
      <c r="W2837" s="62"/>
      <c r="X2837" s="62"/>
      <c r="Y2837" s="62"/>
      <c r="Z2837" s="62"/>
      <c r="AA2837" s="62"/>
      <c r="AB2837" s="62"/>
      <c r="AC2837" s="62"/>
      <c r="AD2837" s="62"/>
      <c r="AE2837" s="62"/>
      <c r="AF2837" s="62"/>
      <c r="AG2837" s="62"/>
      <c r="AH2837" s="62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12:AH112"/>
    <mergeCell ref="B146:AG146"/>
    <mergeCell ref="B308:AH308"/>
    <mergeCell ref="B511:AH511"/>
    <mergeCell ref="B712:AH71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9766-D7C2-4293-93DE-8E68A4DE7F6C}">
  <dimension ref="A2:C4"/>
  <sheetViews>
    <sheetView workbookViewId="0">
      <selection activeCell="A3" sqref="A3:A5"/>
    </sheetView>
  </sheetViews>
  <sheetFormatPr defaultColWidth="11.44140625" defaultRowHeight="14.4" x14ac:dyDescent="0.3"/>
  <sheetData>
    <row r="2" spans="1:3" x14ac:dyDescent="0.3">
      <c r="B2">
        <v>2022</v>
      </c>
      <c r="C2">
        <v>2023</v>
      </c>
    </row>
    <row r="3" spans="1:3" x14ac:dyDescent="0.3">
      <c r="A3" t="s">
        <v>236</v>
      </c>
      <c r="B3">
        <v>7.73</v>
      </c>
      <c r="C3">
        <v>7.47</v>
      </c>
    </row>
    <row r="4" spans="1:3" x14ac:dyDescent="0.3">
      <c r="A4" t="s">
        <v>237</v>
      </c>
      <c r="B4">
        <v>-8.7200000000000006</v>
      </c>
      <c r="C4">
        <v>-11.2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43F4-8732-4A7F-93E0-A6384BAE4B21}">
  <dimension ref="A2:C4"/>
  <sheetViews>
    <sheetView workbookViewId="0">
      <selection activeCell="B3" sqref="B3:C4"/>
    </sheetView>
  </sheetViews>
  <sheetFormatPr defaultColWidth="11.44140625" defaultRowHeight="14.4" x14ac:dyDescent="0.3"/>
  <sheetData>
    <row r="2" spans="1:3" x14ac:dyDescent="0.3">
      <c r="B2">
        <v>2020</v>
      </c>
      <c r="C2">
        <v>2021</v>
      </c>
    </row>
    <row r="3" spans="1:3" x14ac:dyDescent="0.3">
      <c r="A3" t="s">
        <v>236</v>
      </c>
      <c r="B3">
        <v>35.869999999999997</v>
      </c>
      <c r="C3">
        <v>6.25</v>
      </c>
    </row>
    <row r="4" spans="1:3" x14ac:dyDescent="0.3">
      <c r="A4" t="s">
        <v>237</v>
      </c>
      <c r="B4">
        <v>-21.44</v>
      </c>
      <c r="C4">
        <v>-9.6999999999999993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7470-8339-4FE8-8E05-9E046471DAF5}">
  <dimension ref="A2:E8"/>
  <sheetViews>
    <sheetView workbookViewId="0">
      <selection activeCell="D15" sqref="D15"/>
    </sheetView>
  </sheetViews>
  <sheetFormatPr defaultColWidth="11.44140625" defaultRowHeight="14.4" x14ac:dyDescent="0.3"/>
  <sheetData>
    <row r="2" spans="1:5" x14ac:dyDescent="0.3">
      <c r="B2">
        <v>2020</v>
      </c>
      <c r="C2">
        <v>2021</v>
      </c>
      <c r="D2">
        <v>2022</v>
      </c>
      <c r="E2">
        <v>2023</v>
      </c>
    </row>
    <row r="3" spans="1:5" x14ac:dyDescent="0.3">
      <c r="A3" t="s">
        <v>236</v>
      </c>
      <c r="B3">
        <f>Conahcyt!B3</f>
        <v>35.869999999999997</v>
      </c>
      <c r="C3">
        <f>Conahcyt!C3</f>
        <v>6.25</v>
      </c>
      <c r="D3">
        <f>BNE!B3</f>
        <v>7.73</v>
      </c>
      <c r="E3">
        <f>BNE!C3</f>
        <v>7.47</v>
      </c>
    </row>
    <row r="4" spans="1:5" x14ac:dyDescent="0.3">
      <c r="A4" t="s">
        <v>237</v>
      </c>
      <c r="B4">
        <f>Conahcyt!B4</f>
        <v>-21.44</v>
      </c>
      <c r="C4">
        <f>Conahcyt!C4</f>
        <v>-9.6999999999999993</v>
      </c>
      <c r="D4">
        <f>BNE!B4</f>
        <v>-8.7200000000000006</v>
      </c>
      <c r="E4">
        <f>BNE!C4</f>
        <v>-11.2</v>
      </c>
    </row>
    <row r="7" spans="1:5" x14ac:dyDescent="0.3">
      <c r="A7" t="s">
        <v>236</v>
      </c>
      <c r="B7" s="32">
        <f>B3/0.0000036</f>
        <v>9963888.8888888881</v>
      </c>
      <c r="C7" s="32">
        <f t="shared" ref="C7:E7" si="0">C3/0.0000036</f>
        <v>1736111.1111111112</v>
      </c>
      <c r="D7" s="32">
        <f t="shared" si="0"/>
        <v>2147222.2222222225</v>
      </c>
      <c r="E7" s="32">
        <f t="shared" si="0"/>
        <v>2075000</v>
      </c>
    </row>
    <row r="8" spans="1:5" x14ac:dyDescent="0.3">
      <c r="A8" t="s">
        <v>237</v>
      </c>
      <c r="B8" s="32">
        <f>-B4/0.0000036</f>
        <v>5955555.555555556</v>
      </c>
      <c r="C8" s="32">
        <f t="shared" ref="C8:E8" si="1">-C4/0.0000036</f>
        <v>2694444.4444444445</v>
      </c>
      <c r="D8" s="32">
        <f t="shared" si="1"/>
        <v>2422222.2222222225</v>
      </c>
      <c r="E8" s="32">
        <f t="shared" si="1"/>
        <v>3111111.111111111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Z25"/>
  <sheetViews>
    <sheetView zoomScaleNormal="100" workbookViewId="0">
      <selection activeCell="B14" sqref="B14"/>
    </sheetView>
  </sheetViews>
  <sheetFormatPr defaultColWidth="9.109375" defaultRowHeight="14.4" x14ac:dyDescent="0.3"/>
  <cols>
    <col min="1" max="1" width="26.109375" style="2" customWidth="1"/>
    <col min="2" max="32" width="11.5546875" bestFit="1" customWidth="1"/>
  </cols>
  <sheetData>
    <row r="1" spans="1:52" ht="28.8" x14ac:dyDescent="0.3">
      <c r="A1" s="8" t="s">
        <v>238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3">
      <c r="A2" s="2" t="s">
        <v>239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</row>
    <row r="3" spans="1:52" x14ac:dyDescent="0.3">
      <c r="A3" s="2" t="s">
        <v>240</v>
      </c>
      <c r="B3" s="5">
        <f>0.2*Calculations!B$7</f>
        <v>1992777.7777777778</v>
      </c>
      <c r="C3" s="5">
        <f>0.2*Calculations!C$7</f>
        <v>347222.22222222225</v>
      </c>
      <c r="D3" s="5">
        <f>0.2*Calculations!D$7</f>
        <v>429444.4444444445</v>
      </c>
      <c r="E3" s="5">
        <f>0.2*Calculations!E$7</f>
        <v>415000</v>
      </c>
      <c r="F3" s="5">
        <f>AVERAGE($B3:$E3)</f>
        <v>796111.11111111112</v>
      </c>
      <c r="G3" s="5">
        <f t="shared" ref="G3:AZ4" si="0">AVERAGE($B3:$E3)</f>
        <v>796111.11111111112</v>
      </c>
      <c r="H3" s="5">
        <f t="shared" si="0"/>
        <v>796111.11111111112</v>
      </c>
      <c r="I3" s="5">
        <f t="shared" si="0"/>
        <v>796111.11111111112</v>
      </c>
      <c r="J3" s="5">
        <f t="shared" si="0"/>
        <v>796111.11111111112</v>
      </c>
      <c r="K3" s="5">
        <f t="shared" si="0"/>
        <v>796111.11111111112</v>
      </c>
      <c r="L3" s="5">
        <f t="shared" si="0"/>
        <v>796111.11111111112</v>
      </c>
      <c r="M3" s="5">
        <f t="shared" si="0"/>
        <v>796111.11111111112</v>
      </c>
      <c r="N3" s="5">
        <f t="shared" si="0"/>
        <v>796111.11111111112</v>
      </c>
      <c r="O3" s="5">
        <f t="shared" si="0"/>
        <v>796111.11111111112</v>
      </c>
      <c r="P3" s="5">
        <f t="shared" si="0"/>
        <v>796111.11111111112</v>
      </c>
      <c r="Q3" s="5">
        <f t="shared" si="0"/>
        <v>796111.11111111112</v>
      </c>
      <c r="R3" s="5">
        <f t="shared" si="0"/>
        <v>796111.11111111112</v>
      </c>
      <c r="S3" s="5">
        <f t="shared" si="0"/>
        <v>796111.11111111112</v>
      </c>
      <c r="T3" s="5">
        <f t="shared" si="0"/>
        <v>796111.11111111112</v>
      </c>
      <c r="U3" s="5">
        <f t="shared" si="0"/>
        <v>796111.11111111112</v>
      </c>
      <c r="V3" s="5">
        <f t="shared" si="0"/>
        <v>796111.11111111112</v>
      </c>
      <c r="W3" s="5">
        <f t="shared" si="0"/>
        <v>796111.11111111112</v>
      </c>
      <c r="X3" s="5">
        <f t="shared" si="0"/>
        <v>796111.11111111112</v>
      </c>
      <c r="Y3" s="5">
        <f t="shared" si="0"/>
        <v>796111.11111111112</v>
      </c>
      <c r="Z3" s="5">
        <f t="shared" si="0"/>
        <v>796111.11111111112</v>
      </c>
      <c r="AA3" s="5">
        <f t="shared" si="0"/>
        <v>796111.11111111112</v>
      </c>
      <c r="AB3" s="5">
        <f t="shared" si="0"/>
        <v>796111.11111111112</v>
      </c>
      <c r="AC3" s="5">
        <f t="shared" si="0"/>
        <v>796111.11111111112</v>
      </c>
      <c r="AD3" s="5">
        <f t="shared" si="0"/>
        <v>796111.11111111112</v>
      </c>
      <c r="AE3" s="5">
        <f t="shared" si="0"/>
        <v>796111.11111111112</v>
      </c>
      <c r="AF3" s="5">
        <f t="shared" si="0"/>
        <v>796111.11111111112</v>
      </c>
      <c r="AG3" s="5">
        <f t="shared" si="0"/>
        <v>796111.11111111112</v>
      </c>
      <c r="AH3" s="5">
        <f t="shared" si="0"/>
        <v>796111.11111111112</v>
      </c>
      <c r="AI3" s="5">
        <f t="shared" si="0"/>
        <v>796111.11111111112</v>
      </c>
      <c r="AJ3" s="5">
        <f t="shared" si="0"/>
        <v>796111.11111111112</v>
      </c>
      <c r="AK3" s="5">
        <f t="shared" si="0"/>
        <v>796111.11111111112</v>
      </c>
      <c r="AL3" s="5">
        <f t="shared" si="0"/>
        <v>796111.11111111112</v>
      </c>
      <c r="AM3" s="5">
        <f t="shared" si="0"/>
        <v>796111.11111111112</v>
      </c>
      <c r="AN3" s="5">
        <f t="shared" si="0"/>
        <v>796111.11111111112</v>
      </c>
      <c r="AO3" s="5">
        <f t="shared" si="0"/>
        <v>796111.11111111112</v>
      </c>
      <c r="AP3" s="5">
        <f t="shared" si="0"/>
        <v>796111.11111111112</v>
      </c>
      <c r="AQ3" s="5">
        <f t="shared" si="0"/>
        <v>796111.11111111112</v>
      </c>
      <c r="AR3" s="5">
        <f t="shared" si="0"/>
        <v>796111.11111111112</v>
      </c>
      <c r="AS3" s="5">
        <f t="shared" si="0"/>
        <v>796111.11111111112</v>
      </c>
      <c r="AT3" s="5">
        <f t="shared" si="0"/>
        <v>796111.11111111112</v>
      </c>
      <c r="AU3" s="5">
        <f t="shared" si="0"/>
        <v>796111.11111111112</v>
      </c>
      <c r="AV3" s="5">
        <f t="shared" si="0"/>
        <v>796111.11111111112</v>
      </c>
      <c r="AW3" s="5">
        <f t="shared" si="0"/>
        <v>796111.11111111112</v>
      </c>
      <c r="AX3" s="5">
        <f t="shared" si="0"/>
        <v>796111.11111111112</v>
      </c>
      <c r="AY3" s="5">
        <f t="shared" si="0"/>
        <v>796111.11111111112</v>
      </c>
      <c r="AZ3" s="5">
        <f t="shared" si="0"/>
        <v>796111.11111111112</v>
      </c>
    </row>
    <row r="4" spans="1:52" x14ac:dyDescent="0.3">
      <c r="A4" s="2" t="s">
        <v>241</v>
      </c>
      <c r="B4" s="5">
        <f>0.2*Calculations!B$7</f>
        <v>1992777.7777777778</v>
      </c>
      <c r="C4" s="5">
        <f>0.2*Calculations!C$7</f>
        <v>347222.22222222225</v>
      </c>
      <c r="D4" s="5">
        <f>0.2*Calculations!D$7</f>
        <v>429444.4444444445</v>
      </c>
      <c r="E4" s="5">
        <f>0.2*Calculations!E$7</f>
        <v>415000</v>
      </c>
      <c r="F4" s="5">
        <f>AVERAGE($B4:$E4)</f>
        <v>796111.11111111112</v>
      </c>
      <c r="G4" s="5">
        <f t="shared" si="0"/>
        <v>796111.11111111112</v>
      </c>
      <c r="H4" s="5">
        <f t="shared" si="0"/>
        <v>796111.11111111112</v>
      </c>
      <c r="I4" s="5">
        <f t="shared" si="0"/>
        <v>796111.11111111112</v>
      </c>
      <c r="J4" s="5">
        <f t="shared" si="0"/>
        <v>796111.11111111112</v>
      </c>
      <c r="K4" s="5">
        <f t="shared" si="0"/>
        <v>796111.11111111112</v>
      </c>
      <c r="L4" s="5">
        <f t="shared" si="0"/>
        <v>796111.11111111112</v>
      </c>
      <c r="M4" s="5">
        <f t="shared" si="0"/>
        <v>796111.11111111112</v>
      </c>
      <c r="N4" s="5">
        <f t="shared" si="0"/>
        <v>796111.11111111112</v>
      </c>
      <c r="O4" s="5">
        <f t="shared" si="0"/>
        <v>796111.11111111112</v>
      </c>
      <c r="P4" s="5">
        <f t="shared" si="0"/>
        <v>796111.11111111112</v>
      </c>
      <c r="Q4" s="5">
        <f t="shared" si="0"/>
        <v>796111.11111111112</v>
      </c>
      <c r="R4" s="5">
        <f t="shared" si="0"/>
        <v>796111.11111111112</v>
      </c>
      <c r="S4" s="5">
        <f t="shared" si="0"/>
        <v>796111.11111111112</v>
      </c>
      <c r="T4" s="5">
        <f t="shared" si="0"/>
        <v>796111.11111111112</v>
      </c>
      <c r="U4" s="5">
        <f t="shared" si="0"/>
        <v>796111.11111111112</v>
      </c>
      <c r="V4" s="5">
        <f t="shared" si="0"/>
        <v>796111.11111111112</v>
      </c>
      <c r="W4" s="5">
        <f t="shared" si="0"/>
        <v>796111.11111111112</v>
      </c>
      <c r="X4" s="5">
        <f t="shared" si="0"/>
        <v>796111.11111111112</v>
      </c>
      <c r="Y4" s="5">
        <f t="shared" si="0"/>
        <v>796111.11111111112</v>
      </c>
      <c r="Z4" s="5">
        <f t="shared" si="0"/>
        <v>796111.11111111112</v>
      </c>
      <c r="AA4" s="5">
        <f t="shared" si="0"/>
        <v>796111.11111111112</v>
      </c>
      <c r="AB4" s="5">
        <f t="shared" si="0"/>
        <v>796111.11111111112</v>
      </c>
      <c r="AC4" s="5">
        <f t="shared" si="0"/>
        <v>796111.11111111112</v>
      </c>
      <c r="AD4" s="5">
        <f t="shared" si="0"/>
        <v>796111.11111111112</v>
      </c>
      <c r="AE4" s="5">
        <f t="shared" si="0"/>
        <v>796111.11111111112</v>
      </c>
      <c r="AF4" s="5">
        <f t="shared" si="0"/>
        <v>796111.11111111112</v>
      </c>
      <c r="AG4" s="5">
        <f t="shared" si="0"/>
        <v>796111.11111111112</v>
      </c>
      <c r="AH4" s="5">
        <f t="shared" si="0"/>
        <v>796111.11111111112</v>
      </c>
      <c r="AI4" s="5">
        <f t="shared" si="0"/>
        <v>796111.11111111112</v>
      </c>
      <c r="AJ4" s="5">
        <f t="shared" si="0"/>
        <v>796111.11111111112</v>
      </c>
      <c r="AK4" s="5">
        <f t="shared" si="0"/>
        <v>796111.11111111112</v>
      </c>
      <c r="AL4" s="5">
        <f t="shared" si="0"/>
        <v>796111.11111111112</v>
      </c>
      <c r="AM4" s="5">
        <f t="shared" si="0"/>
        <v>796111.11111111112</v>
      </c>
      <c r="AN4" s="5">
        <f t="shared" si="0"/>
        <v>796111.11111111112</v>
      </c>
      <c r="AO4" s="5">
        <f t="shared" si="0"/>
        <v>796111.11111111112</v>
      </c>
      <c r="AP4" s="5">
        <f t="shared" si="0"/>
        <v>796111.11111111112</v>
      </c>
      <c r="AQ4" s="5">
        <f t="shared" si="0"/>
        <v>796111.11111111112</v>
      </c>
      <c r="AR4" s="5">
        <f t="shared" si="0"/>
        <v>796111.11111111112</v>
      </c>
      <c r="AS4" s="5">
        <f t="shared" si="0"/>
        <v>796111.11111111112</v>
      </c>
      <c r="AT4" s="5">
        <f t="shared" si="0"/>
        <v>796111.11111111112</v>
      </c>
      <c r="AU4" s="5">
        <f t="shared" si="0"/>
        <v>796111.11111111112</v>
      </c>
      <c r="AV4" s="5">
        <f t="shared" si="0"/>
        <v>796111.11111111112</v>
      </c>
      <c r="AW4" s="5">
        <f t="shared" si="0"/>
        <v>796111.11111111112</v>
      </c>
      <c r="AX4" s="5">
        <f t="shared" si="0"/>
        <v>796111.11111111112</v>
      </c>
      <c r="AY4" s="5">
        <f t="shared" si="0"/>
        <v>796111.11111111112</v>
      </c>
      <c r="AZ4" s="5">
        <f t="shared" si="0"/>
        <v>796111.11111111112</v>
      </c>
    </row>
    <row r="5" spans="1:52" x14ac:dyDescent="0.3">
      <c r="A5" s="2" t="s">
        <v>242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3">
      <c r="A6" s="2" t="s">
        <v>243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3">
      <c r="A7" s="2" t="s">
        <v>244</v>
      </c>
      <c r="B7" s="5">
        <f>0.2*Calculations!B$7</f>
        <v>1992777.7777777778</v>
      </c>
      <c r="C7" s="5">
        <f>0.2*Calculations!C$7</f>
        <v>347222.22222222225</v>
      </c>
      <c r="D7" s="5">
        <f>0.2*Calculations!D$7</f>
        <v>429444.4444444445</v>
      </c>
      <c r="E7" s="5">
        <f>0.2*Calculations!E$7</f>
        <v>415000</v>
      </c>
      <c r="F7" s="5">
        <f>AVERAGE($B7:$E7)</f>
        <v>796111.11111111112</v>
      </c>
      <c r="G7" s="5">
        <f t="shared" ref="G7:AZ8" si="1">AVERAGE($B7:$E7)</f>
        <v>796111.11111111112</v>
      </c>
      <c r="H7" s="5">
        <f t="shared" si="1"/>
        <v>796111.11111111112</v>
      </c>
      <c r="I7" s="5">
        <f t="shared" si="1"/>
        <v>796111.11111111112</v>
      </c>
      <c r="J7" s="5">
        <f t="shared" si="1"/>
        <v>796111.11111111112</v>
      </c>
      <c r="K7" s="5">
        <f t="shared" si="1"/>
        <v>796111.11111111112</v>
      </c>
      <c r="L7" s="5">
        <f t="shared" si="1"/>
        <v>796111.11111111112</v>
      </c>
      <c r="M7" s="5">
        <f t="shared" si="1"/>
        <v>796111.11111111112</v>
      </c>
      <c r="N7" s="5">
        <f t="shared" si="1"/>
        <v>796111.11111111112</v>
      </c>
      <c r="O7" s="5">
        <f t="shared" si="1"/>
        <v>796111.11111111112</v>
      </c>
      <c r="P7" s="5">
        <f t="shared" si="1"/>
        <v>796111.11111111112</v>
      </c>
      <c r="Q7" s="5">
        <f t="shared" si="1"/>
        <v>796111.11111111112</v>
      </c>
      <c r="R7" s="5">
        <f t="shared" si="1"/>
        <v>796111.11111111112</v>
      </c>
      <c r="S7" s="5">
        <f t="shared" si="1"/>
        <v>796111.11111111112</v>
      </c>
      <c r="T7" s="5">
        <f t="shared" si="1"/>
        <v>796111.11111111112</v>
      </c>
      <c r="U7" s="5">
        <f t="shared" si="1"/>
        <v>796111.11111111112</v>
      </c>
      <c r="V7" s="5">
        <f t="shared" si="1"/>
        <v>796111.11111111112</v>
      </c>
      <c r="W7" s="5">
        <f t="shared" si="1"/>
        <v>796111.11111111112</v>
      </c>
      <c r="X7" s="5">
        <f t="shared" si="1"/>
        <v>796111.11111111112</v>
      </c>
      <c r="Y7" s="5">
        <f t="shared" si="1"/>
        <v>796111.11111111112</v>
      </c>
      <c r="Z7" s="5">
        <f t="shared" si="1"/>
        <v>796111.11111111112</v>
      </c>
      <c r="AA7" s="5">
        <f t="shared" si="1"/>
        <v>796111.11111111112</v>
      </c>
      <c r="AB7" s="5">
        <f t="shared" si="1"/>
        <v>796111.11111111112</v>
      </c>
      <c r="AC7" s="5">
        <f t="shared" si="1"/>
        <v>796111.11111111112</v>
      </c>
      <c r="AD7" s="5">
        <f t="shared" si="1"/>
        <v>796111.11111111112</v>
      </c>
      <c r="AE7" s="5">
        <f t="shared" si="1"/>
        <v>796111.11111111112</v>
      </c>
      <c r="AF7" s="5">
        <f t="shared" si="1"/>
        <v>796111.11111111112</v>
      </c>
      <c r="AG7" s="5">
        <f t="shared" si="1"/>
        <v>796111.11111111112</v>
      </c>
      <c r="AH7" s="5">
        <f t="shared" si="1"/>
        <v>796111.11111111112</v>
      </c>
      <c r="AI7" s="5">
        <f t="shared" si="1"/>
        <v>796111.11111111112</v>
      </c>
      <c r="AJ7" s="5">
        <f t="shared" si="1"/>
        <v>796111.11111111112</v>
      </c>
      <c r="AK7" s="5">
        <f t="shared" si="1"/>
        <v>796111.11111111112</v>
      </c>
      <c r="AL7" s="5">
        <f t="shared" si="1"/>
        <v>796111.11111111112</v>
      </c>
      <c r="AM7" s="5">
        <f t="shared" si="1"/>
        <v>796111.11111111112</v>
      </c>
      <c r="AN7" s="5">
        <f t="shared" si="1"/>
        <v>796111.11111111112</v>
      </c>
      <c r="AO7" s="5">
        <f t="shared" si="1"/>
        <v>796111.11111111112</v>
      </c>
      <c r="AP7" s="5">
        <f t="shared" si="1"/>
        <v>796111.11111111112</v>
      </c>
      <c r="AQ7" s="5">
        <f t="shared" si="1"/>
        <v>796111.11111111112</v>
      </c>
      <c r="AR7" s="5">
        <f t="shared" si="1"/>
        <v>796111.11111111112</v>
      </c>
      <c r="AS7" s="5">
        <f t="shared" si="1"/>
        <v>796111.11111111112</v>
      </c>
      <c r="AT7" s="5">
        <f t="shared" si="1"/>
        <v>796111.11111111112</v>
      </c>
      <c r="AU7" s="5">
        <f t="shared" si="1"/>
        <v>796111.11111111112</v>
      </c>
      <c r="AV7" s="5">
        <f t="shared" si="1"/>
        <v>796111.11111111112</v>
      </c>
      <c r="AW7" s="5">
        <f t="shared" si="1"/>
        <v>796111.11111111112</v>
      </c>
      <c r="AX7" s="5">
        <f t="shared" si="1"/>
        <v>796111.11111111112</v>
      </c>
      <c r="AY7" s="5">
        <f t="shared" si="1"/>
        <v>796111.11111111112</v>
      </c>
      <c r="AZ7" s="5">
        <f t="shared" si="1"/>
        <v>796111.11111111112</v>
      </c>
    </row>
    <row r="8" spans="1:52" x14ac:dyDescent="0.3">
      <c r="A8" s="2" t="s">
        <v>245</v>
      </c>
      <c r="B8" s="5">
        <f>0.2*Calculations!B$7</f>
        <v>1992777.7777777778</v>
      </c>
      <c r="C8" s="5">
        <f>0.2*Calculations!C$7</f>
        <v>347222.22222222225</v>
      </c>
      <c r="D8" s="5">
        <f>0.2*Calculations!D$7</f>
        <v>429444.4444444445</v>
      </c>
      <c r="E8" s="5">
        <f>0.2*Calculations!E$7</f>
        <v>415000</v>
      </c>
      <c r="F8" s="5">
        <f>AVERAGE($B8:$E8)</f>
        <v>796111.11111111112</v>
      </c>
      <c r="G8" s="5">
        <f t="shared" si="1"/>
        <v>796111.11111111112</v>
      </c>
      <c r="H8" s="5">
        <f t="shared" si="1"/>
        <v>796111.11111111112</v>
      </c>
      <c r="I8" s="5">
        <f t="shared" si="1"/>
        <v>796111.11111111112</v>
      </c>
      <c r="J8" s="5">
        <f t="shared" si="1"/>
        <v>796111.11111111112</v>
      </c>
      <c r="K8" s="5">
        <f t="shared" si="1"/>
        <v>796111.11111111112</v>
      </c>
      <c r="L8" s="5">
        <f t="shared" si="1"/>
        <v>796111.11111111112</v>
      </c>
      <c r="M8" s="5">
        <f t="shared" si="1"/>
        <v>796111.11111111112</v>
      </c>
      <c r="N8" s="5">
        <f t="shared" si="1"/>
        <v>796111.11111111112</v>
      </c>
      <c r="O8" s="5">
        <f t="shared" si="1"/>
        <v>796111.11111111112</v>
      </c>
      <c r="P8" s="5">
        <f t="shared" si="1"/>
        <v>796111.11111111112</v>
      </c>
      <c r="Q8" s="5">
        <f t="shared" si="1"/>
        <v>796111.11111111112</v>
      </c>
      <c r="R8" s="5">
        <f t="shared" si="1"/>
        <v>796111.11111111112</v>
      </c>
      <c r="S8" s="5">
        <f t="shared" si="1"/>
        <v>796111.11111111112</v>
      </c>
      <c r="T8" s="5">
        <f t="shared" si="1"/>
        <v>796111.11111111112</v>
      </c>
      <c r="U8" s="5">
        <f t="shared" si="1"/>
        <v>796111.11111111112</v>
      </c>
      <c r="V8" s="5">
        <f t="shared" si="1"/>
        <v>796111.11111111112</v>
      </c>
      <c r="W8" s="5">
        <f t="shared" si="1"/>
        <v>796111.11111111112</v>
      </c>
      <c r="X8" s="5">
        <f t="shared" si="1"/>
        <v>796111.11111111112</v>
      </c>
      <c r="Y8" s="5">
        <f t="shared" si="1"/>
        <v>796111.11111111112</v>
      </c>
      <c r="Z8" s="5">
        <f t="shared" si="1"/>
        <v>796111.11111111112</v>
      </c>
      <c r="AA8" s="5">
        <f t="shared" si="1"/>
        <v>796111.11111111112</v>
      </c>
      <c r="AB8" s="5">
        <f t="shared" si="1"/>
        <v>796111.11111111112</v>
      </c>
      <c r="AC8" s="5">
        <f t="shared" si="1"/>
        <v>796111.11111111112</v>
      </c>
      <c r="AD8" s="5">
        <f t="shared" si="1"/>
        <v>796111.11111111112</v>
      </c>
      <c r="AE8" s="5">
        <f t="shared" si="1"/>
        <v>796111.11111111112</v>
      </c>
      <c r="AF8" s="5">
        <f t="shared" si="1"/>
        <v>796111.11111111112</v>
      </c>
      <c r="AG8" s="5">
        <f t="shared" si="1"/>
        <v>796111.11111111112</v>
      </c>
      <c r="AH8" s="5">
        <f t="shared" si="1"/>
        <v>796111.11111111112</v>
      </c>
      <c r="AI8" s="5">
        <f t="shared" si="1"/>
        <v>796111.11111111112</v>
      </c>
      <c r="AJ8" s="5">
        <f t="shared" si="1"/>
        <v>796111.11111111112</v>
      </c>
      <c r="AK8" s="5">
        <f t="shared" si="1"/>
        <v>796111.11111111112</v>
      </c>
      <c r="AL8" s="5">
        <f t="shared" si="1"/>
        <v>796111.11111111112</v>
      </c>
      <c r="AM8" s="5">
        <f t="shared" si="1"/>
        <v>796111.11111111112</v>
      </c>
      <c r="AN8" s="5">
        <f t="shared" si="1"/>
        <v>796111.11111111112</v>
      </c>
      <c r="AO8" s="5">
        <f t="shared" si="1"/>
        <v>796111.11111111112</v>
      </c>
      <c r="AP8" s="5">
        <f t="shared" si="1"/>
        <v>796111.11111111112</v>
      </c>
      <c r="AQ8" s="5">
        <f t="shared" si="1"/>
        <v>796111.11111111112</v>
      </c>
      <c r="AR8" s="5">
        <f t="shared" si="1"/>
        <v>796111.11111111112</v>
      </c>
      <c r="AS8" s="5">
        <f t="shared" si="1"/>
        <v>796111.11111111112</v>
      </c>
      <c r="AT8" s="5">
        <f t="shared" si="1"/>
        <v>796111.11111111112</v>
      </c>
      <c r="AU8" s="5">
        <f t="shared" si="1"/>
        <v>796111.11111111112</v>
      </c>
      <c r="AV8" s="5">
        <f t="shared" si="1"/>
        <v>796111.11111111112</v>
      </c>
      <c r="AW8" s="5">
        <f t="shared" si="1"/>
        <v>796111.11111111112</v>
      </c>
      <c r="AX8" s="5">
        <f t="shared" si="1"/>
        <v>796111.11111111112</v>
      </c>
      <c r="AY8" s="5">
        <f t="shared" si="1"/>
        <v>796111.11111111112</v>
      </c>
      <c r="AZ8" s="5">
        <f t="shared" si="1"/>
        <v>796111.11111111112</v>
      </c>
    </row>
    <row r="9" spans="1:52" x14ac:dyDescent="0.3">
      <c r="A9" s="2" t="s">
        <v>246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3">
      <c r="A10" s="2" t="s">
        <v>247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3">
      <c r="A11" s="2" t="s">
        <v>248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3">
      <c r="A12" s="2" t="s">
        <v>249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3">
      <c r="A13" s="2" t="s">
        <v>250</v>
      </c>
      <c r="B13" s="5">
        <f>0.2*Calculations!B$7</f>
        <v>1992777.7777777778</v>
      </c>
      <c r="C13" s="5">
        <f>0.2*Calculations!C$7</f>
        <v>347222.22222222225</v>
      </c>
      <c r="D13" s="5">
        <f>0.2*Calculations!D$7</f>
        <v>429444.4444444445</v>
      </c>
      <c r="E13" s="5">
        <f>0.2*Calculations!E$7</f>
        <v>415000</v>
      </c>
      <c r="F13" s="5">
        <f>AVERAGE($B13:$E13)</f>
        <v>796111.11111111112</v>
      </c>
      <c r="G13" s="5">
        <f t="shared" ref="G13:AZ13" si="2">AVERAGE($B13:$E13)</f>
        <v>796111.11111111112</v>
      </c>
      <c r="H13" s="5">
        <f t="shared" si="2"/>
        <v>796111.11111111112</v>
      </c>
      <c r="I13" s="5">
        <f t="shared" si="2"/>
        <v>796111.11111111112</v>
      </c>
      <c r="J13" s="5">
        <f t="shared" si="2"/>
        <v>796111.11111111112</v>
      </c>
      <c r="K13" s="5">
        <f t="shared" si="2"/>
        <v>796111.11111111112</v>
      </c>
      <c r="L13" s="5">
        <f t="shared" si="2"/>
        <v>796111.11111111112</v>
      </c>
      <c r="M13" s="5">
        <f t="shared" si="2"/>
        <v>796111.11111111112</v>
      </c>
      <c r="N13" s="5">
        <f t="shared" si="2"/>
        <v>796111.11111111112</v>
      </c>
      <c r="O13" s="5">
        <f t="shared" si="2"/>
        <v>796111.11111111112</v>
      </c>
      <c r="P13" s="5">
        <f t="shared" si="2"/>
        <v>796111.11111111112</v>
      </c>
      <c r="Q13" s="5">
        <f t="shared" si="2"/>
        <v>796111.11111111112</v>
      </c>
      <c r="R13" s="5">
        <f t="shared" si="2"/>
        <v>796111.11111111112</v>
      </c>
      <c r="S13" s="5">
        <f t="shared" si="2"/>
        <v>796111.11111111112</v>
      </c>
      <c r="T13" s="5">
        <f t="shared" si="2"/>
        <v>796111.11111111112</v>
      </c>
      <c r="U13" s="5">
        <f t="shared" si="2"/>
        <v>796111.11111111112</v>
      </c>
      <c r="V13" s="5">
        <f t="shared" si="2"/>
        <v>796111.11111111112</v>
      </c>
      <c r="W13" s="5">
        <f t="shared" si="2"/>
        <v>796111.11111111112</v>
      </c>
      <c r="X13" s="5">
        <f t="shared" si="2"/>
        <v>796111.11111111112</v>
      </c>
      <c r="Y13" s="5">
        <f t="shared" si="2"/>
        <v>796111.11111111112</v>
      </c>
      <c r="Z13" s="5">
        <f t="shared" si="2"/>
        <v>796111.11111111112</v>
      </c>
      <c r="AA13" s="5">
        <f t="shared" si="2"/>
        <v>796111.11111111112</v>
      </c>
      <c r="AB13" s="5">
        <f t="shared" si="2"/>
        <v>796111.11111111112</v>
      </c>
      <c r="AC13" s="5">
        <f t="shared" si="2"/>
        <v>796111.11111111112</v>
      </c>
      <c r="AD13" s="5">
        <f t="shared" si="2"/>
        <v>796111.11111111112</v>
      </c>
      <c r="AE13" s="5">
        <f t="shared" si="2"/>
        <v>796111.11111111112</v>
      </c>
      <c r="AF13" s="5">
        <f t="shared" si="2"/>
        <v>796111.11111111112</v>
      </c>
      <c r="AG13" s="5">
        <f t="shared" si="2"/>
        <v>796111.11111111112</v>
      </c>
      <c r="AH13" s="5">
        <f t="shared" si="2"/>
        <v>796111.11111111112</v>
      </c>
      <c r="AI13" s="5">
        <f t="shared" si="2"/>
        <v>796111.11111111112</v>
      </c>
      <c r="AJ13" s="5">
        <f t="shared" si="2"/>
        <v>796111.11111111112</v>
      </c>
      <c r="AK13" s="5">
        <f t="shared" si="2"/>
        <v>796111.11111111112</v>
      </c>
      <c r="AL13" s="5">
        <f t="shared" si="2"/>
        <v>796111.11111111112</v>
      </c>
      <c r="AM13" s="5">
        <f t="shared" si="2"/>
        <v>796111.11111111112</v>
      </c>
      <c r="AN13" s="5">
        <f t="shared" si="2"/>
        <v>796111.11111111112</v>
      </c>
      <c r="AO13" s="5">
        <f t="shared" si="2"/>
        <v>796111.11111111112</v>
      </c>
      <c r="AP13" s="5">
        <f t="shared" si="2"/>
        <v>796111.11111111112</v>
      </c>
      <c r="AQ13" s="5">
        <f t="shared" si="2"/>
        <v>796111.11111111112</v>
      </c>
      <c r="AR13" s="5">
        <f t="shared" si="2"/>
        <v>796111.11111111112</v>
      </c>
      <c r="AS13" s="5">
        <f t="shared" si="2"/>
        <v>796111.11111111112</v>
      </c>
      <c r="AT13" s="5">
        <f t="shared" si="2"/>
        <v>796111.11111111112</v>
      </c>
      <c r="AU13" s="5">
        <f t="shared" si="2"/>
        <v>796111.11111111112</v>
      </c>
      <c r="AV13" s="5">
        <f t="shared" si="2"/>
        <v>796111.11111111112</v>
      </c>
      <c r="AW13" s="5">
        <f t="shared" si="2"/>
        <v>796111.11111111112</v>
      </c>
      <c r="AX13" s="5">
        <f t="shared" si="2"/>
        <v>796111.11111111112</v>
      </c>
      <c r="AY13" s="5">
        <f t="shared" si="2"/>
        <v>796111.11111111112</v>
      </c>
      <c r="AZ13" s="5">
        <f t="shared" si="2"/>
        <v>796111.11111111112</v>
      </c>
    </row>
    <row r="14" spans="1:52" x14ac:dyDescent="0.3">
      <c r="A14" s="2" t="s">
        <v>251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3">
      <c r="A15" s="2" t="s">
        <v>252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3">
      <c r="A16" s="2" t="s">
        <v>253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3">
      <c r="A17" s="2" t="s">
        <v>254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3">
      <c r="A18" s="2" t="s">
        <v>255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3">
      <c r="A19" t="s">
        <v>256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3">
      <c r="A20" t="s">
        <v>257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3">
      <c r="A21" t="s">
        <v>258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3">
      <c r="A22" t="s">
        <v>259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3">
      <c r="A23" t="s">
        <v>260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3">
      <c r="A24" s="50" t="s">
        <v>261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3">
      <c r="A25" s="50" t="s">
        <v>262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Z2"/>
  <sheetViews>
    <sheetView tabSelected="1" workbookViewId="0">
      <selection activeCell="B2" sqref="B2:AZ2"/>
    </sheetView>
  </sheetViews>
  <sheetFormatPr defaultColWidth="9.109375" defaultRowHeight="14.4" x14ac:dyDescent="0.3"/>
  <cols>
    <col min="1" max="1" width="26.109375" customWidth="1"/>
  </cols>
  <sheetData>
    <row r="1" spans="1:52" ht="28.8" x14ac:dyDescent="0.3">
      <c r="A1" s="9" t="s">
        <v>263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3">
      <c r="A2" t="s">
        <v>264</v>
      </c>
      <c r="B2" s="10">
        <f>Calculations!B8</f>
        <v>5955555.555555556</v>
      </c>
      <c r="C2" s="10">
        <f>Calculations!C8</f>
        <v>2694444.4444444445</v>
      </c>
      <c r="D2" s="10">
        <f>Calculations!D8</f>
        <v>2422222.2222222225</v>
      </c>
      <c r="E2" s="10">
        <f>Calculations!E8</f>
        <v>3111111.111111111</v>
      </c>
      <c r="F2" s="10">
        <f>AVERAGE($B2:$E2)</f>
        <v>3545833.333333333</v>
      </c>
      <c r="G2" s="10">
        <f t="shared" ref="G2:AZ2" si="0">AVERAGE($B2:$E2)</f>
        <v>3545833.333333333</v>
      </c>
      <c r="H2" s="10">
        <f t="shared" si="0"/>
        <v>3545833.333333333</v>
      </c>
      <c r="I2" s="10">
        <f t="shared" si="0"/>
        <v>3545833.333333333</v>
      </c>
      <c r="J2" s="10">
        <f t="shared" si="0"/>
        <v>3545833.333333333</v>
      </c>
      <c r="K2" s="10">
        <f t="shared" si="0"/>
        <v>3545833.333333333</v>
      </c>
      <c r="L2" s="10">
        <f t="shared" si="0"/>
        <v>3545833.333333333</v>
      </c>
      <c r="M2" s="10">
        <f t="shared" si="0"/>
        <v>3545833.333333333</v>
      </c>
      <c r="N2" s="10">
        <f t="shared" si="0"/>
        <v>3545833.333333333</v>
      </c>
      <c r="O2" s="10">
        <f t="shared" si="0"/>
        <v>3545833.333333333</v>
      </c>
      <c r="P2" s="10">
        <f t="shared" si="0"/>
        <v>3545833.333333333</v>
      </c>
      <c r="Q2" s="10">
        <f t="shared" si="0"/>
        <v>3545833.333333333</v>
      </c>
      <c r="R2" s="10">
        <f t="shared" si="0"/>
        <v>3545833.333333333</v>
      </c>
      <c r="S2" s="10">
        <f t="shared" si="0"/>
        <v>3545833.333333333</v>
      </c>
      <c r="T2" s="10">
        <f t="shared" si="0"/>
        <v>3545833.333333333</v>
      </c>
      <c r="U2" s="10">
        <f t="shared" si="0"/>
        <v>3545833.333333333</v>
      </c>
      <c r="V2" s="10">
        <f t="shared" si="0"/>
        <v>3545833.333333333</v>
      </c>
      <c r="W2" s="10">
        <f t="shared" si="0"/>
        <v>3545833.333333333</v>
      </c>
      <c r="X2" s="10">
        <f t="shared" si="0"/>
        <v>3545833.333333333</v>
      </c>
      <c r="Y2" s="10">
        <f t="shared" si="0"/>
        <v>3545833.333333333</v>
      </c>
      <c r="Z2" s="10">
        <f t="shared" si="0"/>
        <v>3545833.333333333</v>
      </c>
      <c r="AA2" s="10">
        <f t="shared" si="0"/>
        <v>3545833.333333333</v>
      </c>
      <c r="AB2" s="10">
        <f t="shared" si="0"/>
        <v>3545833.333333333</v>
      </c>
      <c r="AC2" s="10">
        <f t="shared" si="0"/>
        <v>3545833.333333333</v>
      </c>
      <c r="AD2" s="10">
        <f t="shared" si="0"/>
        <v>3545833.333333333</v>
      </c>
      <c r="AE2" s="10">
        <f t="shared" si="0"/>
        <v>3545833.333333333</v>
      </c>
      <c r="AF2" s="10">
        <f t="shared" si="0"/>
        <v>3545833.333333333</v>
      </c>
      <c r="AG2" s="10">
        <f t="shared" si="0"/>
        <v>3545833.333333333</v>
      </c>
      <c r="AH2" s="10">
        <f t="shared" si="0"/>
        <v>3545833.333333333</v>
      </c>
      <c r="AI2" s="10">
        <f t="shared" si="0"/>
        <v>3545833.333333333</v>
      </c>
      <c r="AJ2" s="10">
        <f t="shared" si="0"/>
        <v>3545833.333333333</v>
      </c>
      <c r="AK2" s="10">
        <f t="shared" si="0"/>
        <v>3545833.333333333</v>
      </c>
      <c r="AL2" s="10">
        <f t="shared" si="0"/>
        <v>3545833.333333333</v>
      </c>
      <c r="AM2" s="10">
        <f t="shared" si="0"/>
        <v>3545833.333333333</v>
      </c>
      <c r="AN2" s="10">
        <f t="shared" si="0"/>
        <v>3545833.333333333</v>
      </c>
      <c r="AO2" s="10">
        <f t="shared" si="0"/>
        <v>3545833.333333333</v>
      </c>
      <c r="AP2" s="10">
        <f t="shared" si="0"/>
        <v>3545833.333333333</v>
      </c>
      <c r="AQ2" s="10">
        <f t="shared" si="0"/>
        <v>3545833.333333333</v>
      </c>
      <c r="AR2" s="10">
        <f t="shared" si="0"/>
        <v>3545833.333333333</v>
      </c>
      <c r="AS2" s="10">
        <f t="shared" si="0"/>
        <v>3545833.333333333</v>
      </c>
      <c r="AT2" s="10">
        <f t="shared" si="0"/>
        <v>3545833.333333333</v>
      </c>
      <c r="AU2" s="10">
        <f t="shared" si="0"/>
        <v>3545833.333333333</v>
      </c>
      <c r="AV2" s="10">
        <f t="shared" si="0"/>
        <v>3545833.333333333</v>
      </c>
      <c r="AW2" s="10">
        <f t="shared" si="0"/>
        <v>3545833.333333333</v>
      </c>
      <c r="AX2" s="10">
        <f t="shared" si="0"/>
        <v>3545833.333333333</v>
      </c>
      <c r="AY2" s="10">
        <f t="shared" si="0"/>
        <v>3545833.333333333</v>
      </c>
      <c r="AZ2" s="10">
        <f t="shared" si="0"/>
        <v>3545833.333333333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F043-BA16-449B-AB6C-878CEBA2C689}">
  <sheetPr>
    <tabColor theme="3"/>
  </sheetPr>
  <dimension ref="A1:AZ2"/>
  <sheetViews>
    <sheetView workbookViewId="0">
      <selection activeCell="AG2" sqref="AG2:AZ2"/>
    </sheetView>
  </sheetViews>
  <sheetFormatPr defaultColWidth="9.109375" defaultRowHeight="14.4" x14ac:dyDescent="0.3"/>
  <cols>
    <col min="1" max="1" width="26.33203125" customWidth="1"/>
  </cols>
  <sheetData>
    <row r="1" spans="1:52" x14ac:dyDescent="0.3">
      <c r="A1" s="9" t="s">
        <v>265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3">
      <c r="A2" t="s">
        <v>266</v>
      </c>
      <c r="B2" s="12">
        <f>INDEX('AEO Table 3 2021'!67:67,MATCH(B1,'AEO Table 3 2021'!1:1,0))/10^6*About!$A$60/About!$A$59</f>
        <v>92.385094561027103</v>
      </c>
      <c r="C2" s="12">
        <f>INDEX('AEO Table 3 2022'!67:67,MATCH(C1,'AEO Table 3 2022'!1:1,0))/10^6*About!$A$61/About!$A$59</f>
        <v>93.978105887781467</v>
      </c>
      <c r="D2" s="12">
        <f>INDEX('AEO Table 3 2023'!67:67,MATCH(D1,'AEO Table 3 2023'!1:1,0))/10^6*About!$A$61/About!$A$59</f>
        <v>103.57699495763774</v>
      </c>
      <c r="E2" s="12">
        <f>INDEX('AEO Table 3 2023'!67:67,MATCH(E1,'AEO Table 3 2023'!1:1,0))/10^6*About!$A$61/About!$A$59</f>
        <v>100.93588062916164</v>
      </c>
      <c r="F2" s="12">
        <f>INDEX('AEO Table 3 2023'!67:67,MATCH(F1,'AEO Table 3 2023'!1:1,0))/10^6*About!$A$61/About!$A$59</f>
        <v>97.195681889697426</v>
      </c>
      <c r="G2" s="12">
        <f>INDEX('AEO Table 3 2023'!67:67,MATCH(G1,'AEO Table 3 2023'!1:1,0))/10^6*About!$A$61/About!$A$59</f>
        <v>93.454633244350902</v>
      </c>
      <c r="H2" s="12">
        <f>INDEX('AEO Table 3 2023'!67:67,MATCH(H1,'AEO Table 3 2023'!1:1,0))/10^6*About!$A$61/About!$A$59</f>
        <v>91.239535684800543</v>
      </c>
      <c r="I2" s="12">
        <f>INDEX('AEO Table 3 2023'!67:67,MATCH(I1,'AEO Table 3 2023'!1:1,0))/10^6*About!$A$61/About!$A$59</f>
        <v>89.660948251027904</v>
      </c>
      <c r="J2" s="12">
        <f>INDEX('AEO Table 3 2023'!67:67,MATCH(J1,'AEO Table 3 2023'!1:1,0))/10^6*About!$A$61/About!$A$59</f>
        <v>88.539575491901672</v>
      </c>
      <c r="K2" s="12">
        <f>INDEX('AEO Table 3 2023'!67:67,MATCH(K1,'AEO Table 3 2023'!1:1,0))/10^6*About!$A$61/About!$A$59</f>
        <v>88.110797974276579</v>
      </c>
      <c r="L2" s="12">
        <f>INDEX('AEO Table 3 2023'!67:67,MATCH(L1,'AEO Table 3 2023'!1:1,0))/10^6*About!$A$61/About!$A$59</f>
        <v>88.231022075751014</v>
      </c>
      <c r="M2" s="12">
        <f>INDEX('AEO Table 3 2023'!67:67,MATCH(M1,'AEO Table 3 2023'!1:1,0))/10^6*About!$A$61/About!$A$59</f>
        <v>88.512956670934656</v>
      </c>
      <c r="N2" s="12">
        <f>INDEX('AEO Table 3 2023'!67:67,MATCH(N1,'AEO Table 3 2023'!1:1,0))/10^6*About!$A$61/About!$A$59</f>
        <v>88.751158694051711</v>
      </c>
      <c r="O2" s="12">
        <f>INDEX('AEO Table 3 2023'!67:67,MATCH(O1,'AEO Table 3 2023'!1:1,0))/10^6*About!$A$61/About!$A$59</f>
        <v>90.059794049246733</v>
      </c>
      <c r="P2" s="12">
        <f>INDEX('AEO Table 3 2023'!67:67,MATCH(P1,'AEO Table 3 2023'!1:1,0))/10^6*About!$A$61/About!$A$59</f>
        <v>90.906762841840404</v>
      </c>
      <c r="Q2" s="12">
        <f>INDEX('AEO Table 3 2023'!67:67,MATCH(Q1,'AEO Table 3 2023'!1:1,0))/10^6*About!$A$61/About!$A$59</f>
        <v>90.916799825593372</v>
      </c>
      <c r="R2" s="12">
        <f>INDEX('AEO Table 3 2023'!67:67,MATCH(R1,'AEO Table 3 2023'!1:1,0))/10^6*About!$A$61/About!$A$59</f>
        <v>91.448921851336408</v>
      </c>
      <c r="S2" s="12">
        <f>INDEX('AEO Table 3 2023'!67:67,MATCH(S1,'AEO Table 3 2023'!1:1,0))/10^6*About!$A$61/About!$A$59</f>
        <v>92.108836188077319</v>
      </c>
      <c r="T2" s="12">
        <f>INDEX('AEO Table 3 2023'!67:67,MATCH(T1,'AEO Table 3 2023'!1:1,0))/10^6*About!$A$61/About!$A$59</f>
        <v>93.096134848851065</v>
      </c>
      <c r="U2" s="12">
        <f>INDEX('AEO Table 3 2023'!67:67,MATCH(U1,'AEO Table 3 2023'!1:1,0))/10^6*About!$A$61/About!$A$59</f>
        <v>93.863484227123067</v>
      </c>
      <c r="V2" s="12">
        <f>INDEX('AEO Table 3 2023'!67:67,MATCH(V1,'AEO Table 3 2023'!1:1,0))/10^6*About!$A$61/About!$A$59</f>
        <v>94.514613312243782</v>
      </c>
      <c r="W2" s="12">
        <f>INDEX('AEO Table 3 2023'!67:67,MATCH(W1,'AEO Table 3 2023'!1:1,0))/10^6*About!$A$61/About!$A$59</f>
        <v>95.041439325822225</v>
      </c>
      <c r="X2" s="12">
        <f>INDEX('AEO Table 3 2023'!67:67,MATCH(X1,'AEO Table 3 2023'!1:1,0))/10^6*About!$A$61/About!$A$59</f>
        <v>95.257879133013986</v>
      </c>
      <c r="Y2" s="12">
        <f>INDEX('AEO Table 3 2023'!67:67,MATCH(Y1,'AEO Table 3 2023'!1:1,0))/10^6*About!$A$61/About!$A$59</f>
        <v>95.38822694333146</v>
      </c>
      <c r="Z2" s="12">
        <f>INDEX('AEO Table 3 2023'!67:67,MATCH(Z1,'AEO Table 3 2023'!1:1,0))/10^6*About!$A$61/About!$A$59</f>
        <v>95.496329768055801</v>
      </c>
      <c r="AA2" s="12">
        <f>INDEX('AEO Table 3 2023'!67:67,MATCH(AA1,'AEO Table 3 2023'!1:1,0))/10^6*About!$A$61/About!$A$59</f>
        <v>95.584783578215337</v>
      </c>
      <c r="AB2" s="12">
        <f>INDEX('AEO Table 3 2023'!67:67,MATCH(AB1,'AEO Table 3 2023'!1:1,0))/10^6*About!$A$61/About!$A$59</f>
        <v>95.294534937734014</v>
      </c>
      <c r="AC2" s="12">
        <f>INDEX('AEO Table 3 2023'!67:67,MATCH(AC1,'AEO Table 3 2023'!1:1,0))/10^6*About!$A$61/About!$A$59</f>
        <v>94.861984878692553</v>
      </c>
      <c r="AD2" s="12">
        <f>INDEX('AEO Table 3 2023'!67:67,MATCH(AD1,'AEO Table 3 2023'!1:1,0))/10^6*About!$A$61/About!$A$59</f>
        <v>94.713022973217988</v>
      </c>
      <c r="AE2" s="12">
        <f>INDEX('AEO Table 3 2023'!67:67,MATCH(AE1,'AEO Table 3 2023'!1:1,0))/10^6*About!$A$61/About!$A$59</f>
        <v>94.189483840551745</v>
      </c>
      <c r="AF2" s="12">
        <f>INDEX('AEO Table 3 2023'!67:67,MATCH(AF1,'AEO Table 3 2023'!1:1,0))/10^6*About!$A$61/About!$A$59</f>
        <v>93.402132765682126</v>
      </c>
      <c r="AG2" s="12">
        <f>AF2</f>
        <v>93.402132765682126</v>
      </c>
      <c r="AH2" s="12">
        <f t="shared" ref="AH2:AZ2" si="0">AG2</f>
        <v>93.402132765682126</v>
      </c>
      <c r="AI2" s="12">
        <f t="shared" si="0"/>
        <v>93.402132765682126</v>
      </c>
      <c r="AJ2" s="12">
        <f t="shared" si="0"/>
        <v>93.402132765682126</v>
      </c>
      <c r="AK2" s="12">
        <f t="shared" si="0"/>
        <v>93.402132765682126</v>
      </c>
      <c r="AL2" s="12">
        <f t="shared" si="0"/>
        <v>93.402132765682126</v>
      </c>
      <c r="AM2" s="12">
        <f t="shared" si="0"/>
        <v>93.402132765682126</v>
      </c>
      <c r="AN2" s="12">
        <f t="shared" si="0"/>
        <v>93.402132765682126</v>
      </c>
      <c r="AO2" s="12">
        <f t="shared" si="0"/>
        <v>93.402132765682126</v>
      </c>
      <c r="AP2" s="12">
        <f t="shared" si="0"/>
        <v>93.402132765682126</v>
      </c>
      <c r="AQ2" s="12">
        <f t="shared" si="0"/>
        <v>93.402132765682126</v>
      </c>
      <c r="AR2" s="12">
        <f t="shared" si="0"/>
        <v>93.402132765682126</v>
      </c>
      <c r="AS2" s="12">
        <f t="shared" si="0"/>
        <v>93.402132765682126</v>
      </c>
      <c r="AT2" s="12">
        <f t="shared" si="0"/>
        <v>93.402132765682126</v>
      </c>
      <c r="AU2" s="12">
        <f t="shared" si="0"/>
        <v>93.402132765682126</v>
      </c>
      <c r="AV2" s="12">
        <f t="shared" si="0"/>
        <v>93.402132765682126</v>
      </c>
      <c r="AW2" s="12">
        <f t="shared" si="0"/>
        <v>93.402132765682126</v>
      </c>
      <c r="AX2" s="12">
        <f t="shared" si="0"/>
        <v>93.402132765682126</v>
      </c>
      <c r="AY2" s="12">
        <f t="shared" si="0"/>
        <v>93.402132765682126</v>
      </c>
      <c r="AZ2" s="12">
        <f t="shared" si="0"/>
        <v>93.402132765682126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77A9-21C3-491A-80BE-AFAA838DFA2A}">
  <sheetPr>
    <tabColor theme="3"/>
  </sheetPr>
  <dimension ref="A1:AZ2"/>
  <sheetViews>
    <sheetView topLeftCell="AG1" workbookViewId="0">
      <selection activeCell="AG2" sqref="AG2:AZ2"/>
    </sheetView>
  </sheetViews>
  <sheetFormatPr defaultColWidth="9.109375" defaultRowHeight="14.4" x14ac:dyDescent="0.3"/>
  <cols>
    <col min="1" max="1" width="26.33203125" customWidth="1"/>
  </cols>
  <sheetData>
    <row r="1" spans="1:52" x14ac:dyDescent="0.3">
      <c r="A1" s="9" t="s">
        <v>265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3">
      <c r="A2" t="s">
        <v>267</v>
      </c>
      <c r="B2" s="12">
        <f>INDEX('AEO Table 3 2021'!67:67,MATCH(B1,'AEO Table 3 2021'!1:1,0))/10^6*About!$A$60/About!$A$59</f>
        <v>92.385094561027103</v>
      </c>
      <c r="C2" s="12">
        <f>INDEX('AEO Table 3 2022'!67:67,MATCH(C1,'AEO Table 3 2022'!1:1,0))/10^6*About!$A$61/About!$A$59</f>
        <v>93.978105887781467</v>
      </c>
      <c r="D2" s="12">
        <f>INDEX('AEO Table 3 2023'!67:67,MATCH(D1,'AEO Table 3 2023'!1:1,0))/10^6*About!$A$61/About!$A$59</f>
        <v>103.57699495763774</v>
      </c>
      <c r="E2" s="12">
        <f>INDEX('AEO Table 3 2023'!67:67,MATCH(E1,'AEO Table 3 2023'!1:1,0))/10^6*About!$A$61/About!$A$59</f>
        <v>100.93588062916164</v>
      </c>
      <c r="F2" s="12">
        <f>INDEX('AEO Table 3 2023'!67:67,MATCH(F1,'AEO Table 3 2023'!1:1,0))/10^6*About!$A$61/About!$A$59</f>
        <v>97.195681889697426</v>
      </c>
      <c r="G2" s="12">
        <f>INDEX('AEO Table 3 2023'!67:67,MATCH(G1,'AEO Table 3 2023'!1:1,0))/10^6*About!$A$61/About!$A$59</f>
        <v>93.454633244350902</v>
      </c>
      <c r="H2" s="12">
        <f>INDEX('AEO Table 3 2023'!67:67,MATCH(H1,'AEO Table 3 2023'!1:1,0))/10^6*About!$A$61/About!$A$59</f>
        <v>91.239535684800543</v>
      </c>
      <c r="I2" s="12">
        <f>INDEX('AEO Table 3 2023'!67:67,MATCH(I1,'AEO Table 3 2023'!1:1,0))/10^6*About!$A$61/About!$A$59</f>
        <v>89.660948251027904</v>
      </c>
      <c r="J2" s="12">
        <f>INDEX('AEO Table 3 2023'!67:67,MATCH(J1,'AEO Table 3 2023'!1:1,0))/10^6*About!$A$61/About!$A$59</f>
        <v>88.539575491901672</v>
      </c>
      <c r="K2" s="12">
        <f>INDEX('AEO Table 3 2023'!67:67,MATCH(K1,'AEO Table 3 2023'!1:1,0))/10^6*About!$A$61/About!$A$59</f>
        <v>88.110797974276579</v>
      </c>
      <c r="L2" s="12">
        <f>INDEX('AEO Table 3 2023'!67:67,MATCH(L1,'AEO Table 3 2023'!1:1,0))/10^6*About!$A$61/About!$A$59</f>
        <v>88.231022075751014</v>
      </c>
      <c r="M2" s="12">
        <f>INDEX('AEO Table 3 2023'!67:67,MATCH(M1,'AEO Table 3 2023'!1:1,0))/10^6*About!$A$61/About!$A$59</f>
        <v>88.512956670934656</v>
      </c>
      <c r="N2" s="12">
        <f>INDEX('AEO Table 3 2023'!67:67,MATCH(N1,'AEO Table 3 2023'!1:1,0))/10^6*About!$A$61/About!$A$59</f>
        <v>88.751158694051711</v>
      </c>
      <c r="O2" s="12">
        <f>INDEX('AEO Table 3 2023'!67:67,MATCH(O1,'AEO Table 3 2023'!1:1,0))/10^6*About!$A$61/About!$A$59</f>
        <v>90.059794049246733</v>
      </c>
      <c r="P2" s="12">
        <f>INDEX('AEO Table 3 2023'!67:67,MATCH(P1,'AEO Table 3 2023'!1:1,0))/10^6*About!$A$61/About!$A$59</f>
        <v>90.906762841840404</v>
      </c>
      <c r="Q2" s="12">
        <f>INDEX('AEO Table 3 2023'!67:67,MATCH(Q1,'AEO Table 3 2023'!1:1,0))/10^6*About!$A$61/About!$A$59</f>
        <v>90.916799825593372</v>
      </c>
      <c r="R2" s="12">
        <f>INDEX('AEO Table 3 2023'!67:67,MATCH(R1,'AEO Table 3 2023'!1:1,0))/10^6*About!$A$61/About!$A$59</f>
        <v>91.448921851336408</v>
      </c>
      <c r="S2" s="12">
        <f>INDEX('AEO Table 3 2023'!67:67,MATCH(S1,'AEO Table 3 2023'!1:1,0))/10^6*About!$A$61/About!$A$59</f>
        <v>92.108836188077319</v>
      </c>
      <c r="T2" s="12">
        <f>INDEX('AEO Table 3 2023'!67:67,MATCH(T1,'AEO Table 3 2023'!1:1,0))/10^6*About!$A$61/About!$A$59</f>
        <v>93.096134848851065</v>
      </c>
      <c r="U2" s="12">
        <f>INDEX('AEO Table 3 2023'!67:67,MATCH(U1,'AEO Table 3 2023'!1:1,0))/10^6*About!$A$61/About!$A$59</f>
        <v>93.863484227123067</v>
      </c>
      <c r="V2" s="12">
        <f>INDEX('AEO Table 3 2023'!67:67,MATCH(V1,'AEO Table 3 2023'!1:1,0))/10^6*About!$A$61/About!$A$59</f>
        <v>94.514613312243782</v>
      </c>
      <c r="W2" s="12">
        <f>INDEX('AEO Table 3 2023'!67:67,MATCH(W1,'AEO Table 3 2023'!1:1,0))/10^6*About!$A$61/About!$A$59</f>
        <v>95.041439325822225</v>
      </c>
      <c r="X2" s="12">
        <f>INDEX('AEO Table 3 2023'!67:67,MATCH(X1,'AEO Table 3 2023'!1:1,0))/10^6*About!$A$61/About!$A$59</f>
        <v>95.257879133013986</v>
      </c>
      <c r="Y2" s="12">
        <f>INDEX('AEO Table 3 2023'!67:67,MATCH(Y1,'AEO Table 3 2023'!1:1,0))/10^6*About!$A$61/About!$A$59</f>
        <v>95.38822694333146</v>
      </c>
      <c r="Z2" s="12">
        <f>INDEX('AEO Table 3 2023'!67:67,MATCH(Z1,'AEO Table 3 2023'!1:1,0))/10^6*About!$A$61/About!$A$59</f>
        <v>95.496329768055801</v>
      </c>
      <c r="AA2" s="12">
        <f>INDEX('AEO Table 3 2023'!67:67,MATCH(AA1,'AEO Table 3 2023'!1:1,0))/10^6*About!$A$61/About!$A$59</f>
        <v>95.584783578215337</v>
      </c>
      <c r="AB2" s="12">
        <f>INDEX('AEO Table 3 2023'!67:67,MATCH(AB1,'AEO Table 3 2023'!1:1,0))/10^6*About!$A$61/About!$A$59</f>
        <v>95.294534937734014</v>
      </c>
      <c r="AC2" s="12">
        <f>INDEX('AEO Table 3 2023'!67:67,MATCH(AC1,'AEO Table 3 2023'!1:1,0))/10^6*About!$A$61/About!$A$59</f>
        <v>94.861984878692553</v>
      </c>
      <c r="AD2" s="12">
        <f>INDEX('AEO Table 3 2023'!67:67,MATCH(AD1,'AEO Table 3 2023'!1:1,0))/10^6*About!$A$61/About!$A$59</f>
        <v>94.713022973217988</v>
      </c>
      <c r="AE2" s="12">
        <f>INDEX('AEO Table 3 2023'!67:67,MATCH(AE1,'AEO Table 3 2023'!1:1,0))/10^6*About!$A$61/About!$A$59</f>
        <v>94.189483840551745</v>
      </c>
      <c r="AF2" s="12">
        <f>INDEX('AEO Table 3 2023'!67:67,MATCH(AF1,'AEO Table 3 2023'!1:1,0))/10^6*About!$A$61/About!$A$59</f>
        <v>93.402132765682126</v>
      </c>
      <c r="AG2" s="12">
        <f>AF2</f>
        <v>93.402132765682126</v>
      </c>
      <c r="AH2" s="12">
        <f t="shared" ref="AH2:AZ2" si="0">AG2</f>
        <v>93.402132765682126</v>
      </c>
      <c r="AI2" s="12">
        <f t="shared" si="0"/>
        <v>93.402132765682126</v>
      </c>
      <c r="AJ2" s="12">
        <f t="shared" si="0"/>
        <v>93.402132765682126</v>
      </c>
      <c r="AK2" s="12">
        <f t="shared" si="0"/>
        <v>93.402132765682126</v>
      </c>
      <c r="AL2" s="12">
        <f t="shared" si="0"/>
        <v>93.402132765682126</v>
      </c>
      <c r="AM2" s="12">
        <f t="shared" si="0"/>
        <v>93.402132765682126</v>
      </c>
      <c r="AN2" s="12">
        <f t="shared" si="0"/>
        <v>93.402132765682126</v>
      </c>
      <c r="AO2" s="12">
        <f t="shared" si="0"/>
        <v>93.402132765682126</v>
      </c>
      <c r="AP2" s="12">
        <f t="shared" si="0"/>
        <v>93.402132765682126</v>
      </c>
      <c r="AQ2" s="12">
        <f t="shared" si="0"/>
        <v>93.402132765682126</v>
      </c>
      <c r="AR2" s="12">
        <f t="shared" si="0"/>
        <v>93.402132765682126</v>
      </c>
      <c r="AS2" s="12">
        <f t="shared" si="0"/>
        <v>93.402132765682126</v>
      </c>
      <c r="AT2" s="12">
        <f t="shared" si="0"/>
        <v>93.402132765682126</v>
      </c>
      <c r="AU2" s="12">
        <f t="shared" si="0"/>
        <v>93.402132765682126</v>
      </c>
      <c r="AV2" s="12">
        <f t="shared" si="0"/>
        <v>93.402132765682126</v>
      </c>
      <c r="AW2" s="12">
        <f t="shared" si="0"/>
        <v>93.402132765682126</v>
      </c>
      <c r="AX2" s="12">
        <f t="shared" si="0"/>
        <v>93.402132765682126</v>
      </c>
      <c r="AY2" s="12">
        <f t="shared" si="0"/>
        <v>93.402132765682126</v>
      </c>
      <c r="AZ2" s="12">
        <f t="shared" si="0"/>
        <v>93.402132765682126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7143F3-CC76-441D-8DA6-CB30E14E41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EE4980-405A-4047-9C31-692477979E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B31917-5064-4B77-B728-1073145DAA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AEO Table 3 2023</vt:lpstr>
      <vt:lpstr>AEO Table 3 2022</vt:lpstr>
      <vt:lpstr>AEO Table 3 2021</vt:lpstr>
      <vt:lpstr>BNE</vt:lpstr>
      <vt:lpstr>Conahcyt</vt:lpstr>
      <vt:lpstr>Calculations</vt:lpstr>
      <vt:lpstr>EIaE-BIE</vt:lpstr>
      <vt:lpstr>EIaE-BEE</vt:lpstr>
      <vt:lpstr>EIaE-IEP</vt:lpstr>
      <vt:lpstr>EIaE-BEEP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2016-02-04T22:14:05Z</dcterms:created>
  <dcterms:modified xsi:type="dcterms:W3CDTF">2025-05-14T15:41:49Z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