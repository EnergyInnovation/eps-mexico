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elec\DRC\"/>
    </mc:Choice>
  </mc:AlternateContent>
  <xr:revisionPtr revIDLastSave="0" documentId="13_ncr:1_{DA0FABC8-E2D3-43E6-A08C-2D1399C1AE93}" xr6:coauthVersionLast="47" xr6:coauthVersionMax="47" xr10:uidLastSave="{00000000-0000-0000-0000-000000000000}"/>
  <bookViews>
    <workbookView xWindow="-120" yWindow="-120" windowWidth="29040" windowHeight="17520" activeTab="5" xr2:uid="{00000000-000D-0000-FFFF-FFFF00000000}"/>
  </bookViews>
  <sheets>
    <sheet name="About" sheetId="1" r:id="rId1"/>
    <sheet name="Data and Calculations" sheetId="4" r:id="rId2"/>
    <sheet name="Scaling Factors" sheetId="6" r:id="rId3"/>
    <sheet name="DRC-BDRC" sheetId="5" r:id="rId4"/>
    <sheet name="DRC-PADRC" sheetId="2" r:id="rId5"/>
    <sheet name="DRC-ADRHpDRE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2" l="1"/>
  <c r="AK2" i="2"/>
  <c r="AL2" i="2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AI2" i="2"/>
  <c r="AJ2" i="5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AU2" i="5" s="1"/>
  <c r="AV2" i="5" s="1"/>
  <c r="AW2" i="5" s="1"/>
  <c r="AX2" i="5" s="1"/>
  <c r="AY2" i="5" s="1"/>
  <c r="AZ2" i="5" s="1"/>
  <c r="BA2" i="5" s="1"/>
  <c r="BB2" i="5" s="1"/>
  <c r="AI2" i="5"/>
  <c r="P3" i="6"/>
  <c r="P4" i="6"/>
  <c r="C2" i="2" l="1"/>
  <c r="B2" i="7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M4" i="6"/>
  <c r="L4" i="6"/>
  <c r="K4" i="6"/>
  <c r="J4" i="6"/>
  <c r="I4" i="6"/>
  <c r="H4" i="6"/>
  <c r="G4" i="6"/>
  <c r="F4" i="6"/>
  <c r="E4" i="6"/>
  <c r="D4" i="6"/>
  <c r="C4" i="6"/>
  <c r="W3" i="6"/>
  <c r="W4" i="6" s="1"/>
  <c r="V3" i="6"/>
  <c r="V4" i="6" s="1"/>
  <c r="U3" i="6"/>
  <c r="U4" i="6" s="1"/>
  <c r="T3" i="6"/>
  <c r="T4" i="6" s="1"/>
  <c r="S3" i="6"/>
  <c r="S4" i="6" s="1"/>
  <c r="R3" i="6"/>
  <c r="R4" i="6" s="1"/>
  <c r="Q3" i="6"/>
  <c r="Q4" i="6" s="1"/>
  <c r="O3" i="6"/>
  <c r="O4" i="6" s="1"/>
  <c r="N3" i="6"/>
  <c r="N4" i="6" s="1"/>
  <c r="D2" i="5"/>
  <c r="C2" i="5"/>
  <c r="B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E2" i="2"/>
  <c r="F2" i="2"/>
  <c r="G2" i="2"/>
  <c r="H2" i="2"/>
  <c r="M2" i="2"/>
  <c r="N2" i="2"/>
  <c r="O2" i="2"/>
  <c r="P2" i="2"/>
  <c r="U2" i="2"/>
  <c r="V2" i="2"/>
  <c r="W2" i="2"/>
  <c r="X2" i="2"/>
  <c r="AB2" i="2"/>
  <c r="AC2" i="2"/>
  <c r="AD2" i="2"/>
  <c r="AE2" i="2"/>
  <c r="AF2" i="2"/>
  <c r="T2" i="2" l="1"/>
  <c r="AA2" i="2"/>
  <c r="D2" i="2"/>
  <c r="B2" i="2"/>
  <c r="AH2" i="2"/>
  <c r="Z2" i="2"/>
  <c r="R2" i="2"/>
  <c r="J2" i="2"/>
  <c r="L2" i="2"/>
  <c r="S2" i="2"/>
  <c r="K2" i="2"/>
  <c r="AG2" i="2"/>
  <c r="Y2" i="2"/>
  <c r="Q2" i="2"/>
  <c r="I2" i="2"/>
</calcChain>
</file>

<file path=xl/sharedStrings.xml><?xml version="1.0" encoding="utf-8"?>
<sst xmlns="http://schemas.openxmlformats.org/spreadsheetml/2006/main" count="49" uniqueCount="47">
  <si>
    <t>DRC BAU Demand Response Capacity</t>
  </si>
  <si>
    <t>DRC Potential Additional Demand Response Capacity</t>
  </si>
  <si>
    <t>DRC Hours of DR Average Utility May Call Upon per Year</t>
  </si>
  <si>
    <t>DRC Average DR Hours per DR Event</t>
  </si>
  <si>
    <t>Sources:</t>
  </si>
  <si>
    <t>Hours of Shift DR Average Utility May Call Upon per Year and Average DR Hours per Day on Days When DR is Called Upon</t>
  </si>
  <si>
    <t>U.S. Department of Energy</t>
  </si>
  <si>
    <t>undated</t>
  </si>
  <si>
    <t>Demand Response and Time-Variable Pricing Programs: Western States</t>
  </si>
  <si>
    <t>https://www.energy.gov/eere/femp/demand-response-and-time-variable-pricing-programs-western-states</t>
  </si>
  <si>
    <t>Using "California Independent System Operator (CAISO) Proxy Demand Response and Reliability Demand Response program" (under "California" section)</t>
  </si>
  <si>
    <t>2019 Capacity and 2030 Projection</t>
  </si>
  <si>
    <t>Brattle Group</t>
  </si>
  <si>
    <t>The National Potential for Load Flexibility</t>
  </si>
  <si>
    <t>https://brattlefiles.blob.core.windows.net/files/16639_national_potential_for_load_flexibility_-_final.pdf</t>
  </si>
  <si>
    <t>Slide 18</t>
  </si>
  <si>
    <t>Notes:</t>
  </si>
  <si>
    <t>Demand response is defined as the potential to reduce or shift electricity usage during peak</t>
  </si>
  <si>
    <t>periods in response to time-based rates or other financial incentives.</t>
  </si>
  <si>
    <t>Although the Electricity Industry Law defines the Demand Control activity, it is not regulated and therefore does not exist as an operational tool for the National Energy Control Center Cenace.</t>
  </si>
  <si>
    <t>It is estimated that a maximum of 50% of industrial and transport sector demand is adaptable to economic and regulatory signals.</t>
  </si>
  <si>
    <t>We also require input data on the total number of hours of DR the average utility may call upon per year</t>
  </si>
  <si>
    <t>and the typical length of each DR event in hours.  These are used to apportion the DR capacity to different</t>
  </si>
  <si>
    <t>days and hours correctly in the model.</t>
  </si>
  <si>
    <t>Brattle Capacity Projections (MW)</t>
  </si>
  <si>
    <t>Peak Demand - EPS Output</t>
  </si>
  <si>
    <t>Time (Year)</t>
  </si>
  <si>
    <t>Peak Power Demand after Storage and DR[summer] : MostRecentRun</t>
  </si>
  <si>
    <t>DR Hours per Year and per Event</t>
  </si>
  <si>
    <t>CAISO's Proxy Demand Response and Reliability Demand Response programs specifies:</t>
  </si>
  <si>
    <t>Max of 48 hours of DR per 6-month period (96 per year)</t>
  </si>
  <si>
    <t>Participants must be able to maintain demand reduction for at least 4 hours per DR event</t>
  </si>
  <si>
    <t>Hours of Shift DR per Year</t>
  </si>
  <si>
    <t>Hours of DR per Event</t>
  </si>
  <si>
    <t>Mexico-U.S. Ratios</t>
  </si>
  <si>
    <t>Year</t>
  </si>
  <si>
    <t>GDP</t>
  </si>
  <si>
    <t>implementation curve</t>
  </si>
  <si>
    <t>For source information and calculations,</t>
  </si>
  <si>
    <t>factor</t>
  </si>
  <si>
    <t>see "Mexico US Scaling Factors.xlsx"</t>
  </si>
  <si>
    <t>in the InputData folder.</t>
  </si>
  <si>
    <t>DR Capacity (MW)</t>
  </si>
  <si>
    <t>Potential Additional DR Capacity (MW)</t>
  </si>
  <si>
    <t>Unit: hours</t>
  </si>
  <si>
    <t>Hours per Event</t>
  </si>
  <si>
    <t>DR Hours per DR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</si>
</sst>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42424"/>
      <name val="Consolas"/>
      <family val="3"/>
    </font>
    <font>
      <sz val="11"/>
      <color rgb="FF2424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NumberFormat="1" applyFont="1" applyFill="1"/>
    <xf numFmtId="0" fontId="1" fillId="0" borderId="0" xfId="0" applyNumberFormat="1" applyFont="1" applyAlignment="1">
      <alignment horizontal="right"/>
    </xf>
    <xf numFmtId="0" fontId="0" fillId="0" borderId="0" xfId="0" applyNumberFormat="1"/>
    <xf numFmtId="0" fontId="0" fillId="2" borderId="0" xfId="0" applyNumberFormat="1" applyFill="1"/>
    <xf numFmtId="0" fontId="3" fillId="0" borderId="0" xfId="0" applyNumberFormat="1" applyFont="1"/>
    <xf numFmtId="0" fontId="3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rattlefiles.blob.core.windows.net/files/16639_national_potential_for_load_flexibility_-_final.pdf" TargetMode="External"/><Relationship Id="rId1" Type="http://schemas.openxmlformats.org/officeDocument/2006/relationships/hyperlink" Target="https://www.energy.gov/eere/femp/demand-response-and-time-variable-pricing-programs-western-stat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activeCell="A5" sqref="A5"/>
    </sheetView>
  </sheetViews>
  <sheetFormatPr defaultColWidth="9.140625" defaultRowHeight="15" x14ac:dyDescent="0.25"/>
  <cols>
    <col min="2" max="2" width="107.28515625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</row>
    <row r="4" spans="1:2" x14ac:dyDescent="0.25">
      <c r="A4" s="1" t="s">
        <v>3</v>
      </c>
    </row>
    <row r="7" spans="1:2" x14ac:dyDescent="0.25">
      <c r="A7" s="1" t="s">
        <v>4</v>
      </c>
      <c r="B7" s="6" t="s">
        <v>5</v>
      </c>
    </row>
    <row r="8" spans="1:2" x14ac:dyDescent="0.25">
      <c r="B8" t="s">
        <v>6</v>
      </c>
    </row>
    <row r="9" spans="1:2" x14ac:dyDescent="0.25">
      <c r="B9" t="s">
        <v>7</v>
      </c>
    </row>
    <row r="10" spans="1:2" x14ac:dyDescent="0.25">
      <c r="B10" t="s">
        <v>8</v>
      </c>
    </row>
    <row r="11" spans="1:2" x14ac:dyDescent="0.25">
      <c r="B11" s="3" t="s">
        <v>9</v>
      </c>
    </row>
    <row r="12" spans="1:2" x14ac:dyDescent="0.25">
      <c r="B12" t="s">
        <v>10</v>
      </c>
    </row>
    <row r="14" spans="1:2" x14ac:dyDescent="0.25">
      <c r="A14" s="1"/>
      <c r="B14" s="6" t="s">
        <v>11</v>
      </c>
    </row>
    <row r="15" spans="1:2" x14ac:dyDescent="0.25">
      <c r="B15" t="s">
        <v>12</v>
      </c>
    </row>
    <row r="16" spans="1:2" x14ac:dyDescent="0.25">
      <c r="B16" s="2">
        <v>2019</v>
      </c>
    </row>
    <row r="17" spans="1:2" x14ac:dyDescent="0.25">
      <c r="B17" t="s">
        <v>13</v>
      </c>
    </row>
    <row r="18" spans="1:2" x14ac:dyDescent="0.25">
      <c r="B18" s="3" t="s">
        <v>14</v>
      </c>
    </row>
    <row r="19" spans="1:2" x14ac:dyDescent="0.25">
      <c r="B19" t="s">
        <v>15</v>
      </c>
    </row>
    <row r="21" spans="1:2" x14ac:dyDescent="0.25">
      <c r="A21" s="1" t="s">
        <v>16</v>
      </c>
    </row>
    <row r="22" spans="1:2" x14ac:dyDescent="0.25">
      <c r="A22" t="s">
        <v>17</v>
      </c>
    </row>
    <row r="23" spans="1:2" x14ac:dyDescent="0.25">
      <c r="A23" t="s">
        <v>18</v>
      </c>
    </row>
    <row r="24" spans="1:2" x14ac:dyDescent="0.25">
      <c r="A24" t="s">
        <v>19</v>
      </c>
    </row>
    <row r="25" spans="1:2" x14ac:dyDescent="0.25">
      <c r="A25" t="s">
        <v>20</v>
      </c>
    </row>
    <row r="27" spans="1:2" x14ac:dyDescent="0.25">
      <c r="A27" t="s">
        <v>21</v>
      </c>
    </row>
    <row r="28" spans="1:2" x14ac:dyDescent="0.25">
      <c r="A28" t="s">
        <v>22</v>
      </c>
    </row>
    <row r="29" spans="1:2" x14ac:dyDescent="0.25">
      <c r="A29" t="s">
        <v>23</v>
      </c>
    </row>
  </sheetData>
  <hyperlinks>
    <hyperlink ref="B11" r:id="rId1" xr:uid="{ED657289-6392-4C66-9FE3-F246C2AB4CF4}"/>
    <hyperlink ref="B18" r:id="rId2" xr:uid="{67680684-34F5-4783-8B64-A0DEA4A4A5C8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2"/>
  <sheetViews>
    <sheetView workbookViewId="0">
      <selection activeCell="A3" sqref="A3"/>
    </sheetView>
  </sheetViews>
  <sheetFormatPr defaultColWidth="9.140625" defaultRowHeight="15" x14ac:dyDescent="0.25"/>
  <cols>
    <col min="1" max="1" width="18" customWidth="1"/>
  </cols>
  <sheetData>
    <row r="1" spans="1:34" x14ac:dyDescent="0.25">
      <c r="A1" s="6" t="s">
        <v>24</v>
      </c>
      <c r="B1" s="5"/>
      <c r="C1" s="5"/>
    </row>
    <row r="2" spans="1:34" x14ac:dyDescent="0.25">
      <c r="A2">
        <v>2019</v>
      </c>
      <c r="B2">
        <v>2030</v>
      </c>
    </row>
    <row r="3" spans="1:34" x14ac:dyDescent="0.25">
      <c r="A3">
        <v>59000</v>
      </c>
      <c r="B3">
        <v>198000</v>
      </c>
    </row>
    <row r="5" spans="1:34" s="6" customFormat="1" x14ac:dyDescent="0.25">
      <c r="A5" s="6" t="s">
        <v>25</v>
      </c>
    </row>
    <row r="6" spans="1:34" x14ac:dyDescent="0.25">
      <c r="A6" t="s">
        <v>26</v>
      </c>
      <c r="B6">
        <v>2019</v>
      </c>
      <c r="C6">
        <v>2020</v>
      </c>
      <c r="D6">
        <v>2021</v>
      </c>
      <c r="E6">
        <v>2022</v>
      </c>
      <c r="F6">
        <v>2023</v>
      </c>
      <c r="G6">
        <v>2024</v>
      </c>
      <c r="H6">
        <v>2025</v>
      </c>
      <c r="I6">
        <v>2026</v>
      </c>
      <c r="J6">
        <v>2027</v>
      </c>
      <c r="K6">
        <v>2028</v>
      </c>
      <c r="L6">
        <v>2029</v>
      </c>
      <c r="M6">
        <v>2030</v>
      </c>
      <c r="N6">
        <v>2031</v>
      </c>
      <c r="O6">
        <v>2032</v>
      </c>
      <c r="P6">
        <v>2033</v>
      </c>
      <c r="Q6">
        <v>2034</v>
      </c>
      <c r="R6">
        <v>2035</v>
      </c>
      <c r="S6">
        <v>2036</v>
      </c>
      <c r="T6">
        <v>2037</v>
      </c>
      <c r="U6">
        <v>2038</v>
      </c>
      <c r="V6">
        <v>2039</v>
      </c>
      <c r="W6">
        <v>2040</v>
      </c>
      <c r="X6">
        <v>2041</v>
      </c>
      <c r="Y6">
        <v>2042</v>
      </c>
      <c r="Z6">
        <v>2043</v>
      </c>
      <c r="AA6">
        <v>2044</v>
      </c>
      <c r="AB6">
        <v>2045</v>
      </c>
      <c r="AC6">
        <v>2046</v>
      </c>
      <c r="AD6">
        <v>2047</v>
      </c>
      <c r="AE6">
        <v>2048</v>
      </c>
      <c r="AF6">
        <v>2049</v>
      </c>
      <c r="AG6">
        <v>2050</v>
      </c>
    </row>
    <row r="7" spans="1:34" x14ac:dyDescent="0.25">
      <c r="A7" t="s">
        <v>27</v>
      </c>
      <c r="B7">
        <v>752136</v>
      </c>
      <c r="C7">
        <v>683006</v>
      </c>
      <c r="D7">
        <v>728954</v>
      </c>
      <c r="E7">
        <v>745991</v>
      </c>
      <c r="F7">
        <v>757422</v>
      </c>
      <c r="G7">
        <v>766081</v>
      </c>
      <c r="H7">
        <v>772495</v>
      </c>
      <c r="I7">
        <v>776739</v>
      </c>
      <c r="J7">
        <v>779659</v>
      </c>
      <c r="K7">
        <v>784465</v>
      </c>
      <c r="L7">
        <v>792336</v>
      </c>
      <c r="M7">
        <v>796481</v>
      </c>
      <c r="N7">
        <v>800947</v>
      </c>
      <c r="O7">
        <v>806133</v>
      </c>
      <c r="P7">
        <v>810368</v>
      </c>
      <c r="Q7">
        <v>814654</v>
      </c>
      <c r="R7">
        <v>819808</v>
      </c>
      <c r="S7">
        <v>824754</v>
      </c>
      <c r="T7">
        <v>830998</v>
      </c>
      <c r="U7">
        <v>836502</v>
      </c>
      <c r="V7" s="7">
        <v>841698</v>
      </c>
      <c r="W7" s="7">
        <v>847887</v>
      </c>
      <c r="X7" s="7">
        <v>853549</v>
      </c>
      <c r="Y7" s="7">
        <v>859603</v>
      </c>
      <c r="Z7" s="7">
        <v>866464</v>
      </c>
      <c r="AA7" s="7">
        <v>873306</v>
      </c>
      <c r="AB7" s="7">
        <v>881021</v>
      </c>
      <c r="AC7" s="7">
        <v>888875</v>
      </c>
      <c r="AD7" s="7">
        <v>896015</v>
      </c>
      <c r="AE7" s="7">
        <v>903925</v>
      </c>
      <c r="AF7" s="7">
        <v>912866</v>
      </c>
      <c r="AG7" s="7">
        <v>922440</v>
      </c>
      <c r="AH7" s="7"/>
    </row>
    <row r="11" spans="1:34" x14ac:dyDescent="0.25">
      <c r="A11" s="6" t="s">
        <v>28</v>
      </c>
      <c r="B11" s="5"/>
      <c r="C11" s="5"/>
    </row>
    <row r="13" spans="1:34" x14ac:dyDescent="0.25">
      <c r="A13" t="s">
        <v>29</v>
      </c>
    </row>
    <row r="15" spans="1:34" x14ac:dyDescent="0.25">
      <c r="A15" t="s">
        <v>30</v>
      </c>
    </row>
    <row r="16" spans="1:34" x14ac:dyDescent="0.25">
      <c r="A16" t="s">
        <v>31</v>
      </c>
    </row>
    <row r="18" spans="1:1" x14ac:dyDescent="0.25">
      <c r="A18" t="s">
        <v>32</v>
      </c>
    </row>
    <row r="19" spans="1:1" x14ac:dyDescent="0.25">
      <c r="A19">
        <v>96</v>
      </c>
    </row>
    <row r="21" spans="1:1" x14ac:dyDescent="0.25">
      <c r="A21" t="s">
        <v>33</v>
      </c>
    </row>
    <row r="22" spans="1:1" x14ac:dyDescent="0.25">
      <c r="A22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C662D-3E4B-D847-BD9D-5DB361B9A6C7}">
  <dimension ref="A1:AM6"/>
  <sheetViews>
    <sheetView workbookViewId="0">
      <selection activeCell="A11" sqref="A11"/>
    </sheetView>
  </sheetViews>
  <sheetFormatPr defaultColWidth="8.85546875" defaultRowHeight="15" x14ac:dyDescent="0.25"/>
  <cols>
    <col min="1" max="1" width="37.42578125" style="15" bestFit="1" customWidth="1"/>
    <col min="2" max="13" width="9.140625" style="15"/>
    <col min="14" max="14" width="16.28515625" style="15" bestFit="1" customWidth="1"/>
    <col min="15" max="15" width="14.7109375" style="15" bestFit="1" customWidth="1"/>
    <col min="16" max="16" width="14.140625" style="15" bestFit="1" customWidth="1"/>
    <col min="17" max="17" width="12.7109375" style="15" bestFit="1" customWidth="1"/>
    <col min="18" max="18" width="12.140625" style="15" bestFit="1" customWidth="1"/>
    <col min="19" max="19" width="10.7109375" style="15" bestFit="1" customWidth="1"/>
    <col min="20" max="20" width="10.140625" style="15" bestFit="1" customWidth="1"/>
    <col min="21" max="21" width="9" style="15" bestFit="1" customWidth="1"/>
    <col min="22" max="22" width="9.140625" style="15" bestFit="1" customWidth="1"/>
    <col min="23" max="23" width="9" style="15" bestFit="1" customWidth="1"/>
    <col min="24" max="16384" width="8.85546875" style="15"/>
  </cols>
  <sheetData>
    <row r="1" spans="1:39" x14ac:dyDescent="0.25">
      <c r="A1" s="13" t="s">
        <v>34</v>
      </c>
      <c r="B1" s="14" t="s">
        <v>35</v>
      </c>
      <c r="C1" s="15">
        <v>2014</v>
      </c>
      <c r="D1" s="15">
        <v>2015</v>
      </c>
      <c r="E1" s="15">
        <v>2016</v>
      </c>
      <c r="F1" s="15">
        <v>2017</v>
      </c>
      <c r="G1" s="15">
        <v>2018</v>
      </c>
      <c r="H1" s="15">
        <v>2019</v>
      </c>
      <c r="I1" s="15">
        <v>2020</v>
      </c>
      <c r="J1" s="15">
        <v>2021</v>
      </c>
      <c r="K1" s="15">
        <v>2022</v>
      </c>
      <c r="L1" s="15">
        <v>2023</v>
      </c>
      <c r="M1" s="15">
        <v>2024</v>
      </c>
      <c r="N1" s="15">
        <v>2025</v>
      </c>
      <c r="O1" s="15">
        <v>2026</v>
      </c>
      <c r="P1" s="15">
        <v>2027</v>
      </c>
      <c r="Q1" s="15">
        <v>2028</v>
      </c>
      <c r="R1" s="15">
        <v>2029</v>
      </c>
      <c r="S1" s="15">
        <v>2030</v>
      </c>
      <c r="T1" s="15">
        <v>2031</v>
      </c>
      <c r="U1" s="15">
        <v>2032</v>
      </c>
      <c r="V1" s="15">
        <v>2033</v>
      </c>
      <c r="W1" s="15">
        <v>2034</v>
      </c>
      <c r="X1" s="15">
        <v>2035</v>
      </c>
      <c r="Y1" s="15">
        <v>2036</v>
      </c>
      <c r="Z1" s="15">
        <v>2037</v>
      </c>
      <c r="AA1" s="15">
        <v>2038</v>
      </c>
      <c r="AB1" s="15">
        <v>2039</v>
      </c>
      <c r="AC1" s="15">
        <v>2040</v>
      </c>
      <c r="AD1" s="15">
        <v>2041</v>
      </c>
      <c r="AE1" s="15">
        <v>2042</v>
      </c>
      <c r="AF1" s="15">
        <v>2043</v>
      </c>
      <c r="AG1" s="15">
        <v>2044</v>
      </c>
      <c r="AH1" s="15">
        <v>2045</v>
      </c>
      <c r="AI1" s="15">
        <v>2046</v>
      </c>
      <c r="AJ1" s="15">
        <v>2047</v>
      </c>
      <c r="AK1" s="15">
        <v>2048</v>
      </c>
      <c r="AL1" s="15">
        <v>2049</v>
      </c>
      <c r="AM1" s="15">
        <v>2050</v>
      </c>
    </row>
    <row r="2" spans="1:39" x14ac:dyDescent="0.25">
      <c r="A2" s="16"/>
      <c r="B2" s="14" t="s">
        <v>36</v>
      </c>
      <c r="C2" s="15">
        <v>9.8636644841800333E-2</v>
      </c>
      <c r="D2" s="15">
        <v>0.1003252824664638</v>
      </c>
      <c r="E2" s="15">
        <v>0.10104496285900474</v>
      </c>
      <c r="F2" s="15">
        <v>0.10152702997943744</v>
      </c>
      <c r="G2" s="15">
        <v>0.10197979351839384</v>
      </c>
      <c r="H2" s="15">
        <v>0.10245639964773269</v>
      </c>
      <c r="I2" s="15">
        <v>0.10296756277334541</v>
      </c>
      <c r="J2" s="15">
        <v>0.10340803251068771</v>
      </c>
      <c r="K2" s="15">
        <v>0.10388755191988928</v>
      </c>
      <c r="L2" s="15">
        <v>0.10440602714772437</v>
      </c>
      <c r="M2" s="15">
        <v>0.10496009002297045</v>
      </c>
      <c r="N2" s="15">
        <v>0.10556555417442678</v>
      </c>
      <c r="O2" s="15">
        <v>0.10600870488733041</v>
      </c>
      <c r="P2" s="15">
        <v>0.10652912605952648</v>
      </c>
      <c r="Q2" s="15">
        <v>0.10713820378721554</v>
      </c>
      <c r="R2" s="15">
        <v>0.1078432446493542</v>
      </c>
      <c r="S2" s="15">
        <v>0.10864823793881466</v>
      </c>
      <c r="T2" s="15">
        <v>0.10949499278959707</v>
      </c>
      <c r="U2" s="15">
        <v>0.11043742468059306</v>
      </c>
      <c r="V2" s="15">
        <v>0.11146883731544265</v>
      </c>
      <c r="W2" s="15">
        <v>0.11257986730772145</v>
      </c>
      <c r="X2" s="15">
        <v>0.11375854360098116</v>
      </c>
      <c r="Y2" s="15">
        <v>0.11500700295303776</v>
      </c>
      <c r="Z2" s="15">
        <v>0.11629345638152376</v>
      </c>
      <c r="AA2" s="15">
        <v>0.11760210049057489</v>
      </c>
      <c r="AB2" s="15">
        <v>0.11891740974492833</v>
      </c>
      <c r="AC2" s="15">
        <v>0.12022482270847104</v>
      </c>
      <c r="AD2" s="15">
        <v>0.1217335942417123</v>
      </c>
      <c r="AE2" s="15">
        <v>0.12321472992477742</v>
      </c>
      <c r="AF2" s="15">
        <v>0.12465772297340184</v>
      </c>
      <c r="AG2" s="15">
        <v>0.12605355536241392</v>
      </c>
      <c r="AH2" s="15">
        <v>0.12739430164149732</v>
      </c>
      <c r="AI2" s="15">
        <v>0.12879656057806463</v>
      </c>
      <c r="AJ2" s="15">
        <v>0.13011576903115954</v>
      </c>
      <c r="AK2" s="15">
        <v>0.13135142612657708</v>
      </c>
      <c r="AL2" s="15">
        <v>0.13250370221109664</v>
      </c>
      <c r="AM2" s="15">
        <v>0.13357320132464462</v>
      </c>
    </row>
    <row r="3" spans="1:39" x14ac:dyDescent="0.25">
      <c r="B3" s="15" t="s">
        <v>37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f t="shared" ref="N3:W3" si="0">(($X3-$M3)/($X1-$M1))*(N1-$M1)+$M3</f>
        <v>9.0909090909090912E-2</v>
      </c>
      <c r="O3" s="15">
        <f t="shared" si="0"/>
        <v>0.18181818181818182</v>
      </c>
      <c r="P3" s="15">
        <f>(($X3-$M3)/($X1-$M1))*(P1-$M1)+$M3</f>
        <v>0.27272727272727271</v>
      </c>
      <c r="Q3" s="15">
        <f t="shared" si="0"/>
        <v>0.36363636363636365</v>
      </c>
      <c r="R3" s="15">
        <f t="shared" si="0"/>
        <v>0.45454545454545459</v>
      </c>
      <c r="S3" s="15">
        <f t="shared" si="0"/>
        <v>0.54545454545454541</v>
      </c>
      <c r="T3" s="15">
        <f t="shared" si="0"/>
        <v>0.63636363636363635</v>
      </c>
      <c r="U3" s="15">
        <f t="shared" si="0"/>
        <v>0.72727272727272729</v>
      </c>
      <c r="V3" s="15">
        <f t="shared" si="0"/>
        <v>0.81818181818181823</v>
      </c>
      <c r="W3" s="15">
        <f t="shared" si="0"/>
        <v>0.90909090909090917</v>
      </c>
      <c r="X3" s="15">
        <v>1</v>
      </c>
      <c r="Y3" s="15">
        <v>1</v>
      </c>
      <c r="Z3" s="15">
        <v>1</v>
      </c>
      <c r="AA3" s="15">
        <v>1</v>
      </c>
      <c r="AB3" s="15">
        <v>1</v>
      </c>
      <c r="AC3" s="15">
        <v>1</v>
      </c>
      <c r="AD3" s="15">
        <v>1</v>
      </c>
      <c r="AE3" s="15">
        <v>1</v>
      </c>
      <c r="AF3" s="15">
        <v>1</v>
      </c>
      <c r="AG3" s="15">
        <v>1</v>
      </c>
      <c r="AH3" s="15">
        <v>1</v>
      </c>
      <c r="AI3" s="15">
        <v>1</v>
      </c>
      <c r="AJ3" s="15">
        <v>1</v>
      </c>
      <c r="AK3" s="15">
        <v>1</v>
      </c>
      <c r="AL3" s="15">
        <v>1</v>
      </c>
      <c r="AM3" s="15">
        <v>1</v>
      </c>
    </row>
    <row r="4" spans="1:39" x14ac:dyDescent="0.25">
      <c r="A4" s="17" t="s">
        <v>38</v>
      </c>
      <c r="B4" s="15" t="s">
        <v>39</v>
      </c>
      <c r="C4" s="15">
        <f t="shared" ref="C4:AM4" si="1">C2*C3</f>
        <v>0</v>
      </c>
      <c r="D4" s="15">
        <f t="shared" si="1"/>
        <v>0</v>
      </c>
      <c r="E4" s="15">
        <f t="shared" si="1"/>
        <v>0</v>
      </c>
      <c r="F4" s="15">
        <f t="shared" si="1"/>
        <v>0</v>
      </c>
      <c r="G4" s="15">
        <f t="shared" si="1"/>
        <v>0</v>
      </c>
      <c r="H4" s="15">
        <f t="shared" si="1"/>
        <v>0</v>
      </c>
      <c r="I4" s="15">
        <f t="shared" si="1"/>
        <v>0</v>
      </c>
      <c r="J4" s="15">
        <f t="shared" si="1"/>
        <v>0</v>
      </c>
      <c r="K4" s="15">
        <f t="shared" si="1"/>
        <v>0</v>
      </c>
      <c r="L4" s="15">
        <f t="shared" si="1"/>
        <v>0</v>
      </c>
      <c r="M4" s="15">
        <f t="shared" si="1"/>
        <v>0</v>
      </c>
      <c r="N4" s="15">
        <f t="shared" si="1"/>
        <v>9.5968685613115265E-3</v>
      </c>
      <c r="O4" s="15">
        <f t="shared" si="1"/>
        <v>1.9274309979514622E-2</v>
      </c>
      <c r="P4" s="15">
        <f>P2*P3</f>
        <v>2.9053398016234494E-2</v>
      </c>
      <c r="Q4" s="15">
        <f t="shared" si="1"/>
        <v>3.8959346831714745E-2</v>
      </c>
      <c r="R4" s="15">
        <f t="shared" si="1"/>
        <v>4.9019656658797366E-2</v>
      </c>
      <c r="S4" s="15">
        <f t="shared" si="1"/>
        <v>5.9262675239353448E-2</v>
      </c>
      <c r="T4" s="15">
        <f t="shared" si="1"/>
        <v>6.9678631775198133E-2</v>
      </c>
      <c r="U4" s="15">
        <f t="shared" si="1"/>
        <v>8.0318127040431314E-2</v>
      </c>
      <c r="V4" s="15">
        <f t="shared" si="1"/>
        <v>9.1201775985362166E-2</v>
      </c>
      <c r="W4" s="15">
        <f t="shared" si="1"/>
        <v>0.10234533391611042</v>
      </c>
      <c r="X4" s="15">
        <f t="shared" si="1"/>
        <v>0.11375854360098116</v>
      </c>
      <c r="Y4" s="15">
        <f t="shared" si="1"/>
        <v>0.11500700295303776</v>
      </c>
      <c r="Z4" s="15">
        <f t="shared" si="1"/>
        <v>0.11629345638152376</v>
      </c>
      <c r="AA4" s="15">
        <f t="shared" si="1"/>
        <v>0.11760210049057489</v>
      </c>
      <c r="AB4" s="15">
        <f t="shared" si="1"/>
        <v>0.11891740974492833</v>
      </c>
      <c r="AC4" s="15">
        <f t="shared" si="1"/>
        <v>0.12022482270847104</v>
      </c>
      <c r="AD4" s="15">
        <f t="shared" si="1"/>
        <v>0.1217335942417123</v>
      </c>
      <c r="AE4" s="15">
        <f t="shared" si="1"/>
        <v>0.12321472992477742</v>
      </c>
      <c r="AF4" s="15">
        <f t="shared" si="1"/>
        <v>0.12465772297340184</v>
      </c>
      <c r="AG4" s="15">
        <f t="shared" si="1"/>
        <v>0.12605355536241392</v>
      </c>
      <c r="AH4" s="15">
        <f t="shared" si="1"/>
        <v>0.12739430164149732</v>
      </c>
      <c r="AI4" s="15">
        <f t="shared" si="1"/>
        <v>0.12879656057806463</v>
      </c>
      <c r="AJ4" s="15">
        <f t="shared" si="1"/>
        <v>0.13011576903115954</v>
      </c>
      <c r="AK4" s="15">
        <f t="shared" si="1"/>
        <v>0.13135142612657708</v>
      </c>
      <c r="AL4" s="15">
        <f t="shared" si="1"/>
        <v>0.13250370221109664</v>
      </c>
      <c r="AM4" s="15">
        <f t="shared" si="1"/>
        <v>0.13357320132464462</v>
      </c>
    </row>
    <row r="5" spans="1:39" x14ac:dyDescent="0.25">
      <c r="A5" s="18" t="s">
        <v>40</v>
      </c>
    </row>
    <row r="6" spans="1:39" x14ac:dyDescent="0.25">
      <c r="A6" s="17" t="s">
        <v>41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D16"/>
  <sheetViews>
    <sheetView topLeftCell="AD1" workbookViewId="0">
      <selection activeCell="AI2" sqref="AI2:BB2"/>
    </sheetView>
  </sheetViews>
  <sheetFormatPr defaultColWidth="8.85546875" defaultRowHeight="15" x14ac:dyDescent="0.25"/>
  <cols>
    <col min="1" max="1" width="19.28515625" customWidth="1"/>
  </cols>
  <sheetData>
    <row r="1" spans="1:56" x14ac:dyDescent="0.25">
      <c r="A1" s="1" t="s">
        <v>35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  <c r="AS1">
        <v>2061</v>
      </c>
      <c r="AT1">
        <v>2062</v>
      </c>
      <c r="AU1">
        <v>2063</v>
      </c>
      <c r="AV1">
        <v>2064</v>
      </c>
      <c r="AW1">
        <v>2065</v>
      </c>
      <c r="AX1">
        <v>2066</v>
      </c>
      <c r="AY1">
        <v>2067</v>
      </c>
      <c r="AZ1">
        <v>2068</v>
      </c>
      <c r="BA1">
        <v>2069</v>
      </c>
      <c r="BB1">
        <v>2070</v>
      </c>
    </row>
    <row r="2" spans="1:56" x14ac:dyDescent="0.25">
      <c r="A2" s="1" t="s">
        <v>42</v>
      </c>
      <c r="B2" s="4">
        <f>C2</f>
        <v>0</v>
      </c>
      <c r="C2" s="10">
        <f>'Data and Calculations'!A3*'Scaling Factors'!H4</f>
        <v>0</v>
      </c>
      <c r="D2" s="4">
        <f>('Data and Calculations'!$A3)*('Data and Calculations'!C7/'Data and Calculations'!$B$7)*'Scaling Factors'!I4</f>
        <v>0</v>
      </c>
      <c r="E2" s="4">
        <f>('Data and Calculations'!$A3)*('Data and Calculations'!D7/'Data and Calculations'!$B$7)*'Scaling Factors'!J4</f>
        <v>0</v>
      </c>
      <c r="F2" s="4">
        <f>('Data and Calculations'!$A3)*('Data and Calculations'!E7/'Data and Calculations'!$B$7)*'Scaling Factors'!K4</f>
        <v>0</v>
      </c>
      <c r="G2" s="4">
        <f>('Data and Calculations'!$A3)*('Data and Calculations'!F7/'Data and Calculations'!$B$7)*'Scaling Factors'!L4</f>
        <v>0</v>
      </c>
      <c r="H2" s="4">
        <f>('Data and Calculations'!$A3)*('Data and Calculations'!G7/'Data and Calculations'!$B$7)*'Scaling Factors'!M4</f>
        <v>0</v>
      </c>
      <c r="I2" s="4">
        <f>('Data and Calculations'!$A3)*('Data and Calculations'!H7/'Data and Calculations'!$B$7)*'Scaling Factors'!N4</f>
        <v>581.54169694968789</v>
      </c>
      <c r="J2" s="4">
        <f>('Data and Calculations'!$A3)*('Data and Calculations'!I7/'Data and Calculations'!$B$7)*'Scaling Factors'!O4</f>
        <v>1174.3825415769413</v>
      </c>
      <c r="K2" s="4">
        <f>('Data and Calculations'!$A3)*('Data and Calculations'!J7/'Data and Calculations'!$B$7)*'Scaling Factors'!P4</f>
        <v>1776.8765906596982</v>
      </c>
      <c r="L2" s="4">
        <f>('Data and Calculations'!$A3)*('Data and Calculations'!K7/'Data and Calculations'!$B$7)*'Scaling Factors'!Q4</f>
        <v>2397.4020612337731</v>
      </c>
      <c r="M2" s="4">
        <f>('Data and Calculations'!$A3)*('Data and Calculations'!L7/'Data and Calculations'!$B$7)*'Scaling Factors'!R4</f>
        <v>3046.7392626145902</v>
      </c>
      <c r="N2" s="4">
        <f>('Data and Calculations'!$A3)*('Data and Calculations'!M7/'Data and Calculations'!$B$7)*'Scaling Factors'!S4</f>
        <v>3702.6469885786787</v>
      </c>
      <c r="O2" s="4">
        <f>('Data and Calculations'!$A3)*('Data and Calculations'!N7/'Data and Calculations'!$B$7)*'Scaling Factors'!T4</f>
        <v>4377.8313682399566</v>
      </c>
      <c r="P2" s="4">
        <f>('Data and Calculations'!$A3)*('Data and Calculations'!O7/'Data and Calculations'!$B$7)*'Scaling Factors'!U4</f>
        <v>5078.9730442680011</v>
      </c>
      <c r="Q2" s="4">
        <f>('Data and Calculations'!$A3)*('Data and Calculations'!P7/'Data and Calculations'!$B$7)*'Scaling Factors'!V4</f>
        <v>5797.5060990308293</v>
      </c>
      <c r="R2" s="4">
        <f>('Data and Calculations'!$A3)*('Data and Calculations'!Q7/'Data and Calculations'!$B$7)*'Scaling Factors'!W4</f>
        <v>6540.2880645383366</v>
      </c>
      <c r="S2" s="4">
        <f>('Data and Calculations'!$A3)*('Data and Calculations'!R7/'Data and Calculations'!$B$7)*'Scaling Factors'!X4</f>
        <v>7315.6313254963943</v>
      </c>
      <c r="T2" s="4">
        <f>('Data and Calculations'!$A3)*('Data and Calculations'!S7/'Data and Calculations'!$B$7)*'Scaling Factors'!Y4</f>
        <v>7440.5382232711263</v>
      </c>
      <c r="U2" s="4">
        <f>('Data and Calculations'!$A3)*('Data and Calculations'!T7/'Data and Calculations'!$B$7)*'Scaling Factors'!Z4</f>
        <v>7580.7276214698877</v>
      </c>
      <c r="V2" s="4">
        <f>('Data and Calculations'!$A3)*('Data and Calculations'!U7/'Data and Calculations'!$B$7)*'Scaling Factors'!AA4</f>
        <v>7716.8080554706139</v>
      </c>
      <c r="W2" s="4">
        <f>('Data and Calculations'!$A3)*('Data and Calculations'!V7/'Data and Calculations'!$B$7)*'Scaling Factors'!AB4</f>
        <v>7851.5856319890481</v>
      </c>
      <c r="X2" s="4">
        <f>('Data and Calculations'!$A3)*('Data and Calculations'!W7/'Data and Calculations'!$B$7)*'Scaling Factors'!AC4</f>
        <v>7996.275661392654</v>
      </c>
      <c r="Y2" s="4">
        <f>('Data and Calculations'!$A3)*('Data and Calculations'!X7/'Data and Calculations'!$B$7)*'Scaling Factors'!AD4</f>
        <v>8150.6930531894996</v>
      </c>
      <c r="Z2" s="4">
        <f>('Data and Calculations'!$A3)*('Data and Calculations'!Y7/'Data and Calculations'!$B$7)*'Scaling Factors'!AE4</f>
        <v>8308.3768597224152</v>
      </c>
      <c r="AA2" s="4">
        <f>('Data and Calculations'!$A3)*('Data and Calculations'!Z7/'Data and Calculations'!$B$7)*'Scaling Factors'!AF4</f>
        <v>8472.7686580978898</v>
      </c>
      <c r="AB2" s="4">
        <f>('Data and Calculations'!$A3)*('Data and Calculations'!AA7/'Data and Calculations'!$B$7)*'Scaling Factors'!AG4</f>
        <v>8635.2950090679969</v>
      </c>
      <c r="AC2" s="4">
        <f>('Data and Calculations'!$A3)*('Data and Calculations'!AB7/'Data and Calculations'!$B$7)*'Scaling Factors'!AH4</f>
        <v>8804.2405184210347</v>
      </c>
      <c r="AD2" s="4">
        <f>('Data and Calculations'!$A3)*('Data and Calculations'!AC7/'Data and Calculations'!$B$7)*'Scaling Factors'!AI4</f>
        <v>8980.5015638738259</v>
      </c>
      <c r="AE2" s="4">
        <f>('Data and Calculations'!$A3)*('Data and Calculations'!AD7/'Data and Calculations'!$B$7)*'Scaling Factors'!AJ4</f>
        <v>9145.3609008461372</v>
      </c>
      <c r="AF2" s="4">
        <f>('Data and Calculations'!$A3)*('Data and Calculations'!AE7/'Data and Calculations'!$B$7)*'Scaling Factors'!AK4</f>
        <v>9313.7124586863356</v>
      </c>
      <c r="AG2" s="4">
        <f>('Data and Calculations'!$A3)*('Data and Calculations'!AF7/'Data and Calculations'!$B$7)*'Scaling Factors'!AL4</f>
        <v>9488.3496505092971</v>
      </c>
      <c r="AH2" s="4">
        <f>('Data and Calculations'!$A3)*('Data and Calculations'!AG7/'Data and Calculations'!$B$7)*'Scaling Factors'!AM4</f>
        <v>9665.2501222709798</v>
      </c>
      <c r="AI2" s="4">
        <f>AH2</f>
        <v>9665.2501222709798</v>
      </c>
      <c r="AJ2" s="4">
        <f t="shared" ref="AJ2:BB2" si="0">AI2</f>
        <v>9665.2501222709798</v>
      </c>
      <c r="AK2" s="4">
        <f t="shared" si="0"/>
        <v>9665.2501222709798</v>
      </c>
      <c r="AL2" s="4">
        <f t="shared" si="0"/>
        <v>9665.2501222709798</v>
      </c>
      <c r="AM2" s="4">
        <f t="shared" si="0"/>
        <v>9665.2501222709798</v>
      </c>
      <c r="AN2" s="4">
        <f t="shared" si="0"/>
        <v>9665.2501222709798</v>
      </c>
      <c r="AO2" s="4">
        <f t="shared" si="0"/>
        <v>9665.2501222709798</v>
      </c>
      <c r="AP2" s="4">
        <f t="shared" si="0"/>
        <v>9665.2501222709798</v>
      </c>
      <c r="AQ2" s="4">
        <f t="shared" si="0"/>
        <v>9665.2501222709798</v>
      </c>
      <c r="AR2" s="4">
        <f t="shared" si="0"/>
        <v>9665.2501222709798</v>
      </c>
      <c r="AS2" s="4">
        <f t="shared" si="0"/>
        <v>9665.2501222709798</v>
      </c>
      <c r="AT2" s="4">
        <f t="shared" si="0"/>
        <v>9665.2501222709798</v>
      </c>
      <c r="AU2" s="4">
        <f t="shared" si="0"/>
        <v>9665.2501222709798</v>
      </c>
      <c r="AV2" s="4">
        <f t="shared" si="0"/>
        <v>9665.2501222709798</v>
      </c>
      <c r="AW2" s="4">
        <f t="shared" si="0"/>
        <v>9665.2501222709798</v>
      </c>
      <c r="AX2" s="4">
        <f t="shared" si="0"/>
        <v>9665.2501222709798</v>
      </c>
      <c r="AY2" s="4">
        <f t="shared" si="0"/>
        <v>9665.2501222709798</v>
      </c>
      <c r="AZ2" s="4">
        <f t="shared" si="0"/>
        <v>9665.2501222709798</v>
      </c>
      <c r="BA2" s="4">
        <f t="shared" si="0"/>
        <v>9665.2501222709798</v>
      </c>
      <c r="BB2" s="4">
        <f t="shared" si="0"/>
        <v>9665.2501222709798</v>
      </c>
      <c r="BC2" s="4"/>
      <c r="BD2" s="4"/>
    </row>
    <row r="16" spans="1:56" x14ac:dyDescent="0.25">
      <c r="E1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B2"/>
  <sheetViews>
    <sheetView topLeftCell="Z1" workbookViewId="0">
      <selection activeCell="AI2" sqref="AI2:BB2"/>
    </sheetView>
  </sheetViews>
  <sheetFormatPr defaultColWidth="8.85546875" defaultRowHeight="15" x14ac:dyDescent="0.25"/>
  <cols>
    <col min="1" max="1" width="21" customWidth="1"/>
  </cols>
  <sheetData>
    <row r="1" spans="1:54" x14ac:dyDescent="0.25">
      <c r="A1" s="1" t="s">
        <v>35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  <c r="AS1">
        <v>2061</v>
      </c>
      <c r="AT1">
        <v>2062</v>
      </c>
      <c r="AU1">
        <v>2063</v>
      </c>
      <c r="AV1">
        <v>2064</v>
      </c>
      <c r="AW1">
        <v>2065</v>
      </c>
      <c r="AX1">
        <v>2066</v>
      </c>
      <c r="AY1">
        <v>2067</v>
      </c>
      <c r="AZ1">
        <v>2068</v>
      </c>
      <c r="BA1">
        <v>2069</v>
      </c>
      <c r="BB1">
        <v>2070</v>
      </c>
    </row>
    <row r="2" spans="1:54" x14ac:dyDescent="0.25">
      <c r="A2" s="1" t="s">
        <v>43</v>
      </c>
      <c r="B2" s="4">
        <f>C2*'Scaling Factors'!G2</f>
        <v>410.56326324847817</v>
      </c>
      <c r="C2" s="12">
        <f>'Data and Calculations'!A3*'Scaling Factors'!H2-'DRC-BDRC'!C1</f>
        <v>4025.9275792162289</v>
      </c>
      <c r="D2" s="4">
        <f>TREND('Data and Calculations'!$A$3:$B$3,'Data and Calculations'!$A$2:$B$2,'DRC-PADRC'!D1)*'Scaling Factors'!I2-'DRC-BDRC'!D2</f>
        <v>7376.221769581437</v>
      </c>
      <c r="E2" s="4">
        <f>TREND('Data and Calculations'!$A$3:$B$3,'Data and Calculations'!$A$2:$B$2,'DRC-PADRC'!E1)*'Scaling Factors'!J2-'DRC-BDRC'!E2</f>
        <v>8714.4769215828164</v>
      </c>
      <c r="F2" s="4">
        <f>TREND('Data and Calculations'!$A$3:$B$3,'Data and Calculations'!$A$2:$B$2,'DRC-PADRC'!F1)*'Scaling Factors'!K2-'DRC-BDRC'!F2</f>
        <v>10067.648213327733</v>
      </c>
      <c r="G2" s="4">
        <f>TREND('Data and Calculations'!$A$3:$B$3,'Data and Calculations'!$A$2:$B$2,'DRC-PADRC'!G1)*'Scaling Factors'!L2-'DRC-BDRC'!G2</f>
        <v>11437.205701182782</v>
      </c>
      <c r="H2" s="4">
        <f>TREND('Data and Calculations'!$A$3:$B$3,'Data and Calculations'!$A$2:$B$2,'DRC-PADRC'!H1)*'Scaling Factors'!M2-'DRC-BDRC'!H2</f>
        <v>12824.214635534057</v>
      </c>
      <c r="I2" s="4">
        <f>TREND('Data and Calculations'!$A$3:$B$3,'Data and Calculations'!$A$2:$B$2,'DRC-PADRC'!I1)*'Scaling Factors'!N2-'DRC-BDRC'!I2</f>
        <v>13650.614379475484</v>
      </c>
      <c r="J2" s="4">
        <f>TREND('Data and Calculations'!$A$3:$B$3,'Data and Calculations'!$A$2:$B$2,'DRC-PADRC'!J1)*'Scaling Factors'!O2-'DRC-BDRC'!J2</f>
        <v>14457.08285180956</v>
      </c>
      <c r="K2" s="4">
        <f>TREND('Data and Calculations'!$A$3:$B$3,'Data and Calculations'!$A$2:$B$2,'DRC-PADRC'!K1)*'Scaling Factors'!P2-'DRC-BDRC'!K2</f>
        <v>15277.468044870058</v>
      </c>
      <c r="L2" s="4">
        <f>TREND('Data and Calculations'!$A$3:$B$3,'Data and Calculations'!$A$2:$B$2,'DRC-PADRC'!L1)*'Scaling Factors'!Q2-'DRC-BDRC'!L2</f>
        <v>16108.287683830804</v>
      </c>
      <c r="M2" s="4">
        <f>TREND('Data and Calculations'!$A$3:$B$3,'Data and Calculations'!$A$2:$B$2,'DRC-PADRC'!M1)*'Scaling Factors'!R2-'DRC-BDRC'!M2</f>
        <v>16943.476722843014</v>
      </c>
      <c r="N2" s="4">
        <f>TREND('Data and Calculations'!$A$3:$B$3,'Data and Calculations'!$A$2:$B$2,'DRC-PADRC'!N1)*'Scaling Factors'!S2-'DRC-BDRC'!N2</f>
        <v>17809.704123306623</v>
      </c>
      <c r="O2" s="4">
        <f>TREND('Data and Calculations'!$A$3:$B$3,'Data and Calculations'!$A$2:$B$2,'DRC-PADRC'!O1)*'Scaling Factors'!T2-'DRC-BDRC'!O2</f>
        <v>18685.795749350589</v>
      </c>
      <c r="P2" s="4">
        <f>TREND('Data and Calculations'!$A$3:$B$3,'Data and Calculations'!$A$2:$B$2,'DRC-PADRC'!P1)*'Scaling Factors'!U2-'DRC-BDRC'!P2</f>
        <v>19578.691957144751</v>
      </c>
      <c r="Q2" s="4">
        <f>TREND('Data and Calculations'!$A$3:$B$3,'Data and Calculations'!$A$2:$B$2,'DRC-PADRC'!Q1)*'Scaling Factors'!V2-'DRC-BDRC'!Q2</f>
        <v>20499.005976748897</v>
      </c>
      <c r="R2" s="4">
        <f>TREND('Data and Calculations'!$A$3:$B$3,'Data and Calculations'!$A$2:$B$2,'DRC-PADRC'!R1)*'Scaling Factors'!W2-'DRC-BDRC'!R2</f>
        <v>21440.926228126515</v>
      </c>
      <c r="S2" s="4">
        <f>TREND('Data and Calculations'!$A$3:$B$3,'Data and Calculations'!$A$2:$B$2,'DRC-PADRC'!S1)*'Scaling Factors'!X2-'DRC-BDRC'!S2</f>
        <v>22396.031925923733</v>
      </c>
      <c r="T2" s="4">
        <f>TREND('Data and Calculations'!$A$3:$B$3,'Data and Calculations'!$A$2:$B$2,'DRC-PADRC'!T1)*'Scaling Factors'!Y2-'DRC-BDRC'!T2</f>
        <v>24050.470221688134</v>
      </c>
      <c r="U2" s="4">
        <f>TREND('Data and Calculations'!$A$3:$B$3,'Data and Calculations'!$A$2:$B$2,'DRC-PADRC'!U1)*'Scaling Factors'!Z2-'DRC-BDRC'!U2</f>
        <v>25732.061565637669</v>
      </c>
      <c r="V2" s="4">
        <f>TREND('Data and Calculations'!$A$3:$B$3,'Data and Calculations'!$A$2:$B$2,'DRC-PADRC'!V1)*'Scaling Factors'!AA2-'DRC-BDRC'!V2</f>
        <v>27456.911091255995</v>
      </c>
      <c r="W2" s="4">
        <f>TREND('Data and Calculations'!$A$3:$B$3,'Data and Calculations'!$A$2:$B$2,'DRC-PADRC'!W1)*'Scaling Factors'!AB2-'DRC-BDRC'!W2</f>
        <v>29218.214187589143</v>
      </c>
      <c r="X2" s="4">
        <f>TREND('Data and Calculations'!$A$3:$B$3,'Data and Calculations'!$A$2:$B$2,'DRC-PADRC'!X1)*'Scaling Factors'!AC2-'DRC-BDRC'!X2</f>
        <v>31000.285013500536</v>
      </c>
      <c r="Y2" s="4">
        <f>TREND('Data and Calculations'!$A$3:$B$3,'Data and Calculations'!$A$2:$B$2,'DRC-PADRC'!Y1)*'Scaling Factors'!AD2-'DRC-BDRC'!Y2</f>
        <v>32873.528206267547</v>
      </c>
      <c r="Z2" s="4">
        <f>TREND('Data and Calculations'!$A$3:$B$3,'Data and Calculations'!$A$2:$B$2,'DRC-PADRC'!Z1)*'Scaling Factors'!AE2-'DRC-BDRC'!Z2</f>
        <v>34771.973257613354</v>
      </c>
      <c r="AA2" s="4">
        <f>TREND('Data and Calculations'!$A$3:$B$3,'Data and Calculations'!$A$2:$B$2,'DRC-PADRC'!AA1)*'Scaling Factors'!AF2-'DRC-BDRC'!AA2</f>
        <v>36687.32461908488</v>
      </c>
      <c r="AB2" s="4">
        <f>TREND('Data and Calculations'!$A$3:$B$3,'Data and Calculations'!$A$2:$B$2,'DRC-PADRC'!AB1)*'Scaling Factors'!AG2-'DRC-BDRC'!AB2</f>
        <v>38623.328837713707</v>
      </c>
      <c r="AC2" s="4">
        <f>TREND('Data and Calculations'!$A$3:$B$3,'Data and Calculations'!$A$2:$B$2,'DRC-PADRC'!AC1)*'Scaling Factors'!AH2-'DRC-BDRC'!AC2</f>
        <v>40566.842017734089</v>
      </c>
      <c r="AD2" s="4">
        <f>TREND('Data and Calculations'!$A$3:$B$3,'Data and Calculations'!$A$2:$B$2,'DRC-PADRC'!AD1)*'Scaling Factors'!AI2-'DRC-BDRC'!AD2</f>
        <v>42561.540223821023</v>
      </c>
      <c r="AE2" s="4">
        <f>TREND('Data and Calculations'!$A$3:$B$3,'Data and Calculations'!$A$2:$B$2,'DRC-PADRC'!AE1)*'Scaling Factors'!AJ2-'DRC-BDRC'!AE2</f>
        <v>44568.794296471853</v>
      </c>
      <c r="AF2" s="4">
        <f>TREND('Data and Calculations'!$A$3:$B$3,'Data and Calculations'!$A$2:$B$2,'DRC-PADRC'!AF1)*'Scaling Factors'!AK2-'DRC-BDRC'!AF2</f>
        <v>46570.348838802995</v>
      </c>
      <c r="AG2" s="4">
        <f>TREND('Data and Calculations'!$A$3:$B$3,'Data and Calculations'!$A$2:$B$2,'DRC-PADRC'!AG1)*'Scaling Factors'!AL2-'DRC-BDRC'!AG2</f>
        <v>48560.317709061266</v>
      </c>
      <c r="AH2" s="4">
        <f>TREND('Data and Calculations'!$A$3:$B$3,'Data and Calculations'!$A$2:$B$2,'DRC-PADRC'!AH1)*'Scaling Factors'!AM2-'DRC-BDRC'!AH2</f>
        <v>50539.834620237118</v>
      </c>
      <c r="AI2" s="4">
        <f>AH2</f>
        <v>50539.834620237118</v>
      </c>
      <c r="AJ2" s="4">
        <f t="shared" ref="AJ2:BB2" si="0">AI2</f>
        <v>50539.834620237118</v>
      </c>
      <c r="AK2" s="4">
        <f t="shared" si="0"/>
        <v>50539.834620237118</v>
      </c>
      <c r="AL2" s="4">
        <f t="shared" si="0"/>
        <v>50539.834620237118</v>
      </c>
      <c r="AM2" s="4">
        <f t="shared" si="0"/>
        <v>50539.834620237118</v>
      </c>
      <c r="AN2" s="4">
        <f t="shared" si="0"/>
        <v>50539.834620237118</v>
      </c>
      <c r="AO2" s="4">
        <f t="shared" si="0"/>
        <v>50539.834620237118</v>
      </c>
      <c r="AP2" s="4">
        <f t="shared" si="0"/>
        <v>50539.834620237118</v>
      </c>
      <c r="AQ2" s="4">
        <f t="shared" si="0"/>
        <v>50539.834620237118</v>
      </c>
      <c r="AR2" s="4">
        <f t="shared" si="0"/>
        <v>50539.834620237118</v>
      </c>
      <c r="AS2" s="4">
        <f t="shared" si="0"/>
        <v>50539.834620237118</v>
      </c>
      <c r="AT2" s="4">
        <f t="shared" si="0"/>
        <v>50539.834620237118</v>
      </c>
      <c r="AU2" s="4">
        <f t="shared" si="0"/>
        <v>50539.834620237118</v>
      </c>
      <c r="AV2" s="4">
        <f t="shared" si="0"/>
        <v>50539.834620237118</v>
      </c>
      <c r="AW2" s="4">
        <f t="shared" si="0"/>
        <v>50539.834620237118</v>
      </c>
      <c r="AX2" s="4">
        <f t="shared" si="0"/>
        <v>50539.834620237118</v>
      </c>
      <c r="AY2" s="4">
        <f t="shared" si="0"/>
        <v>50539.834620237118</v>
      </c>
      <c r="AZ2" s="4">
        <f t="shared" si="0"/>
        <v>50539.834620237118</v>
      </c>
      <c r="BA2" s="4">
        <f t="shared" si="0"/>
        <v>50539.834620237118</v>
      </c>
      <c r="BB2" s="4">
        <f t="shared" si="0"/>
        <v>50539.834620237118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B4E4-8239-4A57-B4D1-910DA3EB7C22}">
  <sheetPr>
    <tabColor rgb="FF1F497D"/>
  </sheetPr>
  <dimension ref="A1:B2"/>
  <sheetViews>
    <sheetView tabSelected="1" workbookViewId="0">
      <selection activeCell="F11" sqref="F11"/>
    </sheetView>
  </sheetViews>
  <sheetFormatPr defaultRowHeight="15" x14ac:dyDescent="0.25"/>
  <sheetData>
    <row r="1" spans="1:2" x14ac:dyDescent="0.25">
      <c r="A1" s="8" t="s">
        <v>44</v>
      </c>
      <c r="B1" s="11" t="s">
        <v>45</v>
      </c>
    </row>
    <row r="2" spans="1:2" x14ac:dyDescent="0.25">
      <c r="A2" t="s">
        <v>46</v>
      </c>
      <c r="B2" s="4">
        <f>ROUND('Data and Calculations'!A22,0)</f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C3B175-1A50-44DD-A6FF-610DA475B8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1EE97F-BEF3-4E27-B60F-7AF2FDABE2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124F93-4C1F-4E6F-9FF6-BBDFC587A76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Data and Calculations</vt:lpstr>
      <vt:lpstr>Scaling Factors</vt:lpstr>
      <vt:lpstr>DRC-BDRC</vt:lpstr>
      <vt:lpstr>DRC-PADRC</vt:lpstr>
      <vt:lpstr>DRC-ADRHpDRE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Olivia Ashmoore</cp:lastModifiedBy>
  <cp:revision/>
  <dcterms:created xsi:type="dcterms:W3CDTF">2014-08-26T00:34:41Z</dcterms:created>
  <dcterms:modified xsi:type="dcterms:W3CDTF">2026-01-26T17:23:23Z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