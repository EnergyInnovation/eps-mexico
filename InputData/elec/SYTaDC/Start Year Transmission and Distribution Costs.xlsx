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SYTaDC\"/>
    </mc:Choice>
  </mc:AlternateContent>
  <xr:revisionPtr revIDLastSave="0" documentId="8_{2592958B-34E3-40EE-84F9-778F5BCBBFEE}" xr6:coauthVersionLast="47" xr6:coauthVersionMax="47" xr10:uidLastSave="{00000000-0000-0000-0000-000000000000}"/>
  <bookViews>
    <workbookView xWindow="11400" yWindow="3045" windowWidth="20475" windowHeight="17325" xr2:uid="{00000000-000D-0000-FFFF-FFFF00000000}"/>
  </bookViews>
  <sheets>
    <sheet name="About" sheetId="1" r:id="rId1"/>
    <sheet name="SYTaDC-Transmission OM" sheetId="3" r:id="rId2"/>
    <sheet name="SYTaDC-Distribution OM" sheetId="5" r:id="rId3"/>
    <sheet name="SYTaDC-Transmission Capital" sheetId="6" r:id="rId4"/>
    <sheet name="SYTaDC-Distribution Capital" sheetId="7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_xlnm.Database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_xlnm.Print_Titles">#N/A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B2" i="7"/>
  <c r="B2" i="6"/>
  <c r="B2" i="3"/>
</calcChain>
</file>

<file path=xl/sharedStrings.xml><?xml version="1.0" encoding="utf-8"?>
<sst xmlns="http://schemas.openxmlformats.org/spreadsheetml/2006/main" count="23" uniqueCount="18">
  <si>
    <t>SYTaDC Start Year Transmission and Distribution Costs</t>
  </si>
  <si>
    <t>Sources:</t>
  </si>
  <si>
    <t>Transmission O&amp;M Spending</t>
  </si>
  <si>
    <t>U.S. Energy Information Administration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</si>
  <si>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</si>
  <si>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</si>
  <si>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First paragraph</t>
  </si>
  <si>
    <t>Distribution O&amp;M Spending</t>
  </si>
  <si>
    <t>Major utilities' spending on the electric distribution system continues to increase</t>
  </si>
  <si>
    <t>https://www.eia.gov/todayinenergy/detail.php?id=48136#:~:text=Annual%20spending%20on%20electricity%20distribution,2000%20after%20adjusting%20for%20inflation.</t>
  </si>
  <si>
    <t>Note:</t>
  </si>
  <si>
    <t>We adjust 2021 dollars to 2012 dollars using the following conversion factor:</t>
  </si>
  <si>
    <t>See "cpi.xlsx" in the InputData folder for source information.</t>
  </si>
  <si>
    <t>Costs ($)</t>
  </si>
  <si>
    <t>Transmission OM</t>
  </si>
  <si>
    <t>Distribution OM</t>
  </si>
  <si>
    <t>Transmission Capital</t>
  </si>
  <si>
    <t>Distribution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</si>
</sst>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ipervínculo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customXml" Target="../customXml/item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Relationship Id="rId8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/>
  <cols>
    <col min="2" max="2" width="44.57031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A4" s="1"/>
      <c r="B4" t="s">
        <v>3</v>
      </c>
    </row>
    <row r="5" spans="1:2">
      <c r="A5" s="1"/>
      <c r="B5" s="2">
        <v>2021</v>
      </c>
    </row>
    <row r="6" spans="1:2" ht="30">
      <c r="A6" s="1"/>
      <c r="B6" s="4" t="s">
        <v>4</v>
      </c>
    </row>
    <row r="7" spans="1:2">
      <c r="A7" s="1"/>
      <c r="B7" s="3" t="s">
        <v>5</v>
      </c>
    </row>
    <row r="8" spans="1:2">
      <c r="A8" s="1"/>
      <c r="B8" t="s">
        <v>6</v>
      </c>
    </row>
    <row r="9" spans="1:2">
      <c r="A9" s="1"/>
    </row>
    <row r="10" spans="1:2">
      <c r="A10" s="1"/>
      <c r="B10" s="6" t="s">
        <v>7</v>
      </c>
    </row>
    <row r="11" spans="1:2">
      <c r="A11" s="1"/>
      <c r="B11" t="s">
        <v>3</v>
      </c>
    </row>
    <row r="12" spans="1:2">
      <c r="A12" s="1"/>
      <c r="B12" s="2">
        <v>2021</v>
      </c>
    </row>
    <row r="13" spans="1:2" ht="30">
      <c r="A13" s="1"/>
      <c r="B13" s="4" t="s">
        <v>8</v>
      </c>
    </row>
    <row r="14" spans="1:2">
      <c r="A14" s="1"/>
      <c r="B14" s="3" t="s">
        <v>9</v>
      </c>
    </row>
    <row r="15" spans="1:2">
      <c r="A15" s="1"/>
      <c r="B15" t="s">
        <v>6</v>
      </c>
    </row>
    <row r="16" spans="1:2">
      <c r="A16" s="1"/>
    </row>
    <row r="17" spans="1:1">
      <c r="A17" s="1" t="s">
        <v>10</v>
      </c>
    </row>
    <row r="18" spans="1:1">
      <c r="A18" s="1"/>
    </row>
    <row r="19" spans="1:1">
      <c r="A19" t="s">
        <v>11</v>
      </c>
    </row>
    <row r="20" spans="1:1">
      <c r="A20" s="5">
        <v>0.84730412960844359</v>
      </c>
    </row>
    <row r="21" spans="1:1">
      <c r="A21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A3" sqref="A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13</v>
      </c>
    </row>
    <row r="2" spans="1:2">
      <c r="A2" t="s">
        <v>14</v>
      </c>
      <c r="B2" s="7">
        <f>16600000000*About!A20</f>
        <v>14065248551.500164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A3" sqref="A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13</v>
      </c>
    </row>
    <row r="2" spans="1:2">
      <c r="A2" t="s">
        <v>15</v>
      </c>
      <c r="B2" s="7">
        <f>26100000000*About!A20</f>
        <v>22114637782.780376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F40" sqref="F40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13</v>
      </c>
    </row>
    <row r="2" spans="1:2">
      <c r="A2" t="s">
        <v>16</v>
      </c>
      <c r="B2" s="7">
        <f>23500000000*About!A20</f>
        <v>19911647045.798424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A3" sqref="A3"/>
    </sheetView>
  </sheetViews>
  <sheetFormatPr defaultRowHeight="15"/>
  <cols>
    <col min="1" max="1" width="24.85546875" customWidth="1"/>
    <col min="2" max="2" width="24.5703125" customWidth="1"/>
  </cols>
  <sheetData>
    <row r="1" spans="1:2">
      <c r="B1" t="s">
        <v>13</v>
      </c>
    </row>
    <row r="2" spans="1:2">
      <c r="A2" t="s">
        <v>17</v>
      </c>
      <c r="B2" s="7">
        <f>31400000000*About!A20</f>
        <v>26605349669.705128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80E5C8-61F2-44F8-88ED-6E47AE9032DB}"/>
</file>

<file path=customXml/itemProps2.xml><?xml version="1.0" encoding="utf-8"?>
<ds:datastoreItem xmlns:ds="http://schemas.openxmlformats.org/officeDocument/2006/customXml" ds:itemID="{DA9E73FA-2EF7-45FE-89CA-99314C1AD053}"/>
</file>

<file path=customXml/itemProps3.xml><?xml version="1.0" encoding="utf-8"?>
<ds:datastoreItem xmlns:ds="http://schemas.openxmlformats.org/officeDocument/2006/customXml" ds:itemID="{EE54BC68-C537-49DC-9238-844A585F6A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2015-07-06T21:06:03Z</dcterms:created>
  <dcterms:modified xsi:type="dcterms:W3CDTF">2024-12-11T14:27:10Z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