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elec\"/>
    </mc:Choice>
  </mc:AlternateContent>
  <xr:revisionPtr revIDLastSave="10" documentId="13_ncr:1_{6A3EA4B7-F1AE-4FA0-8DA2-99307F7FC28B}" xr6:coauthVersionLast="47" xr6:coauthVersionMax="47" xr10:uidLastSave="{B68ED00C-5932-4367-AFE2-8CDE6F049C8E}"/>
  <bookViews>
    <workbookView xWindow="-120" yWindow="-120" windowWidth="20730" windowHeight="11040" firstSheet="1" xr2:uid="{00000000-000D-0000-FFFF-FFFF00000000}"/>
  </bookViews>
  <sheets>
    <sheet name="About" sheetId="1" r:id="rId1"/>
    <sheet name="MPCb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24" i="3"/>
  <c r="B23" i="3"/>
  <c r="B22" i="3"/>
  <c r="B20" i="3"/>
  <c r="B19" i="3"/>
  <c r="B4" i="3"/>
  <c r="B13" i="3" l="1"/>
  <c r="B12" i="3"/>
  <c r="B5" i="3"/>
  <c r="B3" i="3"/>
  <c r="B2" i="3"/>
  <c r="B14" i="3" s="1"/>
  <c r="B21" i="3"/>
</calcChain>
</file>

<file path=xl/sharedStrings.xml><?xml version="1.0" encoding="utf-8"?>
<sst xmlns="http://schemas.openxmlformats.org/spreadsheetml/2006/main" count="38" uniqueCount="37">
  <si>
    <t>MPCbS Max Potential Capacity by Source</t>
  </si>
  <si>
    <t>Source:</t>
  </si>
  <si>
    <t>Atlas Nacional de Zonas con Alto Potencial de Energías Limpias (AZEL)</t>
  </si>
  <si>
    <t>Secretaría de Energía, SENER</t>
  </si>
  <si>
    <t>https://dgel.energia.gob.mx/azel/</t>
  </si>
  <si>
    <t>We also use start year MSW capacity from elec/BHRaSYC BAU Heat Rates and Start Year Capacities</t>
  </si>
  <si>
    <t>Notes:</t>
  </si>
  <si>
    <t>These maximums reflect the available resource potential for hydro, wind, solar, and biomass power.</t>
  </si>
  <si>
    <t>Maximums for fossil fuels and nuclear are not imposed, as these power types are unlikely to</t>
  </si>
  <si>
    <t>be geographically resource-constrained. (An arbitrarily high number is chosen here, to ensure</t>
  </si>
  <si>
    <t>this limit doesn't come into play for these electricity sources.)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</si>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</sst>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3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1" sqref="B11"/>
    </sheetView>
  </sheetViews>
  <sheetFormatPr defaultColWidth="9.140625" defaultRowHeight="15"/>
  <cols>
    <col min="2" max="2" width="60.855468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2</v>
      </c>
    </row>
    <row r="5" spans="1:2">
      <c r="B5" s="3">
        <v>2022</v>
      </c>
    </row>
    <row r="6" spans="1:2">
      <c r="B6" t="s">
        <v>3</v>
      </c>
    </row>
    <row r="7" spans="1:2">
      <c r="B7" s="4" t="s">
        <v>4</v>
      </c>
    </row>
    <row r="11" spans="1:2">
      <c r="B11" s="6" t="s">
        <v>5</v>
      </c>
    </row>
    <row r="13" spans="1:2">
      <c r="A13" s="1" t="s">
        <v>6</v>
      </c>
    </row>
    <row r="14" spans="1:2">
      <c r="A14" t="s">
        <v>7</v>
      </c>
    </row>
    <row r="15" spans="1:2">
      <c r="A15" t="s">
        <v>8</v>
      </c>
    </row>
    <row r="16" spans="1:2">
      <c r="A16" t="s">
        <v>9</v>
      </c>
    </row>
    <row r="17" spans="1:1">
      <c r="A17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25"/>
  <sheetViews>
    <sheetView workbookViewId="0">
      <selection activeCell="B6" sqref="B6"/>
    </sheetView>
  </sheetViews>
  <sheetFormatPr defaultColWidth="9.140625" defaultRowHeight="15"/>
  <cols>
    <col min="1" max="1" width="26.42578125" customWidth="1"/>
    <col min="2" max="2" width="27.28515625" customWidth="1"/>
    <col min="4" max="4" width="22.28515625" customWidth="1"/>
  </cols>
  <sheetData>
    <row r="1" spans="1:8">
      <c r="A1" s="1" t="s">
        <v>11</v>
      </c>
      <c r="B1" s="1" t="s">
        <v>12</v>
      </c>
    </row>
    <row r="2" spans="1:8">
      <c r="A2" t="s">
        <v>13</v>
      </c>
      <c r="B2" s="8">
        <f>9*10^12</f>
        <v>9000000000000</v>
      </c>
      <c r="D2" s="5"/>
      <c r="F2" s="5"/>
    </row>
    <row r="3" spans="1:8">
      <c r="A3" t="s">
        <v>14</v>
      </c>
      <c r="B3" s="8">
        <f>9*10^12</f>
        <v>9000000000000</v>
      </c>
      <c r="D3" s="5"/>
      <c r="F3" s="5"/>
    </row>
    <row r="4" spans="1:8">
      <c r="A4" t="s">
        <v>15</v>
      </c>
      <c r="B4" s="8">
        <f>9*10^12</f>
        <v>9000000000000</v>
      </c>
      <c r="D4" s="5"/>
      <c r="F4" s="5"/>
    </row>
    <row r="5" spans="1:8">
      <c r="A5" t="s">
        <v>16</v>
      </c>
      <c r="B5" s="8">
        <f>9*10^12</f>
        <v>9000000000000</v>
      </c>
      <c r="D5" s="5"/>
      <c r="F5" s="5"/>
    </row>
    <row r="6" spans="1:8">
      <c r="A6" t="s">
        <v>17</v>
      </c>
      <c r="B6" s="8">
        <v>28000</v>
      </c>
      <c r="D6" s="5"/>
      <c r="F6" s="5"/>
    </row>
    <row r="7" spans="1:8">
      <c r="A7" t="s">
        <v>18</v>
      </c>
      <c r="B7" s="8">
        <v>2566830.1107000001</v>
      </c>
      <c r="D7" s="5"/>
      <c r="F7" s="5"/>
      <c r="H7" s="5"/>
    </row>
    <row r="8" spans="1:8">
      <c r="A8" t="s">
        <v>19</v>
      </c>
      <c r="B8" s="8">
        <v>3965769.5352476402</v>
      </c>
      <c r="D8" s="5"/>
      <c r="F8" s="5"/>
    </row>
    <row r="9" spans="1:8">
      <c r="A9" t="s">
        <v>20</v>
      </c>
      <c r="B9" s="8">
        <v>93267</v>
      </c>
      <c r="D9" s="5"/>
      <c r="F9" s="5"/>
    </row>
    <row r="10" spans="1:8">
      <c r="A10" t="s">
        <v>21</v>
      </c>
      <c r="B10" s="8">
        <v>273883.75352476398</v>
      </c>
      <c r="D10" s="5"/>
      <c r="F10" s="5"/>
    </row>
    <row r="11" spans="1:8">
      <c r="A11" t="s">
        <v>22</v>
      </c>
      <c r="B11" s="8">
        <v>52614</v>
      </c>
      <c r="D11" s="5"/>
      <c r="F11" s="5"/>
    </row>
    <row r="12" spans="1:8">
      <c r="A12" t="s">
        <v>23</v>
      </c>
      <c r="B12" s="8">
        <f>9*10^12</f>
        <v>9000000000000</v>
      </c>
      <c r="D12" s="5"/>
      <c r="F12" s="5"/>
    </row>
    <row r="13" spans="1:8">
      <c r="A13" t="s">
        <v>24</v>
      </c>
      <c r="B13" s="8">
        <f>9*10^12</f>
        <v>9000000000000</v>
      </c>
      <c r="D13" s="5"/>
      <c r="F13" s="5"/>
    </row>
    <row r="14" spans="1:8">
      <c r="A14" t="s">
        <v>25</v>
      </c>
      <c r="B14" s="8">
        <f>B2</f>
        <v>9000000000000</v>
      </c>
      <c r="D14" s="5"/>
      <c r="F14" s="5"/>
    </row>
    <row r="15" spans="1:8">
      <c r="A15" t="s">
        <v>26</v>
      </c>
      <c r="B15" s="8">
        <v>78867</v>
      </c>
      <c r="D15" s="5"/>
      <c r="F15" s="5"/>
    </row>
    <row r="16" spans="1:8">
      <c r="A16" t="s">
        <v>27</v>
      </c>
      <c r="B16" s="8">
        <v>0</v>
      </c>
      <c r="D16" s="5"/>
      <c r="F16" s="5"/>
    </row>
    <row r="17" spans="1:6">
      <c r="A17" t="s">
        <v>28</v>
      </c>
      <c r="B17" s="8">
        <v>0</v>
      </c>
      <c r="D17" s="5"/>
      <c r="F17" s="5"/>
    </row>
    <row r="18" spans="1:6">
      <c r="A18" t="s">
        <v>29</v>
      </c>
      <c r="B18" s="8">
        <v>4104</v>
      </c>
      <c r="D18" s="5"/>
      <c r="F18" s="5"/>
    </row>
    <row r="19" spans="1:6">
      <c r="A19" t="s">
        <v>30</v>
      </c>
      <c r="B19" s="8">
        <f>9*10^12</f>
        <v>9000000000000</v>
      </c>
      <c r="D19" s="5"/>
      <c r="F19" s="5"/>
    </row>
    <row r="20" spans="1:6">
      <c r="A20" t="s">
        <v>31</v>
      </c>
      <c r="B20" s="8">
        <f>9*10^12</f>
        <v>9000000000000</v>
      </c>
      <c r="D20" s="5"/>
      <c r="F20" s="5"/>
    </row>
    <row r="21" spans="1:6">
      <c r="A21" t="s">
        <v>32</v>
      </c>
      <c r="B21" s="8">
        <f>B10</f>
        <v>273883.75352476398</v>
      </c>
      <c r="D21" s="5"/>
      <c r="F21" s="5"/>
    </row>
    <row r="22" spans="1:6">
      <c r="A22" t="s">
        <v>33</v>
      </c>
      <c r="B22" s="8">
        <f>9*10^12</f>
        <v>9000000000000</v>
      </c>
      <c r="D22" s="5"/>
      <c r="F22" s="5"/>
    </row>
    <row r="23" spans="1:6">
      <c r="A23" t="s">
        <v>34</v>
      </c>
      <c r="B23" s="8">
        <f>9*10^12</f>
        <v>9000000000000</v>
      </c>
      <c r="D23" s="5"/>
      <c r="F23" s="5"/>
    </row>
    <row r="24" spans="1:6">
      <c r="A24" s="7" t="s">
        <v>35</v>
      </c>
      <c r="B24" s="8">
        <f>B13</f>
        <v>9000000000000</v>
      </c>
      <c r="D24" s="5"/>
      <c r="F24" s="5"/>
    </row>
    <row r="25" spans="1:6">
      <c r="A25" s="7" t="s">
        <v>36</v>
      </c>
      <c r="B25" s="8">
        <f>B4</f>
        <v>9000000000000</v>
      </c>
      <c r="D25" s="5"/>
      <c r="F25" s="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72399-BD1D-4714-BDA7-56E03520EA12}"/>
</file>

<file path=customXml/itemProps2.xml><?xml version="1.0" encoding="utf-8"?>
<ds:datastoreItem xmlns:ds="http://schemas.openxmlformats.org/officeDocument/2006/customXml" ds:itemID="{AAF4D4A2-892B-4C7E-9ECF-CB4A70BBC700}"/>
</file>

<file path=customXml/itemProps3.xml><?xml version="1.0" encoding="utf-8"?>
<ds:datastoreItem xmlns:ds="http://schemas.openxmlformats.org/officeDocument/2006/customXml" ds:itemID="{D1698A33-D401-4492-B350-2470698E6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2015-01-16T02:18:43Z</dcterms:created>
  <dcterms:modified xsi:type="dcterms:W3CDTF">2025-01-08T16:21:20Z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