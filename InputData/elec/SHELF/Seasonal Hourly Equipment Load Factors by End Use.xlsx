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elec\SHELF\"/>
    </mc:Choice>
  </mc:AlternateContent>
  <xr:revisionPtr revIDLastSave="0" documentId="13_ncr:1_{29AB4DF2-5633-4524-9275-A4E003BDA9AB}" xr6:coauthVersionLast="47" xr6:coauthVersionMax="47" xr10:uidLastSave="{00000000-0000-0000-0000-000000000000}"/>
  <bookViews>
    <workbookView xWindow="34455" yWindow="885" windowWidth="27450" windowHeight="14355" tabRatio="628" activeTab="2" xr2:uid="{5DC1157A-C6AE-44DE-8CDA-5C41A54517A8}"/>
  </bookViews>
  <sheets>
    <sheet name="About" sheetId="2" r:id="rId1"/>
    <sheet name="Sheet1" sheetId="47" r:id="rId2"/>
    <sheet name="Source Data" sheetId="45" r:id="rId3"/>
    <sheet name="Summarized Source Data" sheetId="44" r:id="rId4"/>
    <sheet name="Category Mapping" sheetId="43" r:id="rId5"/>
    <sheet name="Double Check" sheetId="46" r:id="rId6"/>
    <sheet name="SHELF-days-per-timeslice" sheetId="39" r:id="rId7"/>
    <sheet name="SHELF-residential-heating" sheetId="18" r:id="rId8"/>
    <sheet name="SHELF-residential-cooling" sheetId="17" r:id="rId9"/>
    <sheet name="SHELF-residential-envelope" sheetId="20" r:id="rId10"/>
    <sheet name="SHELF-residential-lighting" sheetId="19" r:id="rId11"/>
    <sheet name="SHELF-residential-appliances" sheetId="16" r:id="rId12"/>
    <sheet name="SHELF-residential-other" sheetId="8" r:id="rId13"/>
    <sheet name="SHELF-commercial-heating" sheetId="21" r:id="rId14"/>
    <sheet name="SHELF-commercial-cooling" sheetId="22" r:id="rId15"/>
    <sheet name="SHELF-commercial-envelope" sheetId="23" r:id="rId16"/>
    <sheet name="SHELF-commercial-lighting" sheetId="24" r:id="rId17"/>
    <sheet name="SHELF-commercial-appliances" sheetId="25" r:id="rId18"/>
    <sheet name="SHELF-commercial-other" sheetId="26" r:id="rId19"/>
    <sheet name="SHELF-LDVs" sheetId="11" r:id="rId20"/>
    <sheet name="SHELF-HDVs" sheetId="28" r:id="rId21"/>
    <sheet name="SHELF-aircraft" sheetId="29" r:id="rId22"/>
    <sheet name="SHELF-rail" sheetId="30" r:id="rId23"/>
    <sheet name="SHELF-ships" sheetId="31" r:id="rId24"/>
    <sheet name="SHELF-motorbikes" sheetId="32" r:id="rId25"/>
    <sheet name="SHELF-industry" sheetId="10" r:id="rId26"/>
    <sheet name="SHELF-district-heat-hydrogen" sheetId="33" r:id="rId27"/>
    <sheet name="SHELF-geoeng" sheetId="34" r:id="rId28"/>
  </sheets>
  <definedNames>
    <definedName name="_xlnm._FilterDatabase" localSheetId="2" hidden="1">'Source Data'!$A$2:$AG$290</definedName>
    <definedName name="Aircraftshare">About!#REF!</definedName>
    <definedName name="DaysPerWeek">About!$B$70</definedName>
    <definedName name="FallWeekdays">'Category Mapping'!$E$45</definedName>
    <definedName name="FallWeekendDays">'Category Mapping'!$D$45</definedName>
    <definedName name="HDVshare">About!#REF!</definedName>
    <definedName name="Hour">'Source Data'!$F$2:$AC$2</definedName>
    <definedName name="LDVshare">About!#REF!</definedName>
    <definedName name="Load">'Source Data'!$F$3:$AC$290</definedName>
    <definedName name="LoadFactorHours">'Summarized Source Data'!$C$600:$C$743</definedName>
    <definedName name="LoadFactorSeasons">'Summarized Source Data'!$A$600:$A$743</definedName>
    <definedName name="Motorbikesshare">About!#REF!</definedName>
    <definedName name="Railshare">About!#REF!</definedName>
    <definedName name="Season">'Source Data'!$AD$3:$AD$290</definedName>
    <definedName name="Sector">'Source Data'!$AF$3:$AF$290</definedName>
    <definedName name="Shipshare">About!#REF!</definedName>
    <definedName name="SpringWeekdays">'Category Mapping'!$E$43</definedName>
    <definedName name="SpringWeekendDays">'Category Mapping'!$D$43</definedName>
    <definedName name="Subsector">'Source Data'!$AG$3:$AG$290</definedName>
    <definedName name="SummerWeekdays">'Category Mapping'!$E$44</definedName>
    <definedName name="SummerWeekendDays">'Category Mapping'!$D$44</definedName>
    <definedName name="TimeOfWeek">'Source Data'!$AE$3:$AE$290</definedName>
    <definedName name="Weekdays">About!$B$69</definedName>
    <definedName name="WeekendDays">About!$B$68</definedName>
    <definedName name="WinterWeekdays">'Category Mapping'!$E$42</definedName>
    <definedName name="WinterWeekendDays">'Category Mapping'!$D$42</definedName>
  </definedNames>
  <calcPr calcId="191028"/>
  <pivotCaches>
    <pivotCache cacheId="58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44" l="1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57" i="44"/>
  <c r="O58" i="44"/>
  <c r="O59" i="44"/>
  <c r="O60" i="44"/>
  <c r="O61" i="44"/>
  <c r="O62" i="44"/>
  <c r="O63" i="44"/>
  <c r="O64" i="44"/>
  <c r="O65" i="44"/>
  <c r="O66" i="44"/>
  <c r="O67" i="44"/>
  <c r="O68" i="44"/>
  <c r="O69" i="44"/>
  <c r="O70" i="44"/>
  <c r="O71" i="44"/>
  <c r="O72" i="44"/>
  <c r="O73" i="44"/>
  <c r="O74" i="44"/>
  <c r="O75" i="44"/>
  <c r="O76" i="44"/>
  <c r="O77" i="44"/>
  <c r="O78" i="44"/>
  <c r="O79" i="44"/>
  <c r="O80" i="44"/>
  <c r="O81" i="44"/>
  <c r="O82" i="44"/>
  <c r="O83" i="44"/>
  <c r="O84" i="44"/>
  <c r="O85" i="44"/>
  <c r="O86" i="44"/>
  <c r="O87" i="44"/>
  <c r="O88" i="44"/>
  <c r="O89" i="44"/>
  <c r="O90" i="44"/>
  <c r="O91" i="44"/>
  <c r="O92" i="44"/>
  <c r="O93" i="44"/>
  <c r="O94" i="44"/>
  <c r="O95" i="44"/>
  <c r="O96" i="44"/>
  <c r="O97" i="44"/>
  <c r="O98" i="44"/>
  <c r="O99" i="44"/>
  <c r="O100" i="44"/>
  <c r="O101" i="44"/>
  <c r="O102" i="44"/>
  <c r="O103" i="44"/>
  <c r="O104" i="44"/>
  <c r="O105" i="44"/>
  <c r="O106" i="44"/>
  <c r="O107" i="44"/>
  <c r="O108" i="44"/>
  <c r="O109" i="44"/>
  <c r="O110" i="44"/>
  <c r="O111" i="44"/>
  <c r="O112" i="44"/>
  <c r="O113" i="44"/>
  <c r="O114" i="44"/>
  <c r="O115" i="44"/>
  <c r="O116" i="44"/>
  <c r="O117" i="44"/>
  <c r="O118" i="44"/>
  <c r="O119" i="44"/>
  <c r="O120" i="44"/>
  <c r="O121" i="44"/>
  <c r="O122" i="44"/>
  <c r="O123" i="44"/>
  <c r="O124" i="44"/>
  <c r="O125" i="44"/>
  <c r="O126" i="44"/>
  <c r="O127" i="44"/>
  <c r="O128" i="44"/>
  <c r="O129" i="44"/>
  <c r="O130" i="44"/>
  <c r="O131" i="44"/>
  <c r="O132" i="44"/>
  <c r="O133" i="44"/>
  <c r="O134" i="44"/>
  <c r="O135" i="44"/>
  <c r="O136" i="44"/>
  <c r="O137" i="44"/>
  <c r="O138" i="44"/>
  <c r="O139" i="44"/>
  <c r="O140" i="44"/>
  <c r="O141" i="44"/>
  <c r="O142" i="44"/>
  <c r="O143" i="44"/>
  <c r="O144" i="44"/>
  <c r="O145" i="44"/>
  <c r="O146" i="44"/>
  <c r="O147" i="44"/>
  <c r="O148" i="44"/>
  <c r="O149" i="44"/>
  <c r="O150" i="44"/>
  <c r="O151" i="44"/>
  <c r="O152" i="44"/>
  <c r="O153" i="44"/>
  <c r="O154" i="44"/>
  <c r="O155" i="44"/>
  <c r="O156" i="44"/>
  <c r="O157" i="44"/>
  <c r="O158" i="44"/>
  <c r="O159" i="44"/>
  <c r="O160" i="44"/>
  <c r="O161" i="44"/>
  <c r="O162" i="44"/>
  <c r="O163" i="44"/>
  <c r="O164" i="44"/>
  <c r="O165" i="44"/>
  <c r="O166" i="44"/>
  <c r="O167" i="44"/>
  <c r="O168" i="44"/>
  <c r="O169" i="44"/>
  <c r="O170" i="44"/>
  <c r="O171" i="44"/>
  <c r="O172" i="44"/>
  <c r="O173" i="44"/>
  <c r="O174" i="44"/>
  <c r="O175" i="44"/>
  <c r="O176" i="44"/>
  <c r="O177" i="44"/>
  <c r="O178" i="44"/>
  <c r="O179" i="44"/>
  <c r="O180" i="44"/>
  <c r="O181" i="44"/>
  <c r="O182" i="44"/>
  <c r="O183" i="44"/>
  <c r="O184" i="44"/>
  <c r="O185" i="44"/>
  <c r="O186" i="44"/>
  <c r="O187" i="44"/>
  <c r="O188" i="44"/>
  <c r="O189" i="44"/>
  <c r="O190" i="44"/>
  <c r="O191" i="44"/>
  <c r="O192" i="44"/>
  <c r="O193" i="44"/>
  <c r="O194" i="44"/>
  <c r="O195" i="44"/>
  <c r="O4" i="44"/>
  <c r="I5" i="44"/>
  <c r="I6" i="44"/>
  <c r="I7" i="44"/>
  <c r="I8" i="44"/>
  <c r="I9" i="44"/>
  <c r="I10" i="44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32" i="44"/>
  <c r="I33" i="44"/>
  <c r="I34" i="44"/>
  <c r="I35" i="44"/>
  <c r="I36" i="44"/>
  <c r="I37" i="44"/>
  <c r="I38" i="44"/>
  <c r="I39" i="44"/>
  <c r="I40" i="44"/>
  <c r="I41" i="44"/>
  <c r="I42" i="44"/>
  <c r="I43" i="44"/>
  <c r="I44" i="44"/>
  <c r="I45" i="44"/>
  <c r="I46" i="44"/>
  <c r="I47" i="44"/>
  <c r="I48" i="44"/>
  <c r="I49" i="44"/>
  <c r="I50" i="44"/>
  <c r="I51" i="44"/>
  <c r="I52" i="44"/>
  <c r="I53" i="44"/>
  <c r="I54" i="44"/>
  <c r="I55" i="44"/>
  <c r="I56" i="44"/>
  <c r="I57" i="44"/>
  <c r="I58" i="44"/>
  <c r="I59" i="44"/>
  <c r="I60" i="44"/>
  <c r="I61" i="44"/>
  <c r="I62" i="44"/>
  <c r="I63" i="44"/>
  <c r="I64" i="44"/>
  <c r="I65" i="44"/>
  <c r="I66" i="44"/>
  <c r="I67" i="44"/>
  <c r="I68" i="44"/>
  <c r="I69" i="44"/>
  <c r="I70" i="44"/>
  <c r="I71" i="44"/>
  <c r="I72" i="44"/>
  <c r="I73" i="44"/>
  <c r="I74" i="44"/>
  <c r="I75" i="44"/>
  <c r="I76" i="44"/>
  <c r="I77" i="44"/>
  <c r="I78" i="44"/>
  <c r="I79" i="44"/>
  <c r="I80" i="44"/>
  <c r="I81" i="44"/>
  <c r="I82" i="44"/>
  <c r="I83" i="44"/>
  <c r="I84" i="44"/>
  <c r="I85" i="44"/>
  <c r="I86" i="44"/>
  <c r="I87" i="44"/>
  <c r="I88" i="44"/>
  <c r="I89" i="44"/>
  <c r="I90" i="44"/>
  <c r="I91" i="44"/>
  <c r="I92" i="44"/>
  <c r="I93" i="44"/>
  <c r="I94" i="44"/>
  <c r="I95" i="44"/>
  <c r="I96" i="44"/>
  <c r="I97" i="44"/>
  <c r="I98" i="44"/>
  <c r="I99" i="44"/>
  <c r="I100" i="44"/>
  <c r="I101" i="44"/>
  <c r="I102" i="44"/>
  <c r="I103" i="44"/>
  <c r="I104" i="44"/>
  <c r="I105" i="44"/>
  <c r="I106" i="44"/>
  <c r="I107" i="44"/>
  <c r="I108" i="44"/>
  <c r="I109" i="44"/>
  <c r="I110" i="44"/>
  <c r="I111" i="44"/>
  <c r="I112" i="44"/>
  <c r="I113" i="44"/>
  <c r="I114" i="44"/>
  <c r="I115" i="44"/>
  <c r="I116" i="44"/>
  <c r="I117" i="44"/>
  <c r="I118" i="44"/>
  <c r="I119" i="44"/>
  <c r="I120" i="44"/>
  <c r="I121" i="44"/>
  <c r="I122" i="44"/>
  <c r="I123" i="44"/>
  <c r="I124" i="44"/>
  <c r="I125" i="44"/>
  <c r="I126" i="44"/>
  <c r="I127" i="44"/>
  <c r="I128" i="44"/>
  <c r="I129" i="44"/>
  <c r="I130" i="44"/>
  <c r="I131" i="44"/>
  <c r="I132" i="44"/>
  <c r="I133" i="44"/>
  <c r="I134" i="44"/>
  <c r="I135" i="44"/>
  <c r="I136" i="44"/>
  <c r="I137" i="44"/>
  <c r="I138" i="44"/>
  <c r="I139" i="44"/>
  <c r="I140" i="44"/>
  <c r="I141" i="44"/>
  <c r="I142" i="44"/>
  <c r="I143" i="44"/>
  <c r="I144" i="44"/>
  <c r="I145" i="44"/>
  <c r="I146" i="44"/>
  <c r="I147" i="44"/>
  <c r="I148" i="44"/>
  <c r="I149" i="44"/>
  <c r="I150" i="44"/>
  <c r="I151" i="44"/>
  <c r="I152" i="44"/>
  <c r="I153" i="44"/>
  <c r="I154" i="44"/>
  <c r="I155" i="44"/>
  <c r="I156" i="44"/>
  <c r="I157" i="44"/>
  <c r="I158" i="44"/>
  <c r="I159" i="44"/>
  <c r="I160" i="44"/>
  <c r="I161" i="44"/>
  <c r="I162" i="44"/>
  <c r="I163" i="44"/>
  <c r="I164" i="44"/>
  <c r="I165" i="44"/>
  <c r="I166" i="44"/>
  <c r="I167" i="44"/>
  <c r="I168" i="44"/>
  <c r="I169" i="44"/>
  <c r="I170" i="44"/>
  <c r="I171" i="44"/>
  <c r="I172" i="44"/>
  <c r="I173" i="44"/>
  <c r="I174" i="44"/>
  <c r="I175" i="44"/>
  <c r="I176" i="44"/>
  <c r="I177" i="44"/>
  <c r="I178" i="44"/>
  <c r="I179" i="44"/>
  <c r="I180" i="44"/>
  <c r="I181" i="44"/>
  <c r="I182" i="44"/>
  <c r="I183" i="44"/>
  <c r="I184" i="44"/>
  <c r="I185" i="44"/>
  <c r="I186" i="44"/>
  <c r="I187" i="44"/>
  <c r="I188" i="44"/>
  <c r="I189" i="44"/>
  <c r="I190" i="44"/>
  <c r="I191" i="44"/>
  <c r="I192" i="44"/>
  <c r="I193" i="44"/>
  <c r="I194" i="44"/>
  <c r="I195" i="44"/>
  <c r="I4" i="44"/>
  <c r="J5" i="44"/>
  <c r="J6" i="44"/>
  <c r="J7" i="44"/>
  <c r="J8" i="44"/>
  <c r="J9" i="44"/>
  <c r="J10" i="44"/>
  <c r="J11" i="44"/>
  <c r="J12" i="44"/>
  <c r="J13" i="44"/>
  <c r="J14" i="44"/>
  <c r="J15" i="44"/>
  <c r="J16" i="44"/>
  <c r="J17" i="44"/>
  <c r="J18" i="44"/>
  <c r="J19" i="44"/>
  <c r="J20" i="44"/>
  <c r="J21" i="44"/>
  <c r="J22" i="44"/>
  <c r="J23" i="44"/>
  <c r="J24" i="44"/>
  <c r="J25" i="44"/>
  <c r="J26" i="44"/>
  <c r="J27" i="44"/>
  <c r="J28" i="44"/>
  <c r="J29" i="44"/>
  <c r="J30" i="44"/>
  <c r="J31" i="44"/>
  <c r="J32" i="44"/>
  <c r="J33" i="44"/>
  <c r="J34" i="44"/>
  <c r="J35" i="44"/>
  <c r="J36" i="44"/>
  <c r="J37" i="44"/>
  <c r="J38" i="44"/>
  <c r="J39" i="44"/>
  <c r="J40" i="44"/>
  <c r="J41" i="44"/>
  <c r="J42" i="44"/>
  <c r="J43" i="44"/>
  <c r="J44" i="44"/>
  <c r="J45" i="44"/>
  <c r="J46" i="44"/>
  <c r="J47" i="44"/>
  <c r="J48" i="44"/>
  <c r="J49" i="44"/>
  <c r="J50" i="44"/>
  <c r="J51" i="44"/>
  <c r="J52" i="44"/>
  <c r="J53" i="44"/>
  <c r="J54" i="44"/>
  <c r="J55" i="44"/>
  <c r="J56" i="44"/>
  <c r="J57" i="44"/>
  <c r="J58" i="44"/>
  <c r="J59" i="44"/>
  <c r="J60" i="44"/>
  <c r="J61" i="44"/>
  <c r="J62" i="44"/>
  <c r="J63" i="44"/>
  <c r="J64" i="44"/>
  <c r="J65" i="44"/>
  <c r="J66" i="44"/>
  <c r="J67" i="44"/>
  <c r="J68" i="44"/>
  <c r="J69" i="44"/>
  <c r="J70" i="44"/>
  <c r="J71" i="44"/>
  <c r="J72" i="44"/>
  <c r="J73" i="44"/>
  <c r="J74" i="44"/>
  <c r="J75" i="44"/>
  <c r="J76" i="44"/>
  <c r="J77" i="44"/>
  <c r="J78" i="44"/>
  <c r="J79" i="44"/>
  <c r="J80" i="44"/>
  <c r="J81" i="44"/>
  <c r="J82" i="44"/>
  <c r="J83" i="44"/>
  <c r="J84" i="44"/>
  <c r="J85" i="44"/>
  <c r="J86" i="44"/>
  <c r="J87" i="44"/>
  <c r="J88" i="44"/>
  <c r="J89" i="44"/>
  <c r="J90" i="44"/>
  <c r="J91" i="44"/>
  <c r="J92" i="44"/>
  <c r="J93" i="44"/>
  <c r="J94" i="44"/>
  <c r="J95" i="44"/>
  <c r="J96" i="44"/>
  <c r="J97" i="44"/>
  <c r="J98" i="44"/>
  <c r="J99" i="44"/>
  <c r="J100" i="44"/>
  <c r="J101" i="44"/>
  <c r="J102" i="44"/>
  <c r="J103" i="44"/>
  <c r="J104" i="44"/>
  <c r="J105" i="44"/>
  <c r="J106" i="44"/>
  <c r="J107" i="44"/>
  <c r="J108" i="44"/>
  <c r="J109" i="44"/>
  <c r="J110" i="44"/>
  <c r="J111" i="44"/>
  <c r="J112" i="44"/>
  <c r="J113" i="44"/>
  <c r="J114" i="44"/>
  <c r="J115" i="44"/>
  <c r="J116" i="44"/>
  <c r="J117" i="44"/>
  <c r="J118" i="44"/>
  <c r="J119" i="44"/>
  <c r="J120" i="44"/>
  <c r="J121" i="44"/>
  <c r="J122" i="44"/>
  <c r="J123" i="44"/>
  <c r="J124" i="44"/>
  <c r="J125" i="44"/>
  <c r="J126" i="44"/>
  <c r="J127" i="44"/>
  <c r="J128" i="44"/>
  <c r="J129" i="44"/>
  <c r="J130" i="44"/>
  <c r="J131" i="44"/>
  <c r="J132" i="44"/>
  <c r="J133" i="44"/>
  <c r="J134" i="44"/>
  <c r="J135" i="44"/>
  <c r="J136" i="44"/>
  <c r="J137" i="44"/>
  <c r="J138" i="44"/>
  <c r="J139" i="44"/>
  <c r="J140" i="44"/>
  <c r="J141" i="44"/>
  <c r="J142" i="44"/>
  <c r="J143" i="44"/>
  <c r="J144" i="44"/>
  <c r="J145" i="44"/>
  <c r="J146" i="44"/>
  <c r="J147" i="44"/>
  <c r="J148" i="44"/>
  <c r="J149" i="44"/>
  <c r="J150" i="44"/>
  <c r="J151" i="44"/>
  <c r="J152" i="44"/>
  <c r="J153" i="44"/>
  <c r="J154" i="44"/>
  <c r="J155" i="44"/>
  <c r="J156" i="44"/>
  <c r="J157" i="44"/>
  <c r="J158" i="44"/>
  <c r="J159" i="44"/>
  <c r="J160" i="44"/>
  <c r="J161" i="44"/>
  <c r="J162" i="44"/>
  <c r="J163" i="44"/>
  <c r="J164" i="44"/>
  <c r="J165" i="44"/>
  <c r="J166" i="44"/>
  <c r="J167" i="44"/>
  <c r="J168" i="44"/>
  <c r="J169" i="44"/>
  <c r="J170" i="44"/>
  <c r="J171" i="44"/>
  <c r="J172" i="44"/>
  <c r="J173" i="44"/>
  <c r="J174" i="44"/>
  <c r="J175" i="44"/>
  <c r="J176" i="44"/>
  <c r="J177" i="44"/>
  <c r="J178" i="44"/>
  <c r="J179" i="44"/>
  <c r="J180" i="44"/>
  <c r="J181" i="44"/>
  <c r="J182" i="44"/>
  <c r="J183" i="44"/>
  <c r="J184" i="44"/>
  <c r="J185" i="44"/>
  <c r="J186" i="44"/>
  <c r="J187" i="44"/>
  <c r="J188" i="44"/>
  <c r="J189" i="44"/>
  <c r="J190" i="44"/>
  <c r="J191" i="44"/>
  <c r="J192" i="44"/>
  <c r="J193" i="44"/>
  <c r="J194" i="44"/>
  <c r="J195" i="44"/>
  <c r="P5" i="44"/>
  <c r="P6" i="44"/>
  <c r="P7" i="44"/>
  <c r="P8" i="44"/>
  <c r="P9" i="44"/>
  <c r="P10" i="44"/>
  <c r="P11" i="44"/>
  <c r="P12" i="44"/>
  <c r="P13" i="44"/>
  <c r="P14" i="44"/>
  <c r="P15" i="44"/>
  <c r="P16" i="44"/>
  <c r="P17" i="44"/>
  <c r="P18" i="44"/>
  <c r="P19" i="44"/>
  <c r="P20" i="44"/>
  <c r="P21" i="44"/>
  <c r="P22" i="44"/>
  <c r="P23" i="44"/>
  <c r="P24" i="44"/>
  <c r="P25" i="44"/>
  <c r="P26" i="44"/>
  <c r="P27" i="44"/>
  <c r="P28" i="44"/>
  <c r="P29" i="44"/>
  <c r="P30" i="44"/>
  <c r="P31" i="44"/>
  <c r="P32" i="44"/>
  <c r="P33" i="44"/>
  <c r="P34" i="44"/>
  <c r="P35" i="44"/>
  <c r="P3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J4" i="44"/>
  <c r="AD287" i="45"/>
  <c r="AD288" i="45"/>
  <c r="AD289" i="45"/>
  <c r="AD290" i="45"/>
  <c r="AD187" i="45"/>
  <c r="AD188" i="45"/>
  <c r="AD189" i="45"/>
  <c r="AD190" i="45"/>
  <c r="AD191" i="45"/>
  <c r="AD192" i="45"/>
  <c r="AD193" i="45"/>
  <c r="AD194" i="45"/>
  <c r="AD195" i="45"/>
  <c r="AD196" i="45"/>
  <c r="AD197" i="45"/>
  <c r="AD198" i="45"/>
  <c r="AD199" i="45"/>
  <c r="AD200" i="45"/>
  <c r="AD201" i="45"/>
  <c r="AD202" i="45"/>
  <c r="AD203" i="45"/>
  <c r="AD204" i="45"/>
  <c r="AD205" i="45"/>
  <c r="AD206" i="45"/>
  <c r="AD207" i="45"/>
  <c r="AD208" i="45"/>
  <c r="AD209" i="45"/>
  <c r="AD210" i="45"/>
  <c r="AD211" i="45"/>
  <c r="AD212" i="45"/>
  <c r="AD213" i="45"/>
  <c r="AD214" i="45"/>
  <c r="AD215" i="45"/>
  <c r="AD216" i="45"/>
  <c r="AD217" i="45"/>
  <c r="AD218" i="45"/>
  <c r="AD219" i="45"/>
  <c r="AD220" i="45"/>
  <c r="AD221" i="45"/>
  <c r="AD222" i="45"/>
  <c r="AD223" i="45"/>
  <c r="AD224" i="45"/>
  <c r="AD225" i="45"/>
  <c r="AD226" i="45"/>
  <c r="AD227" i="45"/>
  <c r="AD228" i="45"/>
  <c r="AD229" i="45"/>
  <c r="AD230" i="45"/>
  <c r="AD231" i="45"/>
  <c r="AD232" i="45"/>
  <c r="AD233" i="45"/>
  <c r="AD234" i="45"/>
  <c r="AD235" i="45"/>
  <c r="AD236" i="45"/>
  <c r="AD237" i="45"/>
  <c r="AD238" i="45"/>
  <c r="AD239" i="45"/>
  <c r="AD240" i="45"/>
  <c r="AD241" i="45"/>
  <c r="AD242" i="45"/>
  <c r="AD243" i="45"/>
  <c r="AD244" i="45"/>
  <c r="AD245" i="45"/>
  <c r="AD246" i="45"/>
  <c r="AD247" i="45"/>
  <c r="AD248" i="45"/>
  <c r="AD249" i="45"/>
  <c r="AD250" i="45"/>
  <c r="AD251" i="45"/>
  <c r="AD252" i="45"/>
  <c r="AD253" i="45"/>
  <c r="AD254" i="45"/>
  <c r="AD255" i="45"/>
  <c r="AD256" i="45"/>
  <c r="AD257" i="45"/>
  <c r="AD258" i="45"/>
  <c r="AD259" i="45"/>
  <c r="AD260" i="45"/>
  <c r="AD261" i="45"/>
  <c r="AD262" i="45"/>
  <c r="AD263" i="45"/>
  <c r="AD264" i="45"/>
  <c r="AD265" i="45"/>
  <c r="AD266" i="45"/>
  <c r="AD267" i="45"/>
  <c r="AD268" i="45"/>
  <c r="AD269" i="45"/>
  <c r="AD270" i="45"/>
  <c r="AD271" i="45"/>
  <c r="AD272" i="45"/>
  <c r="AD273" i="45"/>
  <c r="AD274" i="45"/>
  <c r="AD275" i="45"/>
  <c r="AD276" i="45"/>
  <c r="AD277" i="45"/>
  <c r="AD278" i="45"/>
  <c r="AD279" i="45"/>
  <c r="AD280" i="45"/>
  <c r="AD281" i="45"/>
  <c r="AD282" i="45"/>
  <c r="AD283" i="45"/>
  <c r="AD284" i="45"/>
  <c r="AD285" i="45"/>
  <c r="AD286" i="45"/>
  <c r="AD172" i="45"/>
  <c r="AD173" i="45"/>
  <c r="AD174" i="45"/>
  <c r="AD175" i="45"/>
  <c r="AD176" i="45"/>
  <c r="AD177" i="45"/>
  <c r="AD178" i="45"/>
  <c r="AD179" i="45"/>
  <c r="AD180" i="45"/>
  <c r="AD181" i="45"/>
  <c r="AD182" i="45"/>
  <c r="AD183" i="45"/>
  <c r="AD184" i="45"/>
  <c r="AD185" i="45"/>
  <c r="AD186" i="45"/>
  <c r="AD169" i="45"/>
  <c r="AD170" i="45"/>
  <c r="AD171" i="45"/>
  <c r="AE171" i="45"/>
  <c r="AF171" i="45"/>
  <c r="AG171" i="45"/>
  <c r="AE172" i="45"/>
  <c r="AF172" i="45"/>
  <c r="AG172" i="45"/>
  <c r="AE173" i="45"/>
  <c r="AF173" i="45"/>
  <c r="S4" i="44" s="1"/>
  <c r="AG173" i="45"/>
  <c r="AE174" i="45"/>
  <c r="AF174" i="45"/>
  <c r="AG174" i="45"/>
  <c r="AE175" i="45"/>
  <c r="AF175" i="45"/>
  <c r="AG175" i="45"/>
  <c r="AE176" i="45"/>
  <c r="AF176" i="45"/>
  <c r="AG176" i="45"/>
  <c r="AE177" i="45"/>
  <c r="AF177" i="45"/>
  <c r="AG177" i="45"/>
  <c r="AE178" i="45"/>
  <c r="AF178" i="45"/>
  <c r="AG178" i="45"/>
  <c r="AE179" i="45"/>
  <c r="AF179" i="45"/>
  <c r="AG179" i="45"/>
  <c r="AE180" i="45"/>
  <c r="AF180" i="45"/>
  <c r="AG180" i="45"/>
  <c r="AE181" i="45"/>
  <c r="AF181" i="45"/>
  <c r="AG181" i="45"/>
  <c r="AE182" i="45"/>
  <c r="AF182" i="45"/>
  <c r="AG182" i="45"/>
  <c r="AE183" i="45"/>
  <c r="AF183" i="45"/>
  <c r="AG183" i="45"/>
  <c r="AE184" i="45"/>
  <c r="AF184" i="45"/>
  <c r="AG184" i="45"/>
  <c r="AE185" i="45"/>
  <c r="AF185" i="45"/>
  <c r="AG185" i="45"/>
  <c r="AE186" i="45"/>
  <c r="AF186" i="45"/>
  <c r="AG186" i="45"/>
  <c r="AE187" i="45"/>
  <c r="AF187" i="45"/>
  <c r="AG187" i="45"/>
  <c r="AE188" i="45"/>
  <c r="AF188" i="45"/>
  <c r="AG188" i="45"/>
  <c r="AE189" i="45"/>
  <c r="AF189" i="45"/>
  <c r="AG189" i="45"/>
  <c r="AE190" i="45"/>
  <c r="AF190" i="45"/>
  <c r="AG190" i="45"/>
  <c r="AE191" i="45"/>
  <c r="AF191" i="45"/>
  <c r="AG191" i="45"/>
  <c r="AE192" i="45"/>
  <c r="AF192" i="45"/>
  <c r="AG192" i="45"/>
  <c r="AE193" i="45"/>
  <c r="AF193" i="45"/>
  <c r="AG193" i="45"/>
  <c r="AE194" i="45"/>
  <c r="AF194" i="45"/>
  <c r="AG194" i="45"/>
  <c r="AE195" i="45"/>
  <c r="AF195" i="45"/>
  <c r="AG195" i="45"/>
  <c r="AE196" i="45"/>
  <c r="AF196" i="45"/>
  <c r="AG196" i="45"/>
  <c r="AE197" i="45"/>
  <c r="AF197" i="45"/>
  <c r="AG197" i="45"/>
  <c r="AE198" i="45"/>
  <c r="AF198" i="45"/>
  <c r="AG198" i="45"/>
  <c r="AE199" i="45"/>
  <c r="AF199" i="45"/>
  <c r="AG199" i="45"/>
  <c r="AE200" i="45"/>
  <c r="AF200" i="45"/>
  <c r="AG200" i="45"/>
  <c r="AE201" i="45"/>
  <c r="AF201" i="45"/>
  <c r="AG201" i="45"/>
  <c r="AE202" i="45"/>
  <c r="AF202" i="45"/>
  <c r="AG202" i="45"/>
  <c r="AE203" i="45"/>
  <c r="AF203" i="45"/>
  <c r="AG203" i="45"/>
  <c r="AE204" i="45"/>
  <c r="AF204" i="45"/>
  <c r="AG204" i="45"/>
  <c r="AE205" i="45"/>
  <c r="AF205" i="45"/>
  <c r="AG205" i="45"/>
  <c r="AE206" i="45"/>
  <c r="AF206" i="45"/>
  <c r="AG206" i="45"/>
  <c r="AE207" i="45"/>
  <c r="AF207" i="45"/>
  <c r="AG207" i="45"/>
  <c r="AE208" i="45"/>
  <c r="AF208" i="45"/>
  <c r="AG208" i="45"/>
  <c r="AE209" i="45"/>
  <c r="AF209" i="45"/>
  <c r="AG209" i="45"/>
  <c r="AE210" i="45"/>
  <c r="AF210" i="45"/>
  <c r="AG210" i="45"/>
  <c r="AE211" i="45"/>
  <c r="AF211" i="45"/>
  <c r="AG211" i="45"/>
  <c r="AE212" i="45"/>
  <c r="AF212" i="45"/>
  <c r="AG212" i="45"/>
  <c r="AE213" i="45"/>
  <c r="AF213" i="45"/>
  <c r="AG213" i="45"/>
  <c r="AE214" i="45"/>
  <c r="AF214" i="45"/>
  <c r="AG214" i="45"/>
  <c r="AE215" i="45"/>
  <c r="AF215" i="45"/>
  <c r="AG215" i="45"/>
  <c r="AE216" i="45"/>
  <c r="AF216" i="45"/>
  <c r="AG216" i="45"/>
  <c r="AE217" i="45"/>
  <c r="AF217" i="45"/>
  <c r="AG217" i="45"/>
  <c r="AE218" i="45"/>
  <c r="AF218" i="45"/>
  <c r="AG218" i="45"/>
  <c r="AE219" i="45"/>
  <c r="AF219" i="45"/>
  <c r="AG219" i="45"/>
  <c r="AE220" i="45"/>
  <c r="AF220" i="45"/>
  <c r="AG220" i="45"/>
  <c r="AE221" i="45"/>
  <c r="AF221" i="45"/>
  <c r="AG221" i="45"/>
  <c r="AE222" i="45"/>
  <c r="AF222" i="45"/>
  <c r="AG222" i="45"/>
  <c r="AE223" i="45"/>
  <c r="AF223" i="45"/>
  <c r="AG223" i="45"/>
  <c r="AE224" i="45"/>
  <c r="AF224" i="45"/>
  <c r="AG224" i="45"/>
  <c r="AE225" i="45"/>
  <c r="AF225" i="45"/>
  <c r="AG225" i="45"/>
  <c r="AE226" i="45"/>
  <c r="AF226" i="45"/>
  <c r="AG226" i="45"/>
  <c r="AE227" i="45"/>
  <c r="AF227" i="45"/>
  <c r="AG227" i="45"/>
  <c r="AE228" i="45"/>
  <c r="AF228" i="45"/>
  <c r="AG228" i="45"/>
  <c r="AE229" i="45"/>
  <c r="AF229" i="45"/>
  <c r="AG229" i="45"/>
  <c r="AE230" i="45"/>
  <c r="AF230" i="45"/>
  <c r="AG230" i="45"/>
  <c r="AE231" i="45"/>
  <c r="AF231" i="45"/>
  <c r="AG231" i="45"/>
  <c r="AE232" i="45"/>
  <c r="AF232" i="45"/>
  <c r="AG232" i="45"/>
  <c r="AE233" i="45"/>
  <c r="AF233" i="45"/>
  <c r="AG233" i="45"/>
  <c r="AE234" i="45"/>
  <c r="AF234" i="45"/>
  <c r="AG234" i="45"/>
  <c r="AE235" i="45"/>
  <c r="AF235" i="45"/>
  <c r="AG235" i="45"/>
  <c r="AE236" i="45"/>
  <c r="AF236" i="45"/>
  <c r="AG236" i="45"/>
  <c r="AE237" i="45"/>
  <c r="AF237" i="45"/>
  <c r="AG237" i="45"/>
  <c r="AE238" i="45"/>
  <c r="AF238" i="45"/>
  <c r="AG238" i="45"/>
  <c r="AE239" i="45"/>
  <c r="AF239" i="45"/>
  <c r="AG239" i="45"/>
  <c r="AE240" i="45"/>
  <c r="AF240" i="45"/>
  <c r="AG240" i="45"/>
  <c r="AE241" i="45"/>
  <c r="AF241" i="45"/>
  <c r="AG241" i="45"/>
  <c r="AE242" i="45"/>
  <c r="AF242" i="45"/>
  <c r="AG242" i="45"/>
  <c r="AE243" i="45"/>
  <c r="AF243" i="45"/>
  <c r="AG243" i="45"/>
  <c r="AE244" i="45"/>
  <c r="AF244" i="45"/>
  <c r="AG244" i="45"/>
  <c r="AE245" i="45"/>
  <c r="AF245" i="45"/>
  <c r="AG245" i="45"/>
  <c r="AE246" i="45"/>
  <c r="AF246" i="45"/>
  <c r="AG246" i="45"/>
  <c r="AE247" i="45"/>
  <c r="AF247" i="45"/>
  <c r="AG247" i="45"/>
  <c r="AE248" i="45"/>
  <c r="AF248" i="45"/>
  <c r="AG248" i="45"/>
  <c r="AE249" i="45"/>
  <c r="AF249" i="45"/>
  <c r="AG249" i="45"/>
  <c r="AE250" i="45"/>
  <c r="AF250" i="45"/>
  <c r="AG250" i="45"/>
  <c r="AE251" i="45"/>
  <c r="AF251" i="45"/>
  <c r="AG251" i="45"/>
  <c r="AE252" i="45"/>
  <c r="AF252" i="45"/>
  <c r="AG252" i="45"/>
  <c r="AE253" i="45"/>
  <c r="AF253" i="45"/>
  <c r="AG253" i="45"/>
  <c r="AE254" i="45"/>
  <c r="AF254" i="45"/>
  <c r="AG254" i="45"/>
  <c r="AE255" i="45"/>
  <c r="AF255" i="45"/>
  <c r="AG255" i="45"/>
  <c r="AE256" i="45"/>
  <c r="AF256" i="45"/>
  <c r="AG256" i="45"/>
  <c r="AE257" i="45"/>
  <c r="AF257" i="45"/>
  <c r="AG257" i="45"/>
  <c r="AE258" i="45"/>
  <c r="AF258" i="45"/>
  <c r="AG258" i="45"/>
  <c r="AE259" i="45"/>
  <c r="AF259" i="45"/>
  <c r="AG259" i="45"/>
  <c r="AE260" i="45"/>
  <c r="AF260" i="45"/>
  <c r="AG260" i="45"/>
  <c r="AE261" i="45"/>
  <c r="AF261" i="45"/>
  <c r="AG261" i="45"/>
  <c r="AE262" i="45"/>
  <c r="AF262" i="45"/>
  <c r="AG262" i="45"/>
  <c r="AE263" i="45"/>
  <c r="AF263" i="45"/>
  <c r="AG263" i="45"/>
  <c r="AE264" i="45"/>
  <c r="AF264" i="45"/>
  <c r="AG264" i="45"/>
  <c r="AE265" i="45"/>
  <c r="AF265" i="45"/>
  <c r="AG265" i="45"/>
  <c r="AE266" i="45"/>
  <c r="AF266" i="45"/>
  <c r="AG266" i="45"/>
  <c r="AE267" i="45"/>
  <c r="AF267" i="45"/>
  <c r="AG267" i="45"/>
  <c r="AE268" i="45"/>
  <c r="AF268" i="45"/>
  <c r="AG268" i="45"/>
  <c r="AE269" i="45"/>
  <c r="AF269" i="45"/>
  <c r="AG269" i="45"/>
  <c r="AE270" i="45"/>
  <c r="AF270" i="45"/>
  <c r="AG270" i="45"/>
  <c r="AE271" i="45"/>
  <c r="AF271" i="45"/>
  <c r="AG271" i="45"/>
  <c r="AE272" i="45"/>
  <c r="AF272" i="45"/>
  <c r="AG272" i="45"/>
  <c r="AE273" i="45"/>
  <c r="AF273" i="45"/>
  <c r="AG273" i="45"/>
  <c r="AE274" i="45"/>
  <c r="AF274" i="45"/>
  <c r="AG274" i="45"/>
  <c r="AE275" i="45"/>
  <c r="AF275" i="45"/>
  <c r="AG275" i="45"/>
  <c r="AE276" i="45"/>
  <c r="AF276" i="45"/>
  <c r="AG276" i="45"/>
  <c r="AE277" i="45"/>
  <c r="AF277" i="45"/>
  <c r="AG277" i="45"/>
  <c r="AE278" i="45"/>
  <c r="AF278" i="45"/>
  <c r="AG278" i="45"/>
  <c r="AE279" i="45"/>
  <c r="AF279" i="45"/>
  <c r="AG279" i="45"/>
  <c r="AE280" i="45"/>
  <c r="AF280" i="45"/>
  <c r="AG280" i="45"/>
  <c r="AE281" i="45"/>
  <c r="AF281" i="45"/>
  <c r="AG281" i="45"/>
  <c r="AE282" i="45"/>
  <c r="AF282" i="45"/>
  <c r="AG282" i="45"/>
  <c r="AE283" i="45"/>
  <c r="AF283" i="45"/>
  <c r="AG283" i="45"/>
  <c r="AE284" i="45"/>
  <c r="AF284" i="45"/>
  <c r="AG284" i="45"/>
  <c r="AE285" i="45"/>
  <c r="AF285" i="45"/>
  <c r="AG285" i="45"/>
  <c r="AE286" i="45"/>
  <c r="AF286" i="45"/>
  <c r="AG286" i="45"/>
  <c r="AE287" i="45"/>
  <c r="AF287" i="45"/>
  <c r="AG287" i="45"/>
  <c r="AE288" i="45"/>
  <c r="AF288" i="45"/>
  <c r="AG288" i="45"/>
  <c r="AE289" i="45"/>
  <c r="AF289" i="45"/>
  <c r="AG289" i="45"/>
  <c r="AE290" i="45"/>
  <c r="AF290" i="45"/>
  <c r="AG290" i="45"/>
  <c r="Q4" i="44"/>
  <c r="L743" i="44" l="1"/>
  <c r="F743" i="44"/>
  <c r="L742" i="44"/>
  <c r="F742" i="44"/>
  <c r="L741" i="44"/>
  <c r="F741" i="44"/>
  <c r="L740" i="44"/>
  <c r="F740" i="44"/>
  <c r="L739" i="44"/>
  <c r="F739" i="44"/>
  <c r="L738" i="44"/>
  <c r="F738" i="44"/>
  <c r="L737" i="44"/>
  <c r="F737" i="44"/>
  <c r="L736" i="44"/>
  <c r="F736" i="44"/>
  <c r="L735" i="44"/>
  <c r="F735" i="44"/>
  <c r="L734" i="44"/>
  <c r="F734" i="44"/>
  <c r="L733" i="44"/>
  <c r="F733" i="44"/>
  <c r="L732" i="44"/>
  <c r="F732" i="44"/>
  <c r="L731" i="44"/>
  <c r="F731" i="44"/>
  <c r="L730" i="44"/>
  <c r="F730" i="44"/>
  <c r="L729" i="44"/>
  <c r="F729" i="44"/>
  <c r="L728" i="44"/>
  <c r="F728" i="44"/>
  <c r="L727" i="44"/>
  <c r="F727" i="44"/>
  <c r="L726" i="44"/>
  <c r="F726" i="44"/>
  <c r="L725" i="44"/>
  <c r="F725" i="44"/>
  <c r="L724" i="44"/>
  <c r="F724" i="44"/>
  <c r="L723" i="44"/>
  <c r="F723" i="44"/>
  <c r="L722" i="44"/>
  <c r="F722" i="44"/>
  <c r="L721" i="44"/>
  <c r="F721" i="44"/>
  <c r="L720" i="44"/>
  <c r="F720" i="44"/>
  <c r="B70" i="2" l="1"/>
  <c r="B43" i="43"/>
  <c r="D43" i="43" s="1"/>
  <c r="B44" i="43"/>
  <c r="D44" i="43" s="1"/>
  <c r="B45" i="43"/>
  <c r="E45" i="43" s="1"/>
  <c r="B42" i="43"/>
  <c r="E42" i="43" s="1"/>
  <c r="G29" i="43"/>
  <c r="G30" i="43"/>
  <c r="G31" i="43"/>
  <c r="G32" i="43"/>
  <c r="G33" i="43"/>
  <c r="G34" i="43"/>
  <c r="G35" i="43"/>
  <c r="G36" i="43"/>
  <c r="G37" i="43"/>
  <c r="G39" i="43"/>
  <c r="G28" i="43"/>
  <c r="E29" i="43"/>
  <c r="F29" i="43"/>
  <c r="E30" i="43"/>
  <c r="F30" i="43"/>
  <c r="E31" i="43"/>
  <c r="F31" i="43"/>
  <c r="E32" i="43"/>
  <c r="F32" i="43"/>
  <c r="E33" i="43"/>
  <c r="F33" i="43"/>
  <c r="E34" i="43"/>
  <c r="F34" i="43"/>
  <c r="E35" i="43"/>
  <c r="F35" i="43"/>
  <c r="E36" i="43"/>
  <c r="F36" i="43"/>
  <c r="E37" i="43"/>
  <c r="F37" i="43"/>
  <c r="E38" i="43"/>
  <c r="F38" i="43"/>
  <c r="E39" i="43"/>
  <c r="F39" i="43"/>
  <c r="F28" i="43"/>
  <c r="E28" i="43"/>
  <c r="AG170" i="45"/>
  <c r="AG169" i="45"/>
  <c r="AG168" i="45"/>
  <c r="AG167" i="45"/>
  <c r="AG166" i="45"/>
  <c r="AG165" i="45"/>
  <c r="AG164" i="45"/>
  <c r="AG163" i="45"/>
  <c r="AG162" i="45"/>
  <c r="AG161" i="45"/>
  <c r="AG160" i="45"/>
  <c r="AG159" i="45"/>
  <c r="AG158" i="45"/>
  <c r="AG157" i="45"/>
  <c r="AG156" i="45"/>
  <c r="AG155" i="45"/>
  <c r="AG154" i="45"/>
  <c r="AG153" i="45"/>
  <c r="AG152" i="45"/>
  <c r="AG151" i="45"/>
  <c r="AG150" i="45"/>
  <c r="AG149" i="45"/>
  <c r="AG148" i="45"/>
  <c r="AG147" i="45"/>
  <c r="AG146" i="45"/>
  <c r="AG145" i="45"/>
  <c r="AG144" i="45"/>
  <c r="AG143" i="45"/>
  <c r="AG142" i="45"/>
  <c r="AG141" i="45"/>
  <c r="AG140" i="45"/>
  <c r="AG139" i="45"/>
  <c r="AG138" i="45"/>
  <c r="AG137" i="45"/>
  <c r="AG136" i="45"/>
  <c r="AG135" i="45"/>
  <c r="AG134" i="45"/>
  <c r="AG133" i="45"/>
  <c r="AG132" i="45"/>
  <c r="AG131" i="45"/>
  <c r="AG130" i="45"/>
  <c r="AG129" i="45"/>
  <c r="AG128" i="45"/>
  <c r="AG127" i="45"/>
  <c r="AG126" i="45"/>
  <c r="AG125" i="45"/>
  <c r="AG124" i="45"/>
  <c r="AG123" i="45"/>
  <c r="AG122" i="45"/>
  <c r="AG121" i="45"/>
  <c r="AG120" i="45"/>
  <c r="AG119" i="45"/>
  <c r="AG118" i="45"/>
  <c r="AG117" i="45"/>
  <c r="AG116" i="45"/>
  <c r="AG115" i="45"/>
  <c r="AG114" i="45"/>
  <c r="AG113" i="45"/>
  <c r="AG112" i="45"/>
  <c r="AG111" i="45"/>
  <c r="AG110" i="45"/>
  <c r="AG109" i="45"/>
  <c r="AG108" i="45"/>
  <c r="AG107" i="45"/>
  <c r="AG106" i="45"/>
  <c r="AG105" i="45"/>
  <c r="AG104" i="45"/>
  <c r="AG103" i="45"/>
  <c r="AG102" i="45"/>
  <c r="AG101" i="45"/>
  <c r="AG100" i="45"/>
  <c r="AG99" i="45"/>
  <c r="AG98" i="45"/>
  <c r="AG97" i="45"/>
  <c r="AG96" i="45"/>
  <c r="AG95" i="45"/>
  <c r="AG94" i="45"/>
  <c r="AG93" i="45"/>
  <c r="AG92" i="45"/>
  <c r="AG91" i="45"/>
  <c r="AG90" i="45"/>
  <c r="AG89" i="45"/>
  <c r="AG88" i="45"/>
  <c r="AG87" i="45"/>
  <c r="AG86" i="45"/>
  <c r="AG85" i="45"/>
  <c r="AG84" i="45"/>
  <c r="AG83" i="45"/>
  <c r="AG82" i="45"/>
  <c r="AG81" i="45"/>
  <c r="AG80" i="45"/>
  <c r="AG79" i="45"/>
  <c r="AG78" i="45"/>
  <c r="AG77" i="45"/>
  <c r="AG76" i="45"/>
  <c r="AG75" i="45"/>
  <c r="AG74" i="45"/>
  <c r="AG73" i="45"/>
  <c r="AG72" i="45"/>
  <c r="AG71" i="45"/>
  <c r="AG70" i="45"/>
  <c r="AG69" i="45"/>
  <c r="AG68" i="45"/>
  <c r="AG67" i="45"/>
  <c r="AG66" i="45"/>
  <c r="AG65" i="45"/>
  <c r="AG64" i="45"/>
  <c r="AG63" i="45"/>
  <c r="AG62" i="45"/>
  <c r="AG61" i="45"/>
  <c r="AG60" i="45"/>
  <c r="AG59" i="45"/>
  <c r="AG58" i="45"/>
  <c r="AG57" i="45"/>
  <c r="AG56" i="45"/>
  <c r="AG55" i="45"/>
  <c r="AG54" i="45"/>
  <c r="AG53" i="45"/>
  <c r="AG52" i="45"/>
  <c r="AG51" i="45"/>
  <c r="AG50" i="45"/>
  <c r="AG49" i="45"/>
  <c r="AG48" i="45"/>
  <c r="AG47" i="45"/>
  <c r="AG46" i="45"/>
  <c r="AG45" i="45"/>
  <c r="AG44" i="45"/>
  <c r="AG43" i="45"/>
  <c r="AG42" i="45"/>
  <c r="AG41" i="45"/>
  <c r="AG40" i="45"/>
  <c r="AG39" i="45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G7" i="45"/>
  <c r="AG6" i="45"/>
  <c r="AG5" i="45"/>
  <c r="AG4" i="45"/>
  <c r="AG3" i="45"/>
  <c r="AF170" i="45"/>
  <c r="AF169" i="45"/>
  <c r="AF168" i="45"/>
  <c r="AF167" i="45"/>
  <c r="AF166" i="45"/>
  <c r="AF165" i="45"/>
  <c r="AF164" i="45"/>
  <c r="AF163" i="45"/>
  <c r="AF162" i="45"/>
  <c r="AF161" i="45"/>
  <c r="AF160" i="45"/>
  <c r="AF159" i="45"/>
  <c r="AF158" i="45"/>
  <c r="AF157" i="45"/>
  <c r="AF156" i="45"/>
  <c r="AF155" i="45"/>
  <c r="AF154" i="45"/>
  <c r="AF153" i="45"/>
  <c r="AF152" i="45"/>
  <c r="AF151" i="45"/>
  <c r="AF150" i="45"/>
  <c r="AF149" i="45"/>
  <c r="AF148" i="45"/>
  <c r="AF147" i="45"/>
  <c r="AF146" i="45"/>
  <c r="AF145" i="45"/>
  <c r="AF144" i="45"/>
  <c r="AF143" i="45"/>
  <c r="AF142" i="45"/>
  <c r="AF141" i="45"/>
  <c r="AF140" i="45"/>
  <c r="AF139" i="45"/>
  <c r="AF138" i="45"/>
  <c r="AF137" i="45"/>
  <c r="AF136" i="45"/>
  <c r="AF135" i="45"/>
  <c r="AF134" i="45"/>
  <c r="AF133" i="45"/>
  <c r="AF132" i="45"/>
  <c r="AF131" i="45"/>
  <c r="AF130" i="45"/>
  <c r="AF129" i="45"/>
  <c r="AF128" i="45"/>
  <c r="AF127" i="45"/>
  <c r="AF126" i="45"/>
  <c r="AF125" i="45"/>
  <c r="AF124" i="45"/>
  <c r="AF123" i="45"/>
  <c r="AF122" i="45"/>
  <c r="AF121" i="45"/>
  <c r="AF120" i="45"/>
  <c r="AF119" i="45"/>
  <c r="AF118" i="45"/>
  <c r="AF117" i="45"/>
  <c r="AF116" i="45"/>
  <c r="AF115" i="45"/>
  <c r="AF114" i="45"/>
  <c r="AF113" i="45"/>
  <c r="AF112" i="45"/>
  <c r="AF111" i="45"/>
  <c r="AF110" i="45"/>
  <c r="AF109" i="45"/>
  <c r="AF108" i="45"/>
  <c r="AF107" i="45"/>
  <c r="AF106" i="45"/>
  <c r="AF105" i="45"/>
  <c r="AF104" i="45"/>
  <c r="AF103" i="45"/>
  <c r="AF102" i="45"/>
  <c r="AF101" i="45"/>
  <c r="AF100" i="45"/>
  <c r="AF99" i="45"/>
  <c r="AF98" i="45"/>
  <c r="AF97" i="45"/>
  <c r="AF96" i="45"/>
  <c r="AF95" i="45"/>
  <c r="AF94" i="45"/>
  <c r="AF93" i="45"/>
  <c r="AF92" i="45"/>
  <c r="AF91" i="45"/>
  <c r="AF90" i="45"/>
  <c r="AF89" i="45"/>
  <c r="AF88" i="45"/>
  <c r="AF87" i="45"/>
  <c r="AF86" i="45"/>
  <c r="AF85" i="45"/>
  <c r="AF84" i="45"/>
  <c r="AF83" i="45"/>
  <c r="AF82" i="45"/>
  <c r="AF81" i="45"/>
  <c r="AF80" i="45"/>
  <c r="AF79" i="45"/>
  <c r="AF78" i="45"/>
  <c r="AF77" i="45"/>
  <c r="AF76" i="45"/>
  <c r="AF75" i="45"/>
  <c r="AF74" i="45"/>
  <c r="AF73" i="45"/>
  <c r="AF72" i="45"/>
  <c r="AF71" i="45"/>
  <c r="AF70" i="45"/>
  <c r="AF69" i="45"/>
  <c r="AF68" i="45"/>
  <c r="AF67" i="45"/>
  <c r="AF66" i="45"/>
  <c r="AF65" i="45"/>
  <c r="AF64" i="45"/>
  <c r="AF63" i="45"/>
  <c r="AF62" i="45"/>
  <c r="AF61" i="45"/>
  <c r="AF60" i="45"/>
  <c r="AF59" i="45"/>
  <c r="AF58" i="45"/>
  <c r="AF57" i="45"/>
  <c r="AF56" i="45"/>
  <c r="AF55" i="45"/>
  <c r="AF54" i="45"/>
  <c r="AF53" i="45"/>
  <c r="AF52" i="45"/>
  <c r="AF51" i="45"/>
  <c r="AF50" i="45"/>
  <c r="AF49" i="45"/>
  <c r="AF48" i="45"/>
  <c r="AF47" i="45"/>
  <c r="AF46" i="45"/>
  <c r="AF45" i="45"/>
  <c r="AF44" i="45"/>
  <c r="AF43" i="45"/>
  <c r="AF42" i="45"/>
  <c r="AF41" i="45"/>
  <c r="AF40" i="45"/>
  <c r="AF39" i="45"/>
  <c r="AF38" i="45"/>
  <c r="AF37" i="45"/>
  <c r="AF36" i="45"/>
  <c r="AF35" i="45"/>
  <c r="AF34" i="45"/>
  <c r="AF33" i="45"/>
  <c r="AF32" i="45"/>
  <c r="AF31" i="45"/>
  <c r="AF30" i="45"/>
  <c r="AF29" i="45"/>
  <c r="AF28" i="45"/>
  <c r="AF27" i="45"/>
  <c r="AF26" i="45"/>
  <c r="AF25" i="45"/>
  <c r="AF24" i="45"/>
  <c r="AF23" i="45"/>
  <c r="AF22" i="45"/>
  <c r="AF21" i="45"/>
  <c r="AF20" i="45"/>
  <c r="AF19" i="45"/>
  <c r="AF18" i="45"/>
  <c r="AF17" i="45"/>
  <c r="AF16" i="45"/>
  <c r="AF15" i="45"/>
  <c r="AF14" i="45"/>
  <c r="AF13" i="45"/>
  <c r="AF12" i="45"/>
  <c r="AF11" i="45"/>
  <c r="AF10" i="45"/>
  <c r="AF9" i="45"/>
  <c r="AF8" i="45"/>
  <c r="AF7" i="45"/>
  <c r="AF6" i="45"/>
  <c r="AF5" i="45"/>
  <c r="AF4" i="45"/>
  <c r="AF3" i="45"/>
  <c r="AE170" i="45"/>
  <c r="AE169" i="45"/>
  <c r="AE168" i="45"/>
  <c r="AE167" i="45"/>
  <c r="AE166" i="45"/>
  <c r="AE165" i="45"/>
  <c r="AE164" i="45"/>
  <c r="AE163" i="45"/>
  <c r="AE162" i="45"/>
  <c r="AE161" i="45"/>
  <c r="AE160" i="45"/>
  <c r="AE159" i="45"/>
  <c r="AE158" i="45"/>
  <c r="AE157" i="45"/>
  <c r="AE156" i="45"/>
  <c r="AE155" i="45"/>
  <c r="AE154" i="45"/>
  <c r="AE153" i="45"/>
  <c r="AE152" i="45"/>
  <c r="AE151" i="45"/>
  <c r="AE150" i="45"/>
  <c r="AE149" i="45"/>
  <c r="AE148" i="45"/>
  <c r="AE147" i="45"/>
  <c r="AE146" i="45"/>
  <c r="AE145" i="45"/>
  <c r="AE144" i="45"/>
  <c r="AE143" i="45"/>
  <c r="AE142" i="45"/>
  <c r="AE141" i="45"/>
  <c r="AE140" i="45"/>
  <c r="AE139" i="45"/>
  <c r="AE138" i="45"/>
  <c r="AE137" i="45"/>
  <c r="AE136" i="45"/>
  <c r="AE135" i="45"/>
  <c r="AE134" i="45"/>
  <c r="AE133" i="45"/>
  <c r="AE132" i="45"/>
  <c r="AE131" i="45"/>
  <c r="AE130" i="45"/>
  <c r="AE129" i="45"/>
  <c r="AE128" i="45"/>
  <c r="AE127" i="45"/>
  <c r="AE126" i="45"/>
  <c r="AE125" i="45"/>
  <c r="AE124" i="45"/>
  <c r="AE123" i="45"/>
  <c r="AE122" i="45"/>
  <c r="AE121" i="45"/>
  <c r="AE120" i="45"/>
  <c r="AE119" i="45"/>
  <c r="AE118" i="45"/>
  <c r="AE117" i="45"/>
  <c r="AE116" i="45"/>
  <c r="AE115" i="45"/>
  <c r="AE114" i="45"/>
  <c r="AE113" i="45"/>
  <c r="AE112" i="45"/>
  <c r="AE111" i="45"/>
  <c r="AE110" i="45"/>
  <c r="AE109" i="45"/>
  <c r="AE108" i="45"/>
  <c r="AE107" i="45"/>
  <c r="AE106" i="45"/>
  <c r="AE105" i="45"/>
  <c r="AE104" i="45"/>
  <c r="AE103" i="45"/>
  <c r="AE102" i="45"/>
  <c r="AE101" i="45"/>
  <c r="AE100" i="45"/>
  <c r="AE99" i="45"/>
  <c r="AE98" i="45"/>
  <c r="AE97" i="45"/>
  <c r="AE96" i="45"/>
  <c r="AE95" i="45"/>
  <c r="AE94" i="45"/>
  <c r="AE93" i="45"/>
  <c r="AE92" i="45"/>
  <c r="AE91" i="45"/>
  <c r="AE90" i="45"/>
  <c r="AE89" i="45"/>
  <c r="AE88" i="45"/>
  <c r="AE87" i="45"/>
  <c r="AE86" i="45"/>
  <c r="AE85" i="45"/>
  <c r="AE84" i="45"/>
  <c r="AE83" i="45"/>
  <c r="AE82" i="45"/>
  <c r="AE81" i="45"/>
  <c r="AE80" i="45"/>
  <c r="AE79" i="45"/>
  <c r="AE78" i="45"/>
  <c r="AE77" i="45"/>
  <c r="AE76" i="45"/>
  <c r="AE75" i="45"/>
  <c r="AE74" i="45"/>
  <c r="AE73" i="45"/>
  <c r="AE72" i="45"/>
  <c r="AE71" i="45"/>
  <c r="AE70" i="45"/>
  <c r="AE69" i="45"/>
  <c r="AE68" i="45"/>
  <c r="AE67" i="45"/>
  <c r="AE66" i="45"/>
  <c r="AE65" i="45"/>
  <c r="AE64" i="45"/>
  <c r="AE63" i="45"/>
  <c r="AE62" i="45"/>
  <c r="AE61" i="45"/>
  <c r="AE60" i="45"/>
  <c r="AE59" i="45"/>
  <c r="AE58" i="45"/>
  <c r="AE57" i="45"/>
  <c r="AE56" i="45"/>
  <c r="AE55" i="45"/>
  <c r="AE54" i="45"/>
  <c r="AE53" i="45"/>
  <c r="AE52" i="45"/>
  <c r="AE51" i="45"/>
  <c r="AE50" i="45"/>
  <c r="AE49" i="45"/>
  <c r="AE48" i="45"/>
  <c r="AE47" i="45"/>
  <c r="AE46" i="45"/>
  <c r="AE45" i="45"/>
  <c r="AE44" i="45"/>
  <c r="AE43" i="45"/>
  <c r="AE42" i="45"/>
  <c r="AE41" i="45"/>
  <c r="AE40" i="45"/>
  <c r="AE39" i="45"/>
  <c r="AE38" i="45"/>
  <c r="AE37" i="45"/>
  <c r="AE36" i="45"/>
  <c r="AE35" i="45"/>
  <c r="AE34" i="45"/>
  <c r="AE33" i="45"/>
  <c r="AE32" i="45"/>
  <c r="AE31" i="45"/>
  <c r="AE30" i="45"/>
  <c r="AE29" i="45"/>
  <c r="AE28" i="45"/>
  <c r="AE27" i="45"/>
  <c r="AE26" i="45"/>
  <c r="AE25" i="45"/>
  <c r="AE24" i="45"/>
  <c r="AE23" i="45"/>
  <c r="AE22" i="45"/>
  <c r="AE21" i="45"/>
  <c r="AE20" i="45"/>
  <c r="AE19" i="45"/>
  <c r="AE18" i="45"/>
  <c r="AE17" i="45"/>
  <c r="AE16" i="45"/>
  <c r="AE15" i="45"/>
  <c r="AE14" i="45"/>
  <c r="AE13" i="45"/>
  <c r="AE12" i="45"/>
  <c r="AE11" i="45"/>
  <c r="AE10" i="45"/>
  <c r="AE9" i="45"/>
  <c r="AE8" i="45"/>
  <c r="AE7" i="45"/>
  <c r="AE6" i="45"/>
  <c r="AE5" i="45"/>
  <c r="AE4" i="45"/>
  <c r="AE3" i="45"/>
  <c r="AD168" i="45"/>
  <c r="AD167" i="45"/>
  <c r="AD166" i="45"/>
  <c r="AD165" i="45"/>
  <c r="AD164" i="45"/>
  <c r="AD163" i="45"/>
  <c r="AD162" i="45"/>
  <c r="AD161" i="45"/>
  <c r="AD160" i="45"/>
  <c r="AD159" i="45"/>
  <c r="AD158" i="45"/>
  <c r="AD157" i="45"/>
  <c r="AD156" i="45"/>
  <c r="AD155" i="45"/>
  <c r="AD154" i="45"/>
  <c r="AD153" i="45"/>
  <c r="AD152" i="45"/>
  <c r="AD151" i="45"/>
  <c r="AD150" i="45"/>
  <c r="AD149" i="45"/>
  <c r="AD148" i="45"/>
  <c r="AD147" i="45"/>
  <c r="AD146" i="45"/>
  <c r="AD145" i="45"/>
  <c r="AD144" i="45"/>
  <c r="AD143" i="45"/>
  <c r="AD142" i="45"/>
  <c r="AD141" i="45"/>
  <c r="AD140" i="45"/>
  <c r="AD139" i="45"/>
  <c r="AD138" i="45"/>
  <c r="AD137" i="45"/>
  <c r="AD136" i="45"/>
  <c r="AD135" i="45"/>
  <c r="AD134" i="45"/>
  <c r="AD133" i="45"/>
  <c r="AD132" i="45"/>
  <c r="AD131" i="45"/>
  <c r="AD130" i="45"/>
  <c r="AD129" i="45"/>
  <c r="AD128" i="45"/>
  <c r="AD127" i="45"/>
  <c r="AD126" i="45"/>
  <c r="AD125" i="45"/>
  <c r="AD124" i="45"/>
  <c r="AD123" i="45"/>
  <c r="AD122" i="45"/>
  <c r="AD121" i="45"/>
  <c r="AD120" i="45"/>
  <c r="AD119" i="45"/>
  <c r="AD118" i="45"/>
  <c r="AD117" i="45"/>
  <c r="AD116" i="45"/>
  <c r="AD115" i="45"/>
  <c r="AD114" i="45"/>
  <c r="AD113" i="45"/>
  <c r="AD112" i="45"/>
  <c r="AD111" i="45"/>
  <c r="AD110" i="45"/>
  <c r="AD109" i="45"/>
  <c r="AD108" i="45"/>
  <c r="AD107" i="45"/>
  <c r="AD106" i="45"/>
  <c r="AD105" i="45"/>
  <c r="AD104" i="45"/>
  <c r="AD103" i="45"/>
  <c r="AD102" i="45"/>
  <c r="AD101" i="45"/>
  <c r="AD100" i="45"/>
  <c r="AD99" i="45"/>
  <c r="AD98" i="45"/>
  <c r="AD97" i="45"/>
  <c r="AD96" i="45"/>
  <c r="AD95" i="45"/>
  <c r="AD94" i="45"/>
  <c r="AD93" i="45"/>
  <c r="AD92" i="45"/>
  <c r="AD91" i="45"/>
  <c r="AD90" i="45"/>
  <c r="AD89" i="45"/>
  <c r="AD88" i="45"/>
  <c r="AD87" i="45"/>
  <c r="AD86" i="45"/>
  <c r="AD85" i="45"/>
  <c r="AD84" i="45"/>
  <c r="AD83" i="45"/>
  <c r="AD82" i="45"/>
  <c r="AD81" i="45"/>
  <c r="AD80" i="45"/>
  <c r="AD79" i="45"/>
  <c r="AD78" i="45"/>
  <c r="AD77" i="45"/>
  <c r="AD76" i="45"/>
  <c r="AD75" i="45"/>
  <c r="AD74" i="45"/>
  <c r="AD73" i="45"/>
  <c r="AD72" i="45"/>
  <c r="AD71" i="45"/>
  <c r="AD70" i="45"/>
  <c r="AD69" i="45"/>
  <c r="AD68" i="45"/>
  <c r="AD67" i="45"/>
  <c r="AD66" i="45"/>
  <c r="AD65" i="45"/>
  <c r="AD64" i="45"/>
  <c r="AD63" i="45"/>
  <c r="AD62" i="45"/>
  <c r="AD61" i="45"/>
  <c r="AD60" i="45"/>
  <c r="AD59" i="45"/>
  <c r="AD58" i="45"/>
  <c r="AD57" i="45"/>
  <c r="AD56" i="45"/>
  <c r="AD55" i="45"/>
  <c r="AD54" i="45"/>
  <c r="AD53" i="45"/>
  <c r="AD52" i="45"/>
  <c r="AD51" i="45"/>
  <c r="AD50" i="45"/>
  <c r="AD49" i="45"/>
  <c r="AD48" i="45"/>
  <c r="AD47" i="45"/>
  <c r="AD46" i="45"/>
  <c r="AD45" i="45"/>
  <c r="AD44" i="45"/>
  <c r="AD43" i="45"/>
  <c r="AD42" i="45"/>
  <c r="AD41" i="45"/>
  <c r="AD40" i="45"/>
  <c r="AD39" i="45"/>
  <c r="AD38" i="45"/>
  <c r="AD37" i="45"/>
  <c r="AD36" i="45"/>
  <c r="AD35" i="45"/>
  <c r="AD34" i="45"/>
  <c r="AD33" i="45"/>
  <c r="AD32" i="45"/>
  <c r="AD31" i="45"/>
  <c r="AD30" i="45"/>
  <c r="AD29" i="45"/>
  <c r="AD28" i="45"/>
  <c r="AD27" i="45"/>
  <c r="AD26" i="45"/>
  <c r="AD25" i="45"/>
  <c r="AD24" i="45"/>
  <c r="AD23" i="45"/>
  <c r="AD22" i="45"/>
  <c r="AD21" i="45"/>
  <c r="AD20" i="45"/>
  <c r="AD19" i="45"/>
  <c r="AD18" i="45"/>
  <c r="AD17" i="45"/>
  <c r="AD16" i="45"/>
  <c r="AD15" i="45"/>
  <c r="AD14" i="45"/>
  <c r="AD13" i="45"/>
  <c r="AD12" i="45"/>
  <c r="AD11" i="45"/>
  <c r="AD10" i="45"/>
  <c r="AD9" i="45"/>
  <c r="AD8" i="45"/>
  <c r="AD7" i="45"/>
  <c r="AD6" i="45"/>
  <c r="AD5" i="45"/>
  <c r="AD4" i="45"/>
  <c r="AD3" i="45"/>
  <c r="F649" i="44" a="1"/>
  <c r="F649" i="44" s="1"/>
  <c r="F625" i="44" a="1"/>
  <c r="F625" i="44" s="1"/>
  <c r="F689" i="44" a="1"/>
  <c r="F689" i="44" s="1"/>
  <c r="F669" i="44" a="1"/>
  <c r="F669" i="44" s="1"/>
  <c r="F668" i="44" a="1"/>
  <c r="F668" i="44" s="1"/>
  <c r="F667" i="44" a="1"/>
  <c r="F667" i="44" s="1"/>
  <c r="F680" i="44" a="1"/>
  <c r="F680" i="44" s="1"/>
  <c r="F636" i="44" a="1"/>
  <c r="F636" i="44" s="1"/>
  <c r="F653" i="44" a="1"/>
  <c r="F653" i="44" s="1"/>
  <c r="F686" i="44" a="1"/>
  <c r="F686" i="44" s="1"/>
  <c r="F634" i="44" a="1"/>
  <c r="F634" i="44" s="1"/>
  <c r="F673" i="44" a="1"/>
  <c r="F673" i="44" s="1"/>
  <c r="F692" i="44" a="1"/>
  <c r="F692" i="44" s="1"/>
  <c r="F663" i="44" a="1"/>
  <c r="F663" i="44" s="1"/>
  <c r="F604" i="44" a="1"/>
  <c r="F604" i="44" s="1"/>
  <c r="F700" i="44"/>
  <c r="F685" i="44" a="1"/>
  <c r="F685" i="44" s="1"/>
  <c r="F631" i="44" a="1"/>
  <c r="F631" i="44" s="1"/>
  <c r="F640" i="44" a="1"/>
  <c r="F640" i="44" s="1"/>
  <c r="F641" i="44" a="1"/>
  <c r="F641" i="44" s="1"/>
  <c r="F630" i="44" a="1"/>
  <c r="F630" i="44" s="1"/>
  <c r="F650" i="44" a="1"/>
  <c r="F650" i="44" s="1"/>
  <c r="F651" i="44" a="1"/>
  <c r="F651" i="44" s="1"/>
  <c r="F638" i="44" a="1"/>
  <c r="F638" i="44" s="1"/>
  <c r="F656" i="44" a="1"/>
  <c r="F656" i="44" s="1"/>
  <c r="F632" i="44" a="1"/>
  <c r="F632" i="44" s="1"/>
  <c r="F652" i="44" a="1"/>
  <c r="F652" i="44" s="1"/>
  <c r="F675" i="44" a="1"/>
  <c r="F675" i="44" s="1"/>
  <c r="F600" i="44" a="1"/>
  <c r="F600" i="44" s="1"/>
  <c r="F696" i="44"/>
  <c r="F681" i="44" a="1"/>
  <c r="F681" i="44" s="1"/>
  <c r="F695" i="44" a="1"/>
  <c r="F695" i="44" s="1"/>
  <c r="F624" i="44" a="1"/>
  <c r="F624" i="44" s="1"/>
  <c r="F671" i="44" a="1"/>
  <c r="F671" i="44" s="1"/>
  <c r="F648" i="44" a="1"/>
  <c r="F648" i="44" s="1"/>
  <c r="F677" i="44" a="1"/>
  <c r="F677" i="44" s="1"/>
  <c r="F645" i="44" a="1"/>
  <c r="F645" i="44" s="1"/>
  <c r="F679" i="44" a="1"/>
  <c r="F679" i="44" s="1"/>
  <c r="F627" i="44" a="1"/>
  <c r="F627" i="44" s="1"/>
  <c r="F687" i="44" a="1"/>
  <c r="F687" i="44" s="1"/>
  <c r="F657" i="44" a="1"/>
  <c r="F657" i="44" s="1"/>
  <c r="F664" i="44" a="1"/>
  <c r="F664" i="44" s="1"/>
  <c r="F716" i="44"/>
  <c r="F620" i="44" a="1"/>
  <c r="F620" i="44" s="1"/>
  <c r="F713" i="44"/>
  <c r="F617" i="44" a="1"/>
  <c r="F617" i="44" s="1"/>
  <c r="F699" i="44"/>
  <c r="F603" i="44" a="1"/>
  <c r="F603" i="44" s="1"/>
  <c r="F706" i="44"/>
  <c r="F610" i="44" a="1"/>
  <c r="F610" i="44" s="1"/>
  <c r="F647" i="44" a="1"/>
  <c r="F647" i="44" s="1"/>
  <c r="F711" i="44"/>
  <c r="F615" i="44" a="1"/>
  <c r="F615" i="44" s="1"/>
  <c r="F626" i="44" a="1"/>
  <c r="F626" i="44" s="1"/>
  <c r="F719" i="44"/>
  <c r="F623" i="44" a="1"/>
  <c r="F623" i="44" s="1"/>
  <c r="F697" i="44"/>
  <c r="F601" i="44" a="1"/>
  <c r="F601" i="44" s="1"/>
  <c r="F629" i="44" a="1"/>
  <c r="F629" i="44" s="1"/>
  <c r="F660" i="44" a="1"/>
  <c r="F660" i="44" s="1"/>
  <c r="F678" i="44" a="1"/>
  <c r="F678" i="44" s="1"/>
  <c r="F666" i="44" a="1"/>
  <c r="F666" i="44" s="1"/>
  <c r="F655" i="44" a="1"/>
  <c r="F655" i="44" s="1"/>
  <c r="F635" i="44" a="1"/>
  <c r="F635" i="44" s="1"/>
  <c r="F709" i="44"/>
  <c r="F613" i="44" a="1"/>
  <c r="F613" i="44" s="1"/>
  <c r="F654" i="44" a="1"/>
  <c r="F654" i="44" s="1"/>
  <c r="F674" i="44" a="1"/>
  <c r="F674" i="44" s="1"/>
  <c r="F643" i="44" a="1"/>
  <c r="F643" i="44" s="1"/>
  <c r="F662" i="44" a="1"/>
  <c r="F662" i="44" s="1"/>
  <c r="F701" i="44"/>
  <c r="F605" i="44" a="1"/>
  <c r="F605" i="44" s="1"/>
  <c r="F691" i="44" a="1"/>
  <c r="F691" i="44" s="1"/>
  <c r="F693" i="44" a="1"/>
  <c r="F693" i="44" s="1"/>
  <c r="F633" i="44" a="1"/>
  <c r="F633" i="44" s="1"/>
  <c r="F639" i="44" a="1"/>
  <c r="F639" i="44" s="1"/>
  <c r="F683" i="44" a="1"/>
  <c r="F683" i="44" s="1"/>
  <c r="F702" i="44"/>
  <c r="F606" i="44" a="1"/>
  <c r="F606" i="44" s="1"/>
  <c r="F704" i="44"/>
  <c r="F608" i="44" a="1"/>
  <c r="F608" i="44" s="1"/>
  <c r="F684" i="44" a="1"/>
  <c r="F684" i="44" s="1"/>
  <c r="F712" i="44"/>
  <c r="F616" i="44" a="1"/>
  <c r="F616" i="44" s="1"/>
  <c r="F705" i="44"/>
  <c r="F609" i="44" a="1"/>
  <c r="F609" i="44" s="1"/>
  <c r="F694" i="44" a="1"/>
  <c r="F694" i="44" s="1"/>
  <c r="F707" i="44"/>
  <c r="F611" i="44" a="1"/>
  <c r="F611" i="44" s="1"/>
  <c r="F708" i="44"/>
  <c r="F612" i="44" a="1"/>
  <c r="F612" i="44" s="1"/>
  <c r="F659" i="44" a="1"/>
  <c r="F659" i="44" s="1"/>
  <c r="F672" i="44" a="1"/>
  <c r="F672" i="44" s="1"/>
  <c r="F661" i="44" a="1"/>
  <c r="F661" i="44" s="1"/>
  <c r="F715" i="44"/>
  <c r="F619" i="44" a="1"/>
  <c r="F619" i="44" s="1"/>
  <c r="F717" i="44"/>
  <c r="F621" i="44" a="1"/>
  <c r="F621" i="44" s="1"/>
  <c r="F658" i="44" a="1"/>
  <c r="F658" i="44" s="1"/>
  <c r="F698" i="44"/>
  <c r="F602" i="44" a="1"/>
  <c r="F602" i="44" s="1"/>
  <c r="F644" i="44" a="1"/>
  <c r="F644" i="44" s="1"/>
  <c r="F676" i="44" a="1"/>
  <c r="F676" i="44" s="1"/>
  <c r="F637" i="44" a="1"/>
  <c r="F637" i="44" s="1"/>
  <c r="F642" i="44" a="1"/>
  <c r="F642" i="44" s="1"/>
  <c r="F703" i="44"/>
  <c r="F607" i="44" a="1"/>
  <c r="F607" i="44" s="1"/>
  <c r="F628" i="44" a="1"/>
  <c r="F628" i="44" s="1"/>
  <c r="F646" i="44" a="1"/>
  <c r="F646" i="44" s="1"/>
  <c r="F710" i="44"/>
  <c r="F614" i="44" a="1"/>
  <c r="F614" i="44" s="1"/>
  <c r="F665" i="44" a="1"/>
  <c r="F665" i="44" s="1"/>
  <c r="F670" i="44" a="1"/>
  <c r="F670" i="44" s="1"/>
  <c r="F688" i="44" a="1"/>
  <c r="F688" i="44" s="1"/>
  <c r="F690" i="44" a="1"/>
  <c r="F690" i="44" s="1"/>
  <c r="F718" i="44"/>
  <c r="F622" i="44" a="1"/>
  <c r="F622" i="44" s="1"/>
  <c r="F682" i="44" a="1"/>
  <c r="F682" i="44" s="1"/>
  <c r="F714" i="44"/>
  <c r="F618" i="44" a="1"/>
  <c r="F618" i="44" s="1"/>
  <c r="L716" i="44"/>
  <c r="L673" i="44" a="1"/>
  <c r="L673" i="44" s="1"/>
  <c r="L682" i="44" a="1"/>
  <c r="L682" i="44" s="1"/>
  <c r="L675" i="44" a="1"/>
  <c r="L675" i="44" s="1"/>
  <c r="L659" i="44" a="1"/>
  <c r="L659" i="44" s="1"/>
  <c r="L620" i="44" a="1"/>
  <c r="L620" i="44" s="1"/>
  <c r="L651" i="44" a="1"/>
  <c r="L651" i="44" s="1"/>
  <c r="L663" i="44" a="1"/>
  <c r="L663" i="44" s="1"/>
  <c r="L625" i="44" a="1"/>
  <c r="L625" i="44" s="1"/>
  <c r="L671" i="44" a="1"/>
  <c r="L671" i="44" s="1"/>
  <c r="L648" i="44" a="1"/>
  <c r="L648" i="44" s="1"/>
  <c r="L652" i="44" a="1"/>
  <c r="L652" i="44" s="1"/>
  <c r="L641" i="44" a="1"/>
  <c r="L641" i="44" s="1"/>
  <c r="L630" i="44" a="1"/>
  <c r="L630" i="44" s="1"/>
  <c r="L666" i="44" a="1"/>
  <c r="L666" i="44" s="1"/>
  <c r="L667" i="44" a="1"/>
  <c r="L667" i="44" s="1"/>
  <c r="L627" i="44" a="1"/>
  <c r="L627" i="44" s="1"/>
  <c r="L679" i="44" a="1"/>
  <c r="L679" i="44" s="1"/>
  <c r="L629" i="44" a="1"/>
  <c r="L629" i="44" s="1"/>
  <c r="L661" i="44" a="1"/>
  <c r="L661" i="44" s="1"/>
  <c r="L685" i="44" a="1"/>
  <c r="L685" i="44" s="1"/>
  <c r="L636" i="44" a="1"/>
  <c r="L636" i="44" s="1"/>
  <c r="L650" i="44" a="1"/>
  <c r="L650" i="44" s="1"/>
  <c r="L624" i="44" a="1"/>
  <c r="L624" i="44" s="1"/>
  <c r="L631" i="44" a="1"/>
  <c r="L631" i="44" s="1"/>
  <c r="L695" i="44" a="1"/>
  <c r="L695" i="44" s="1"/>
  <c r="L693" i="44" a="1"/>
  <c r="L693" i="44" s="1"/>
  <c r="L653" i="44" a="1"/>
  <c r="L653" i="44" s="1"/>
  <c r="L657" i="44" a="1"/>
  <c r="L657" i="44" s="1"/>
  <c r="L645" i="44" a="1"/>
  <c r="L645" i="44" s="1"/>
  <c r="L676" i="44" a="1"/>
  <c r="L676" i="44" s="1"/>
  <c r="L677" i="44" a="1"/>
  <c r="L677" i="44" s="1"/>
  <c r="L686" i="44" a="1"/>
  <c r="L686" i="44" s="1"/>
  <c r="L649" i="44" a="1"/>
  <c r="L649" i="44" s="1"/>
  <c r="L660" i="44" a="1"/>
  <c r="L660" i="44" s="1"/>
  <c r="L674" i="44" a="1"/>
  <c r="L674" i="44" s="1"/>
  <c r="L669" i="44" a="1"/>
  <c r="L669" i="44" s="1"/>
  <c r="L665" i="44" a="1"/>
  <c r="L665" i="44" s="1"/>
  <c r="L668" i="44" a="1"/>
  <c r="L668" i="44" s="1"/>
  <c r="L644" i="44" a="1"/>
  <c r="L644" i="44" s="1"/>
  <c r="L687" i="44" a="1"/>
  <c r="L687" i="44" s="1"/>
  <c r="L632" i="44" a="1"/>
  <c r="L632" i="44" s="1"/>
  <c r="L643" i="44" a="1"/>
  <c r="L643" i="44" s="1"/>
  <c r="L689" i="44" a="1"/>
  <c r="L689" i="44" s="1"/>
  <c r="L638" i="44" a="1"/>
  <c r="L638" i="44" s="1"/>
  <c r="L692" i="44" a="1"/>
  <c r="L692" i="44" s="1"/>
  <c r="L670" i="44" a="1"/>
  <c r="L670" i="44" s="1"/>
  <c r="L705" i="44"/>
  <c r="L609" i="44" a="1"/>
  <c r="L609" i="44" s="1"/>
  <c r="L628" i="44" a="1"/>
  <c r="L628" i="44" s="1"/>
  <c r="L691" i="44" a="1"/>
  <c r="L691" i="44" s="1"/>
  <c r="L690" i="44" a="1"/>
  <c r="L690" i="44" s="1"/>
  <c r="L635" i="44" a="1"/>
  <c r="L635" i="44" s="1"/>
  <c r="L719" i="44"/>
  <c r="L623" i="44" a="1"/>
  <c r="L623" i="44" s="1"/>
  <c r="L664" i="44" a="1"/>
  <c r="L664" i="44" s="1"/>
  <c r="L714" i="44"/>
  <c r="L618" i="44" a="1"/>
  <c r="L618" i="44" s="1"/>
  <c r="L699" i="44"/>
  <c r="L603" i="44" a="1"/>
  <c r="L603" i="44" s="1"/>
  <c r="L678" i="44" a="1"/>
  <c r="L678" i="44" s="1"/>
  <c r="L637" i="44" a="1"/>
  <c r="L637" i="44" s="1"/>
  <c r="L672" i="44" a="1"/>
  <c r="L672" i="44" s="1"/>
  <c r="L640" i="44" a="1"/>
  <c r="L640" i="44" s="1"/>
  <c r="L702" i="44"/>
  <c r="L606" i="44" a="1"/>
  <c r="L606" i="44" s="1"/>
  <c r="L634" i="44" a="1"/>
  <c r="L634" i="44" s="1"/>
  <c r="L712" i="44"/>
  <c r="L616" i="44" a="1"/>
  <c r="L616" i="44" s="1"/>
  <c r="L683" i="44" a="1"/>
  <c r="L683" i="44" s="1"/>
  <c r="L710" i="44"/>
  <c r="L614" i="44" a="1"/>
  <c r="L614" i="44" s="1"/>
  <c r="L709" i="44"/>
  <c r="L613" i="44" a="1"/>
  <c r="L613" i="44" s="1"/>
  <c r="L703" i="44"/>
  <c r="L607" i="44" a="1"/>
  <c r="L607" i="44" s="1"/>
  <c r="L658" i="44" a="1"/>
  <c r="L658" i="44" s="1"/>
  <c r="L633" i="44" a="1"/>
  <c r="L633" i="44" s="1"/>
  <c r="L684" i="44" a="1"/>
  <c r="L684" i="44" s="1"/>
  <c r="L646" i="44" a="1"/>
  <c r="L646" i="44" s="1"/>
  <c r="L698" i="44"/>
  <c r="L602" i="44" a="1"/>
  <c r="L602" i="44" s="1"/>
  <c r="L642" i="44" a="1"/>
  <c r="L642" i="44" s="1"/>
  <c r="L681" i="44" a="1"/>
  <c r="L681" i="44" s="1"/>
  <c r="L697" i="44"/>
  <c r="L601" i="44" a="1"/>
  <c r="L601" i="44" s="1"/>
  <c r="L694" i="44" a="1"/>
  <c r="L694" i="44" s="1"/>
  <c r="L626" i="44" a="1"/>
  <c r="L626" i="44" s="1"/>
  <c r="L647" i="44" a="1"/>
  <c r="L647" i="44" s="1"/>
  <c r="L706" i="44"/>
  <c r="L610" i="44" a="1"/>
  <c r="L610" i="44" s="1"/>
  <c r="L718" i="44"/>
  <c r="L622" i="44" a="1"/>
  <c r="L622" i="44" s="1"/>
  <c r="L715" i="44"/>
  <c r="L619" i="44" a="1"/>
  <c r="L619" i="44" s="1"/>
  <c r="L688" i="44" a="1"/>
  <c r="L688" i="44" s="1"/>
  <c r="L680" i="44" a="1"/>
  <c r="L680" i="44" s="1"/>
  <c r="L708" i="44"/>
  <c r="L612" i="44" a="1"/>
  <c r="L612" i="44" s="1"/>
  <c r="L696" i="44"/>
  <c r="L600" i="44" a="1"/>
  <c r="L600" i="44" s="1"/>
  <c r="L654" i="44" a="1"/>
  <c r="L654" i="44" s="1"/>
  <c r="L701" i="44"/>
  <c r="L605" i="44" a="1"/>
  <c r="L605" i="44" s="1"/>
  <c r="L700" i="44"/>
  <c r="L604" i="44" a="1"/>
  <c r="L604" i="44" s="1"/>
  <c r="L656" i="44" a="1"/>
  <c r="L656" i="44" s="1"/>
  <c r="L662" i="44" a="1"/>
  <c r="L662" i="44" s="1"/>
  <c r="L713" i="44"/>
  <c r="L617" i="44" a="1"/>
  <c r="L617" i="44" s="1"/>
  <c r="L707" i="44"/>
  <c r="L611" i="44" a="1"/>
  <c r="L611" i="44" s="1"/>
  <c r="L711" i="44"/>
  <c r="L615" i="44" a="1"/>
  <c r="L615" i="44" s="1"/>
  <c r="L655" i="44" a="1"/>
  <c r="L655" i="44" s="1"/>
  <c r="L704" i="44"/>
  <c r="L608" i="44" a="1"/>
  <c r="L608" i="44" s="1"/>
  <c r="L639" i="44" a="1"/>
  <c r="L639" i="44" s="1"/>
  <c r="L717" i="44"/>
  <c r="L621" i="44" a="1"/>
  <c r="L621" i="44" s="1"/>
  <c r="E2" i="46"/>
  <c r="E5" i="46"/>
  <c r="K5" i="46"/>
  <c r="K2" i="46"/>
  <c r="K3" i="46"/>
  <c r="E4" i="46"/>
  <c r="K4" i="46"/>
  <c r="E3" i="46"/>
  <c r="C42" i="43" l="1"/>
  <c r="B5" i="39"/>
  <c r="B5" i="46" s="1"/>
  <c r="C44" i="43"/>
  <c r="B4" i="39"/>
  <c r="B4" i="46" s="1"/>
  <c r="B2" i="39"/>
  <c r="B2" i="46" s="1"/>
  <c r="C45" i="43"/>
  <c r="C43" i="43"/>
  <c r="B3" i="39"/>
  <c r="B3" i="46" s="1"/>
  <c r="E44" i="43"/>
  <c r="E43" i="43"/>
  <c r="D42" i="43"/>
  <c r="D45" i="43"/>
  <c r="I388" i="44" s="1"/>
  <c r="Q27" i="44"/>
  <c r="W4" i="44"/>
  <c r="G68" i="44"/>
  <c r="G8" i="44"/>
  <c r="G205" i="44" s="1"/>
  <c r="M5" i="44"/>
  <c r="M202" i="44" s="1"/>
  <c r="M13" i="44"/>
  <c r="M210" i="44" s="1"/>
  <c r="G23" i="44"/>
  <c r="G220" i="44" s="1"/>
  <c r="G32" i="44"/>
  <c r="G229" i="44" s="1"/>
  <c r="M43" i="44"/>
  <c r="G55" i="44"/>
  <c r="G64" i="44"/>
  <c r="M75" i="44"/>
  <c r="M272" i="44" s="1"/>
  <c r="G87" i="44"/>
  <c r="G284" i="44" s="1"/>
  <c r="G96" i="44"/>
  <c r="G293" i="44" s="1"/>
  <c r="M107" i="44"/>
  <c r="G119" i="44"/>
  <c r="G128" i="44"/>
  <c r="G325" i="44" s="1"/>
  <c r="M139" i="44"/>
  <c r="M336" i="44" s="1"/>
  <c r="G151" i="44"/>
  <c r="G348" i="44" s="1"/>
  <c r="G160" i="44"/>
  <c r="G357" i="44" s="1"/>
  <c r="M171" i="44"/>
  <c r="M368" i="44" s="1"/>
  <c r="G183" i="44"/>
  <c r="G192" i="44"/>
  <c r="K108" i="44"/>
  <c r="K305" i="44" s="1"/>
  <c r="W8" i="44"/>
  <c r="X8" i="44" s="1"/>
  <c r="X205" i="44" s="1"/>
  <c r="W9" i="44"/>
  <c r="W17" i="44"/>
  <c r="W25" i="44"/>
  <c r="W33" i="44"/>
  <c r="W41" i="44"/>
  <c r="W49" i="44"/>
  <c r="W57" i="44"/>
  <c r="W65" i="44"/>
  <c r="W73" i="44"/>
  <c r="W81" i="44"/>
  <c r="W89" i="44"/>
  <c r="W97" i="44"/>
  <c r="W105" i="44"/>
  <c r="W113" i="44"/>
  <c r="W121" i="44"/>
  <c r="W129" i="44"/>
  <c r="W137" i="44"/>
  <c r="W145" i="44"/>
  <c r="W153" i="44"/>
  <c r="X153" i="44" s="1"/>
  <c r="X350" i="44" s="1"/>
  <c r="W161" i="44"/>
  <c r="X161" i="44" s="1"/>
  <c r="X358" i="44" s="1"/>
  <c r="W169" i="44"/>
  <c r="W177" i="44"/>
  <c r="X177" i="44" s="1"/>
  <c r="W185" i="44"/>
  <c r="X185" i="44" s="1"/>
  <c r="X382" i="44" s="1"/>
  <c r="W193" i="44"/>
  <c r="X193" i="44" s="1"/>
  <c r="V9" i="44"/>
  <c r="V206" i="44" s="1"/>
  <c r="V17" i="44"/>
  <c r="V214" i="44" s="1"/>
  <c r="V25" i="44"/>
  <c r="V222" i="44" s="1"/>
  <c r="V33" i="44"/>
  <c r="V230" i="44" s="1"/>
  <c r="V41" i="44"/>
  <c r="V238" i="44" s="1"/>
  <c r="V49" i="44"/>
  <c r="V246" i="44" s="1"/>
  <c r="V57" i="44"/>
  <c r="V254" i="44" s="1"/>
  <c r="V65" i="44"/>
  <c r="V262" i="44" s="1"/>
  <c r="V73" i="44"/>
  <c r="V81" i="44"/>
  <c r="V278" i="44" s="1"/>
  <c r="V89" i="44"/>
  <c r="V286" i="44" s="1"/>
  <c r="V97" i="44"/>
  <c r="V294" i="44" s="1"/>
  <c r="V105" i="44"/>
  <c r="V113" i="44"/>
  <c r="V121" i="44"/>
  <c r="V129" i="44"/>
  <c r="V326" i="44" s="1"/>
  <c r="V137" i="44"/>
  <c r="V334" i="44" s="1"/>
  <c r="V145" i="44"/>
  <c r="V342" i="44" s="1"/>
  <c r="V153" i="44"/>
  <c r="V350" i="44" s="1"/>
  <c r="V161" i="44"/>
  <c r="V358" i="44" s="1"/>
  <c r="V169" i="44"/>
  <c r="V366" i="44" s="1"/>
  <c r="V177" i="44"/>
  <c r="V185" i="44"/>
  <c r="V382" i="44" s="1"/>
  <c r="V193" i="44"/>
  <c r="U10" i="44"/>
  <c r="U207" i="44" s="1"/>
  <c r="U18" i="44"/>
  <c r="U215" i="44" s="1"/>
  <c r="U26" i="44"/>
  <c r="U223" i="44" s="1"/>
  <c r="U34" i="44"/>
  <c r="U231" i="44" s="1"/>
  <c r="U42" i="44"/>
  <c r="U239" i="44" s="1"/>
  <c r="U50" i="44"/>
  <c r="U247" i="44" s="1"/>
  <c r="W10" i="44"/>
  <c r="W18" i="44"/>
  <c r="W26" i="44"/>
  <c r="W34" i="44"/>
  <c r="X34" i="44" s="1"/>
  <c r="W42" i="44"/>
  <c r="W50" i="44"/>
  <c r="W58" i="44"/>
  <c r="W66" i="44"/>
  <c r="W74" i="44"/>
  <c r="W82" i="44"/>
  <c r="W90" i="44"/>
  <c r="W98" i="44"/>
  <c r="W106" i="44"/>
  <c r="W114" i="44"/>
  <c r="W122" i="44"/>
  <c r="W130" i="44"/>
  <c r="W138" i="44"/>
  <c r="W146" i="44"/>
  <c r="X146" i="44" s="1"/>
  <c r="X343" i="44" s="1"/>
  <c r="W154" i="44"/>
  <c r="W162" i="44"/>
  <c r="X162" i="44" s="1"/>
  <c r="X359" i="44" s="1"/>
  <c r="W170" i="44"/>
  <c r="W178" i="44"/>
  <c r="W186" i="44"/>
  <c r="X186" i="44" s="1"/>
  <c r="W194" i="44"/>
  <c r="V10" i="44"/>
  <c r="V207" i="44" s="1"/>
  <c r="V18" i="44"/>
  <c r="V215" i="44" s="1"/>
  <c r="V26" i="44"/>
  <c r="V223" i="44" s="1"/>
  <c r="V34" i="44"/>
  <c r="V231" i="44" s="1"/>
  <c r="V42" i="44"/>
  <c r="V239" i="44" s="1"/>
  <c r="V50" i="44"/>
  <c r="V58" i="44"/>
  <c r="V66" i="44"/>
  <c r="V74" i="44"/>
  <c r="V82" i="44"/>
  <c r="V279" i="44" s="1"/>
  <c r="V90" i="44"/>
  <c r="V287" i="44" s="1"/>
  <c r="V98" i="44"/>
  <c r="V295" i="44" s="1"/>
  <c r="V106" i="44"/>
  <c r="V303" i="44" s="1"/>
  <c r="V114" i="44"/>
  <c r="V122" i="44"/>
  <c r="V130" i="44"/>
  <c r="V327" i="44" s="1"/>
  <c r="W11" i="44"/>
  <c r="W6" i="44"/>
  <c r="W14" i="44"/>
  <c r="W22" i="44"/>
  <c r="W30" i="44"/>
  <c r="W38" i="44"/>
  <c r="W46" i="44"/>
  <c r="X46" i="44" s="1"/>
  <c r="X243" i="44" s="1"/>
  <c r="W54" i="44"/>
  <c r="X54" i="44" s="1"/>
  <c r="X251" i="44" s="1"/>
  <c r="W62" i="44"/>
  <c r="X62" i="44" s="1"/>
  <c r="X259" i="44" s="1"/>
  <c r="W70" i="44"/>
  <c r="X70" i="44" s="1"/>
  <c r="X267" i="44" s="1"/>
  <c r="W78" i="44"/>
  <c r="X78" i="44" s="1"/>
  <c r="X275" i="44" s="1"/>
  <c r="W86" i="44"/>
  <c r="X86" i="44" s="1"/>
  <c r="X283" i="44" s="1"/>
  <c r="W94" i="44"/>
  <c r="X94" i="44" s="1"/>
  <c r="X291" i="44" s="1"/>
  <c r="W102" i="44"/>
  <c r="Y102" i="44" s="1"/>
  <c r="W110" i="44"/>
  <c r="X110" i="44" s="1"/>
  <c r="W118" i="44"/>
  <c r="Y118" i="44" s="1"/>
  <c r="W126" i="44"/>
  <c r="X126" i="44" s="1"/>
  <c r="X323" i="44" s="1"/>
  <c r="W134" i="44"/>
  <c r="X134" i="44" s="1"/>
  <c r="X331" i="44" s="1"/>
  <c r="W142" i="44"/>
  <c r="W150" i="44"/>
  <c r="X150" i="44" s="1"/>
  <c r="X347" i="44" s="1"/>
  <c r="W158" i="44"/>
  <c r="X158" i="44" s="1"/>
  <c r="X355" i="44" s="1"/>
  <c r="W166" i="44"/>
  <c r="X166" i="44" s="1"/>
  <c r="X363" i="44" s="1"/>
  <c r="W174" i="44"/>
  <c r="X174" i="44" s="1"/>
  <c r="W182" i="44"/>
  <c r="X182" i="44" s="1"/>
  <c r="W190" i="44"/>
  <c r="V6" i="44"/>
  <c r="V203" i="44" s="1"/>
  <c r="V14" i="44"/>
  <c r="V211" i="44" s="1"/>
  <c r="V22" i="44"/>
  <c r="V219" i="44" s="1"/>
  <c r="V30" i="44"/>
  <c r="V227" i="44" s="1"/>
  <c r="V38" i="44"/>
  <c r="V235" i="44" s="1"/>
  <c r="V46" i="44"/>
  <c r="V243" i="44" s="1"/>
  <c r="V54" i="44"/>
  <c r="V251" i="44" s="1"/>
  <c r="V62" i="44"/>
  <c r="V259" i="44" s="1"/>
  <c r="V70" i="44"/>
  <c r="V267" i="44" s="1"/>
  <c r="V78" i="44"/>
  <c r="V275" i="44" s="1"/>
  <c r="V86" i="44"/>
  <c r="V283" i="44" s="1"/>
  <c r="V94" i="44"/>
  <c r="V291" i="44" s="1"/>
  <c r="V102" i="44"/>
  <c r="V110" i="44"/>
  <c r="V118" i="44"/>
  <c r="V126" i="44"/>
  <c r="V323" i="44" s="1"/>
  <c r="V134" i="44"/>
  <c r="V331" i="44" s="1"/>
  <c r="V142" i="44"/>
  <c r="V339" i="44" s="1"/>
  <c r="V150" i="44"/>
  <c r="V347" i="44" s="1"/>
  <c r="V158" i="44"/>
  <c r="V355" i="44" s="1"/>
  <c r="V166" i="44"/>
  <c r="V363" i="44" s="1"/>
  <c r="V174" i="44"/>
  <c r="V182" i="44"/>
  <c r="V190" i="44"/>
  <c r="V387" i="44" s="1"/>
  <c r="U7" i="44"/>
  <c r="U204" i="44" s="1"/>
  <c r="U15" i="44"/>
  <c r="U212" i="44" s="1"/>
  <c r="U23" i="44"/>
  <c r="U220" i="44" s="1"/>
  <c r="U31" i="44"/>
  <c r="U228" i="44" s="1"/>
  <c r="U39" i="44"/>
  <c r="U236" i="44" s="1"/>
  <c r="U47" i="44"/>
  <c r="U244" i="44" s="1"/>
  <c r="U55" i="44"/>
  <c r="U252" i="44" s="1"/>
  <c r="U63" i="44"/>
  <c r="U260" i="44" s="1"/>
  <c r="U71" i="44"/>
  <c r="U268" i="44" s="1"/>
  <c r="U79" i="44"/>
  <c r="U276" i="44" s="1"/>
  <c r="U87" i="44"/>
  <c r="U284" i="44" s="1"/>
  <c r="U95" i="44"/>
  <c r="U292" i="44" s="1"/>
  <c r="U103" i="44"/>
  <c r="W7" i="44"/>
  <c r="Y7" i="44" s="1"/>
  <c r="Y204" i="44" s="1"/>
  <c r="W15" i="44"/>
  <c r="Y15" i="44" s="1"/>
  <c r="Y212" i="44" s="1"/>
  <c r="W23" i="44"/>
  <c r="W220" i="44" s="1"/>
  <c r="W31" i="44"/>
  <c r="X31" i="44" s="1"/>
  <c r="X228" i="44" s="1"/>
  <c r="W39" i="44"/>
  <c r="W47" i="44"/>
  <c r="X47" i="44" s="1"/>
  <c r="X244" i="44" s="1"/>
  <c r="W55" i="44"/>
  <c r="X55" i="44" s="1"/>
  <c r="X252" i="44" s="1"/>
  <c r="W63" i="44"/>
  <c r="X63" i="44" s="1"/>
  <c r="X260" i="44" s="1"/>
  <c r="W71" i="44"/>
  <c r="X71" i="44" s="1"/>
  <c r="W79" i="44"/>
  <c r="X79" i="44" s="1"/>
  <c r="X276" i="44" s="1"/>
  <c r="W87" i="44"/>
  <c r="X87" i="44" s="1"/>
  <c r="X284" i="44" s="1"/>
  <c r="W95" i="44"/>
  <c r="W292" i="44" s="1"/>
  <c r="W103" i="44"/>
  <c r="Y103" i="44" s="1"/>
  <c r="W111" i="44"/>
  <c r="X111" i="44" s="1"/>
  <c r="W119" i="44"/>
  <c r="Y119" i="44" s="1"/>
  <c r="W127" i="44"/>
  <c r="W324" i="44" s="1"/>
  <c r="W135" i="44"/>
  <c r="Y135" i="44" s="1"/>
  <c r="Y332" i="44" s="1"/>
  <c r="W143" i="44"/>
  <c r="Y143" i="44" s="1"/>
  <c r="Y340" i="44" s="1"/>
  <c r="W151" i="44"/>
  <c r="Y151" i="44" s="1"/>
  <c r="Y348" i="44" s="1"/>
  <c r="W159" i="44"/>
  <c r="Y159" i="44" s="1"/>
  <c r="Y356" i="44" s="1"/>
  <c r="W167" i="44"/>
  <c r="Y167" i="44" s="1"/>
  <c r="Y364" i="44" s="1"/>
  <c r="W175" i="44"/>
  <c r="Y175" i="44" s="1"/>
  <c r="W183" i="44"/>
  <c r="Y183" i="44" s="1"/>
  <c r="Y380" i="44" s="1"/>
  <c r="W191" i="44"/>
  <c r="Y191" i="44" s="1"/>
  <c r="V7" i="44"/>
  <c r="V204" i="44" s="1"/>
  <c r="V15" i="44"/>
  <c r="V212" i="44" s="1"/>
  <c r="V23" i="44"/>
  <c r="V220" i="44" s="1"/>
  <c r="V31" i="44"/>
  <c r="V228" i="44" s="1"/>
  <c r="V39" i="44"/>
  <c r="V236" i="44" s="1"/>
  <c r="V47" i="44"/>
  <c r="V244" i="44" s="1"/>
  <c r="V55" i="44"/>
  <c r="V252" i="44" s="1"/>
  <c r="V63" i="44"/>
  <c r="V260" i="44" s="1"/>
  <c r="V71" i="44"/>
  <c r="V79" i="44"/>
  <c r="V276" i="44" s="1"/>
  <c r="V87" i="44"/>
  <c r="V284" i="44" s="1"/>
  <c r="V95" i="44"/>
  <c r="V292" i="44" s="1"/>
  <c r="V103" i="44"/>
  <c r="V111" i="44"/>
  <c r="V119" i="44"/>
  <c r="V127" i="44"/>
  <c r="V324" i="44" s="1"/>
  <c r="V135" i="44"/>
  <c r="V332" i="44" s="1"/>
  <c r="V143" i="44"/>
  <c r="V340" i="44" s="1"/>
  <c r="V151" i="44"/>
  <c r="V348" i="44" s="1"/>
  <c r="V159" i="44"/>
  <c r="V356" i="44" s="1"/>
  <c r="V167" i="44"/>
  <c r="V364" i="44" s="1"/>
  <c r="V175" i="44"/>
  <c r="V183" i="44"/>
  <c r="V380" i="44" s="1"/>
  <c r="V191" i="44"/>
  <c r="W16" i="44"/>
  <c r="X16" i="44" s="1"/>
  <c r="X213" i="44" s="1"/>
  <c r="W32" i="44"/>
  <c r="X32" i="44" s="1"/>
  <c r="X229" i="44" s="1"/>
  <c r="W48" i="44"/>
  <c r="X48" i="44" s="1"/>
  <c r="X245" i="44" s="1"/>
  <c r="W64" i="44"/>
  <c r="X64" i="44" s="1"/>
  <c r="W80" i="44"/>
  <c r="X80" i="44" s="1"/>
  <c r="X277" i="44" s="1"/>
  <c r="W96" i="44"/>
  <c r="X96" i="44" s="1"/>
  <c r="X293" i="44" s="1"/>
  <c r="W112" i="44"/>
  <c r="Y112" i="44" s="1"/>
  <c r="Y309" i="44" s="1"/>
  <c r="W128" i="44"/>
  <c r="X128" i="44" s="1"/>
  <c r="X325" i="44" s="1"/>
  <c r="W144" i="44"/>
  <c r="X144" i="44" s="1"/>
  <c r="X341" i="44" s="1"/>
  <c r="W160" i="44"/>
  <c r="X160" i="44" s="1"/>
  <c r="X357" i="44" s="1"/>
  <c r="W176" i="44"/>
  <c r="X176" i="44" s="1"/>
  <c r="X373" i="44" s="1"/>
  <c r="W192" i="44"/>
  <c r="X192" i="44" s="1"/>
  <c r="V16" i="44"/>
  <c r="V213" i="44" s="1"/>
  <c r="V32" i="44"/>
  <c r="V229" i="44" s="1"/>
  <c r="V48" i="44"/>
  <c r="V245" i="44" s="1"/>
  <c r="V64" i="44"/>
  <c r="V80" i="44"/>
  <c r="V277" i="44" s="1"/>
  <c r="V96" i="44"/>
  <c r="V293" i="44" s="1"/>
  <c r="V112" i="44"/>
  <c r="V309" i="44" s="1"/>
  <c r="V128" i="44"/>
  <c r="V325" i="44" s="1"/>
  <c r="V141" i="44"/>
  <c r="V338" i="44" s="1"/>
  <c r="V155" i="44"/>
  <c r="V352" i="44" s="1"/>
  <c r="V168" i="44"/>
  <c r="V365" i="44" s="1"/>
  <c r="V180" i="44"/>
  <c r="V194" i="44"/>
  <c r="U8" i="44"/>
  <c r="U205" i="44" s="1"/>
  <c r="U19" i="44"/>
  <c r="U216" i="44" s="1"/>
  <c r="U29" i="44"/>
  <c r="U226" i="44" s="1"/>
  <c r="U40" i="44"/>
  <c r="U237" i="44" s="1"/>
  <c r="U51" i="44"/>
  <c r="U248" i="44" s="1"/>
  <c r="U60" i="44"/>
  <c r="U257" i="44" s="1"/>
  <c r="U69" i="44"/>
  <c r="U266" i="44" s="1"/>
  <c r="U78" i="44"/>
  <c r="U275" i="44" s="1"/>
  <c r="U88" i="44"/>
  <c r="U285" i="44" s="1"/>
  <c r="U97" i="44"/>
  <c r="U294" i="44" s="1"/>
  <c r="U106" i="44"/>
  <c r="U114" i="44"/>
  <c r="U122" i="44"/>
  <c r="U130" i="44"/>
  <c r="U327" i="44" s="1"/>
  <c r="U138" i="44"/>
  <c r="U335" i="44" s="1"/>
  <c r="U146" i="44"/>
  <c r="U343" i="44" s="1"/>
  <c r="U154" i="44"/>
  <c r="U351" i="44" s="1"/>
  <c r="U162" i="44"/>
  <c r="U359" i="44" s="1"/>
  <c r="U170" i="44"/>
  <c r="U367" i="44" s="1"/>
  <c r="U178" i="44"/>
  <c r="U186" i="44"/>
  <c r="U194" i="44"/>
  <c r="U391" i="44" s="1"/>
  <c r="T11" i="44"/>
  <c r="T208" i="44" s="1"/>
  <c r="T19" i="44"/>
  <c r="T216" i="44" s="1"/>
  <c r="T27" i="44"/>
  <c r="T224" i="44" s="1"/>
  <c r="T35" i="44"/>
  <c r="T232" i="44" s="1"/>
  <c r="T43" i="44"/>
  <c r="T240" i="44" s="1"/>
  <c r="T51" i="44"/>
  <c r="T248" i="44" s="1"/>
  <c r="T59" i="44"/>
  <c r="T256" i="44" s="1"/>
  <c r="T67" i="44"/>
  <c r="T264" i="44" s="1"/>
  <c r="T75" i="44"/>
  <c r="T272" i="44" s="1"/>
  <c r="T83" i="44"/>
  <c r="T280" i="44" s="1"/>
  <c r="T91" i="44"/>
  <c r="T288" i="44" s="1"/>
  <c r="T99" i="44"/>
  <c r="T296" i="44" s="1"/>
  <c r="T107" i="44"/>
  <c r="T115" i="44"/>
  <c r="T123" i="44"/>
  <c r="T131" i="44"/>
  <c r="T328" i="44" s="1"/>
  <c r="T139" i="44"/>
  <c r="T336" i="44" s="1"/>
  <c r="T147" i="44"/>
  <c r="T344" i="44" s="1"/>
  <c r="T155" i="44"/>
  <c r="T352" i="44" s="1"/>
  <c r="T163" i="44"/>
  <c r="T360" i="44" s="1"/>
  <c r="T171" i="44"/>
  <c r="T368" i="44" s="1"/>
  <c r="T179" i="44"/>
  <c r="T187" i="44"/>
  <c r="W19" i="44"/>
  <c r="W35" i="44"/>
  <c r="W51" i="44"/>
  <c r="W67" i="44"/>
  <c r="W83" i="44"/>
  <c r="W99" i="44"/>
  <c r="W115" i="44"/>
  <c r="W131" i="44"/>
  <c r="W147" i="44"/>
  <c r="W163" i="44"/>
  <c r="W179" i="44"/>
  <c r="X179" i="44" s="1"/>
  <c r="W195" i="44"/>
  <c r="X195" i="44" s="1"/>
  <c r="V19" i="44"/>
  <c r="V216" i="44" s="1"/>
  <c r="V35" i="44"/>
  <c r="V51" i="44"/>
  <c r="V248" i="44" s="1"/>
  <c r="V67" i="44"/>
  <c r="V83" i="44"/>
  <c r="V280" i="44" s="1"/>
  <c r="V99" i="44"/>
  <c r="V296" i="44" s="1"/>
  <c r="V115" i="44"/>
  <c r="V312" i="44" s="1"/>
  <c r="V131" i="44"/>
  <c r="V328" i="44" s="1"/>
  <c r="V144" i="44"/>
  <c r="V341" i="44" s="1"/>
  <c r="V156" i="44"/>
  <c r="V353" i="44" s="1"/>
  <c r="V170" i="44"/>
  <c r="V367" i="44" s="1"/>
  <c r="V181" i="44"/>
  <c r="V195" i="44"/>
  <c r="V392" i="44" s="1"/>
  <c r="U9" i="44"/>
  <c r="U206" i="44" s="1"/>
  <c r="U20" i="44"/>
  <c r="U217" i="44" s="1"/>
  <c r="U30" i="44"/>
  <c r="U227" i="44" s="1"/>
  <c r="U41" i="44"/>
  <c r="U238" i="44" s="1"/>
  <c r="U52" i="44"/>
  <c r="U61" i="44"/>
  <c r="U258" i="44" s="1"/>
  <c r="U70" i="44"/>
  <c r="U267" i="44" s="1"/>
  <c r="U80" i="44"/>
  <c r="U277" i="44" s="1"/>
  <c r="U89" i="44"/>
  <c r="U286" i="44" s="1"/>
  <c r="W20" i="44"/>
  <c r="W36" i="44"/>
  <c r="W52" i="44"/>
  <c r="W68" i="44"/>
  <c r="X68" i="44" s="1"/>
  <c r="W84" i="44"/>
  <c r="W100" i="44"/>
  <c r="X100" i="44" s="1"/>
  <c r="W116" i="44"/>
  <c r="W132" i="44"/>
  <c r="W329" i="44" s="1"/>
  <c r="W148" i="44"/>
  <c r="W345" i="44" s="1"/>
  <c r="W164" i="44"/>
  <c r="W361" i="44" s="1"/>
  <c r="W180" i="44"/>
  <c r="V4" i="44"/>
  <c r="V201" i="44" s="1"/>
  <c r="V20" i="44"/>
  <c r="V217" i="44" s="1"/>
  <c r="V36" i="44"/>
  <c r="V233" i="44" s="1"/>
  <c r="V52" i="44"/>
  <c r="V249" i="44" s="1"/>
  <c r="V68" i="44"/>
  <c r="V84" i="44"/>
  <c r="V281" i="44" s="1"/>
  <c r="V100" i="44"/>
  <c r="V116" i="44"/>
  <c r="V132" i="44"/>
  <c r="V329" i="44" s="1"/>
  <c r="V146" i="44"/>
  <c r="V343" i="44" s="1"/>
  <c r="V157" i="44"/>
  <c r="V354" i="44" s="1"/>
  <c r="V171" i="44"/>
  <c r="V368" i="44" s="1"/>
  <c r="V184" i="44"/>
  <c r="U11" i="44"/>
  <c r="U208" i="44" s="1"/>
  <c r="U21" i="44"/>
  <c r="U218" i="44" s="1"/>
  <c r="W21" i="44"/>
  <c r="W37" i="44"/>
  <c r="W53" i="44"/>
  <c r="W69" i="44"/>
  <c r="W85" i="44"/>
  <c r="X85" i="44" s="1"/>
  <c r="X282" i="44" s="1"/>
  <c r="W101" i="44"/>
  <c r="Y101" i="44" s="1"/>
  <c r="Y298" i="44" s="1"/>
  <c r="W117" i="44"/>
  <c r="Y117" i="44" s="1"/>
  <c r="Y314" i="44" s="1"/>
  <c r="W133" i="44"/>
  <c r="X133" i="44" s="1"/>
  <c r="X330" i="44" s="1"/>
  <c r="W149" i="44"/>
  <c r="X149" i="44" s="1"/>
  <c r="X346" i="44" s="1"/>
  <c r="W165" i="44"/>
  <c r="W181" i="44"/>
  <c r="V5" i="44"/>
  <c r="V202" i="44" s="1"/>
  <c r="V21" i="44"/>
  <c r="V218" i="44" s="1"/>
  <c r="V37" i="44"/>
  <c r="V234" i="44" s="1"/>
  <c r="V53" i="44"/>
  <c r="V69" i="44"/>
  <c r="V85" i="44"/>
  <c r="V282" i="44" s="1"/>
  <c r="V101" i="44"/>
  <c r="V298" i="44" s="1"/>
  <c r="V117" i="44"/>
  <c r="V314" i="44" s="1"/>
  <c r="V133" i="44"/>
  <c r="V330" i="44" s="1"/>
  <c r="Y4" i="44"/>
  <c r="W24" i="44"/>
  <c r="X24" i="44" s="1"/>
  <c r="X221" i="44" s="1"/>
  <c r="W40" i="44"/>
  <c r="X40" i="44" s="1"/>
  <c r="X237" i="44" s="1"/>
  <c r="W56" i="44"/>
  <c r="X56" i="44" s="1"/>
  <c r="W72" i="44"/>
  <c r="X72" i="44" s="1"/>
  <c r="X269" i="44" s="1"/>
  <c r="W88" i="44"/>
  <c r="X88" i="44" s="1"/>
  <c r="X285" i="44" s="1"/>
  <c r="W104" i="44"/>
  <c r="Y104" i="44" s="1"/>
  <c r="W120" i="44"/>
  <c r="Y120" i="44" s="1"/>
  <c r="W136" i="44"/>
  <c r="X136" i="44" s="1"/>
  <c r="X333" i="44" s="1"/>
  <c r="W152" i="44"/>
  <c r="X152" i="44" s="1"/>
  <c r="X349" i="44" s="1"/>
  <c r="W168" i="44"/>
  <c r="W184" i="44"/>
  <c r="X184" i="44" s="1"/>
  <c r="V8" i="44"/>
  <c r="V205" i="44" s="1"/>
  <c r="V24" i="44"/>
  <c r="V221" i="44" s="1"/>
  <c r="V40" i="44"/>
  <c r="V237" i="44" s="1"/>
  <c r="V56" i="44"/>
  <c r="V72" i="44"/>
  <c r="V269" i="44" s="1"/>
  <c r="V88" i="44"/>
  <c r="V285" i="44" s="1"/>
  <c r="V104" i="44"/>
  <c r="V120" i="44"/>
  <c r="V136" i="44"/>
  <c r="V333" i="44" s="1"/>
  <c r="V148" i="44"/>
  <c r="V345" i="44" s="1"/>
  <c r="W28" i="44"/>
  <c r="W75" i="44"/>
  <c r="W109" i="44"/>
  <c r="Y109" i="44" s="1"/>
  <c r="Y306" i="44" s="1"/>
  <c r="W156" i="44"/>
  <c r="W353" i="44" s="1"/>
  <c r="V12" i="44"/>
  <c r="V209" i="44" s="1"/>
  <c r="V59" i="44"/>
  <c r="V93" i="44"/>
  <c r="V290" i="44" s="1"/>
  <c r="V139" i="44"/>
  <c r="V336" i="44" s="1"/>
  <c r="V163" i="44"/>
  <c r="V360" i="44" s="1"/>
  <c r="V186" i="44"/>
  <c r="U17" i="44"/>
  <c r="U214" i="44" s="1"/>
  <c r="U35" i="44"/>
  <c r="U232" i="44" s="1"/>
  <c r="U48" i="44"/>
  <c r="U245" i="44" s="1"/>
  <c r="U62" i="44"/>
  <c r="U259" i="44" s="1"/>
  <c r="U74" i="44"/>
  <c r="U271" i="44" s="1"/>
  <c r="U85" i="44"/>
  <c r="U282" i="44" s="1"/>
  <c r="U98" i="44"/>
  <c r="U295" i="44" s="1"/>
  <c r="U108" i="44"/>
  <c r="U305" i="44" s="1"/>
  <c r="U117" i="44"/>
  <c r="U314" i="44" s="1"/>
  <c r="U126" i="44"/>
  <c r="U323" i="44" s="1"/>
  <c r="U135" i="44"/>
  <c r="U332" i="44" s="1"/>
  <c r="U144" i="44"/>
  <c r="U341" i="44" s="1"/>
  <c r="U153" i="44"/>
  <c r="U350" i="44" s="1"/>
  <c r="U163" i="44"/>
  <c r="U360" i="44" s="1"/>
  <c r="U172" i="44"/>
  <c r="U181" i="44"/>
  <c r="U190" i="44"/>
  <c r="T12" i="44"/>
  <c r="T209" i="44" s="1"/>
  <c r="T21" i="44"/>
  <c r="T218" i="44" s="1"/>
  <c r="T30" i="44"/>
  <c r="T227" i="44" s="1"/>
  <c r="T39" i="44"/>
  <c r="T236" i="44" s="1"/>
  <c r="T48" i="44"/>
  <c r="T245" i="44" s="1"/>
  <c r="T57" i="44"/>
  <c r="T66" i="44"/>
  <c r="T76" i="44"/>
  <c r="T273" i="44" s="1"/>
  <c r="T85" i="44"/>
  <c r="T282" i="44" s="1"/>
  <c r="T94" i="44"/>
  <c r="T291" i="44" s="1"/>
  <c r="T103" i="44"/>
  <c r="T300" i="44" s="1"/>
  <c r="T112" i="44"/>
  <c r="T309" i="44" s="1"/>
  <c r="T121" i="44"/>
  <c r="T130" i="44"/>
  <c r="T327" i="44" s="1"/>
  <c r="T140" i="44"/>
  <c r="T337" i="44" s="1"/>
  <c r="T149" i="44"/>
  <c r="T346" i="44" s="1"/>
  <c r="T158" i="44"/>
  <c r="T355" i="44" s="1"/>
  <c r="T167" i="44"/>
  <c r="T364" i="44" s="1"/>
  <c r="T176" i="44"/>
  <c r="T185" i="44"/>
  <c r="T194" i="44"/>
  <c r="S11" i="44"/>
  <c r="S208" i="44" s="1"/>
  <c r="S19" i="44"/>
  <c r="S216" i="44" s="1"/>
  <c r="S27" i="44"/>
  <c r="S224" i="44" s="1"/>
  <c r="S35" i="44"/>
  <c r="S232" i="44" s="1"/>
  <c r="S43" i="44"/>
  <c r="S240" i="44" s="1"/>
  <c r="S51" i="44"/>
  <c r="S248" i="44" s="1"/>
  <c r="S59" i="44"/>
  <c r="S256" i="44" s="1"/>
  <c r="S67" i="44"/>
  <c r="S75" i="44"/>
  <c r="S83" i="44"/>
  <c r="S280" i="44" s="1"/>
  <c r="S91" i="44"/>
  <c r="S288" i="44" s="1"/>
  <c r="S99" i="44"/>
  <c r="S296" i="44" s="1"/>
  <c r="S107" i="44"/>
  <c r="S304" i="44" s="1"/>
  <c r="S115" i="44"/>
  <c r="S312" i="44" s="1"/>
  <c r="S123" i="44"/>
  <c r="S320" i="44" s="1"/>
  <c r="S131" i="44"/>
  <c r="S328" i="44" s="1"/>
  <c r="S139" i="44"/>
  <c r="S336" i="44" s="1"/>
  <c r="S147" i="44"/>
  <c r="S344" i="44" s="1"/>
  <c r="S155" i="44"/>
  <c r="S352" i="44" s="1"/>
  <c r="S163" i="44"/>
  <c r="S360" i="44" s="1"/>
  <c r="W29" i="44"/>
  <c r="W76" i="44"/>
  <c r="X76" i="44" s="1"/>
  <c r="X273" i="44" s="1"/>
  <c r="W123" i="44"/>
  <c r="W157" i="44"/>
  <c r="X157" i="44" s="1"/>
  <c r="X354" i="44" s="1"/>
  <c r="V13" i="44"/>
  <c r="V210" i="44" s="1"/>
  <c r="V60" i="44"/>
  <c r="V257" i="44" s="1"/>
  <c r="V107" i="44"/>
  <c r="V304" i="44" s="1"/>
  <c r="V140" i="44"/>
  <c r="V337" i="44" s="1"/>
  <c r="V164" i="44"/>
  <c r="V361" i="44" s="1"/>
  <c r="V187" i="44"/>
  <c r="U4" i="44"/>
  <c r="U201" i="44" s="1"/>
  <c r="U22" i="44"/>
  <c r="U219" i="44" s="1"/>
  <c r="U36" i="44"/>
  <c r="U233" i="44" s="1"/>
  <c r="U49" i="44"/>
  <c r="U246" i="44" s="1"/>
  <c r="U64" i="44"/>
  <c r="U75" i="44"/>
  <c r="U86" i="44"/>
  <c r="U283" i="44" s="1"/>
  <c r="U99" i="44"/>
  <c r="U296" i="44" s="1"/>
  <c r="U109" i="44"/>
  <c r="U306" i="44" s="1"/>
  <c r="U118" i="44"/>
  <c r="U127" i="44"/>
  <c r="U324" i="44" s="1"/>
  <c r="U136" i="44"/>
  <c r="U333" i="44" s="1"/>
  <c r="U145" i="44"/>
  <c r="U342" i="44" s="1"/>
  <c r="U155" i="44"/>
  <c r="U352" i="44" s="1"/>
  <c r="U164" i="44"/>
  <c r="U361" i="44" s="1"/>
  <c r="U173" i="44"/>
  <c r="U182" i="44"/>
  <c r="U191" i="44"/>
  <c r="T4" i="44"/>
  <c r="T201" i="44" s="1"/>
  <c r="T13" i="44"/>
  <c r="T210" i="44" s="1"/>
  <c r="T22" i="44"/>
  <c r="T219" i="44" s="1"/>
  <c r="T31" i="44"/>
  <c r="T228" i="44" s="1"/>
  <c r="T40" i="44"/>
  <c r="T237" i="44" s="1"/>
  <c r="T49" i="44"/>
  <c r="T246" i="44" s="1"/>
  <c r="T58" i="44"/>
  <c r="T255" i="44" s="1"/>
  <c r="T68" i="44"/>
  <c r="T77" i="44"/>
  <c r="T274" i="44" s="1"/>
  <c r="T86" i="44"/>
  <c r="T283" i="44" s="1"/>
  <c r="T95" i="44"/>
  <c r="T292" i="44" s="1"/>
  <c r="T104" i="44"/>
  <c r="T301" i="44" s="1"/>
  <c r="T113" i="44"/>
  <c r="T310" i="44" s="1"/>
  <c r="T122" i="44"/>
  <c r="T319" i="44" s="1"/>
  <c r="T132" i="44"/>
  <c r="T329" i="44" s="1"/>
  <c r="T141" i="44"/>
  <c r="T338" i="44" s="1"/>
  <c r="T150" i="44"/>
  <c r="T347" i="44" s="1"/>
  <c r="T159" i="44"/>
  <c r="T356" i="44" s="1"/>
  <c r="T168" i="44"/>
  <c r="T365" i="44" s="1"/>
  <c r="T177" i="44"/>
  <c r="T186" i="44"/>
  <c r="T195" i="44"/>
  <c r="S201" i="44"/>
  <c r="S12" i="44"/>
  <c r="S209" i="44" s="1"/>
  <c r="S20" i="44"/>
  <c r="S217" i="44" s="1"/>
  <c r="S28" i="44"/>
  <c r="S225" i="44" s="1"/>
  <c r="S36" i="44"/>
  <c r="S233" i="44" s="1"/>
  <c r="S44" i="44"/>
  <c r="S241" i="44" s="1"/>
  <c r="S52" i="44"/>
  <c r="S60" i="44"/>
  <c r="S68" i="44"/>
  <c r="S265" i="44" s="1"/>
  <c r="S76" i="44"/>
  <c r="S273" i="44" s="1"/>
  <c r="S84" i="44"/>
  <c r="S281" i="44" s="1"/>
  <c r="S92" i="44"/>
  <c r="S289" i="44" s="1"/>
  <c r="S100" i="44"/>
  <c r="S108" i="44"/>
  <c r="S305" i="44" s="1"/>
  <c r="S116" i="44"/>
  <c r="S313" i="44" s="1"/>
  <c r="S124" i="44"/>
  <c r="S321" i="44" s="1"/>
  <c r="S132" i="44"/>
  <c r="S329" i="44" s="1"/>
  <c r="S140" i="44"/>
  <c r="S337" i="44" s="1"/>
  <c r="S148" i="44"/>
  <c r="S345" i="44" s="1"/>
  <c r="S156" i="44"/>
  <c r="S353" i="44" s="1"/>
  <c r="S164" i="44"/>
  <c r="S361" i="44" s="1"/>
  <c r="S172" i="44"/>
  <c r="S180" i="44"/>
  <c r="S188" i="44"/>
  <c r="W43" i="44"/>
  <c r="W77" i="44"/>
  <c r="W124" i="44"/>
  <c r="W321" i="44" s="1"/>
  <c r="W171" i="44"/>
  <c r="V27" i="44"/>
  <c r="V224" i="44" s="1"/>
  <c r="V61" i="44"/>
  <c r="V258" i="44" s="1"/>
  <c r="V108" i="44"/>
  <c r="V305" i="44" s="1"/>
  <c r="V147" i="44"/>
  <c r="V344" i="44" s="1"/>
  <c r="V165" i="44"/>
  <c r="V362" i="44" s="1"/>
  <c r="V188" i="44"/>
  <c r="U5" i="44"/>
  <c r="U202" i="44" s="1"/>
  <c r="U24" i="44"/>
  <c r="U221" i="44" s="1"/>
  <c r="U37" i="44"/>
  <c r="U234" i="44" s="1"/>
  <c r="U53" i="44"/>
  <c r="U65" i="44"/>
  <c r="U262" i="44" s="1"/>
  <c r="U76" i="44"/>
  <c r="U273" i="44" s="1"/>
  <c r="U90" i="44"/>
  <c r="U287" i="44" s="1"/>
  <c r="U100" i="44"/>
  <c r="U297" i="44" s="1"/>
  <c r="U110" i="44"/>
  <c r="U307" i="44" s="1"/>
  <c r="U119" i="44"/>
  <c r="U316" i="44" s="1"/>
  <c r="U128" i="44"/>
  <c r="U325" i="44" s="1"/>
  <c r="U137" i="44"/>
  <c r="U334" i="44" s="1"/>
  <c r="U147" i="44"/>
  <c r="U344" i="44" s="1"/>
  <c r="U156" i="44"/>
  <c r="U353" i="44" s="1"/>
  <c r="U165" i="44"/>
  <c r="U362" i="44" s="1"/>
  <c r="U174" i="44"/>
  <c r="U183" i="44"/>
  <c r="U380" i="44" s="1"/>
  <c r="U192" i="44"/>
  <c r="T5" i="44"/>
  <c r="T202" i="44" s="1"/>
  <c r="T14" i="44"/>
  <c r="T211" i="44" s="1"/>
  <c r="T23" i="44"/>
  <c r="T220" i="44" s="1"/>
  <c r="T32" i="44"/>
  <c r="T229" i="44" s="1"/>
  <c r="T41" i="44"/>
  <c r="T238" i="44" s="1"/>
  <c r="W44" i="44"/>
  <c r="W91" i="44"/>
  <c r="W125" i="44"/>
  <c r="W172" i="44"/>
  <c r="V28" i="44"/>
  <c r="V225" i="44" s="1"/>
  <c r="V75" i="44"/>
  <c r="V272" i="44" s="1"/>
  <c r="V109" i="44"/>
  <c r="V306" i="44" s="1"/>
  <c r="V149" i="44"/>
  <c r="V346" i="44" s="1"/>
  <c r="V172" i="44"/>
  <c r="V189" i="44"/>
  <c r="U6" i="44"/>
  <c r="U203" i="44" s="1"/>
  <c r="U25" i="44"/>
  <c r="U222" i="44" s="1"/>
  <c r="U38" i="44"/>
  <c r="U235" i="44" s="1"/>
  <c r="U54" i="44"/>
  <c r="U66" i="44"/>
  <c r="U77" i="44"/>
  <c r="U274" i="44" s="1"/>
  <c r="U91" i="44"/>
  <c r="U288" i="44" s="1"/>
  <c r="U101" i="44"/>
  <c r="U298" i="44" s="1"/>
  <c r="U111" i="44"/>
  <c r="U308" i="44" s="1"/>
  <c r="U120" i="44"/>
  <c r="U317" i="44" s="1"/>
  <c r="U129" i="44"/>
  <c r="U326" i="44" s="1"/>
  <c r="U139" i="44"/>
  <c r="U336" i="44" s="1"/>
  <c r="U148" i="44"/>
  <c r="U345" i="44" s="1"/>
  <c r="U157" i="44"/>
  <c r="U354" i="44" s="1"/>
  <c r="U166" i="44"/>
  <c r="U363" i="44" s="1"/>
  <c r="U175" i="44"/>
  <c r="W5" i="44"/>
  <c r="W45" i="44"/>
  <c r="W92" i="44"/>
  <c r="X92" i="44" s="1"/>
  <c r="X289" i="44" s="1"/>
  <c r="W60" i="44"/>
  <c r="W155" i="44"/>
  <c r="V44" i="44"/>
  <c r="V241" i="44" s="1"/>
  <c r="V125" i="44"/>
  <c r="V322" i="44" s="1"/>
  <c r="V178" i="44"/>
  <c r="U32" i="44"/>
  <c r="U229" i="44" s="1"/>
  <c r="U58" i="44"/>
  <c r="U255" i="44" s="1"/>
  <c r="U83" i="44"/>
  <c r="U280" i="44" s="1"/>
  <c r="U105" i="44"/>
  <c r="U302" i="44" s="1"/>
  <c r="U124" i="44"/>
  <c r="U321" i="44" s="1"/>
  <c r="U142" i="44"/>
  <c r="U339" i="44" s="1"/>
  <c r="U160" i="44"/>
  <c r="U357" i="44" s="1"/>
  <c r="U179" i="44"/>
  <c r="U376" i="44" s="1"/>
  <c r="U195" i="44"/>
  <c r="T8" i="44"/>
  <c r="T205" i="44" s="1"/>
  <c r="T24" i="44"/>
  <c r="T221" i="44" s="1"/>
  <c r="T37" i="44"/>
  <c r="T234" i="44" s="1"/>
  <c r="T52" i="44"/>
  <c r="T63" i="44"/>
  <c r="T260" i="44" s="1"/>
  <c r="T74" i="44"/>
  <c r="T88" i="44"/>
  <c r="T285" i="44" s="1"/>
  <c r="T100" i="44"/>
  <c r="T111" i="44"/>
  <c r="T125" i="44"/>
  <c r="T322" i="44" s="1"/>
  <c r="T136" i="44"/>
  <c r="T333" i="44" s="1"/>
  <c r="T148" i="44"/>
  <c r="T345" i="44" s="1"/>
  <c r="T161" i="44"/>
  <c r="T358" i="44" s="1"/>
  <c r="T173" i="44"/>
  <c r="T184" i="44"/>
  <c r="S14" i="44"/>
  <c r="S211" i="44" s="1"/>
  <c r="S24" i="44"/>
  <c r="S221" i="44" s="1"/>
  <c r="S34" i="44"/>
  <c r="S231" i="44" s="1"/>
  <c r="S46" i="44"/>
  <c r="S243" i="44" s="1"/>
  <c r="S56" i="44"/>
  <c r="S66" i="44"/>
  <c r="S78" i="44"/>
  <c r="S275" i="44" s="1"/>
  <c r="S88" i="44"/>
  <c r="S285" i="44" s="1"/>
  <c r="S98" i="44"/>
  <c r="S295" i="44" s="1"/>
  <c r="S110" i="44"/>
  <c r="S307" i="44" s="1"/>
  <c r="S120" i="44"/>
  <c r="S317" i="44" s="1"/>
  <c r="S130" i="44"/>
  <c r="S327" i="44" s="1"/>
  <c r="S142" i="44"/>
  <c r="S339" i="44" s="1"/>
  <c r="S152" i="44"/>
  <c r="S349" i="44" s="1"/>
  <c r="S162" i="44"/>
  <c r="S359" i="44" s="1"/>
  <c r="S173" i="44"/>
  <c r="S182" i="44"/>
  <c r="S191" i="44"/>
  <c r="R11" i="44"/>
  <c r="R208" i="44" s="1"/>
  <c r="R19" i="44"/>
  <c r="R216" i="44" s="1"/>
  <c r="R27" i="44"/>
  <c r="R224" i="44" s="1"/>
  <c r="R35" i="44"/>
  <c r="R232" i="44" s="1"/>
  <c r="R43" i="44"/>
  <c r="R240" i="44" s="1"/>
  <c r="R51" i="44"/>
  <c r="R248" i="44" s="1"/>
  <c r="R59" i="44"/>
  <c r="R67" i="44"/>
  <c r="R264" i="44" s="1"/>
  <c r="R75" i="44"/>
  <c r="R83" i="44"/>
  <c r="R280" i="44" s="1"/>
  <c r="R91" i="44"/>
  <c r="R288" i="44" s="1"/>
  <c r="R99" i="44"/>
  <c r="R296" i="44" s="1"/>
  <c r="R107" i="44"/>
  <c r="R304" i="44" s="1"/>
  <c r="R115" i="44"/>
  <c r="R312" i="44" s="1"/>
  <c r="R123" i="44"/>
  <c r="R320" i="44" s="1"/>
  <c r="R131" i="44"/>
  <c r="R328" i="44" s="1"/>
  <c r="R139" i="44"/>
  <c r="R336" i="44" s="1"/>
  <c r="R147" i="44"/>
  <c r="R344" i="44" s="1"/>
  <c r="R155" i="44"/>
  <c r="R352" i="44" s="1"/>
  <c r="R163" i="44"/>
  <c r="R360" i="44" s="1"/>
  <c r="R171" i="44"/>
  <c r="R368" i="44" s="1"/>
  <c r="R179" i="44"/>
  <c r="R187" i="44"/>
  <c r="R195" i="44"/>
  <c r="Q8" i="44"/>
  <c r="Q205" i="44" s="1"/>
  <c r="Q16" i="44"/>
  <c r="Q213" i="44" s="1"/>
  <c r="W61" i="44"/>
  <c r="W173" i="44"/>
  <c r="X173" i="44" s="1"/>
  <c r="X370" i="44" s="1"/>
  <c r="V45" i="44"/>
  <c r="V242" i="44" s="1"/>
  <c r="V138" i="44"/>
  <c r="V335" i="44" s="1"/>
  <c r="V179" i="44"/>
  <c r="U33" i="44"/>
  <c r="U230" i="44" s="1"/>
  <c r="U59" i="44"/>
  <c r="U84" i="44"/>
  <c r="U281" i="44" s="1"/>
  <c r="U107" i="44"/>
  <c r="U125" i="44"/>
  <c r="U322" i="44" s="1"/>
  <c r="U143" i="44"/>
  <c r="U340" i="44" s="1"/>
  <c r="U161" i="44"/>
  <c r="U358" i="44" s="1"/>
  <c r="U180" i="44"/>
  <c r="T9" i="44"/>
  <c r="T206" i="44" s="1"/>
  <c r="T25" i="44"/>
  <c r="T222" i="44" s="1"/>
  <c r="T38" i="44"/>
  <c r="T235" i="44" s="1"/>
  <c r="T53" i="44"/>
  <c r="T64" i="44"/>
  <c r="T261" i="44" s="1"/>
  <c r="T78" i="44"/>
  <c r="T275" i="44" s="1"/>
  <c r="T89" i="44"/>
  <c r="T286" i="44" s="1"/>
  <c r="T101" i="44"/>
  <c r="T298" i="44" s="1"/>
  <c r="T114" i="44"/>
  <c r="T126" i="44"/>
  <c r="T323" i="44" s="1"/>
  <c r="T137" i="44"/>
  <c r="T334" i="44" s="1"/>
  <c r="T151" i="44"/>
  <c r="T348" i="44" s="1"/>
  <c r="T162" i="44"/>
  <c r="T359" i="44" s="1"/>
  <c r="T174" i="44"/>
  <c r="T188" i="44"/>
  <c r="S5" i="44"/>
  <c r="S202" i="44" s="1"/>
  <c r="S15" i="44"/>
  <c r="S212" i="44" s="1"/>
  <c r="S25" i="44"/>
  <c r="S222" i="44" s="1"/>
  <c r="S37" i="44"/>
  <c r="S234" i="44" s="1"/>
  <c r="S47" i="44"/>
  <c r="S244" i="44" s="1"/>
  <c r="S57" i="44"/>
  <c r="S69" i="44"/>
  <c r="S79" i="44"/>
  <c r="S276" i="44" s="1"/>
  <c r="S89" i="44"/>
  <c r="S286" i="44" s="1"/>
  <c r="S101" i="44"/>
  <c r="S298" i="44" s="1"/>
  <c r="S111" i="44"/>
  <c r="S308" i="44" s="1"/>
  <c r="S121" i="44"/>
  <c r="S318" i="44" s="1"/>
  <c r="S133" i="44"/>
  <c r="S330" i="44" s="1"/>
  <c r="S143" i="44"/>
  <c r="S340" i="44" s="1"/>
  <c r="S153" i="44"/>
  <c r="S350" i="44" s="1"/>
  <c r="S165" i="44"/>
  <c r="S362" i="44" s="1"/>
  <c r="S174" i="44"/>
  <c r="S183" i="44"/>
  <c r="S192" i="44"/>
  <c r="R4" i="44"/>
  <c r="R201" i="44" s="1"/>
  <c r="R12" i="44"/>
  <c r="R209" i="44" s="1"/>
  <c r="R20" i="44"/>
  <c r="R217" i="44" s="1"/>
  <c r="R28" i="44"/>
  <c r="R225" i="44" s="1"/>
  <c r="R36" i="44"/>
  <c r="R233" i="44" s="1"/>
  <c r="R44" i="44"/>
  <c r="R241" i="44" s="1"/>
  <c r="R52" i="44"/>
  <c r="R249" i="44" s="1"/>
  <c r="R60" i="44"/>
  <c r="R68" i="44"/>
  <c r="R265" i="44" s="1"/>
  <c r="R76" i="44"/>
  <c r="R273" i="44" s="1"/>
  <c r="R84" i="44"/>
  <c r="R281" i="44" s="1"/>
  <c r="R92" i="44"/>
  <c r="R289" i="44" s="1"/>
  <c r="R100" i="44"/>
  <c r="R297" i="44" s="1"/>
  <c r="R108" i="44"/>
  <c r="R305" i="44" s="1"/>
  <c r="R116" i="44"/>
  <c r="R313" i="44" s="1"/>
  <c r="R124" i="44"/>
  <c r="R321" i="44" s="1"/>
  <c r="R132" i="44"/>
  <c r="R329" i="44" s="1"/>
  <c r="R140" i="44"/>
  <c r="R337" i="44" s="1"/>
  <c r="R148" i="44"/>
  <c r="R345" i="44" s="1"/>
  <c r="R156" i="44"/>
  <c r="R353" i="44" s="1"/>
  <c r="R164" i="44"/>
  <c r="R361" i="44" s="1"/>
  <c r="R172" i="44"/>
  <c r="R180" i="44"/>
  <c r="R188" i="44"/>
  <c r="Q9" i="44"/>
  <c r="Q206" i="44" s="1"/>
  <c r="Q17" i="44"/>
  <c r="Q214" i="44" s="1"/>
  <c r="Q25" i="44"/>
  <c r="Q222" i="44" s="1"/>
  <c r="Q33" i="44"/>
  <c r="Q230" i="44" s="1"/>
  <c r="Q41" i="44"/>
  <c r="Q238" i="44" s="1"/>
  <c r="W93" i="44"/>
  <c r="X93" i="44" s="1"/>
  <c r="X290" i="44" s="1"/>
  <c r="W187" i="44"/>
  <c r="V76" i="44"/>
  <c r="V273" i="44" s="1"/>
  <c r="V152" i="44"/>
  <c r="V349" i="44" s="1"/>
  <c r="V192" i="44"/>
  <c r="U12" i="44"/>
  <c r="U209" i="44" s="1"/>
  <c r="U43" i="44"/>
  <c r="U240" i="44" s="1"/>
  <c r="U67" i="44"/>
  <c r="U264" i="44" s="1"/>
  <c r="U92" i="44"/>
  <c r="U289" i="44" s="1"/>
  <c r="U112" i="44"/>
  <c r="U309" i="44" s="1"/>
  <c r="U131" i="44"/>
  <c r="U328" i="44" s="1"/>
  <c r="U149" i="44"/>
  <c r="U346" i="44" s="1"/>
  <c r="U167" i="44"/>
  <c r="U364" i="44" s="1"/>
  <c r="U184" i="44"/>
  <c r="U381" i="44" s="1"/>
  <c r="T10" i="44"/>
  <c r="T207" i="44" s="1"/>
  <c r="T26" i="44"/>
  <c r="T223" i="44" s="1"/>
  <c r="T42" i="44"/>
  <c r="T239" i="44" s="1"/>
  <c r="T54" i="44"/>
  <c r="T65" i="44"/>
  <c r="T79" i="44"/>
  <c r="T276" i="44" s="1"/>
  <c r="T90" i="44"/>
  <c r="T287" i="44" s="1"/>
  <c r="T102" i="44"/>
  <c r="T299" i="44" s="1"/>
  <c r="T116" i="44"/>
  <c r="T313" i="44" s="1"/>
  <c r="T127" i="44"/>
  <c r="T324" i="44" s="1"/>
  <c r="T138" i="44"/>
  <c r="T335" i="44" s="1"/>
  <c r="T152" i="44"/>
  <c r="T349" i="44" s="1"/>
  <c r="T164" i="44"/>
  <c r="T361" i="44" s="1"/>
  <c r="T175" i="44"/>
  <c r="T189" i="44"/>
  <c r="S6" i="44"/>
  <c r="S203" i="44" s="1"/>
  <c r="S16" i="44"/>
  <c r="S213" i="44" s="1"/>
  <c r="S26" i="44"/>
  <c r="S223" i="44" s="1"/>
  <c r="S38" i="44"/>
  <c r="S235" i="44" s="1"/>
  <c r="S48" i="44"/>
  <c r="S245" i="44" s="1"/>
  <c r="S58" i="44"/>
  <c r="S255" i="44" s="1"/>
  <c r="S70" i="44"/>
  <c r="S80" i="44"/>
  <c r="S277" i="44" s="1"/>
  <c r="S90" i="44"/>
  <c r="S287" i="44" s="1"/>
  <c r="S102" i="44"/>
  <c r="S299" i="44" s="1"/>
  <c r="S112" i="44"/>
  <c r="S309" i="44" s="1"/>
  <c r="S122" i="44"/>
  <c r="S319" i="44" s="1"/>
  <c r="S134" i="44"/>
  <c r="S331" i="44" s="1"/>
  <c r="S144" i="44"/>
  <c r="S341" i="44" s="1"/>
  <c r="S154" i="44"/>
  <c r="S351" i="44" s="1"/>
  <c r="S166" i="44"/>
  <c r="S363" i="44" s="1"/>
  <c r="S175" i="44"/>
  <c r="S372" i="44" s="1"/>
  <c r="S184" i="44"/>
  <c r="S193" i="44"/>
  <c r="R5" i="44"/>
  <c r="R202" i="44" s="1"/>
  <c r="R13" i="44"/>
  <c r="R210" i="44" s="1"/>
  <c r="R21" i="44"/>
  <c r="R218" i="44" s="1"/>
  <c r="R29" i="44"/>
  <c r="R226" i="44" s="1"/>
  <c r="R37" i="44"/>
  <c r="R234" i="44" s="1"/>
  <c r="R45" i="44"/>
  <c r="R242" i="44" s="1"/>
  <c r="R53" i="44"/>
  <c r="R61" i="44"/>
  <c r="R258" i="44" s="1"/>
  <c r="R69" i="44"/>
  <c r="R266" i="44" s="1"/>
  <c r="R77" i="44"/>
  <c r="R274" i="44" s="1"/>
  <c r="R85" i="44"/>
  <c r="R282" i="44" s="1"/>
  <c r="R93" i="44"/>
  <c r="R290" i="44" s="1"/>
  <c r="R101" i="44"/>
  <c r="R298" i="44" s="1"/>
  <c r="R109" i="44"/>
  <c r="R306" i="44" s="1"/>
  <c r="R117" i="44"/>
  <c r="R314" i="44" s="1"/>
  <c r="R125" i="44"/>
  <c r="R322" i="44" s="1"/>
  <c r="R133" i="44"/>
  <c r="R330" i="44" s="1"/>
  <c r="R141" i="44"/>
  <c r="R338" i="44" s="1"/>
  <c r="R149" i="44"/>
  <c r="R346" i="44" s="1"/>
  <c r="R157" i="44"/>
  <c r="R354" i="44" s="1"/>
  <c r="R165" i="44"/>
  <c r="R362" i="44" s="1"/>
  <c r="R173" i="44"/>
  <c r="R370" i="44" s="1"/>
  <c r="R181" i="44"/>
  <c r="R189" i="44"/>
  <c r="Q10" i="44"/>
  <c r="Q207" i="44" s="1"/>
  <c r="Q18" i="44"/>
  <c r="Q215" i="44" s="1"/>
  <c r="W107" i="44"/>
  <c r="W188" i="44"/>
  <c r="V77" i="44"/>
  <c r="V274" i="44" s="1"/>
  <c r="V154" i="44"/>
  <c r="V351" i="44" s="1"/>
  <c r="U13" i="44"/>
  <c r="U210" i="44" s="1"/>
  <c r="U44" i="44"/>
  <c r="U241" i="44" s="1"/>
  <c r="U68" i="44"/>
  <c r="U265" i="44" s="1"/>
  <c r="U93" i="44"/>
  <c r="U290" i="44" s="1"/>
  <c r="U113" i="44"/>
  <c r="U310" i="44" s="1"/>
  <c r="U132" i="44"/>
  <c r="U329" i="44" s="1"/>
  <c r="U150" i="44"/>
  <c r="U347" i="44" s="1"/>
  <c r="U168" i="44"/>
  <c r="U365" i="44" s="1"/>
  <c r="U185" i="44"/>
  <c r="T15" i="44"/>
  <c r="T212" i="44" s="1"/>
  <c r="T28" i="44"/>
  <c r="T225" i="44" s="1"/>
  <c r="T44" i="44"/>
  <c r="T241" i="44" s="1"/>
  <c r="T55" i="44"/>
  <c r="T69" i="44"/>
  <c r="T266" i="44" s="1"/>
  <c r="T80" i="44"/>
  <c r="T277" i="44" s="1"/>
  <c r="T92" i="44"/>
  <c r="T289" i="44" s="1"/>
  <c r="T105" i="44"/>
  <c r="T302" i="44" s="1"/>
  <c r="T117" i="44"/>
  <c r="T314" i="44" s="1"/>
  <c r="T128" i="44"/>
  <c r="T325" i="44" s="1"/>
  <c r="T142" i="44"/>
  <c r="T339" i="44" s="1"/>
  <c r="T153" i="44"/>
  <c r="T350" i="44" s="1"/>
  <c r="T165" i="44"/>
  <c r="T362" i="44" s="1"/>
  <c r="T178" i="44"/>
  <c r="T190" i="44"/>
  <c r="S7" i="44"/>
  <c r="S204" i="44" s="1"/>
  <c r="S17" i="44"/>
  <c r="S214" i="44" s="1"/>
  <c r="S29" i="44"/>
  <c r="S226" i="44" s="1"/>
  <c r="S39" i="44"/>
  <c r="S236" i="44" s="1"/>
  <c r="S49" i="44"/>
  <c r="S246" i="44" s="1"/>
  <c r="S61" i="44"/>
  <c r="S71" i="44"/>
  <c r="S81" i="44"/>
  <c r="S278" i="44" s="1"/>
  <c r="S93" i="44"/>
  <c r="S290" i="44" s="1"/>
  <c r="S103" i="44"/>
  <c r="S300" i="44" s="1"/>
  <c r="S113" i="44"/>
  <c r="S310" i="44" s="1"/>
  <c r="S125" i="44"/>
  <c r="S322" i="44" s="1"/>
  <c r="S135" i="44"/>
  <c r="S332" i="44" s="1"/>
  <c r="S145" i="44"/>
  <c r="S342" i="44" s="1"/>
  <c r="S157" i="44"/>
  <c r="S354" i="44" s="1"/>
  <c r="S167" i="44"/>
  <c r="S364" i="44" s="1"/>
  <c r="S176" i="44"/>
  <c r="S185" i="44"/>
  <c r="S194" i="44"/>
  <c r="R6" i="44"/>
  <c r="R203" i="44" s="1"/>
  <c r="R14" i="44"/>
  <c r="R211" i="44" s="1"/>
  <c r="R22" i="44"/>
  <c r="R219" i="44" s="1"/>
  <c r="R30" i="44"/>
  <c r="R227" i="44" s="1"/>
  <c r="R38" i="44"/>
  <c r="R235" i="44" s="1"/>
  <c r="R46" i="44"/>
  <c r="R243" i="44" s="1"/>
  <c r="R54" i="44"/>
  <c r="R251" i="44" s="1"/>
  <c r="R62" i="44"/>
  <c r="R259" i="44" s="1"/>
  <c r="R70" i="44"/>
  <c r="R267" i="44" s="1"/>
  <c r="R78" i="44"/>
  <c r="R275" i="44" s="1"/>
  <c r="R86" i="44"/>
  <c r="R283" i="44" s="1"/>
  <c r="R94" i="44"/>
  <c r="R291" i="44" s="1"/>
  <c r="R102" i="44"/>
  <c r="R299" i="44" s="1"/>
  <c r="R110" i="44"/>
  <c r="R307" i="44" s="1"/>
  <c r="R118" i="44"/>
  <c r="R315" i="44" s="1"/>
  <c r="R126" i="44"/>
  <c r="R323" i="44" s="1"/>
  <c r="R134" i="44"/>
  <c r="R331" i="44" s="1"/>
  <c r="R142" i="44"/>
  <c r="R339" i="44" s="1"/>
  <c r="R150" i="44"/>
  <c r="R347" i="44" s="1"/>
  <c r="R158" i="44"/>
  <c r="R355" i="44" s="1"/>
  <c r="R166" i="44"/>
  <c r="R363" i="44" s="1"/>
  <c r="R174" i="44"/>
  <c r="R182" i="44"/>
  <c r="R190" i="44"/>
  <c r="Q11" i="44"/>
  <c r="Q208" i="44" s="1"/>
  <c r="Q19" i="44"/>
  <c r="Q216" i="44" s="1"/>
  <c r="W12" i="44"/>
  <c r="W108" i="44"/>
  <c r="W189" i="44"/>
  <c r="V91" i="44"/>
  <c r="V288" i="44" s="1"/>
  <c r="V160" i="44"/>
  <c r="V357" i="44" s="1"/>
  <c r="U14" i="44"/>
  <c r="U211" i="44" s="1"/>
  <c r="U45" i="44"/>
  <c r="U242" i="44" s="1"/>
  <c r="U72" i="44"/>
  <c r="U269" i="44" s="1"/>
  <c r="U94" i="44"/>
  <c r="U291" i="44" s="1"/>
  <c r="U115" i="44"/>
  <c r="U312" i="44" s="1"/>
  <c r="U133" i="44"/>
  <c r="U330" i="44" s="1"/>
  <c r="U151" i="44"/>
  <c r="U348" i="44" s="1"/>
  <c r="U169" i="44"/>
  <c r="U366" i="44" s="1"/>
  <c r="U187" i="44"/>
  <c r="T16" i="44"/>
  <c r="T213" i="44" s="1"/>
  <c r="T29" i="44"/>
  <c r="T226" i="44" s="1"/>
  <c r="T45" i="44"/>
  <c r="T242" i="44" s="1"/>
  <c r="T56" i="44"/>
  <c r="T253" i="44" s="1"/>
  <c r="T70" i="44"/>
  <c r="T267" i="44" s="1"/>
  <c r="T81" i="44"/>
  <c r="T278" i="44" s="1"/>
  <c r="T93" i="44"/>
  <c r="T290" i="44" s="1"/>
  <c r="T106" i="44"/>
  <c r="T303" i="44" s="1"/>
  <c r="T118" i="44"/>
  <c r="T315" i="44" s="1"/>
  <c r="T129" i="44"/>
  <c r="T326" i="44" s="1"/>
  <c r="T143" i="44"/>
  <c r="T340" i="44" s="1"/>
  <c r="T154" i="44"/>
  <c r="T351" i="44" s="1"/>
  <c r="T166" i="44"/>
  <c r="T363" i="44" s="1"/>
  <c r="T180" i="44"/>
  <c r="T191" i="44"/>
  <c r="T388" i="44" s="1"/>
  <c r="S8" i="44"/>
  <c r="S205" i="44" s="1"/>
  <c r="S18" i="44"/>
  <c r="S215" i="44" s="1"/>
  <c r="S30" i="44"/>
  <c r="S227" i="44" s="1"/>
  <c r="S40" i="44"/>
  <c r="S237" i="44" s="1"/>
  <c r="S50" i="44"/>
  <c r="S247" i="44" s="1"/>
  <c r="S62" i="44"/>
  <c r="S259" i="44" s="1"/>
  <c r="S72" i="44"/>
  <c r="S269" i="44" s="1"/>
  <c r="S82" i="44"/>
  <c r="S279" i="44" s="1"/>
  <c r="S94" i="44"/>
  <c r="S291" i="44" s="1"/>
  <c r="S104" i="44"/>
  <c r="S301" i="44" s="1"/>
  <c r="S114" i="44"/>
  <c r="S311" i="44" s="1"/>
  <c r="S126" i="44"/>
  <c r="S323" i="44" s="1"/>
  <c r="S136" i="44"/>
  <c r="S333" i="44" s="1"/>
  <c r="S146" i="44"/>
  <c r="S343" i="44" s="1"/>
  <c r="S158" i="44"/>
  <c r="S355" i="44" s="1"/>
  <c r="S168" i="44"/>
  <c r="S365" i="44" s="1"/>
  <c r="S177" i="44"/>
  <c r="S186" i="44"/>
  <c r="S383" i="44" s="1"/>
  <c r="S195" i="44"/>
  <c r="R7" i="44"/>
  <c r="R204" i="44" s="1"/>
  <c r="R15" i="44"/>
  <c r="R212" i="44" s="1"/>
  <c r="R23" i="44"/>
  <c r="R220" i="44" s="1"/>
  <c r="R31" i="44"/>
  <c r="R228" i="44" s="1"/>
  <c r="R39" i="44"/>
  <c r="R236" i="44" s="1"/>
  <c r="R47" i="44"/>
  <c r="R244" i="44" s="1"/>
  <c r="R55" i="44"/>
  <c r="R252" i="44" s="1"/>
  <c r="R63" i="44"/>
  <c r="R260" i="44" s="1"/>
  <c r="R71" i="44"/>
  <c r="R79" i="44"/>
  <c r="R276" i="44" s="1"/>
  <c r="R87" i="44"/>
  <c r="R284" i="44" s="1"/>
  <c r="R95" i="44"/>
  <c r="R292" i="44" s="1"/>
  <c r="R103" i="44"/>
  <c r="R300" i="44" s="1"/>
  <c r="R111" i="44"/>
  <c r="R308" i="44" s="1"/>
  <c r="R119" i="44"/>
  <c r="R316" i="44" s="1"/>
  <c r="R127" i="44"/>
  <c r="R324" i="44" s="1"/>
  <c r="R135" i="44"/>
  <c r="R332" i="44" s="1"/>
  <c r="R143" i="44"/>
  <c r="R340" i="44" s="1"/>
  <c r="R151" i="44"/>
  <c r="R348" i="44" s="1"/>
  <c r="R159" i="44"/>
  <c r="R356" i="44" s="1"/>
  <c r="R167" i="44"/>
  <c r="R364" i="44" s="1"/>
  <c r="R175" i="44"/>
  <c r="R183" i="44"/>
  <c r="R380" i="44" s="1"/>
  <c r="R191" i="44"/>
  <c r="Q201" i="44"/>
  <c r="W140" i="44"/>
  <c r="W337" i="44" s="1"/>
  <c r="V11" i="44"/>
  <c r="V208" i="44" s="1"/>
  <c r="V176" i="44"/>
  <c r="U56" i="44"/>
  <c r="U253" i="44" s="1"/>
  <c r="U116" i="44"/>
  <c r="U313" i="44" s="1"/>
  <c r="U159" i="44"/>
  <c r="U356" i="44" s="1"/>
  <c r="T33" i="44"/>
  <c r="T230" i="44" s="1"/>
  <c r="T62" i="44"/>
  <c r="T97" i="44"/>
  <c r="T294" i="44" s="1"/>
  <c r="T133" i="44"/>
  <c r="T330" i="44" s="1"/>
  <c r="T160" i="44"/>
  <c r="T357" i="44" s="1"/>
  <c r="T193" i="44"/>
  <c r="S9" i="44"/>
  <c r="S206" i="44" s="1"/>
  <c r="S33" i="44"/>
  <c r="S230" i="44" s="1"/>
  <c r="S64" i="44"/>
  <c r="S261" i="44" s="1"/>
  <c r="S95" i="44"/>
  <c r="S292" i="44" s="1"/>
  <c r="S119" i="44"/>
  <c r="S316" i="44" s="1"/>
  <c r="S150" i="44"/>
  <c r="S347" i="44" s="1"/>
  <c r="S178" i="44"/>
  <c r="R9" i="44"/>
  <c r="R206" i="44" s="1"/>
  <c r="R32" i="44"/>
  <c r="R229" i="44" s="1"/>
  <c r="R50" i="44"/>
  <c r="R247" i="44" s="1"/>
  <c r="R73" i="44"/>
  <c r="R270" i="44" s="1"/>
  <c r="R96" i="44"/>
  <c r="R293" i="44" s="1"/>
  <c r="R114" i="44"/>
  <c r="R311" i="44" s="1"/>
  <c r="R137" i="44"/>
  <c r="R334" i="44" s="1"/>
  <c r="R160" i="44"/>
  <c r="R357" i="44" s="1"/>
  <c r="R178" i="44"/>
  <c r="R375" i="44" s="1"/>
  <c r="Q12" i="44"/>
  <c r="Q209" i="44" s="1"/>
  <c r="Q24" i="44"/>
  <c r="Q221" i="44" s="1"/>
  <c r="Q34" i="44"/>
  <c r="Q231" i="44" s="1"/>
  <c r="Q43" i="44"/>
  <c r="Q240" i="44" s="1"/>
  <c r="Q51" i="44"/>
  <c r="Q248" i="44" s="1"/>
  <c r="Q59" i="44"/>
  <c r="Q256" i="44" s="1"/>
  <c r="Q67" i="44"/>
  <c r="Q264" i="44" s="1"/>
  <c r="Q75" i="44"/>
  <c r="Q272" i="44" s="1"/>
  <c r="Q83" i="44"/>
  <c r="Q280" i="44" s="1"/>
  <c r="Q91" i="44"/>
  <c r="Q288" i="44" s="1"/>
  <c r="Q99" i="44"/>
  <c r="Q296" i="44" s="1"/>
  <c r="Q107" i="44"/>
  <c r="Q304" i="44" s="1"/>
  <c r="Q115" i="44"/>
  <c r="Q312" i="44" s="1"/>
  <c r="Q123" i="44"/>
  <c r="Q320" i="44" s="1"/>
  <c r="Q131" i="44"/>
  <c r="Q328" i="44" s="1"/>
  <c r="Q139" i="44"/>
  <c r="Q336" i="44" s="1"/>
  <c r="Q147" i="44"/>
  <c r="Q344" i="44" s="1"/>
  <c r="Q155" i="44"/>
  <c r="Q352" i="44" s="1"/>
  <c r="Q163" i="44"/>
  <c r="Q360" i="44" s="1"/>
  <c r="Q171" i="44"/>
  <c r="Q368" i="44" s="1"/>
  <c r="Q179" i="44"/>
  <c r="W141" i="44"/>
  <c r="V29" i="44"/>
  <c r="V226" i="44" s="1"/>
  <c r="U57" i="44"/>
  <c r="U254" i="44" s="1"/>
  <c r="U121" i="44"/>
  <c r="U318" i="44" s="1"/>
  <c r="U171" i="44"/>
  <c r="U368" i="44" s="1"/>
  <c r="T34" i="44"/>
  <c r="T231" i="44" s="1"/>
  <c r="T71" i="44"/>
  <c r="T98" i="44"/>
  <c r="T295" i="44" s="1"/>
  <c r="T134" i="44"/>
  <c r="T331" i="44" s="1"/>
  <c r="T169" i="44"/>
  <c r="T366" i="44" s="1"/>
  <c r="S10" i="44"/>
  <c r="S207" i="44" s="1"/>
  <c r="S41" i="44"/>
  <c r="S238" i="44" s="1"/>
  <c r="S65" i="44"/>
  <c r="S96" i="44"/>
  <c r="S293" i="44" s="1"/>
  <c r="S127" i="44"/>
  <c r="S324" i="44" s="1"/>
  <c r="S151" i="44"/>
  <c r="S348" i="44" s="1"/>
  <c r="S179" i="44"/>
  <c r="S376" i="44" s="1"/>
  <c r="R10" i="44"/>
  <c r="R207" i="44" s="1"/>
  <c r="R33" i="44"/>
  <c r="R230" i="44" s="1"/>
  <c r="R56" i="44"/>
  <c r="R74" i="44"/>
  <c r="R271" i="44" s="1"/>
  <c r="R97" i="44"/>
  <c r="R294" i="44" s="1"/>
  <c r="R120" i="44"/>
  <c r="R317" i="44" s="1"/>
  <c r="R138" i="44"/>
  <c r="R335" i="44" s="1"/>
  <c r="R161" i="44"/>
  <c r="R358" i="44" s="1"/>
  <c r="R184" i="44"/>
  <c r="Q13" i="44"/>
  <c r="Q210" i="44" s="1"/>
  <c r="Q26" i="44"/>
  <c r="Q223" i="44" s="1"/>
  <c r="Q35" i="44"/>
  <c r="Q232" i="44" s="1"/>
  <c r="Q44" i="44"/>
  <c r="Q241" i="44" s="1"/>
  <c r="Q52" i="44"/>
  <c r="Q60" i="44"/>
  <c r="Q68" i="44"/>
  <c r="Q265" i="44" s="1"/>
  <c r="Q76" i="44"/>
  <c r="Q273" i="44" s="1"/>
  <c r="Q84" i="44"/>
  <c r="Q281" i="44" s="1"/>
  <c r="Q92" i="44"/>
  <c r="Q289" i="44" s="1"/>
  <c r="Q100" i="44"/>
  <c r="Q297" i="44" s="1"/>
  <c r="Q108" i="44"/>
  <c r="Q305" i="44" s="1"/>
  <c r="Q116" i="44"/>
  <c r="Q313" i="44" s="1"/>
  <c r="Q124" i="44"/>
  <c r="Q321" i="44" s="1"/>
  <c r="Q132" i="44"/>
  <c r="Q329" i="44" s="1"/>
  <c r="Q140" i="44"/>
  <c r="Q337" i="44" s="1"/>
  <c r="Q148" i="44"/>
  <c r="Q345" i="44" s="1"/>
  <c r="Q156" i="44"/>
  <c r="Q353" i="44" s="1"/>
  <c r="Q164" i="44"/>
  <c r="Q361" i="44" s="1"/>
  <c r="Q172" i="44"/>
  <c r="Q180" i="44"/>
  <c r="Q188" i="44"/>
  <c r="V43" i="44"/>
  <c r="V240" i="44" s="1"/>
  <c r="U73" i="44"/>
  <c r="U270" i="44" s="1"/>
  <c r="U123" i="44"/>
  <c r="U320" i="44" s="1"/>
  <c r="U176" i="44"/>
  <c r="U373" i="44" s="1"/>
  <c r="T36" i="44"/>
  <c r="T233" i="44" s="1"/>
  <c r="T72" i="44"/>
  <c r="T269" i="44" s="1"/>
  <c r="T108" i="44"/>
  <c r="T305" i="44" s="1"/>
  <c r="T135" i="44"/>
  <c r="T332" i="44" s="1"/>
  <c r="T170" i="44"/>
  <c r="T367" i="44" s="1"/>
  <c r="S13" i="44"/>
  <c r="S210" i="44" s="1"/>
  <c r="S42" i="44"/>
  <c r="S239" i="44" s="1"/>
  <c r="S73" i="44"/>
  <c r="S270" i="44" s="1"/>
  <c r="S97" i="44"/>
  <c r="S294" i="44" s="1"/>
  <c r="S128" i="44"/>
  <c r="S325" i="44" s="1"/>
  <c r="S159" i="44"/>
  <c r="S356" i="44" s="1"/>
  <c r="S181" i="44"/>
  <c r="S378" i="44" s="1"/>
  <c r="R16" i="44"/>
  <c r="R213" i="44" s="1"/>
  <c r="R34" i="44"/>
  <c r="R231" i="44" s="1"/>
  <c r="R57" i="44"/>
  <c r="R80" i="44"/>
  <c r="R277" i="44" s="1"/>
  <c r="R98" i="44"/>
  <c r="R295" i="44" s="1"/>
  <c r="R121" i="44"/>
  <c r="R318" i="44" s="1"/>
  <c r="R144" i="44"/>
  <c r="R341" i="44" s="1"/>
  <c r="R162" i="44"/>
  <c r="R359" i="44" s="1"/>
  <c r="R185" i="44"/>
  <c r="Q14" i="44"/>
  <c r="Q211" i="44" s="1"/>
  <c r="Q224" i="44"/>
  <c r="Q36" i="44"/>
  <c r="Q233" i="44" s="1"/>
  <c r="Q45" i="44"/>
  <c r="Q242" i="44" s="1"/>
  <c r="Q53" i="44"/>
  <c r="Q250" i="44" s="1"/>
  <c r="Q61" i="44"/>
  <c r="Q69" i="44"/>
  <c r="Q77" i="44"/>
  <c r="Q274" i="44" s="1"/>
  <c r="Q85" i="44"/>
  <c r="Q282" i="44" s="1"/>
  <c r="Q93" i="44"/>
  <c r="Q290" i="44" s="1"/>
  <c r="Q101" i="44"/>
  <c r="Q298" i="44" s="1"/>
  <c r="Q109" i="44"/>
  <c r="Q306" i="44" s="1"/>
  <c r="Q117" i="44"/>
  <c r="Q314" i="44" s="1"/>
  <c r="Q125" i="44"/>
  <c r="Q322" i="44" s="1"/>
  <c r="Q133" i="44"/>
  <c r="Q330" i="44" s="1"/>
  <c r="Q141" i="44"/>
  <c r="Q338" i="44" s="1"/>
  <c r="Q149" i="44"/>
  <c r="Q346" i="44" s="1"/>
  <c r="Q157" i="44"/>
  <c r="Q354" i="44" s="1"/>
  <c r="Q165" i="44"/>
  <c r="Q362" i="44" s="1"/>
  <c r="Q173" i="44"/>
  <c r="Q370" i="44" s="1"/>
  <c r="Q181" i="44"/>
  <c r="Q189" i="44"/>
  <c r="V92" i="44"/>
  <c r="V289" i="44" s="1"/>
  <c r="U81" i="44"/>
  <c r="U278" i="44" s="1"/>
  <c r="U134" i="44"/>
  <c r="U331" i="44" s="1"/>
  <c r="U177" i="44"/>
  <c r="U374" i="44" s="1"/>
  <c r="T6" i="44"/>
  <c r="T203" i="44" s="1"/>
  <c r="T46" i="44"/>
  <c r="T243" i="44" s="1"/>
  <c r="T73" i="44"/>
  <c r="T270" i="44" s="1"/>
  <c r="T109" i="44"/>
  <c r="T306" i="44" s="1"/>
  <c r="T144" i="44"/>
  <c r="T341" i="44" s="1"/>
  <c r="T172" i="44"/>
  <c r="T369" i="44" s="1"/>
  <c r="S21" i="44"/>
  <c r="S218" i="44" s="1"/>
  <c r="S45" i="44"/>
  <c r="S242" i="44" s="1"/>
  <c r="S74" i="44"/>
  <c r="S271" i="44" s="1"/>
  <c r="S105" i="44"/>
  <c r="S302" i="44" s="1"/>
  <c r="S129" i="44"/>
  <c r="S326" i="44" s="1"/>
  <c r="S160" i="44"/>
  <c r="S357" i="44" s="1"/>
  <c r="S187" i="44"/>
  <c r="S384" i="44" s="1"/>
  <c r="R17" i="44"/>
  <c r="R214" i="44" s="1"/>
  <c r="R40" i="44"/>
  <c r="R237" i="44" s="1"/>
  <c r="R58" i="44"/>
  <c r="R81" i="44"/>
  <c r="R278" i="44" s="1"/>
  <c r="R104" i="44"/>
  <c r="R301" i="44" s="1"/>
  <c r="R122" i="44"/>
  <c r="R319" i="44" s="1"/>
  <c r="R145" i="44"/>
  <c r="R342" i="44" s="1"/>
  <c r="R168" i="44"/>
  <c r="R365" i="44" s="1"/>
  <c r="R186" i="44"/>
  <c r="Q15" i="44"/>
  <c r="Q212" i="44" s="1"/>
  <c r="Q28" i="44"/>
  <c r="Q225" i="44" s="1"/>
  <c r="Q37" i="44"/>
  <c r="Q234" i="44" s="1"/>
  <c r="Q46" i="44"/>
  <c r="Q243" i="44" s="1"/>
  <c r="Q54" i="44"/>
  <c r="Q251" i="44" s="1"/>
  <c r="Q62" i="44"/>
  <c r="Q70" i="44"/>
  <c r="Q78" i="44"/>
  <c r="Q275" i="44" s="1"/>
  <c r="Q86" i="44"/>
  <c r="Q283" i="44" s="1"/>
  <c r="Q94" i="44"/>
  <c r="Q291" i="44" s="1"/>
  <c r="Q102" i="44"/>
  <c r="Q299" i="44" s="1"/>
  <c r="Q110" i="44"/>
  <c r="Q307" i="44" s="1"/>
  <c r="Q118" i="44"/>
  <c r="Q315" i="44" s="1"/>
  <c r="Q126" i="44"/>
  <c r="Q323" i="44" s="1"/>
  <c r="Q134" i="44"/>
  <c r="Q331" i="44" s="1"/>
  <c r="Q142" i="44"/>
  <c r="Q339" i="44" s="1"/>
  <c r="Q150" i="44"/>
  <c r="Q347" i="44" s="1"/>
  <c r="Q158" i="44"/>
  <c r="Q355" i="44" s="1"/>
  <c r="Q166" i="44"/>
  <c r="Q363" i="44" s="1"/>
  <c r="Q174" i="44"/>
  <c r="Q371" i="44" s="1"/>
  <c r="Q182" i="44"/>
  <c r="Q190" i="44"/>
  <c r="W13" i="44"/>
  <c r="V123" i="44"/>
  <c r="V320" i="44" s="1"/>
  <c r="U16" i="44"/>
  <c r="U213" i="44" s="1"/>
  <c r="U82" i="44"/>
  <c r="U279" i="44" s="1"/>
  <c r="U140" i="44"/>
  <c r="U337" i="44" s="1"/>
  <c r="U188" i="44"/>
  <c r="U385" i="44" s="1"/>
  <c r="T7" i="44"/>
  <c r="T204" i="44" s="1"/>
  <c r="T47" i="44"/>
  <c r="T244" i="44" s="1"/>
  <c r="T82" i="44"/>
  <c r="T279" i="44" s="1"/>
  <c r="T110" i="44"/>
  <c r="T307" i="44" s="1"/>
  <c r="T145" i="44"/>
  <c r="T342" i="44" s="1"/>
  <c r="T181" i="44"/>
  <c r="S22" i="44"/>
  <c r="S219" i="44" s="1"/>
  <c r="S53" i="44"/>
  <c r="S77" i="44"/>
  <c r="S274" i="44" s="1"/>
  <c r="S106" i="44"/>
  <c r="S303" i="44" s="1"/>
  <c r="S137" i="44"/>
  <c r="S334" i="44" s="1"/>
  <c r="S161" i="44"/>
  <c r="S358" i="44" s="1"/>
  <c r="S189" i="44"/>
  <c r="S386" i="44" s="1"/>
  <c r="R18" i="44"/>
  <c r="R215" i="44" s="1"/>
  <c r="R41" i="44"/>
  <c r="R238" i="44" s="1"/>
  <c r="R64" i="44"/>
  <c r="R261" i="44" s="1"/>
  <c r="R82" i="44"/>
  <c r="R279" i="44" s="1"/>
  <c r="R105" i="44"/>
  <c r="R302" i="44" s="1"/>
  <c r="R128" i="44"/>
  <c r="R325" i="44" s="1"/>
  <c r="R146" i="44"/>
  <c r="R343" i="44" s="1"/>
  <c r="R169" i="44"/>
  <c r="R366" i="44" s="1"/>
  <c r="R192" i="44"/>
  <c r="R389" i="44" s="1"/>
  <c r="Q20" i="44"/>
  <c r="Q217" i="44" s="1"/>
  <c r="Q29" i="44"/>
  <c r="Q226" i="44" s="1"/>
  <c r="Q38" i="44"/>
  <c r="Q235" i="44" s="1"/>
  <c r="Q47" i="44"/>
  <c r="Q244" i="44" s="1"/>
  <c r="Q55" i="44"/>
  <c r="Q63" i="44"/>
  <c r="Q260" i="44" s="1"/>
  <c r="Q71" i="44"/>
  <c r="Q268" i="44" s="1"/>
  <c r="Q79" i="44"/>
  <c r="Q276" i="44" s="1"/>
  <c r="Q87" i="44"/>
  <c r="Q284" i="44" s="1"/>
  <c r="Q95" i="44"/>
  <c r="Q292" i="44" s="1"/>
  <c r="Q103" i="44"/>
  <c r="Q300" i="44" s="1"/>
  <c r="Q111" i="44"/>
  <c r="Q308" i="44" s="1"/>
  <c r="Q119" i="44"/>
  <c r="Q316" i="44" s="1"/>
  <c r="Q127" i="44"/>
  <c r="Q324" i="44" s="1"/>
  <c r="Q135" i="44"/>
  <c r="Q332" i="44" s="1"/>
  <c r="Q143" i="44"/>
  <c r="Q340" i="44" s="1"/>
  <c r="Q151" i="44"/>
  <c r="Q348" i="44" s="1"/>
  <c r="Q159" i="44"/>
  <c r="Q356" i="44" s="1"/>
  <c r="Q167" i="44"/>
  <c r="Q364" i="44" s="1"/>
  <c r="Q175" i="44"/>
  <c r="Q183" i="44"/>
  <c r="Q191" i="44"/>
  <c r="U46" i="44"/>
  <c r="U243" i="44" s="1"/>
  <c r="U193" i="44"/>
  <c r="U390" i="44" s="1"/>
  <c r="T84" i="44"/>
  <c r="T281" i="44" s="1"/>
  <c r="T157" i="44"/>
  <c r="T354" i="44" s="1"/>
  <c r="S31" i="44"/>
  <c r="S228" i="44" s="1"/>
  <c r="S109" i="44"/>
  <c r="S306" i="44" s="1"/>
  <c r="S171" i="44"/>
  <c r="S368" i="44" s="1"/>
  <c r="R25" i="44"/>
  <c r="R222" i="44" s="1"/>
  <c r="R88" i="44"/>
  <c r="R285" i="44" s="1"/>
  <c r="R136" i="44"/>
  <c r="R333" i="44" s="1"/>
  <c r="R194" i="44"/>
  <c r="Q30" i="44"/>
  <c r="Q227" i="44" s="1"/>
  <c r="Q50" i="44"/>
  <c r="Q247" i="44" s="1"/>
  <c r="Q73" i="44"/>
  <c r="Q270" i="44" s="1"/>
  <c r="Q96" i="44"/>
  <c r="Q293" i="44" s="1"/>
  <c r="Q114" i="44"/>
  <c r="Q311" i="44" s="1"/>
  <c r="Q137" i="44"/>
  <c r="Q334" i="44" s="1"/>
  <c r="Q160" i="44"/>
  <c r="Q357" i="44" s="1"/>
  <c r="Q178" i="44"/>
  <c r="Q195" i="44"/>
  <c r="Q392" i="44" s="1"/>
  <c r="I219" i="44"/>
  <c r="L4" i="44"/>
  <c r="L201" i="44" s="1"/>
  <c r="L12" i="44"/>
  <c r="L209" i="44" s="1"/>
  <c r="L20" i="44"/>
  <c r="L217" i="44" s="1"/>
  <c r="L28" i="44"/>
  <c r="L225" i="44" s="1"/>
  <c r="L36" i="44"/>
  <c r="L233" i="44" s="1"/>
  <c r="L44" i="44"/>
  <c r="L241" i="44" s="1"/>
  <c r="L52" i="44"/>
  <c r="L249" i="44" s="1"/>
  <c r="L60" i="44"/>
  <c r="L68" i="44"/>
  <c r="L76" i="44"/>
  <c r="L273" i="44" s="1"/>
  <c r="L84" i="44"/>
  <c r="L281" i="44" s="1"/>
  <c r="L92" i="44"/>
  <c r="L289" i="44" s="1"/>
  <c r="L100" i="44"/>
  <c r="L297" i="44" s="1"/>
  <c r="L108" i="44"/>
  <c r="L305" i="44" s="1"/>
  <c r="L116" i="44"/>
  <c r="L313" i="44" s="1"/>
  <c r="L124" i="44"/>
  <c r="L321" i="44" s="1"/>
  <c r="L132" i="44"/>
  <c r="L329" i="44" s="1"/>
  <c r="L140" i="44"/>
  <c r="L337" i="44" s="1"/>
  <c r="L148" i="44"/>
  <c r="L345" i="44" s="1"/>
  <c r="L156" i="44"/>
  <c r="L353" i="44" s="1"/>
  <c r="L164" i="44"/>
  <c r="L361" i="44" s="1"/>
  <c r="L172" i="44"/>
  <c r="L369" i="44" s="1"/>
  <c r="L180" i="44"/>
  <c r="L188" i="44"/>
  <c r="K6" i="44"/>
  <c r="K203" i="44" s="1"/>
  <c r="K14" i="44"/>
  <c r="K211" i="44" s="1"/>
  <c r="K22" i="44"/>
  <c r="K219" i="44" s="1"/>
  <c r="K30" i="44"/>
  <c r="K227" i="44" s="1"/>
  <c r="K38" i="44"/>
  <c r="K235" i="44" s="1"/>
  <c r="K46" i="44"/>
  <c r="K243" i="44" s="1"/>
  <c r="K54" i="44"/>
  <c r="K251" i="44" s="1"/>
  <c r="K62" i="44"/>
  <c r="K70" i="44"/>
  <c r="K78" i="44"/>
  <c r="K275" i="44" s="1"/>
  <c r="K86" i="44"/>
  <c r="K283" i="44" s="1"/>
  <c r="K94" i="44"/>
  <c r="K291" i="44" s="1"/>
  <c r="K102" i="44"/>
  <c r="K299" i="44" s="1"/>
  <c r="K110" i="44"/>
  <c r="K307" i="44" s="1"/>
  <c r="K118" i="44"/>
  <c r="K315" i="44" s="1"/>
  <c r="K126" i="44"/>
  <c r="K323" i="44" s="1"/>
  <c r="K134" i="44"/>
  <c r="K331" i="44" s="1"/>
  <c r="K142" i="44"/>
  <c r="K339" i="44" s="1"/>
  <c r="K150" i="44"/>
  <c r="K347" i="44" s="1"/>
  <c r="K158" i="44"/>
  <c r="K355" i="44" s="1"/>
  <c r="K166" i="44"/>
  <c r="K363" i="44" s="1"/>
  <c r="K174" i="44"/>
  <c r="K371" i="44" s="1"/>
  <c r="K182" i="44"/>
  <c r="K190" i="44"/>
  <c r="H10" i="44"/>
  <c r="H18" i="44"/>
  <c r="H26" i="44"/>
  <c r="H34" i="44"/>
  <c r="H42" i="44"/>
  <c r="H50" i="44"/>
  <c r="H58" i="44"/>
  <c r="H66" i="44"/>
  <c r="H74" i="44"/>
  <c r="H82" i="44"/>
  <c r="H90" i="44"/>
  <c r="H98" i="44"/>
  <c r="H106" i="44"/>
  <c r="H114" i="44"/>
  <c r="H122" i="44"/>
  <c r="H130" i="44"/>
  <c r="H138" i="44"/>
  <c r="H146" i="44"/>
  <c r="H154" i="44"/>
  <c r="U96" i="44"/>
  <c r="U293" i="44" s="1"/>
  <c r="T87" i="44"/>
  <c r="T284" i="44" s="1"/>
  <c r="T182" i="44"/>
  <c r="T379" i="44" s="1"/>
  <c r="S32" i="44"/>
  <c r="S229" i="44" s="1"/>
  <c r="S117" i="44"/>
  <c r="S314" i="44" s="1"/>
  <c r="S190" i="44"/>
  <c r="R26" i="44"/>
  <c r="R223" i="44" s="1"/>
  <c r="R89" i="44"/>
  <c r="R286" i="44" s="1"/>
  <c r="R152" i="44"/>
  <c r="R349" i="44" s="1"/>
  <c r="Q31" i="44"/>
  <c r="Q228" i="44" s="1"/>
  <c r="Q56" i="44"/>
  <c r="Q253" i="44" s="1"/>
  <c r="Q74" i="44"/>
  <c r="Q271" i="44" s="1"/>
  <c r="Q97" i="44"/>
  <c r="Q294" i="44" s="1"/>
  <c r="Q120" i="44"/>
  <c r="Q317" i="44" s="1"/>
  <c r="Q138" i="44"/>
  <c r="Q335" i="44" s="1"/>
  <c r="Q161" i="44"/>
  <c r="Q358" i="44" s="1"/>
  <c r="Q184" i="44"/>
  <c r="L5" i="44"/>
  <c r="L202" i="44" s="1"/>
  <c r="L13" i="44"/>
  <c r="L210" i="44" s="1"/>
  <c r="L21" i="44"/>
  <c r="L218" i="44" s="1"/>
  <c r="L29" i="44"/>
  <c r="L226" i="44" s="1"/>
  <c r="L37" i="44"/>
  <c r="L234" i="44" s="1"/>
  <c r="L45" i="44"/>
  <c r="L242" i="44" s="1"/>
  <c r="L53" i="44"/>
  <c r="L250" i="44" s="1"/>
  <c r="L61" i="44"/>
  <c r="L69" i="44"/>
  <c r="L77" i="44"/>
  <c r="L274" i="44" s="1"/>
  <c r="L85" i="44"/>
  <c r="L282" i="44" s="1"/>
  <c r="L93" i="44"/>
  <c r="L290" i="44" s="1"/>
  <c r="L101" i="44"/>
  <c r="L298" i="44" s="1"/>
  <c r="L109" i="44"/>
  <c r="L306" i="44" s="1"/>
  <c r="L117" i="44"/>
  <c r="L314" i="44" s="1"/>
  <c r="L125" i="44"/>
  <c r="L322" i="44" s="1"/>
  <c r="L133" i="44"/>
  <c r="L330" i="44" s="1"/>
  <c r="L141" i="44"/>
  <c r="L338" i="44" s="1"/>
  <c r="L149" i="44"/>
  <c r="L346" i="44" s="1"/>
  <c r="L157" i="44"/>
  <c r="L354" i="44" s="1"/>
  <c r="L165" i="44"/>
  <c r="L362" i="44" s="1"/>
  <c r="L173" i="44"/>
  <c r="L370" i="44" s="1"/>
  <c r="L181" i="44"/>
  <c r="L189" i="44"/>
  <c r="K7" i="44"/>
  <c r="K204" i="44" s="1"/>
  <c r="K15" i="44"/>
  <c r="K212" i="44" s="1"/>
  <c r="K23" i="44"/>
  <c r="K220" i="44" s="1"/>
  <c r="K31" i="44"/>
  <c r="K228" i="44" s="1"/>
  <c r="K39" i="44"/>
  <c r="K236" i="44" s="1"/>
  <c r="K47" i="44"/>
  <c r="K244" i="44" s="1"/>
  <c r="K55" i="44"/>
  <c r="K252" i="44" s="1"/>
  <c r="K63" i="44"/>
  <c r="K71" i="44"/>
  <c r="K79" i="44"/>
  <c r="K276" i="44" s="1"/>
  <c r="K87" i="44"/>
  <c r="K284" i="44" s="1"/>
  <c r="K95" i="44"/>
  <c r="K292" i="44" s="1"/>
  <c r="K103" i="44"/>
  <c r="K300" i="44" s="1"/>
  <c r="K111" i="44"/>
  <c r="K308" i="44" s="1"/>
  <c r="K119" i="44"/>
  <c r="K316" i="44" s="1"/>
  <c r="K127" i="44"/>
  <c r="K324" i="44" s="1"/>
  <c r="K135" i="44"/>
  <c r="K332" i="44" s="1"/>
  <c r="K143" i="44"/>
  <c r="K340" i="44" s="1"/>
  <c r="K151" i="44"/>
  <c r="K348" i="44" s="1"/>
  <c r="K159" i="44"/>
  <c r="K356" i="44" s="1"/>
  <c r="K167" i="44"/>
  <c r="K364" i="44" s="1"/>
  <c r="K175" i="44"/>
  <c r="K372" i="44" s="1"/>
  <c r="K183" i="44"/>
  <c r="K191" i="44"/>
  <c r="H11" i="44"/>
  <c r="H19" i="44"/>
  <c r="H27" i="44"/>
  <c r="H35" i="44"/>
  <c r="H43" i="44"/>
  <c r="H51" i="44"/>
  <c r="H59" i="44"/>
  <c r="H67" i="44"/>
  <c r="H75" i="44"/>
  <c r="H83" i="44"/>
  <c r="H91" i="44"/>
  <c r="H99" i="44"/>
  <c r="H107" i="44"/>
  <c r="H115" i="44"/>
  <c r="U102" i="44"/>
  <c r="U299" i="44" s="1"/>
  <c r="T17" i="44"/>
  <c r="T214" i="44" s="1"/>
  <c r="T96" i="44"/>
  <c r="T293" i="44" s="1"/>
  <c r="T183" i="44"/>
  <c r="T380" i="44" s="1"/>
  <c r="S54" i="44"/>
  <c r="S251" i="44" s="1"/>
  <c r="S118" i="44"/>
  <c r="S315" i="44" s="1"/>
  <c r="R42" i="44"/>
  <c r="R239" i="44" s="1"/>
  <c r="R90" i="44"/>
  <c r="R287" i="44" s="1"/>
  <c r="R153" i="44"/>
  <c r="R350" i="44" s="1"/>
  <c r="Q5" i="44"/>
  <c r="Q202" i="44" s="1"/>
  <c r="Q32" i="44"/>
  <c r="Q229" i="44" s="1"/>
  <c r="Q57" i="44"/>
  <c r="Q80" i="44"/>
  <c r="Q277" i="44" s="1"/>
  <c r="Q98" i="44"/>
  <c r="Q295" i="44" s="1"/>
  <c r="Q121" i="44"/>
  <c r="Q318" i="44" s="1"/>
  <c r="Q144" i="44"/>
  <c r="Q341" i="44" s="1"/>
  <c r="Q162" i="44"/>
  <c r="Q359" i="44" s="1"/>
  <c r="Q185" i="44"/>
  <c r="I346" i="44"/>
  <c r="L6" i="44"/>
  <c r="L203" i="44" s="1"/>
  <c r="L14" i="44"/>
  <c r="L211" i="44" s="1"/>
  <c r="L22" i="44"/>
  <c r="L219" i="44" s="1"/>
  <c r="L30" i="44"/>
  <c r="L227" i="44" s="1"/>
  <c r="L38" i="44"/>
  <c r="L235" i="44" s="1"/>
  <c r="L46" i="44"/>
  <c r="L243" i="44" s="1"/>
  <c r="L54" i="44"/>
  <c r="L251" i="44" s="1"/>
  <c r="L62" i="44"/>
  <c r="L259" i="44" s="1"/>
  <c r="L70" i="44"/>
  <c r="L267" i="44" s="1"/>
  <c r="L78" i="44"/>
  <c r="L275" i="44" s="1"/>
  <c r="L86" i="44"/>
  <c r="L283" i="44" s="1"/>
  <c r="L94" i="44"/>
  <c r="L291" i="44" s="1"/>
  <c r="L102" i="44"/>
  <c r="L299" i="44" s="1"/>
  <c r="L110" i="44"/>
  <c r="L307" i="44" s="1"/>
  <c r="L118" i="44"/>
  <c r="L315" i="44" s="1"/>
  <c r="L126" i="44"/>
  <c r="L323" i="44" s="1"/>
  <c r="L134" i="44"/>
  <c r="L331" i="44" s="1"/>
  <c r="L142" i="44"/>
  <c r="L339" i="44" s="1"/>
  <c r="L150" i="44"/>
  <c r="L347" i="44" s="1"/>
  <c r="L158" i="44"/>
  <c r="L355" i="44" s="1"/>
  <c r="L166" i="44"/>
  <c r="L363" i="44" s="1"/>
  <c r="L174" i="44"/>
  <c r="L371" i="44" s="1"/>
  <c r="L182" i="44"/>
  <c r="L190" i="44"/>
  <c r="K8" i="44"/>
  <c r="K205" i="44" s="1"/>
  <c r="K16" i="44"/>
  <c r="K213" i="44" s="1"/>
  <c r="K24" i="44"/>
  <c r="K221" i="44" s="1"/>
  <c r="K32" i="44"/>
  <c r="K229" i="44" s="1"/>
  <c r="K40" i="44"/>
  <c r="K237" i="44" s="1"/>
  <c r="K48" i="44"/>
  <c r="K245" i="44" s="1"/>
  <c r="K56" i="44"/>
  <c r="K253" i="44" s="1"/>
  <c r="K64" i="44"/>
  <c r="K261" i="44" s="1"/>
  <c r="K72" i="44"/>
  <c r="K269" i="44" s="1"/>
  <c r="K80" i="44"/>
  <c r="K277" i="44" s="1"/>
  <c r="K88" i="44"/>
  <c r="K285" i="44" s="1"/>
  <c r="K96" i="44"/>
  <c r="K293" i="44" s="1"/>
  <c r="K104" i="44"/>
  <c r="K301" i="44" s="1"/>
  <c r="K112" i="44"/>
  <c r="K309" i="44" s="1"/>
  <c r="K120" i="44"/>
  <c r="K317" i="44" s="1"/>
  <c r="K128" i="44"/>
  <c r="K325" i="44" s="1"/>
  <c r="K136" i="44"/>
  <c r="K333" i="44" s="1"/>
  <c r="K144" i="44"/>
  <c r="K341" i="44" s="1"/>
  <c r="K152" i="44"/>
  <c r="K349" i="44" s="1"/>
  <c r="K160" i="44"/>
  <c r="K357" i="44" s="1"/>
  <c r="K168" i="44"/>
  <c r="K365" i="44" s="1"/>
  <c r="K176" i="44"/>
  <c r="K373" i="44" s="1"/>
  <c r="K184" i="44"/>
  <c r="K192" i="44"/>
  <c r="H4" i="44"/>
  <c r="H12" i="44"/>
  <c r="H20" i="44"/>
  <c r="H28" i="44"/>
  <c r="H36" i="44"/>
  <c r="H44" i="44"/>
  <c r="H52" i="44"/>
  <c r="H60" i="44"/>
  <c r="H68" i="44"/>
  <c r="H76" i="44"/>
  <c r="H84" i="44"/>
  <c r="H92" i="44"/>
  <c r="H100" i="44"/>
  <c r="H108" i="44"/>
  <c r="H116" i="44"/>
  <c r="H124" i="44"/>
  <c r="H132" i="44"/>
  <c r="H140" i="44"/>
  <c r="H148" i="44"/>
  <c r="H156" i="44"/>
  <c r="H164" i="44"/>
  <c r="H172" i="44"/>
  <c r="H180" i="44"/>
  <c r="H188" i="44"/>
  <c r="V124" i="44"/>
  <c r="V321" i="44" s="1"/>
  <c r="U104" i="44"/>
  <c r="U301" i="44" s="1"/>
  <c r="T18" i="44"/>
  <c r="T215" i="44" s="1"/>
  <c r="T119" i="44"/>
  <c r="T316" i="44" s="1"/>
  <c r="T192" i="44"/>
  <c r="S55" i="44"/>
  <c r="S252" i="44" s="1"/>
  <c r="S138" i="44"/>
  <c r="S335" i="44" s="1"/>
  <c r="R48" i="44"/>
  <c r="R245" i="44" s="1"/>
  <c r="R106" i="44"/>
  <c r="R303" i="44" s="1"/>
  <c r="R154" i="44"/>
  <c r="R351" i="44" s="1"/>
  <c r="Q6" i="44"/>
  <c r="Q203" i="44" s="1"/>
  <c r="Q39" i="44"/>
  <c r="Q236" i="44" s="1"/>
  <c r="Q58" i="44"/>
  <c r="Q255" i="44" s="1"/>
  <c r="Q81" i="44"/>
  <c r="Q278" i="44" s="1"/>
  <c r="Q104" i="44"/>
  <c r="Q301" i="44" s="1"/>
  <c r="Q122" i="44"/>
  <c r="Q319" i="44" s="1"/>
  <c r="Q145" i="44"/>
  <c r="Q342" i="44" s="1"/>
  <c r="Q168" i="44"/>
  <c r="Q365" i="44" s="1"/>
  <c r="Q186" i="44"/>
  <c r="Q383" i="44" s="1"/>
  <c r="I282" i="44"/>
  <c r="I383" i="44"/>
  <c r="L7" i="44"/>
  <c r="L204" i="44" s="1"/>
  <c r="L15" i="44"/>
  <c r="L212" i="44" s="1"/>
  <c r="L23" i="44"/>
  <c r="L220" i="44" s="1"/>
  <c r="L31" i="44"/>
  <c r="L228" i="44" s="1"/>
  <c r="L39" i="44"/>
  <c r="L236" i="44" s="1"/>
  <c r="L47" i="44"/>
  <c r="L244" i="44" s="1"/>
  <c r="L55" i="44"/>
  <c r="L252" i="44" s="1"/>
  <c r="L63" i="44"/>
  <c r="L71" i="44"/>
  <c r="L268" i="44" s="1"/>
  <c r="L79" i="44"/>
  <c r="L276" i="44" s="1"/>
  <c r="L87" i="44"/>
  <c r="L284" i="44" s="1"/>
  <c r="L95" i="44"/>
  <c r="L292" i="44" s="1"/>
  <c r="L103" i="44"/>
  <c r="L300" i="44" s="1"/>
  <c r="L111" i="44"/>
  <c r="L308" i="44" s="1"/>
  <c r="L119" i="44"/>
  <c r="L316" i="44" s="1"/>
  <c r="L127" i="44"/>
  <c r="L324" i="44" s="1"/>
  <c r="L135" i="44"/>
  <c r="L332" i="44" s="1"/>
  <c r="L143" i="44"/>
  <c r="L340" i="44" s="1"/>
  <c r="L151" i="44"/>
  <c r="L348" i="44" s="1"/>
  <c r="L159" i="44"/>
  <c r="L356" i="44" s="1"/>
  <c r="L167" i="44"/>
  <c r="L364" i="44" s="1"/>
  <c r="L175" i="44"/>
  <c r="L372" i="44" s="1"/>
  <c r="L183" i="44"/>
  <c r="L380" i="44" s="1"/>
  <c r="L191" i="44"/>
  <c r="L388" i="44" s="1"/>
  <c r="K9" i="44"/>
  <c r="K206" i="44" s="1"/>
  <c r="K17" i="44"/>
  <c r="K214" i="44" s="1"/>
  <c r="K25" i="44"/>
  <c r="K222" i="44" s="1"/>
  <c r="K33" i="44"/>
  <c r="K230" i="44" s="1"/>
  <c r="K41" i="44"/>
  <c r="K238" i="44" s="1"/>
  <c r="K49" i="44"/>
  <c r="K246" i="44" s="1"/>
  <c r="K57" i="44"/>
  <c r="K254" i="44" s="1"/>
  <c r="K65" i="44"/>
  <c r="K73" i="44"/>
  <c r="K270" i="44" s="1"/>
  <c r="K81" i="44"/>
  <c r="K278" i="44" s="1"/>
  <c r="K89" i="44"/>
  <c r="K286" i="44" s="1"/>
  <c r="K97" i="44"/>
  <c r="K294" i="44" s="1"/>
  <c r="K105" i="44"/>
  <c r="K302" i="44" s="1"/>
  <c r="K113" i="44"/>
  <c r="K310" i="44" s="1"/>
  <c r="K121" i="44"/>
  <c r="K318" i="44" s="1"/>
  <c r="K129" i="44"/>
  <c r="K326" i="44" s="1"/>
  <c r="K137" i="44"/>
  <c r="K334" i="44" s="1"/>
  <c r="K145" i="44"/>
  <c r="K342" i="44" s="1"/>
  <c r="K153" i="44"/>
  <c r="K350" i="44" s="1"/>
  <c r="K161" i="44"/>
  <c r="K358" i="44" s="1"/>
  <c r="K169" i="44"/>
  <c r="K366" i="44" s="1"/>
  <c r="K177" i="44"/>
  <c r="K374" i="44" s="1"/>
  <c r="K185" i="44"/>
  <c r="K382" i="44" s="1"/>
  <c r="K193" i="44"/>
  <c r="K390" i="44" s="1"/>
  <c r="H5" i="44"/>
  <c r="H13" i="44"/>
  <c r="W27" i="44"/>
  <c r="V162" i="44"/>
  <c r="V359" i="44" s="1"/>
  <c r="U141" i="44"/>
  <c r="U338" i="44" s="1"/>
  <c r="T20" i="44"/>
  <c r="T217" i="44" s="1"/>
  <c r="T120" i="44"/>
  <c r="T317" i="44" s="1"/>
  <c r="S63" i="44"/>
  <c r="S141" i="44"/>
  <c r="S338" i="44" s="1"/>
  <c r="R49" i="44"/>
  <c r="R246" i="44" s="1"/>
  <c r="R112" i="44"/>
  <c r="R309" i="44" s="1"/>
  <c r="R170" i="44"/>
  <c r="R367" i="44" s="1"/>
  <c r="Q7" i="44"/>
  <c r="Q204" i="44" s="1"/>
  <c r="Q40" i="44"/>
  <c r="Q237" i="44" s="1"/>
  <c r="Q64" i="44"/>
  <c r="Q82" i="44"/>
  <c r="Q279" i="44" s="1"/>
  <c r="Q105" i="44"/>
  <c r="Q302" i="44" s="1"/>
  <c r="Q128" i="44"/>
  <c r="Q325" i="44" s="1"/>
  <c r="Q146" i="44"/>
  <c r="Q343" i="44" s="1"/>
  <c r="Q169" i="44"/>
  <c r="Q366" i="44" s="1"/>
  <c r="Q187" i="44"/>
  <c r="I306" i="44"/>
  <c r="U27" i="44"/>
  <c r="U224" i="44" s="1"/>
  <c r="T124" i="44"/>
  <c r="T321" i="44" s="1"/>
  <c r="S87" i="44"/>
  <c r="S284" i="44" s="1"/>
  <c r="R66" i="44"/>
  <c r="Q21" i="44"/>
  <c r="Q218" i="44" s="1"/>
  <c r="Q72" i="44"/>
  <c r="Q269" i="44" s="1"/>
  <c r="Q130" i="44"/>
  <c r="Q327" i="44" s="1"/>
  <c r="Q192" i="44"/>
  <c r="J299" i="44"/>
  <c r="L19" i="44"/>
  <c r="L216" i="44" s="1"/>
  <c r="L35" i="44"/>
  <c r="L232" i="44" s="1"/>
  <c r="L51" i="44"/>
  <c r="L248" i="44" s="1"/>
  <c r="L67" i="44"/>
  <c r="L264" i="44" s="1"/>
  <c r="L83" i="44"/>
  <c r="L280" i="44" s="1"/>
  <c r="L99" i="44"/>
  <c r="L296" i="44" s="1"/>
  <c r="L115" i="44"/>
  <c r="L312" i="44" s="1"/>
  <c r="L131" i="44"/>
  <c r="L328" i="44" s="1"/>
  <c r="L147" i="44"/>
  <c r="L344" i="44" s="1"/>
  <c r="L163" i="44"/>
  <c r="L360" i="44" s="1"/>
  <c r="L179" i="44"/>
  <c r="L195" i="44"/>
  <c r="K13" i="44"/>
  <c r="K210" i="44" s="1"/>
  <c r="K29" i="44"/>
  <c r="K226" i="44" s="1"/>
  <c r="K45" i="44"/>
  <c r="K242" i="44" s="1"/>
  <c r="K61" i="44"/>
  <c r="K258" i="44" s="1"/>
  <c r="K77" i="44"/>
  <c r="K274" i="44" s="1"/>
  <c r="K93" i="44"/>
  <c r="K290" i="44" s="1"/>
  <c r="K109" i="44"/>
  <c r="K306" i="44" s="1"/>
  <c r="K125" i="44"/>
  <c r="K322" i="44" s="1"/>
  <c r="K141" i="44"/>
  <c r="K338" i="44" s="1"/>
  <c r="K157" i="44"/>
  <c r="K354" i="44" s="1"/>
  <c r="K173" i="44"/>
  <c r="K189" i="44"/>
  <c r="H17" i="44"/>
  <c r="H31" i="44"/>
  <c r="H45" i="44"/>
  <c r="H56" i="44"/>
  <c r="H70" i="44"/>
  <c r="H81" i="44"/>
  <c r="H95" i="44"/>
  <c r="H109" i="44"/>
  <c r="H120" i="44"/>
  <c r="H131" i="44"/>
  <c r="H142" i="44"/>
  <c r="H152" i="44"/>
  <c r="H162" i="44"/>
  <c r="H171" i="44"/>
  <c r="H181" i="44"/>
  <c r="H190" i="44"/>
  <c r="F9" i="44"/>
  <c r="F206" i="44" s="1"/>
  <c r="F17" i="44"/>
  <c r="F214" i="44" s="1"/>
  <c r="F25" i="44"/>
  <c r="F222" i="44" s="1"/>
  <c r="F33" i="44"/>
  <c r="F230" i="44" s="1"/>
  <c r="F41" i="44"/>
  <c r="F238" i="44" s="1"/>
  <c r="F49" i="44"/>
  <c r="F246" i="44" s="1"/>
  <c r="F57" i="44"/>
  <c r="F254" i="44" s="1"/>
  <c r="F65" i="44"/>
  <c r="F262" i="44" s="1"/>
  <c r="F73" i="44"/>
  <c r="F81" i="44"/>
  <c r="F278" i="44" s="1"/>
  <c r="F89" i="44"/>
  <c r="F286" i="44" s="1"/>
  <c r="F97" i="44"/>
  <c r="F294" i="44" s="1"/>
  <c r="F105" i="44"/>
  <c r="F302" i="44" s="1"/>
  <c r="F113" i="44"/>
  <c r="F310" i="44" s="1"/>
  <c r="F121" i="44"/>
  <c r="F318" i="44" s="1"/>
  <c r="F129" i="44"/>
  <c r="F326" i="44" s="1"/>
  <c r="F137" i="44"/>
  <c r="F334" i="44" s="1"/>
  <c r="F145" i="44"/>
  <c r="F342" i="44" s="1"/>
  <c r="F153" i="44"/>
  <c r="F350" i="44" s="1"/>
  <c r="F161" i="44"/>
  <c r="F358" i="44" s="1"/>
  <c r="F169" i="44"/>
  <c r="F366" i="44" s="1"/>
  <c r="F177" i="44"/>
  <c r="F185" i="44"/>
  <c r="F382" i="44" s="1"/>
  <c r="F193" i="44"/>
  <c r="F390" i="44" s="1"/>
  <c r="E9" i="44"/>
  <c r="E206" i="44" s="1"/>
  <c r="E17" i="44"/>
  <c r="E214" i="44" s="1"/>
  <c r="E25" i="44"/>
  <c r="E222" i="44" s="1"/>
  <c r="E33" i="44"/>
  <c r="E230" i="44" s="1"/>
  <c r="E41" i="44"/>
  <c r="E238" i="44" s="1"/>
  <c r="E49" i="44"/>
  <c r="E246" i="44" s="1"/>
  <c r="E57" i="44"/>
  <c r="E254" i="44" s="1"/>
  <c r="E65" i="44"/>
  <c r="E262" i="44" s="1"/>
  <c r="E73" i="44"/>
  <c r="E81" i="44"/>
  <c r="E278" i="44" s="1"/>
  <c r="E89" i="44"/>
  <c r="E286" i="44" s="1"/>
  <c r="E97" i="44"/>
  <c r="E294" i="44" s="1"/>
  <c r="E105" i="44"/>
  <c r="E302" i="44" s="1"/>
  <c r="E113" i="44"/>
  <c r="E310" i="44" s="1"/>
  <c r="E121" i="44"/>
  <c r="E318" i="44" s="1"/>
  <c r="E129" i="44"/>
  <c r="E326" i="44" s="1"/>
  <c r="E137" i="44"/>
  <c r="E334" i="44" s="1"/>
  <c r="E145" i="44"/>
  <c r="E342" i="44" s="1"/>
  <c r="E153" i="44"/>
  <c r="E350" i="44" s="1"/>
  <c r="E161" i="44"/>
  <c r="E358" i="44" s="1"/>
  <c r="U28" i="44"/>
  <c r="U225" i="44" s="1"/>
  <c r="T146" i="44"/>
  <c r="T343" i="44" s="1"/>
  <c r="S149" i="44"/>
  <c r="S346" i="44" s="1"/>
  <c r="R72" i="44"/>
  <c r="R269" i="44" s="1"/>
  <c r="Q22" i="44"/>
  <c r="Q219" i="44" s="1"/>
  <c r="Q88" i="44"/>
  <c r="Q285" i="44" s="1"/>
  <c r="Q136" i="44"/>
  <c r="Q333" i="44" s="1"/>
  <c r="Q193" i="44"/>
  <c r="I261" i="44"/>
  <c r="I333" i="44"/>
  <c r="I362" i="44"/>
  <c r="L8" i="44"/>
  <c r="L205" i="44" s="1"/>
  <c r="L24" i="44"/>
  <c r="L221" i="44" s="1"/>
  <c r="L40" i="44"/>
  <c r="L237" i="44" s="1"/>
  <c r="L56" i="44"/>
  <c r="L253" i="44" s="1"/>
  <c r="L72" i="44"/>
  <c r="L269" i="44" s="1"/>
  <c r="L88" i="44"/>
  <c r="L285" i="44" s="1"/>
  <c r="L104" i="44"/>
  <c r="L301" i="44" s="1"/>
  <c r="L120" i="44"/>
  <c r="L317" i="44" s="1"/>
  <c r="L136" i="44"/>
  <c r="L333" i="44" s="1"/>
  <c r="L152" i="44"/>
  <c r="L349" i="44" s="1"/>
  <c r="L168" i="44"/>
  <c r="L365" i="44" s="1"/>
  <c r="L184" i="44"/>
  <c r="K18" i="44"/>
  <c r="K215" i="44" s="1"/>
  <c r="K34" i="44"/>
  <c r="K231" i="44" s="1"/>
  <c r="K50" i="44"/>
  <c r="K247" i="44" s="1"/>
  <c r="K66" i="44"/>
  <c r="K263" i="44" s="1"/>
  <c r="K82" i="44"/>
  <c r="K279" i="44" s="1"/>
  <c r="K98" i="44"/>
  <c r="K295" i="44" s="1"/>
  <c r="K114" i="44"/>
  <c r="K311" i="44" s="1"/>
  <c r="K130" i="44"/>
  <c r="K327" i="44" s="1"/>
  <c r="K146" i="44"/>
  <c r="K343" i="44" s="1"/>
  <c r="K162" i="44"/>
  <c r="K359" i="44" s="1"/>
  <c r="K178" i="44"/>
  <c r="K194" i="44"/>
  <c r="H6" i="44"/>
  <c r="H21" i="44"/>
  <c r="H32" i="44"/>
  <c r="H46" i="44"/>
  <c r="H57" i="44"/>
  <c r="H71" i="44"/>
  <c r="H85" i="44"/>
  <c r="H96" i="44"/>
  <c r="H110" i="44"/>
  <c r="H121" i="44"/>
  <c r="H133" i="44"/>
  <c r="H143" i="44"/>
  <c r="H153" i="44"/>
  <c r="H163" i="44"/>
  <c r="H173" i="44"/>
  <c r="H182" i="44"/>
  <c r="H191" i="44"/>
  <c r="F10" i="44"/>
  <c r="F207" i="44" s="1"/>
  <c r="F18" i="44"/>
  <c r="F215" i="44" s="1"/>
  <c r="F26" i="44"/>
  <c r="F223" i="44" s="1"/>
  <c r="F34" i="44"/>
  <c r="F231" i="44" s="1"/>
  <c r="F42" i="44"/>
  <c r="F239" i="44" s="1"/>
  <c r="F50" i="44"/>
  <c r="F247" i="44" s="1"/>
  <c r="F58" i="44"/>
  <c r="F255" i="44" s="1"/>
  <c r="F66" i="44"/>
  <c r="F263" i="44" s="1"/>
  <c r="F74" i="44"/>
  <c r="F82" i="44"/>
  <c r="F279" i="44" s="1"/>
  <c r="F90" i="44"/>
  <c r="F287" i="44" s="1"/>
  <c r="F98" i="44"/>
  <c r="F295" i="44" s="1"/>
  <c r="F106" i="44"/>
  <c r="F303" i="44" s="1"/>
  <c r="F114" i="44"/>
  <c r="F311" i="44" s="1"/>
  <c r="F122" i="44"/>
  <c r="F319" i="44" s="1"/>
  <c r="F130" i="44"/>
  <c r="F327" i="44" s="1"/>
  <c r="F138" i="44"/>
  <c r="F335" i="44" s="1"/>
  <c r="F146" i="44"/>
  <c r="F343" i="44" s="1"/>
  <c r="F154" i="44"/>
  <c r="F351" i="44" s="1"/>
  <c r="F162" i="44"/>
  <c r="F359" i="44" s="1"/>
  <c r="F170" i="44"/>
  <c r="F367" i="44" s="1"/>
  <c r="F178" i="44"/>
  <c r="F186" i="44"/>
  <c r="F383" i="44" s="1"/>
  <c r="F194" i="44"/>
  <c r="F391" i="44" s="1"/>
  <c r="E10" i="44"/>
  <c r="E207" i="44" s="1"/>
  <c r="E18" i="44"/>
  <c r="E215" i="44" s="1"/>
  <c r="E26" i="44"/>
  <c r="E223" i="44" s="1"/>
  <c r="E34" i="44"/>
  <c r="E231" i="44" s="1"/>
  <c r="E42" i="44"/>
  <c r="E239" i="44" s="1"/>
  <c r="E50" i="44"/>
  <c r="E247" i="44" s="1"/>
  <c r="E58" i="44"/>
  <c r="E255" i="44" s="1"/>
  <c r="E66" i="44"/>
  <c r="E263" i="44" s="1"/>
  <c r="E74" i="44"/>
  <c r="E82" i="44"/>
  <c r="E279" i="44" s="1"/>
  <c r="E90" i="44"/>
  <c r="E287" i="44" s="1"/>
  <c r="E98" i="44"/>
  <c r="E295" i="44" s="1"/>
  <c r="E106" i="44"/>
  <c r="E303" i="44" s="1"/>
  <c r="E114" i="44"/>
  <c r="E311" i="44" s="1"/>
  <c r="E122" i="44"/>
  <c r="E319" i="44" s="1"/>
  <c r="E130" i="44"/>
  <c r="E327" i="44" s="1"/>
  <c r="E138" i="44"/>
  <c r="E335" i="44" s="1"/>
  <c r="E146" i="44"/>
  <c r="E343" i="44" s="1"/>
  <c r="E154" i="44"/>
  <c r="E351" i="44" s="1"/>
  <c r="E162" i="44"/>
  <c r="E359" i="44" s="1"/>
  <c r="E170" i="44"/>
  <c r="E367" i="44" s="1"/>
  <c r="E178" i="44"/>
  <c r="E186" i="44"/>
  <c r="E383" i="44" s="1"/>
  <c r="E194" i="44"/>
  <c r="E391" i="44" s="1"/>
  <c r="U152" i="44"/>
  <c r="U349" i="44" s="1"/>
  <c r="T156" i="44"/>
  <c r="T353" i="44" s="1"/>
  <c r="S169" i="44"/>
  <c r="S366" i="44" s="1"/>
  <c r="R113" i="44"/>
  <c r="R310" i="44" s="1"/>
  <c r="Q23" i="44"/>
  <c r="Q220" i="44" s="1"/>
  <c r="Q89" i="44"/>
  <c r="Q286" i="44" s="1"/>
  <c r="Q152" i="44"/>
  <c r="Q349" i="44" s="1"/>
  <c r="Q194" i="44"/>
  <c r="I284" i="44"/>
  <c r="L9" i="44"/>
  <c r="L206" i="44" s="1"/>
  <c r="L25" i="44"/>
  <c r="L222" i="44" s="1"/>
  <c r="L41" i="44"/>
  <c r="L238" i="44" s="1"/>
  <c r="L57" i="44"/>
  <c r="L254" i="44" s="1"/>
  <c r="L73" i="44"/>
  <c r="L270" i="44" s="1"/>
  <c r="L89" i="44"/>
  <c r="L286" i="44" s="1"/>
  <c r="L105" i="44"/>
  <c r="L302" i="44" s="1"/>
  <c r="L121" i="44"/>
  <c r="L318" i="44" s="1"/>
  <c r="L137" i="44"/>
  <c r="L334" i="44" s="1"/>
  <c r="L153" i="44"/>
  <c r="L350" i="44" s="1"/>
  <c r="L169" i="44"/>
  <c r="L366" i="44" s="1"/>
  <c r="L185" i="44"/>
  <c r="K19" i="44"/>
  <c r="K216" i="44" s="1"/>
  <c r="K35" i="44"/>
  <c r="K232" i="44" s="1"/>
  <c r="K51" i="44"/>
  <c r="K248" i="44" s="1"/>
  <c r="K67" i="44"/>
  <c r="K264" i="44" s="1"/>
  <c r="K83" i="44"/>
  <c r="K280" i="44" s="1"/>
  <c r="K99" i="44"/>
  <c r="K296" i="44" s="1"/>
  <c r="K115" i="44"/>
  <c r="K312" i="44" s="1"/>
  <c r="K131" i="44"/>
  <c r="K328" i="44" s="1"/>
  <c r="K147" i="44"/>
  <c r="K344" i="44" s="1"/>
  <c r="K163" i="44"/>
  <c r="K360" i="44" s="1"/>
  <c r="K179" i="44"/>
  <c r="K195" i="44"/>
  <c r="H7" i="44"/>
  <c r="H22" i="44"/>
  <c r="H33" i="44"/>
  <c r="H47" i="44"/>
  <c r="H61" i="44"/>
  <c r="H72" i="44"/>
  <c r="H86" i="44"/>
  <c r="H97" i="44"/>
  <c r="H111" i="44"/>
  <c r="H123" i="44"/>
  <c r="H134" i="44"/>
  <c r="H144" i="44"/>
  <c r="H155" i="44"/>
  <c r="H165" i="44"/>
  <c r="H174" i="44"/>
  <c r="H183" i="44"/>
  <c r="H192" i="44"/>
  <c r="F11" i="44"/>
  <c r="F208" i="44" s="1"/>
  <c r="F19" i="44"/>
  <c r="F216" i="44" s="1"/>
  <c r="F27" i="44"/>
  <c r="F224" i="44" s="1"/>
  <c r="F35" i="44"/>
  <c r="F232" i="44" s="1"/>
  <c r="F43" i="44"/>
  <c r="F240" i="44" s="1"/>
  <c r="F51" i="44"/>
  <c r="F248" i="44" s="1"/>
  <c r="F59" i="44"/>
  <c r="F67" i="44"/>
  <c r="F264" i="44" s="1"/>
  <c r="F75" i="44"/>
  <c r="F272" i="44" s="1"/>
  <c r="F83" i="44"/>
  <c r="F280" i="44" s="1"/>
  <c r="F91" i="44"/>
  <c r="F288" i="44" s="1"/>
  <c r="F99" i="44"/>
  <c r="F296" i="44" s="1"/>
  <c r="F107" i="44"/>
  <c r="F304" i="44" s="1"/>
  <c r="F115" i="44"/>
  <c r="F312" i="44" s="1"/>
  <c r="F123" i="44"/>
  <c r="F320" i="44" s="1"/>
  <c r="F131" i="44"/>
  <c r="F328" i="44" s="1"/>
  <c r="F139" i="44"/>
  <c r="F336" i="44" s="1"/>
  <c r="F147" i="44"/>
  <c r="F344" i="44" s="1"/>
  <c r="F155" i="44"/>
  <c r="F352" i="44" s="1"/>
  <c r="F163" i="44"/>
  <c r="F360" i="44" s="1"/>
  <c r="F171" i="44"/>
  <c r="F368" i="44" s="1"/>
  <c r="F179" i="44"/>
  <c r="F376" i="44" s="1"/>
  <c r="F187" i="44"/>
  <c r="F384" i="44" s="1"/>
  <c r="F195" i="44"/>
  <c r="F392" i="44" s="1"/>
  <c r="E11" i="44"/>
  <c r="E208" i="44" s="1"/>
  <c r="E19" i="44"/>
  <c r="E216" i="44" s="1"/>
  <c r="E27" i="44"/>
  <c r="E224" i="44" s="1"/>
  <c r="E35" i="44"/>
  <c r="E232" i="44" s="1"/>
  <c r="E43" i="44"/>
  <c r="E240" i="44" s="1"/>
  <c r="E51" i="44"/>
  <c r="E248" i="44" s="1"/>
  <c r="E59" i="44"/>
  <c r="E67" i="44"/>
  <c r="E264" i="44" s="1"/>
  <c r="U158" i="44"/>
  <c r="U355" i="44" s="1"/>
  <c r="S170" i="44"/>
  <c r="S367" i="44" s="1"/>
  <c r="R129" i="44"/>
  <c r="R326" i="44" s="1"/>
  <c r="Q42" i="44"/>
  <c r="Q239" i="44" s="1"/>
  <c r="Q90" i="44"/>
  <c r="Q287" i="44" s="1"/>
  <c r="Q153" i="44"/>
  <c r="Q350" i="44" s="1"/>
  <c r="I246" i="44"/>
  <c r="J285" i="44"/>
  <c r="L10" i="44"/>
  <c r="L207" i="44" s="1"/>
  <c r="L26" i="44"/>
  <c r="L223" i="44" s="1"/>
  <c r="L42" i="44"/>
  <c r="L239" i="44" s="1"/>
  <c r="L58" i="44"/>
  <c r="L255" i="44" s="1"/>
  <c r="L74" i="44"/>
  <c r="L271" i="44" s="1"/>
  <c r="L90" i="44"/>
  <c r="L287" i="44" s="1"/>
  <c r="L106" i="44"/>
  <c r="L303" i="44" s="1"/>
  <c r="L122" i="44"/>
  <c r="L319" i="44" s="1"/>
  <c r="L138" i="44"/>
  <c r="L335" i="44" s="1"/>
  <c r="L154" i="44"/>
  <c r="L351" i="44" s="1"/>
  <c r="L170" i="44"/>
  <c r="L367" i="44" s="1"/>
  <c r="L186" i="44"/>
  <c r="K4" i="44"/>
  <c r="K201" i="44" s="1"/>
  <c r="K20" i="44"/>
  <c r="K217" i="44" s="1"/>
  <c r="K36" i="44"/>
  <c r="K233" i="44" s="1"/>
  <c r="K52" i="44"/>
  <c r="K249" i="44" s="1"/>
  <c r="K68" i="44"/>
  <c r="K265" i="44" s="1"/>
  <c r="K84" i="44"/>
  <c r="K281" i="44" s="1"/>
  <c r="K100" i="44"/>
  <c r="K297" i="44" s="1"/>
  <c r="K116" i="44"/>
  <c r="K313" i="44" s="1"/>
  <c r="K132" i="44"/>
  <c r="K329" i="44" s="1"/>
  <c r="K148" i="44"/>
  <c r="K345" i="44" s="1"/>
  <c r="K164" i="44"/>
  <c r="K361" i="44" s="1"/>
  <c r="K180" i="44"/>
  <c r="H8" i="44"/>
  <c r="H23" i="44"/>
  <c r="H37" i="44"/>
  <c r="H48" i="44"/>
  <c r="H62" i="44"/>
  <c r="H73" i="44"/>
  <c r="H87" i="44"/>
  <c r="H101" i="44"/>
  <c r="H112" i="44"/>
  <c r="H125" i="44"/>
  <c r="H135" i="44"/>
  <c r="H145" i="44"/>
  <c r="H157" i="44"/>
  <c r="H166" i="44"/>
  <c r="H175" i="44"/>
  <c r="H184" i="44"/>
  <c r="H193" i="44"/>
  <c r="F4" i="44"/>
  <c r="F201" i="44" s="1"/>
  <c r="F12" i="44"/>
  <c r="F209" i="44" s="1"/>
  <c r="F20" i="44"/>
  <c r="F217" i="44" s="1"/>
  <c r="F28" i="44"/>
  <c r="F225" i="44" s="1"/>
  <c r="F36" i="44"/>
  <c r="F233" i="44" s="1"/>
  <c r="F44" i="44"/>
  <c r="F241" i="44" s="1"/>
  <c r="F52" i="44"/>
  <c r="F249" i="44" s="1"/>
  <c r="F60" i="44"/>
  <c r="F257" i="44" s="1"/>
  <c r="F68" i="44"/>
  <c r="F265" i="44" s="1"/>
  <c r="F76" i="44"/>
  <c r="F273" i="44" s="1"/>
  <c r="F84" i="44"/>
  <c r="F281" i="44" s="1"/>
  <c r="F92" i="44"/>
  <c r="F289" i="44" s="1"/>
  <c r="F100" i="44"/>
  <c r="F297" i="44" s="1"/>
  <c r="F108" i="44"/>
  <c r="F305" i="44" s="1"/>
  <c r="F116" i="44"/>
  <c r="F313" i="44" s="1"/>
  <c r="F124" i="44"/>
  <c r="F321" i="44" s="1"/>
  <c r="F132" i="44"/>
  <c r="F329" i="44" s="1"/>
  <c r="F140" i="44"/>
  <c r="F337" i="44" s="1"/>
  <c r="F148" i="44"/>
  <c r="F345" i="44" s="1"/>
  <c r="F156" i="44"/>
  <c r="F353" i="44" s="1"/>
  <c r="F164" i="44"/>
  <c r="F361" i="44" s="1"/>
  <c r="F172" i="44"/>
  <c r="F180" i="44"/>
  <c r="F188" i="44"/>
  <c r="F385" i="44" s="1"/>
  <c r="E4" i="44"/>
  <c r="E201" i="44" s="1"/>
  <c r="E12" i="44"/>
  <c r="E209" i="44" s="1"/>
  <c r="E20" i="44"/>
  <c r="E217" i="44" s="1"/>
  <c r="E28" i="44"/>
  <c r="E225" i="44" s="1"/>
  <c r="E36" i="44"/>
  <c r="E233" i="44" s="1"/>
  <c r="E44" i="44"/>
  <c r="E241" i="44" s="1"/>
  <c r="E52" i="44"/>
  <c r="E249" i="44" s="1"/>
  <c r="E60" i="44"/>
  <c r="E257" i="44" s="1"/>
  <c r="E68" i="44"/>
  <c r="E265" i="44" s="1"/>
  <c r="E76" i="44"/>
  <c r="E273" i="44" s="1"/>
  <c r="E84" i="44"/>
  <c r="E281" i="44" s="1"/>
  <c r="E92" i="44"/>
  <c r="E289" i="44" s="1"/>
  <c r="E100" i="44"/>
  <c r="E297" i="44" s="1"/>
  <c r="E108" i="44"/>
  <c r="E305" i="44" s="1"/>
  <c r="E116" i="44"/>
  <c r="E313" i="44" s="1"/>
  <c r="E124" i="44"/>
  <c r="E321" i="44" s="1"/>
  <c r="E132" i="44"/>
  <c r="E329" i="44" s="1"/>
  <c r="E140" i="44"/>
  <c r="E337" i="44" s="1"/>
  <c r="E148" i="44"/>
  <c r="E345" i="44" s="1"/>
  <c r="E156" i="44"/>
  <c r="E353" i="44" s="1"/>
  <c r="E164" i="44"/>
  <c r="E361" i="44" s="1"/>
  <c r="E172" i="44"/>
  <c r="E180" i="44"/>
  <c r="E188" i="44"/>
  <c r="E385" i="44" s="1"/>
  <c r="W59" i="44"/>
  <c r="U189" i="44"/>
  <c r="U386" i="44" s="1"/>
  <c r="R130" i="44"/>
  <c r="R327" i="44" s="1"/>
  <c r="Q48" i="44"/>
  <c r="Q245" i="44" s="1"/>
  <c r="Q106" i="44"/>
  <c r="Q303" i="44" s="1"/>
  <c r="Q154" i="44"/>
  <c r="Q351" i="44" s="1"/>
  <c r="I226" i="44"/>
  <c r="I269" i="44"/>
  <c r="J365" i="44"/>
  <c r="L11" i="44"/>
  <c r="L208" i="44" s="1"/>
  <c r="L27" i="44"/>
  <c r="L224" i="44" s="1"/>
  <c r="L43" i="44"/>
  <c r="L240" i="44" s="1"/>
  <c r="L59" i="44"/>
  <c r="L256" i="44" s="1"/>
  <c r="L75" i="44"/>
  <c r="L272" i="44" s="1"/>
  <c r="L91" i="44"/>
  <c r="L288" i="44" s="1"/>
  <c r="L107" i="44"/>
  <c r="L304" i="44" s="1"/>
  <c r="L123" i="44"/>
  <c r="L320" i="44" s="1"/>
  <c r="L139" i="44"/>
  <c r="L336" i="44" s="1"/>
  <c r="L155" i="44"/>
  <c r="L352" i="44" s="1"/>
  <c r="L171" i="44"/>
  <c r="L368" i="44" s="1"/>
  <c r="L187" i="44"/>
  <c r="K5" i="44"/>
  <c r="K202" i="44" s="1"/>
  <c r="K21" i="44"/>
  <c r="K218" i="44" s="1"/>
  <c r="K37" i="44"/>
  <c r="K234" i="44" s="1"/>
  <c r="K53" i="44"/>
  <c r="K250" i="44" s="1"/>
  <c r="K69" i="44"/>
  <c r="K266" i="44" s="1"/>
  <c r="K85" i="44"/>
  <c r="K282" i="44" s="1"/>
  <c r="K101" i="44"/>
  <c r="K298" i="44" s="1"/>
  <c r="K117" i="44"/>
  <c r="K314" i="44" s="1"/>
  <c r="K133" i="44"/>
  <c r="K330" i="44" s="1"/>
  <c r="K149" i="44"/>
  <c r="K346" i="44" s="1"/>
  <c r="K165" i="44"/>
  <c r="K362" i="44" s="1"/>
  <c r="K181" i="44"/>
  <c r="H9" i="44"/>
  <c r="H24" i="44"/>
  <c r="H38" i="44"/>
  <c r="H49" i="44"/>
  <c r="H63" i="44"/>
  <c r="H77" i="44"/>
  <c r="H88" i="44"/>
  <c r="H102" i="44"/>
  <c r="H113" i="44"/>
  <c r="H126" i="44"/>
  <c r="H136" i="44"/>
  <c r="H147" i="44"/>
  <c r="H158" i="44"/>
  <c r="H167" i="44"/>
  <c r="H176" i="44"/>
  <c r="H185" i="44"/>
  <c r="H194" i="44"/>
  <c r="F5" i="44"/>
  <c r="F202" i="44" s="1"/>
  <c r="F13" i="44"/>
  <c r="F210" i="44" s="1"/>
  <c r="F21" i="44"/>
  <c r="F218" i="44" s="1"/>
  <c r="F29" i="44"/>
  <c r="F226" i="44" s="1"/>
  <c r="F37" i="44"/>
  <c r="F234" i="44" s="1"/>
  <c r="F45" i="44"/>
  <c r="F242" i="44" s="1"/>
  <c r="F53" i="44"/>
  <c r="F250" i="44" s="1"/>
  <c r="F61" i="44"/>
  <c r="F258" i="44" s="1"/>
  <c r="F69" i="44"/>
  <c r="F266" i="44" s="1"/>
  <c r="F77" i="44"/>
  <c r="F274" i="44" s="1"/>
  <c r="F85" i="44"/>
  <c r="F282" i="44" s="1"/>
  <c r="F93" i="44"/>
  <c r="F290" i="44" s="1"/>
  <c r="F101" i="44"/>
  <c r="F298" i="44" s="1"/>
  <c r="F109" i="44"/>
  <c r="F306" i="44" s="1"/>
  <c r="F117" i="44"/>
  <c r="F314" i="44" s="1"/>
  <c r="F125" i="44"/>
  <c r="F322" i="44" s="1"/>
  <c r="F133" i="44"/>
  <c r="F330" i="44" s="1"/>
  <c r="F141" i="44"/>
  <c r="F338" i="44" s="1"/>
  <c r="F149" i="44"/>
  <c r="F346" i="44" s="1"/>
  <c r="F157" i="44"/>
  <c r="F354" i="44" s="1"/>
  <c r="F165" i="44"/>
  <c r="F362" i="44" s="1"/>
  <c r="F173" i="44"/>
  <c r="F370" i="44" s="1"/>
  <c r="F181" i="44"/>
  <c r="F378" i="44" s="1"/>
  <c r="F189" i="44"/>
  <c r="F386" i="44" s="1"/>
  <c r="E5" i="44"/>
  <c r="E202" i="44" s="1"/>
  <c r="E13" i="44"/>
  <c r="E210" i="44" s="1"/>
  <c r="E21" i="44"/>
  <c r="E218" i="44" s="1"/>
  <c r="E29" i="44"/>
  <c r="E226" i="44" s="1"/>
  <c r="E37" i="44"/>
  <c r="E234" i="44" s="1"/>
  <c r="E45" i="44"/>
  <c r="E242" i="44" s="1"/>
  <c r="E53" i="44"/>
  <c r="E250" i="44" s="1"/>
  <c r="E61" i="44"/>
  <c r="E258" i="44" s="1"/>
  <c r="E69" i="44"/>
  <c r="E266" i="44" s="1"/>
  <c r="E77" i="44"/>
  <c r="E274" i="44" s="1"/>
  <c r="E85" i="44"/>
  <c r="E282" i="44" s="1"/>
  <c r="E93" i="44"/>
  <c r="E290" i="44" s="1"/>
  <c r="E101" i="44"/>
  <c r="E298" i="44" s="1"/>
  <c r="E109" i="44"/>
  <c r="E306" i="44" s="1"/>
  <c r="E117" i="44"/>
  <c r="E314" i="44" s="1"/>
  <c r="E125" i="44"/>
  <c r="E322" i="44" s="1"/>
  <c r="E133" i="44"/>
  <c r="E330" i="44" s="1"/>
  <c r="E141" i="44"/>
  <c r="E338" i="44" s="1"/>
  <c r="E149" i="44"/>
  <c r="E346" i="44" s="1"/>
  <c r="T60" i="44"/>
  <c r="T257" i="44" s="1"/>
  <c r="S85" i="44"/>
  <c r="S282" i="44" s="1"/>
  <c r="R24" i="44"/>
  <c r="R221" i="44" s="1"/>
  <c r="R177" i="44"/>
  <c r="R374" i="44" s="1"/>
  <c r="Q65" i="44"/>
  <c r="Q262" i="44" s="1"/>
  <c r="Q113" i="44"/>
  <c r="Q310" i="44" s="1"/>
  <c r="Q176" i="44"/>
  <c r="I253" i="44"/>
  <c r="L17" i="44"/>
  <c r="L214" i="44" s="1"/>
  <c r="L33" i="44"/>
  <c r="L230" i="44" s="1"/>
  <c r="L49" i="44"/>
  <c r="L246" i="44" s="1"/>
  <c r="L65" i="44"/>
  <c r="L262" i="44" s="1"/>
  <c r="L81" i="44"/>
  <c r="L278" i="44" s="1"/>
  <c r="L97" i="44"/>
  <c r="L294" i="44" s="1"/>
  <c r="L113" i="44"/>
  <c r="L310" i="44" s="1"/>
  <c r="L129" i="44"/>
  <c r="L326" i="44" s="1"/>
  <c r="L145" i="44"/>
  <c r="L342" i="44" s="1"/>
  <c r="L161" i="44"/>
  <c r="L358" i="44" s="1"/>
  <c r="L177" i="44"/>
  <c r="L193" i="44"/>
  <c r="K11" i="44"/>
  <c r="K208" i="44" s="1"/>
  <c r="K27" i="44"/>
  <c r="K224" i="44" s="1"/>
  <c r="T61" i="44"/>
  <c r="T258" i="44" s="1"/>
  <c r="Q66" i="44"/>
  <c r="Q263" i="44" s="1"/>
  <c r="L50" i="44"/>
  <c r="L247" i="44" s="1"/>
  <c r="L114" i="44"/>
  <c r="L311" i="44" s="1"/>
  <c r="L178" i="44"/>
  <c r="L375" i="44" s="1"/>
  <c r="K28" i="44"/>
  <c r="K225" i="44" s="1"/>
  <c r="K75" i="44"/>
  <c r="K272" i="44" s="1"/>
  <c r="K122" i="44"/>
  <c r="K319" i="44" s="1"/>
  <c r="K156" i="44"/>
  <c r="K353" i="44" s="1"/>
  <c r="H29" i="44"/>
  <c r="H64" i="44"/>
  <c r="H94" i="44"/>
  <c r="H128" i="44"/>
  <c r="H159" i="44"/>
  <c r="H179" i="44"/>
  <c r="F14" i="44"/>
  <c r="F211" i="44" s="1"/>
  <c r="F32" i="44"/>
  <c r="F229" i="44" s="1"/>
  <c r="F55" i="44"/>
  <c r="F252" i="44" s="1"/>
  <c r="F78" i="44"/>
  <c r="F275" i="44" s="1"/>
  <c r="F96" i="44"/>
  <c r="F293" i="44" s="1"/>
  <c r="F119" i="44"/>
  <c r="F316" i="44" s="1"/>
  <c r="F142" i="44"/>
  <c r="F339" i="44" s="1"/>
  <c r="F160" i="44"/>
  <c r="F357" i="44" s="1"/>
  <c r="F183" i="44"/>
  <c r="E16" i="44"/>
  <c r="E213" i="44" s="1"/>
  <c r="E39" i="44"/>
  <c r="E236" i="44" s="1"/>
  <c r="E62" i="44"/>
  <c r="E259" i="44" s="1"/>
  <c r="E79" i="44"/>
  <c r="E276" i="44" s="1"/>
  <c r="E95" i="44"/>
  <c r="E292" i="44" s="1"/>
  <c r="E111" i="44"/>
  <c r="E308" i="44" s="1"/>
  <c r="E127" i="44"/>
  <c r="E324" i="44" s="1"/>
  <c r="E143" i="44"/>
  <c r="E340" i="44" s="1"/>
  <c r="E158" i="44"/>
  <c r="E355" i="44" s="1"/>
  <c r="S23" i="44"/>
  <c r="S220" i="44" s="1"/>
  <c r="Q112" i="44"/>
  <c r="Q309" i="44" s="1"/>
  <c r="J270" i="44"/>
  <c r="I340" i="44"/>
  <c r="L64" i="44"/>
  <c r="L261" i="44" s="1"/>
  <c r="L128" i="44"/>
  <c r="L325" i="44" s="1"/>
  <c r="L192" i="44"/>
  <c r="K42" i="44"/>
  <c r="K239" i="44" s="1"/>
  <c r="K76" i="44"/>
  <c r="K273" i="44" s="1"/>
  <c r="K123" i="44"/>
  <c r="K320" i="44" s="1"/>
  <c r="K170" i="44"/>
  <c r="K367" i="44" s="1"/>
  <c r="H30" i="44"/>
  <c r="H65" i="44"/>
  <c r="H103" i="44"/>
  <c r="H129" i="44"/>
  <c r="H160" i="44"/>
  <c r="H186" i="44"/>
  <c r="F15" i="44"/>
  <c r="F212" i="44" s="1"/>
  <c r="F38" i="44"/>
  <c r="F235" i="44" s="1"/>
  <c r="F56" i="44"/>
  <c r="F253" i="44" s="1"/>
  <c r="F79" i="44"/>
  <c r="F276" i="44" s="1"/>
  <c r="F102" i="44"/>
  <c r="F299" i="44" s="1"/>
  <c r="F120" i="44"/>
  <c r="F317" i="44" s="1"/>
  <c r="F143" i="44"/>
  <c r="F340" i="44" s="1"/>
  <c r="F166" i="44"/>
  <c r="F363" i="44" s="1"/>
  <c r="F184" i="44"/>
  <c r="F381" i="44" s="1"/>
  <c r="E22" i="44"/>
  <c r="E219" i="44" s="1"/>
  <c r="E40" i="44"/>
  <c r="E237" i="44" s="1"/>
  <c r="E63" i="44"/>
  <c r="E260" i="44" s="1"/>
  <c r="E80" i="44"/>
  <c r="E277" i="44" s="1"/>
  <c r="E96" i="44"/>
  <c r="E293" i="44" s="1"/>
  <c r="E112" i="44"/>
  <c r="E309" i="44" s="1"/>
  <c r="E128" i="44"/>
  <c r="E325" i="44" s="1"/>
  <c r="E144" i="44"/>
  <c r="E341" i="44" s="1"/>
  <c r="E159" i="44"/>
  <c r="E356" i="44" s="1"/>
  <c r="E171" i="44"/>
  <c r="E368" i="44" s="1"/>
  <c r="E182" i="44"/>
  <c r="E192" i="44"/>
  <c r="E389" i="44" s="1"/>
  <c r="S86" i="44"/>
  <c r="S283" i="44" s="1"/>
  <c r="Q129" i="44"/>
  <c r="Q326" i="44" s="1"/>
  <c r="I276" i="44"/>
  <c r="L66" i="44"/>
  <c r="L263" i="44" s="1"/>
  <c r="L130" i="44"/>
  <c r="L327" i="44" s="1"/>
  <c r="L194" i="44"/>
  <c r="L391" i="44" s="1"/>
  <c r="K43" i="44"/>
  <c r="K240" i="44" s="1"/>
  <c r="K90" i="44"/>
  <c r="K287" i="44" s="1"/>
  <c r="K124" i="44"/>
  <c r="K321" i="44" s="1"/>
  <c r="K171" i="44"/>
  <c r="K368" i="44" s="1"/>
  <c r="H39" i="44"/>
  <c r="H69" i="44"/>
  <c r="H104" i="44"/>
  <c r="H137" i="44"/>
  <c r="H161" i="44"/>
  <c r="H187" i="44"/>
  <c r="F16" i="44"/>
  <c r="F213" i="44" s="1"/>
  <c r="F39" i="44"/>
  <c r="F236" i="44" s="1"/>
  <c r="F62" i="44"/>
  <c r="F259" i="44" s="1"/>
  <c r="F80" i="44"/>
  <c r="F277" i="44" s="1"/>
  <c r="F103" i="44"/>
  <c r="F300" i="44" s="1"/>
  <c r="F126" i="44"/>
  <c r="F323" i="44" s="1"/>
  <c r="F144" i="44"/>
  <c r="F341" i="44" s="1"/>
  <c r="F167" i="44"/>
  <c r="F364" i="44" s="1"/>
  <c r="F190" i="44"/>
  <c r="E23" i="44"/>
  <c r="E220" i="44" s="1"/>
  <c r="E46" i="44"/>
  <c r="E243" i="44" s="1"/>
  <c r="E64" i="44"/>
  <c r="E261" i="44" s="1"/>
  <c r="E83" i="44"/>
  <c r="E280" i="44" s="1"/>
  <c r="E99" i="44"/>
  <c r="E296" i="44" s="1"/>
  <c r="E115" i="44"/>
  <c r="E312" i="44" s="1"/>
  <c r="E131" i="44"/>
  <c r="E328" i="44" s="1"/>
  <c r="E147" i="44"/>
  <c r="E344" i="44" s="1"/>
  <c r="E160" i="44"/>
  <c r="E357" i="44" s="1"/>
  <c r="E173" i="44"/>
  <c r="E183" i="44"/>
  <c r="E380" i="44" s="1"/>
  <c r="E193" i="44"/>
  <c r="E390" i="44" s="1"/>
  <c r="R8" i="44"/>
  <c r="R205" i="44" s="1"/>
  <c r="Q170" i="44"/>
  <c r="Q367" i="44" s="1"/>
  <c r="I355" i="44"/>
  <c r="L16" i="44"/>
  <c r="L213" i="44" s="1"/>
  <c r="L80" i="44"/>
  <c r="L277" i="44" s="1"/>
  <c r="L144" i="44"/>
  <c r="L341" i="44" s="1"/>
  <c r="K44" i="44"/>
  <c r="K241" i="44" s="1"/>
  <c r="K91" i="44"/>
  <c r="K288" i="44" s="1"/>
  <c r="K138" i="44"/>
  <c r="K335" i="44" s="1"/>
  <c r="K172" i="44"/>
  <c r="H40" i="44"/>
  <c r="H78" i="44"/>
  <c r="H105" i="44"/>
  <c r="H139" i="44"/>
  <c r="H168" i="44"/>
  <c r="H189" i="44"/>
  <c r="F22" i="44"/>
  <c r="F219" i="44" s="1"/>
  <c r="F40" i="44"/>
  <c r="F237" i="44" s="1"/>
  <c r="F63" i="44"/>
  <c r="F260" i="44" s="1"/>
  <c r="F86" i="44"/>
  <c r="F283" i="44" s="1"/>
  <c r="F104" i="44"/>
  <c r="F301" i="44" s="1"/>
  <c r="F127" i="44"/>
  <c r="F324" i="44" s="1"/>
  <c r="F150" i="44"/>
  <c r="F347" i="44" s="1"/>
  <c r="F168" i="44"/>
  <c r="F365" i="44" s="1"/>
  <c r="F191" i="44"/>
  <c r="F388" i="44" s="1"/>
  <c r="E6" i="44"/>
  <c r="E203" i="44" s="1"/>
  <c r="E24" i="44"/>
  <c r="E221" i="44" s="1"/>
  <c r="E47" i="44"/>
  <c r="E244" i="44" s="1"/>
  <c r="E70" i="44"/>
  <c r="E267" i="44" s="1"/>
  <c r="E86" i="44"/>
  <c r="E283" i="44" s="1"/>
  <c r="E102" i="44"/>
  <c r="E299" i="44" s="1"/>
  <c r="E118" i="44"/>
  <c r="E315" i="44" s="1"/>
  <c r="E134" i="44"/>
  <c r="E331" i="44" s="1"/>
  <c r="E150" i="44"/>
  <c r="E347" i="44" s="1"/>
  <c r="E163" i="44"/>
  <c r="E360" i="44" s="1"/>
  <c r="E174" i="44"/>
  <c r="E371" i="44" s="1"/>
  <c r="E184" i="44"/>
  <c r="E381" i="44" s="1"/>
  <c r="E195" i="44"/>
  <c r="E392" i="44" s="1"/>
  <c r="W139" i="44"/>
  <c r="R65" i="44"/>
  <c r="R262" i="44" s="1"/>
  <c r="Q177" i="44"/>
  <c r="Q374" i="44" s="1"/>
  <c r="L18" i="44"/>
  <c r="L215" i="44" s="1"/>
  <c r="L82" i="44"/>
  <c r="L279" i="44" s="1"/>
  <c r="L146" i="44"/>
  <c r="L343" i="44" s="1"/>
  <c r="K58" i="44"/>
  <c r="K255" i="44" s="1"/>
  <c r="K92" i="44"/>
  <c r="K289" i="44" s="1"/>
  <c r="K139" i="44"/>
  <c r="K336" i="44" s="1"/>
  <c r="K186" i="44"/>
  <c r="K383" i="44" s="1"/>
  <c r="H14" i="44"/>
  <c r="H41" i="44"/>
  <c r="H79" i="44"/>
  <c r="H117" i="44"/>
  <c r="H141" i="44"/>
  <c r="H169" i="44"/>
  <c r="H195" i="44"/>
  <c r="F23" i="44"/>
  <c r="F220" i="44" s="1"/>
  <c r="F46" i="44"/>
  <c r="F243" i="44" s="1"/>
  <c r="F64" i="44"/>
  <c r="F261" i="44" s="1"/>
  <c r="F87" i="44"/>
  <c r="F284" i="44" s="1"/>
  <c r="F110" i="44"/>
  <c r="F307" i="44" s="1"/>
  <c r="F128" i="44"/>
  <c r="F325" i="44" s="1"/>
  <c r="F151" i="44"/>
  <c r="F348" i="44" s="1"/>
  <c r="F174" i="44"/>
  <c r="F192" i="44"/>
  <c r="E7" i="44"/>
  <c r="E204" i="44" s="1"/>
  <c r="E30" i="44"/>
  <c r="E227" i="44" s="1"/>
  <c r="E48" i="44"/>
  <c r="E245" i="44" s="1"/>
  <c r="E71" i="44"/>
  <c r="E268" i="44" s="1"/>
  <c r="E87" i="44"/>
  <c r="E284" i="44" s="1"/>
  <c r="E103" i="44"/>
  <c r="E300" i="44" s="1"/>
  <c r="E119" i="44"/>
  <c r="E316" i="44" s="1"/>
  <c r="E135" i="44"/>
  <c r="E332" i="44" s="1"/>
  <c r="E151" i="44"/>
  <c r="E348" i="44" s="1"/>
  <c r="E165" i="44"/>
  <c r="E362" i="44" s="1"/>
  <c r="E175" i="44"/>
  <c r="E185" i="44"/>
  <c r="V173" i="44"/>
  <c r="V370" i="44" s="1"/>
  <c r="R193" i="44"/>
  <c r="R390" i="44" s="1"/>
  <c r="L34" i="44"/>
  <c r="L231" i="44" s="1"/>
  <c r="L98" i="44"/>
  <c r="L295" i="44" s="1"/>
  <c r="L162" i="44"/>
  <c r="L359" i="44" s="1"/>
  <c r="K12" i="44"/>
  <c r="K209" i="44" s="1"/>
  <c r="K60" i="44"/>
  <c r="K257" i="44" s="1"/>
  <c r="K107" i="44"/>
  <c r="K304" i="44" s="1"/>
  <c r="K154" i="44"/>
  <c r="K351" i="44" s="1"/>
  <c r="K188" i="44"/>
  <c r="K385" i="44" s="1"/>
  <c r="H16" i="44"/>
  <c r="H54" i="44"/>
  <c r="H89" i="44"/>
  <c r="H119" i="44"/>
  <c r="H150" i="44"/>
  <c r="H177" i="44"/>
  <c r="F7" i="44"/>
  <c r="F204" i="44" s="1"/>
  <c r="F30" i="44"/>
  <c r="F227" i="44" s="1"/>
  <c r="F48" i="44"/>
  <c r="F245" i="44" s="1"/>
  <c r="F71" i="44"/>
  <c r="F268" i="44" s="1"/>
  <c r="F94" i="44"/>
  <c r="F291" i="44" s="1"/>
  <c r="F112" i="44"/>
  <c r="F309" i="44" s="1"/>
  <c r="F135" i="44"/>
  <c r="F332" i="44" s="1"/>
  <c r="F158" i="44"/>
  <c r="F355" i="44" s="1"/>
  <c r="F176" i="44"/>
  <c r="F373" i="44" s="1"/>
  <c r="E14" i="44"/>
  <c r="E211" i="44" s="1"/>
  <c r="E32" i="44"/>
  <c r="E229" i="44" s="1"/>
  <c r="E55" i="44"/>
  <c r="E252" i="44" s="1"/>
  <c r="E75" i="44"/>
  <c r="E272" i="44" s="1"/>
  <c r="E91" i="44"/>
  <c r="E288" i="44" s="1"/>
  <c r="E107" i="44"/>
  <c r="E304" i="44" s="1"/>
  <c r="E123" i="44"/>
  <c r="E320" i="44" s="1"/>
  <c r="E139" i="44"/>
  <c r="E336" i="44" s="1"/>
  <c r="E155" i="44"/>
  <c r="E352" i="44" s="1"/>
  <c r="E167" i="44"/>
  <c r="E364" i="44" s="1"/>
  <c r="E177" i="44"/>
  <c r="K10" i="44"/>
  <c r="K207" i="44" s="1"/>
  <c r="K187" i="44"/>
  <c r="K384" i="44" s="1"/>
  <c r="H80" i="44"/>
  <c r="F70" i="44"/>
  <c r="F267" i="44" s="1"/>
  <c r="F152" i="44"/>
  <c r="F349" i="44" s="1"/>
  <c r="E31" i="44"/>
  <c r="E228" i="44" s="1"/>
  <c r="E104" i="44"/>
  <c r="E301" i="44" s="1"/>
  <c r="E166" i="44"/>
  <c r="E363" i="44" s="1"/>
  <c r="E190" i="44"/>
  <c r="E387" i="44" s="1"/>
  <c r="K26" i="44"/>
  <c r="K223" i="44" s="1"/>
  <c r="H93" i="44"/>
  <c r="F72" i="44"/>
  <c r="F269" i="44" s="1"/>
  <c r="F159" i="44"/>
  <c r="F356" i="44" s="1"/>
  <c r="E38" i="44"/>
  <c r="E235" i="44" s="1"/>
  <c r="E110" i="44"/>
  <c r="E307" i="44" s="1"/>
  <c r="E168" i="44"/>
  <c r="E365" i="44" s="1"/>
  <c r="E191" i="44"/>
  <c r="L32" i="44"/>
  <c r="L229" i="44" s="1"/>
  <c r="K59" i="44"/>
  <c r="K256" i="44" s="1"/>
  <c r="H118" i="44"/>
  <c r="F6" i="44"/>
  <c r="F203" i="44" s="1"/>
  <c r="F88" i="44"/>
  <c r="F285" i="44" s="1"/>
  <c r="F175" i="44"/>
  <c r="E54" i="44"/>
  <c r="E251" i="44" s="1"/>
  <c r="E120" i="44"/>
  <c r="E317" i="44" s="1"/>
  <c r="E169" i="44"/>
  <c r="E366" i="44" s="1"/>
  <c r="L48" i="44"/>
  <c r="L245" i="44" s="1"/>
  <c r="K74" i="44"/>
  <c r="K271" i="44" s="1"/>
  <c r="H127" i="44"/>
  <c r="F8" i="44"/>
  <c r="F205" i="44" s="1"/>
  <c r="F95" i="44"/>
  <c r="F292" i="44" s="1"/>
  <c r="F182" i="44"/>
  <c r="F379" i="44" s="1"/>
  <c r="E56" i="44"/>
  <c r="E253" i="44" s="1"/>
  <c r="E126" i="44"/>
  <c r="E323" i="44" s="1"/>
  <c r="E176" i="44"/>
  <c r="R176" i="44"/>
  <c r="L160" i="44"/>
  <c r="L357" i="44" s="1"/>
  <c r="K140" i="44"/>
  <c r="K337" i="44" s="1"/>
  <c r="H53" i="44"/>
  <c r="H170" i="44"/>
  <c r="F47" i="44"/>
  <c r="F244" i="44" s="1"/>
  <c r="F134" i="44"/>
  <c r="F331" i="44" s="1"/>
  <c r="E8" i="44"/>
  <c r="E205" i="44" s="1"/>
  <c r="E88" i="44"/>
  <c r="E285" i="44" s="1"/>
  <c r="E152" i="44"/>
  <c r="E349" i="44" s="1"/>
  <c r="E187" i="44"/>
  <c r="E384" i="44" s="1"/>
  <c r="H178" i="44"/>
  <c r="E179" i="44"/>
  <c r="M194" i="44"/>
  <c r="M391" i="44" s="1"/>
  <c r="M190" i="44"/>
  <c r="M387" i="44" s="1"/>
  <c r="M186" i="44"/>
  <c r="M383" i="44" s="1"/>
  <c r="M182" i="44"/>
  <c r="M379" i="44" s="1"/>
  <c r="M178" i="44"/>
  <c r="M174" i="44"/>
  <c r="M170" i="44"/>
  <c r="M367" i="44" s="1"/>
  <c r="M166" i="44"/>
  <c r="M363" i="44" s="1"/>
  <c r="M162" i="44"/>
  <c r="M359" i="44" s="1"/>
  <c r="M158" i="44"/>
  <c r="M355" i="44" s="1"/>
  <c r="M154" i="44"/>
  <c r="M351" i="44" s="1"/>
  <c r="M150" i="44"/>
  <c r="M347" i="44" s="1"/>
  <c r="M146" i="44"/>
  <c r="M343" i="44" s="1"/>
  <c r="M142" i="44"/>
  <c r="M339" i="44" s="1"/>
  <c r="M138" i="44"/>
  <c r="M335" i="44" s="1"/>
  <c r="M134" i="44"/>
  <c r="M331" i="44" s="1"/>
  <c r="M130" i="44"/>
  <c r="M327" i="44" s="1"/>
  <c r="M126" i="44"/>
  <c r="M323" i="44" s="1"/>
  <c r="M122" i="44"/>
  <c r="M319" i="44" s="1"/>
  <c r="M118" i="44"/>
  <c r="M315" i="44" s="1"/>
  <c r="M114" i="44"/>
  <c r="M311" i="44" s="1"/>
  <c r="M110" i="44"/>
  <c r="M307" i="44" s="1"/>
  <c r="M106" i="44"/>
  <c r="M303" i="44" s="1"/>
  <c r="M102" i="44"/>
  <c r="M299" i="44" s="1"/>
  <c r="M98" i="44"/>
  <c r="M295" i="44" s="1"/>
  <c r="M94" i="44"/>
  <c r="M291" i="44" s="1"/>
  <c r="M90" i="44"/>
  <c r="M287" i="44" s="1"/>
  <c r="M86" i="44"/>
  <c r="M283" i="44" s="1"/>
  <c r="M82" i="44"/>
  <c r="M279" i="44" s="1"/>
  <c r="M78" i="44"/>
  <c r="M275" i="44" s="1"/>
  <c r="M74" i="44"/>
  <c r="M271" i="44" s="1"/>
  <c r="M70" i="44"/>
  <c r="M267" i="44" s="1"/>
  <c r="M66" i="44"/>
  <c r="M263" i="44" s="1"/>
  <c r="M62" i="44"/>
  <c r="M259" i="44" s="1"/>
  <c r="M58" i="44"/>
  <c r="M255" i="44" s="1"/>
  <c r="M54" i="44"/>
  <c r="M251" i="44" s="1"/>
  <c r="M50" i="44"/>
  <c r="M247" i="44" s="1"/>
  <c r="M46" i="44"/>
  <c r="M243" i="44" s="1"/>
  <c r="M42" i="44"/>
  <c r="M239" i="44" s="1"/>
  <c r="M38" i="44"/>
  <c r="M235" i="44" s="1"/>
  <c r="M34" i="44"/>
  <c r="M231" i="44" s="1"/>
  <c r="M30" i="44"/>
  <c r="M227" i="44" s="1"/>
  <c r="M26" i="44"/>
  <c r="M223" i="44" s="1"/>
  <c r="M22" i="44"/>
  <c r="M219" i="44" s="1"/>
  <c r="M18" i="44"/>
  <c r="M215" i="44" s="1"/>
  <c r="M14" i="44"/>
  <c r="M211" i="44" s="1"/>
  <c r="M10" i="44"/>
  <c r="M207" i="44" s="1"/>
  <c r="M6" i="44"/>
  <c r="M203" i="44" s="1"/>
  <c r="I325" i="44"/>
  <c r="F24" i="44"/>
  <c r="F221" i="44" s="1"/>
  <c r="E15" i="44"/>
  <c r="E212" i="44" s="1"/>
  <c r="E181" i="44"/>
  <c r="E378" i="44" s="1"/>
  <c r="G194" i="44"/>
  <c r="G190" i="44"/>
  <c r="G186" i="44"/>
  <c r="G383" i="44" s="1"/>
  <c r="G182" i="44"/>
  <c r="G379" i="44" s="1"/>
  <c r="G178" i="44"/>
  <c r="G375" i="44" s="1"/>
  <c r="G174" i="44"/>
  <c r="G371" i="44" s="1"/>
  <c r="G170" i="44"/>
  <c r="G367" i="44" s="1"/>
  <c r="G166" i="44"/>
  <c r="G363" i="44" s="1"/>
  <c r="G162" i="44"/>
  <c r="G359" i="44" s="1"/>
  <c r="G158" i="44"/>
  <c r="G355" i="44" s="1"/>
  <c r="G154" i="44"/>
  <c r="G351" i="44" s="1"/>
  <c r="G150" i="44"/>
  <c r="G347" i="44" s="1"/>
  <c r="G146" i="44"/>
  <c r="G343" i="44" s="1"/>
  <c r="G142" i="44"/>
  <c r="G339" i="44" s="1"/>
  <c r="G138" i="44"/>
  <c r="G335" i="44" s="1"/>
  <c r="G134" i="44"/>
  <c r="G331" i="44" s="1"/>
  <c r="G130" i="44"/>
  <c r="G327" i="44" s="1"/>
  <c r="G126" i="44"/>
  <c r="G323" i="44" s="1"/>
  <c r="G122" i="44"/>
  <c r="G319" i="44" s="1"/>
  <c r="G118" i="44"/>
  <c r="G315" i="44" s="1"/>
  <c r="G114" i="44"/>
  <c r="G311" i="44" s="1"/>
  <c r="G110" i="44"/>
  <c r="G307" i="44" s="1"/>
  <c r="G106" i="44"/>
  <c r="G303" i="44" s="1"/>
  <c r="G102" i="44"/>
  <c r="G299" i="44" s="1"/>
  <c r="G98" i="44"/>
  <c r="G295" i="44" s="1"/>
  <c r="G94" i="44"/>
  <c r="G291" i="44" s="1"/>
  <c r="G90" i="44"/>
  <c r="G287" i="44" s="1"/>
  <c r="G86" i="44"/>
  <c r="G283" i="44" s="1"/>
  <c r="G82" i="44"/>
  <c r="G279" i="44" s="1"/>
  <c r="G78" i="44"/>
  <c r="G275" i="44" s="1"/>
  <c r="G74" i="44"/>
  <c r="G271" i="44" s="1"/>
  <c r="G70" i="44"/>
  <c r="G267" i="44" s="1"/>
  <c r="G66" i="44"/>
  <c r="G263" i="44" s="1"/>
  <c r="G62" i="44"/>
  <c r="G259" i="44" s="1"/>
  <c r="G58" i="44"/>
  <c r="G255" i="44" s="1"/>
  <c r="G54" i="44"/>
  <c r="G251" i="44" s="1"/>
  <c r="G50" i="44"/>
  <c r="G247" i="44" s="1"/>
  <c r="G46" i="44"/>
  <c r="G243" i="44" s="1"/>
  <c r="G42" i="44"/>
  <c r="G239" i="44" s="1"/>
  <c r="G38" i="44"/>
  <c r="G235" i="44" s="1"/>
  <c r="G34" i="44"/>
  <c r="G231" i="44" s="1"/>
  <c r="G30" i="44"/>
  <c r="G227" i="44" s="1"/>
  <c r="G26" i="44"/>
  <c r="G223" i="44" s="1"/>
  <c r="G22" i="44"/>
  <c r="G219" i="44" s="1"/>
  <c r="G18" i="44"/>
  <c r="G215" i="44" s="1"/>
  <c r="G14" i="44"/>
  <c r="G211" i="44" s="1"/>
  <c r="G10" i="44"/>
  <c r="G207" i="44" s="1"/>
  <c r="G6" i="44"/>
  <c r="G203" i="44" s="1"/>
  <c r="L96" i="44"/>
  <c r="L293" i="44" s="1"/>
  <c r="F31" i="44"/>
  <c r="F228" i="44" s="1"/>
  <c r="E72" i="44"/>
  <c r="E269" i="44" s="1"/>
  <c r="E189" i="44"/>
  <c r="E386" i="44" s="1"/>
  <c r="M193" i="44"/>
  <c r="M390" i="44" s="1"/>
  <c r="M189" i="44"/>
  <c r="M386" i="44" s="1"/>
  <c r="M185" i="44"/>
  <c r="M181" i="44"/>
  <c r="M378" i="44" s="1"/>
  <c r="M177" i="44"/>
  <c r="M374" i="44" s="1"/>
  <c r="M173" i="44"/>
  <c r="M370" i="44" s="1"/>
  <c r="M169" i="44"/>
  <c r="M366" i="44" s="1"/>
  <c r="M165" i="44"/>
  <c r="M362" i="44" s="1"/>
  <c r="M161" i="44"/>
  <c r="M358" i="44" s="1"/>
  <c r="M157" i="44"/>
  <c r="M354" i="44" s="1"/>
  <c r="M153" i="44"/>
  <c r="M350" i="44" s="1"/>
  <c r="M149" i="44"/>
  <c r="M346" i="44" s="1"/>
  <c r="M145" i="44"/>
  <c r="M342" i="44" s="1"/>
  <c r="M141" i="44"/>
  <c r="M338" i="44" s="1"/>
  <c r="M137" i="44"/>
  <c r="M334" i="44" s="1"/>
  <c r="M133" i="44"/>
  <c r="M330" i="44" s="1"/>
  <c r="M129" i="44"/>
  <c r="M326" i="44" s="1"/>
  <c r="M125" i="44"/>
  <c r="M322" i="44" s="1"/>
  <c r="M121" i="44"/>
  <c r="M318" i="44" s="1"/>
  <c r="M117" i="44"/>
  <c r="M314" i="44" s="1"/>
  <c r="M113" i="44"/>
  <c r="M310" i="44" s="1"/>
  <c r="M109" i="44"/>
  <c r="M306" i="44" s="1"/>
  <c r="M105" i="44"/>
  <c r="M302" i="44" s="1"/>
  <c r="M101" i="44"/>
  <c r="M298" i="44" s="1"/>
  <c r="M97" i="44"/>
  <c r="M294" i="44" s="1"/>
  <c r="M93" i="44"/>
  <c r="M290" i="44" s="1"/>
  <c r="M89" i="44"/>
  <c r="M286" i="44" s="1"/>
  <c r="M85" i="44"/>
  <c r="M282" i="44" s="1"/>
  <c r="M81" i="44"/>
  <c r="M278" i="44" s="1"/>
  <c r="M77" i="44"/>
  <c r="M274" i="44" s="1"/>
  <c r="M73" i="44"/>
  <c r="M270" i="44" s="1"/>
  <c r="M69" i="44"/>
  <c r="M266" i="44" s="1"/>
  <c r="M65" i="44"/>
  <c r="M262" i="44" s="1"/>
  <c r="M61" i="44"/>
  <c r="M258" i="44" s="1"/>
  <c r="M57" i="44"/>
  <c r="M254" i="44" s="1"/>
  <c r="M53" i="44"/>
  <c r="M250" i="44" s="1"/>
  <c r="M49" i="44"/>
  <c r="M246" i="44" s="1"/>
  <c r="M45" i="44"/>
  <c r="M242" i="44" s="1"/>
  <c r="M41" i="44"/>
  <c r="M238" i="44" s="1"/>
  <c r="M37" i="44"/>
  <c r="M234" i="44" s="1"/>
  <c r="M33" i="44"/>
  <c r="M230" i="44" s="1"/>
  <c r="M29" i="44"/>
  <c r="M226" i="44" s="1"/>
  <c r="M25" i="44"/>
  <c r="M222" i="44" s="1"/>
  <c r="M21" i="44"/>
  <c r="M218" i="44" s="1"/>
  <c r="L112" i="44"/>
  <c r="L309" i="44" s="1"/>
  <c r="H15" i="44"/>
  <c r="F54" i="44"/>
  <c r="F251" i="44" s="1"/>
  <c r="E78" i="44"/>
  <c r="E275" i="44" s="1"/>
  <c r="G193" i="44"/>
  <c r="G390" i="44" s="1"/>
  <c r="G189" i="44"/>
  <c r="G386" i="44" s="1"/>
  <c r="G185" i="44"/>
  <c r="G181" i="44"/>
  <c r="G378" i="44" s="1"/>
  <c r="G177" i="44"/>
  <c r="G374" i="44" s="1"/>
  <c r="G173" i="44"/>
  <c r="G370" i="44" s="1"/>
  <c r="G169" i="44"/>
  <c r="G366" i="44" s="1"/>
  <c r="G165" i="44"/>
  <c r="G362" i="44" s="1"/>
  <c r="G161" i="44"/>
  <c r="G358" i="44" s="1"/>
  <c r="G157" i="44"/>
  <c r="G354" i="44" s="1"/>
  <c r="G153" i="44"/>
  <c r="G350" i="44" s="1"/>
  <c r="G149" i="44"/>
  <c r="G346" i="44" s="1"/>
  <c r="G145" i="44"/>
  <c r="G342" i="44" s="1"/>
  <c r="G141" i="44"/>
  <c r="G338" i="44" s="1"/>
  <c r="G137" i="44"/>
  <c r="G334" i="44" s="1"/>
  <c r="G133" i="44"/>
  <c r="G330" i="44" s="1"/>
  <c r="G129" i="44"/>
  <c r="G326" i="44" s="1"/>
  <c r="G125" i="44"/>
  <c r="G322" i="44" s="1"/>
  <c r="G121" i="44"/>
  <c r="G318" i="44" s="1"/>
  <c r="G117" i="44"/>
  <c r="G314" i="44" s="1"/>
  <c r="G113" i="44"/>
  <c r="G310" i="44" s="1"/>
  <c r="G109" i="44"/>
  <c r="G306" i="44" s="1"/>
  <c r="G105" i="44"/>
  <c r="G302" i="44" s="1"/>
  <c r="G101" i="44"/>
  <c r="G298" i="44" s="1"/>
  <c r="G97" i="44"/>
  <c r="G294" i="44" s="1"/>
  <c r="G93" i="44"/>
  <c r="G290" i="44" s="1"/>
  <c r="G89" i="44"/>
  <c r="G286" i="44" s="1"/>
  <c r="G85" i="44"/>
  <c r="G282" i="44" s="1"/>
  <c r="G81" i="44"/>
  <c r="G278" i="44" s="1"/>
  <c r="G77" i="44"/>
  <c r="G274" i="44" s="1"/>
  <c r="G73" i="44"/>
  <c r="G270" i="44" s="1"/>
  <c r="G69" i="44"/>
  <c r="G266" i="44" s="1"/>
  <c r="G65" i="44"/>
  <c r="G262" i="44" s="1"/>
  <c r="G61" i="44"/>
  <c r="G258" i="44" s="1"/>
  <c r="G57" i="44"/>
  <c r="G254" i="44" s="1"/>
  <c r="G53" i="44"/>
  <c r="G250" i="44" s="1"/>
  <c r="G49" i="44"/>
  <c r="G246" i="44" s="1"/>
  <c r="G45" i="44"/>
  <c r="G242" i="44" s="1"/>
  <c r="G41" i="44"/>
  <c r="G238" i="44" s="1"/>
  <c r="G37" i="44"/>
  <c r="G234" i="44" s="1"/>
  <c r="G33" i="44"/>
  <c r="G230" i="44" s="1"/>
  <c r="G29" i="44"/>
  <c r="G226" i="44" s="1"/>
  <c r="G25" i="44"/>
  <c r="G222" i="44" s="1"/>
  <c r="G21" i="44"/>
  <c r="G218" i="44" s="1"/>
  <c r="G17" i="44"/>
  <c r="G214" i="44" s="1"/>
  <c r="G13" i="44"/>
  <c r="G210" i="44" s="1"/>
  <c r="G9" i="44"/>
  <c r="G206" i="44" s="1"/>
  <c r="L176" i="44"/>
  <c r="L373" i="44" s="1"/>
  <c r="H25" i="44"/>
  <c r="F111" i="44"/>
  <c r="F308" i="44" s="1"/>
  <c r="E94" i="44"/>
  <c r="E291" i="44" s="1"/>
  <c r="M192" i="44"/>
  <c r="M389" i="44" s="1"/>
  <c r="M188" i="44"/>
  <c r="M385" i="44" s="1"/>
  <c r="M184" i="44"/>
  <c r="M381" i="44" s="1"/>
  <c r="M180" i="44"/>
  <c r="M377" i="44" s="1"/>
  <c r="M176" i="44"/>
  <c r="M373" i="44" s="1"/>
  <c r="M172" i="44"/>
  <c r="M168" i="44"/>
  <c r="M365" i="44" s="1"/>
  <c r="M164" i="44"/>
  <c r="M361" i="44" s="1"/>
  <c r="M160" i="44"/>
  <c r="M357" i="44" s="1"/>
  <c r="M156" i="44"/>
  <c r="M353" i="44" s="1"/>
  <c r="M152" i="44"/>
  <c r="M349" i="44" s="1"/>
  <c r="M148" i="44"/>
  <c r="M345" i="44" s="1"/>
  <c r="M144" i="44"/>
  <c r="M341" i="44" s="1"/>
  <c r="M140" i="44"/>
  <c r="M337" i="44" s="1"/>
  <c r="M136" i="44"/>
  <c r="M333" i="44" s="1"/>
  <c r="M132" i="44"/>
  <c r="M329" i="44" s="1"/>
  <c r="M128" i="44"/>
  <c r="M325" i="44" s="1"/>
  <c r="M124" i="44"/>
  <c r="M321" i="44" s="1"/>
  <c r="M120" i="44"/>
  <c r="M317" i="44" s="1"/>
  <c r="M116" i="44"/>
  <c r="M313" i="44" s="1"/>
  <c r="M112" i="44"/>
  <c r="M309" i="44" s="1"/>
  <c r="M108" i="44"/>
  <c r="M305" i="44" s="1"/>
  <c r="M104" i="44"/>
  <c r="M301" i="44" s="1"/>
  <c r="M100" i="44"/>
  <c r="M297" i="44" s="1"/>
  <c r="M96" i="44"/>
  <c r="M293" i="44" s="1"/>
  <c r="M92" i="44"/>
  <c r="M289" i="44" s="1"/>
  <c r="M88" i="44"/>
  <c r="M285" i="44" s="1"/>
  <c r="M84" i="44"/>
  <c r="M281" i="44" s="1"/>
  <c r="M80" i="44"/>
  <c r="M277" i="44" s="1"/>
  <c r="M76" i="44"/>
  <c r="M273" i="44" s="1"/>
  <c r="M72" i="44"/>
  <c r="M269" i="44" s="1"/>
  <c r="M68" i="44"/>
  <c r="M265" i="44" s="1"/>
  <c r="M64" i="44"/>
  <c r="M261" i="44" s="1"/>
  <c r="M60" i="44"/>
  <c r="M257" i="44" s="1"/>
  <c r="M56" i="44"/>
  <c r="M253" i="44" s="1"/>
  <c r="M52" i="44"/>
  <c r="M249" i="44" s="1"/>
  <c r="M48" i="44"/>
  <c r="M245" i="44" s="1"/>
  <c r="M44" i="44"/>
  <c r="M241" i="44" s="1"/>
  <c r="M40" i="44"/>
  <c r="M237" i="44" s="1"/>
  <c r="M36" i="44"/>
  <c r="M233" i="44" s="1"/>
  <c r="M32" i="44"/>
  <c r="M229" i="44" s="1"/>
  <c r="M28" i="44"/>
  <c r="M225" i="44" s="1"/>
  <c r="M24" i="44"/>
  <c r="M221" i="44" s="1"/>
  <c r="M20" i="44"/>
  <c r="M217" i="44" s="1"/>
  <c r="M16" i="44"/>
  <c r="M213" i="44" s="1"/>
  <c r="M12" i="44"/>
  <c r="M209" i="44" s="1"/>
  <c r="M8" i="44"/>
  <c r="M205" i="44" s="1"/>
  <c r="M4" i="44"/>
  <c r="M201" i="44" s="1"/>
  <c r="T50" i="44"/>
  <c r="T247" i="44" s="1"/>
  <c r="K106" i="44"/>
  <c r="K303" i="44" s="1"/>
  <c r="H55" i="44"/>
  <c r="F118" i="44"/>
  <c r="F315" i="44" s="1"/>
  <c r="E136" i="44"/>
  <c r="E333" i="44" s="1"/>
  <c r="G7" i="44"/>
  <c r="G204" i="44" s="1"/>
  <c r="G15" i="44"/>
  <c r="G212" i="44" s="1"/>
  <c r="M23" i="44"/>
  <c r="M220" i="44" s="1"/>
  <c r="G35" i="44"/>
  <c r="G232" i="44" s="1"/>
  <c r="G44" i="44"/>
  <c r="G241" i="44" s="1"/>
  <c r="M55" i="44"/>
  <c r="M252" i="44" s="1"/>
  <c r="G67" i="44"/>
  <c r="G264" i="44" s="1"/>
  <c r="G76" i="44"/>
  <c r="G273" i="44" s="1"/>
  <c r="M87" i="44"/>
  <c r="M284" i="44" s="1"/>
  <c r="G99" i="44"/>
  <c r="G296" i="44" s="1"/>
  <c r="G108" i="44"/>
  <c r="G305" i="44" s="1"/>
  <c r="M119" i="44"/>
  <c r="M316" i="44" s="1"/>
  <c r="G131" i="44"/>
  <c r="G328" i="44" s="1"/>
  <c r="G140" i="44"/>
  <c r="G337" i="44" s="1"/>
  <c r="M151" i="44"/>
  <c r="M348" i="44" s="1"/>
  <c r="G163" i="44"/>
  <c r="G360" i="44" s="1"/>
  <c r="G172" i="44"/>
  <c r="G369" i="44" s="1"/>
  <c r="M183" i="44"/>
  <c r="M380" i="44" s="1"/>
  <c r="G195" i="44"/>
  <c r="E157" i="44"/>
  <c r="E354" i="44" s="1"/>
  <c r="G47" i="44"/>
  <c r="G244" i="44" s="1"/>
  <c r="G88" i="44"/>
  <c r="G285" i="44" s="1"/>
  <c r="M131" i="44"/>
  <c r="M328" i="44" s="1"/>
  <c r="G184" i="44"/>
  <c r="G381" i="44" s="1"/>
  <c r="G27" i="44"/>
  <c r="G224" i="44" s="1"/>
  <c r="G36" i="44"/>
  <c r="G233" i="44" s="1"/>
  <c r="G91" i="44"/>
  <c r="G288" i="44" s="1"/>
  <c r="G123" i="44"/>
  <c r="G320" i="44" s="1"/>
  <c r="G164" i="44"/>
  <c r="G361" i="44" s="1"/>
  <c r="M9" i="44"/>
  <c r="M206" i="44" s="1"/>
  <c r="M17" i="44"/>
  <c r="M214" i="44" s="1"/>
  <c r="M27" i="44"/>
  <c r="M224" i="44" s="1"/>
  <c r="G39" i="44"/>
  <c r="G236" i="44" s="1"/>
  <c r="G48" i="44"/>
  <c r="G245" i="44" s="1"/>
  <c r="M59" i="44"/>
  <c r="M256" i="44" s="1"/>
  <c r="G71" i="44"/>
  <c r="G268" i="44" s="1"/>
  <c r="G80" i="44"/>
  <c r="G277" i="44" s="1"/>
  <c r="M91" i="44"/>
  <c r="M288" i="44" s="1"/>
  <c r="G103" i="44"/>
  <c r="G300" i="44" s="1"/>
  <c r="G112" i="44"/>
  <c r="G309" i="44" s="1"/>
  <c r="M123" i="44"/>
  <c r="M320" i="44" s="1"/>
  <c r="G135" i="44"/>
  <c r="G332" i="44" s="1"/>
  <c r="G144" i="44"/>
  <c r="G341" i="44" s="1"/>
  <c r="M155" i="44"/>
  <c r="M352" i="44" s="1"/>
  <c r="G167" i="44"/>
  <c r="G364" i="44" s="1"/>
  <c r="G176" i="44"/>
  <c r="G373" i="44" s="1"/>
  <c r="M187" i="44"/>
  <c r="M384" i="44" s="1"/>
  <c r="F136" i="44"/>
  <c r="F333" i="44" s="1"/>
  <c r="M15" i="44"/>
  <c r="M212" i="44" s="1"/>
  <c r="M67" i="44"/>
  <c r="M264" i="44" s="1"/>
  <c r="G111" i="44"/>
  <c r="G308" i="44" s="1"/>
  <c r="G152" i="44"/>
  <c r="G349" i="44" s="1"/>
  <c r="G175" i="44"/>
  <c r="G372" i="44" s="1"/>
  <c r="E142" i="44"/>
  <c r="E339" i="44" s="1"/>
  <c r="G59" i="44"/>
  <c r="G256" i="44" s="1"/>
  <c r="G100" i="44"/>
  <c r="G297" i="44" s="1"/>
  <c r="G132" i="44"/>
  <c r="G329" i="44" s="1"/>
  <c r="M175" i="44"/>
  <c r="M372" i="44" s="1"/>
  <c r="G11" i="44"/>
  <c r="G208" i="44" s="1"/>
  <c r="G19" i="44"/>
  <c r="G216" i="44" s="1"/>
  <c r="G28" i="44"/>
  <c r="G225" i="44" s="1"/>
  <c r="M39" i="44"/>
  <c r="M236" i="44" s="1"/>
  <c r="G51" i="44"/>
  <c r="G248" i="44" s="1"/>
  <c r="G60" i="44"/>
  <c r="G257" i="44" s="1"/>
  <c r="M71" i="44"/>
  <c r="M268" i="44" s="1"/>
  <c r="G83" i="44"/>
  <c r="G280" i="44" s="1"/>
  <c r="G92" i="44"/>
  <c r="G289" i="44" s="1"/>
  <c r="M103" i="44"/>
  <c r="M300" i="44" s="1"/>
  <c r="G115" i="44"/>
  <c r="G312" i="44" s="1"/>
  <c r="G124" i="44"/>
  <c r="G321" i="44" s="1"/>
  <c r="M135" i="44"/>
  <c r="M332" i="44" s="1"/>
  <c r="G147" i="44"/>
  <c r="G344" i="44" s="1"/>
  <c r="G156" i="44"/>
  <c r="G353" i="44" s="1"/>
  <c r="M167" i="44"/>
  <c r="M364" i="44" s="1"/>
  <c r="G179" i="44"/>
  <c r="G376" i="44" s="1"/>
  <c r="G188" i="44"/>
  <c r="G385" i="44" s="1"/>
  <c r="H151" i="44"/>
  <c r="M7" i="44"/>
  <c r="M204" i="44" s="1"/>
  <c r="M35" i="44"/>
  <c r="M232" i="44" s="1"/>
  <c r="G79" i="44"/>
  <c r="G276" i="44" s="1"/>
  <c r="G120" i="44"/>
  <c r="G317" i="44" s="1"/>
  <c r="M195" i="44"/>
  <c r="M392" i="44" s="1"/>
  <c r="G16" i="44"/>
  <c r="G213" i="44" s="1"/>
  <c r="M47" i="44"/>
  <c r="M244" i="44" s="1"/>
  <c r="M79" i="44"/>
  <c r="M276" i="44" s="1"/>
  <c r="M111" i="44"/>
  <c r="M308" i="44" s="1"/>
  <c r="M143" i="44"/>
  <c r="M340" i="44" s="1"/>
  <c r="G187" i="44"/>
  <c r="G384" i="44" s="1"/>
  <c r="G4" i="44"/>
  <c r="G201" i="44" s="1"/>
  <c r="M11" i="44"/>
  <c r="M208" i="44" s="1"/>
  <c r="M19" i="44"/>
  <c r="M216" i="44" s="1"/>
  <c r="G31" i="44"/>
  <c r="G228" i="44" s="1"/>
  <c r="G40" i="44"/>
  <c r="G237" i="44" s="1"/>
  <c r="M51" i="44"/>
  <c r="M248" i="44" s="1"/>
  <c r="G63" i="44"/>
  <c r="G260" i="44" s="1"/>
  <c r="G72" i="44"/>
  <c r="G269" i="44" s="1"/>
  <c r="M83" i="44"/>
  <c r="M280" i="44" s="1"/>
  <c r="G95" i="44"/>
  <c r="G292" i="44" s="1"/>
  <c r="G104" i="44"/>
  <c r="G301" i="44" s="1"/>
  <c r="M115" i="44"/>
  <c r="M312" i="44" s="1"/>
  <c r="G127" i="44"/>
  <c r="G324" i="44" s="1"/>
  <c r="G136" i="44"/>
  <c r="G333" i="44" s="1"/>
  <c r="M147" i="44"/>
  <c r="M344" i="44" s="1"/>
  <c r="G159" i="44"/>
  <c r="G356" i="44" s="1"/>
  <c r="G168" i="44"/>
  <c r="G365" i="44" s="1"/>
  <c r="M179" i="44"/>
  <c r="M376" i="44" s="1"/>
  <c r="G191" i="44"/>
  <c r="G388" i="44" s="1"/>
  <c r="H149" i="44"/>
  <c r="G24" i="44"/>
  <c r="G221" i="44" s="1"/>
  <c r="G56" i="44"/>
  <c r="G253" i="44" s="1"/>
  <c r="M99" i="44"/>
  <c r="M296" i="44" s="1"/>
  <c r="G143" i="44"/>
  <c r="G340" i="44" s="1"/>
  <c r="M163" i="44"/>
  <c r="M360" i="44" s="1"/>
  <c r="Q49" i="44"/>
  <c r="Q246" i="44" s="1"/>
  <c r="G155" i="44"/>
  <c r="G352" i="44" s="1"/>
  <c r="G5" i="44"/>
  <c r="G202" i="44" s="1"/>
  <c r="G12" i="44"/>
  <c r="G209" i="44" s="1"/>
  <c r="G20" i="44"/>
  <c r="G217" i="44" s="1"/>
  <c r="M31" i="44"/>
  <c r="M228" i="44" s="1"/>
  <c r="G43" i="44"/>
  <c r="G240" i="44" s="1"/>
  <c r="G52" i="44"/>
  <c r="G249" i="44" s="1"/>
  <c r="M63" i="44"/>
  <c r="M260" i="44" s="1"/>
  <c r="G75" i="44"/>
  <c r="G272" i="44" s="1"/>
  <c r="G84" i="44"/>
  <c r="G281" i="44" s="1"/>
  <c r="M95" i="44"/>
  <c r="M292" i="44" s="1"/>
  <c r="G107" i="44"/>
  <c r="G304" i="44" s="1"/>
  <c r="G116" i="44"/>
  <c r="G313" i="44" s="1"/>
  <c r="M127" i="44"/>
  <c r="M324" i="44" s="1"/>
  <c r="G139" i="44"/>
  <c r="G336" i="44" s="1"/>
  <c r="G148" i="44"/>
  <c r="G345" i="44" s="1"/>
  <c r="M159" i="44"/>
  <c r="M356" i="44" s="1"/>
  <c r="G171" i="44"/>
  <c r="G368" i="44" s="1"/>
  <c r="G180" i="44"/>
  <c r="M191" i="44"/>
  <c r="K155" i="44"/>
  <c r="K352" i="44" s="1"/>
  <c r="Y111" i="44"/>
  <c r="Y308" i="44" s="1"/>
  <c r="W212" i="44"/>
  <c r="X15" i="44"/>
  <c r="X212" i="44" s="1"/>
  <c r="X120" i="44"/>
  <c r="X317" i="44" s="1"/>
  <c r="W298" i="44"/>
  <c r="X38" i="44"/>
  <c r="X235" i="44" s="1"/>
  <c r="X101" i="44"/>
  <c r="X298" i="44" s="1"/>
  <c r="W317" i="44"/>
  <c r="Y164" i="44"/>
  <c r="Y361" i="44" s="1"/>
  <c r="E7" i="46"/>
  <c r="K7" i="46"/>
  <c r="M388" i="44" l="1"/>
  <c r="G387" i="44"/>
  <c r="M371" i="44"/>
  <c r="K369" i="44"/>
  <c r="E370" i="44"/>
  <c r="E379" i="44"/>
  <c r="L390" i="44"/>
  <c r="Q390" i="44"/>
  <c r="Q261" i="44"/>
  <c r="K389" i="44"/>
  <c r="L387" i="44"/>
  <c r="K268" i="44"/>
  <c r="L266" i="44"/>
  <c r="K267" i="44"/>
  <c r="L265" i="44"/>
  <c r="Q375" i="44"/>
  <c r="Q252" i="44"/>
  <c r="Q267" i="44"/>
  <c r="Q266" i="44"/>
  <c r="Q257" i="44"/>
  <c r="R253" i="44"/>
  <c r="R372" i="44"/>
  <c r="S374" i="44"/>
  <c r="R387" i="44"/>
  <c r="S391" i="44"/>
  <c r="S268" i="44"/>
  <c r="T250" i="44"/>
  <c r="V376" i="44"/>
  <c r="R256" i="44"/>
  <c r="T249" i="44"/>
  <c r="S257" i="44"/>
  <c r="V384" i="44"/>
  <c r="V256" i="44"/>
  <c r="V253" i="44"/>
  <c r="X253" i="44"/>
  <c r="V378" i="44"/>
  <c r="X392" i="44"/>
  <c r="T384" i="44"/>
  <c r="U383" i="44"/>
  <c r="V372" i="44"/>
  <c r="Y372" i="44"/>
  <c r="V379" i="44"/>
  <c r="X379" i="44"/>
  <c r="G261" i="44"/>
  <c r="G377" i="44"/>
  <c r="M369" i="44"/>
  <c r="G391" i="44"/>
  <c r="M375" i="44"/>
  <c r="E388" i="44"/>
  <c r="L374" i="44"/>
  <c r="Q373" i="44"/>
  <c r="R263" i="44"/>
  <c r="K381" i="44"/>
  <c r="L379" i="44"/>
  <c r="Q382" i="44"/>
  <c r="K260" i="44"/>
  <c r="L258" i="44"/>
  <c r="K259" i="44"/>
  <c r="L257" i="44"/>
  <c r="Q259" i="44"/>
  <c r="R255" i="44"/>
  <c r="Q258" i="44"/>
  <c r="R254" i="44"/>
  <c r="Q249" i="44"/>
  <c r="T268" i="44"/>
  <c r="T259" i="44"/>
  <c r="R268" i="44"/>
  <c r="S258" i="44"/>
  <c r="S267" i="44"/>
  <c r="S249" i="44"/>
  <c r="V268" i="44"/>
  <c r="X268" i="44"/>
  <c r="V270" i="44"/>
  <c r="G252" i="44"/>
  <c r="U387" i="44"/>
  <c r="U369" i="44"/>
  <c r="E376" i="44"/>
  <c r="E382" i="44"/>
  <c r="F377" i="44"/>
  <c r="E375" i="44"/>
  <c r="F375" i="44"/>
  <c r="Q384" i="44"/>
  <c r="R381" i="44"/>
  <c r="V373" i="44"/>
  <c r="T377" i="44"/>
  <c r="T252" i="44"/>
  <c r="R250" i="44"/>
  <c r="T262" i="44"/>
  <c r="R385" i="44"/>
  <c r="S389" i="44"/>
  <c r="S266" i="44"/>
  <c r="U371" i="44"/>
  <c r="U250" i="44"/>
  <c r="U388" i="44"/>
  <c r="U272" i="44"/>
  <c r="T391" i="44"/>
  <c r="U249" i="44"/>
  <c r="V261" i="44"/>
  <c r="X261" i="44"/>
  <c r="R373" i="44"/>
  <c r="E374" i="44"/>
  <c r="F389" i="44"/>
  <c r="L389" i="44"/>
  <c r="E377" i="44"/>
  <c r="F374" i="44"/>
  <c r="G392" i="44"/>
  <c r="G382" i="44"/>
  <c r="M382" i="44"/>
  <c r="E373" i="44"/>
  <c r="F372" i="44"/>
  <c r="E372" i="44"/>
  <c r="F371" i="44"/>
  <c r="E369" i="44"/>
  <c r="F369" i="44"/>
  <c r="E256" i="44"/>
  <c r="F256" i="44"/>
  <c r="K392" i="44"/>
  <c r="L382" i="44"/>
  <c r="E271" i="44"/>
  <c r="F271" i="44"/>
  <c r="E270" i="44"/>
  <c r="F270" i="44"/>
  <c r="S260" i="44"/>
  <c r="K262" i="44"/>
  <c r="L260" i="44"/>
  <c r="T389" i="44"/>
  <c r="Q254" i="44"/>
  <c r="S250" i="44"/>
  <c r="S262" i="44"/>
  <c r="T251" i="44"/>
  <c r="S254" i="44"/>
  <c r="S263" i="44"/>
  <c r="U261" i="44"/>
  <c r="V271" i="44"/>
  <c r="K378" i="44"/>
  <c r="L384" i="44"/>
  <c r="K376" i="44"/>
  <c r="Q391" i="44"/>
  <c r="K386" i="44"/>
  <c r="L392" i="44"/>
  <c r="S253" i="44"/>
  <c r="U263" i="44"/>
  <c r="T263" i="44"/>
  <c r="V266" i="44"/>
  <c r="V264" i="44"/>
  <c r="V263" i="44"/>
  <c r="G265" i="44"/>
  <c r="K391" i="44"/>
  <c r="L381" i="44"/>
  <c r="K370" i="44"/>
  <c r="L376" i="44"/>
  <c r="Q389" i="44"/>
  <c r="K388" i="44"/>
  <c r="L386" i="44"/>
  <c r="Q381" i="44"/>
  <c r="K387" i="44"/>
  <c r="L385" i="44"/>
  <c r="Q372" i="44"/>
  <c r="T378" i="44"/>
  <c r="Q387" i="44"/>
  <c r="Q386" i="44"/>
  <c r="U251" i="44"/>
  <c r="S272" i="44"/>
  <c r="T254" i="44"/>
  <c r="V250" i="44"/>
  <c r="V255" i="44"/>
  <c r="F387" i="44"/>
  <c r="F380" i="44"/>
  <c r="K377" i="44"/>
  <c r="L383" i="44"/>
  <c r="K375" i="44"/>
  <c r="K380" i="44"/>
  <c r="L378" i="44"/>
  <c r="R257" i="44"/>
  <c r="U256" i="44"/>
  <c r="R272" i="44"/>
  <c r="T271" i="44"/>
  <c r="T265" i="44"/>
  <c r="S264" i="44"/>
  <c r="V265" i="44"/>
  <c r="X265" i="44"/>
  <c r="V374" i="44"/>
  <c r="X374" i="44"/>
  <c r="G389" i="44"/>
  <c r="R379" i="44"/>
  <c r="S382" i="44"/>
  <c r="R386" i="44"/>
  <c r="S390" i="44"/>
  <c r="T385" i="44"/>
  <c r="T381" i="44"/>
  <c r="V375" i="44"/>
  <c r="V386" i="44"/>
  <c r="X376" i="44"/>
  <c r="T376" i="44"/>
  <c r="U375" i="44"/>
  <c r="V371" i="44"/>
  <c r="X371" i="44"/>
  <c r="V319" i="44"/>
  <c r="G380" i="44"/>
  <c r="S375" i="44"/>
  <c r="R371" i="44"/>
  <c r="S373" i="44"/>
  <c r="R378" i="44"/>
  <c r="S381" i="44"/>
  <c r="T371" i="44"/>
  <c r="T370" i="44"/>
  <c r="V369" i="44"/>
  <c r="U315" i="44"/>
  <c r="T318" i="44"/>
  <c r="V381" i="44"/>
  <c r="V311" i="44"/>
  <c r="M240" i="44"/>
  <c r="W377" i="44"/>
  <c r="U377" i="44"/>
  <c r="U392" i="44"/>
  <c r="U389" i="44"/>
  <c r="U378" i="44"/>
  <c r="X381" i="44"/>
  <c r="X383" i="44"/>
  <c r="Q388" i="44"/>
  <c r="R383" i="44"/>
  <c r="R382" i="44"/>
  <c r="T387" i="44"/>
  <c r="R377" i="44"/>
  <c r="S380" i="44"/>
  <c r="T311" i="44"/>
  <c r="R392" i="44"/>
  <c r="S388" i="44"/>
  <c r="T308" i="44"/>
  <c r="W369" i="44"/>
  <c r="S297" i="44"/>
  <c r="U379" i="44"/>
  <c r="T382" i="44"/>
  <c r="V313" i="44"/>
  <c r="W313" i="44"/>
  <c r="V316" i="44"/>
  <c r="Y316" i="44"/>
  <c r="V318" i="44"/>
  <c r="G316" i="44"/>
  <c r="S387" i="44"/>
  <c r="R391" i="44"/>
  <c r="Q380" i="44"/>
  <c r="Q385" i="44"/>
  <c r="Q376" i="44"/>
  <c r="U384" i="44"/>
  <c r="T375" i="44"/>
  <c r="T386" i="44"/>
  <c r="V389" i="44"/>
  <c r="R369" i="44"/>
  <c r="S371" i="44"/>
  <c r="U304" i="44"/>
  <c r="R384" i="44"/>
  <c r="S379" i="44"/>
  <c r="T297" i="44"/>
  <c r="S385" i="44"/>
  <c r="T392" i="44"/>
  <c r="U370" i="44"/>
  <c r="T373" i="44"/>
  <c r="V383" i="44"/>
  <c r="V317" i="44"/>
  <c r="Y317" i="44"/>
  <c r="V297" i="44"/>
  <c r="X297" i="44"/>
  <c r="T320" i="44"/>
  <c r="U319" i="44"/>
  <c r="V308" i="44"/>
  <c r="X308" i="44"/>
  <c r="V315" i="44"/>
  <c r="Y315" i="44"/>
  <c r="V310" i="44"/>
  <c r="M304" i="44"/>
  <c r="Q377" i="44"/>
  <c r="T390" i="44"/>
  <c r="W385" i="44"/>
  <c r="T372" i="44"/>
  <c r="R376" i="44"/>
  <c r="S370" i="44"/>
  <c r="U372" i="44"/>
  <c r="S377" i="44"/>
  <c r="T383" i="44"/>
  <c r="V301" i="44"/>
  <c r="Y301" i="44"/>
  <c r="T312" i="44"/>
  <c r="U311" i="44"/>
  <c r="V391" i="44"/>
  <c r="V300" i="44"/>
  <c r="Y300" i="44"/>
  <c r="V307" i="44"/>
  <c r="X307" i="44"/>
  <c r="V302" i="44"/>
  <c r="K379" i="44"/>
  <c r="L377" i="44"/>
  <c r="Q379" i="44"/>
  <c r="Q378" i="44"/>
  <c r="Q369" i="44"/>
  <c r="R388" i="44"/>
  <c r="S392" i="44"/>
  <c r="U382" i="44"/>
  <c r="V385" i="44"/>
  <c r="S369" i="44"/>
  <c r="T374" i="44"/>
  <c r="V232" i="44"/>
  <c r="T304" i="44"/>
  <c r="U303" i="44"/>
  <c r="V377" i="44"/>
  <c r="X389" i="44"/>
  <c r="V388" i="44"/>
  <c r="Y388" i="44"/>
  <c r="U300" i="44"/>
  <c r="V299" i="44"/>
  <c r="Y299" i="44"/>
  <c r="V247" i="44"/>
  <c r="V390" i="44"/>
  <c r="X390" i="44"/>
  <c r="X164" i="44"/>
  <c r="X361" i="44" s="1"/>
  <c r="H270" i="44"/>
  <c r="N73" i="44"/>
  <c r="H380" i="44"/>
  <c r="N183" i="44"/>
  <c r="N380" i="44" s="1"/>
  <c r="H361" i="44"/>
  <c r="N164" i="44"/>
  <c r="N361" i="44" s="1"/>
  <c r="H265" i="44"/>
  <c r="N68" i="44"/>
  <c r="N265" i="44" s="1"/>
  <c r="H272" i="44"/>
  <c r="N75" i="44"/>
  <c r="N272" i="44" s="1"/>
  <c r="H287" i="44"/>
  <c r="N90" i="44"/>
  <c r="N287" i="44" s="1"/>
  <c r="H367" i="44"/>
  <c r="N170" i="44"/>
  <c r="N367" i="44" s="1"/>
  <c r="H324" i="44"/>
  <c r="N127" i="44"/>
  <c r="N324" i="44" s="1"/>
  <c r="H213" i="44"/>
  <c r="N16" i="44"/>
  <c r="N213" i="44" s="1"/>
  <c r="H275" i="44"/>
  <c r="N78" i="44"/>
  <c r="N275" i="44" s="1"/>
  <c r="H384" i="44"/>
  <c r="N187" i="44"/>
  <c r="N384" i="44" s="1"/>
  <c r="H355" i="44"/>
  <c r="N158" i="44"/>
  <c r="N355" i="44" s="1"/>
  <c r="H206" i="44"/>
  <c r="N9" i="44"/>
  <c r="N206" i="44" s="1"/>
  <c r="H390" i="44"/>
  <c r="N193" i="44"/>
  <c r="N390" i="44" s="1"/>
  <c r="H259" i="44"/>
  <c r="N62" i="44"/>
  <c r="N259" i="44" s="1"/>
  <c r="H371" i="44"/>
  <c r="N174" i="44"/>
  <c r="N371" i="44" s="1"/>
  <c r="H230" i="44"/>
  <c r="N33" i="44"/>
  <c r="N230" i="44" s="1"/>
  <c r="H282" i="44"/>
  <c r="N85" i="44"/>
  <c r="N282" i="44" s="1"/>
  <c r="H292" i="44"/>
  <c r="N95" i="44"/>
  <c r="N292" i="44" s="1"/>
  <c r="H353" i="44"/>
  <c r="N156" i="44"/>
  <c r="N353" i="44" s="1"/>
  <c r="H257" i="44"/>
  <c r="N60" i="44"/>
  <c r="N257" i="44" s="1"/>
  <c r="H264" i="44"/>
  <c r="N67" i="44"/>
  <c r="N264" i="44" s="1"/>
  <c r="H279" i="44"/>
  <c r="N82" i="44"/>
  <c r="N279" i="44" s="1"/>
  <c r="H221" i="44"/>
  <c r="N24" i="44"/>
  <c r="N221" i="44" s="1"/>
  <c r="H250" i="44"/>
  <c r="N53" i="44"/>
  <c r="N250" i="44" s="1"/>
  <c r="H392" i="44"/>
  <c r="N195" i="44"/>
  <c r="N392" i="44" s="1"/>
  <c r="H237" i="44"/>
  <c r="N40" i="44"/>
  <c r="N237" i="44" s="1"/>
  <c r="H358" i="44"/>
  <c r="N161" i="44"/>
  <c r="H344" i="44"/>
  <c r="N147" i="44"/>
  <c r="N344" i="44" s="1"/>
  <c r="H381" i="44"/>
  <c r="N184" i="44"/>
  <c r="N381" i="44" s="1"/>
  <c r="H245" i="44"/>
  <c r="N48" i="44"/>
  <c r="N245" i="44" s="1"/>
  <c r="H362" i="44"/>
  <c r="N165" i="44"/>
  <c r="N362" i="44" s="1"/>
  <c r="H219" i="44"/>
  <c r="N22" i="44"/>
  <c r="N219" i="44" s="1"/>
  <c r="H268" i="44"/>
  <c r="N71" i="44"/>
  <c r="N268" i="44" s="1"/>
  <c r="H278" i="44"/>
  <c r="N81" i="44"/>
  <c r="N278" i="44" s="1"/>
  <c r="H345" i="44"/>
  <c r="N148" i="44"/>
  <c r="N345" i="44" s="1"/>
  <c r="H249" i="44"/>
  <c r="N52" i="44"/>
  <c r="N249" i="44" s="1"/>
  <c r="H256" i="44"/>
  <c r="N59" i="44"/>
  <c r="N256" i="44" s="1"/>
  <c r="H271" i="44"/>
  <c r="N74" i="44"/>
  <c r="N271" i="44" s="1"/>
  <c r="H251" i="44"/>
  <c r="N54" i="44"/>
  <c r="N251" i="44" s="1"/>
  <c r="H334" i="44"/>
  <c r="N137" i="44"/>
  <c r="N334" i="44" s="1"/>
  <c r="H333" i="44"/>
  <c r="N136" i="44"/>
  <c r="N333" i="44" s="1"/>
  <c r="H372" i="44"/>
  <c r="N175" i="44"/>
  <c r="N372" i="44" s="1"/>
  <c r="H234" i="44"/>
  <c r="N37" i="44"/>
  <c r="N234" i="44" s="1"/>
  <c r="H352" i="44"/>
  <c r="N155" i="44"/>
  <c r="N352" i="44" s="1"/>
  <c r="H204" i="44"/>
  <c r="N7" i="44"/>
  <c r="N204" i="44" s="1"/>
  <c r="H388" i="44"/>
  <c r="N191" i="44"/>
  <c r="N388" i="44" s="1"/>
  <c r="H254" i="44"/>
  <c r="N57" i="44"/>
  <c r="N254" i="44" s="1"/>
  <c r="H267" i="44"/>
  <c r="N70" i="44"/>
  <c r="N267" i="44" s="1"/>
  <c r="H337" i="44"/>
  <c r="N140" i="44"/>
  <c r="N337" i="44" s="1"/>
  <c r="H241" i="44"/>
  <c r="N44" i="44"/>
  <c r="N241" i="44" s="1"/>
  <c r="H248" i="44"/>
  <c r="N51" i="44"/>
  <c r="N248" i="44" s="1"/>
  <c r="H263" i="44"/>
  <c r="N66" i="44"/>
  <c r="N263" i="44" s="1"/>
  <c r="H301" i="44"/>
  <c r="N104" i="44"/>
  <c r="N301" i="44" s="1"/>
  <c r="H341" i="44"/>
  <c r="N144" i="44"/>
  <c r="N341" i="44" s="1"/>
  <c r="H379" i="44"/>
  <c r="N182" i="44"/>
  <c r="N379" i="44" s="1"/>
  <c r="H253" i="44"/>
  <c r="N56" i="44"/>
  <c r="N253" i="44" s="1"/>
  <c r="H329" i="44"/>
  <c r="N132" i="44"/>
  <c r="N329" i="44" s="1"/>
  <c r="H351" i="44"/>
  <c r="N154" i="44"/>
  <c r="N351" i="44" s="1"/>
  <c r="H302" i="44"/>
  <c r="N105" i="44"/>
  <c r="N302" i="44" s="1"/>
  <c r="H364" i="44"/>
  <c r="N167" i="44"/>
  <c r="N364" i="44" s="1"/>
  <c r="H244" i="44"/>
  <c r="N47" i="44"/>
  <c r="N244" i="44" s="1"/>
  <c r="H293" i="44"/>
  <c r="N96" i="44"/>
  <c r="N293" i="44" s="1"/>
  <c r="H306" i="44"/>
  <c r="N109" i="44"/>
  <c r="N306" i="44" s="1"/>
  <c r="H252" i="44"/>
  <c r="N55" i="44"/>
  <c r="N252" i="44" s="1"/>
  <c r="H366" i="44"/>
  <c r="N169" i="44"/>
  <c r="N366" i="44" s="1"/>
  <c r="H338" i="44"/>
  <c r="N141" i="44"/>
  <c r="N338" i="44" s="1"/>
  <c r="H383" i="44"/>
  <c r="N186" i="44"/>
  <c r="N383" i="44" s="1"/>
  <c r="H323" i="44"/>
  <c r="N126" i="44"/>
  <c r="N323" i="44" s="1"/>
  <c r="H363" i="44"/>
  <c r="N166" i="44"/>
  <c r="N363" i="44" s="1"/>
  <c r="H220" i="44"/>
  <c r="N23" i="44"/>
  <c r="N220" i="44" s="1"/>
  <c r="H243" i="44"/>
  <c r="N46" i="44"/>
  <c r="N243" i="44" s="1"/>
  <c r="H387" i="44"/>
  <c r="N190" i="44"/>
  <c r="H233" i="44"/>
  <c r="N36" i="44"/>
  <c r="N233" i="44" s="1"/>
  <c r="H240" i="44"/>
  <c r="N43" i="44"/>
  <c r="N240" i="44" s="1"/>
  <c r="H255" i="44"/>
  <c r="N58" i="44"/>
  <c r="N255" i="44" s="1"/>
  <c r="H314" i="44"/>
  <c r="N117" i="44"/>
  <c r="N314" i="44" s="1"/>
  <c r="H266" i="44"/>
  <c r="N69" i="44"/>
  <c r="N266" i="44" s="1"/>
  <c r="H357" i="44"/>
  <c r="N160" i="44"/>
  <c r="N357" i="44" s="1"/>
  <c r="H376" i="44"/>
  <c r="N179" i="44"/>
  <c r="N376" i="44" s="1"/>
  <c r="H310" i="44"/>
  <c r="N113" i="44"/>
  <c r="N310" i="44" s="1"/>
  <c r="H354" i="44"/>
  <c r="N157" i="44"/>
  <c r="N354" i="44" s="1"/>
  <c r="H205" i="44"/>
  <c r="N8" i="44"/>
  <c r="N205" i="44" s="1"/>
  <c r="H331" i="44"/>
  <c r="N134" i="44"/>
  <c r="N331" i="44" s="1"/>
  <c r="H370" i="44"/>
  <c r="N173" i="44"/>
  <c r="N370" i="44" s="1"/>
  <c r="H229" i="44"/>
  <c r="N32" i="44"/>
  <c r="N229" i="44" s="1"/>
  <c r="H378" i="44"/>
  <c r="N181" i="44"/>
  <c r="N378" i="44" s="1"/>
  <c r="H242" i="44"/>
  <c r="N45" i="44"/>
  <c r="N242" i="44" s="1"/>
  <c r="H321" i="44"/>
  <c r="N124" i="44"/>
  <c r="N321" i="44" s="1"/>
  <c r="H225" i="44"/>
  <c r="N28" i="44"/>
  <c r="N225" i="44" s="1"/>
  <c r="H232" i="44"/>
  <c r="N35" i="44"/>
  <c r="N232" i="44" s="1"/>
  <c r="H343" i="44"/>
  <c r="N146" i="44"/>
  <c r="N343" i="44" s="1"/>
  <c r="H247" i="44"/>
  <c r="N50" i="44"/>
  <c r="N247" i="44" s="1"/>
  <c r="H375" i="44"/>
  <c r="N178" i="44"/>
  <c r="N375" i="44" s="1"/>
  <c r="H276" i="44"/>
  <c r="N79" i="44"/>
  <c r="N276" i="44" s="1"/>
  <c r="H236" i="44"/>
  <c r="N39" i="44"/>
  <c r="N236" i="44" s="1"/>
  <c r="H326" i="44"/>
  <c r="N129" i="44"/>
  <c r="N326" i="44" s="1"/>
  <c r="H356" i="44"/>
  <c r="N159" i="44"/>
  <c r="N356" i="44" s="1"/>
  <c r="H299" i="44"/>
  <c r="N102" i="44"/>
  <c r="N299" i="44" s="1"/>
  <c r="H342" i="44"/>
  <c r="N145" i="44"/>
  <c r="N342" i="44" s="1"/>
  <c r="H320" i="44"/>
  <c r="N123" i="44"/>
  <c r="N320" i="44" s="1"/>
  <c r="H360" i="44"/>
  <c r="N163" i="44"/>
  <c r="N360" i="44" s="1"/>
  <c r="H218" i="44"/>
  <c r="N21" i="44"/>
  <c r="N218" i="44" s="1"/>
  <c r="H368" i="44"/>
  <c r="N171" i="44"/>
  <c r="N368" i="44" s="1"/>
  <c r="H228" i="44"/>
  <c r="N31" i="44"/>
  <c r="N228" i="44" s="1"/>
  <c r="H313" i="44"/>
  <c r="N116" i="44"/>
  <c r="N313" i="44" s="1"/>
  <c r="H217" i="44"/>
  <c r="N20" i="44"/>
  <c r="N217" i="44" s="1"/>
  <c r="H224" i="44"/>
  <c r="N27" i="44"/>
  <c r="N224" i="44" s="1"/>
  <c r="H335" i="44"/>
  <c r="N138" i="44"/>
  <c r="H239" i="44"/>
  <c r="N42" i="44"/>
  <c r="N239" i="44" s="1"/>
  <c r="H348" i="44"/>
  <c r="N151" i="44"/>
  <c r="N348" i="44" s="1"/>
  <c r="H277" i="44"/>
  <c r="N80" i="44"/>
  <c r="N277" i="44" s="1"/>
  <c r="H238" i="44"/>
  <c r="N41" i="44"/>
  <c r="N238" i="44" s="1"/>
  <c r="H300" i="44"/>
  <c r="N103" i="44"/>
  <c r="N300" i="44" s="1"/>
  <c r="H325" i="44"/>
  <c r="N128" i="44"/>
  <c r="N325" i="44" s="1"/>
  <c r="H285" i="44"/>
  <c r="N88" i="44"/>
  <c r="N285" i="44" s="1"/>
  <c r="H332" i="44"/>
  <c r="N135" i="44"/>
  <c r="N332" i="44" s="1"/>
  <c r="H308" i="44"/>
  <c r="N111" i="44"/>
  <c r="N308" i="44" s="1"/>
  <c r="H350" i="44"/>
  <c r="N153" i="44"/>
  <c r="N350" i="44" s="1"/>
  <c r="H203" i="44"/>
  <c r="N6" i="44"/>
  <c r="N203" i="44" s="1"/>
  <c r="H359" i="44"/>
  <c r="N162" i="44"/>
  <c r="N359" i="44" s="1"/>
  <c r="H214" i="44"/>
  <c r="N17" i="44"/>
  <c r="N214" i="44" s="1"/>
  <c r="H305" i="44"/>
  <c r="N108" i="44"/>
  <c r="N305" i="44" s="1"/>
  <c r="H209" i="44"/>
  <c r="N12" i="44"/>
  <c r="N209" i="44" s="1"/>
  <c r="H312" i="44"/>
  <c r="N115" i="44"/>
  <c r="N312" i="44" s="1"/>
  <c r="H216" i="44"/>
  <c r="N19" i="44"/>
  <c r="N216" i="44" s="1"/>
  <c r="H327" i="44"/>
  <c r="N130" i="44"/>
  <c r="N327" i="44" s="1"/>
  <c r="H231" i="44"/>
  <c r="N34" i="44"/>
  <c r="N231" i="44" s="1"/>
  <c r="H222" i="44"/>
  <c r="N25" i="44"/>
  <c r="N222" i="44" s="1"/>
  <c r="H374" i="44"/>
  <c r="N177" i="44"/>
  <c r="N374" i="44" s="1"/>
  <c r="H262" i="44"/>
  <c r="N65" i="44"/>
  <c r="N262" i="44" s="1"/>
  <c r="H291" i="44"/>
  <c r="N94" i="44"/>
  <c r="N291" i="44" s="1"/>
  <c r="H349" i="44"/>
  <c r="N152" i="44"/>
  <c r="N349" i="44" s="1"/>
  <c r="H201" i="44"/>
  <c r="N4" i="44"/>
  <c r="N201" i="44" s="1"/>
  <c r="H319" i="44"/>
  <c r="N122" i="44"/>
  <c r="N319" i="44" s="1"/>
  <c r="H290" i="44"/>
  <c r="N93" i="44"/>
  <c r="N290" i="44" s="1"/>
  <c r="H347" i="44"/>
  <c r="N150" i="44"/>
  <c r="N347" i="44" s="1"/>
  <c r="H261" i="44"/>
  <c r="N64" i="44"/>
  <c r="N261" i="44" s="1"/>
  <c r="H391" i="44"/>
  <c r="N194" i="44"/>
  <c r="N391" i="44" s="1"/>
  <c r="H260" i="44"/>
  <c r="N63" i="44"/>
  <c r="N260" i="44" s="1"/>
  <c r="H309" i="44"/>
  <c r="N112" i="44"/>
  <c r="N309" i="44" s="1"/>
  <c r="H283" i="44"/>
  <c r="N86" i="44"/>
  <c r="N283" i="44" s="1"/>
  <c r="H330" i="44"/>
  <c r="N133" i="44"/>
  <c r="N330" i="44" s="1"/>
  <c r="H339" i="44"/>
  <c r="N142" i="44"/>
  <c r="N339" i="44" s="1"/>
  <c r="H385" i="44"/>
  <c r="N188" i="44"/>
  <c r="N385" i="44" s="1"/>
  <c r="H289" i="44"/>
  <c r="N92" i="44"/>
  <c r="H296" i="44"/>
  <c r="N99" i="44"/>
  <c r="N296" i="44" s="1"/>
  <c r="H311" i="44"/>
  <c r="N114" i="44"/>
  <c r="N311" i="44" s="1"/>
  <c r="H215" i="44"/>
  <c r="N18" i="44"/>
  <c r="N215" i="44" s="1"/>
  <c r="H274" i="44"/>
  <c r="N77" i="44"/>
  <c r="N274" i="44" s="1"/>
  <c r="H322" i="44"/>
  <c r="N125" i="44"/>
  <c r="N322" i="44" s="1"/>
  <c r="H294" i="44"/>
  <c r="N97" i="44"/>
  <c r="N294" i="44" s="1"/>
  <c r="H340" i="44"/>
  <c r="N143" i="44"/>
  <c r="N340" i="44" s="1"/>
  <c r="H304" i="44"/>
  <c r="N107" i="44"/>
  <c r="N304" i="44" s="1"/>
  <c r="H223" i="44"/>
  <c r="N26" i="44"/>
  <c r="N223" i="44" s="1"/>
  <c r="H386" i="44"/>
  <c r="N189" i="44"/>
  <c r="N386" i="44" s="1"/>
  <c r="H226" i="44"/>
  <c r="N29" i="44"/>
  <c r="N226" i="44" s="1"/>
  <c r="H246" i="44"/>
  <c r="N49" i="44"/>
  <c r="N246" i="44" s="1"/>
  <c r="H269" i="44"/>
  <c r="N72" i="44"/>
  <c r="N269" i="44" s="1"/>
  <c r="H318" i="44"/>
  <c r="N121" i="44"/>
  <c r="N318" i="44" s="1"/>
  <c r="H328" i="44"/>
  <c r="N131" i="44"/>
  <c r="N328" i="44" s="1"/>
  <c r="H210" i="44"/>
  <c r="N13" i="44"/>
  <c r="N210" i="44" s="1"/>
  <c r="H377" i="44"/>
  <c r="N180" i="44"/>
  <c r="N377" i="44" s="1"/>
  <c r="H281" i="44"/>
  <c r="N84" i="44"/>
  <c r="N281" i="44" s="1"/>
  <c r="H288" i="44"/>
  <c r="N91" i="44"/>
  <c r="N288" i="44" s="1"/>
  <c r="H303" i="44"/>
  <c r="N106" i="44"/>
  <c r="N303" i="44" s="1"/>
  <c r="H207" i="44"/>
  <c r="N10" i="44"/>
  <c r="N207" i="44" s="1"/>
  <c r="H346" i="44"/>
  <c r="N149" i="44"/>
  <c r="N346" i="44" s="1"/>
  <c r="H211" i="44"/>
  <c r="N14" i="44"/>
  <c r="N211" i="44" s="1"/>
  <c r="H297" i="44"/>
  <c r="N100" i="44"/>
  <c r="N297" i="44" s="1"/>
  <c r="H208" i="44"/>
  <c r="N11" i="44"/>
  <c r="N208" i="44" s="1"/>
  <c r="H227" i="44"/>
  <c r="N30" i="44"/>
  <c r="N227" i="44" s="1"/>
  <c r="H316" i="44"/>
  <c r="N119" i="44"/>
  <c r="N316" i="44" s="1"/>
  <c r="H365" i="44"/>
  <c r="N168" i="44"/>
  <c r="N365" i="44" s="1"/>
  <c r="H382" i="44"/>
  <c r="N185" i="44"/>
  <c r="N382" i="44" s="1"/>
  <c r="H298" i="44"/>
  <c r="N101" i="44"/>
  <c r="N298" i="44" s="1"/>
  <c r="H212" i="44"/>
  <c r="N15" i="44"/>
  <c r="N212" i="44" s="1"/>
  <c r="H315" i="44"/>
  <c r="N118" i="44"/>
  <c r="N315" i="44" s="1"/>
  <c r="H286" i="44"/>
  <c r="N89" i="44"/>
  <c r="N286" i="44" s="1"/>
  <c r="H336" i="44"/>
  <c r="N139" i="44"/>
  <c r="N336" i="44" s="1"/>
  <c r="H373" i="44"/>
  <c r="N176" i="44"/>
  <c r="N373" i="44" s="1"/>
  <c r="H235" i="44"/>
  <c r="N38" i="44"/>
  <c r="N235" i="44" s="1"/>
  <c r="H284" i="44"/>
  <c r="N87" i="44"/>
  <c r="N284" i="44" s="1"/>
  <c r="H389" i="44"/>
  <c r="N192" i="44"/>
  <c r="N389" i="44" s="1"/>
  <c r="H258" i="44"/>
  <c r="N61" i="44"/>
  <c r="N258" i="44" s="1"/>
  <c r="H307" i="44"/>
  <c r="N110" i="44"/>
  <c r="N307" i="44" s="1"/>
  <c r="H317" i="44"/>
  <c r="N120" i="44"/>
  <c r="N317" i="44" s="1"/>
  <c r="H202" i="44"/>
  <c r="N5" i="44"/>
  <c r="N202" i="44" s="1"/>
  <c r="H369" i="44"/>
  <c r="N172" i="44"/>
  <c r="N369" i="44" s="1"/>
  <c r="H273" i="44"/>
  <c r="N76" i="44"/>
  <c r="N273" i="44" s="1"/>
  <c r="H280" i="44"/>
  <c r="N83" i="44"/>
  <c r="N280" i="44" s="1"/>
  <c r="H295" i="44"/>
  <c r="N98" i="44"/>
  <c r="N295" i="44" s="1"/>
  <c r="I398" i="44"/>
  <c r="I471" i="44" s="1"/>
  <c r="X191" i="44"/>
  <c r="X388" i="44" s="1"/>
  <c r="X175" i="44"/>
  <c r="X372" i="44" s="1"/>
  <c r="W372" i="44"/>
  <c r="W388" i="44"/>
  <c r="J306" i="44"/>
  <c r="Y156" i="44"/>
  <c r="Y353" i="44" s="1"/>
  <c r="X156" i="44"/>
  <c r="X353" i="44" s="1"/>
  <c r="W306" i="44"/>
  <c r="X117" i="44"/>
  <c r="X314" i="44" s="1"/>
  <c r="X102" i="44"/>
  <c r="X299" i="44" s="1"/>
  <c r="J312" i="44"/>
  <c r="X95" i="44"/>
  <c r="X292" i="44" s="1"/>
  <c r="Y95" i="44"/>
  <c r="Y292" i="44" s="1"/>
  <c r="W299" i="44"/>
  <c r="W314" i="44"/>
  <c r="X188" i="44"/>
  <c r="X385" i="44" s="1"/>
  <c r="Y188" i="44"/>
  <c r="Y385" i="44" s="1"/>
  <c r="W308" i="44"/>
  <c r="W380" i="44"/>
  <c r="J282" i="44"/>
  <c r="X183" i="44"/>
  <c r="X380" i="44" s="1"/>
  <c r="X109" i="44"/>
  <c r="X306" i="44" s="1"/>
  <c r="J253" i="44"/>
  <c r="J219" i="44"/>
  <c r="W316" i="44"/>
  <c r="J333" i="44"/>
  <c r="X127" i="44"/>
  <c r="X324" i="44" s="1"/>
  <c r="Y127" i="44"/>
  <c r="Y324" i="44" s="1"/>
  <c r="W309" i="44"/>
  <c r="X119" i="44"/>
  <c r="X316" i="44" s="1"/>
  <c r="X112" i="44"/>
  <c r="X309" i="44" s="1"/>
  <c r="Y140" i="44"/>
  <c r="Y337" i="44" s="1"/>
  <c r="I312" i="44"/>
  <c r="X140" i="44"/>
  <c r="X337" i="44" s="1"/>
  <c r="W315" i="44"/>
  <c r="X118" i="44"/>
  <c r="X315" i="44" s="1"/>
  <c r="J284" i="44"/>
  <c r="I292" i="44"/>
  <c r="J340" i="44"/>
  <c r="J355" i="44"/>
  <c r="J362" i="44"/>
  <c r="X143" i="44"/>
  <c r="X340" i="44" s="1"/>
  <c r="J325" i="44"/>
  <c r="J346" i="44"/>
  <c r="X116" i="44"/>
  <c r="X313" i="44" s="1"/>
  <c r="Y116" i="44"/>
  <c r="Y313" i="44" s="1"/>
  <c r="W348" i="44"/>
  <c r="X135" i="44"/>
  <c r="X332" i="44" s="1"/>
  <c r="W332" i="44"/>
  <c r="W340" i="44"/>
  <c r="J276" i="44"/>
  <c r="X172" i="44"/>
  <c r="X369" i="44" s="1"/>
  <c r="Y172" i="44"/>
  <c r="Y369" i="44" s="1"/>
  <c r="J292" i="44"/>
  <c r="X132" i="44"/>
  <c r="X329" i="44" s="1"/>
  <c r="W356" i="44"/>
  <c r="X148" i="44"/>
  <c r="X345" i="44" s="1"/>
  <c r="Y148" i="44"/>
  <c r="Y345" i="44" s="1"/>
  <c r="J261" i="44"/>
  <c r="Y132" i="44"/>
  <c r="Y329" i="44" s="1"/>
  <c r="X7" i="44"/>
  <c r="X204" i="44" s="1"/>
  <c r="W204" i="44"/>
  <c r="X159" i="44"/>
  <c r="X356" i="44" s="1"/>
  <c r="J204" i="44"/>
  <c r="I204" i="44"/>
  <c r="T398" i="44"/>
  <c r="T533" i="44" s="1"/>
  <c r="Y180" i="44"/>
  <c r="Y377" i="44" s="1"/>
  <c r="J226" i="44"/>
  <c r="J388" i="44"/>
  <c r="W398" i="44"/>
  <c r="X151" i="44"/>
  <c r="X348" i="44" s="1"/>
  <c r="X180" i="44"/>
  <c r="X377" i="44" s="1"/>
  <c r="J356" i="44"/>
  <c r="I356" i="44"/>
  <c r="P322" i="44"/>
  <c r="O322" i="44"/>
  <c r="O265" i="44"/>
  <c r="P265" i="44"/>
  <c r="J266" i="44"/>
  <c r="I266" i="44"/>
  <c r="I389" i="44"/>
  <c r="I215" i="44"/>
  <c r="J215" i="44"/>
  <c r="X167" i="44"/>
  <c r="X364" i="44" s="1"/>
  <c r="J218" i="44"/>
  <c r="X124" i="44"/>
  <c r="X321" i="44" s="1"/>
  <c r="L398" i="44"/>
  <c r="L560" i="44" s="1"/>
  <c r="X104" i="44"/>
  <c r="X301" i="44" s="1"/>
  <c r="J246" i="44"/>
  <c r="O201" i="44"/>
  <c r="O314" i="44"/>
  <c r="P314" i="44"/>
  <c r="O391" i="44"/>
  <c r="P391" i="44"/>
  <c r="J385" i="44"/>
  <c r="I385" i="44"/>
  <c r="J308" i="44"/>
  <c r="I308" i="44"/>
  <c r="O335" i="44"/>
  <c r="P335" i="44"/>
  <c r="I285" i="44"/>
  <c r="O271" i="44"/>
  <c r="P271" i="44"/>
  <c r="J262" i="44"/>
  <c r="I262" i="44"/>
  <c r="O231" i="44"/>
  <c r="P231" i="44"/>
  <c r="J343" i="44"/>
  <c r="I343" i="44"/>
  <c r="O377" i="44"/>
  <c r="P377" i="44"/>
  <c r="J298" i="44"/>
  <c r="I298" i="44"/>
  <c r="J231" i="44"/>
  <c r="I231" i="44"/>
  <c r="O344" i="44"/>
  <c r="P344" i="44"/>
  <c r="O255" i="44"/>
  <c r="P255" i="44"/>
  <c r="J318" i="44"/>
  <c r="I318" i="44"/>
  <c r="J251" i="44"/>
  <c r="I251" i="44"/>
  <c r="O375" i="44"/>
  <c r="P375" i="44"/>
  <c r="O289" i="44"/>
  <c r="P289" i="44"/>
  <c r="J281" i="44"/>
  <c r="I281" i="44"/>
  <c r="J221" i="44"/>
  <c r="I221" i="44"/>
  <c r="O320" i="44"/>
  <c r="P320" i="44"/>
  <c r="O224" i="44"/>
  <c r="P224" i="44"/>
  <c r="J330" i="44"/>
  <c r="I330" i="44"/>
  <c r="J257" i="44"/>
  <c r="I257" i="44"/>
  <c r="O383" i="44"/>
  <c r="P383" i="44"/>
  <c r="O297" i="44"/>
  <c r="P297" i="44"/>
  <c r="J359" i="44"/>
  <c r="I359" i="44"/>
  <c r="I302" i="44"/>
  <c r="J302" i="44"/>
  <c r="J241" i="44"/>
  <c r="I241" i="44"/>
  <c r="O360" i="44"/>
  <c r="P360" i="44"/>
  <c r="O273" i="44"/>
  <c r="P273" i="44"/>
  <c r="O358" i="44"/>
  <c r="P358" i="44"/>
  <c r="O294" i="44"/>
  <c r="P294" i="44"/>
  <c r="P230" i="44"/>
  <c r="O230" i="44"/>
  <c r="O261" i="44"/>
  <c r="P261" i="44"/>
  <c r="O228" i="44"/>
  <c r="P228" i="44"/>
  <c r="O363" i="44"/>
  <c r="P363" i="44"/>
  <c r="O299" i="44"/>
  <c r="P299" i="44"/>
  <c r="O235" i="44"/>
  <c r="P235" i="44"/>
  <c r="Y187" i="44"/>
  <c r="Y384" i="44" s="1"/>
  <c r="X187" i="44"/>
  <c r="X384" i="44" s="1"/>
  <c r="W384" i="44"/>
  <c r="Y45" i="44"/>
  <c r="Y242" i="44" s="1"/>
  <c r="X45" i="44"/>
  <c r="X242" i="44" s="1"/>
  <c r="W242" i="44"/>
  <c r="Y136" i="44"/>
  <c r="Y333" i="44" s="1"/>
  <c r="W333" i="44"/>
  <c r="X4" i="44"/>
  <c r="X201" i="44" s="1"/>
  <c r="W201" i="44"/>
  <c r="Y85" i="44"/>
  <c r="Y282" i="44" s="1"/>
  <c r="W282" i="44"/>
  <c r="Y147" i="44"/>
  <c r="Y344" i="44" s="1"/>
  <c r="X147" i="44"/>
  <c r="X344" i="44" s="1"/>
  <c r="W344" i="44"/>
  <c r="Y19" i="44"/>
  <c r="Y216" i="44" s="1"/>
  <c r="W216" i="44"/>
  <c r="X19" i="44"/>
  <c r="X216" i="44" s="1"/>
  <c r="Y55" i="44"/>
  <c r="Y252" i="44" s="1"/>
  <c r="W252" i="44"/>
  <c r="Y158" i="44"/>
  <c r="Y355" i="44" s="1"/>
  <c r="W355" i="44"/>
  <c r="Y94" i="44"/>
  <c r="Y291" i="44" s="1"/>
  <c r="W291" i="44"/>
  <c r="Y30" i="44"/>
  <c r="Y227" i="44" s="1"/>
  <c r="X30" i="44"/>
  <c r="X227" i="44" s="1"/>
  <c r="W227" i="44"/>
  <c r="Y170" i="44"/>
  <c r="Y367" i="44" s="1"/>
  <c r="X170" i="44"/>
  <c r="X367" i="44" s="1"/>
  <c r="W367" i="44"/>
  <c r="Y106" i="44"/>
  <c r="Y303" i="44" s="1"/>
  <c r="X106" i="44"/>
  <c r="X303" i="44" s="1"/>
  <c r="W303" i="44"/>
  <c r="Y42" i="44"/>
  <c r="Y239" i="44" s="1"/>
  <c r="X42" i="44"/>
  <c r="X239" i="44" s="1"/>
  <c r="W239" i="44"/>
  <c r="Y153" i="44"/>
  <c r="Y350" i="44" s="1"/>
  <c r="W350" i="44"/>
  <c r="Y89" i="44"/>
  <c r="Y286" i="44" s="1"/>
  <c r="X89" i="44"/>
  <c r="X286" i="44" s="1"/>
  <c r="W286" i="44"/>
  <c r="Y25" i="44"/>
  <c r="Y222" i="44" s="1"/>
  <c r="X25" i="44"/>
  <c r="X222" i="44" s="1"/>
  <c r="W222" i="44"/>
  <c r="O226" i="44"/>
  <c r="P226" i="44"/>
  <c r="O384" i="44"/>
  <c r="P384" i="44"/>
  <c r="J242" i="44"/>
  <c r="I242" i="44"/>
  <c r="J344" i="44"/>
  <c r="I344" i="44"/>
  <c r="J232" i="44"/>
  <c r="I232" i="44"/>
  <c r="Y124" i="44"/>
  <c r="Y321" i="44" s="1"/>
  <c r="K398" i="44"/>
  <c r="K496" i="44" s="1"/>
  <c r="J389" i="44"/>
  <c r="J383" i="44"/>
  <c r="O367" i="44"/>
  <c r="P367" i="44"/>
  <c r="I207" i="44"/>
  <c r="J207" i="44"/>
  <c r="P284" i="44"/>
  <c r="O284" i="44"/>
  <c r="P281" i="44"/>
  <c r="O281" i="44"/>
  <c r="J370" i="44"/>
  <c r="I370" i="44"/>
  <c r="J209" i="44"/>
  <c r="I209" i="44"/>
  <c r="J286" i="44"/>
  <c r="I286" i="44"/>
  <c r="O304" i="44"/>
  <c r="P304" i="44"/>
  <c r="Y59" i="44"/>
  <c r="Y256" i="44" s="1"/>
  <c r="X59" i="44"/>
  <c r="X256" i="44" s="1"/>
  <c r="W256" i="44"/>
  <c r="J263" i="44"/>
  <c r="I263" i="44"/>
  <c r="O233" i="44"/>
  <c r="P233" i="44"/>
  <c r="J377" i="44"/>
  <c r="I377" i="44"/>
  <c r="I224" i="44"/>
  <c r="J224" i="44"/>
  <c r="J392" i="44"/>
  <c r="I392" i="44"/>
  <c r="J240" i="44"/>
  <c r="I240" i="44"/>
  <c r="J328" i="44"/>
  <c r="I328" i="44"/>
  <c r="O346" i="44"/>
  <c r="P346" i="44"/>
  <c r="J291" i="44"/>
  <c r="I291" i="44"/>
  <c r="J223" i="44"/>
  <c r="I223" i="44"/>
  <c r="P333" i="44"/>
  <c r="O333" i="44"/>
  <c r="O241" i="44"/>
  <c r="P241" i="44"/>
  <c r="J391" i="44"/>
  <c r="I391" i="44"/>
  <c r="J305" i="44"/>
  <c r="I305" i="44"/>
  <c r="J244" i="44"/>
  <c r="I244" i="44"/>
  <c r="P364" i="44"/>
  <c r="O364" i="44"/>
  <c r="O279" i="44"/>
  <c r="P279" i="44"/>
  <c r="J339" i="44"/>
  <c r="I339" i="44"/>
  <c r="J274" i="44"/>
  <c r="I274" i="44"/>
  <c r="J202" i="44"/>
  <c r="I202" i="44"/>
  <c r="O309" i="44"/>
  <c r="P309" i="44"/>
  <c r="O208" i="44"/>
  <c r="P208" i="44"/>
  <c r="J322" i="44"/>
  <c r="I322" i="44"/>
  <c r="J249" i="44"/>
  <c r="I249" i="44"/>
  <c r="O372" i="44"/>
  <c r="P372" i="44"/>
  <c r="O287" i="44"/>
  <c r="P287" i="44"/>
  <c r="J352" i="44"/>
  <c r="I352" i="44"/>
  <c r="J295" i="44"/>
  <c r="I295" i="44"/>
  <c r="J234" i="44"/>
  <c r="I234" i="44"/>
  <c r="O349" i="44"/>
  <c r="P349" i="44"/>
  <c r="P260" i="44"/>
  <c r="O260" i="44"/>
  <c r="O350" i="44"/>
  <c r="P350" i="44"/>
  <c r="O286" i="44"/>
  <c r="P286" i="44"/>
  <c r="O222" i="44"/>
  <c r="P222" i="44"/>
  <c r="O253" i="44"/>
  <c r="P253" i="44"/>
  <c r="O220" i="44"/>
  <c r="P220" i="44"/>
  <c r="O355" i="44"/>
  <c r="P355" i="44"/>
  <c r="O291" i="44"/>
  <c r="P291" i="44"/>
  <c r="P227" i="44"/>
  <c r="O227" i="44"/>
  <c r="Y93" i="44"/>
  <c r="Y290" i="44" s="1"/>
  <c r="W290" i="44"/>
  <c r="Y5" i="44"/>
  <c r="Y202" i="44" s="1"/>
  <c r="X5" i="44"/>
  <c r="X202" i="44" s="1"/>
  <c r="W202" i="44"/>
  <c r="Y125" i="44"/>
  <c r="Y322" i="44" s="1"/>
  <c r="X125" i="44"/>
  <c r="X322" i="44" s="1"/>
  <c r="W322" i="44"/>
  <c r="Y171" i="44"/>
  <c r="Y368" i="44" s="1"/>
  <c r="X171" i="44"/>
  <c r="X368" i="44" s="1"/>
  <c r="W368" i="44"/>
  <c r="Y75" i="44"/>
  <c r="Y272" i="44" s="1"/>
  <c r="X75" i="44"/>
  <c r="X272" i="44" s="1"/>
  <c r="W272" i="44"/>
  <c r="Y69" i="44"/>
  <c r="Y266" i="44" s="1"/>
  <c r="X69" i="44"/>
  <c r="X266" i="44" s="1"/>
  <c r="W266" i="44"/>
  <c r="Y100" i="44"/>
  <c r="Y297" i="44" s="1"/>
  <c r="W297" i="44"/>
  <c r="Y131" i="44"/>
  <c r="Y328" i="44" s="1"/>
  <c r="X131" i="44"/>
  <c r="X328" i="44" s="1"/>
  <c r="W328" i="44"/>
  <c r="Y96" i="44"/>
  <c r="Y293" i="44" s="1"/>
  <c r="W293" i="44"/>
  <c r="Y47" i="44"/>
  <c r="Y244" i="44" s="1"/>
  <c r="W244" i="44"/>
  <c r="Y150" i="44"/>
  <c r="Y347" i="44" s="1"/>
  <c r="W347" i="44"/>
  <c r="Y86" i="44"/>
  <c r="Y283" i="44" s="1"/>
  <c r="W283" i="44"/>
  <c r="Y22" i="44"/>
  <c r="Y219" i="44" s="1"/>
  <c r="X22" i="44"/>
  <c r="X219" i="44" s="1"/>
  <c r="W219" i="44"/>
  <c r="Y162" i="44"/>
  <c r="Y359" i="44" s="1"/>
  <c r="W359" i="44"/>
  <c r="Y98" i="44"/>
  <c r="Y295" i="44" s="1"/>
  <c r="X98" i="44"/>
  <c r="X295" i="44" s="1"/>
  <c r="W295" i="44"/>
  <c r="Y34" i="44"/>
  <c r="Y231" i="44" s="1"/>
  <c r="X231" i="44"/>
  <c r="W231" i="44"/>
  <c r="Y145" i="44"/>
  <c r="Y342" i="44" s="1"/>
  <c r="X145" i="44"/>
  <c r="X342" i="44" s="1"/>
  <c r="W342" i="44"/>
  <c r="Y81" i="44"/>
  <c r="Y278" i="44" s="1"/>
  <c r="X81" i="44"/>
  <c r="X278" i="44" s="1"/>
  <c r="W278" i="44"/>
  <c r="Y17" i="44"/>
  <c r="Y214" i="44" s="1"/>
  <c r="X17" i="44"/>
  <c r="X214" i="44" s="1"/>
  <c r="W214" i="44"/>
  <c r="O368" i="44"/>
  <c r="P368" i="44"/>
  <c r="J315" i="44"/>
  <c r="I315" i="44"/>
  <c r="O298" i="44"/>
  <c r="P298" i="44"/>
  <c r="O361" i="44"/>
  <c r="P361" i="44"/>
  <c r="J227" i="44"/>
  <c r="I227" i="44"/>
  <c r="P342" i="44"/>
  <c r="O342" i="44"/>
  <c r="P245" i="44"/>
  <c r="O245" i="44"/>
  <c r="O347" i="44"/>
  <c r="P347" i="44"/>
  <c r="Y39" i="44"/>
  <c r="Y236" i="44" s="1"/>
  <c r="W236" i="44"/>
  <c r="Y142" i="44"/>
  <c r="Y339" i="44" s="1"/>
  <c r="X142" i="44"/>
  <c r="X339" i="44" s="1"/>
  <c r="W339" i="44"/>
  <c r="Y14" i="44"/>
  <c r="Y211" i="44" s="1"/>
  <c r="X14" i="44"/>
  <c r="X211" i="44" s="1"/>
  <c r="W211" i="44"/>
  <c r="Y154" i="44"/>
  <c r="Y351" i="44" s="1"/>
  <c r="X154" i="44"/>
  <c r="X351" i="44" s="1"/>
  <c r="W351" i="44"/>
  <c r="Y26" i="44"/>
  <c r="Y223" i="44" s="1"/>
  <c r="X26" i="44"/>
  <c r="X223" i="44" s="1"/>
  <c r="W223" i="44"/>
  <c r="Y73" i="44"/>
  <c r="Y270" i="44" s="1"/>
  <c r="X73" i="44"/>
  <c r="X270" i="44" s="1"/>
  <c r="W270" i="44"/>
  <c r="O336" i="44"/>
  <c r="P336" i="44"/>
  <c r="J371" i="44"/>
  <c r="I371" i="44"/>
  <c r="Y139" i="44"/>
  <c r="Y336" i="44" s="1"/>
  <c r="X139" i="44"/>
  <c r="X336" i="44" s="1"/>
  <c r="W336" i="44"/>
  <c r="J386" i="44"/>
  <c r="I386" i="44"/>
  <c r="J341" i="44"/>
  <c r="I341" i="44"/>
  <c r="O337" i="44"/>
  <c r="P337" i="44"/>
  <c r="J379" i="44"/>
  <c r="I379" i="44"/>
  <c r="J247" i="44"/>
  <c r="I247" i="44"/>
  <c r="P242" i="44"/>
  <c r="O242" i="44"/>
  <c r="J378" i="44"/>
  <c r="I378" i="44"/>
  <c r="J225" i="44"/>
  <c r="I225" i="44"/>
  <c r="J349" i="44"/>
  <c r="I349" i="44"/>
  <c r="P356" i="44"/>
  <c r="O356" i="44"/>
  <c r="O378" i="44"/>
  <c r="P378" i="44"/>
  <c r="I299" i="44"/>
  <c r="O292" i="44"/>
  <c r="P292" i="44"/>
  <c r="J268" i="44"/>
  <c r="I268" i="44"/>
  <c r="O312" i="44"/>
  <c r="P312" i="44"/>
  <c r="O210" i="44"/>
  <c r="P210" i="44"/>
  <c r="J361" i="44"/>
  <c r="I361" i="44"/>
  <c r="J290" i="44"/>
  <c r="I290" i="44"/>
  <c r="J230" i="44"/>
  <c r="I230" i="44"/>
  <c r="O343" i="44"/>
  <c r="P343" i="44"/>
  <c r="O252" i="44"/>
  <c r="P252" i="44"/>
  <c r="J382" i="44"/>
  <c r="I382" i="44"/>
  <c r="J323" i="44"/>
  <c r="I323" i="44"/>
  <c r="J258" i="44"/>
  <c r="I258" i="44"/>
  <c r="O373" i="44"/>
  <c r="P373" i="44"/>
  <c r="O288" i="44"/>
  <c r="P288" i="44"/>
  <c r="J381" i="44"/>
  <c r="I381" i="44"/>
  <c r="J296" i="44"/>
  <c r="I296" i="44"/>
  <c r="J235" i="44"/>
  <c r="I235" i="44"/>
  <c r="O351" i="44"/>
  <c r="P351" i="44"/>
  <c r="O263" i="44"/>
  <c r="P263" i="44"/>
  <c r="J337" i="44"/>
  <c r="I337" i="44"/>
  <c r="J279" i="44"/>
  <c r="I279" i="44"/>
  <c r="O328" i="44"/>
  <c r="P328" i="44"/>
  <c r="P234" i="44"/>
  <c r="O234" i="44"/>
  <c r="I208" i="44"/>
  <c r="J208" i="44"/>
  <c r="P334" i="44"/>
  <c r="O334" i="44"/>
  <c r="P270" i="44"/>
  <c r="O270" i="44"/>
  <c r="O206" i="44"/>
  <c r="P206" i="44"/>
  <c r="P237" i="44"/>
  <c r="O237" i="44"/>
  <c r="O204" i="44"/>
  <c r="P204" i="44"/>
  <c r="J212" i="44"/>
  <c r="I212" i="44"/>
  <c r="O339" i="44"/>
  <c r="P339" i="44"/>
  <c r="O275" i="44"/>
  <c r="P275" i="44"/>
  <c r="O211" i="44"/>
  <c r="P211" i="44"/>
  <c r="Y44" i="44"/>
  <c r="Y241" i="44" s="1"/>
  <c r="X44" i="44"/>
  <c r="X241" i="44" s="1"/>
  <c r="W241" i="44"/>
  <c r="Y77" i="44"/>
  <c r="Y274" i="44" s="1"/>
  <c r="X77" i="44"/>
  <c r="X274" i="44" s="1"/>
  <c r="W274" i="44"/>
  <c r="Y157" i="44"/>
  <c r="Y354" i="44" s="1"/>
  <c r="W354" i="44"/>
  <c r="Y88" i="44"/>
  <c r="Y285" i="44" s="1"/>
  <c r="W285" i="44"/>
  <c r="Y165" i="44"/>
  <c r="Y362" i="44" s="1"/>
  <c r="X165" i="44"/>
  <c r="X362" i="44" s="1"/>
  <c r="W362" i="44"/>
  <c r="Y37" i="44"/>
  <c r="Y234" i="44" s="1"/>
  <c r="X37" i="44"/>
  <c r="X234" i="44" s="1"/>
  <c r="W234" i="44"/>
  <c r="Y68" i="44"/>
  <c r="Y265" i="44" s="1"/>
  <c r="W265" i="44"/>
  <c r="Y99" i="44"/>
  <c r="Y296" i="44" s="1"/>
  <c r="X99" i="44"/>
  <c r="X296" i="44" s="1"/>
  <c r="W296" i="44"/>
  <c r="Y192" i="44"/>
  <c r="Y389" i="44" s="1"/>
  <c r="W389" i="44"/>
  <c r="Y64" i="44"/>
  <c r="Y261" i="44" s="1"/>
  <c r="W261" i="44"/>
  <c r="Y31" i="44"/>
  <c r="Y228" i="44" s="1"/>
  <c r="W228" i="44"/>
  <c r="Y134" i="44"/>
  <c r="Y331" i="44" s="1"/>
  <c r="W331" i="44"/>
  <c r="Y70" i="44"/>
  <c r="Y267" i="44" s="1"/>
  <c r="W267" i="44"/>
  <c r="Y6" i="44"/>
  <c r="Y203" i="44" s="1"/>
  <c r="W203" i="44"/>
  <c r="X6" i="44"/>
  <c r="Y146" i="44"/>
  <c r="Y343" i="44" s="1"/>
  <c r="W343" i="44"/>
  <c r="Y82" i="44"/>
  <c r="Y279" i="44" s="1"/>
  <c r="X82" i="44"/>
  <c r="X279" i="44" s="1"/>
  <c r="W279" i="44"/>
  <c r="Y18" i="44"/>
  <c r="Y215" i="44" s="1"/>
  <c r="W215" i="44"/>
  <c r="X18" i="44"/>
  <c r="X215" i="44" s="1"/>
  <c r="Y193" i="44"/>
  <c r="Y390" i="44" s="1"/>
  <c r="W390" i="44"/>
  <c r="Y129" i="44"/>
  <c r="Y326" i="44" s="1"/>
  <c r="X129" i="44"/>
  <c r="X326" i="44" s="1"/>
  <c r="W326" i="44"/>
  <c r="Y65" i="44"/>
  <c r="Y262" i="44" s="1"/>
  <c r="X65" i="44"/>
  <c r="X262" i="44" s="1"/>
  <c r="W262" i="44"/>
  <c r="Y8" i="44"/>
  <c r="Y205" i="44" s="1"/>
  <c r="W205" i="44"/>
  <c r="J214" i="44"/>
  <c r="I214" i="44"/>
  <c r="O353" i="44"/>
  <c r="P353" i="44"/>
  <c r="J390" i="44"/>
  <c r="I390" i="44"/>
  <c r="I303" i="44"/>
  <c r="J303" i="44"/>
  <c r="Y84" i="44"/>
  <c r="Y281" i="44" s="1"/>
  <c r="X84" i="44"/>
  <c r="X281" i="44" s="1"/>
  <c r="W281" i="44"/>
  <c r="Y80" i="44"/>
  <c r="Y277" i="44" s="1"/>
  <c r="W277" i="44"/>
  <c r="Y78" i="44"/>
  <c r="Y275" i="44" s="1"/>
  <c r="W275" i="44"/>
  <c r="Y90" i="44"/>
  <c r="Y287" i="44" s="1"/>
  <c r="X90" i="44"/>
  <c r="X287" i="44" s="1"/>
  <c r="W287" i="44"/>
  <c r="Y137" i="44"/>
  <c r="Y334" i="44" s="1"/>
  <c r="W334" i="44"/>
  <c r="Y9" i="44"/>
  <c r="Y206" i="44" s="1"/>
  <c r="X9" i="44"/>
  <c r="X206" i="44" s="1"/>
  <c r="W206" i="44"/>
  <c r="V398" i="44"/>
  <c r="V539" i="44" s="1"/>
  <c r="S398" i="44"/>
  <c r="S539" i="44" s="1"/>
  <c r="H398" i="44"/>
  <c r="U398" i="44"/>
  <c r="U575" i="44" s="1"/>
  <c r="R398" i="44"/>
  <c r="R523" i="44" s="1"/>
  <c r="F398" i="44"/>
  <c r="F500" i="44" s="1"/>
  <c r="E398" i="44"/>
  <c r="E518" i="44" s="1"/>
  <c r="X137" i="44"/>
  <c r="X334" i="44" s="1"/>
  <c r="W301" i="44"/>
  <c r="W300" i="44"/>
  <c r="J384" i="44"/>
  <c r="I384" i="44"/>
  <c r="J314" i="44"/>
  <c r="I314" i="44"/>
  <c r="J327" i="44"/>
  <c r="I327" i="44"/>
  <c r="J326" i="44"/>
  <c r="I326" i="44"/>
  <c r="O313" i="44"/>
  <c r="P313" i="44"/>
  <c r="I365" i="44"/>
  <c r="J364" i="44"/>
  <c r="I364" i="44"/>
  <c r="O388" i="44"/>
  <c r="P388" i="44"/>
  <c r="J334" i="44"/>
  <c r="I334" i="44"/>
  <c r="P325" i="44"/>
  <c r="O325" i="44"/>
  <c r="J348" i="44"/>
  <c r="I348" i="44"/>
  <c r="O348" i="44"/>
  <c r="P348" i="44"/>
  <c r="J277" i="44"/>
  <c r="I277" i="44"/>
  <c r="O257" i="44"/>
  <c r="P257" i="44"/>
  <c r="J260" i="44"/>
  <c r="I260" i="44"/>
  <c r="O386" i="44"/>
  <c r="P386" i="44"/>
  <c r="O301" i="44"/>
  <c r="P301" i="44"/>
  <c r="J354" i="44"/>
  <c r="I354" i="44"/>
  <c r="J222" i="44"/>
  <c r="I222" i="44"/>
  <c r="P332" i="44"/>
  <c r="O332" i="44"/>
  <c r="O240" i="44"/>
  <c r="P240" i="44"/>
  <c r="J375" i="44"/>
  <c r="I375" i="44"/>
  <c r="J317" i="44"/>
  <c r="I317" i="44"/>
  <c r="J250" i="44"/>
  <c r="I250" i="44"/>
  <c r="O362" i="44"/>
  <c r="P362" i="44"/>
  <c r="O276" i="44"/>
  <c r="P276" i="44"/>
  <c r="J374" i="44"/>
  <c r="I374" i="44"/>
  <c r="J288" i="44"/>
  <c r="I288" i="44"/>
  <c r="J228" i="44"/>
  <c r="I228" i="44"/>
  <c r="P340" i="44"/>
  <c r="O340" i="44"/>
  <c r="O249" i="44"/>
  <c r="P249" i="44"/>
  <c r="J329" i="44"/>
  <c r="I329" i="44"/>
  <c r="J272" i="44"/>
  <c r="I272" i="44"/>
  <c r="I210" i="44"/>
  <c r="J210" i="44"/>
  <c r="O317" i="44"/>
  <c r="P317" i="44"/>
  <c r="O218" i="44"/>
  <c r="P218" i="44"/>
  <c r="O390" i="44"/>
  <c r="P390" i="44"/>
  <c r="O326" i="44"/>
  <c r="P326" i="44"/>
  <c r="O262" i="44"/>
  <c r="P262" i="44"/>
  <c r="P229" i="44"/>
  <c r="O229" i="44"/>
  <c r="J205" i="44"/>
  <c r="I205" i="44"/>
  <c r="O331" i="44"/>
  <c r="P331" i="44"/>
  <c r="O267" i="44"/>
  <c r="P267" i="44"/>
  <c r="O203" i="44"/>
  <c r="P203" i="44"/>
  <c r="Y141" i="44"/>
  <c r="Y338" i="44" s="1"/>
  <c r="X141" i="44"/>
  <c r="X338" i="44" s="1"/>
  <c r="W338" i="44"/>
  <c r="Y189" i="44"/>
  <c r="Y386" i="44" s="1"/>
  <c r="X189" i="44"/>
  <c r="X386" i="44" s="1"/>
  <c r="W386" i="44"/>
  <c r="Y173" i="44"/>
  <c r="Y370" i="44" s="1"/>
  <c r="W370" i="44"/>
  <c r="Y43" i="44"/>
  <c r="Y240" i="44" s="1"/>
  <c r="X43" i="44"/>
  <c r="X240" i="44" s="1"/>
  <c r="W240" i="44"/>
  <c r="Y123" i="44"/>
  <c r="Y320" i="44" s="1"/>
  <c r="X123" i="44"/>
  <c r="X320" i="44" s="1"/>
  <c r="W320" i="44"/>
  <c r="Y72" i="44"/>
  <c r="Y269" i="44" s="1"/>
  <c r="W269" i="44"/>
  <c r="Y149" i="44"/>
  <c r="Y346" i="44" s="1"/>
  <c r="W346" i="44"/>
  <c r="Y21" i="44"/>
  <c r="Y218" i="44" s="1"/>
  <c r="X21" i="44"/>
  <c r="X218" i="44" s="1"/>
  <c r="W218" i="44"/>
  <c r="Y52" i="44"/>
  <c r="Y249" i="44" s="1"/>
  <c r="X52" i="44"/>
  <c r="X249" i="44" s="1"/>
  <c r="W249" i="44"/>
  <c r="Y83" i="44"/>
  <c r="Y280" i="44" s="1"/>
  <c r="X83" i="44"/>
  <c r="X280" i="44" s="1"/>
  <c r="W280" i="44"/>
  <c r="Y176" i="44"/>
  <c r="Y373" i="44" s="1"/>
  <c r="W373" i="44"/>
  <c r="Y48" i="44"/>
  <c r="Y245" i="44" s="1"/>
  <c r="W245" i="44"/>
  <c r="Y87" i="44"/>
  <c r="Y284" i="44" s="1"/>
  <c r="W284" i="44"/>
  <c r="Y23" i="44"/>
  <c r="Y220" i="44" s="1"/>
  <c r="X23" i="44"/>
  <c r="X220" i="44" s="1"/>
  <c r="Y190" i="44"/>
  <c r="Y387" i="44" s="1"/>
  <c r="X190" i="44"/>
  <c r="X387" i="44" s="1"/>
  <c r="W387" i="44"/>
  <c r="Y126" i="44"/>
  <c r="Y323" i="44" s="1"/>
  <c r="W323" i="44"/>
  <c r="Y62" i="44"/>
  <c r="Y259" i="44" s="1"/>
  <c r="W259" i="44"/>
  <c r="Y11" i="44"/>
  <c r="Y208" i="44" s="1"/>
  <c r="X11" i="44"/>
  <c r="X208" i="44" s="1"/>
  <c r="W208" i="44"/>
  <c r="Y138" i="44"/>
  <c r="Y335" i="44" s="1"/>
  <c r="X138" i="44"/>
  <c r="X335" i="44" s="1"/>
  <c r="W335" i="44"/>
  <c r="Y74" i="44"/>
  <c r="Y271" i="44" s="1"/>
  <c r="X74" i="44"/>
  <c r="X271" i="44" s="1"/>
  <c r="W271" i="44"/>
  <c r="Y10" i="44"/>
  <c r="Y207" i="44" s="1"/>
  <c r="W207" i="44"/>
  <c r="X10" i="44"/>
  <c r="X207" i="44" s="1"/>
  <c r="Y185" i="44"/>
  <c r="Y382" i="44" s="1"/>
  <c r="W382" i="44"/>
  <c r="Y121" i="44"/>
  <c r="Y318" i="44" s="1"/>
  <c r="W318" i="44"/>
  <c r="X121" i="44"/>
  <c r="X318" i="44" s="1"/>
  <c r="Y57" i="44"/>
  <c r="Y254" i="44" s="1"/>
  <c r="X57" i="44"/>
  <c r="X254" i="44" s="1"/>
  <c r="W254" i="44"/>
  <c r="J376" i="44"/>
  <c r="I376" i="44"/>
  <c r="J283" i="44"/>
  <c r="I283" i="44"/>
  <c r="J237" i="44"/>
  <c r="I237" i="44"/>
  <c r="O248" i="44"/>
  <c r="P248" i="44"/>
  <c r="O283" i="44"/>
  <c r="P283" i="44"/>
  <c r="Y53" i="44"/>
  <c r="Y250" i="44" s="1"/>
  <c r="X53" i="44"/>
  <c r="X250" i="44" s="1"/>
  <c r="W250" i="44"/>
  <c r="Y115" i="44"/>
  <c r="Y312" i="44" s="1"/>
  <c r="W312" i="44"/>
  <c r="X115" i="44"/>
  <c r="X312" i="44" s="1"/>
  <c r="X103" i="44"/>
  <c r="X300" i="44" s="1"/>
  <c r="O282" i="44"/>
  <c r="P282" i="44"/>
  <c r="J351" i="44"/>
  <c r="I351" i="44"/>
  <c r="J350" i="44"/>
  <c r="I350" i="44"/>
  <c r="I319" i="44"/>
  <c r="J319" i="44"/>
  <c r="O295" i="44"/>
  <c r="P295" i="44"/>
  <c r="P324" i="44"/>
  <c r="O324" i="44"/>
  <c r="N387" i="44"/>
  <c r="J387" i="44"/>
  <c r="I387" i="44"/>
  <c r="J255" i="44"/>
  <c r="I255" i="44"/>
  <c r="O217" i="44"/>
  <c r="P217" i="44"/>
  <c r="J252" i="44"/>
  <c r="I252" i="44"/>
  <c r="O376" i="44"/>
  <c r="P376" i="44"/>
  <c r="O290" i="44"/>
  <c r="P290" i="44"/>
  <c r="J347" i="44"/>
  <c r="I347" i="44"/>
  <c r="J275" i="44"/>
  <c r="I275" i="44"/>
  <c r="J213" i="44"/>
  <c r="I213" i="44"/>
  <c r="O321" i="44"/>
  <c r="P321" i="44"/>
  <c r="P225" i="44"/>
  <c r="O225" i="44"/>
  <c r="I368" i="44"/>
  <c r="J368" i="44"/>
  <c r="I311" i="44"/>
  <c r="J311" i="44"/>
  <c r="J243" i="44"/>
  <c r="I243" i="44"/>
  <c r="O352" i="44"/>
  <c r="P352" i="44"/>
  <c r="O264" i="44"/>
  <c r="P264" i="44"/>
  <c r="J367" i="44"/>
  <c r="I367" i="44"/>
  <c r="J280" i="44"/>
  <c r="I280" i="44"/>
  <c r="I220" i="44"/>
  <c r="J220" i="44"/>
  <c r="O329" i="44"/>
  <c r="P329" i="44"/>
  <c r="O236" i="44"/>
  <c r="P236" i="44"/>
  <c r="J380" i="44"/>
  <c r="I380" i="44"/>
  <c r="J321" i="44"/>
  <c r="I321" i="44"/>
  <c r="J264" i="44"/>
  <c r="I264" i="44"/>
  <c r="O392" i="44"/>
  <c r="P392" i="44"/>
  <c r="O306" i="44"/>
  <c r="P306" i="44"/>
  <c r="O202" i="44"/>
  <c r="P202" i="44"/>
  <c r="O382" i="44"/>
  <c r="P382" i="44"/>
  <c r="O318" i="44"/>
  <c r="P318" i="44"/>
  <c r="O254" i="44"/>
  <c r="P254" i="44"/>
  <c r="Y13" i="44"/>
  <c r="Y210" i="44" s="1"/>
  <c r="W210" i="44"/>
  <c r="X13" i="44"/>
  <c r="X210" i="44" s="1"/>
  <c r="O221" i="44"/>
  <c r="P221" i="44"/>
  <c r="O387" i="44"/>
  <c r="P387" i="44"/>
  <c r="P323" i="44"/>
  <c r="O323" i="44"/>
  <c r="O259" i="44"/>
  <c r="P259" i="44"/>
  <c r="Y108" i="44"/>
  <c r="Y305" i="44" s="1"/>
  <c r="W305" i="44"/>
  <c r="X108" i="44"/>
  <c r="X305" i="44" s="1"/>
  <c r="Y61" i="44"/>
  <c r="Y258" i="44" s="1"/>
  <c r="X61" i="44"/>
  <c r="X258" i="44" s="1"/>
  <c r="W258" i="44"/>
  <c r="Y155" i="44"/>
  <c r="Y352" i="44" s="1"/>
  <c r="X155" i="44"/>
  <c r="X352" i="44" s="1"/>
  <c r="W352" i="44"/>
  <c r="Y76" i="44"/>
  <c r="Y273" i="44" s="1"/>
  <c r="W273" i="44"/>
  <c r="Y184" i="44"/>
  <c r="Y381" i="44" s="1"/>
  <c r="W381" i="44"/>
  <c r="Y56" i="44"/>
  <c r="Y253" i="44" s="1"/>
  <c r="W253" i="44"/>
  <c r="Y133" i="44"/>
  <c r="Y330" i="44" s="1"/>
  <c r="W330" i="44"/>
  <c r="Y36" i="44"/>
  <c r="Y233" i="44" s="1"/>
  <c r="X36" i="44"/>
  <c r="X233" i="44" s="1"/>
  <c r="W233" i="44"/>
  <c r="Y195" i="44"/>
  <c r="Y392" i="44" s="1"/>
  <c r="W392" i="44"/>
  <c r="Y67" i="44"/>
  <c r="Y264" i="44" s="1"/>
  <c r="X67" i="44"/>
  <c r="X264" i="44" s="1"/>
  <c r="W264" i="44"/>
  <c r="Y160" i="44"/>
  <c r="Y357" i="44" s="1"/>
  <c r="W357" i="44"/>
  <c r="Y32" i="44"/>
  <c r="Y229" i="44" s="1"/>
  <c r="W229" i="44"/>
  <c r="Y79" i="44"/>
  <c r="Y276" i="44" s="1"/>
  <c r="W276" i="44"/>
  <c r="Y182" i="44"/>
  <c r="Y379" i="44" s="1"/>
  <c r="W379" i="44"/>
  <c r="Y54" i="44"/>
  <c r="Y251" i="44" s="1"/>
  <c r="W251" i="44"/>
  <c r="Y194" i="44"/>
  <c r="Y391" i="44" s="1"/>
  <c r="X194" i="44"/>
  <c r="X391" i="44" s="1"/>
  <c r="W391" i="44"/>
  <c r="Y130" i="44"/>
  <c r="Y327" i="44" s="1"/>
  <c r="X130" i="44"/>
  <c r="X327" i="44" s="1"/>
  <c r="W327" i="44"/>
  <c r="Y66" i="44"/>
  <c r="Y263" i="44" s="1"/>
  <c r="X66" i="44"/>
  <c r="X263" i="44" s="1"/>
  <c r="W263" i="44"/>
  <c r="Y177" i="44"/>
  <c r="Y374" i="44" s="1"/>
  <c r="W374" i="44"/>
  <c r="Y113" i="44"/>
  <c r="Y310" i="44" s="1"/>
  <c r="X113" i="44"/>
  <c r="X310" i="44" s="1"/>
  <c r="W310" i="44"/>
  <c r="Y49" i="44"/>
  <c r="Y246" i="44" s="1"/>
  <c r="X49" i="44"/>
  <c r="X246" i="44" s="1"/>
  <c r="W246" i="44"/>
  <c r="O272" i="44"/>
  <c r="P272" i="44"/>
  <c r="J363" i="44"/>
  <c r="I363" i="44"/>
  <c r="O316" i="44"/>
  <c r="P316" i="44"/>
  <c r="J331" i="44"/>
  <c r="I331" i="44"/>
  <c r="P338" i="44"/>
  <c r="O338" i="44"/>
  <c r="O278" i="44"/>
  <c r="P278" i="44"/>
  <c r="O219" i="44"/>
  <c r="P219" i="44"/>
  <c r="Y181" i="44"/>
  <c r="Y378" i="44" s="1"/>
  <c r="X181" i="44"/>
  <c r="X378" i="44" s="1"/>
  <c r="W378" i="44"/>
  <c r="Q398" i="44"/>
  <c r="Q555" i="44" s="1"/>
  <c r="O244" i="44"/>
  <c r="P244" i="44"/>
  <c r="J233" i="44"/>
  <c r="I233" i="44"/>
  <c r="J357" i="44"/>
  <c r="I357" i="44"/>
  <c r="J254" i="44"/>
  <c r="I254" i="44"/>
  <c r="I313" i="44"/>
  <c r="J313" i="44"/>
  <c r="I206" i="44"/>
  <c r="J206" i="44"/>
  <c r="O357" i="44"/>
  <c r="P357" i="44"/>
  <c r="O398" i="44"/>
  <c r="I218" i="44"/>
  <c r="M398" i="44"/>
  <c r="X39" i="44"/>
  <c r="X236" i="44" s="1"/>
  <c r="W364" i="44"/>
  <c r="J269" i="44"/>
  <c r="J309" i="44"/>
  <c r="I309" i="44"/>
  <c r="O345" i="44"/>
  <c r="P345" i="44"/>
  <c r="J294" i="44"/>
  <c r="I294" i="44"/>
  <c r="O369" i="44"/>
  <c r="P369" i="44"/>
  <c r="J293" i="44"/>
  <c r="I293" i="44"/>
  <c r="O247" i="44"/>
  <c r="P247" i="44"/>
  <c r="J336" i="44"/>
  <c r="I336" i="44"/>
  <c r="O389" i="44"/>
  <c r="P389" i="44"/>
  <c r="N335" i="44"/>
  <c r="J335" i="44"/>
  <c r="I335" i="44"/>
  <c r="O327" i="44"/>
  <c r="P327" i="44"/>
  <c r="I301" i="44"/>
  <c r="J301" i="44"/>
  <c r="O268" i="44"/>
  <c r="P268" i="44"/>
  <c r="J300" i="44"/>
  <c r="I300" i="44"/>
  <c r="O293" i="44"/>
  <c r="P293" i="44"/>
  <c r="J372" i="44"/>
  <c r="I372" i="44"/>
  <c r="J239" i="44"/>
  <c r="I239" i="44"/>
  <c r="J245" i="44"/>
  <c r="I245" i="44"/>
  <c r="O365" i="44"/>
  <c r="P365" i="44"/>
  <c r="O280" i="44"/>
  <c r="P280" i="44"/>
  <c r="Y27" i="44"/>
  <c r="Y224" i="44" s="1"/>
  <c r="W224" i="44"/>
  <c r="X27" i="44"/>
  <c r="X224" i="44" s="1"/>
  <c r="J332" i="44"/>
  <c r="I332" i="44"/>
  <c r="J267" i="44"/>
  <c r="I267" i="44"/>
  <c r="J203" i="44"/>
  <c r="I203" i="44"/>
  <c r="O311" i="44"/>
  <c r="P311" i="44"/>
  <c r="O209" i="44"/>
  <c r="P209" i="44"/>
  <c r="J360" i="44"/>
  <c r="I360" i="44"/>
  <c r="I304" i="44"/>
  <c r="J304" i="44"/>
  <c r="J236" i="44"/>
  <c r="I236" i="44"/>
  <c r="P341" i="44"/>
  <c r="O341" i="44"/>
  <c r="O250" i="44"/>
  <c r="P250" i="44"/>
  <c r="J345" i="44"/>
  <c r="I345" i="44"/>
  <c r="J273" i="44"/>
  <c r="I273" i="44"/>
  <c r="J211" i="44"/>
  <c r="I211" i="44"/>
  <c r="O319" i="44"/>
  <c r="P319" i="44"/>
  <c r="O223" i="44"/>
  <c r="P223" i="44"/>
  <c r="J373" i="44"/>
  <c r="I373" i="44"/>
  <c r="J316" i="44"/>
  <c r="I316" i="44"/>
  <c r="J256" i="44"/>
  <c r="I256" i="44"/>
  <c r="O381" i="44"/>
  <c r="P381" i="44"/>
  <c r="O296" i="44"/>
  <c r="P296" i="44"/>
  <c r="O374" i="44"/>
  <c r="P374" i="44"/>
  <c r="O310" i="44"/>
  <c r="P310" i="44"/>
  <c r="P246" i="44"/>
  <c r="O246" i="44"/>
  <c r="O277" i="44"/>
  <c r="P277" i="44"/>
  <c r="O213" i="44"/>
  <c r="P213" i="44"/>
  <c r="O379" i="44"/>
  <c r="P379" i="44"/>
  <c r="O315" i="44"/>
  <c r="P315" i="44"/>
  <c r="O251" i="44"/>
  <c r="P251" i="44"/>
  <c r="Y12" i="44"/>
  <c r="Y209" i="44" s="1"/>
  <c r="W209" i="44"/>
  <c r="X12" i="44"/>
  <c r="X209" i="44" s="1"/>
  <c r="Y60" i="44"/>
  <c r="Y257" i="44" s="1"/>
  <c r="X60" i="44"/>
  <c r="X257" i="44" s="1"/>
  <c r="W257" i="44"/>
  <c r="Y29" i="44"/>
  <c r="Y226" i="44" s="1"/>
  <c r="X29" i="44"/>
  <c r="X226" i="44" s="1"/>
  <c r="W226" i="44"/>
  <c r="Y168" i="44"/>
  <c r="Y365" i="44" s="1"/>
  <c r="X168" i="44"/>
  <c r="X365" i="44" s="1"/>
  <c r="W365" i="44"/>
  <c r="Y40" i="44"/>
  <c r="Y237" i="44" s="1"/>
  <c r="W237" i="44"/>
  <c r="Y20" i="44"/>
  <c r="Y217" i="44" s="1"/>
  <c r="W217" i="44"/>
  <c r="X20" i="44"/>
  <c r="X217" i="44" s="1"/>
  <c r="Y179" i="44"/>
  <c r="Y376" i="44" s="1"/>
  <c r="W376" i="44"/>
  <c r="Y51" i="44"/>
  <c r="Y248" i="44" s="1"/>
  <c r="X51" i="44"/>
  <c r="X248" i="44" s="1"/>
  <c r="W248" i="44"/>
  <c r="Y144" i="44"/>
  <c r="Y341" i="44" s="1"/>
  <c r="W341" i="44"/>
  <c r="Y16" i="44"/>
  <c r="Y213" i="44" s="1"/>
  <c r="W213" i="44"/>
  <c r="Y71" i="44"/>
  <c r="Y268" i="44" s="1"/>
  <c r="W268" i="44"/>
  <c r="Y174" i="44"/>
  <c r="Y371" i="44" s="1"/>
  <c r="W371" i="44"/>
  <c r="Y110" i="44"/>
  <c r="Y307" i="44" s="1"/>
  <c r="W307" i="44"/>
  <c r="Y46" i="44"/>
  <c r="Y243" i="44" s="1"/>
  <c r="W243" i="44"/>
  <c r="Y186" i="44"/>
  <c r="Y383" i="44" s="1"/>
  <c r="W383" i="44"/>
  <c r="Y122" i="44"/>
  <c r="Y319" i="44" s="1"/>
  <c r="W319" i="44"/>
  <c r="X122" i="44"/>
  <c r="X319" i="44" s="1"/>
  <c r="Y58" i="44"/>
  <c r="Y255" i="44" s="1"/>
  <c r="X58" i="44"/>
  <c r="X255" i="44" s="1"/>
  <c r="W255" i="44"/>
  <c r="Y169" i="44"/>
  <c r="Y366" i="44" s="1"/>
  <c r="X169" i="44"/>
  <c r="X366" i="44" s="1"/>
  <c r="W366" i="44"/>
  <c r="Y105" i="44"/>
  <c r="Y302" i="44" s="1"/>
  <c r="W302" i="44"/>
  <c r="X105" i="44"/>
  <c r="X302" i="44" s="1"/>
  <c r="Y41" i="44"/>
  <c r="Y238" i="44" s="1"/>
  <c r="X41" i="44"/>
  <c r="X238" i="44" s="1"/>
  <c r="W238" i="44"/>
  <c r="O305" i="44"/>
  <c r="P305" i="44"/>
  <c r="O380" i="44"/>
  <c r="P380" i="44"/>
  <c r="I297" i="44"/>
  <c r="J297" i="44"/>
  <c r="O274" i="44"/>
  <c r="P274" i="44"/>
  <c r="J287" i="44"/>
  <c r="I287" i="44"/>
  <c r="O214" i="44"/>
  <c r="P214" i="44"/>
  <c r="O212" i="44"/>
  <c r="P212" i="44"/>
  <c r="Y91" i="44"/>
  <c r="Y288" i="44" s="1"/>
  <c r="X91" i="44"/>
  <c r="X288" i="44" s="1"/>
  <c r="W288" i="44"/>
  <c r="Y28" i="44"/>
  <c r="Y225" i="44" s="1"/>
  <c r="X28" i="44"/>
  <c r="X225" i="44" s="1"/>
  <c r="W225" i="44"/>
  <c r="G398" i="44"/>
  <c r="J369" i="44"/>
  <c r="I369" i="44"/>
  <c r="O216" i="44"/>
  <c r="P216" i="44"/>
  <c r="I216" i="44"/>
  <c r="J216" i="44"/>
  <c r="J342" i="44"/>
  <c r="I342" i="44"/>
  <c r="N270" i="44"/>
  <c r="I270" i="44"/>
  <c r="O256" i="44"/>
  <c r="P256" i="44"/>
  <c r="J271" i="44"/>
  <c r="I271" i="44"/>
  <c r="O215" i="44"/>
  <c r="P215" i="44"/>
  <c r="I320" i="44"/>
  <c r="J320" i="44"/>
  <c r="O359" i="44"/>
  <c r="P359" i="44"/>
  <c r="J307" i="44"/>
  <c r="I307" i="44"/>
  <c r="O303" i="44"/>
  <c r="P303" i="44"/>
  <c r="O232" i="44"/>
  <c r="P232" i="44"/>
  <c r="J278" i="44"/>
  <c r="I278" i="44"/>
  <c r="O258" i="44"/>
  <c r="P258" i="44"/>
  <c r="N358" i="44"/>
  <c r="J358" i="44"/>
  <c r="I358" i="44"/>
  <c r="I217" i="44"/>
  <c r="J217" i="44"/>
  <c r="J238" i="44"/>
  <c r="I238" i="44"/>
  <c r="O354" i="44"/>
  <c r="P354" i="44"/>
  <c r="P266" i="44"/>
  <c r="O266" i="44"/>
  <c r="J324" i="44"/>
  <c r="I324" i="44"/>
  <c r="J259" i="44"/>
  <c r="I259" i="44"/>
  <c r="O385" i="44"/>
  <c r="P385" i="44"/>
  <c r="O300" i="44"/>
  <c r="P300" i="44"/>
  <c r="J353" i="44"/>
  <c r="I353" i="44"/>
  <c r="N289" i="44"/>
  <c r="J289" i="44"/>
  <c r="I289" i="44"/>
  <c r="J229" i="44"/>
  <c r="I229" i="44"/>
  <c r="P330" i="44"/>
  <c r="O330" i="44"/>
  <c r="O239" i="44"/>
  <c r="P239" i="44"/>
  <c r="J338" i="44"/>
  <c r="I338" i="44"/>
  <c r="J265" i="44"/>
  <c r="I265" i="44"/>
  <c r="J201" i="44"/>
  <c r="I201" i="44"/>
  <c r="O308" i="44"/>
  <c r="P308" i="44"/>
  <c r="O207" i="44"/>
  <c r="P207" i="44"/>
  <c r="J366" i="44"/>
  <c r="I366" i="44"/>
  <c r="I310" i="44"/>
  <c r="J310" i="44"/>
  <c r="J248" i="44"/>
  <c r="I248" i="44"/>
  <c r="O370" i="44"/>
  <c r="P370" i="44"/>
  <c r="O285" i="44"/>
  <c r="P285" i="44"/>
  <c r="O366" i="44"/>
  <c r="P366" i="44"/>
  <c r="O302" i="44"/>
  <c r="P302" i="44"/>
  <c r="P238" i="44"/>
  <c r="O238" i="44"/>
  <c r="P269" i="44"/>
  <c r="O269" i="44"/>
  <c r="O205" i="44"/>
  <c r="P205" i="44"/>
  <c r="P371" i="44"/>
  <c r="O371" i="44"/>
  <c r="O307" i="44"/>
  <c r="P307" i="44"/>
  <c r="O243" i="44"/>
  <c r="P243" i="44"/>
  <c r="Y107" i="44"/>
  <c r="Y304" i="44" s="1"/>
  <c r="X107" i="44"/>
  <c r="X304" i="44" s="1"/>
  <c r="W304" i="44"/>
  <c r="Y92" i="44"/>
  <c r="Y289" i="44" s="1"/>
  <c r="W289" i="44"/>
  <c r="Y152" i="44"/>
  <c r="Y349" i="44" s="1"/>
  <c r="W349" i="44"/>
  <c r="Y24" i="44"/>
  <c r="Y221" i="44" s="1"/>
  <c r="W221" i="44"/>
  <c r="Y163" i="44"/>
  <c r="Y360" i="44" s="1"/>
  <c r="X163" i="44"/>
  <c r="X360" i="44" s="1"/>
  <c r="W360" i="44"/>
  <c r="Y35" i="44"/>
  <c r="Y232" i="44" s="1"/>
  <c r="X35" i="44"/>
  <c r="X232" i="44" s="1"/>
  <c r="W232" i="44"/>
  <c r="Y128" i="44"/>
  <c r="Y325" i="44" s="1"/>
  <c r="W325" i="44"/>
  <c r="Y63" i="44"/>
  <c r="Y260" i="44" s="1"/>
  <c r="W260" i="44"/>
  <c r="Y166" i="44"/>
  <c r="Y363" i="44" s="1"/>
  <c r="W363" i="44"/>
  <c r="Y38" i="44"/>
  <c r="Y235" i="44" s="1"/>
  <c r="W235" i="44"/>
  <c r="Y178" i="44"/>
  <c r="Y375" i="44" s="1"/>
  <c r="X178" i="44"/>
  <c r="X375" i="44" s="1"/>
  <c r="W375" i="44"/>
  <c r="Y114" i="44"/>
  <c r="Y311" i="44" s="1"/>
  <c r="X114" i="44"/>
  <c r="X311" i="44" s="1"/>
  <c r="W311" i="44"/>
  <c r="Y50" i="44"/>
  <c r="Y247" i="44" s="1"/>
  <c r="X50" i="44"/>
  <c r="X247" i="44" s="1"/>
  <c r="W247" i="44"/>
  <c r="Y161" i="44"/>
  <c r="Y358" i="44" s="1"/>
  <c r="W358" i="44"/>
  <c r="Y97" i="44"/>
  <c r="Y294" i="44" s="1"/>
  <c r="X97" i="44"/>
  <c r="X294" i="44" s="1"/>
  <c r="W294" i="44"/>
  <c r="Y33" i="44"/>
  <c r="Y230" i="44" s="1"/>
  <c r="X33" i="44"/>
  <c r="X230" i="44" s="1"/>
  <c r="W230" i="44"/>
  <c r="Y201" i="44"/>
  <c r="I418" i="44" l="1"/>
  <c r="H539" i="44"/>
  <c r="I403" i="44"/>
  <c r="T555" i="44"/>
  <c r="I441" i="44"/>
  <c r="O504" i="44"/>
  <c r="T561" i="44"/>
  <c r="I415" i="44"/>
  <c r="W585" i="44"/>
  <c r="V404" i="44"/>
  <c r="T553" i="44"/>
  <c r="T525" i="44"/>
  <c r="T567" i="44"/>
  <c r="T584" i="44"/>
  <c r="T531" i="44"/>
  <c r="T446" i="44"/>
  <c r="T575" i="44"/>
  <c r="T566" i="44"/>
  <c r="W407" i="44"/>
  <c r="T475" i="44"/>
  <c r="T452" i="44"/>
  <c r="T557" i="44"/>
  <c r="T409" i="44"/>
  <c r="H438" i="44"/>
  <c r="V514" i="44"/>
  <c r="T537" i="44"/>
  <c r="H448" i="44"/>
  <c r="V451" i="44"/>
  <c r="V520" i="44"/>
  <c r="T577" i="44"/>
  <c r="T556" i="44"/>
  <c r="K537" i="44"/>
  <c r="K534" i="44"/>
  <c r="T545" i="44"/>
  <c r="T443" i="44"/>
  <c r="T449" i="44"/>
  <c r="T467" i="44"/>
  <c r="K506" i="44"/>
  <c r="T523" i="44"/>
  <c r="T465" i="44"/>
  <c r="T580" i="44"/>
  <c r="K415" i="44"/>
  <c r="K489" i="44"/>
  <c r="L489" i="44"/>
  <c r="T576" i="44"/>
  <c r="T476" i="44"/>
  <c r="T524" i="44"/>
  <c r="I583" i="44"/>
  <c r="I547" i="44"/>
  <c r="K529" i="44"/>
  <c r="H457" i="44"/>
  <c r="K564" i="44"/>
  <c r="I440" i="44"/>
  <c r="H538" i="44"/>
  <c r="T590" i="44"/>
  <c r="T547" i="44"/>
  <c r="T464" i="44"/>
  <c r="I576" i="44"/>
  <c r="I435" i="44"/>
  <c r="O465" i="44"/>
  <c r="L532" i="44"/>
  <c r="I474" i="44"/>
  <c r="T453" i="44"/>
  <c r="T501" i="44"/>
  <c r="T413" i="44"/>
  <c r="I464" i="44"/>
  <c r="R564" i="44"/>
  <c r="T451" i="44"/>
  <c r="T426" i="44"/>
  <c r="I505" i="44"/>
  <c r="I512" i="44"/>
  <c r="I475" i="44"/>
  <c r="I537" i="44"/>
  <c r="I511" i="44"/>
  <c r="I457" i="44"/>
  <c r="I490" i="44"/>
  <c r="I501" i="44"/>
  <c r="I581" i="44"/>
  <c r="T468" i="44"/>
  <c r="V405" i="44"/>
  <c r="V426" i="44"/>
  <c r="V519" i="44"/>
  <c r="V495" i="44"/>
  <c r="V490" i="44"/>
  <c r="H424" i="44"/>
  <c r="I543" i="44"/>
  <c r="V502" i="44"/>
  <c r="H505" i="44"/>
  <c r="V507" i="44"/>
  <c r="H418" i="44"/>
  <c r="H518" i="44"/>
  <c r="I555" i="44"/>
  <c r="I571" i="44"/>
  <c r="I469" i="44"/>
  <c r="I523" i="44"/>
  <c r="I556" i="44"/>
  <c r="I516" i="44"/>
  <c r="I414" i="44"/>
  <c r="I481" i="44"/>
  <c r="I551" i="44"/>
  <c r="I488" i="44"/>
  <c r="I518" i="44"/>
  <c r="I420" i="44"/>
  <c r="I487" i="44"/>
  <c r="I542" i="44"/>
  <c r="I532" i="44"/>
  <c r="V500" i="44"/>
  <c r="I484" i="44"/>
  <c r="K462" i="44"/>
  <c r="W436" i="44"/>
  <c r="V561" i="44"/>
  <c r="S509" i="44"/>
  <c r="I522" i="44"/>
  <c r="V569" i="44"/>
  <c r="I445" i="44"/>
  <c r="I590" i="44"/>
  <c r="H409" i="44"/>
  <c r="I419" i="44"/>
  <c r="I535" i="44"/>
  <c r="I448" i="44"/>
  <c r="S409" i="44"/>
  <c r="I470" i="44"/>
  <c r="I444" i="44"/>
  <c r="I406" i="44"/>
  <c r="I520" i="44"/>
  <c r="S412" i="44"/>
  <c r="R585" i="44"/>
  <c r="S405" i="44"/>
  <c r="I450" i="44"/>
  <c r="O458" i="44"/>
  <c r="I496" i="44"/>
  <c r="I515" i="44"/>
  <c r="I454" i="44"/>
  <c r="I485" i="44"/>
  <c r="I584" i="44"/>
  <c r="V540" i="44"/>
  <c r="H512" i="44"/>
  <c r="S521" i="44"/>
  <c r="I526" i="44"/>
  <c r="I472" i="44"/>
  <c r="I562" i="44"/>
  <c r="I503" i="44"/>
  <c r="I570" i="44"/>
  <c r="I553" i="44"/>
  <c r="I577" i="44"/>
  <c r="I567" i="44"/>
  <c r="H740" i="44" s="1"/>
  <c r="V6" i="16" s="1" a="1"/>
  <c r="V6" i="16" s="1"/>
  <c r="I437" i="44"/>
  <c r="I493" i="44"/>
  <c r="V526" i="44"/>
  <c r="I422" i="44"/>
  <c r="V474" i="44"/>
  <c r="V416" i="44"/>
  <c r="I564" i="44"/>
  <c r="I498" i="44"/>
  <c r="I524" i="44"/>
  <c r="I446" i="44"/>
  <c r="I409" i="44"/>
  <c r="U556" i="44"/>
  <c r="S577" i="44"/>
  <c r="H440" i="44"/>
  <c r="V565" i="44"/>
  <c r="H508" i="44"/>
  <c r="S448" i="44"/>
  <c r="H530" i="44"/>
  <c r="S474" i="44"/>
  <c r="V570" i="44"/>
  <c r="H450" i="44"/>
  <c r="K413" i="44"/>
  <c r="S558" i="44"/>
  <c r="I557" i="44"/>
  <c r="S538" i="44"/>
  <c r="K427" i="44"/>
  <c r="H570" i="44"/>
  <c r="V467" i="44"/>
  <c r="S511" i="44"/>
  <c r="R470" i="44"/>
  <c r="I548" i="44"/>
  <c r="K404" i="44"/>
  <c r="S543" i="44"/>
  <c r="H542" i="44"/>
  <c r="H554" i="44"/>
  <c r="S535" i="44"/>
  <c r="S569" i="44"/>
  <c r="V547" i="44"/>
  <c r="K466" i="44"/>
  <c r="H498" i="44"/>
  <c r="O485" i="44"/>
  <c r="I460" i="44"/>
  <c r="I427" i="44"/>
  <c r="I434" i="44"/>
  <c r="I433" i="44"/>
  <c r="V476" i="44"/>
  <c r="S423" i="44"/>
  <c r="K460" i="44"/>
  <c r="S467" i="44"/>
  <c r="H576" i="44"/>
  <c r="H590" i="44"/>
  <c r="K546" i="44"/>
  <c r="I467" i="44"/>
  <c r="I438" i="44"/>
  <c r="I502" i="44"/>
  <c r="S513" i="44"/>
  <c r="H466" i="44"/>
  <c r="H550" i="44"/>
  <c r="V457" i="44"/>
  <c r="S455" i="44"/>
  <c r="V437" i="44"/>
  <c r="H452" i="44"/>
  <c r="H462" i="44"/>
  <c r="V441" i="44"/>
  <c r="H451" i="44"/>
  <c r="K569" i="44"/>
  <c r="I424" i="44"/>
  <c r="I455" i="44"/>
  <c r="I560" i="44"/>
  <c r="I534" i="44"/>
  <c r="I582" i="44"/>
  <c r="I586" i="44"/>
  <c r="V487" i="44"/>
  <c r="V566" i="44"/>
  <c r="R479" i="44"/>
  <c r="V527" i="44"/>
  <c r="I463" i="44"/>
  <c r="S488" i="44"/>
  <c r="H484" i="44"/>
  <c r="H493" i="44"/>
  <c r="K440" i="44"/>
  <c r="S462" i="44"/>
  <c r="H471" i="44"/>
  <c r="S415" i="44"/>
  <c r="H559" i="44"/>
  <c r="H537" i="44"/>
  <c r="H566" i="44"/>
  <c r="I549" i="44"/>
  <c r="V575" i="44"/>
  <c r="K579" i="44"/>
  <c r="S554" i="44"/>
  <c r="H531" i="44"/>
  <c r="K516" i="44"/>
  <c r="V578" i="44"/>
  <c r="S470" i="44"/>
  <c r="H574" i="44"/>
  <c r="K412" i="44"/>
  <c r="S447" i="44"/>
  <c r="S573" i="44"/>
  <c r="V455" i="44"/>
  <c r="H480" i="44"/>
  <c r="K450" i="44"/>
  <c r="H529" i="44"/>
  <c r="V452" i="44"/>
  <c r="S570" i="44"/>
  <c r="K531" i="44"/>
  <c r="L515" i="44"/>
  <c r="V591" i="44"/>
  <c r="U561" i="44"/>
  <c r="I589" i="44"/>
  <c r="S446" i="44"/>
  <c r="S572" i="44"/>
  <c r="S582" i="44"/>
  <c r="H583" i="44"/>
  <c r="K540" i="44"/>
  <c r="H526" i="44"/>
  <c r="L430" i="44"/>
  <c r="V483" i="44"/>
  <c r="H589" i="44"/>
  <c r="K587" i="44"/>
  <c r="H584" i="44"/>
  <c r="S493" i="44"/>
  <c r="K511" i="44"/>
  <c r="H486" i="44"/>
  <c r="K490" i="44"/>
  <c r="H500" i="44"/>
  <c r="H492" i="44"/>
  <c r="H478" i="44"/>
  <c r="L545" i="44"/>
  <c r="L557" i="44"/>
  <c r="S552" i="44"/>
  <c r="H491" i="44"/>
  <c r="S418" i="44"/>
  <c r="S522" i="44"/>
  <c r="H594" i="44"/>
  <c r="S583" i="44"/>
  <c r="L548" i="44"/>
  <c r="H497" i="44"/>
  <c r="H520" i="44"/>
  <c r="S404" i="44"/>
  <c r="H506" i="44"/>
  <c r="H487" i="44"/>
  <c r="Q405" i="44"/>
  <c r="R505" i="44"/>
  <c r="Q589" i="44"/>
  <c r="Q590" i="44"/>
  <c r="Q576" i="44"/>
  <c r="W495" i="44"/>
  <c r="O406" i="44"/>
  <c r="Q582" i="44"/>
  <c r="Q478" i="44"/>
  <c r="Q587" i="44"/>
  <c r="Q505" i="44"/>
  <c r="R409" i="44"/>
  <c r="Q434" i="44"/>
  <c r="R592" i="44"/>
  <c r="Q539" i="44"/>
  <c r="R529" i="44"/>
  <c r="Q520" i="44"/>
  <c r="U433" i="44"/>
  <c r="Q528" i="44"/>
  <c r="O568" i="44"/>
  <c r="W423" i="44"/>
  <c r="W521" i="44"/>
  <c r="O526" i="44"/>
  <c r="I593" i="44"/>
  <c r="I443" i="44"/>
  <c r="Q454" i="44"/>
  <c r="W471" i="44"/>
  <c r="I497" i="44"/>
  <c r="I404" i="44"/>
  <c r="I594" i="44"/>
  <c r="O543" i="44"/>
  <c r="Q468" i="44"/>
  <c r="R465" i="44"/>
  <c r="I554" i="44"/>
  <c r="I504" i="44"/>
  <c r="I417" i="44"/>
  <c r="Q458" i="44"/>
  <c r="Q452" i="44"/>
  <c r="L570" i="44"/>
  <c r="V453" i="44"/>
  <c r="V485" i="44"/>
  <c r="V511" i="44"/>
  <c r="V544" i="44"/>
  <c r="V468" i="44"/>
  <c r="V524" i="44"/>
  <c r="V592" i="44"/>
  <c r="U465" i="44"/>
  <c r="V497" i="44"/>
  <c r="V523" i="44"/>
  <c r="V424" i="44"/>
  <c r="O516" i="44"/>
  <c r="E542" i="44"/>
  <c r="V472" i="44"/>
  <c r="V535" i="44"/>
  <c r="V501" i="44"/>
  <c r="I565" i="44"/>
  <c r="F431" i="44"/>
  <c r="L490" i="44"/>
  <c r="V573" i="44"/>
  <c r="L431" i="44"/>
  <c r="V412" i="44"/>
  <c r="L510" i="44"/>
  <c r="V564" i="44"/>
  <c r="V572" i="44"/>
  <c r="V506" i="44"/>
  <c r="V445" i="44"/>
  <c r="V466" i="44"/>
  <c r="V571" i="44"/>
  <c r="V537" i="44"/>
  <c r="V505" i="44"/>
  <c r="V528" i="44"/>
  <c r="S519" i="44"/>
  <c r="S553" i="44"/>
  <c r="H555" i="44"/>
  <c r="O511" i="44"/>
  <c r="V521" i="44"/>
  <c r="V423" i="44"/>
  <c r="V582" i="44"/>
  <c r="V589" i="44"/>
  <c r="R552" i="44"/>
  <c r="V546" i="44"/>
  <c r="V454" i="44"/>
  <c r="V516" i="44"/>
  <c r="R563" i="44"/>
  <c r="V536" i="44"/>
  <c r="S593" i="44"/>
  <c r="V443" i="44"/>
  <c r="U640" i="44" s="1" a="1"/>
  <c r="U640" i="44" s="1"/>
  <c r="R3" i="32" s="1" a="1"/>
  <c r="R3" i="32" s="1"/>
  <c r="R429" i="44"/>
  <c r="S464" i="44"/>
  <c r="S559" i="44"/>
  <c r="O493" i="44"/>
  <c r="V590" i="44"/>
  <c r="V462" i="44"/>
  <c r="O566" i="44"/>
  <c r="O533" i="44"/>
  <c r="I536" i="44"/>
  <c r="I563" i="44"/>
  <c r="I588" i="44"/>
  <c r="O522" i="44"/>
  <c r="V432" i="44"/>
  <c r="V554" i="44"/>
  <c r="V508" i="44"/>
  <c r="V492" i="44"/>
  <c r="R428" i="44"/>
  <c r="V427" i="44"/>
  <c r="V450" i="44"/>
  <c r="V456" i="44"/>
  <c r="V504" i="44"/>
  <c r="V471" i="44"/>
  <c r="V531" i="44"/>
  <c r="R526" i="44"/>
  <c r="V553" i="44"/>
  <c r="S555" i="44"/>
  <c r="H432" i="44"/>
  <c r="H521" i="44"/>
  <c r="O497" i="44"/>
  <c r="I407" i="44"/>
  <c r="I539" i="44"/>
  <c r="I517" i="44"/>
  <c r="I411" i="44"/>
  <c r="W438" i="44"/>
  <c r="V425" i="44"/>
  <c r="V555" i="44"/>
  <c r="V586" i="44"/>
  <c r="S564" i="44"/>
  <c r="L511" i="44"/>
  <c r="V533" i="44"/>
  <c r="R460" i="44"/>
  <c r="R584" i="44"/>
  <c r="V494" i="44"/>
  <c r="S496" i="44"/>
  <c r="H456" i="44"/>
  <c r="H515" i="44"/>
  <c r="O487" i="44"/>
  <c r="O587" i="44"/>
  <c r="O507" i="44"/>
  <c r="I408" i="44"/>
  <c r="O456" i="44"/>
  <c r="O492" i="44"/>
  <c r="I521" i="44"/>
  <c r="I439" i="44"/>
  <c r="O588" i="44"/>
  <c r="I525" i="44"/>
  <c r="O412" i="44"/>
  <c r="I580" i="44"/>
  <c r="I572" i="44"/>
  <c r="I546" i="44"/>
  <c r="I561" i="44"/>
  <c r="I483" i="44"/>
  <c r="I500" i="44"/>
  <c r="I591" i="44"/>
  <c r="V442" i="44"/>
  <c r="V438" i="44"/>
  <c r="V545" i="44"/>
  <c r="V434" i="44"/>
  <c r="V477" i="44"/>
  <c r="V413" i="44"/>
  <c r="R421" i="44"/>
  <c r="R495" i="44"/>
  <c r="R425" i="44"/>
  <c r="S481" i="44"/>
  <c r="R458" i="44"/>
  <c r="H474" i="44"/>
  <c r="H412" i="44"/>
  <c r="I540" i="44"/>
  <c r="I461" i="44"/>
  <c r="O421" i="44"/>
  <c r="I552" i="44"/>
  <c r="I519" i="44"/>
  <c r="I462" i="44"/>
  <c r="I566" i="44"/>
  <c r="U438" i="44"/>
  <c r="V593" i="44"/>
  <c r="R494" i="44"/>
  <c r="V532" i="44"/>
  <c r="V510" i="44"/>
  <c r="E544" i="44"/>
  <c r="V542" i="44"/>
  <c r="V479" i="44"/>
  <c r="V409" i="44"/>
  <c r="R522" i="44"/>
  <c r="R405" i="44"/>
  <c r="S550" i="44"/>
  <c r="R518" i="44"/>
  <c r="H421" i="44"/>
  <c r="S483" i="44"/>
  <c r="R461" i="44"/>
  <c r="H564" i="44"/>
  <c r="K583" i="44"/>
  <c r="E480" i="44"/>
  <c r="Q404" i="44"/>
  <c r="Q552" i="44"/>
  <c r="Q503" i="44"/>
  <c r="O460" i="44"/>
  <c r="S430" i="44"/>
  <c r="Q461" i="44"/>
  <c r="K421" i="44"/>
  <c r="K560" i="44"/>
  <c r="K486" i="44"/>
  <c r="S560" i="44"/>
  <c r="I405" i="44"/>
  <c r="Q407" i="44"/>
  <c r="S507" i="44"/>
  <c r="S408" i="44"/>
  <c r="S563" i="44"/>
  <c r="S476" i="44"/>
  <c r="S528" i="44"/>
  <c r="K403" i="44"/>
  <c r="I587" i="44"/>
  <c r="I468" i="44"/>
  <c r="O480" i="44"/>
  <c r="O542" i="44"/>
  <c r="O424" i="44"/>
  <c r="O499" i="44"/>
  <c r="I421" i="44"/>
  <c r="O558" i="44"/>
  <c r="I585" i="44"/>
  <c r="S501" i="44"/>
  <c r="K574" i="44"/>
  <c r="S530" i="44"/>
  <c r="S594" i="44"/>
  <c r="S417" i="44"/>
  <c r="S549" i="44"/>
  <c r="O512" i="44"/>
  <c r="I456" i="44"/>
  <c r="I430" i="44"/>
  <c r="O536" i="44"/>
  <c r="I449" i="44"/>
  <c r="O549" i="44"/>
  <c r="O435" i="44"/>
  <c r="I545" i="44"/>
  <c r="Q516" i="44"/>
  <c r="Q579" i="44"/>
  <c r="I442" i="44"/>
  <c r="Q439" i="44"/>
  <c r="K573" i="44"/>
  <c r="S480" i="44"/>
  <c r="S510" i="44"/>
  <c r="W527" i="44"/>
  <c r="O509" i="44"/>
  <c r="O434" i="44"/>
  <c r="I544" i="44"/>
  <c r="O414" i="44"/>
  <c r="W459" i="44"/>
  <c r="I413" i="44"/>
  <c r="O567" i="44"/>
  <c r="I533" i="44"/>
  <c r="W594" i="44"/>
  <c r="W507" i="44"/>
  <c r="O404" i="44"/>
  <c r="O427" i="44"/>
  <c r="I578" i="44"/>
  <c r="W410" i="44"/>
  <c r="I479" i="44"/>
  <c r="O464" i="44"/>
  <c r="O472" i="44"/>
  <c r="O553" i="44"/>
  <c r="O444" i="44"/>
  <c r="K470" i="44"/>
  <c r="O429" i="44"/>
  <c r="Q593" i="44"/>
  <c r="W487" i="44"/>
  <c r="S532" i="44"/>
  <c r="O532" i="44"/>
  <c r="Q430" i="44"/>
  <c r="I491" i="44"/>
  <c r="Q532" i="44"/>
  <c r="S566" i="44"/>
  <c r="S544" i="44"/>
  <c r="I482" i="44"/>
  <c r="Q546" i="44"/>
  <c r="S434" i="44"/>
  <c r="S578" i="44"/>
  <c r="S413" i="44"/>
  <c r="S460" i="44"/>
  <c r="O573" i="44"/>
  <c r="O576" i="44"/>
  <c r="I447" i="44"/>
  <c r="O529" i="44"/>
  <c r="O515" i="44"/>
  <c r="O496" i="44"/>
  <c r="I459" i="44"/>
  <c r="I453" i="44"/>
  <c r="O484" i="44"/>
  <c r="Q556" i="44"/>
  <c r="S461" i="44"/>
  <c r="K420" i="44"/>
  <c r="K473" i="44"/>
  <c r="Q537" i="44"/>
  <c r="K439" i="44"/>
  <c r="S445" i="44"/>
  <c r="S586" i="44"/>
  <c r="S502" i="44"/>
  <c r="O541" i="44"/>
  <c r="I568" i="44"/>
  <c r="I509" i="44"/>
  <c r="O413" i="44"/>
  <c r="O545" i="44"/>
  <c r="I530" i="44"/>
  <c r="O560" i="44"/>
  <c r="O531" i="44"/>
  <c r="Q561" i="44"/>
  <c r="O580" i="44"/>
  <c r="O570" i="44"/>
  <c r="O524" i="44"/>
  <c r="Q460" i="44"/>
  <c r="S556" i="44"/>
  <c r="S580" i="44"/>
  <c r="I573" i="44"/>
  <c r="Q554" i="44"/>
  <c r="S495" i="44"/>
  <c r="I494" i="44"/>
  <c r="S437" i="44"/>
  <c r="S592" i="44"/>
  <c r="S414" i="44"/>
  <c r="I486" i="44"/>
  <c r="S514" i="44"/>
  <c r="O583" i="44"/>
  <c r="I466" i="44"/>
  <c r="I550" i="44"/>
  <c r="O477" i="44"/>
  <c r="Q543" i="44"/>
  <c r="Q453" i="44"/>
  <c r="Q487" i="44"/>
  <c r="Q448" i="44"/>
  <c r="K429" i="44"/>
  <c r="Q577" i="44"/>
  <c r="K513" i="44"/>
  <c r="Q496" i="44"/>
  <c r="S433" i="44"/>
  <c r="I478" i="44"/>
  <c r="S427" i="44"/>
  <c r="S576" i="44"/>
  <c r="S516" i="44"/>
  <c r="O577" i="44"/>
  <c r="I436" i="44"/>
  <c r="Q446" i="44"/>
  <c r="Q560" i="44"/>
  <c r="O523" i="44"/>
  <c r="K504" i="44"/>
  <c r="S541" i="44"/>
  <c r="K582" i="44"/>
  <c r="S416" i="44"/>
  <c r="O555" i="44"/>
  <c r="K509" i="44"/>
  <c r="Q594" i="44"/>
  <c r="S479" i="44"/>
  <c r="S444" i="44"/>
  <c r="S497" i="44"/>
  <c r="S512" i="44"/>
  <c r="K438" i="44"/>
  <c r="O440" i="44"/>
  <c r="O409" i="44"/>
  <c r="O561" i="44"/>
  <c r="O418" i="44"/>
  <c r="O476" i="44"/>
  <c r="O453" i="44"/>
  <c r="I574" i="44"/>
  <c r="I538" i="44"/>
  <c r="I477" i="44"/>
  <c r="W452" i="44"/>
  <c r="I412" i="44"/>
  <c r="I416" i="44"/>
  <c r="O530" i="44"/>
  <c r="I492" i="44"/>
  <c r="O506" i="44"/>
  <c r="O437" i="44"/>
  <c r="Q551" i="44"/>
  <c r="Q457" i="44"/>
  <c r="Q483" i="44"/>
  <c r="S551" i="44"/>
  <c r="O585" i="44"/>
  <c r="I529" i="44"/>
  <c r="S453" i="44"/>
  <c r="S571" i="44"/>
  <c r="I514" i="44"/>
  <c r="H711" i="44" s="1"/>
  <c r="Q7" i="16" s="1" a="1"/>
  <c r="Q7" i="16" s="1"/>
  <c r="K533" i="44"/>
  <c r="W439" i="44"/>
  <c r="I575" i="44"/>
  <c r="I495" i="44"/>
  <c r="W409" i="44"/>
  <c r="I531" i="44"/>
  <c r="I452" i="44"/>
  <c r="W464" i="44"/>
  <c r="O591" i="44"/>
  <c r="Q523" i="44"/>
  <c r="I527" i="44"/>
  <c r="I458" i="44"/>
  <c r="I513" i="44"/>
  <c r="Q575" i="44"/>
  <c r="K550" i="44"/>
  <c r="S472" i="44"/>
  <c r="Q431" i="44"/>
  <c r="Q500" i="44"/>
  <c r="I465" i="44"/>
  <c r="S590" i="44"/>
  <c r="K447" i="44"/>
  <c r="I428" i="44"/>
  <c r="Q519" i="44"/>
  <c r="S533" i="44"/>
  <c r="K522" i="44"/>
  <c r="S562" i="44"/>
  <c r="S591" i="44"/>
  <c r="K557" i="44"/>
  <c r="I473" i="44"/>
  <c r="O422" i="44"/>
  <c r="O535" i="44"/>
  <c r="I426" i="44"/>
  <c r="O565" i="44"/>
  <c r="I510" i="44"/>
  <c r="E543" i="44"/>
  <c r="E594" i="44"/>
  <c r="R404" i="44"/>
  <c r="R468" i="44"/>
  <c r="E535" i="44"/>
  <c r="E586" i="44"/>
  <c r="V448" i="44"/>
  <c r="V458" i="44"/>
  <c r="V459" i="44"/>
  <c r="V475" i="44"/>
  <c r="V518" i="44"/>
  <c r="H444" i="44"/>
  <c r="F568" i="44"/>
  <c r="S469" i="44"/>
  <c r="R536" i="44"/>
  <c r="H454" i="44"/>
  <c r="H581" i="44"/>
  <c r="F517" i="44"/>
  <c r="S500" i="44"/>
  <c r="S443" i="44"/>
  <c r="R640" i="44" s="1" a="1"/>
  <c r="R640" i="44" s="1"/>
  <c r="R3" i="29" s="1" a="1"/>
  <c r="R3" i="29" s="1"/>
  <c r="R559" i="44"/>
  <c r="R543" i="44"/>
  <c r="S432" i="44"/>
  <c r="S557" i="44"/>
  <c r="S425" i="44"/>
  <c r="R556" i="44"/>
  <c r="H472" i="44"/>
  <c r="H578" i="44"/>
  <c r="H465" i="44"/>
  <c r="K408" i="44"/>
  <c r="F563" i="44"/>
  <c r="F439" i="44"/>
  <c r="S449" i="44"/>
  <c r="R451" i="44"/>
  <c r="V491" i="44"/>
  <c r="E437" i="44"/>
  <c r="E488" i="44"/>
  <c r="V538" i="44"/>
  <c r="V556" i="44"/>
  <c r="V549" i="44"/>
  <c r="V588" i="44"/>
  <c r="V421" i="44"/>
  <c r="K428" i="44"/>
  <c r="K561" i="44"/>
  <c r="R489" i="44"/>
  <c r="E501" i="44"/>
  <c r="R413" i="44"/>
  <c r="R447" i="44"/>
  <c r="K581" i="44"/>
  <c r="H545" i="44"/>
  <c r="K458" i="44"/>
  <c r="R535" i="44"/>
  <c r="R594" i="44"/>
  <c r="R414" i="44"/>
  <c r="K431" i="44"/>
  <c r="R462" i="44"/>
  <c r="S540" i="44"/>
  <c r="S561" i="44"/>
  <c r="S459" i="44"/>
  <c r="S491" i="44"/>
  <c r="S518" i="44"/>
  <c r="S517" i="44"/>
  <c r="S468" i="44"/>
  <c r="H430" i="44"/>
  <c r="H562" i="44"/>
  <c r="H551" i="44"/>
  <c r="H593" i="44"/>
  <c r="H420" i="44"/>
  <c r="S403" i="44"/>
  <c r="R453" i="44"/>
  <c r="R442" i="44"/>
  <c r="R586" i="44"/>
  <c r="R422" i="44"/>
  <c r="H411" i="44"/>
  <c r="S471" i="44"/>
  <c r="S589" i="44"/>
  <c r="S424" i="44"/>
  <c r="V576" i="44"/>
  <c r="H528" i="44"/>
  <c r="H461" i="44"/>
  <c r="H403" i="44"/>
  <c r="L439" i="44"/>
  <c r="R558" i="44"/>
  <c r="R590" i="44"/>
  <c r="E428" i="44"/>
  <c r="E578" i="44"/>
  <c r="K512" i="44"/>
  <c r="V530" i="44"/>
  <c r="V551" i="44"/>
  <c r="V548" i="44"/>
  <c r="V585" i="44"/>
  <c r="V417" i="44"/>
  <c r="L459" i="44"/>
  <c r="F483" i="44"/>
  <c r="R490" i="44"/>
  <c r="S505" i="44"/>
  <c r="S524" i="44"/>
  <c r="S490" i="44"/>
  <c r="F425" i="44"/>
  <c r="S503" i="44"/>
  <c r="S431" i="44"/>
  <c r="K572" i="44"/>
  <c r="K501" i="44"/>
  <c r="R527" i="44"/>
  <c r="R480" i="44"/>
  <c r="R410" i="44"/>
  <c r="S454" i="44"/>
  <c r="H415" i="44"/>
  <c r="S442" i="44"/>
  <c r="S463" i="44"/>
  <c r="S452" i="44"/>
  <c r="S581" i="44"/>
  <c r="S421" i="44"/>
  <c r="S420" i="44"/>
  <c r="S567" i="44"/>
  <c r="H519" i="44"/>
  <c r="H546" i="44"/>
  <c r="H464" i="44"/>
  <c r="H453" i="44"/>
  <c r="H496" i="44"/>
  <c r="H414" i="44"/>
  <c r="H460" i="44"/>
  <c r="K536" i="44"/>
  <c r="R423" i="44"/>
  <c r="O489" i="44"/>
  <c r="F505" i="44"/>
  <c r="E435" i="44"/>
  <c r="R438" i="44"/>
  <c r="R555" i="44"/>
  <c r="R576" i="44"/>
  <c r="E533" i="44"/>
  <c r="R574" i="44"/>
  <c r="R589" i="44"/>
  <c r="R561" i="44"/>
  <c r="R491" i="44"/>
  <c r="R508" i="44"/>
  <c r="H482" i="44"/>
  <c r="H405" i="44"/>
  <c r="H479" i="44"/>
  <c r="H543" i="44"/>
  <c r="H540" i="44"/>
  <c r="H556" i="44"/>
  <c r="H585" i="44"/>
  <c r="H580" i="44"/>
  <c r="H410" i="44"/>
  <c r="R566" i="44"/>
  <c r="R569" i="44"/>
  <c r="R484" i="44"/>
  <c r="E415" i="44"/>
  <c r="H561" i="44"/>
  <c r="R466" i="44"/>
  <c r="F489" i="44"/>
  <c r="R537" i="44"/>
  <c r="R581" i="44"/>
  <c r="H483" i="44"/>
  <c r="E564" i="44"/>
  <c r="V444" i="44"/>
  <c r="V419" i="44"/>
  <c r="V422" i="44"/>
  <c r="S529" i="44"/>
  <c r="K419" i="44"/>
  <c r="V517" i="44"/>
  <c r="U714" i="44" s="1"/>
  <c r="T7" i="32" s="1" a="1"/>
  <c r="T7" i="32" s="1"/>
  <c r="S525" i="44"/>
  <c r="S466" i="44"/>
  <c r="K508" i="44"/>
  <c r="K449" i="44"/>
  <c r="V465" i="44"/>
  <c r="S487" i="44"/>
  <c r="V513" i="44"/>
  <c r="R441" i="44"/>
  <c r="S458" i="44"/>
  <c r="V482" i="44"/>
  <c r="R530" i="44"/>
  <c r="R553" i="44"/>
  <c r="R572" i="44"/>
  <c r="R504" i="44"/>
  <c r="V439" i="44"/>
  <c r="R503" i="44"/>
  <c r="S527" i="44"/>
  <c r="S456" i="44"/>
  <c r="S494" i="44"/>
  <c r="S485" i="44"/>
  <c r="S410" i="44"/>
  <c r="S531" i="44"/>
  <c r="V550" i="44"/>
  <c r="H535" i="44"/>
  <c r="H532" i="44"/>
  <c r="H565" i="44"/>
  <c r="H476" i="44"/>
  <c r="H575" i="44"/>
  <c r="K535" i="44"/>
  <c r="H475" i="44"/>
  <c r="K559" i="44"/>
  <c r="O403" i="44"/>
  <c r="I425" i="44"/>
  <c r="E491" i="44"/>
  <c r="F434" i="44"/>
  <c r="E487" i="44"/>
  <c r="E524" i="44"/>
  <c r="E572" i="44"/>
  <c r="R492" i="44"/>
  <c r="R407" i="44"/>
  <c r="R471" i="44"/>
  <c r="R512" i="44"/>
  <c r="R431" i="44"/>
  <c r="E523" i="44"/>
  <c r="H425" i="44"/>
  <c r="R481" i="44"/>
  <c r="E570" i="44"/>
  <c r="E420" i="44"/>
  <c r="R446" i="44"/>
  <c r="H426" i="44"/>
  <c r="R474" i="44"/>
  <c r="H572" i="44"/>
  <c r="H502" i="44"/>
  <c r="H441" i="44"/>
  <c r="R463" i="44"/>
  <c r="H442" i="44"/>
  <c r="H488" i="44"/>
  <c r="R545" i="44"/>
  <c r="F487" i="44"/>
  <c r="E510" i="44"/>
  <c r="V496" i="44"/>
  <c r="V429" i="44"/>
  <c r="K474" i="44"/>
  <c r="E466" i="44"/>
  <c r="E405" i="44"/>
  <c r="L593" i="44"/>
  <c r="V534" i="44"/>
  <c r="V470" i="44"/>
  <c r="V583" i="44"/>
  <c r="V512" i="44"/>
  <c r="V515" i="44"/>
  <c r="H579" i="44"/>
  <c r="H413" i="44"/>
  <c r="H449" i="44"/>
  <c r="V446" i="44"/>
  <c r="S585" i="44"/>
  <c r="K405" i="44"/>
  <c r="K552" i="44"/>
  <c r="E489" i="44"/>
  <c r="F501" i="44"/>
  <c r="R533" i="44"/>
  <c r="R469" i="44"/>
  <c r="S484" i="44"/>
  <c r="R444" i="44"/>
  <c r="R472" i="44"/>
  <c r="R493" i="44"/>
  <c r="R521" i="44"/>
  <c r="S537" i="44"/>
  <c r="K576" i="44"/>
  <c r="S429" i="44"/>
  <c r="S547" i="44"/>
  <c r="S584" i="44"/>
  <c r="S575" i="44"/>
  <c r="S406" i="44"/>
  <c r="S435" i="44"/>
  <c r="H477" i="44"/>
  <c r="H437" i="44"/>
  <c r="H434" i="44"/>
  <c r="H467" i="44"/>
  <c r="H586" i="44"/>
  <c r="H419" i="44"/>
  <c r="G616" i="44" s="1" a="1"/>
  <c r="G616" i="44" s="1"/>
  <c r="R2" i="19" s="1" a="1"/>
  <c r="R2" i="19" s="1"/>
  <c r="H534" i="44"/>
  <c r="K453" i="44"/>
  <c r="R411" i="44"/>
  <c r="H445" i="44"/>
  <c r="H458" i="44"/>
  <c r="H407" i="44"/>
  <c r="R457" i="44"/>
  <c r="H558" i="44"/>
  <c r="L571" i="44"/>
  <c r="V568" i="44"/>
  <c r="S438" i="44"/>
  <c r="H470" i="44"/>
  <c r="G667" i="44" s="1" a="1"/>
  <c r="G667" i="44" s="1"/>
  <c r="U4" i="19" s="1" a="1"/>
  <c r="U4" i="19" s="1"/>
  <c r="E554" i="44"/>
  <c r="E521" i="44"/>
  <c r="L578" i="44"/>
  <c r="V436" i="44"/>
  <c r="V560" i="44"/>
  <c r="V493" i="44"/>
  <c r="V415" i="44"/>
  <c r="V418" i="44"/>
  <c r="R539" i="44"/>
  <c r="R567" i="44"/>
  <c r="K590" i="44"/>
  <c r="K514" i="44"/>
  <c r="L445" i="44"/>
  <c r="R435" i="44"/>
  <c r="R587" i="44"/>
  <c r="H439" i="44"/>
  <c r="H568" i="44"/>
  <c r="V558" i="44"/>
  <c r="V587" i="44"/>
  <c r="V430" i="44"/>
  <c r="H588" i="44"/>
  <c r="V484" i="44"/>
  <c r="R440" i="44"/>
  <c r="R562" i="44"/>
  <c r="R485" i="44"/>
  <c r="R424" i="44"/>
  <c r="H552" i="44"/>
  <c r="S499" i="44"/>
  <c r="S428" i="44"/>
  <c r="S473" i="44"/>
  <c r="S486" i="44"/>
  <c r="S477" i="44"/>
  <c r="R674" i="44" s="1" a="1"/>
  <c r="R674" i="44" s="1"/>
  <c r="D5" i="29" s="1" a="1"/>
  <c r="D5" i="29" s="1"/>
  <c r="S520" i="44"/>
  <c r="R524" i="44"/>
  <c r="H573" i="44"/>
  <c r="H527" i="44"/>
  <c r="H541" i="44"/>
  <c r="H557" i="44"/>
  <c r="H591" i="44"/>
  <c r="H507" i="44"/>
  <c r="K452" i="44"/>
  <c r="O410" i="44"/>
  <c r="H455" i="44"/>
  <c r="F417" i="44"/>
  <c r="R420" i="44"/>
  <c r="R499" i="44"/>
  <c r="F573" i="44"/>
  <c r="R588" i="44"/>
  <c r="E557" i="44"/>
  <c r="E403" i="44"/>
  <c r="H429" i="44"/>
  <c r="H443" i="44"/>
  <c r="G640" i="44" s="1" a="1"/>
  <c r="G640" i="44" s="1"/>
  <c r="R3" i="19" s="1" a="1"/>
  <c r="R3" i="19" s="1"/>
  <c r="H459" i="44"/>
  <c r="H494" i="44"/>
  <c r="H422" i="44"/>
  <c r="R498" i="44"/>
  <c r="S568" i="44"/>
  <c r="E513" i="44"/>
  <c r="E459" i="44"/>
  <c r="E522" i="44"/>
  <c r="V567" i="44"/>
  <c r="V552" i="44"/>
  <c r="V581" i="44"/>
  <c r="V411" i="44"/>
  <c r="V414" i="44"/>
  <c r="S439" i="44"/>
  <c r="S451" i="44"/>
  <c r="S588" i="44"/>
  <c r="H569" i="44"/>
  <c r="V563" i="44"/>
  <c r="R577" i="44"/>
  <c r="K517" i="44"/>
  <c r="K558" i="44"/>
  <c r="K592" i="44"/>
  <c r="H516" i="44"/>
  <c r="K445" i="44"/>
  <c r="H553" i="44"/>
  <c r="V460" i="44"/>
  <c r="V574" i="44"/>
  <c r="R532" i="44"/>
  <c r="R554" i="44"/>
  <c r="R477" i="44"/>
  <c r="R513" i="44"/>
  <c r="K463" i="44"/>
  <c r="H481" i="44"/>
  <c r="S407" i="44"/>
  <c r="S542" i="44"/>
  <c r="S465" i="44"/>
  <c r="S478" i="44"/>
  <c r="S475" i="44"/>
  <c r="S419" i="44"/>
  <c r="H571" i="44"/>
  <c r="H428" i="44"/>
  <c r="H533" i="44"/>
  <c r="H549" i="44"/>
  <c r="H592" i="44"/>
  <c r="H509" i="44"/>
  <c r="S536" i="44"/>
  <c r="R482" i="44"/>
  <c r="K482" i="44"/>
  <c r="E589" i="44"/>
  <c r="E547" i="44"/>
  <c r="R439" i="44"/>
  <c r="H436" i="44"/>
  <c r="R487" i="44"/>
  <c r="R540" i="44"/>
  <c r="H417" i="44"/>
  <c r="R467" i="44"/>
  <c r="R476" i="44"/>
  <c r="H427" i="44"/>
  <c r="H548" i="44"/>
  <c r="H499" i="44"/>
  <c r="F436" i="44"/>
  <c r="V543" i="44"/>
  <c r="F521" i="44"/>
  <c r="E461" i="44"/>
  <c r="S506" i="44"/>
  <c r="V408" i="44"/>
  <c r="V559" i="44"/>
  <c r="V562" i="44"/>
  <c r="V594" i="44"/>
  <c r="V407" i="44"/>
  <c r="V410" i="44"/>
  <c r="R550" i="44"/>
  <c r="R593" i="44"/>
  <c r="K500" i="44"/>
  <c r="K556" i="44"/>
  <c r="V463" i="44"/>
  <c r="S441" i="44"/>
  <c r="K553" i="44"/>
  <c r="K589" i="44"/>
  <c r="H510" i="44"/>
  <c r="H560" i="44"/>
  <c r="K481" i="44"/>
  <c r="H511" i="44"/>
  <c r="R436" i="44"/>
  <c r="R549" i="44"/>
  <c r="R475" i="44"/>
  <c r="R412" i="44"/>
  <c r="K454" i="44"/>
  <c r="S492" i="44"/>
  <c r="S546" i="44"/>
  <c r="S534" i="44"/>
  <c r="S457" i="44"/>
  <c r="S587" i="44"/>
  <c r="S426" i="44"/>
  <c r="S508" i="44"/>
  <c r="R497" i="44"/>
  <c r="H544" i="44"/>
  <c r="H525" i="44"/>
  <c r="H547" i="44"/>
  <c r="H582" i="44"/>
  <c r="H513" i="44"/>
  <c r="S523" i="44"/>
  <c r="V486" i="44"/>
  <c r="K485" i="44"/>
  <c r="O419" i="44"/>
  <c r="H495" i="44"/>
  <c r="R534" i="44"/>
  <c r="R464" i="44"/>
  <c r="R575" i="44"/>
  <c r="F532" i="44"/>
  <c r="H522" i="44"/>
  <c r="F473" i="44"/>
  <c r="R434" i="44"/>
  <c r="R416" i="44"/>
  <c r="H473" i="44"/>
  <c r="H435" i="44"/>
  <c r="H490" i="44"/>
  <c r="K436" i="44"/>
  <c r="R544" i="44"/>
  <c r="H489" i="44"/>
  <c r="H423" i="44"/>
  <c r="E551" i="44"/>
  <c r="K411" i="44"/>
  <c r="V522" i="44"/>
  <c r="V461" i="44"/>
  <c r="V464" i="44"/>
  <c r="V488" i="44"/>
  <c r="V499" i="44"/>
  <c r="V406" i="44"/>
  <c r="V541" i="44"/>
  <c r="S498" i="44"/>
  <c r="H447" i="44"/>
  <c r="F552" i="44"/>
  <c r="F479" i="44"/>
  <c r="R582" i="44"/>
  <c r="V449" i="44"/>
  <c r="R568" i="44"/>
  <c r="V580" i="44"/>
  <c r="H504" i="44"/>
  <c r="E447" i="44"/>
  <c r="K468" i="44"/>
  <c r="K484" i="44"/>
  <c r="H514" i="44"/>
  <c r="R450" i="44"/>
  <c r="R547" i="44"/>
  <c r="R426" i="44"/>
  <c r="R403" i="44"/>
  <c r="R560" i="44"/>
  <c r="S482" i="44"/>
  <c r="S440" i="44"/>
  <c r="S436" i="44"/>
  <c r="S548" i="44"/>
  <c r="S489" i="44"/>
  <c r="S515" i="44"/>
  <c r="S411" i="44"/>
  <c r="H468" i="44"/>
  <c r="H446" i="44"/>
  <c r="H524" i="44"/>
  <c r="H567" i="44"/>
  <c r="H485" i="44"/>
  <c r="H416" i="44"/>
  <c r="V431" i="44"/>
  <c r="H503" i="44"/>
  <c r="K495" i="44"/>
  <c r="O581" i="44"/>
  <c r="O495" i="44"/>
  <c r="O449" i="44"/>
  <c r="I423" i="44"/>
  <c r="E483" i="44"/>
  <c r="F507" i="44"/>
  <c r="R520" i="44"/>
  <c r="R506" i="44"/>
  <c r="H433" i="44"/>
  <c r="H501" i="44"/>
  <c r="E591" i="44"/>
  <c r="F433" i="44"/>
  <c r="F553" i="44"/>
  <c r="R580" i="44"/>
  <c r="H463" i="44"/>
  <c r="R579" i="44"/>
  <c r="R449" i="44"/>
  <c r="H404" i="44"/>
  <c r="H431" i="44"/>
  <c r="K563" i="44"/>
  <c r="H587" i="44"/>
  <c r="H406" i="44"/>
  <c r="R448" i="44"/>
  <c r="R578" i="44"/>
  <c r="R507" i="44"/>
  <c r="V509" i="44"/>
  <c r="V489" i="44"/>
  <c r="S450" i="44"/>
  <c r="S526" i="44"/>
  <c r="S565" i="44"/>
  <c r="S579" i="44"/>
  <c r="S422" i="44"/>
  <c r="S504" i="44"/>
  <c r="H563" i="44"/>
  <c r="S574" i="44"/>
  <c r="H536" i="44"/>
  <c r="H523" i="44"/>
  <c r="H469" i="44"/>
  <c r="H577" i="44"/>
  <c r="H408" i="44"/>
  <c r="S545" i="44"/>
  <c r="H517" i="44"/>
  <c r="K418" i="44"/>
  <c r="I476" i="44"/>
  <c r="E446" i="44"/>
  <c r="R443" i="44"/>
  <c r="R488" i="44"/>
  <c r="R515" i="44"/>
  <c r="R452" i="44"/>
  <c r="R430" i="44"/>
  <c r="Q627" i="44" s="1" a="1"/>
  <c r="Q627" i="44" s="1"/>
  <c r="E3" i="28" s="1" a="1"/>
  <c r="E3" i="28" s="1"/>
  <c r="E525" i="44"/>
  <c r="E496" i="44"/>
  <c r="E534" i="44"/>
  <c r="E490" i="44"/>
  <c r="E531" i="44"/>
  <c r="E481" i="44"/>
  <c r="E434" i="44"/>
  <c r="E509" i="44"/>
  <c r="E497" i="44"/>
  <c r="E550" i="44"/>
  <c r="E421" i="44"/>
  <c r="E449" i="44"/>
  <c r="E431" i="44"/>
  <c r="E504" i="44"/>
  <c r="E590" i="44"/>
  <c r="E439" i="44"/>
  <c r="E585" i="44"/>
  <c r="E492" i="44"/>
  <c r="E593" i="44"/>
  <c r="E552" i="44"/>
  <c r="E407" i="44"/>
  <c r="E499" i="44"/>
  <c r="E478" i="44"/>
  <c r="E467" i="44"/>
  <c r="E541" i="44"/>
  <c r="E520" i="44"/>
  <c r="E479" i="44"/>
  <c r="E566" i="44"/>
  <c r="E444" i="44"/>
  <c r="E588" i="44"/>
  <c r="E410" i="44"/>
  <c r="E406" i="44"/>
  <c r="E576" i="44"/>
  <c r="E565" i="44"/>
  <c r="E432" i="44"/>
  <c r="E569" i="44"/>
  <c r="E502" i="44"/>
  <c r="E571" i="44"/>
  <c r="E485" i="44"/>
  <c r="E436" i="44"/>
  <c r="E540" i="44"/>
  <c r="E587" i="44"/>
  <c r="E454" i="44"/>
  <c r="E506" i="44"/>
  <c r="E418" i="44"/>
  <c r="E486" i="44"/>
  <c r="E456" i="44"/>
  <c r="E530" i="44"/>
  <c r="E560" i="44"/>
  <c r="E460" i="44"/>
  <c r="E556" i="44"/>
  <c r="E563" i="44"/>
  <c r="E532" i="44"/>
  <c r="E582" i="44"/>
  <c r="E457" i="44"/>
  <c r="E553" i="44"/>
  <c r="E514" i="44"/>
  <c r="E519" i="44"/>
  <c r="E584" i="44"/>
  <c r="E562" i="44"/>
  <c r="E440" i="44"/>
  <c r="E462" i="44"/>
  <c r="E409" i="44"/>
  <c r="E475" i="44"/>
  <c r="E494" i="44"/>
  <c r="E464" i="44"/>
  <c r="E448" i="44"/>
  <c r="E476" i="44"/>
  <c r="E567" i="44"/>
  <c r="E546" i="44"/>
  <c r="E558" i="44"/>
  <c r="E465" i="44"/>
  <c r="E511" i="44"/>
  <c r="E477" i="44"/>
  <c r="E583" i="44"/>
  <c r="E458" i="44"/>
  <c r="E430" i="44"/>
  <c r="E419" i="44"/>
  <c r="E529" i="44"/>
  <c r="E528" i="44"/>
  <c r="E455" i="44"/>
  <c r="E561" i="44"/>
  <c r="E412" i="44"/>
  <c r="E592" i="44"/>
  <c r="E468" i="44"/>
  <c r="E414" i="44"/>
  <c r="E442" i="44"/>
  <c r="E411" i="44"/>
  <c r="E408" i="44"/>
  <c r="E425" i="44"/>
  <c r="E573" i="44"/>
  <c r="E451" i="44"/>
  <c r="E472" i="44"/>
  <c r="E536" i="44"/>
  <c r="E424" i="44"/>
  <c r="E445" i="44"/>
  <c r="E474" i="44"/>
  <c r="E581" i="44"/>
  <c r="E450" i="44"/>
  <c r="E568" i="44"/>
  <c r="E549" i="44"/>
  <c r="E426" i="44"/>
  <c r="E498" i="44"/>
  <c r="E527" i="44"/>
  <c r="E526" i="44"/>
  <c r="E577" i="44"/>
  <c r="E429" i="44"/>
  <c r="E548" i="44"/>
  <c r="E516" i="44"/>
  <c r="E427" i="44"/>
  <c r="E559" i="44"/>
  <c r="E423" i="44"/>
  <c r="E505" i="44"/>
  <c r="E507" i="44"/>
  <c r="E555" i="44"/>
  <c r="E438" i="44"/>
  <c r="E453" i="44"/>
  <c r="E503" i="44"/>
  <c r="E443" i="44"/>
  <c r="E452" i="44"/>
  <c r="E417" i="44"/>
  <c r="E413" i="44"/>
  <c r="T529" i="44"/>
  <c r="K527" i="44"/>
  <c r="O468" i="44"/>
  <c r="Q479" i="44"/>
  <c r="O563" i="44"/>
  <c r="K483" i="44"/>
  <c r="K502" i="44"/>
  <c r="T459" i="44"/>
  <c r="S656" i="44" s="1" a="1"/>
  <c r="S656" i="44" s="1"/>
  <c r="J4" i="30" s="1" a="1"/>
  <c r="J4" i="30" s="1"/>
  <c r="F499" i="44"/>
  <c r="Q544" i="44"/>
  <c r="Q515" i="44"/>
  <c r="K465" i="44"/>
  <c r="O551" i="44"/>
  <c r="R541" i="44"/>
  <c r="R455" i="44"/>
  <c r="R486" i="44"/>
  <c r="R418" i="44"/>
  <c r="R509" i="44"/>
  <c r="T447" i="44"/>
  <c r="K492" i="44"/>
  <c r="K407" i="44"/>
  <c r="R528" i="44"/>
  <c r="T457" i="44"/>
  <c r="T550" i="44"/>
  <c r="T405" i="44"/>
  <c r="K530" i="44"/>
  <c r="K591" i="44"/>
  <c r="R500" i="44"/>
  <c r="I480" i="44"/>
  <c r="W490" i="44"/>
  <c r="W573" i="44"/>
  <c r="O448" i="44"/>
  <c r="O425" i="44"/>
  <c r="I506" i="44"/>
  <c r="O470" i="44"/>
  <c r="O571" i="44"/>
  <c r="W576" i="44"/>
  <c r="W460" i="44"/>
  <c r="O520" i="44"/>
  <c r="O578" i="44"/>
  <c r="W575" i="44"/>
  <c r="O451" i="44"/>
  <c r="W483" i="44"/>
  <c r="O408" i="44"/>
  <c r="N605" i="44" s="1" a="1"/>
  <c r="N605" i="44" s="1"/>
  <c r="G2" i="25" s="1" a="1"/>
  <c r="G2" i="25" s="1"/>
  <c r="O514" i="44"/>
  <c r="O455" i="44"/>
  <c r="I541" i="44"/>
  <c r="I579" i="44"/>
  <c r="O430" i="44"/>
  <c r="T486" i="44"/>
  <c r="F429" i="44"/>
  <c r="T546" i="44"/>
  <c r="T462" i="44"/>
  <c r="T410" i="44"/>
  <c r="K434" i="44"/>
  <c r="K476" i="44"/>
  <c r="T418" i="44"/>
  <c r="F515" i="44"/>
  <c r="T585" i="44"/>
  <c r="F474" i="44"/>
  <c r="T496" i="44"/>
  <c r="O538" i="44"/>
  <c r="O447" i="44"/>
  <c r="W480" i="44"/>
  <c r="I451" i="44"/>
  <c r="T495" i="44"/>
  <c r="T445" i="44"/>
  <c r="T516" i="44"/>
  <c r="O461" i="44"/>
  <c r="Q535" i="44"/>
  <c r="Q403" i="44"/>
  <c r="R525" i="44"/>
  <c r="K471" i="44"/>
  <c r="K423" i="44"/>
  <c r="R542" i="44"/>
  <c r="R456" i="44"/>
  <c r="R483" i="44"/>
  <c r="R417" i="44"/>
  <c r="K441" i="44"/>
  <c r="R433" i="44"/>
  <c r="T461" i="44"/>
  <c r="O593" i="44"/>
  <c r="F458" i="44"/>
  <c r="K437" i="44"/>
  <c r="I499" i="44"/>
  <c r="T535" i="44"/>
  <c r="T594" i="44"/>
  <c r="T419" i="44"/>
  <c r="T479" i="44"/>
  <c r="K524" i="44"/>
  <c r="K577" i="44"/>
  <c r="T562" i="44"/>
  <c r="F537" i="44"/>
  <c r="F529" i="44"/>
  <c r="T469" i="44"/>
  <c r="F506" i="44"/>
  <c r="K526" i="44"/>
  <c r="K497" i="44"/>
  <c r="T519" i="44"/>
  <c r="K426" i="44"/>
  <c r="T511" i="44"/>
  <c r="F481" i="44"/>
  <c r="K521" i="44"/>
  <c r="O534" i="44"/>
  <c r="T458" i="44"/>
  <c r="Q438" i="44"/>
  <c r="K566" i="44"/>
  <c r="F588" i="44"/>
  <c r="K494" i="44"/>
  <c r="K505" i="44"/>
  <c r="R514" i="44"/>
  <c r="R473" i="44"/>
  <c r="K491" i="44"/>
  <c r="Q428" i="44"/>
  <c r="Q510" i="44"/>
  <c r="R519" i="44"/>
  <c r="R538" i="44"/>
  <c r="R565" i="44"/>
  <c r="R573" i="44"/>
  <c r="R510" i="44"/>
  <c r="R531" i="44"/>
  <c r="F509" i="44"/>
  <c r="T437" i="44"/>
  <c r="S634" i="44" s="1" a="1"/>
  <c r="S634" i="44" s="1"/>
  <c r="L3" i="30" s="1" a="1"/>
  <c r="L3" i="30" s="1"/>
  <c r="T480" i="44"/>
  <c r="T512" i="44"/>
  <c r="K523" i="44"/>
  <c r="K479" i="44"/>
  <c r="I431" i="44"/>
  <c r="I559" i="44"/>
  <c r="I528" i="44"/>
  <c r="I592" i="44"/>
  <c r="I410" i="44"/>
  <c r="F441" i="44"/>
  <c r="T466" i="44"/>
  <c r="T482" i="44"/>
  <c r="T429" i="44"/>
  <c r="T488" i="44"/>
  <c r="T411" i="44"/>
  <c r="I508" i="44"/>
  <c r="K570" i="44"/>
  <c r="K594" i="44"/>
  <c r="I489" i="44"/>
  <c r="O420" i="44"/>
  <c r="O548" i="44"/>
  <c r="T484" i="44"/>
  <c r="T549" i="44"/>
  <c r="F404" i="44"/>
  <c r="E697" i="44" s="1"/>
  <c r="C7" i="17" s="1" a="1"/>
  <c r="C7" i="17" s="1"/>
  <c r="F413" i="44"/>
  <c r="T565" i="44"/>
  <c r="F518" i="44"/>
  <c r="F545" i="44"/>
  <c r="T536" i="44"/>
  <c r="T487" i="44"/>
  <c r="Q570" i="44"/>
  <c r="R445" i="44"/>
  <c r="R459" i="44"/>
  <c r="R571" i="44"/>
  <c r="R502" i="44"/>
  <c r="K539" i="44"/>
  <c r="O550" i="44"/>
  <c r="K417" i="44"/>
  <c r="T538" i="44"/>
  <c r="T489" i="44"/>
  <c r="K562" i="44"/>
  <c r="K586" i="44"/>
  <c r="W450" i="44"/>
  <c r="W593" i="44"/>
  <c r="I569" i="44"/>
  <c r="W420" i="44"/>
  <c r="I432" i="44"/>
  <c r="I429" i="44"/>
  <c r="I558" i="44"/>
  <c r="F455" i="44"/>
  <c r="F421" i="44"/>
  <c r="O574" i="44"/>
  <c r="Q562" i="44"/>
  <c r="F468" i="44"/>
  <c r="K543" i="44"/>
  <c r="K457" i="44"/>
  <c r="T522" i="44"/>
  <c r="K584" i="44"/>
  <c r="O498" i="44"/>
  <c r="T440" i="44"/>
  <c r="T579" i="44"/>
  <c r="K456" i="44"/>
  <c r="K480" i="44"/>
  <c r="F471" i="44"/>
  <c r="T423" i="44"/>
  <c r="R437" i="44"/>
  <c r="R548" i="44"/>
  <c r="R583" i="44"/>
  <c r="R419" i="44"/>
  <c r="T548" i="44"/>
  <c r="T478" i="44"/>
  <c r="T432" i="44"/>
  <c r="T589" i="44"/>
  <c r="K444" i="44"/>
  <c r="K520" i="44"/>
  <c r="K565" i="44"/>
  <c r="K422" i="44"/>
  <c r="O405" i="44"/>
  <c r="O539" i="44"/>
  <c r="I507" i="44"/>
  <c r="O569" i="44"/>
  <c r="O475" i="44"/>
  <c r="T435" i="44"/>
  <c r="T450" i="44"/>
  <c r="T491" i="44"/>
  <c r="O589" i="44"/>
  <c r="T415" i="44"/>
  <c r="T490" i="44"/>
  <c r="O572" i="44"/>
  <c r="T532" i="44"/>
  <c r="T573" i="44"/>
  <c r="K459" i="44"/>
  <c r="K507" i="44"/>
  <c r="O466" i="44"/>
  <c r="O469" i="44"/>
  <c r="O527" i="44"/>
  <c r="T513" i="44"/>
  <c r="T424" i="44"/>
  <c r="T420" i="44"/>
  <c r="O494" i="44"/>
  <c r="T444" i="44"/>
  <c r="T591" i="44"/>
  <c r="K542" i="44"/>
  <c r="T470" i="44"/>
  <c r="O517" i="44"/>
  <c r="K547" i="44"/>
  <c r="K499" i="44"/>
  <c r="T474" i="44"/>
  <c r="T477" i="44"/>
  <c r="T514" i="44"/>
  <c r="T526" i="44"/>
  <c r="T485" i="44"/>
  <c r="T569" i="44"/>
  <c r="O575" i="44"/>
  <c r="T439" i="44"/>
  <c r="T541" i="44"/>
  <c r="T433" i="44"/>
  <c r="T521" i="44"/>
  <c r="T560" i="44"/>
  <c r="T404" i="44"/>
  <c r="T559" i="44"/>
  <c r="T544" i="44"/>
  <c r="T503" i="44"/>
  <c r="T441" i="44"/>
  <c r="T456" i="44"/>
  <c r="T425" i="44"/>
  <c r="T463" i="44"/>
  <c r="T506" i="44"/>
  <c r="T563" i="44"/>
  <c r="T574" i="44"/>
  <c r="O528" i="44"/>
  <c r="O426" i="44"/>
  <c r="T564" i="44"/>
  <c r="T421" i="44"/>
  <c r="K528" i="44"/>
  <c r="K451" i="44"/>
  <c r="T412" i="44"/>
  <c r="O415" i="44"/>
  <c r="O450" i="44"/>
  <c r="O439" i="44"/>
  <c r="O537" i="44"/>
  <c r="E508" i="44"/>
  <c r="E500" i="44"/>
  <c r="T500" i="44"/>
  <c r="O554" i="44"/>
  <c r="O500" i="44"/>
  <c r="T407" i="44"/>
  <c r="O564" i="44"/>
  <c r="T428" i="44"/>
  <c r="T460" i="44"/>
  <c r="T497" i="44"/>
  <c r="T417" i="44"/>
  <c r="T504" i="44"/>
  <c r="E422" i="44"/>
  <c r="K448" i="44"/>
  <c r="K464" i="44"/>
  <c r="K588" i="44"/>
  <c r="K488" i="44"/>
  <c r="V420" i="44"/>
  <c r="U617" i="44" s="1" a="1"/>
  <c r="U617" i="44" s="1"/>
  <c r="S2" i="32" s="1" a="1"/>
  <c r="S2" i="32" s="1"/>
  <c r="U435" i="44"/>
  <c r="V584" i="44"/>
  <c r="E433" i="44"/>
  <c r="V435" i="44"/>
  <c r="T558" i="44"/>
  <c r="E512" i="44"/>
  <c r="O446" i="44"/>
  <c r="O423" i="44"/>
  <c r="T427" i="44"/>
  <c r="T471" i="44"/>
  <c r="T587" i="44"/>
  <c r="T510" i="44"/>
  <c r="T499" i="44"/>
  <c r="K568" i="44"/>
  <c r="E574" i="44"/>
  <c r="K538" i="44"/>
  <c r="K554" i="44"/>
  <c r="K498" i="44"/>
  <c r="K578" i="44"/>
  <c r="T403" i="44"/>
  <c r="O502" i="44"/>
  <c r="O417" i="44"/>
  <c r="O582" i="44"/>
  <c r="O503" i="44"/>
  <c r="O501" i="44"/>
  <c r="W457" i="44"/>
  <c r="U572" i="44"/>
  <c r="O431" i="44"/>
  <c r="O590" i="44"/>
  <c r="O510" i="44"/>
  <c r="E441" i="44"/>
  <c r="O559" i="44"/>
  <c r="K478" i="44"/>
  <c r="E515" i="44"/>
  <c r="O445" i="44"/>
  <c r="T430" i="44"/>
  <c r="V498" i="44"/>
  <c r="O488" i="44"/>
  <c r="O518" i="44"/>
  <c r="T530" i="44"/>
  <c r="T554" i="44"/>
  <c r="T481" i="44"/>
  <c r="T502" i="44"/>
  <c r="K433" i="44"/>
  <c r="V481" i="44"/>
  <c r="K409" i="44"/>
  <c r="K432" i="44"/>
  <c r="K467" i="44"/>
  <c r="K493" i="44"/>
  <c r="K406" i="44"/>
  <c r="O479" i="44"/>
  <c r="O438" i="44"/>
  <c r="E484" i="44"/>
  <c r="T408" i="44"/>
  <c r="T431" i="44"/>
  <c r="O454" i="44"/>
  <c r="O556" i="44"/>
  <c r="T540" i="44"/>
  <c r="T472" i="44"/>
  <c r="T581" i="44"/>
  <c r="T422" i="44"/>
  <c r="O474" i="44"/>
  <c r="K510" i="44"/>
  <c r="K442" i="44"/>
  <c r="K549" i="44"/>
  <c r="K575" i="44"/>
  <c r="K519" i="44"/>
  <c r="O521" i="44"/>
  <c r="O482" i="44"/>
  <c r="O540" i="44"/>
  <c r="O584" i="44"/>
  <c r="O483" i="44"/>
  <c r="O463" i="44"/>
  <c r="K414" i="44"/>
  <c r="O508" i="44"/>
  <c r="T442" i="44"/>
  <c r="T570" i="44"/>
  <c r="T483" i="44"/>
  <c r="T515" i="44"/>
  <c r="E471" i="44"/>
  <c r="T592" i="44"/>
  <c r="K532" i="44"/>
  <c r="K548" i="44"/>
  <c r="K477" i="44"/>
  <c r="K503" i="44"/>
  <c r="O486" i="44"/>
  <c r="O546" i="44"/>
  <c r="O467" i="44"/>
  <c r="T434" i="44"/>
  <c r="T454" i="44"/>
  <c r="T572" i="44"/>
  <c r="T414" i="44"/>
  <c r="E537" i="44"/>
  <c r="T582" i="44"/>
  <c r="K541" i="44"/>
  <c r="K567" i="44"/>
  <c r="K475" i="44"/>
  <c r="K515" i="44"/>
  <c r="E416" i="44"/>
  <c r="E470" i="44"/>
  <c r="E539" i="44"/>
  <c r="V447" i="44"/>
  <c r="E495" i="44"/>
  <c r="T588" i="44"/>
  <c r="Q445" i="44"/>
  <c r="Q421" i="44"/>
  <c r="O443" i="44"/>
  <c r="V529" i="44"/>
  <c r="O457" i="44"/>
  <c r="E517" i="44"/>
  <c r="T438" i="44"/>
  <c r="T509" i="44"/>
  <c r="K455" i="44"/>
  <c r="E482" i="44"/>
  <c r="T492" i="44"/>
  <c r="O557" i="44"/>
  <c r="O594" i="44"/>
  <c r="T505" i="44"/>
  <c r="T542" i="44"/>
  <c r="T551" i="44"/>
  <c r="T571" i="44"/>
  <c r="T507" i="44"/>
  <c r="O579" i="44"/>
  <c r="K518" i="44"/>
  <c r="K443" i="44"/>
  <c r="K469" i="44"/>
  <c r="K593" i="44"/>
  <c r="K410" i="44"/>
  <c r="O505" i="44"/>
  <c r="O416" i="44"/>
  <c r="O411" i="44"/>
  <c r="O442" i="44"/>
  <c r="O544" i="44"/>
  <c r="O552" i="44"/>
  <c r="O586" i="44"/>
  <c r="V525" i="44"/>
  <c r="E545" i="44"/>
  <c r="L550" i="44"/>
  <c r="T473" i="44"/>
  <c r="T494" i="44"/>
  <c r="O432" i="44"/>
  <c r="O478" i="44"/>
  <c r="T448" i="44"/>
  <c r="T534" i="44"/>
  <c r="T552" i="44"/>
  <c r="T493" i="44"/>
  <c r="T406" i="44"/>
  <c r="V433" i="44"/>
  <c r="O473" i="44"/>
  <c r="O481" i="44"/>
  <c r="K544" i="44"/>
  <c r="K435" i="44"/>
  <c r="K461" i="44"/>
  <c r="K585" i="44"/>
  <c r="K424" i="44"/>
  <c r="O407" i="44"/>
  <c r="O513" i="44"/>
  <c r="O525" i="44"/>
  <c r="W467" i="44"/>
  <c r="O436" i="44"/>
  <c r="W458" i="44"/>
  <c r="O428" i="44"/>
  <c r="O433" i="44"/>
  <c r="E473" i="44"/>
  <c r="E580" i="44"/>
  <c r="K425" i="44"/>
  <c r="O547" i="44"/>
  <c r="T543" i="44"/>
  <c r="T436" i="44"/>
  <c r="T586" i="44"/>
  <c r="T583" i="44"/>
  <c r="T520" i="44"/>
  <c r="T498" i="44"/>
  <c r="K446" i="44"/>
  <c r="K525" i="44"/>
  <c r="K551" i="44"/>
  <c r="K487" i="44"/>
  <c r="K416" i="44"/>
  <c r="O490" i="44"/>
  <c r="O562" i="44"/>
  <c r="E538" i="44"/>
  <c r="E469" i="44"/>
  <c r="E493" i="44"/>
  <c r="E575" i="44"/>
  <c r="E404" i="44"/>
  <c r="O519" i="44"/>
  <c r="V440" i="44"/>
  <c r="V469" i="44"/>
  <c r="V557" i="44"/>
  <c r="V480" i="44"/>
  <c r="V403" i="44"/>
  <c r="V503" i="44"/>
  <c r="T539" i="44"/>
  <c r="E579" i="44"/>
  <c r="Q492" i="44"/>
  <c r="Q506" i="44"/>
  <c r="V473" i="44"/>
  <c r="Q413" i="44"/>
  <c r="E463" i="44"/>
  <c r="O462" i="44"/>
  <c r="V577" i="44"/>
  <c r="Q459" i="44"/>
  <c r="P728" i="44" s="1"/>
  <c r="J6" i="11" s="1" a="1"/>
  <c r="J6" i="11" s="1"/>
  <c r="T528" i="44"/>
  <c r="O452" i="44"/>
  <c r="K545" i="44"/>
  <c r="K555" i="44"/>
  <c r="T593" i="44"/>
  <c r="V428" i="44"/>
  <c r="K571" i="44"/>
  <c r="V579" i="44"/>
  <c r="T517" i="44"/>
  <c r="O471" i="44"/>
  <c r="O592" i="44"/>
  <c r="T527" i="44"/>
  <c r="T568" i="44"/>
  <c r="T578" i="44"/>
  <c r="T518" i="44"/>
  <c r="T508" i="44"/>
  <c r="T455" i="44"/>
  <c r="V478" i="44"/>
  <c r="K430" i="44"/>
  <c r="K472" i="44"/>
  <c r="K580" i="44"/>
  <c r="T416" i="44"/>
  <c r="L419" i="44"/>
  <c r="L480" i="44"/>
  <c r="U487" i="44"/>
  <c r="L544" i="44"/>
  <c r="L440" i="44"/>
  <c r="L443" i="44"/>
  <c r="L464" i="44"/>
  <c r="L565" i="44"/>
  <c r="L469" i="44"/>
  <c r="L491" i="44"/>
  <c r="L485" i="44"/>
  <c r="L577" i="44"/>
  <c r="L421" i="44"/>
  <c r="L409" i="44"/>
  <c r="U439" i="44"/>
  <c r="W533" i="44"/>
  <c r="L466" i="44"/>
  <c r="L463" i="44"/>
  <c r="U569" i="44"/>
  <c r="U563" i="44"/>
  <c r="W587" i="44"/>
  <c r="L438" i="44"/>
  <c r="L450" i="44"/>
  <c r="L525" i="44"/>
  <c r="L563" i="44"/>
  <c r="L553" i="44"/>
  <c r="L482" i="44"/>
  <c r="L573" i="44"/>
  <c r="L476" i="44"/>
  <c r="L496" i="44"/>
  <c r="L425" i="44"/>
  <c r="W489" i="44"/>
  <c r="L509" i="44"/>
  <c r="L529" i="44"/>
  <c r="W479" i="44"/>
  <c r="U541" i="44"/>
  <c r="W524" i="44"/>
  <c r="W557" i="44"/>
  <c r="W520" i="44"/>
  <c r="W405" i="44"/>
  <c r="L582" i="44"/>
  <c r="U408" i="44"/>
  <c r="U560" i="44"/>
  <c r="W497" i="44"/>
  <c r="L508" i="44"/>
  <c r="L528" i="44"/>
  <c r="L540" i="44"/>
  <c r="L523" i="44"/>
  <c r="L465" i="44"/>
  <c r="L456" i="44"/>
  <c r="L580" i="44"/>
  <c r="L572" i="44"/>
  <c r="L475" i="44"/>
  <c r="L586" i="44"/>
  <c r="L417" i="44"/>
  <c r="U501" i="44"/>
  <c r="L537" i="44"/>
  <c r="W529" i="44"/>
  <c r="U457" i="44"/>
  <c r="U545" i="44"/>
  <c r="U566" i="44"/>
  <c r="L481" i="44"/>
  <c r="U505" i="44"/>
  <c r="W432" i="44"/>
  <c r="W549" i="44"/>
  <c r="W516" i="44"/>
  <c r="W519" i="44"/>
  <c r="U588" i="44"/>
  <c r="W540" i="44"/>
  <c r="L579" i="44"/>
  <c r="L516" i="44"/>
  <c r="U525" i="44"/>
  <c r="U594" i="44"/>
  <c r="U441" i="44"/>
  <c r="W447" i="44"/>
  <c r="U580" i="44"/>
  <c r="W451" i="44"/>
  <c r="W503" i="44"/>
  <c r="L521" i="44"/>
  <c r="U427" i="44"/>
  <c r="U406" i="44"/>
  <c r="U415" i="44"/>
  <c r="U411" i="44"/>
  <c r="U424" i="44"/>
  <c r="U506" i="44"/>
  <c r="U476" i="44"/>
  <c r="U489" i="44"/>
  <c r="U571" i="44"/>
  <c r="U452" i="44"/>
  <c r="U459" i="44"/>
  <c r="U570" i="44"/>
  <c r="U444" i="44"/>
  <c r="U530" i="44"/>
  <c r="U527" i="44"/>
  <c r="U537" i="44"/>
  <c r="U573" i="44"/>
  <c r="U553" i="44"/>
  <c r="U403" i="44"/>
  <c r="U484" i="44"/>
  <c r="U471" i="44"/>
  <c r="U503" i="44"/>
  <c r="U420" i="44"/>
  <c r="U516" i="44"/>
  <c r="U407" i="44"/>
  <c r="U508" i="44"/>
  <c r="U483" i="44"/>
  <c r="U587" i="44"/>
  <c r="U488" i="44"/>
  <c r="U549" i="44"/>
  <c r="U461" i="44"/>
  <c r="U456" i="44"/>
  <c r="U542" i="44"/>
  <c r="U440" i="44"/>
  <c r="U437" i="44"/>
  <c r="U513" i="44"/>
  <c r="U486" i="44"/>
  <c r="U529" i="44"/>
  <c r="U509" i="44"/>
  <c r="U410" i="44"/>
  <c r="U504" i="44"/>
  <c r="U409" i="44"/>
  <c r="U510" i="44"/>
  <c r="U514" i="44"/>
  <c r="U581" i="44"/>
  <c r="U497" i="44"/>
  <c r="U454" i="44"/>
  <c r="U469" i="44"/>
  <c r="U565" i="44"/>
  <c r="U559" i="44"/>
  <c r="U434" i="44"/>
  <c r="U538" i="44"/>
  <c r="U535" i="44"/>
  <c r="U490" i="44"/>
  <c r="U473" i="44"/>
  <c r="U443" i="44"/>
  <c r="U449" i="44"/>
  <c r="U482" i="44"/>
  <c r="U531" i="44"/>
  <c r="U478" i="44"/>
  <c r="U455" i="44"/>
  <c r="U458" i="44"/>
  <c r="U543" i="44"/>
  <c r="U475" i="44"/>
  <c r="U507" i="44"/>
  <c r="U417" i="44"/>
  <c r="U419" i="44"/>
  <c r="U515" i="44"/>
  <c r="U423" i="44"/>
  <c r="U491" i="44"/>
  <c r="U578" i="44"/>
  <c r="U552" i="44"/>
  <c r="U472" i="44"/>
  <c r="U568" i="44"/>
  <c r="U453" i="44"/>
  <c r="U532" i="44"/>
  <c r="U448" i="44"/>
  <c r="U493" i="44"/>
  <c r="U494" i="44"/>
  <c r="U500" i="44"/>
  <c r="U585" i="44"/>
  <c r="U533" i="44"/>
  <c r="U577" i="44"/>
  <c r="U492" i="44"/>
  <c r="U414" i="44"/>
  <c r="U422" i="44"/>
  <c r="U518" i="44"/>
  <c r="U512" i="44"/>
  <c r="U522" i="44"/>
  <c r="U589" i="44"/>
  <c r="U480" i="44"/>
  <c r="U462" i="44"/>
  <c r="U551" i="44"/>
  <c r="U562" i="44"/>
  <c r="U470" i="44"/>
  <c r="U442" i="44"/>
  <c r="U546" i="44"/>
  <c r="U498" i="44"/>
  <c r="U564" i="44"/>
  <c r="U523" i="44"/>
  <c r="U593" i="44"/>
  <c r="U591" i="44"/>
  <c r="U479" i="44"/>
  <c r="T676" i="44" s="1" a="1"/>
  <c r="T676" i="44" s="1"/>
  <c r="F5" i="31" s="1" a="1"/>
  <c r="F5" i="31" s="1"/>
  <c r="U502" i="44"/>
  <c r="U425" i="44"/>
  <c r="U416" i="44"/>
  <c r="U520" i="44"/>
  <c r="U485" i="44"/>
  <c r="U481" i="44"/>
  <c r="U496" i="44"/>
  <c r="U554" i="44"/>
  <c r="U451" i="44"/>
  <c r="U557" i="44"/>
  <c r="U436" i="44"/>
  <c r="U450" i="44"/>
  <c r="U428" i="44"/>
  <c r="U446" i="44"/>
  <c r="U544" i="44"/>
  <c r="U405" i="44"/>
  <c r="U466" i="44"/>
  <c r="U576" i="44"/>
  <c r="U558" i="44"/>
  <c r="U430" i="44"/>
  <c r="U521" i="44"/>
  <c r="U413" i="44"/>
  <c r="U499" i="44"/>
  <c r="U421" i="44"/>
  <c r="U426" i="44"/>
  <c r="U583" i="44"/>
  <c r="U579" i="44"/>
  <c r="U586" i="44"/>
  <c r="U467" i="44"/>
  <c r="U548" i="44"/>
  <c r="U567" i="44"/>
  <c r="U534" i="44"/>
  <c r="U432" i="44"/>
  <c r="U429" i="44"/>
  <c r="U517" i="44"/>
  <c r="U477" i="44"/>
  <c r="U574" i="44"/>
  <c r="U468" i="44"/>
  <c r="U536" i="44"/>
  <c r="U447" i="44"/>
  <c r="T644" i="44" s="1" a="1"/>
  <c r="T644" i="44" s="1"/>
  <c r="V3" i="31" s="1" a="1"/>
  <c r="V3" i="31" s="1"/>
  <c r="U412" i="44"/>
  <c r="X203" i="44"/>
  <c r="X398" i="44"/>
  <c r="X422" i="44" s="1"/>
  <c r="U445" i="44"/>
  <c r="L538" i="44"/>
  <c r="L541" i="44"/>
  <c r="L562" i="44"/>
  <c r="L552" i="44"/>
  <c r="L567" i="44"/>
  <c r="L498" i="44"/>
  <c r="L583" i="44"/>
  <c r="L487" i="44"/>
  <c r="L522" i="44"/>
  <c r="L506" i="44"/>
  <c r="W542" i="44"/>
  <c r="U460" i="44"/>
  <c r="U592" i="44"/>
  <c r="U495" i="44"/>
  <c r="L542" i="44"/>
  <c r="U431" i="44"/>
  <c r="L406" i="44"/>
  <c r="W429" i="44"/>
  <c r="W559" i="44"/>
  <c r="W482" i="44"/>
  <c r="W509" i="44"/>
  <c r="L564" i="44"/>
  <c r="U540" i="44"/>
  <c r="U418" i="44"/>
  <c r="L449" i="44"/>
  <c r="L418" i="44"/>
  <c r="L447" i="44"/>
  <c r="L424" i="44"/>
  <c r="L561" i="44"/>
  <c r="L437" i="44"/>
  <c r="L412" i="44"/>
  <c r="L517" i="44"/>
  <c r="L539" i="44"/>
  <c r="L507" i="44"/>
  <c r="L455" i="44"/>
  <c r="L444" i="44"/>
  <c r="L408" i="44"/>
  <c r="L505" i="44"/>
  <c r="L590" i="44"/>
  <c r="L556" i="44"/>
  <c r="L574" i="44"/>
  <c r="L549" i="44"/>
  <c r="L547" i="44"/>
  <c r="L527" i="44"/>
  <c r="L403" i="44"/>
  <c r="L433" i="44"/>
  <c r="L420" i="44"/>
  <c r="L471" i="44"/>
  <c r="L486" i="44"/>
  <c r="L592" i="44"/>
  <c r="L478" i="44"/>
  <c r="L568" i="44"/>
  <c r="L512" i="44"/>
  <c r="L534" i="44"/>
  <c r="L436" i="44"/>
  <c r="L427" i="44"/>
  <c r="L497" i="44"/>
  <c r="L474" i="44"/>
  <c r="L468" i="44"/>
  <c r="L423" i="44"/>
  <c r="L499" i="44"/>
  <c r="L451" i="44"/>
  <c r="L519" i="44"/>
  <c r="L484" i="44"/>
  <c r="L566" i="44"/>
  <c r="L531" i="44"/>
  <c r="L404" i="44"/>
  <c r="L535" i="44"/>
  <c r="L501" i="44"/>
  <c r="L470" i="44"/>
  <c r="L520" i="44"/>
  <c r="L429" i="44"/>
  <c r="L555" i="44"/>
  <c r="L504" i="44"/>
  <c r="L569" i="44"/>
  <c r="L526" i="44"/>
  <c r="L428" i="44"/>
  <c r="L415" i="44"/>
  <c r="L514" i="44"/>
  <c r="L488" i="44"/>
  <c r="L495" i="44"/>
  <c r="L493" i="44"/>
  <c r="L589" i="44"/>
  <c r="L559" i="44"/>
  <c r="L558" i="44"/>
  <c r="L473" i="44"/>
  <c r="L524" i="44"/>
  <c r="L442" i="44"/>
  <c r="L546" i="44"/>
  <c r="L416" i="44"/>
  <c r="L494" i="44"/>
  <c r="L457" i="44"/>
  <c r="L513" i="44"/>
  <c r="L584" i="44"/>
  <c r="L453" i="44"/>
  <c r="L492" i="44"/>
  <c r="L422" i="44"/>
  <c r="W465" i="44"/>
  <c r="W414" i="44"/>
  <c r="W502" i="44"/>
  <c r="W425" i="44"/>
  <c r="W416" i="44"/>
  <c r="W504" i="44"/>
  <c r="W475" i="44"/>
  <c r="W571" i="44"/>
  <c r="W580" i="44"/>
  <c r="W586" i="44"/>
  <c r="W454" i="44"/>
  <c r="W564" i="44"/>
  <c r="W556" i="44"/>
  <c r="W431" i="44"/>
  <c r="W538" i="44"/>
  <c r="W440" i="44"/>
  <c r="W478" i="44"/>
  <c r="W494" i="44"/>
  <c r="W463" i="44"/>
  <c r="W484" i="44"/>
  <c r="W455" i="44"/>
  <c r="W523" i="44"/>
  <c r="W536" i="44"/>
  <c r="W577" i="44"/>
  <c r="W563" i="44"/>
  <c r="W511" i="44"/>
  <c r="W522" i="44"/>
  <c r="W513" i="44"/>
  <c r="W411" i="44"/>
  <c r="W476" i="44"/>
  <c r="W572" i="44"/>
  <c r="W488" i="44"/>
  <c r="W565" i="44"/>
  <c r="W552" i="44"/>
  <c r="W453" i="44"/>
  <c r="W551" i="44"/>
  <c r="W435" i="44"/>
  <c r="W437" i="44"/>
  <c r="W428" i="44"/>
  <c r="W555" i="44"/>
  <c r="W492" i="44"/>
  <c r="W539" i="44"/>
  <c r="W468" i="44"/>
  <c r="W446" i="44"/>
  <c r="W418" i="44"/>
  <c r="W413" i="44"/>
  <c r="W403" i="44"/>
  <c r="W508" i="44"/>
  <c r="W477" i="44"/>
  <c r="W588" i="44"/>
  <c r="W456" i="44"/>
  <c r="W462" i="44"/>
  <c r="W466" i="44"/>
  <c r="W535" i="44"/>
  <c r="W444" i="44"/>
  <c r="W500" i="44"/>
  <c r="W590" i="44"/>
  <c r="W561" i="44"/>
  <c r="W566" i="44"/>
  <c r="W515" i="44"/>
  <c r="W510" i="44"/>
  <c r="W501" i="44"/>
  <c r="W517" i="44"/>
  <c r="W415" i="44"/>
  <c r="W498" i="44"/>
  <c r="W547" i="44"/>
  <c r="W554" i="44"/>
  <c r="W560" i="44"/>
  <c r="W469" i="44"/>
  <c r="W427" i="44"/>
  <c r="W442" i="44"/>
  <c r="W541" i="44"/>
  <c r="W558" i="44"/>
  <c r="W537" i="44"/>
  <c r="W406" i="44"/>
  <c r="W422" i="44"/>
  <c r="W417" i="44"/>
  <c r="W408" i="44"/>
  <c r="W424" i="44"/>
  <c r="W512" i="44"/>
  <c r="W485" i="44"/>
  <c r="W581" i="44"/>
  <c r="W496" i="44"/>
  <c r="W548" i="44"/>
  <c r="W470" i="44"/>
  <c r="W567" i="44"/>
  <c r="W525" i="44"/>
  <c r="W445" i="44"/>
  <c r="W449" i="44"/>
  <c r="W448" i="44"/>
  <c r="W582" i="44"/>
  <c r="W426" i="44"/>
  <c r="W421" i="44"/>
  <c r="W412" i="44"/>
  <c r="W499" i="44"/>
  <c r="W493" i="44"/>
  <c r="W589" i="44"/>
  <c r="W578" i="44"/>
  <c r="W472" i="44"/>
  <c r="W461" i="44"/>
  <c r="W474" i="44"/>
  <c r="W532" i="44"/>
  <c r="W530" i="44"/>
  <c r="W486" i="44"/>
  <c r="W443" i="44"/>
  <c r="W481" i="44"/>
  <c r="W528" i="44"/>
  <c r="W433" i="44"/>
  <c r="W550" i="44"/>
  <c r="W553" i="44"/>
  <c r="W531" i="44"/>
  <c r="U463" i="44"/>
  <c r="L587" i="44"/>
  <c r="U590" i="44"/>
  <c r="U524" i="44"/>
  <c r="U550" i="44"/>
  <c r="W404" i="44"/>
  <c r="W526" i="44"/>
  <c r="U474" i="44"/>
  <c r="W584" i="44"/>
  <c r="W574" i="44"/>
  <c r="L503" i="44"/>
  <c r="W546" i="44"/>
  <c r="W568" i="44"/>
  <c r="W491" i="44"/>
  <c r="W505" i="44"/>
  <c r="L426" i="44"/>
  <c r="U526" i="44"/>
  <c r="U404" i="44"/>
  <c r="L576" i="44"/>
  <c r="W430" i="44"/>
  <c r="U582" i="44"/>
  <c r="W579" i="44"/>
  <c r="L414" i="44"/>
  <c r="L530" i="44"/>
  <c r="L551" i="44"/>
  <c r="L462" i="44"/>
  <c r="L575" i="44"/>
  <c r="L479" i="44"/>
  <c r="L502" i="44"/>
  <c r="U584" i="44"/>
  <c r="L411" i="44"/>
  <c r="L441" i="44"/>
  <c r="W534" i="44"/>
  <c r="W570" i="44"/>
  <c r="W591" i="44"/>
  <c r="W518" i="44"/>
  <c r="U547" i="44"/>
  <c r="U519" i="44"/>
  <c r="L448" i="44"/>
  <c r="L434" i="44"/>
  <c r="L472" i="44"/>
  <c r="L460" i="44"/>
  <c r="L554" i="44"/>
  <c r="L588" i="44"/>
  <c r="L591" i="44"/>
  <c r="L585" i="44"/>
  <c r="L413" i="44"/>
  <c r="L446" i="44"/>
  <c r="L533" i="44"/>
  <c r="L467" i="44"/>
  <c r="L581" i="44"/>
  <c r="L500" i="44"/>
  <c r="U528" i="44"/>
  <c r="L536" i="44"/>
  <c r="L432" i="44"/>
  <c r="L435" i="44"/>
  <c r="L454" i="44"/>
  <c r="L461" i="44"/>
  <c r="L452" i="44"/>
  <c r="L483" i="44"/>
  <c r="L477" i="44"/>
  <c r="L594" i="44"/>
  <c r="L518" i="44"/>
  <c r="L405" i="44"/>
  <c r="L458" i="44"/>
  <c r="U555" i="44"/>
  <c r="L410" i="44"/>
  <c r="L543" i="44"/>
  <c r="L407" i="44"/>
  <c r="W562" i="44"/>
  <c r="W583" i="44"/>
  <c r="W514" i="44"/>
  <c r="W473" i="44"/>
  <c r="U539" i="44"/>
  <c r="W434" i="44"/>
  <c r="W441" i="44"/>
  <c r="U464" i="44"/>
  <c r="U511" i="44"/>
  <c r="W506" i="44"/>
  <c r="W543" i="44"/>
  <c r="W419" i="44"/>
  <c r="W592" i="44"/>
  <c r="W545" i="44"/>
  <c r="O459" i="44"/>
  <c r="W569" i="44"/>
  <c r="O491" i="44"/>
  <c r="Q585" i="44"/>
  <c r="Q449" i="44"/>
  <c r="F542" i="44"/>
  <c r="F513" i="44"/>
  <c r="Q545" i="44"/>
  <c r="Q527" i="44"/>
  <c r="Q547" i="44"/>
  <c r="Q572" i="44"/>
  <c r="Q425" i="44"/>
  <c r="F411" i="44"/>
  <c r="F575" i="44"/>
  <c r="F484" i="44"/>
  <c r="W544" i="44"/>
  <c r="F555" i="44"/>
  <c r="F502" i="44"/>
  <c r="F580" i="44"/>
  <c r="Q432" i="44"/>
  <c r="Q472" i="44"/>
  <c r="Q494" i="44"/>
  <c r="Q501" i="44"/>
  <c r="Q406" i="44"/>
  <c r="F445" i="44"/>
  <c r="Q540" i="44"/>
  <c r="Q542" i="44"/>
  <c r="Q553" i="44"/>
  <c r="Q549" i="44"/>
  <c r="Q486" i="44"/>
  <c r="Q476" i="44"/>
  <c r="Q513" i="44"/>
  <c r="Q411" i="44"/>
  <c r="F539" i="44"/>
  <c r="F526" i="44"/>
  <c r="Q568" i="44"/>
  <c r="Q481" i="44"/>
  <c r="F524" i="44"/>
  <c r="F482" i="44"/>
  <c r="F424" i="44"/>
  <c r="N398" i="44"/>
  <c r="N522" i="44" s="1"/>
  <c r="Q474" i="44"/>
  <c r="F460" i="44"/>
  <c r="F465" i="44"/>
  <c r="F472" i="44"/>
  <c r="F590" i="44"/>
  <c r="F420" i="44"/>
  <c r="F522" i="44"/>
  <c r="Q566" i="44"/>
  <c r="Q435" i="44"/>
  <c r="Q511" i="44"/>
  <c r="Q499" i="44"/>
  <c r="Q536" i="44"/>
  <c r="Q433" i="44"/>
  <c r="Q489" i="44"/>
  <c r="Q451" i="44"/>
  <c r="Q564" i="44"/>
  <c r="Q529" i="44"/>
  <c r="Q466" i="44"/>
  <c r="Q470" i="44"/>
  <c r="Q504" i="44"/>
  <c r="Q518" i="44"/>
  <c r="Q414" i="44"/>
  <c r="Q412" i="44"/>
  <c r="Q475" i="44"/>
  <c r="Q571" i="44"/>
  <c r="Q584" i="44"/>
  <c r="Q480" i="44"/>
  <c r="Q467" i="44"/>
  <c r="Q455" i="44"/>
  <c r="Q429" i="44"/>
  <c r="Q450" i="44"/>
  <c r="Q436" i="44"/>
  <c r="Q442" i="44"/>
  <c r="Q465" i="44"/>
  <c r="Q588" i="44"/>
  <c r="Q498" i="44"/>
  <c r="Q490" i="44"/>
  <c r="Q550" i="44"/>
  <c r="Q558" i="44"/>
  <c r="Q497" i="44"/>
  <c r="Q502" i="44"/>
  <c r="Q509" i="44"/>
  <c r="Q522" i="44"/>
  <c r="Q517" i="44"/>
  <c r="Q423" i="44"/>
  <c r="Q477" i="44"/>
  <c r="Q573" i="44"/>
  <c r="Q592" i="44"/>
  <c r="Q586" i="44"/>
  <c r="Q456" i="44"/>
  <c r="Q463" i="44"/>
  <c r="Q437" i="44"/>
  <c r="Q440" i="44"/>
  <c r="Q443" i="44"/>
  <c r="Q538" i="44"/>
  <c r="Q514" i="44"/>
  <c r="Q409" i="44"/>
  <c r="Q574" i="44"/>
  <c r="Q469" i="44"/>
  <c r="Q441" i="44"/>
  <c r="Q473" i="44"/>
  <c r="Q495" i="44"/>
  <c r="Q422" i="44"/>
  <c r="Q426" i="44"/>
  <c r="Q508" i="44"/>
  <c r="Q410" i="44"/>
  <c r="Q512" i="44"/>
  <c r="Q485" i="44"/>
  <c r="Q581" i="44"/>
  <c r="Q488" i="44"/>
  <c r="Q548" i="44"/>
  <c r="Q464" i="44"/>
  <c r="Q569" i="44"/>
  <c r="Q534" i="44"/>
  <c r="Q541" i="44"/>
  <c r="Q447" i="44"/>
  <c r="Q524" i="44"/>
  <c r="Q580" i="44"/>
  <c r="Q462" i="44"/>
  <c r="Q567" i="44"/>
  <c r="Q417" i="44"/>
  <c r="Q559" i="44"/>
  <c r="Q531" i="44"/>
  <c r="Q563" i="44"/>
  <c r="Q533" i="44"/>
  <c r="Q424" i="44"/>
  <c r="Q507" i="44"/>
  <c r="Q521" i="44"/>
  <c r="Q415" i="44"/>
  <c r="Q420" i="44"/>
  <c r="Q583" i="44"/>
  <c r="F531" i="44"/>
  <c r="F540" i="44"/>
  <c r="F406" i="44"/>
  <c r="F426" i="44"/>
  <c r="F416" i="44"/>
  <c r="F415" i="44"/>
  <c r="F578" i="44"/>
  <c r="F576" i="44"/>
  <c r="F493" i="44"/>
  <c r="F589" i="44"/>
  <c r="F469" i="44"/>
  <c r="F565" i="44"/>
  <c r="F570" i="44"/>
  <c r="F533" i="44"/>
  <c r="F546" i="44"/>
  <c r="F428" i="44"/>
  <c r="F514" i="44"/>
  <c r="F450" i="44"/>
  <c r="F410" i="44"/>
  <c r="F510" i="44"/>
  <c r="F423" i="44"/>
  <c r="F516" i="44"/>
  <c r="F480" i="44"/>
  <c r="F581" i="44"/>
  <c r="F498" i="44"/>
  <c r="F451" i="44"/>
  <c r="F547" i="44"/>
  <c r="F556" i="44"/>
  <c r="F562" i="44"/>
  <c r="F541" i="44"/>
  <c r="F528" i="44"/>
  <c r="F527" i="44"/>
  <c r="F405" i="44"/>
  <c r="F409" i="44"/>
  <c r="F462" i="44"/>
  <c r="F447" i="44"/>
  <c r="F449" i="44"/>
  <c r="F550" i="44"/>
  <c r="F569" i="44"/>
  <c r="F414" i="44"/>
  <c r="F508" i="44"/>
  <c r="F512" i="44"/>
  <c r="F476" i="44"/>
  <c r="F577" i="44"/>
  <c r="F586" i="44"/>
  <c r="F477" i="44"/>
  <c r="F452" i="44"/>
  <c r="F548" i="44"/>
  <c r="F466" i="44"/>
  <c r="F464" i="44"/>
  <c r="F432" i="44"/>
  <c r="F438" i="44"/>
  <c r="F437" i="44"/>
  <c r="F491" i="44"/>
  <c r="F454" i="44"/>
  <c r="F511" i="44"/>
  <c r="F520" i="44"/>
  <c r="F412" i="44"/>
  <c r="F486" i="44"/>
  <c r="F485" i="44"/>
  <c r="F478" i="44"/>
  <c r="F574" i="44"/>
  <c r="F453" i="44"/>
  <c r="F549" i="44"/>
  <c r="F564" i="44"/>
  <c r="F523" i="44"/>
  <c r="F530" i="44"/>
  <c r="F536" i="44"/>
  <c r="F535" i="44"/>
  <c r="F497" i="44"/>
  <c r="F579" i="44"/>
  <c r="F422" i="44"/>
  <c r="F419" i="44"/>
  <c r="F403" i="44"/>
  <c r="F496" i="44"/>
  <c r="F490" i="44"/>
  <c r="F488" i="44"/>
  <c r="F584" i="44"/>
  <c r="F461" i="44"/>
  <c r="F557" i="44"/>
  <c r="F456" i="44"/>
  <c r="F525" i="44"/>
  <c r="F538" i="44"/>
  <c r="F544" i="44"/>
  <c r="F543" i="44"/>
  <c r="F571" i="44"/>
  <c r="F591" i="44"/>
  <c r="F558" i="44"/>
  <c r="F475" i="44"/>
  <c r="F470" i="44"/>
  <c r="F444" i="44"/>
  <c r="F560" i="44"/>
  <c r="F561" i="44"/>
  <c r="F519" i="44"/>
  <c r="F407" i="44"/>
  <c r="F504" i="44"/>
  <c r="F593" i="44"/>
  <c r="F592" i="44"/>
  <c r="F585" i="44"/>
  <c r="F492" i="44"/>
  <c r="F559" i="44"/>
  <c r="F467" i="44"/>
  <c r="F554" i="44"/>
  <c r="F435" i="44"/>
  <c r="F448" i="44"/>
  <c r="F427" i="44"/>
  <c r="F566" i="44"/>
  <c r="F494" i="44"/>
  <c r="F446" i="44"/>
  <c r="F459" i="44"/>
  <c r="F582" i="44"/>
  <c r="F418" i="44"/>
  <c r="Q530" i="44"/>
  <c r="Q444" i="44"/>
  <c r="Q427" i="44"/>
  <c r="Q565" i="44"/>
  <c r="Q491" i="44"/>
  <c r="Q591" i="44"/>
  <c r="Q408" i="44"/>
  <c r="Q418" i="44"/>
  <c r="F534" i="44"/>
  <c r="F587" i="44"/>
  <c r="F457" i="44"/>
  <c r="Q482" i="44"/>
  <c r="F430" i="44"/>
  <c r="F567" i="44"/>
  <c r="F572" i="44"/>
  <c r="F503" i="44"/>
  <c r="F495" i="44"/>
  <c r="F442" i="44"/>
  <c r="Q525" i="44"/>
  <c r="Q526" i="44"/>
  <c r="Q471" i="44"/>
  <c r="Q557" i="44"/>
  <c r="Q578" i="44"/>
  <c r="Q493" i="44"/>
  <c r="Q419" i="44"/>
  <c r="Q416" i="44"/>
  <c r="F463" i="44"/>
  <c r="Q484" i="44"/>
  <c r="F440" i="44"/>
  <c r="F551" i="44"/>
  <c r="F583" i="44"/>
  <c r="F443" i="44"/>
  <c r="F594" i="44"/>
  <c r="F408" i="44"/>
  <c r="J398" i="44"/>
  <c r="J476" i="44" s="1"/>
  <c r="P201" i="44"/>
  <c r="P398" i="44"/>
  <c r="P420" i="44" s="1"/>
  <c r="R501" i="44"/>
  <c r="R546" i="44"/>
  <c r="R432" i="44"/>
  <c r="R427" i="44"/>
  <c r="Q624" i="44" s="1" a="1"/>
  <c r="Q624" i="44" s="1"/>
  <c r="B3" i="28" s="1" a="1"/>
  <c r="B3" i="28" s="1"/>
  <c r="R570" i="44"/>
  <c r="R557" i="44"/>
  <c r="R496" i="44"/>
  <c r="R478" i="44"/>
  <c r="R591" i="44"/>
  <c r="R511" i="44"/>
  <c r="R406" i="44"/>
  <c r="R516" i="44"/>
  <c r="R517" i="44"/>
  <c r="R551" i="44"/>
  <c r="Y398" i="44"/>
  <c r="Y575" i="44" s="1"/>
  <c r="R454" i="44"/>
  <c r="R415" i="44"/>
  <c r="R408" i="44"/>
  <c r="O441" i="44"/>
  <c r="G731" i="44" l="1"/>
  <c r="M6" i="19" s="1" a="1"/>
  <c r="M6" i="19" s="1"/>
  <c r="N633" i="44" a="1"/>
  <c r="N633" i="44" s="1"/>
  <c r="K3" i="25" s="1" a="1"/>
  <c r="K3" i="25" s="1"/>
  <c r="G663" i="44" a="1"/>
  <c r="G663" i="44" s="1"/>
  <c r="Q4" i="19" s="1" a="1"/>
  <c r="Q4" i="19" s="1"/>
  <c r="S733" i="44"/>
  <c r="O6" i="30" s="1" a="1"/>
  <c r="O6" i="30" s="1"/>
  <c r="E611" i="44" a="1"/>
  <c r="E611" i="44" s="1"/>
  <c r="M2" i="17" s="1" a="1"/>
  <c r="M2" i="17" s="1"/>
  <c r="E629" i="44" a="1"/>
  <c r="E629" i="44" s="1"/>
  <c r="G3" i="17" s="1" a="1"/>
  <c r="G3" i="17" s="1"/>
  <c r="T662" i="44" a="1"/>
  <c r="T662" i="44" s="1"/>
  <c r="P4" i="31" s="1" a="1"/>
  <c r="P4" i="31" s="1"/>
  <c r="S643" i="44" a="1"/>
  <c r="S643" i="44" s="1"/>
  <c r="U3" i="30" s="1" a="1"/>
  <c r="U3" i="30" s="1"/>
  <c r="E624" i="44" a="1"/>
  <c r="E624" i="44" s="1"/>
  <c r="B3" i="17" s="1" a="1"/>
  <c r="B3" i="17" s="1"/>
  <c r="G627" i="44" a="1"/>
  <c r="G627" i="44" s="1"/>
  <c r="E3" i="19" s="1" a="1"/>
  <c r="E3" i="19" s="1"/>
  <c r="U673" i="44" a="1"/>
  <c r="U673" i="44" s="1"/>
  <c r="C5" i="32" s="1" a="1"/>
  <c r="C5" i="32" s="1"/>
  <c r="N709" i="44"/>
  <c r="O7" i="25" s="1" a="1"/>
  <c r="O7" i="25" s="1"/>
  <c r="S740" i="44"/>
  <c r="V6" i="30" s="1" a="1"/>
  <c r="V6" i="30" s="1"/>
  <c r="H638" i="44" a="1"/>
  <c r="H638" i="44" s="1"/>
  <c r="P3" i="16" s="1" a="1"/>
  <c r="P3" i="16" s="1"/>
  <c r="G660" i="44" a="1"/>
  <c r="G660" i="44" s="1"/>
  <c r="N4" i="19" s="1" a="1"/>
  <c r="N4" i="19" s="1"/>
  <c r="P651" i="44" a="1"/>
  <c r="P651" i="44" s="1"/>
  <c r="E4" i="11" s="1" a="1"/>
  <c r="E4" i="11" s="1"/>
  <c r="S691" i="44" a="1"/>
  <c r="S691" i="44" s="1"/>
  <c r="U5" i="30" s="1" a="1"/>
  <c r="U5" i="30" s="1"/>
  <c r="S626" i="44" a="1"/>
  <c r="S626" i="44" s="1"/>
  <c r="D3" i="30" s="1" a="1"/>
  <c r="D3" i="30" s="1"/>
  <c r="N707" i="44"/>
  <c r="M7" i="25" s="1" a="1"/>
  <c r="M7" i="25" s="1"/>
  <c r="U732" i="44"/>
  <c r="N6" i="32" s="1" a="1"/>
  <c r="N6" i="32" s="1"/>
  <c r="Q664" i="44" a="1"/>
  <c r="Q664" i="44" s="1"/>
  <c r="R4" i="28" s="1" a="1"/>
  <c r="R4" i="28" s="1"/>
  <c r="Q707" i="44"/>
  <c r="M7" i="28" s="1" a="1"/>
  <c r="M7" i="28" s="1"/>
  <c r="S729" i="44"/>
  <c r="K6" i="30" s="1" a="1"/>
  <c r="K6" i="30" s="1"/>
  <c r="S726" i="44"/>
  <c r="H6" i="30" s="1" a="1"/>
  <c r="H6" i="30" s="1"/>
  <c r="U725" i="44"/>
  <c r="G6" i="32" s="1" a="1"/>
  <c r="G6" i="32" s="1"/>
  <c r="R740" i="44"/>
  <c r="V6" i="29" s="1" a="1"/>
  <c r="V6" i="29" s="1"/>
  <c r="S612" i="44" a="1"/>
  <c r="S612" i="44" s="1"/>
  <c r="N2" i="30" s="1" a="1"/>
  <c r="N2" i="30" s="1"/>
  <c r="V686" i="44" a="1"/>
  <c r="V686" i="44" s="1"/>
  <c r="P5" i="10" s="1" a="1"/>
  <c r="P5" i="10" s="1"/>
  <c r="N713" i="44"/>
  <c r="S7" i="25" s="1" a="1"/>
  <c r="S7" i="25" s="1"/>
  <c r="R607" i="44" a="1"/>
  <c r="R607" i="44" s="1"/>
  <c r="I2" i="29" s="1" a="1"/>
  <c r="I2" i="29" s="1"/>
  <c r="R608" i="44" a="1"/>
  <c r="R608" i="44" s="1"/>
  <c r="J2" i="29" s="1" a="1"/>
  <c r="J2" i="29" s="1"/>
  <c r="N627" i="44" a="1"/>
  <c r="N627" i="44" s="1"/>
  <c r="E3" i="25" s="1" a="1"/>
  <c r="E3" i="25" s="1"/>
  <c r="H706" i="44"/>
  <c r="L7" i="16" s="1" a="1"/>
  <c r="L7" i="16" s="1"/>
  <c r="H637" i="44" a="1"/>
  <c r="H637" i="44" s="1"/>
  <c r="O3" i="16" s="1" a="1"/>
  <c r="O3" i="16" s="1"/>
  <c r="R712" i="44"/>
  <c r="R7" i="29" s="1" a="1"/>
  <c r="R7" i="29" s="1"/>
  <c r="R683" i="44" a="1"/>
  <c r="R683" i="44" s="1"/>
  <c r="M5" i="29" s="1" a="1"/>
  <c r="M5" i="29" s="1"/>
  <c r="H738" i="44"/>
  <c r="T6" i="16" s="1" a="1"/>
  <c r="T6" i="16" s="1"/>
  <c r="H672" i="44" a="1"/>
  <c r="H672" i="44" s="1"/>
  <c r="B5" i="16" s="1" a="1"/>
  <c r="B5" i="16" s="1"/>
  <c r="R685" i="44" a="1"/>
  <c r="R685" i="44" s="1"/>
  <c r="O5" i="29" s="1" a="1"/>
  <c r="O5" i="29" s="1"/>
  <c r="N728" i="44"/>
  <c r="J6" i="25" s="1" a="1"/>
  <c r="J6" i="25" s="1"/>
  <c r="Q673" i="44" a="1"/>
  <c r="Q673" i="44" s="1"/>
  <c r="C5" i="28" s="1" a="1"/>
  <c r="C5" i="28" s="1"/>
  <c r="R666" i="44" a="1"/>
  <c r="R666" i="44" s="1"/>
  <c r="T4" i="29" s="1" a="1"/>
  <c r="T4" i="29" s="1"/>
  <c r="P657" i="44" a="1"/>
  <c r="P657" i="44" s="1"/>
  <c r="K4" i="11" s="1" a="1"/>
  <c r="K4" i="11" s="1"/>
  <c r="Q619" i="44" a="1"/>
  <c r="Q619" i="44" s="1"/>
  <c r="U2" i="28" s="1" a="1"/>
  <c r="U2" i="28" s="1"/>
  <c r="R605" i="44" a="1"/>
  <c r="R605" i="44" s="1"/>
  <c r="G2" i="29" s="1" a="1"/>
  <c r="G2" i="29" s="1"/>
  <c r="H630" i="44" a="1"/>
  <c r="H630" i="44" s="1"/>
  <c r="H3" i="16" s="1" a="1"/>
  <c r="H3" i="16" s="1"/>
  <c r="V733" i="44"/>
  <c r="O6" i="10" s="1" a="1"/>
  <c r="O6" i="10" s="1"/>
  <c r="N705" i="44"/>
  <c r="K7" i="25" s="1" a="1"/>
  <c r="K7" i="25" s="1"/>
  <c r="Q696" i="44"/>
  <c r="B7" i="28" s="1" a="1"/>
  <c r="B7" i="28" s="1"/>
  <c r="P684" i="44" a="1"/>
  <c r="P684" i="44" s="1"/>
  <c r="N5" i="11" s="1" a="1"/>
  <c r="N5" i="11" s="1"/>
  <c r="S607" i="44" a="1"/>
  <c r="S607" i="44" s="1"/>
  <c r="I2" i="30" s="1" a="1"/>
  <c r="I2" i="30" s="1"/>
  <c r="H650" i="44" a="1"/>
  <c r="H650" i="44" s="1"/>
  <c r="D4" i="16" s="1" a="1"/>
  <c r="D4" i="16" s="1"/>
  <c r="G680" i="44" a="1"/>
  <c r="G680" i="44" s="1"/>
  <c r="J5" i="19" s="1" a="1"/>
  <c r="J5" i="19" s="1"/>
  <c r="H656" i="44" a="1"/>
  <c r="H656" i="44" s="1"/>
  <c r="J4" i="16" s="1" a="1"/>
  <c r="J4" i="16" s="1"/>
  <c r="Q625" i="44" a="1"/>
  <c r="Q625" i="44" s="1"/>
  <c r="C3" i="28" s="1" a="1"/>
  <c r="C3" i="28" s="1"/>
  <c r="G673" i="44" a="1"/>
  <c r="G673" i="44" s="1"/>
  <c r="C5" i="19" s="1" a="1"/>
  <c r="C5" i="19" s="1"/>
  <c r="G601" i="44" a="1"/>
  <c r="G601" i="44" s="1"/>
  <c r="C2" i="19" s="1" a="1"/>
  <c r="C2" i="19" s="1"/>
  <c r="P691" i="44" a="1"/>
  <c r="P691" i="44" s="1"/>
  <c r="U5" i="11" s="1" a="1"/>
  <c r="U5" i="11" s="1"/>
  <c r="N743" i="44"/>
  <c r="Y6" i="25" s="1" a="1"/>
  <c r="Y6" i="25" s="1"/>
  <c r="Q641" i="44" a="1"/>
  <c r="Q641" i="44" s="1"/>
  <c r="S3" i="28" s="1" a="1"/>
  <c r="S3" i="28" s="1"/>
  <c r="Q703" i="44"/>
  <c r="I7" i="28" s="1" a="1"/>
  <c r="I7" i="28" s="1"/>
  <c r="U707" i="44"/>
  <c r="M7" i="32" s="1" a="1"/>
  <c r="M7" i="32" s="1"/>
  <c r="H654" i="44" a="1"/>
  <c r="H654" i="44" s="1"/>
  <c r="H4" i="16" s="1" a="1"/>
  <c r="H4" i="16" s="1"/>
  <c r="Q683" i="44" a="1"/>
  <c r="Q683" i="44" s="1"/>
  <c r="M5" i="28" s="1" a="1"/>
  <c r="M5" i="28" s="1"/>
  <c r="H682" i="44" a="1"/>
  <c r="H682" i="44" s="1"/>
  <c r="L5" i="16" s="1" a="1"/>
  <c r="L5" i="16" s="1"/>
  <c r="E703" i="44"/>
  <c r="I7" i="17" s="1" a="1"/>
  <c r="I7" i="17" s="1"/>
  <c r="V604" i="44" a="1"/>
  <c r="V604" i="44" s="1"/>
  <c r="F2" i="10" s="1" a="1"/>
  <c r="F2" i="10" s="1"/>
  <c r="E715" i="44"/>
  <c r="U7" i="17" s="1" a="1"/>
  <c r="U7" i="17" s="1"/>
  <c r="N740" i="44"/>
  <c r="V6" i="25" s="1" a="1"/>
  <c r="V6" i="25" s="1"/>
  <c r="R618" i="44" a="1"/>
  <c r="R618" i="44" s="1"/>
  <c r="T2" i="29" s="1" a="1"/>
  <c r="T2" i="29" s="1"/>
  <c r="R669" i="44" a="1"/>
  <c r="R669" i="44" s="1"/>
  <c r="W4" i="29" s="1" a="1"/>
  <c r="W4" i="29" s="1"/>
  <c r="U693" i="44" a="1"/>
  <c r="U693" i="44" s="1"/>
  <c r="W5" i="32" s="1" a="1"/>
  <c r="W5" i="32" s="1"/>
  <c r="H715" i="44"/>
  <c r="U7" i="16" s="1" a="1"/>
  <c r="U7" i="16" s="1"/>
  <c r="H709" i="44"/>
  <c r="O7" i="16" s="1" a="1"/>
  <c r="O7" i="16" s="1"/>
  <c r="S736" i="44"/>
  <c r="R6" i="30" s="1" a="1"/>
  <c r="R6" i="30" s="1"/>
  <c r="S676" i="44" a="1"/>
  <c r="S676" i="44" s="1"/>
  <c r="F5" i="30" s="1" a="1"/>
  <c r="F5" i="30" s="1"/>
  <c r="U689" i="44" a="1"/>
  <c r="U689" i="44" s="1"/>
  <c r="S5" i="32" s="1" a="1"/>
  <c r="S5" i="32" s="1"/>
  <c r="U661" i="44" a="1"/>
  <c r="U661" i="44" s="1"/>
  <c r="O4" i="32" s="1" a="1"/>
  <c r="O4" i="32" s="1"/>
  <c r="R633" i="44" a="1"/>
  <c r="R633" i="44" s="1"/>
  <c r="K3" i="29" s="1" a="1"/>
  <c r="K3" i="29" s="1"/>
  <c r="H612" i="44" a="1"/>
  <c r="H612" i="44" s="1"/>
  <c r="N2" i="16" s="1" a="1"/>
  <c r="N2" i="16" s="1"/>
  <c r="P690" i="44" a="1"/>
  <c r="P690" i="44" s="1"/>
  <c r="T5" i="11" s="1" a="1"/>
  <c r="T5" i="11" s="1"/>
  <c r="Q715" i="44"/>
  <c r="U7" i="28" s="1" a="1"/>
  <c r="U7" i="28" s="1"/>
  <c r="S658" i="44" a="1"/>
  <c r="S658" i="44" s="1"/>
  <c r="L4" i="30" s="1" a="1"/>
  <c r="L4" i="30" s="1"/>
  <c r="G705" i="44"/>
  <c r="K7" i="19" s="1" a="1"/>
  <c r="K7" i="19" s="1"/>
  <c r="H655" i="44" a="1"/>
  <c r="H655" i="44" s="1"/>
  <c r="I4" i="16" s="1" a="1"/>
  <c r="I4" i="16" s="1"/>
  <c r="S665" i="44" a="1"/>
  <c r="S665" i="44" s="1"/>
  <c r="S4" i="30" s="1" a="1"/>
  <c r="S4" i="30" s="1"/>
  <c r="S624" i="44" a="1"/>
  <c r="S624" i="44" s="1"/>
  <c r="B3" i="30" s="1" a="1"/>
  <c r="B3" i="30" s="1"/>
  <c r="H695" i="44" a="1"/>
  <c r="H695" i="44" s="1"/>
  <c r="Y5" i="16" s="1" a="1"/>
  <c r="Y5" i="16" s="1"/>
  <c r="H693" i="44" a="1"/>
  <c r="H693" i="44" s="1"/>
  <c r="W5" i="16" s="1" a="1"/>
  <c r="W5" i="16" s="1"/>
  <c r="R639" i="44" a="1"/>
  <c r="R639" i="44" s="1"/>
  <c r="Q3" i="29" s="1" a="1"/>
  <c r="Q3" i="29" s="1"/>
  <c r="R723" i="44"/>
  <c r="E6" i="29" s="1" a="1"/>
  <c r="E6" i="29" s="1"/>
  <c r="R743" i="44"/>
  <c r="Y6" i="29" s="1" a="1"/>
  <c r="Y6" i="29" s="1"/>
  <c r="U687" i="44" a="1"/>
  <c r="U687" i="44" s="1"/>
  <c r="Q5" i="32" s="1" a="1"/>
  <c r="Q5" i="32" s="1"/>
  <c r="S662" i="44" a="1"/>
  <c r="S662" i="44" s="1"/>
  <c r="P4" i="30" s="1" a="1"/>
  <c r="P4" i="30" s="1"/>
  <c r="R635" i="44" a="1"/>
  <c r="R635" i="44" s="1"/>
  <c r="M3" i="29" s="1" a="1"/>
  <c r="M3" i="29" s="1"/>
  <c r="G714" i="44"/>
  <c r="T7" i="19" s="1" a="1"/>
  <c r="T7" i="19" s="1"/>
  <c r="H708" i="44"/>
  <c r="N7" i="16" s="1" a="1"/>
  <c r="N7" i="16" s="1"/>
  <c r="U664" i="44" a="1"/>
  <c r="U664" i="44" s="1"/>
  <c r="R4" i="32" s="1" a="1"/>
  <c r="R4" i="32" s="1"/>
  <c r="G675" i="44" a="1"/>
  <c r="G675" i="44" s="1"/>
  <c r="E5" i="19" s="1" a="1"/>
  <c r="E5" i="19" s="1"/>
  <c r="H641" i="44" a="1"/>
  <c r="H641" i="44" s="1"/>
  <c r="S3" i="16" s="1" a="1"/>
  <c r="S3" i="16" s="1"/>
  <c r="U692" i="44" a="1"/>
  <c r="U692" i="44" s="1"/>
  <c r="V5" i="32" s="1" a="1"/>
  <c r="V5" i="32" s="1"/>
  <c r="H627" i="44" a="1"/>
  <c r="H627" i="44" s="1"/>
  <c r="E3" i="16" s="1" a="1"/>
  <c r="E3" i="16" s="1"/>
  <c r="H652" i="44" a="1"/>
  <c r="H652" i="44" s="1"/>
  <c r="F4" i="16" s="1" a="1"/>
  <c r="F4" i="16" s="1"/>
  <c r="S685" i="44" a="1"/>
  <c r="S685" i="44" s="1"/>
  <c r="O5" i="30" s="1" a="1"/>
  <c r="O5" i="30" s="1"/>
  <c r="V692" i="44" a="1"/>
  <c r="V692" i="44" s="1"/>
  <c r="V5" i="10" s="1" a="1"/>
  <c r="V5" i="10" s="1"/>
  <c r="S640" i="44" a="1"/>
  <c r="S640" i="44" s="1"/>
  <c r="R3" i="30" s="1" a="1"/>
  <c r="R3" i="30" s="1"/>
  <c r="U642" i="44" a="1"/>
  <c r="U642" i="44" s="1"/>
  <c r="T3" i="32" s="1" a="1"/>
  <c r="T3" i="32" s="1"/>
  <c r="G712" i="44"/>
  <c r="R7" i="19" s="1" a="1"/>
  <c r="R7" i="19" s="1"/>
  <c r="H673" i="44" a="1"/>
  <c r="H673" i="44" s="1"/>
  <c r="C5" i="16" s="1" a="1"/>
  <c r="C5" i="16" s="1"/>
  <c r="P677" i="44" a="1"/>
  <c r="P677" i="44" s="1"/>
  <c r="G5" i="11" s="1" a="1"/>
  <c r="G5" i="11" s="1"/>
  <c r="P624" i="44" a="1"/>
  <c r="P624" i="44" s="1"/>
  <c r="B3" i="11" s="1" a="1"/>
  <c r="B3" i="11" s="1"/>
  <c r="K708" i="44"/>
  <c r="N7" i="22" s="1" a="1"/>
  <c r="N7" i="22" s="1"/>
  <c r="P627" i="44" a="1"/>
  <c r="P627" i="44" s="1"/>
  <c r="E3" i="11" s="1" a="1"/>
  <c r="E3" i="11" s="1"/>
  <c r="N655" i="44" a="1"/>
  <c r="N655" i="44" s="1"/>
  <c r="I4" i="25" s="1" a="1"/>
  <c r="I4" i="25" s="1"/>
  <c r="H698" i="44"/>
  <c r="D7" i="16" s="1" a="1"/>
  <c r="D7" i="16" s="1"/>
  <c r="P631" i="44" a="1"/>
  <c r="P631" i="44" s="1"/>
  <c r="I3" i="11" s="1" a="1"/>
  <c r="I3" i="11" s="1"/>
  <c r="H642" i="44" a="1"/>
  <c r="H642" i="44" s="1"/>
  <c r="T3" i="16" s="1" a="1"/>
  <c r="T3" i="16" s="1"/>
  <c r="Q650" i="44" a="1"/>
  <c r="Q650" i="44" s="1"/>
  <c r="D4" i="28" s="1" a="1"/>
  <c r="D4" i="28" s="1"/>
  <c r="S632" i="44" a="1"/>
  <c r="S632" i="44" s="1"/>
  <c r="J3" i="30" s="1" a="1"/>
  <c r="J3" i="30" s="1"/>
  <c r="U697" i="44"/>
  <c r="C7" i="32" s="1" a="1"/>
  <c r="C7" i="32" s="1"/>
  <c r="P647" i="44" a="1"/>
  <c r="P647" i="44" s="1"/>
  <c r="Y3" i="11" s="1" a="1"/>
  <c r="Y3" i="11" s="1"/>
  <c r="R716" i="44"/>
  <c r="V7" i="29" s="1" a="1"/>
  <c r="V7" i="29" s="1"/>
  <c r="H722" i="44"/>
  <c r="D6" i="16" s="1" a="1"/>
  <c r="D6" i="16" s="1"/>
  <c r="U647" i="44" a="1"/>
  <c r="U647" i="44" s="1"/>
  <c r="Y3" i="32" s="1" a="1"/>
  <c r="Y3" i="32" s="1"/>
  <c r="H624" i="44" a="1"/>
  <c r="H624" i="44" s="1"/>
  <c r="B3" i="16" s="1" a="1"/>
  <c r="B3" i="16" s="1"/>
  <c r="U656" i="44" a="1"/>
  <c r="U656" i="44" s="1"/>
  <c r="J4" i="32" s="1" a="1"/>
  <c r="J4" i="32" s="1"/>
  <c r="U671" i="44" a="1"/>
  <c r="U671" i="44" s="1"/>
  <c r="Y4" i="32" s="1" a="1"/>
  <c r="Y4" i="32" s="1"/>
  <c r="U602" i="44" a="1"/>
  <c r="U602" i="44" s="1"/>
  <c r="D2" i="32" s="1" a="1"/>
  <c r="D2" i="32" s="1"/>
  <c r="G653" i="44" a="1"/>
  <c r="G653" i="44" s="1"/>
  <c r="G4" i="19" s="1" a="1"/>
  <c r="G4" i="19" s="1"/>
  <c r="R620" i="44" a="1"/>
  <c r="R620" i="44" s="1"/>
  <c r="V2" i="29" s="1" a="1"/>
  <c r="V2" i="29" s="1"/>
  <c r="E676" i="44" a="1"/>
  <c r="E676" i="44" s="1"/>
  <c r="F5" i="17" s="1" a="1"/>
  <c r="F5" i="17" s="1"/>
  <c r="H615" i="44" a="1"/>
  <c r="H615" i="44" s="1"/>
  <c r="Q2" i="16" s="1" a="1"/>
  <c r="Q2" i="16" s="1"/>
  <c r="R694" i="44" a="1"/>
  <c r="R694" i="44" s="1"/>
  <c r="X5" i="29" s="1" a="1"/>
  <c r="X5" i="29" s="1"/>
  <c r="U703" i="44"/>
  <c r="I7" i="32" s="1" a="1"/>
  <c r="I7" i="32" s="1"/>
  <c r="G639" i="44" a="1"/>
  <c r="G639" i="44" s="1"/>
  <c r="Q3" i="19" s="1" a="1"/>
  <c r="Q3" i="19" s="1"/>
  <c r="H719" i="44"/>
  <c r="Y7" i="16" s="1" a="1"/>
  <c r="Y7" i="16" s="1"/>
  <c r="H694" i="44" a="1"/>
  <c r="H694" i="44" s="1"/>
  <c r="X5" i="16" s="1" a="1"/>
  <c r="X5" i="16" s="1"/>
  <c r="S646" i="44" a="1"/>
  <c r="S646" i="44" s="1"/>
  <c r="X3" i="30" s="1" a="1"/>
  <c r="X3" i="30" s="1"/>
  <c r="U625" i="44" a="1"/>
  <c r="U625" i="44" s="1"/>
  <c r="C3" i="32" s="1" a="1"/>
  <c r="C3" i="32" s="1"/>
  <c r="N681" i="44" a="1"/>
  <c r="N681" i="44" s="1"/>
  <c r="K5" i="25" s="1" a="1"/>
  <c r="K5" i="25" s="1"/>
  <c r="P731" i="44"/>
  <c r="M6" i="11" s="1" a="1"/>
  <c r="M6" i="11" s="1"/>
  <c r="V728" i="44"/>
  <c r="J6" i="10" s="1" a="1"/>
  <c r="J6" i="10" s="1"/>
  <c r="U637" i="44" a="1"/>
  <c r="U637" i="44" s="1"/>
  <c r="O3" i="32" s="1" a="1"/>
  <c r="O3" i="32" s="1"/>
  <c r="Q648" i="44" a="1"/>
  <c r="Q648" i="44" s="1"/>
  <c r="B4" i="28" s="1" a="1"/>
  <c r="B4" i="28" s="1"/>
  <c r="U709" i="44"/>
  <c r="O7" i="32" s="1" a="1"/>
  <c r="O7" i="32" s="1"/>
  <c r="N631" i="44" a="1"/>
  <c r="N631" i="44" s="1"/>
  <c r="I3" i="25" s="1" a="1"/>
  <c r="I3" i="25" s="1"/>
  <c r="H717" i="44"/>
  <c r="W7" i="16" s="1" a="1"/>
  <c r="W7" i="16" s="1"/>
  <c r="G657" i="44" a="1"/>
  <c r="G657" i="44" s="1"/>
  <c r="K4" i="19" s="1" a="1"/>
  <c r="K4" i="19" s="1"/>
  <c r="V703" i="44"/>
  <c r="I7" i="10" s="1" a="1"/>
  <c r="I7" i="10" s="1"/>
  <c r="N717" i="44"/>
  <c r="W7" i="25" s="1" a="1"/>
  <c r="W7" i="25" s="1"/>
  <c r="H667" i="44" a="1"/>
  <c r="H667" i="44" s="1"/>
  <c r="U4" i="16" s="1" a="1"/>
  <c r="U4" i="16" s="1"/>
  <c r="Q649" i="44" a="1"/>
  <c r="Q649" i="44" s="1"/>
  <c r="C4" i="28" s="1" a="1"/>
  <c r="C4" i="28" s="1"/>
  <c r="S702" i="44"/>
  <c r="H7" i="30" s="1" a="1"/>
  <c r="H7" i="30" s="1"/>
  <c r="R654" i="44" a="1"/>
  <c r="R654" i="44" s="1"/>
  <c r="H4" i="29" s="1" a="1"/>
  <c r="H4" i="29" s="1"/>
  <c r="R651" i="44" a="1"/>
  <c r="R651" i="44" s="1"/>
  <c r="E4" i="29" s="1" a="1"/>
  <c r="E4" i="29" s="1"/>
  <c r="U628" i="44" a="1"/>
  <c r="U628" i="44" s="1"/>
  <c r="F3" i="32" s="1" a="1"/>
  <c r="F3" i="32" s="1"/>
  <c r="U635" i="44" a="1"/>
  <c r="U635" i="44" s="1"/>
  <c r="M3" i="32" s="1" a="1"/>
  <c r="M3" i="32" s="1"/>
  <c r="N644" i="44" a="1"/>
  <c r="N644" i="44" s="1"/>
  <c r="V3" i="25" s="1" a="1"/>
  <c r="V3" i="25" s="1"/>
  <c r="G637" i="44" a="1"/>
  <c r="G637" i="44" s="1"/>
  <c r="O3" i="19" s="1" a="1"/>
  <c r="O3" i="19" s="1"/>
  <c r="G707" i="44"/>
  <c r="M7" i="19" s="1" a="1"/>
  <c r="M7" i="19" s="1"/>
  <c r="G696" i="44"/>
  <c r="B7" i="19" s="1" a="1"/>
  <c r="B7" i="19" s="1"/>
  <c r="Q610" i="44" a="1"/>
  <c r="Q610" i="44" s="1"/>
  <c r="L2" i="28" s="1" a="1"/>
  <c r="L2" i="28" s="1"/>
  <c r="R711" i="44"/>
  <c r="Q7" i="29" s="1" a="1"/>
  <c r="Q7" i="29" s="1"/>
  <c r="N677" i="44" a="1"/>
  <c r="N677" i="44" s="1"/>
  <c r="G5" i="25" s="1" a="1"/>
  <c r="G5" i="25" s="1"/>
  <c r="U654" i="44" a="1"/>
  <c r="U654" i="44" s="1"/>
  <c r="H4" i="32" s="1" a="1"/>
  <c r="H4" i="32" s="1"/>
  <c r="S734" i="44"/>
  <c r="P6" i="30" s="1" a="1"/>
  <c r="P6" i="30" s="1"/>
  <c r="G643" i="44" a="1"/>
  <c r="G643" i="44" s="1"/>
  <c r="U3" i="19" s="1" a="1"/>
  <c r="U3" i="19" s="1"/>
  <c r="G687" i="44" a="1"/>
  <c r="G687" i="44" s="1"/>
  <c r="Q5" i="19" s="1" a="1"/>
  <c r="Q5" i="19" s="1"/>
  <c r="G635" i="44" a="1"/>
  <c r="G635" i="44" s="1"/>
  <c r="M3" i="19" s="1" a="1"/>
  <c r="M3" i="19" s="1"/>
  <c r="Q613" i="44" a="1"/>
  <c r="Q613" i="44" s="1"/>
  <c r="O2" i="28" s="1" a="1"/>
  <c r="O2" i="28" s="1"/>
  <c r="P601" i="44" a="1"/>
  <c r="P601" i="44" s="1"/>
  <c r="C2" i="11" s="1" a="1"/>
  <c r="C2" i="11" s="1"/>
  <c r="R636" i="44" a="1"/>
  <c r="R636" i="44" s="1"/>
  <c r="N3" i="29" s="1" a="1"/>
  <c r="N3" i="29" s="1"/>
  <c r="P713" i="44"/>
  <c r="S7" i="11" s="1" a="1"/>
  <c r="S7" i="11" s="1"/>
  <c r="P725" i="44"/>
  <c r="G6" i="11" s="1" a="1"/>
  <c r="G6" i="11" s="1"/>
  <c r="S706" i="44"/>
  <c r="L7" i="30" s="1" a="1"/>
  <c r="L7" i="30" s="1"/>
  <c r="R715" i="44"/>
  <c r="U7" i="29" s="1" a="1"/>
  <c r="U7" i="29" s="1"/>
  <c r="R604" i="44" a="1"/>
  <c r="R604" i="44" s="1"/>
  <c r="F2" i="29" s="1" a="1"/>
  <c r="F2" i="29" s="1"/>
  <c r="H707" i="44"/>
  <c r="M7" i="16" s="1" a="1"/>
  <c r="M7" i="16" s="1"/>
  <c r="H665" i="44" a="1"/>
  <c r="H665" i="44" s="1"/>
  <c r="S4" i="16" s="1" a="1"/>
  <c r="S4" i="16" s="1"/>
  <c r="Q685" i="44" a="1"/>
  <c r="Q685" i="44" s="1"/>
  <c r="O5" i="28" s="1" a="1"/>
  <c r="O5" i="28" s="1"/>
  <c r="Q700" i="44"/>
  <c r="F7" i="28" s="1" a="1"/>
  <c r="F7" i="28" s="1"/>
  <c r="G602" i="44" a="1"/>
  <c r="G602" i="44" s="1"/>
  <c r="D2" i="19" s="1" a="1"/>
  <c r="D2" i="19" s="1"/>
  <c r="U639" i="44" a="1"/>
  <c r="U639" i="44" s="1"/>
  <c r="Q3" i="32" s="1" a="1"/>
  <c r="Q3" i="32" s="1"/>
  <c r="H646" i="44" a="1"/>
  <c r="H646" i="44" s="1"/>
  <c r="X3" i="16" s="1" a="1"/>
  <c r="X3" i="16" s="1"/>
  <c r="H725" i="44"/>
  <c r="G6" i="16" s="1" a="1"/>
  <c r="G6" i="16" s="1"/>
  <c r="S649" i="44" a="1"/>
  <c r="S649" i="44" s="1"/>
  <c r="C4" i="30" s="1" a="1"/>
  <c r="C4" i="30" s="1"/>
  <c r="Q660" i="44" a="1"/>
  <c r="Q660" i="44" s="1"/>
  <c r="N4" i="28" s="1" a="1"/>
  <c r="N4" i="28" s="1"/>
  <c r="R664" i="44" a="1"/>
  <c r="R664" i="44" s="1"/>
  <c r="R4" i="29" s="1" a="1"/>
  <c r="R4" i="29" s="1"/>
  <c r="N643" i="44" a="1"/>
  <c r="N643" i="44" s="1"/>
  <c r="U3" i="25" s="1" a="1"/>
  <c r="U3" i="25" s="1"/>
  <c r="R714" i="44"/>
  <c r="T7" i="29" s="1" a="1"/>
  <c r="T7" i="29" s="1"/>
  <c r="K633" i="44" a="1"/>
  <c r="K633" i="44" s="1"/>
  <c r="K3" i="22" s="1" a="1"/>
  <c r="K3" i="22" s="1"/>
  <c r="K712" i="44"/>
  <c r="R7" i="22" s="1" a="1"/>
  <c r="R7" i="22" s="1"/>
  <c r="H666" i="44" a="1"/>
  <c r="H666" i="44" s="1"/>
  <c r="T4" i="16" s="1" a="1"/>
  <c r="T4" i="16" s="1"/>
  <c r="N690" i="44" a="1"/>
  <c r="N690" i="44" s="1"/>
  <c r="T5" i="25" s="1" a="1"/>
  <c r="T5" i="25" s="1"/>
  <c r="G618" i="44" a="1"/>
  <c r="G618" i="44" s="1"/>
  <c r="T2" i="19" s="1" a="1"/>
  <c r="T2" i="19" s="1"/>
  <c r="R692" i="44" a="1"/>
  <c r="R692" i="44" s="1"/>
  <c r="V5" i="29" s="1" a="1"/>
  <c r="V5" i="29" s="1"/>
  <c r="G671" i="44" a="1"/>
  <c r="G671" i="44" s="1"/>
  <c r="Y4" i="19" s="1" a="1"/>
  <c r="Y4" i="19" s="1"/>
  <c r="S672" i="44" a="1"/>
  <c r="S672" i="44" s="1"/>
  <c r="B5" i="30" s="1" a="1"/>
  <c r="B5" i="30" s="1"/>
  <c r="U679" i="44" a="1"/>
  <c r="U679" i="44" s="1"/>
  <c r="I5" i="32" s="1" a="1"/>
  <c r="I5" i="32" s="1"/>
  <c r="H632" i="44" a="1"/>
  <c r="H632" i="44" s="1"/>
  <c r="J3" i="16" s="1" a="1"/>
  <c r="J3" i="16" s="1"/>
  <c r="E698" i="44"/>
  <c r="D7" i="17" s="1" a="1"/>
  <c r="D7" i="17" s="1"/>
  <c r="S739" i="44"/>
  <c r="U6" i="30" s="1" a="1"/>
  <c r="U6" i="30" s="1"/>
  <c r="U719" i="44"/>
  <c r="Y7" i="32" s="1" a="1"/>
  <c r="Y7" i="32" s="1"/>
  <c r="U684" i="44" a="1"/>
  <c r="U684" i="44" s="1"/>
  <c r="N5" i="32" s="1" a="1"/>
  <c r="N5" i="32" s="1"/>
  <c r="R642" i="44" a="1"/>
  <c r="R642" i="44" s="1"/>
  <c r="T3" i="29" s="1" a="1"/>
  <c r="T3" i="29" s="1"/>
  <c r="R678" i="44" a="1"/>
  <c r="R678" i="44" s="1"/>
  <c r="H5" i="29" s="1" a="1"/>
  <c r="H5" i="29" s="1"/>
  <c r="P606" i="44" a="1"/>
  <c r="P606" i="44" s="1"/>
  <c r="H2" i="11" s="1" a="1"/>
  <c r="H2" i="11" s="1"/>
  <c r="R738" i="44"/>
  <c r="T6" i="29" s="1" a="1"/>
  <c r="T6" i="29" s="1"/>
  <c r="H726" i="44"/>
  <c r="H6" i="16" s="1" a="1"/>
  <c r="H6" i="16" s="1"/>
  <c r="U667" i="44" a="1"/>
  <c r="U667" i="44" s="1"/>
  <c r="U4" i="32" s="1" a="1"/>
  <c r="U4" i="32" s="1"/>
  <c r="H692" i="44" a="1"/>
  <c r="H692" i="44" s="1"/>
  <c r="V5" i="16" s="1" a="1"/>
  <c r="V5" i="16" s="1"/>
  <c r="H651" i="44" a="1"/>
  <c r="H651" i="44" s="1"/>
  <c r="E4" i="16" s="1" a="1"/>
  <c r="E4" i="16" s="1"/>
  <c r="R631" i="44" a="1"/>
  <c r="R631" i="44" s="1"/>
  <c r="I3" i="29" s="1" a="1"/>
  <c r="I3" i="29" s="1"/>
  <c r="E712" i="44"/>
  <c r="R7" i="17" s="1" a="1"/>
  <c r="R7" i="17" s="1"/>
  <c r="E674" i="44" a="1"/>
  <c r="E674" i="44" s="1"/>
  <c r="D5" i="17" s="1" a="1"/>
  <c r="D5" i="17" s="1"/>
  <c r="X563" i="44"/>
  <c r="P737" i="44"/>
  <c r="S6" i="11" s="1" a="1"/>
  <c r="S6" i="11" s="1"/>
  <c r="S681" i="44" a="1"/>
  <c r="S681" i="44" s="1"/>
  <c r="K5" i="30" s="1" a="1"/>
  <c r="K5" i="30" s="1"/>
  <c r="S698" i="44"/>
  <c r="D7" i="30" s="1" a="1"/>
  <c r="D7" i="30" s="1"/>
  <c r="N624" i="44" a="1"/>
  <c r="N624" i="44" s="1"/>
  <c r="B3" i="25" s="1" a="1"/>
  <c r="B3" i="25" s="1"/>
  <c r="G624" i="44" a="1"/>
  <c r="G624" i="44" s="1"/>
  <c r="B3" i="19" s="1" a="1"/>
  <c r="B3" i="19" s="1"/>
  <c r="G625" i="44" a="1"/>
  <c r="G625" i="44" s="1"/>
  <c r="C3" i="19" s="1" a="1"/>
  <c r="C3" i="19" s="1"/>
  <c r="Q690" i="44" a="1"/>
  <c r="Q690" i="44" s="1"/>
  <c r="T5" i="28" s="1" a="1"/>
  <c r="T5" i="28" s="1"/>
  <c r="H640" i="44" a="1"/>
  <c r="H640" i="44" s="1"/>
  <c r="R3" i="16" s="1" a="1"/>
  <c r="R3" i="16" s="1"/>
  <c r="R724" i="44"/>
  <c r="F6" i="29" s="1" a="1"/>
  <c r="F6" i="29" s="1"/>
  <c r="R705" i="44"/>
  <c r="K7" i="29" s="1" a="1"/>
  <c r="K7" i="29" s="1"/>
  <c r="R609" i="44" a="1"/>
  <c r="R609" i="44" s="1"/>
  <c r="K2" i="29" s="1" a="1"/>
  <c r="K2" i="29" s="1"/>
  <c r="N545" i="44"/>
  <c r="R680" i="44" a="1"/>
  <c r="R680" i="44" s="1"/>
  <c r="J5" i="29" s="1" a="1"/>
  <c r="J5" i="29" s="1"/>
  <c r="P650" i="44" a="1"/>
  <c r="P650" i="44" s="1"/>
  <c r="D4" i="11" s="1" a="1"/>
  <c r="D4" i="11" s="1"/>
  <c r="R673" i="44" a="1"/>
  <c r="R673" i="44" s="1"/>
  <c r="C5" i="29" s="1" a="1"/>
  <c r="C5" i="29" s="1"/>
  <c r="U681" i="44" a="1"/>
  <c r="U681" i="44" s="1"/>
  <c r="K5" i="32" s="1" a="1"/>
  <c r="K5" i="32" s="1"/>
  <c r="R703" i="44"/>
  <c r="I7" i="29" s="1" a="1"/>
  <c r="I7" i="29" s="1"/>
  <c r="R690" i="44" a="1"/>
  <c r="R690" i="44" s="1"/>
  <c r="T5" i="29" s="1" a="1"/>
  <c r="T5" i="29" s="1"/>
  <c r="G666" i="44" a="1"/>
  <c r="G666" i="44" s="1"/>
  <c r="T4" i="19" s="1" a="1"/>
  <c r="T4" i="19" s="1"/>
  <c r="H681" i="44" a="1"/>
  <c r="H681" i="44" s="1"/>
  <c r="K5" i="16" s="1" a="1"/>
  <c r="K5" i="16" s="1"/>
  <c r="N706" i="44"/>
  <c r="L7" i="25" s="1" a="1"/>
  <c r="L7" i="25" s="1"/>
  <c r="Q622" i="44" a="1"/>
  <c r="Q622" i="44" s="1"/>
  <c r="X2" i="28" s="1" a="1"/>
  <c r="X2" i="28" s="1"/>
  <c r="G717" i="44"/>
  <c r="W7" i="19" s="1" a="1"/>
  <c r="W7" i="19" s="1"/>
  <c r="S610" i="44" a="1"/>
  <c r="S610" i="44" s="1"/>
  <c r="L2" i="30" s="1" a="1"/>
  <c r="L2" i="30" s="1"/>
  <c r="G645" i="44" a="1"/>
  <c r="G645" i="44" s="1"/>
  <c r="W3" i="19" s="1" a="1"/>
  <c r="W3" i="19" s="1"/>
  <c r="U680" i="44" a="1"/>
  <c r="U680" i="44" s="1"/>
  <c r="J5" i="32" s="1" a="1"/>
  <c r="J5" i="32" s="1"/>
  <c r="K671" i="44" a="1"/>
  <c r="K671" i="44" s="1"/>
  <c r="Y4" i="22" s="1" a="1"/>
  <c r="Y4" i="22" s="1"/>
  <c r="S625" i="44" a="1"/>
  <c r="S625" i="44" s="1"/>
  <c r="C3" i="30" s="1" a="1"/>
  <c r="C3" i="30" s="1"/>
  <c r="U601" i="44" a="1"/>
  <c r="U601" i="44" s="1"/>
  <c r="C2" i="32" s="1" a="1"/>
  <c r="C2" i="32" s="1"/>
  <c r="U636" i="44" a="1"/>
  <c r="U636" i="44" s="1"/>
  <c r="N3" i="32" s="1" a="1"/>
  <c r="N3" i="32" s="1"/>
  <c r="R649" i="44" a="1"/>
  <c r="R649" i="44" s="1"/>
  <c r="C4" i="29" s="1" a="1"/>
  <c r="C4" i="29" s="1"/>
  <c r="H696" i="44"/>
  <c r="B7" i="16" s="1" a="1"/>
  <c r="B7" i="16" s="1"/>
  <c r="H648" i="44" a="1"/>
  <c r="H648" i="44" s="1"/>
  <c r="B4" i="16" s="1" a="1"/>
  <c r="B4" i="16" s="1"/>
  <c r="U648" i="44" a="1"/>
  <c r="U648" i="44" s="1"/>
  <c r="B4" i="32" s="1" a="1"/>
  <c r="B4" i="32" s="1"/>
  <c r="S677" i="44" a="1"/>
  <c r="S677" i="44" s="1"/>
  <c r="G5" i="30" s="1" a="1"/>
  <c r="G5" i="30" s="1"/>
  <c r="H644" i="44" a="1"/>
  <c r="H644" i="44" s="1"/>
  <c r="V3" i="16" s="1" a="1"/>
  <c r="V3" i="16" s="1"/>
  <c r="G690" i="44" a="1"/>
  <c r="G690" i="44" s="1"/>
  <c r="T5" i="19" s="1" a="1"/>
  <c r="T5" i="19" s="1"/>
  <c r="H633" i="44" a="1"/>
  <c r="H633" i="44" s="1"/>
  <c r="K3" i="16" s="1" a="1"/>
  <c r="K3" i="16" s="1"/>
  <c r="Q630" i="44" a="1"/>
  <c r="Q630" i="44" s="1"/>
  <c r="H3" i="28" s="1" a="1"/>
  <c r="H3" i="28" s="1"/>
  <c r="Q669" i="44" a="1"/>
  <c r="Q669" i="44" s="1"/>
  <c r="W4" i="28" s="1" a="1"/>
  <c r="W4" i="28" s="1"/>
  <c r="G681" i="44" a="1"/>
  <c r="G681" i="44" s="1"/>
  <c r="K5" i="19" s="1" a="1"/>
  <c r="K5" i="19" s="1"/>
  <c r="N608" i="44" a="1"/>
  <c r="N608" i="44" s="1"/>
  <c r="J2" i="25" s="1" a="1"/>
  <c r="J2" i="25" s="1"/>
  <c r="S673" i="44" a="1"/>
  <c r="S673" i="44" s="1"/>
  <c r="C5" i="30" s="1" a="1"/>
  <c r="C5" i="30" s="1"/>
  <c r="U711" i="44"/>
  <c r="Q7" i="32" s="1" a="1"/>
  <c r="Q7" i="32" s="1"/>
  <c r="R615" i="44" a="1"/>
  <c r="R615" i="44" s="1"/>
  <c r="Q2" i="29" s="1" a="1"/>
  <c r="Q2" i="29" s="1"/>
  <c r="Q607" i="44" a="1"/>
  <c r="Q607" i="44" s="1"/>
  <c r="I2" i="28" s="1" a="1"/>
  <c r="I2" i="28" s="1"/>
  <c r="N515" i="44"/>
  <c r="N726" i="44"/>
  <c r="H6" i="25" s="1" a="1"/>
  <c r="H6" i="25" s="1"/>
  <c r="N521" i="44"/>
  <c r="E606" i="44" a="1"/>
  <c r="E606" i="44" s="1"/>
  <c r="H2" i="17" s="1" a="1"/>
  <c r="H2" i="17" s="1"/>
  <c r="N499" i="44"/>
  <c r="U726" i="44"/>
  <c r="H6" i="32" s="1" a="1"/>
  <c r="H6" i="32" s="1"/>
  <c r="G652" i="44" a="1"/>
  <c r="G652" i="44" s="1"/>
  <c r="F4" i="19" s="1" a="1"/>
  <c r="F4" i="19" s="1"/>
  <c r="H661" i="44" a="1"/>
  <c r="H661" i="44" s="1"/>
  <c r="O4" i="16" s="1" a="1"/>
  <c r="O4" i="16" s="1"/>
  <c r="P643" i="44" a="1"/>
  <c r="P643" i="44" s="1"/>
  <c r="U3" i="11" s="1" a="1"/>
  <c r="U3" i="11" s="1"/>
  <c r="N472" i="44"/>
  <c r="N471" i="44"/>
  <c r="P663" i="44" a="1"/>
  <c r="P663" i="44" s="1"/>
  <c r="Q4" i="11" s="1" a="1"/>
  <c r="Q4" i="11" s="1"/>
  <c r="T683" i="44" a="1"/>
  <c r="T683" i="44" s="1"/>
  <c r="M5" i="31" s="1" a="1"/>
  <c r="M5" i="31" s="1"/>
  <c r="G689" i="44" a="1"/>
  <c r="G689" i="44" s="1"/>
  <c r="S5" i="19" s="1" a="1"/>
  <c r="S5" i="19" s="1"/>
  <c r="H686" i="44" a="1"/>
  <c r="H686" i="44" s="1"/>
  <c r="P5" i="16" s="1" a="1"/>
  <c r="P5" i="16" s="1"/>
  <c r="H610" i="44" a="1"/>
  <c r="H610" i="44" s="1"/>
  <c r="L2" i="16" s="1" a="1"/>
  <c r="L2" i="16" s="1"/>
  <c r="N476" i="44"/>
  <c r="N572" i="44"/>
  <c r="G621" i="44" a="1"/>
  <c r="G621" i="44" s="1"/>
  <c r="W2" i="19" s="1" a="1"/>
  <c r="W2" i="19" s="1"/>
  <c r="H621" i="44" a="1"/>
  <c r="H621" i="44" s="1"/>
  <c r="W2" i="16" s="1" a="1"/>
  <c r="W2" i="16" s="1"/>
  <c r="P717" i="44"/>
  <c r="W7" i="11" s="1" a="1"/>
  <c r="W7" i="11" s="1"/>
  <c r="S712" i="44"/>
  <c r="R7" i="30" s="1" a="1"/>
  <c r="R7" i="30" s="1"/>
  <c r="H645" i="44" a="1"/>
  <c r="H645" i="44" s="1"/>
  <c r="W3" i="16" s="1" a="1"/>
  <c r="W3" i="16" s="1"/>
  <c r="U612" i="44" a="1"/>
  <c r="U612" i="44" s="1"/>
  <c r="N2" i="32" s="1" a="1"/>
  <c r="N2" i="32" s="1"/>
  <c r="Q702" i="44"/>
  <c r="H7" i="28" s="1" a="1"/>
  <c r="H7" i="28" s="1"/>
  <c r="S638" i="44" a="1"/>
  <c r="S638" i="44" s="1"/>
  <c r="P3" i="30" s="1" a="1"/>
  <c r="P3" i="30" s="1"/>
  <c r="N674" i="44" a="1"/>
  <c r="N674" i="44" s="1"/>
  <c r="D5" i="25" s="1" a="1"/>
  <c r="D5" i="25" s="1"/>
  <c r="Q623" i="44" a="1"/>
  <c r="Q623" i="44" s="1"/>
  <c r="Y2" i="28" s="1" a="1"/>
  <c r="Y2" i="28" s="1"/>
  <c r="U720" i="44"/>
  <c r="B6" i="32" s="1" a="1"/>
  <c r="B6" i="32" s="1"/>
  <c r="H684" i="44" a="1"/>
  <c r="H684" i="44" s="1"/>
  <c r="N5" i="16" s="1" a="1"/>
  <c r="N5" i="16" s="1"/>
  <c r="V702" i="44"/>
  <c r="H7" i="10" s="1" a="1"/>
  <c r="H7" i="10" s="1"/>
  <c r="R638" i="44" a="1"/>
  <c r="R638" i="44" s="1"/>
  <c r="P3" i="29" s="1" a="1"/>
  <c r="P3" i="29" s="1"/>
  <c r="Q628" i="44" a="1"/>
  <c r="Q628" i="44" s="1"/>
  <c r="F3" i="28" s="1" a="1"/>
  <c r="F3" i="28" s="1"/>
  <c r="V669" i="44" a="1"/>
  <c r="V669" i="44" s="1"/>
  <c r="W4" i="10" s="1" a="1"/>
  <c r="W4" i="10" s="1"/>
  <c r="N693" i="44" a="1"/>
  <c r="N693" i="44" s="1"/>
  <c r="W5" i="25" s="1" a="1"/>
  <c r="W5" i="25" s="1"/>
  <c r="S614" i="44" a="1"/>
  <c r="S614" i="44" s="1"/>
  <c r="P2" i="30" s="1" a="1"/>
  <c r="P2" i="30" s="1"/>
  <c r="K612" i="44" a="1"/>
  <c r="K612" i="44" s="1"/>
  <c r="N2" i="22" s="1" a="1"/>
  <c r="N2" i="22" s="1"/>
  <c r="S602" i="44" a="1"/>
  <c r="S602" i="44" s="1"/>
  <c r="D2" i="30" s="1" a="1"/>
  <c r="D2" i="30" s="1"/>
  <c r="H710" i="44"/>
  <c r="P7" i="16" s="1" a="1"/>
  <c r="P7" i="16" s="1"/>
  <c r="N650" i="44" a="1"/>
  <c r="N650" i="44" s="1"/>
  <c r="D4" i="25" s="1" a="1"/>
  <c r="D4" i="25" s="1"/>
  <c r="H616" i="44" a="1"/>
  <c r="H616" i="44" s="1"/>
  <c r="R2" i="16" s="1" a="1"/>
  <c r="R2" i="16" s="1"/>
  <c r="R731" i="44"/>
  <c r="M6" i="29" s="1" a="1"/>
  <c r="M6" i="29" s="1"/>
  <c r="N673" i="44" a="1"/>
  <c r="N673" i="44" s="1"/>
  <c r="C5" i="25" s="1" a="1"/>
  <c r="C5" i="25" s="1"/>
  <c r="G638" i="44" a="1"/>
  <c r="G638" i="44" s="1"/>
  <c r="P3" i="19" s="1" a="1"/>
  <c r="P3" i="19" s="1"/>
  <c r="S689" i="44" a="1"/>
  <c r="S689" i="44" s="1"/>
  <c r="S5" i="30" s="1" a="1"/>
  <c r="S5" i="30" s="1"/>
  <c r="N712" i="44"/>
  <c r="R7" i="25" s="1" a="1"/>
  <c r="R7" i="25" s="1"/>
  <c r="U622" i="44" a="1"/>
  <c r="U622" i="44" s="1"/>
  <c r="X2" i="32" s="1" a="1"/>
  <c r="X2" i="32" s="1"/>
  <c r="R659" i="44" a="1"/>
  <c r="R659" i="44" s="1"/>
  <c r="M4" i="29" s="1" a="1"/>
  <c r="M4" i="29" s="1"/>
  <c r="V635" i="44" a="1"/>
  <c r="V635" i="44" s="1"/>
  <c r="M3" i="10" s="1" a="1"/>
  <c r="M3" i="10" s="1"/>
  <c r="V721" i="44"/>
  <c r="C6" i="10" s="1" a="1"/>
  <c r="C6" i="10" s="1"/>
  <c r="V620" i="44" a="1"/>
  <c r="V620" i="44" s="1"/>
  <c r="V2" i="10" s="1" a="1"/>
  <c r="V2" i="10" s="1"/>
  <c r="G734" i="44"/>
  <c r="P6" i="19" s="1" a="1"/>
  <c r="P6" i="19" s="1"/>
  <c r="U727" i="44"/>
  <c r="I6" i="32" s="1" a="1"/>
  <c r="I6" i="32" s="1"/>
  <c r="R698" i="44"/>
  <c r="D7" i="29" s="1" a="1"/>
  <c r="D7" i="29" s="1"/>
  <c r="G615" i="44" a="1"/>
  <c r="G615" i="44" s="1"/>
  <c r="Q2" i="19" s="1" a="1"/>
  <c r="Q2" i="19" s="1"/>
  <c r="U713" i="44"/>
  <c r="S7" i="32" s="1" a="1"/>
  <c r="S7" i="32" s="1"/>
  <c r="V633" i="44" a="1"/>
  <c r="V633" i="44" s="1"/>
  <c r="K3" i="10" s="1" a="1"/>
  <c r="K3" i="10" s="1"/>
  <c r="H602" i="44" a="1"/>
  <c r="H602" i="44" s="1"/>
  <c r="D2" i="16" s="1" a="1"/>
  <c r="D2" i="16" s="1"/>
  <c r="G740" i="44"/>
  <c r="V6" i="19" s="1" a="1"/>
  <c r="V6" i="19" s="1"/>
  <c r="G649" i="44" a="1"/>
  <c r="G649" i="44" s="1"/>
  <c r="C4" i="19" s="1" a="1"/>
  <c r="C4" i="19" s="1"/>
  <c r="U623" i="44" a="1"/>
  <c r="U623" i="44" s="1"/>
  <c r="Y2" i="32" s="1" a="1"/>
  <c r="Y2" i="32" s="1"/>
  <c r="N635" i="44" a="1"/>
  <c r="N635" i="44" s="1"/>
  <c r="M3" i="25" s="1" a="1"/>
  <c r="M3" i="25" s="1"/>
  <c r="S719" i="44"/>
  <c r="Y7" i="30" s="1" a="1"/>
  <c r="Y7" i="30" s="1"/>
  <c r="Q677" i="44" a="1"/>
  <c r="Q677" i="44" s="1"/>
  <c r="G5" i="28" s="1" a="1"/>
  <c r="G5" i="28" s="1"/>
  <c r="N733" i="44"/>
  <c r="O6" i="25" s="1" a="1"/>
  <c r="O6" i="25" s="1"/>
  <c r="Q691" i="44" a="1"/>
  <c r="Q691" i="44" s="1"/>
  <c r="U5" i="28" s="1" a="1"/>
  <c r="U5" i="28" s="1"/>
  <c r="P698" i="44"/>
  <c r="D7" i="11" s="1" a="1"/>
  <c r="D7" i="11" s="1"/>
  <c r="N679" i="44" a="1"/>
  <c r="N679" i="44" s="1"/>
  <c r="I5" i="25" s="1" a="1"/>
  <c r="I5" i="25" s="1"/>
  <c r="Q694" i="44" a="1"/>
  <c r="Q694" i="44" s="1"/>
  <c r="X5" i="28" s="1" a="1"/>
  <c r="X5" i="28" s="1"/>
  <c r="Q668" i="44" a="1"/>
  <c r="Q668" i="44" s="1"/>
  <c r="V4" i="28" s="1" a="1"/>
  <c r="V4" i="28" s="1"/>
  <c r="N606" i="44" a="1"/>
  <c r="N606" i="44" s="1"/>
  <c r="H2" i="25" s="1" a="1"/>
  <c r="H2" i="25" s="1"/>
  <c r="E643" i="44" a="1"/>
  <c r="E643" i="44" s="1"/>
  <c r="U3" i="17" s="1" a="1"/>
  <c r="U3" i="17" s="1"/>
  <c r="P694" i="44" a="1"/>
  <c r="P694" i="44" s="1"/>
  <c r="X5" i="11" s="1" a="1"/>
  <c r="X5" i="11" s="1"/>
  <c r="V675" i="44" a="1"/>
  <c r="V675" i="44" s="1"/>
  <c r="E5" i="10" s="1" a="1"/>
  <c r="E5" i="10" s="1"/>
  <c r="N691" i="44" a="1"/>
  <c r="N691" i="44" s="1"/>
  <c r="U5" i="25" s="1" a="1"/>
  <c r="U5" i="25" s="1"/>
  <c r="Q672" i="44" a="1"/>
  <c r="Q672" i="44" s="1"/>
  <c r="B5" i="28" s="1" a="1"/>
  <c r="B5" i="28" s="1"/>
  <c r="Q639" i="44" a="1"/>
  <c r="Q639" i="44" s="1"/>
  <c r="Q3" i="28" s="1" a="1"/>
  <c r="Q3" i="28" s="1"/>
  <c r="N616" i="44" a="1"/>
  <c r="N616" i="44" s="1"/>
  <c r="R2" i="25" s="1" a="1"/>
  <c r="R2" i="25" s="1"/>
  <c r="K656" i="44" a="1"/>
  <c r="K656" i="44" s="1"/>
  <c r="J4" i="22" s="1" a="1"/>
  <c r="J4" i="22" s="1"/>
  <c r="N647" i="44" a="1"/>
  <c r="N647" i="44" s="1"/>
  <c r="Y3" i="25" s="1" a="1"/>
  <c r="Y3" i="25" s="1"/>
  <c r="G678" i="44" a="1"/>
  <c r="G678" i="44" s="1"/>
  <c r="H5" i="19" s="1" a="1"/>
  <c r="H5" i="19" s="1"/>
  <c r="N632" i="44" a="1"/>
  <c r="N632" i="44" s="1"/>
  <c r="J3" i="25" s="1" a="1"/>
  <c r="J3" i="25" s="1"/>
  <c r="R660" i="44" a="1"/>
  <c r="R660" i="44" s="1"/>
  <c r="N4" i="29" s="1" a="1"/>
  <c r="N4" i="29" s="1"/>
  <c r="U717" i="44"/>
  <c r="W7" i="32" s="1" a="1"/>
  <c r="W7" i="32" s="1"/>
  <c r="U704" i="44"/>
  <c r="J7" i="32" s="1" a="1"/>
  <c r="J7" i="32" s="1"/>
  <c r="Q663" i="44" a="1"/>
  <c r="Q663" i="44" s="1"/>
  <c r="Q4" i="28" s="1" a="1"/>
  <c r="Q4" i="28" s="1"/>
  <c r="G634" i="44" a="1"/>
  <c r="G634" i="44" s="1"/>
  <c r="L3" i="19" s="1" a="1"/>
  <c r="L3" i="19" s="1"/>
  <c r="U715" i="44"/>
  <c r="U7" i="32" s="1" a="1"/>
  <c r="U7" i="32" s="1"/>
  <c r="G676" i="44" a="1"/>
  <c r="G676" i="44" s="1"/>
  <c r="F5" i="19" s="1" a="1"/>
  <c r="F5" i="19" s="1"/>
  <c r="R695" i="44" a="1"/>
  <c r="R695" i="44" s="1"/>
  <c r="Y5" i="29" s="1" a="1"/>
  <c r="Y5" i="29" s="1"/>
  <c r="U682" i="44" a="1"/>
  <c r="U682" i="44" s="1"/>
  <c r="L5" i="32" s="1" a="1"/>
  <c r="L5" i="32" s="1"/>
  <c r="G674" i="44" a="1"/>
  <c r="G674" i="44" s="1"/>
  <c r="D5" i="19" s="1" a="1"/>
  <c r="D5" i="19" s="1"/>
  <c r="U686" i="44" a="1"/>
  <c r="U686" i="44" s="1"/>
  <c r="P5" i="32" s="1" a="1"/>
  <c r="P5" i="32" s="1"/>
  <c r="H647" i="44" a="1"/>
  <c r="H647" i="44" s="1"/>
  <c r="Y3" i="16" s="1" a="1"/>
  <c r="Y3" i="16" s="1"/>
  <c r="H657" i="44" a="1"/>
  <c r="H657" i="44" s="1"/>
  <c r="K4" i="16" s="1" a="1"/>
  <c r="K4" i="16" s="1"/>
  <c r="N610" i="44" a="1"/>
  <c r="N610" i="44" s="1"/>
  <c r="L2" i="25" s="1" a="1"/>
  <c r="L2" i="25" s="1"/>
  <c r="S699" i="44"/>
  <c r="E7" i="30" s="1" a="1"/>
  <c r="E7" i="30" s="1"/>
  <c r="G646" i="44" a="1"/>
  <c r="G646" i="44" s="1"/>
  <c r="X3" i="19" s="1" a="1"/>
  <c r="X3" i="19" s="1"/>
  <c r="Q719" i="44"/>
  <c r="Y7" i="28" s="1" a="1"/>
  <c r="Y7" i="28" s="1"/>
  <c r="E736" i="44"/>
  <c r="R6" i="17" s="1" a="1"/>
  <c r="R6" i="17" s="1"/>
  <c r="S678" i="44" a="1"/>
  <c r="S678" i="44" s="1"/>
  <c r="H5" i="30" s="1" a="1"/>
  <c r="H5" i="30" s="1"/>
  <c r="U627" i="44" a="1"/>
  <c r="U627" i="44" s="1"/>
  <c r="E3" i="32" s="1" a="1"/>
  <c r="E3" i="32" s="1"/>
  <c r="U705" i="44"/>
  <c r="K7" i="32" s="1" a="1"/>
  <c r="K7" i="32" s="1"/>
  <c r="U649" i="44" a="1"/>
  <c r="U649" i="44" s="1"/>
  <c r="C4" i="32" s="1" a="1"/>
  <c r="C4" i="32" s="1"/>
  <c r="R701" i="44"/>
  <c r="G7" i="29" s="1" a="1"/>
  <c r="G7" i="29" s="1"/>
  <c r="E607" i="44" a="1"/>
  <c r="E607" i="44" s="1"/>
  <c r="I2" i="17" s="1" a="1"/>
  <c r="I2" i="17" s="1"/>
  <c r="H619" i="44" a="1"/>
  <c r="H619" i="44" s="1"/>
  <c r="U2" i="16" s="1" a="1"/>
  <c r="U2" i="16" s="1"/>
  <c r="N675" i="44" a="1"/>
  <c r="N675" i="44" s="1"/>
  <c r="E5" i="25" s="1" a="1"/>
  <c r="E5" i="25" s="1"/>
  <c r="U646" i="44" a="1"/>
  <c r="U646" i="44" s="1"/>
  <c r="X3" i="32" s="1" a="1"/>
  <c r="X3" i="32" s="1"/>
  <c r="P653" i="44" a="1"/>
  <c r="P653" i="44" s="1"/>
  <c r="G4" i="11" s="1" a="1"/>
  <c r="G4" i="11" s="1"/>
  <c r="N508" i="44"/>
  <c r="Q740" i="44"/>
  <c r="V6" i="28" s="1" a="1"/>
  <c r="V6" i="28" s="1"/>
  <c r="H733" i="44"/>
  <c r="O6" i="16" s="1" a="1"/>
  <c r="O6" i="16" s="1"/>
  <c r="N430" i="44"/>
  <c r="P680" i="44" a="1"/>
  <c r="P680" i="44" s="1"/>
  <c r="J5" i="11" s="1" a="1"/>
  <c r="J5" i="11" s="1"/>
  <c r="H687" i="44" a="1"/>
  <c r="H687" i="44" s="1"/>
  <c r="Q5" i="16" s="1" a="1"/>
  <c r="Q5" i="16" s="1"/>
  <c r="Q709" i="44"/>
  <c r="O7" i="28" s="1" a="1"/>
  <c r="O7" i="28" s="1"/>
  <c r="S675" i="44" a="1"/>
  <c r="S675" i="44" s="1"/>
  <c r="E5" i="30" s="1" a="1"/>
  <c r="E5" i="30" s="1"/>
  <c r="G629" i="44" a="1"/>
  <c r="G629" i="44" s="1"/>
  <c r="G3" i="19" s="1" a="1"/>
  <c r="G3" i="19" s="1"/>
  <c r="R728" i="44"/>
  <c r="J6" i="29" s="1" a="1"/>
  <c r="J6" i="29" s="1"/>
  <c r="H727" i="44"/>
  <c r="I6" i="16" s="1" a="1"/>
  <c r="I6" i="16" s="1"/>
  <c r="R739" i="44"/>
  <c r="U6" i="29" s="1" a="1"/>
  <c r="U6" i="29" s="1"/>
  <c r="U694" i="44" a="1"/>
  <c r="U694" i="44" s="1"/>
  <c r="X5" i="32" s="1" a="1"/>
  <c r="X5" i="32" s="1"/>
  <c r="Q693" i="44" a="1"/>
  <c r="Q693" i="44" s="1"/>
  <c r="W5" i="28" s="1" a="1"/>
  <c r="W5" i="28" s="1"/>
  <c r="H729" i="44"/>
  <c r="K6" i="16" s="1" a="1"/>
  <c r="K6" i="16" s="1"/>
  <c r="Q684" i="44" a="1"/>
  <c r="Q684" i="44" s="1"/>
  <c r="N5" i="28" s="1" a="1"/>
  <c r="N5" i="28" s="1"/>
  <c r="Q676" i="44" a="1"/>
  <c r="Q676" i="44" s="1"/>
  <c r="F5" i="28" s="1" a="1"/>
  <c r="F5" i="28" s="1"/>
  <c r="P617" i="44" a="1"/>
  <c r="P617" i="44" s="1"/>
  <c r="S2" i="11" s="1" a="1"/>
  <c r="S2" i="11" s="1"/>
  <c r="U665" i="44" a="1"/>
  <c r="U665" i="44" s="1"/>
  <c r="S4" i="32" s="1" a="1"/>
  <c r="S4" i="32" s="1"/>
  <c r="Q697" i="44"/>
  <c r="C7" i="28" s="1" a="1"/>
  <c r="C7" i="28" s="1"/>
  <c r="R710" i="44"/>
  <c r="P7" i="29" s="1" a="1"/>
  <c r="P7" i="29" s="1"/>
  <c r="P700" i="44"/>
  <c r="F7" i="11" s="1" a="1"/>
  <c r="F7" i="11" s="1"/>
  <c r="R708" i="44"/>
  <c r="N7" i="29" s="1" a="1"/>
  <c r="N7" i="29" s="1"/>
  <c r="H658" i="44" a="1"/>
  <c r="H658" i="44" s="1"/>
  <c r="L4" i="16" s="1" a="1"/>
  <c r="L4" i="16" s="1"/>
  <c r="G609" i="44" a="1"/>
  <c r="G609" i="44" s="1"/>
  <c r="K2" i="19" s="1" a="1"/>
  <c r="K2" i="19" s="1"/>
  <c r="U736" i="44"/>
  <c r="R6" i="32" s="1" a="1"/>
  <c r="R6" i="32" s="1"/>
  <c r="S722" i="44"/>
  <c r="D6" i="30" s="1" a="1"/>
  <c r="D6" i="30" s="1"/>
  <c r="G636" i="44" a="1"/>
  <c r="G636" i="44" s="1"/>
  <c r="N3" i="19" s="1" a="1"/>
  <c r="N3" i="19" s="1"/>
  <c r="P707" i="44"/>
  <c r="M7" i="11" s="1" a="1"/>
  <c r="M7" i="11" s="1"/>
  <c r="S701" i="44"/>
  <c r="G7" i="30" s="1" a="1"/>
  <c r="G7" i="30" s="1"/>
  <c r="G604" i="44" a="1"/>
  <c r="G604" i="44" s="1"/>
  <c r="F2" i="19" s="1" a="1"/>
  <c r="F2" i="19" s="1"/>
  <c r="H723" i="44"/>
  <c r="E6" i="16" s="1" a="1"/>
  <c r="E6" i="16" s="1"/>
  <c r="V625" i="44" a="1"/>
  <c r="V625" i="44" s="1"/>
  <c r="C3" i="10" s="1" a="1"/>
  <c r="C3" i="10" s="1"/>
  <c r="H663" i="44" a="1"/>
  <c r="H663" i="44" s="1"/>
  <c r="Q4" i="16" s="1" a="1"/>
  <c r="Q4" i="16" s="1"/>
  <c r="S720" i="44"/>
  <c r="B6" i="30" s="1" a="1"/>
  <c r="B6" i="30" s="1"/>
  <c r="G728" i="44"/>
  <c r="J6" i="19" s="1" a="1"/>
  <c r="J6" i="19" s="1"/>
  <c r="G655" i="44" a="1"/>
  <c r="G655" i="44" s="1"/>
  <c r="I4" i="19" s="1" a="1"/>
  <c r="I4" i="19" s="1"/>
  <c r="R684" i="44" a="1"/>
  <c r="R684" i="44" s="1"/>
  <c r="N5" i="29" s="1" a="1"/>
  <c r="N5" i="29" s="1"/>
  <c r="G695" i="44" a="1"/>
  <c r="G695" i="44" s="1"/>
  <c r="Y5" i="19" s="1" a="1"/>
  <c r="Y5" i="19" s="1"/>
  <c r="S629" i="44" a="1"/>
  <c r="S629" i="44" s="1"/>
  <c r="G3" i="30" s="1" a="1"/>
  <c r="G3" i="30" s="1"/>
  <c r="U611" i="44" a="1"/>
  <c r="U611" i="44" s="1"/>
  <c r="M2" i="32" s="1" a="1"/>
  <c r="M2" i="32" s="1"/>
  <c r="T691" i="44" a="1"/>
  <c r="T691" i="44" s="1"/>
  <c r="U5" i="31" s="1" a="1"/>
  <c r="U5" i="31" s="1"/>
  <c r="R670" i="44" a="1"/>
  <c r="R670" i="44" s="1"/>
  <c r="X4" i="29" s="1" a="1"/>
  <c r="X4" i="29" s="1"/>
  <c r="H743" i="44"/>
  <c r="Y6" i="16" s="1" a="1"/>
  <c r="Y6" i="16" s="1"/>
  <c r="H699" i="44"/>
  <c r="E7" i="16" s="1" a="1"/>
  <c r="E7" i="16" s="1"/>
  <c r="U698" i="44"/>
  <c r="D7" i="32" s="1" a="1"/>
  <c r="D7" i="32" s="1"/>
  <c r="P666" i="44" a="1"/>
  <c r="P666" i="44" s="1"/>
  <c r="T4" i="11" s="1" a="1"/>
  <c r="T4" i="11" s="1"/>
  <c r="K676" i="44" a="1"/>
  <c r="K676" i="44" s="1"/>
  <c r="F5" i="22" s="1" a="1"/>
  <c r="F5" i="22" s="1"/>
  <c r="V701" i="44"/>
  <c r="G7" i="10" s="1" a="1"/>
  <c r="G7" i="10" s="1"/>
  <c r="V634" i="44" a="1"/>
  <c r="V634" i="44" s="1"/>
  <c r="L3" i="10" s="1" a="1"/>
  <c r="L3" i="10" s="1"/>
  <c r="V691" i="44" a="1"/>
  <c r="V691" i="44" s="1"/>
  <c r="U5" i="10" s="1" a="1"/>
  <c r="U5" i="10" s="1"/>
  <c r="K652" i="44" a="1"/>
  <c r="K652" i="44" s="1"/>
  <c r="F4" i="22" s="1" a="1"/>
  <c r="F4" i="22" s="1"/>
  <c r="T702" i="44"/>
  <c r="H7" i="31" s="1" a="1"/>
  <c r="H7" i="31" s="1"/>
  <c r="T604" i="44" a="1"/>
  <c r="T604" i="44" s="1"/>
  <c r="F2" i="31" s="1" a="1"/>
  <c r="F2" i="31" s="1"/>
  <c r="T699" i="44"/>
  <c r="E7" i="31" s="1" a="1"/>
  <c r="E7" i="31" s="1"/>
  <c r="U629" i="44" a="1"/>
  <c r="U629" i="44" s="1"/>
  <c r="G3" i="32" s="1" a="1"/>
  <c r="G3" i="32" s="1"/>
  <c r="N688" i="44" a="1"/>
  <c r="N688" i="44" s="1"/>
  <c r="R5" i="25" s="1" a="1"/>
  <c r="R5" i="25" s="1"/>
  <c r="K686" i="44" a="1"/>
  <c r="K686" i="44" s="1"/>
  <c r="P5" i="22" s="1" a="1"/>
  <c r="P5" i="22" s="1"/>
  <c r="K605" i="44" a="1"/>
  <c r="K605" i="44" s="1"/>
  <c r="G2" i="22" s="1" a="1"/>
  <c r="G2" i="22" s="1"/>
  <c r="K694" i="44" a="1"/>
  <c r="K694" i="44" s="1"/>
  <c r="X5" i="22" s="1" a="1"/>
  <c r="X5" i="22" s="1"/>
  <c r="V680" i="44" a="1"/>
  <c r="V680" i="44" s="1"/>
  <c r="J5" i="10" s="1" a="1"/>
  <c r="J5" i="10" s="1"/>
  <c r="G718" i="44"/>
  <c r="X7" i="19" s="1" a="1"/>
  <c r="X7" i="19" s="1"/>
  <c r="N653" i="44" a="1"/>
  <c r="N653" i="44" s="1"/>
  <c r="G4" i="25" s="1" a="1"/>
  <c r="G4" i="25" s="1"/>
  <c r="E627" i="44" a="1"/>
  <c r="E627" i="44" s="1"/>
  <c r="E3" i="17" s="1" a="1"/>
  <c r="E3" i="17" s="1"/>
  <c r="T698" i="44"/>
  <c r="D7" i="31" s="1" a="1"/>
  <c r="D7" i="31" s="1"/>
  <c r="G701" i="44"/>
  <c r="G7" i="19" s="1" a="1"/>
  <c r="G7" i="19" s="1"/>
  <c r="G633" i="44" a="1"/>
  <c r="G633" i="44" s="1"/>
  <c r="K3" i="19" s="1" a="1"/>
  <c r="K3" i="19" s="1"/>
  <c r="Q724" i="44"/>
  <c r="F6" i="28" s="1" a="1"/>
  <c r="F6" i="28" s="1"/>
  <c r="V685" i="44" a="1"/>
  <c r="V685" i="44" s="1"/>
  <c r="O5" i="10" s="1" a="1"/>
  <c r="O5" i="10" s="1"/>
  <c r="H603" i="44" a="1"/>
  <c r="H603" i="44" s="1"/>
  <c r="E2" i="16" s="1" a="1"/>
  <c r="E2" i="16" s="1"/>
  <c r="K647" i="44" a="1"/>
  <c r="K647" i="44" s="1"/>
  <c r="Y3" i="22" s="1" a="1"/>
  <c r="Y3" i="22" s="1"/>
  <c r="E742" i="44"/>
  <c r="X6" i="17" s="1" a="1"/>
  <c r="X6" i="17" s="1"/>
  <c r="V681" i="44" a="1"/>
  <c r="V681" i="44" s="1"/>
  <c r="K5" i="10" s="1" a="1"/>
  <c r="K5" i="10" s="1"/>
  <c r="Q720" i="44"/>
  <c r="B6" i="28" s="1" a="1"/>
  <c r="B6" i="28" s="1"/>
  <c r="G688" i="44" a="1"/>
  <c r="G688" i="44" s="1"/>
  <c r="R5" i="19" s="1" a="1"/>
  <c r="R5" i="19" s="1"/>
  <c r="H678" i="44" a="1"/>
  <c r="H678" i="44" s="1"/>
  <c r="H5" i="16" s="1" a="1"/>
  <c r="H5" i="16" s="1"/>
  <c r="Q712" i="44"/>
  <c r="R7" i="28" s="1" a="1"/>
  <c r="R7" i="28" s="1"/>
  <c r="N718" i="44"/>
  <c r="X7" i="25" s="1" a="1"/>
  <c r="X7" i="25" s="1"/>
  <c r="R647" i="44" a="1"/>
  <c r="R647" i="44" s="1"/>
  <c r="Y3" i="29" s="1" a="1"/>
  <c r="Y3" i="29" s="1"/>
  <c r="E714" i="44"/>
  <c r="T7" i="17" s="1" a="1"/>
  <c r="T7" i="17" s="1"/>
  <c r="S618" i="44" a="1"/>
  <c r="S618" i="44" s="1"/>
  <c r="T2" i="30" s="1" a="1"/>
  <c r="T2" i="30" s="1"/>
  <c r="G651" i="44" a="1"/>
  <c r="G651" i="44" s="1"/>
  <c r="E4" i="19" s="1" a="1"/>
  <c r="E4" i="19" s="1"/>
  <c r="N494" i="44"/>
  <c r="V709" i="44"/>
  <c r="O7" i="10" s="1" a="1"/>
  <c r="O7" i="10" s="1"/>
  <c r="N514" i="44"/>
  <c r="N418" i="44"/>
  <c r="N701" i="44"/>
  <c r="G7" i="25" s="1" a="1"/>
  <c r="G7" i="25" s="1"/>
  <c r="E741" i="44"/>
  <c r="W6" i="17" s="1" a="1"/>
  <c r="W6" i="17" s="1"/>
  <c r="H671" i="44" a="1"/>
  <c r="H671" i="44" s="1"/>
  <c r="Y4" i="16" s="1" a="1"/>
  <c r="Y4" i="16" s="1"/>
  <c r="U658" i="44" a="1"/>
  <c r="U658" i="44" s="1"/>
  <c r="L4" i="32" s="1" a="1"/>
  <c r="L4" i="32" s="1"/>
  <c r="N729" i="44"/>
  <c r="K6" i="25" s="1" a="1"/>
  <c r="K6" i="25" s="1"/>
  <c r="H677" i="44" a="1"/>
  <c r="H677" i="44" s="1"/>
  <c r="G5" i="16" s="1" a="1"/>
  <c r="G5" i="16" s="1"/>
  <c r="T622" i="44" a="1"/>
  <c r="T622" i="44" s="1"/>
  <c r="X2" i="31" s="1" a="1"/>
  <c r="X2" i="31" s="1"/>
  <c r="H613" i="44" a="1"/>
  <c r="H613" i="44" s="1"/>
  <c r="O2" i="16" s="1" a="1"/>
  <c r="O2" i="16" s="1"/>
  <c r="V621" i="44" a="1"/>
  <c r="V621" i="44" s="1"/>
  <c r="W2" i="10" s="1" a="1"/>
  <c r="W2" i="10" s="1"/>
  <c r="K627" i="44" a="1"/>
  <c r="K627" i="44" s="1"/>
  <c r="E3" i="22" s="1" a="1"/>
  <c r="E3" i="22" s="1"/>
  <c r="T707" i="44"/>
  <c r="M7" i="31" s="1" a="1"/>
  <c r="M7" i="31" s="1"/>
  <c r="T617" i="44" a="1"/>
  <c r="T617" i="44" s="1"/>
  <c r="S2" i="31" s="1" a="1"/>
  <c r="S2" i="31" s="1"/>
  <c r="T605" i="44" a="1"/>
  <c r="T605" i="44" s="1"/>
  <c r="G2" i="31" s="1" a="1"/>
  <c r="G2" i="31" s="1"/>
  <c r="G628" i="44" a="1"/>
  <c r="G628" i="44" s="1"/>
  <c r="F3" i="19" s="1" a="1"/>
  <c r="F3" i="19" s="1"/>
  <c r="N473" i="44"/>
  <c r="N588" i="44"/>
  <c r="N447" i="44"/>
  <c r="N498" i="44"/>
  <c r="U721" i="44"/>
  <c r="C6" i="32" s="1" a="1"/>
  <c r="C6" i="32" s="1"/>
  <c r="N408" i="44"/>
  <c r="N460" i="44"/>
  <c r="N474" i="44"/>
  <c r="N546" i="44"/>
  <c r="N589" i="44"/>
  <c r="P644" i="44" a="1"/>
  <c r="P644" i="44" s="1"/>
  <c r="V3" i="11" s="1" a="1"/>
  <c r="V3" i="11" s="1"/>
  <c r="T693" i="44" a="1"/>
  <c r="T693" i="44" s="1"/>
  <c r="W5" i="31" s="1" a="1"/>
  <c r="W5" i="31" s="1"/>
  <c r="K707" i="44"/>
  <c r="M7" i="22" s="1" a="1"/>
  <c r="M7" i="22" s="1"/>
  <c r="G683" i="44" a="1"/>
  <c r="G683" i="44" s="1"/>
  <c r="M5" i="19" s="1" a="1"/>
  <c r="M5" i="19" s="1"/>
  <c r="U710" i="44"/>
  <c r="P7" i="32" s="1" a="1"/>
  <c r="P7" i="32" s="1"/>
  <c r="H631" i="44" a="1"/>
  <c r="H631" i="44" s="1"/>
  <c r="I3" i="16" s="1" a="1"/>
  <c r="I3" i="16" s="1"/>
  <c r="N689" i="44" a="1"/>
  <c r="N689" i="44" s="1"/>
  <c r="S5" i="25" s="1" a="1"/>
  <c r="S5" i="25" s="1"/>
  <c r="U609" i="44" a="1"/>
  <c r="U609" i="44" s="1"/>
  <c r="K2" i="32" s="1" a="1"/>
  <c r="K2" i="32" s="1"/>
  <c r="N506" i="44"/>
  <c r="N444" i="44"/>
  <c r="N573" i="44"/>
  <c r="N440" i="44"/>
  <c r="N586" i="44"/>
  <c r="E652" i="44" a="1"/>
  <c r="E652" i="44" s="1"/>
  <c r="F4" i="17" s="1" a="1"/>
  <c r="F4" i="17" s="1"/>
  <c r="G672" i="44" a="1"/>
  <c r="G672" i="44" s="1"/>
  <c r="B5" i="19" s="1" a="1"/>
  <c r="B5" i="19" s="1"/>
  <c r="U683" i="44" a="1"/>
  <c r="U683" i="44" s="1"/>
  <c r="M5" i="32" s="1" a="1"/>
  <c r="M5" i="32" s="1"/>
  <c r="U724" i="44"/>
  <c r="F6" i="32" s="1" a="1"/>
  <c r="F6" i="32" s="1"/>
  <c r="N424" i="44"/>
  <c r="N542" i="44"/>
  <c r="N511" i="44"/>
  <c r="N538" i="44"/>
  <c r="N488" i="44"/>
  <c r="P734" i="44"/>
  <c r="P6" i="11" s="1" a="1"/>
  <c r="P6" i="11" s="1"/>
  <c r="N592" i="44"/>
  <c r="N520" i="44"/>
  <c r="N497" i="44"/>
  <c r="N530" i="44"/>
  <c r="N581" i="44"/>
  <c r="S603" i="44" a="1"/>
  <c r="S603" i="44" s="1"/>
  <c r="E2" i="30" s="1" a="1"/>
  <c r="E2" i="30" s="1"/>
  <c r="H611" i="44" a="1"/>
  <c r="H611" i="44" s="1"/>
  <c r="M2" i="16" s="1" a="1"/>
  <c r="M2" i="16" s="1"/>
  <c r="N736" i="44"/>
  <c r="R6" i="25" s="1" a="1"/>
  <c r="R6" i="25" s="1"/>
  <c r="U734" i="44"/>
  <c r="P6" i="32" s="1" a="1"/>
  <c r="P6" i="32" s="1"/>
  <c r="G694" i="44" a="1"/>
  <c r="G694" i="44" s="1"/>
  <c r="X5" i="19" s="1" a="1"/>
  <c r="X5" i="19" s="1"/>
  <c r="T640" i="44" a="1"/>
  <c r="T640" i="44" s="1"/>
  <c r="R3" i="31" s="1" a="1"/>
  <c r="R3" i="31" s="1"/>
  <c r="H705" i="44"/>
  <c r="K7" i="16" s="1" a="1"/>
  <c r="K7" i="16" s="1"/>
  <c r="U718" i="44"/>
  <c r="X7" i="32" s="1" a="1"/>
  <c r="X7" i="32" s="1"/>
  <c r="U651" i="44" a="1"/>
  <c r="U651" i="44" s="1"/>
  <c r="E4" i="32" s="1" a="1"/>
  <c r="E4" i="32" s="1"/>
  <c r="G735" i="44"/>
  <c r="Q6" i="19" s="1" a="1"/>
  <c r="Q6" i="19" s="1"/>
  <c r="N452" i="44"/>
  <c r="R663" i="44" a="1"/>
  <c r="R663" i="44" s="1"/>
  <c r="Q4" i="29" s="1" a="1"/>
  <c r="Q4" i="29" s="1"/>
  <c r="N461" i="44"/>
  <c r="N489" i="44"/>
  <c r="N442" i="44"/>
  <c r="N593" i="44"/>
  <c r="V700" i="44"/>
  <c r="F7" i="10" s="1" a="1"/>
  <c r="F7" i="10" s="1"/>
  <c r="P604" i="44" a="1"/>
  <c r="P604" i="44" s="1"/>
  <c r="F2" i="11" s="1" a="1"/>
  <c r="F2" i="11" s="1"/>
  <c r="E686" i="44" a="1"/>
  <c r="E686" i="44" s="1"/>
  <c r="P5" i="17" s="1" a="1"/>
  <c r="P5" i="17" s="1"/>
  <c r="V673" i="44" a="1"/>
  <c r="V673" i="44" s="1"/>
  <c r="C5" i="10" s="1" a="1"/>
  <c r="C5" i="10" s="1"/>
  <c r="N543" i="44"/>
  <c r="N412" i="44"/>
  <c r="N441" i="44"/>
  <c r="N533" i="44"/>
  <c r="N582" i="44"/>
  <c r="X592" i="44"/>
  <c r="Q675" i="44" a="1"/>
  <c r="Q675" i="44" s="1"/>
  <c r="E5" i="28" s="1" a="1"/>
  <c r="E5" i="28" s="1"/>
  <c r="S704" i="44"/>
  <c r="J7" i="30" s="1" a="1"/>
  <c r="J7" i="30" s="1"/>
  <c r="Q620" i="44" a="1"/>
  <c r="Q620" i="44" s="1"/>
  <c r="V2" i="28" s="1" a="1"/>
  <c r="V2" i="28" s="1"/>
  <c r="R737" i="44"/>
  <c r="S6" i="29" s="1" a="1"/>
  <c r="S6" i="29" s="1"/>
  <c r="H600" i="44" a="1"/>
  <c r="H600" i="44" s="1"/>
  <c r="B2" i="16" s="1" a="1"/>
  <c r="B2" i="16" s="1"/>
  <c r="G659" i="44" a="1"/>
  <c r="G659" i="44" s="1"/>
  <c r="M4" i="19" s="1" a="1"/>
  <c r="M4" i="19" s="1"/>
  <c r="N428" i="44"/>
  <c r="N426" i="44"/>
  <c r="M623" i="44" s="1" a="1"/>
  <c r="M623" i="44" s="1"/>
  <c r="Y2" i="24" s="1" a="1"/>
  <c r="Y2" i="24" s="1"/>
  <c r="N503" i="44"/>
  <c r="N524" i="44"/>
  <c r="N485" i="44"/>
  <c r="Q643" i="44" a="1"/>
  <c r="Q643" i="44" s="1"/>
  <c r="U3" i="28" s="1" a="1"/>
  <c r="U3" i="28" s="1"/>
  <c r="G630" i="44" a="1"/>
  <c r="G630" i="44" s="1"/>
  <c r="H3" i="19" s="1" a="1"/>
  <c r="H3" i="19" s="1"/>
  <c r="G684" i="44" a="1"/>
  <c r="G684" i="44" s="1"/>
  <c r="N5" i="19" s="1" a="1"/>
  <c r="N5" i="19" s="1"/>
  <c r="N475" i="44"/>
  <c r="N414" i="44"/>
  <c r="N591" i="44"/>
  <c r="N432" i="44"/>
  <c r="N576" i="44"/>
  <c r="N526" i="44"/>
  <c r="N458" i="44"/>
  <c r="N535" i="44"/>
  <c r="N532" i="44"/>
  <c r="N495" i="44"/>
  <c r="N449" i="44"/>
  <c r="N404" i="44"/>
  <c r="N517" i="44"/>
  <c r="N523" i="44"/>
  <c r="N577" i="44"/>
  <c r="E605" i="44" a="1"/>
  <c r="E605" i="44" s="1"/>
  <c r="G2" i="17" s="1" a="1"/>
  <c r="G2" i="17" s="1"/>
  <c r="V696" i="44"/>
  <c r="B7" i="10" s="1" a="1"/>
  <c r="B7" i="10" s="1"/>
  <c r="T615" i="44" a="1"/>
  <c r="T615" i="44" s="1"/>
  <c r="Q2" i="31" s="1" a="1"/>
  <c r="Q2" i="31" s="1"/>
  <c r="T677" i="44" a="1"/>
  <c r="T677" i="44" s="1"/>
  <c r="G5" i="31" s="1" a="1"/>
  <c r="G5" i="31" s="1"/>
  <c r="S628" i="44" a="1"/>
  <c r="S628" i="44" s="1"/>
  <c r="F3" i="30" s="1" a="1"/>
  <c r="F3" i="30" s="1"/>
  <c r="N626" i="44" a="1"/>
  <c r="N626" i="44" s="1"/>
  <c r="D3" i="25" s="1" a="1"/>
  <c r="D3" i="25" s="1"/>
  <c r="N697" i="44"/>
  <c r="C7" i="25" s="1" a="1"/>
  <c r="C7" i="25" s="1"/>
  <c r="H636" i="44" a="1"/>
  <c r="H636" i="44" s="1"/>
  <c r="N3" i="16" s="1" a="1"/>
  <c r="N3" i="16" s="1"/>
  <c r="K690" i="44" a="1"/>
  <c r="K690" i="44" s="1"/>
  <c r="T5" i="22" s="1" a="1"/>
  <c r="T5" i="22" s="1"/>
  <c r="N727" i="44"/>
  <c r="I6" i="25" s="1" a="1"/>
  <c r="I6" i="25" s="1"/>
  <c r="N652" i="44" a="1"/>
  <c r="N652" i="44" s="1"/>
  <c r="F4" i="25" s="1" a="1"/>
  <c r="F4" i="25" s="1"/>
  <c r="H674" i="44" a="1"/>
  <c r="H674" i="44" s="1"/>
  <c r="D5" i="16" s="1" a="1"/>
  <c r="D5" i="16" s="1"/>
  <c r="U638" i="44" a="1"/>
  <c r="U638" i="44" s="1"/>
  <c r="P3" i="32" s="1" a="1"/>
  <c r="P3" i="32" s="1"/>
  <c r="R655" i="44" a="1"/>
  <c r="R655" i="44" s="1"/>
  <c r="I4" i="29" s="1" a="1"/>
  <c r="I4" i="29" s="1"/>
  <c r="G691" i="44" a="1"/>
  <c r="G691" i="44" s="1"/>
  <c r="U5" i="19" s="1" a="1"/>
  <c r="U5" i="19" s="1"/>
  <c r="H702" i="44"/>
  <c r="H7" i="16" s="1" a="1"/>
  <c r="H7" i="16" s="1"/>
  <c r="R681" i="44" a="1"/>
  <c r="R681" i="44" s="1"/>
  <c r="K5" i="29" s="1" a="1"/>
  <c r="K5" i="29" s="1"/>
  <c r="Q657" i="44" a="1"/>
  <c r="Q657" i="44" s="1"/>
  <c r="K4" i="28" s="1" a="1"/>
  <c r="K4" i="28" s="1"/>
  <c r="U701" i="44"/>
  <c r="G7" i="32" s="1" a="1"/>
  <c r="G7" i="32" s="1"/>
  <c r="U672" i="44" a="1"/>
  <c r="U672" i="44" s="1"/>
  <c r="B5" i="32" s="1" a="1"/>
  <c r="B5" i="32" s="1"/>
  <c r="H690" i="44" a="1"/>
  <c r="H690" i="44" s="1"/>
  <c r="T5" i="16" s="1" a="1"/>
  <c r="T5" i="16" s="1"/>
  <c r="N421" i="44"/>
  <c r="N483" i="44"/>
  <c r="N585" i="44"/>
  <c r="N467" i="44"/>
  <c r="V706" i="44"/>
  <c r="L7" i="10" s="1" a="1"/>
  <c r="L7" i="10" s="1"/>
  <c r="N501" i="44"/>
  <c r="N558" i="44"/>
  <c r="N550" i="44"/>
  <c r="N564" i="44"/>
  <c r="V684" i="44" a="1"/>
  <c r="V684" i="44" s="1"/>
  <c r="N5" i="10" s="1" a="1"/>
  <c r="N5" i="10" s="1"/>
  <c r="Q727" i="44"/>
  <c r="I6" i="28" s="1" a="1"/>
  <c r="I6" i="28" s="1"/>
  <c r="S600" i="44" a="1"/>
  <c r="S600" i="44" s="1"/>
  <c r="B2" i="30" s="1" a="1"/>
  <c r="B2" i="30" s="1"/>
  <c r="R614" i="44" a="1"/>
  <c r="R614" i="44" s="1"/>
  <c r="P2" i="29" s="1" a="1"/>
  <c r="P2" i="29" s="1"/>
  <c r="N436" i="44"/>
  <c r="N427" i="44"/>
  <c r="N438" i="44"/>
  <c r="N570" i="44"/>
  <c r="U708" i="44"/>
  <c r="N7" i="32" s="1" a="1"/>
  <c r="N7" i="32" s="1"/>
  <c r="H628" i="44" a="1"/>
  <c r="H628" i="44" s="1"/>
  <c r="F3" i="16" s="1" a="1"/>
  <c r="F3" i="16" s="1"/>
  <c r="Q688" i="44" a="1"/>
  <c r="Q688" i="44" s="1"/>
  <c r="R5" i="28" s="1" a="1"/>
  <c r="R5" i="28" s="1"/>
  <c r="Q687" i="44" a="1"/>
  <c r="Q687" i="44" s="1"/>
  <c r="Q5" i="28" s="1" a="1"/>
  <c r="Q5" i="28" s="1"/>
  <c r="N518" i="44"/>
  <c r="N481" i="44"/>
  <c r="N519" i="44"/>
  <c r="N556" i="44"/>
  <c r="N500" i="44"/>
  <c r="V718" i="44"/>
  <c r="X7" i="10" s="1" a="1"/>
  <c r="X7" i="10" s="1"/>
  <c r="Q606" i="44" a="1"/>
  <c r="Q606" i="44" s="1"/>
  <c r="H2" i="28" s="1" a="1"/>
  <c r="H2" i="28" s="1"/>
  <c r="S654" i="44" a="1"/>
  <c r="S654" i="44" s="1"/>
  <c r="H4" i="30" s="1" a="1"/>
  <c r="H4" i="30" s="1"/>
  <c r="N534" i="44"/>
  <c r="N470" i="44"/>
  <c r="N544" i="44"/>
  <c r="N456" i="44"/>
  <c r="Q698" i="44"/>
  <c r="D7" i="28" s="1" a="1"/>
  <c r="D7" i="28" s="1"/>
  <c r="E683" i="44" a="1"/>
  <c r="E683" i="44" s="1"/>
  <c r="M5" i="17" s="1" a="1"/>
  <c r="M5" i="17" s="1"/>
  <c r="N407" i="44"/>
  <c r="N505" i="44"/>
  <c r="N528" i="44"/>
  <c r="N557" i="44"/>
  <c r="E636" i="44" a="1"/>
  <c r="E636" i="44" s="1"/>
  <c r="N3" i="17" s="1" a="1"/>
  <c r="N3" i="17" s="1"/>
  <c r="K641" i="44" a="1"/>
  <c r="K641" i="44" s="1"/>
  <c r="S3" i="22" s="1" a="1"/>
  <c r="S3" i="22" s="1"/>
  <c r="T708" i="44"/>
  <c r="N7" i="31" s="1" a="1"/>
  <c r="N7" i="31" s="1"/>
  <c r="G654" i="44" a="1"/>
  <c r="G654" i="44" s="1"/>
  <c r="H4" i="19" s="1" a="1"/>
  <c r="H4" i="19" s="1"/>
  <c r="R671" i="44" a="1"/>
  <c r="R671" i="44" s="1"/>
  <c r="Y4" i="29" s="1" a="1"/>
  <c r="Y4" i="29" s="1"/>
  <c r="V610" i="44" a="1"/>
  <c r="V610" i="44" s="1"/>
  <c r="L2" i="10" s="1" a="1"/>
  <c r="L2" i="10" s="1"/>
  <c r="Y511" i="44"/>
  <c r="H701" i="44"/>
  <c r="G7" i="16" s="1" a="1"/>
  <c r="G7" i="16" s="1"/>
  <c r="H604" i="44" a="1"/>
  <c r="H604" i="44" s="1"/>
  <c r="F2" i="16" s="1" a="1"/>
  <c r="F2" i="16" s="1"/>
  <c r="Y537" i="44"/>
  <c r="S714" i="44"/>
  <c r="T7" i="30" s="1" a="1"/>
  <c r="T7" i="30" s="1"/>
  <c r="S608" i="44" a="1"/>
  <c r="S608" i="44" s="1"/>
  <c r="J2" i="30" s="1" a="1"/>
  <c r="J2" i="30" s="1"/>
  <c r="Q666" i="44" a="1"/>
  <c r="Q666" i="44" s="1"/>
  <c r="T4" i="28" s="1" a="1"/>
  <c r="T4" i="28" s="1"/>
  <c r="R742" i="44"/>
  <c r="X6" i="29" s="1" a="1"/>
  <c r="X6" i="29" s="1"/>
  <c r="U626" i="44" a="1"/>
  <c r="U626" i="44" s="1"/>
  <c r="D3" i="32" s="1" a="1"/>
  <c r="D3" i="32" s="1"/>
  <c r="G742" i="44"/>
  <c r="X6" i="19" s="1" a="1"/>
  <c r="X6" i="19" s="1"/>
  <c r="G622" i="44" a="1"/>
  <c r="G622" i="44" s="1"/>
  <c r="X2" i="19" s="1" a="1"/>
  <c r="X2" i="19" s="1"/>
  <c r="N656" i="44" a="1"/>
  <c r="N656" i="44" s="1"/>
  <c r="J4" i="25" s="1" a="1"/>
  <c r="J4" i="25" s="1"/>
  <c r="E700" i="44"/>
  <c r="F7" i="17" s="1" a="1"/>
  <c r="F7" i="17" s="1"/>
  <c r="V629" i="44" a="1"/>
  <c r="V629" i="44" s="1"/>
  <c r="G3" i="10" s="1" a="1"/>
  <c r="G3" i="10" s="1"/>
  <c r="R627" i="44" a="1"/>
  <c r="R627" i="44" s="1"/>
  <c r="E3" i="29" s="1" a="1"/>
  <c r="E3" i="29" s="1"/>
  <c r="Q600" i="44" a="1"/>
  <c r="Q600" i="44" s="1"/>
  <c r="B2" i="28" s="1" a="1"/>
  <c r="B2" i="28" s="1"/>
  <c r="R741" i="44"/>
  <c r="W6" i="29" s="1" a="1"/>
  <c r="W6" i="29" s="1"/>
  <c r="G605" i="44" a="1"/>
  <c r="G605" i="44" s="1"/>
  <c r="G2" i="19" s="1" a="1"/>
  <c r="G2" i="19" s="1"/>
  <c r="R652" i="44" a="1"/>
  <c r="R652" i="44" s="1"/>
  <c r="F4" i="29" s="1" a="1"/>
  <c r="F4" i="29" s="1"/>
  <c r="N739" i="44"/>
  <c r="U6" i="25" s="1" a="1"/>
  <c r="U6" i="25" s="1"/>
  <c r="R726" i="44"/>
  <c r="H6" i="29" s="1" a="1"/>
  <c r="H6" i="29" s="1"/>
  <c r="G631" i="44" a="1"/>
  <c r="G631" i="44" s="1"/>
  <c r="I3" i="19" s="1" a="1"/>
  <c r="I3" i="19" s="1"/>
  <c r="H739" i="44"/>
  <c r="U6" i="16" s="1" a="1"/>
  <c r="U6" i="16" s="1"/>
  <c r="U633" i="44" a="1"/>
  <c r="U633" i="44" s="1"/>
  <c r="K3" i="32" s="1" a="1"/>
  <c r="K3" i="32" s="1"/>
  <c r="Q640" i="44" a="1"/>
  <c r="Q640" i="44" s="1"/>
  <c r="R3" i="28" s="1" a="1"/>
  <c r="R3" i="28" s="1"/>
  <c r="R645" i="44" a="1"/>
  <c r="R645" i="44" s="1"/>
  <c r="W3" i="29" s="1" a="1"/>
  <c r="W3" i="29" s="1"/>
  <c r="N621" i="44" a="1"/>
  <c r="N621" i="44" s="1"/>
  <c r="W2" i="25" s="1" a="1"/>
  <c r="W2" i="25" s="1"/>
  <c r="N639" i="44" a="1"/>
  <c r="N639" i="44" s="1"/>
  <c r="Q3" i="25" s="1" a="1"/>
  <c r="Q3" i="25" s="1"/>
  <c r="N645" i="44" a="1"/>
  <c r="N645" i="44" s="1"/>
  <c r="W3" i="25" s="1" a="1"/>
  <c r="W3" i="25" s="1"/>
  <c r="U699" i="44"/>
  <c r="E7" i="32" s="1" a="1"/>
  <c r="E7" i="32" s="1"/>
  <c r="H643" i="44" a="1"/>
  <c r="H643" i="44" s="1"/>
  <c r="U3" i="16" s="1" a="1"/>
  <c r="U3" i="16" s="1"/>
  <c r="H713" i="44"/>
  <c r="S7" i="16" s="1" a="1"/>
  <c r="S7" i="16" s="1"/>
  <c r="Q736" i="44"/>
  <c r="R6" i="28" s="1" a="1"/>
  <c r="R6" i="28" s="1"/>
  <c r="H732" i="44"/>
  <c r="N6" i="16" s="1" a="1"/>
  <c r="N6" i="16" s="1"/>
  <c r="R625" i="44" a="1"/>
  <c r="R625" i="44" s="1"/>
  <c r="C3" i="29" s="1" a="1"/>
  <c r="C3" i="29" s="1"/>
  <c r="N634" i="44" a="1"/>
  <c r="N634" i="44" s="1"/>
  <c r="L3" i="25" s="1" a="1"/>
  <c r="L3" i="25" s="1"/>
  <c r="T603" i="44" a="1"/>
  <c r="T603" i="44" s="1"/>
  <c r="E2" i="31" s="1" a="1"/>
  <c r="E2" i="31" s="1"/>
  <c r="P640" i="44" a="1"/>
  <c r="P640" i="44" s="1"/>
  <c r="R3" i="11" s="1" a="1"/>
  <c r="R3" i="11" s="1"/>
  <c r="S605" i="44" a="1"/>
  <c r="S605" i="44" s="1"/>
  <c r="G2" i="30" s="1" a="1"/>
  <c r="G2" i="30" s="1"/>
  <c r="S616" i="44" a="1"/>
  <c r="S616" i="44" s="1"/>
  <c r="R2" i="30" s="1" a="1"/>
  <c r="R2" i="30" s="1"/>
  <c r="Q616" i="44" a="1"/>
  <c r="Q616" i="44" s="1"/>
  <c r="R2" i="28" s="1" a="1"/>
  <c r="R2" i="28" s="1"/>
  <c r="U660" i="44" a="1"/>
  <c r="U660" i="44" s="1"/>
  <c r="N4" i="32" s="1" a="1"/>
  <c r="N4" i="32" s="1"/>
  <c r="H737" i="44"/>
  <c r="S6" i="16" s="1" a="1"/>
  <c r="S6" i="16" s="1"/>
  <c r="U659" i="44" a="1"/>
  <c r="U659" i="44" s="1"/>
  <c r="M4" i="32" s="1" a="1"/>
  <c r="M4" i="32" s="1"/>
  <c r="U669" i="44" a="1"/>
  <c r="U669" i="44" s="1"/>
  <c r="W4" i="32" s="1" a="1"/>
  <c r="W4" i="32" s="1"/>
  <c r="Q654" i="44" a="1"/>
  <c r="Q654" i="44" s="1"/>
  <c r="H4" i="28" s="1" a="1"/>
  <c r="H4" i="28" s="1"/>
  <c r="N611" i="44" a="1"/>
  <c r="N611" i="44" s="1"/>
  <c r="M2" i="25" s="1" a="1"/>
  <c r="M2" i="25" s="1"/>
  <c r="G648" i="44" a="1"/>
  <c r="G648" i="44" s="1"/>
  <c r="B4" i="19" s="1" a="1"/>
  <c r="B4" i="19" s="1"/>
  <c r="U743" i="44"/>
  <c r="Y6" i="32" s="1" a="1"/>
  <c r="Y6" i="32" s="1"/>
  <c r="H728" i="44"/>
  <c r="J6" i="16" s="1" a="1"/>
  <c r="J6" i="16" s="1"/>
  <c r="P709" i="44"/>
  <c r="O7" i="11" s="1" a="1"/>
  <c r="O7" i="11" s="1"/>
  <c r="P685" i="44" a="1"/>
  <c r="P685" i="44" s="1"/>
  <c r="O5" i="11" s="1" a="1"/>
  <c r="O5" i="11" s="1"/>
  <c r="K721" i="44"/>
  <c r="C6" i="22" s="1" a="1"/>
  <c r="C6" i="22" s="1"/>
  <c r="S609" i="44" a="1"/>
  <c r="S609" i="44" s="1"/>
  <c r="K2" i="30" s="1" a="1"/>
  <c r="K2" i="30" s="1"/>
  <c r="G726" i="44"/>
  <c r="H6" i="19" s="1" a="1"/>
  <c r="H6" i="19" s="1"/>
  <c r="S697" i="44"/>
  <c r="C7" i="30" s="1" a="1"/>
  <c r="C7" i="30" s="1"/>
  <c r="E681" i="44" a="1"/>
  <c r="E681" i="44" s="1"/>
  <c r="K5" i="17" s="1" a="1"/>
  <c r="K5" i="17" s="1"/>
  <c r="V654" i="44" a="1"/>
  <c r="V654" i="44" s="1"/>
  <c r="H4" i="10" s="1" a="1"/>
  <c r="H4" i="10" s="1"/>
  <c r="S686" i="44" a="1"/>
  <c r="S686" i="44" s="1"/>
  <c r="P5" i="30" s="1" a="1"/>
  <c r="P5" i="30" s="1"/>
  <c r="G721" i="44"/>
  <c r="C6" i="19" s="1" a="1"/>
  <c r="C6" i="19" s="1"/>
  <c r="N676" i="44" a="1"/>
  <c r="N676" i="44" s="1"/>
  <c r="F5" i="25" s="1" a="1"/>
  <c r="F5" i="25" s="1"/>
  <c r="N612" i="44" a="1"/>
  <c r="N612" i="44" s="1"/>
  <c r="N2" i="25" s="1" a="1"/>
  <c r="N2" i="25" s="1"/>
  <c r="P674" i="44" a="1"/>
  <c r="P674" i="44" s="1"/>
  <c r="D5" i="11" s="1" a="1"/>
  <c r="D5" i="11" s="1"/>
  <c r="V655" i="44" a="1"/>
  <c r="V655" i="44" s="1"/>
  <c r="I4" i="10" s="1" a="1"/>
  <c r="I4" i="10" s="1"/>
  <c r="Q656" i="44" a="1"/>
  <c r="Q656" i="44" s="1"/>
  <c r="J4" i="28" s="1" a="1"/>
  <c r="J4" i="28" s="1"/>
  <c r="V628" i="44" a="1"/>
  <c r="V628" i="44" s="1"/>
  <c r="F3" i="10" s="1" a="1"/>
  <c r="F3" i="10" s="1"/>
  <c r="V623" i="44" a="1"/>
  <c r="V623" i="44" s="1"/>
  <c r="Y2" i="10" s="1" a="1"/>
  <c r="Y2" i="10" s="1"/>
  <c r="V676" i="44" a="1"/>
  <c r="V676" i="44" s="1"/>
  <c r="F5" i="10" s="1" a="1"/>
  <c r="F5" i="10" s="1"/>
  <c r="N724" i="44"/>
  <c r="F6" i="25" s="1" a="1"/>
  <c r="F6" i="25" s="1"/>
  <c r="N704" i="44"/>
  <c r="J7" i="25" s="1" a="1"/>
  <c r="J7" i="25" s="1"/>
  <c r="H668" i="44" a="1"/>
  <c r="H668" i="44" s="1"/>
  <c r="V4" i="16" s="1" a="1"/>
  <c r="V4" i="16" s="1"/>
  <c r="Q647" i="44" a="1"/>
  <c r="Q647" i="44" s="1"/>
  <c r="Y3" i="28" s="1" a="1"/>
  <c r="Y3" i="28" s="1"/>
  <c r="K645" i="44" a="1"/>
  <c r="K645" i="44" s="1"/>
  <c r="W3" i="22" s="1" a="1"/>
  <c r="W3" i="22" s="1"/>
  <c r="V653" i="44" a="1"/>
  <c r="V653" i="44" s="1"/>
  <c r="G4" i="10" s="1" a="1"/>
  <c r="G4" i="10" s="1"/>
  <c r="K621" i="44" a="1"/>
  <c r="K621" i="44" s="1"/>
  <c r="W2" i="22" s="1" a="1"/>
  <c r="W2" i="22" s="1"/>
  <c r="T635" i="44" a="1"/>
  <c r="T635" i="44" s="1"/>
  <c r="M3" i="31" s="1" a="1"/>
  <c r="M3" i="31" s="1"/>
  <c r="T670" i="44" a="1"/>
  <c r="T670" i="44" s="1"/>
  <c r="X4" i="31" s="1" a="1"/>
  <c r="X4" i="31" s="1"/>
  <c r="K702" i="44"/>
  <c r="H7" i="22" s="1" a="1"/>
  <c r="H7" i="22" s="1"/>
  <c r="N670" i="44" a="1"/>
  <c r="N670" i="44" s="1"/>
  <c r="X4" i="25" s="1" a="1"/>
  <c r="X4" i="25" s="1"/>
  <c r="G720" i="44"/>
  <c r="B6" i="19" s="1" a="1"/>
  <c r="B6" i="19" s="1"/>
  <c r="S630" i="44" a="1"/>
  <c r="S630" i="44" s="1"/>
  <c r="H3" i="30" s="1" a="1"/>
  <c r="H3" i="30" s="1"/>
  <c r="Q695" i="44" a="1"/>
  <c r="Q695" i="44" s="1"/>
  <c r="Y5" i="28" s="1" a="1"/>
  <c r="Y5" i="28" s="1"/>
  <c r="P716" i="44"/>
  <c r="V7" i="11" s="1" a="1"/>
  <c r="V7" i="11" s="1"/>
  <c r="E713" i="44"/>
  <c r="S7" i="17" s="1" a="1"/>
  <c r="S7" i="17" s="1"/>
  <c r="T612" i="44" a="1"/>
  <c r="T612" i="44" s="1"/>
  <c r="N2" i="31" s="1" a="1"/>
  <c r="N2" i="31" s="1"/>
  <c r="V689" i="44" a="1"/>
  <c r="V689" i="44" s="1"/>
  <c r="S5" i="10" s="1" a="1"/>
  <c r="S5" i="10" s="1"/>
  <c r="T637" i="44" a="1"/>
  <c r="T637" i="44" s="1"/>
  <c r="O3" i="31" s="1" a="1"/>
  <c r="O3" i="31" s="1"/>
  <c r="T631" i="44" a="1"/>
  <c r="T631" i="44" s="1"/>
  <c r="I3" i="31" s="1" a="1"/>
  <c r="I3" i="31" s="1"/>
  <c r="U630" i="44" a="1"/>
  <c r="U630" i="44" s="1"/>
  <c r="H3" i="32" s="1" a="1"/>
  <c r="H3" i="32" s="1"/>
  <c r="N725" i="44"/>
  <c r="G6" i="25" s="1" a="1"/>
  <c r="G6" i="25" s="1"/>
  <c r="R624" i="44" a="1"/>
  <c r="R624" i="44" s="1"/>
  <c r="B3" i="29" s="1" a="1"/>
  <c r="B3" i="29" s="1"/>
  <c r="Q629" i="44" a="1"/>
  <c r="Q629" i="44" s="1"/>
  <c r="G3" i="28" s="1" a="1"/>
  <c r="G3" i="28" s="1"/>
  <c r="N622" i="44" a="1"/>
  <c r="N622" i="44" s="1"/>
  <c r="X2" i="25" s="1" a="1"/>
  <c r="X2" i="25" s="1"/>
  <c r="G600" i="44" a="1"/>
  <c r="G600" i="44" s="1"/>
  <c r="B2" i="19" s="1" a="1"/>
  <c r="B2" i="19" s="1"/>
  <c r="G656" i="44" a="1"/>
  <c r="G656" i="44" s="1"/>
  <c r="J4" i="19" s="1" a="1"/>
  <c r="J4" i="19" s="1"/>
  <c r="E743" i="44"/>
  <c r="Y6" i="17" s="1" a="1"/>
  <c r="Y6" i="17" s="1"/>
  <c r="T648" i="44" a="1"/>
  <c r="T648" i="44" s="1"/>
  <c r="B4" i="31" s="1" a="1"/>
  <c r="B4" i="31" s="1"/>
  <c r="T658" i="44" a="1"/>
  <c r="T658" i="44" s="1"/>
  <c r="L4" i="31" s="1" a="1"/>
  <c r="L4" i="31" s="1"/>
  <c r="P703" i="44"/>
  <c r="I7" i="11" s="1" a="1"/>
  <c r="I7" i="11" s="1"/>
  <c r="N735" i="44"/>
  <c r="Q6" i="25" s="1" a="1"/>
  <c r="Q6" i="25" s="1"/>
  <c r="T656" i="44" a="1"/>
  <c r="T656" i="44" s="1"/>
  <c r="J4" i="31" s="1" a="1"/>
  <c r="J4" i="31" s="1"/>
  <c r="H735" i="44"/>
  <c r="Q6" i="16" s="1" a="1"/>
  <c r="Q6" i="16" s="1"/>
  <c r="V671" i="44" a="1"/>
  <c r="V671" i="44" s="1"/>
  <c r="Y4" i="10" s="1" a="1"/>
  <c r="Y4" i="10" s="1"/>
  <c r="G668" i="44" a="1"/>
  <c r="G668" i="44" s="1"/>
  <c r="V4" i="19" s="1" a="1"/>
  <c r="V4" i="19" s="1"/>
  <c r="N719" i="44"/>
  <c r="Y7" i="25" s="1" a="1"/>
  <c r="Y7" i="25" s="1"/>
  <c r="Q678" i="44" a="1"/>
  <c r="Q678" i="44" s="1"/>
  <c r="H5" i="28" s="1" a="1"/>
  <c r="H5" i="28" s="1"/>
  <c r="U645" i="44" a="1"/>
  <c r="U645" i="44" s="1"/>
  <c r="W3" i="32" s="1" a="1"/>
  <c r="W3" i="32" s="1"/>
  <c r="H609" i="44" a="1"/>
  <c r="H609" i="44" s="1"/>
  <c r="K2" i="16" s="1" a="1"/>
  <c r="K2" i="16" s="1"/>
  <c r="K650" i="44" a="1"/>
  <c r="K650" i="44" s="1"/>
  <c r="D4" i="22" s="1" a="1"/>
  <c r="D4" i="22" s="1"/>
  <c r="K642" i="44" a="1"/>
  <c r="K642" i="44" s="1"/>
  <c r="T3" i="22" s="1" a="1"/>
  <c r="T3" i="22" s="1"/>
  <c r="N630" i="44" a="1"/>
  <c r="N630" i="44" s="1"/>
  <c r="H3" i="25" s="1" a="1"/>
  <c r="H3" i="25" s="1"/>
  <c r="Q728" i="44"/>
  <c r="J6" i="28" s="1" a="1"/>
  <c r="J6" i="28" s="1"/>
  <c r="U674" i="44" a="1"/>
  <c r="U674" i="44" s="1"/>
  <c r="D5" i="32" s="1" a="1"/>
  <c r="D5" i="32" s="1"/>
  <c r="U652" i="44" a="1"/>
  <c r="U652" i="44" s="1"/>
  <c r="F4" i="32" s="1" a="1"/>
  <c r="F4" i="32" s="1"/>
  <c r="S696" i="44"/>
  <c r="B7" i="30" s="1" a="1"/>
  <c r="B7" i="30" s="1"/>
  <c r="G703" i="44"/>
  <c r="I7" i="19" s="1" a="1"/>
  <c r="I7" i="19" s="1"/>
  <c r="N686" i="44" a="1"/>
  <c r="N686" i="44" s="1"/>
  <c r="P5" i="25" s="1" a="1"/>
  <c r="P5" i="25" s="1"/>
  <c r="Q686" i="44" a="1"/>
  <c r="Q686" i="44" s="1"/>
  <c r="P5" i="28" s="1" a="1"/>
  <c r="P5" i="28" s="1"/>
  <c r="N711" i="44"/>
  <c r="Q7" i="25" s="1" a="1"/>
  <c r="Q7" i="25" s="1"/>
  <c r="R707" i="44"/>
  <c r="M7" i="29" s="1" a="1"/>
  <c r="M7" i="29" s="1"/>
  <c r="H669" i="44" a="1"/>
  <c r="H669" i="44" s="1"/>
  <c r="W4" i="16" s="1" a="1"/>
  <c r="W4" i="16" s="1"/>
  <c r="H618" i="44" a="1"/>
  <c r="H618" i="44" s="1"/>
  <c r="T2" i="16" s="1" a="1"/>
  <c r="T2" i="16" s="1"/>
  <c r="G662" i="44" a="1"/>
  <c r="G662" i="44" s="1"/>
  <c r="P4" i="19" s="1" a="1"/>
  <c r="P4" i="19" s="1"/>
  <c r="R704" i="44"/>
  <c r="J7" i="29" s="1" a="1"/>
  <c r="J7" i="29" s="1"/>
  <c r="Q689" i="44" a="1"/>
  <c r="Q689" i="44" s="1"/>
  <c r="S5" i="28" s="1" a="1"/>
  <c r="S5" i="28" s="1"/>
  <c r="R696" i="44"/>
  <c r="B7" i="29" s="1" a="1"/>
  <c r="B7" i="29" s="1"/>
  <c r="Q665" i="44" a="1"/>
  <c r="Q665" i="44" s="1"/>
  <c r="S4" i="28" s="1" a="1"/>
  <c r="S4" i="28" s="1"/>
  <c r="R650" i="44" a="1"/>
  <c r="R650" i="44" s="1"/>
  <c r="D4" i="29" s="1" a="1"/>
  <c r="D4" i="29" s="1"/>
  <c r="N734" i="44"/>
  <c r="P6" i="25" s="1" a="1"/>
  <c r="P6" i="25" s="1"/>
  <c r="R693" i="44" a="1"/>
  <c r="R693" i="44" s="1"/>
  <c r="W5" i="29" s="1" a="1"/>
  <c r="W5" i="29" s="1"/>
  <c r="R706" i="44"/>
  <c r="L7" i="29" s="1" a="1"/>
  <c r="L7" i="29" s="1"/>
  <c r="H676" i="44" a="1"/>
  <c r="H676" i="44" s="1"/>
  <c r="F5" i="16" s="1" a="1"/>
  <c r="F5" i="16" s="1"/>
  <c r="R602" i="44" a="1"/>
  <c r="R602" i="44" s="1"/>
  <c r="D2" i="29" s="1" a="1"/>
  <c r="D2" i="29" s="1"/>
  <c r="Q714" i="44"/>
  <c r="T7" i="28" s="1" a="1"/>
  <c r="T7" i="28" s="1"/>
  <c r="K700" i="44"/>
  <c r="F7" i="22" s="1" a="1"/>
  <c r="F7" i="22" s="1"/>
  <c r="V682" i="44" a="1"/>
  <c r="V682" i="44" s="1"/>
  <c r="L5" i="10" s="1" a="1"/>
  <c r="L5" i="10" s="1"/>
  <c r="V707" i="44"/>
  <c r="M7" i="10" s="1" a="1"/>
  <c r="M7" i="10" s="1"/>
  <c r="T715" i="44"/>
  <c r="U7" i="31" s="1" a="1"/>
  <c r="U7" i="31" s="1"/>
  <c r="U737" i="44"/>
  <c r="S6" i="32" s="1" a="1"/>
  <c r="S6" i="32" s="1"/>
  <c r="S627" i="44" a="1"/>
  <c r="S627" i="44" s="1"/>
  <c r="E3" i="30" s="1" a="1"/>
  <c r="E3" i="30" s="1"/>
  <c r="R719" i="44"/>
  <c r="Y7" i="29" s="1" a="1"/>
  <c r="Y7" i="29" s="1"/>
  <c r="G725" i="44"/>
  <c r="G6" i="19" s="1" a="1"/>
  <c r="G6" i="19" s="1"/>
  <c r="V605" i="44" a="1"/>
  <c r="V605" i="44" s="1"/>
  <c r="G2" i="10" s="1" a="1"/>
  <c r="G2" i="10" s="1"/>
  <c r="P629" i="44" a="1"/>
  <c r="P629" i="44" s="1"/>
  <c r="G3" i="11" s="1" a="1"/>
  <c r="G3" i="11" s="1"/>
  <c r="K743" i="44"/>
  <c r="Y6" i="22" s="1" a="1"/>
  <c r="Y6" i="22" s="1"/>
  <c r="S742" i="44"/>
  <c r="X6" i="30" s="1" a="1"/>
  <c r="X6" i="30" s="1"/>
  <c r="U690" i="44" a="1"/>
  <c r="U690" i="44" s="1"/>
  <c r="T5" i="32" s="1" a="1"/>
  <c r="T5" i="32" s="1"/>
  <c r="S648" i="44" a="1"/>
  <c r="S648" i="44" s="1"/>
  <c r="B4" i="30" s="1" a="1"/>
  <c r="B4" i="30" s="1"/>
  <c r="N415" i="44"/>
  <c r="N527" i="44"/>
  <c r="N568" i="44"/>
  <c r="N547" i="44"/>
  <c r="N480" i="44"/>
  <c r="N667" i="44" a="1"/>
  <c r="N667" i="44" s="1"/>
  <c r="U4" i="25" s="1" a="1"/>
  <c r="U4" i="25" s="1"/>
  <c r="Q699" i="44"/>
  <c r="E7" i="28" s="1" a="1"/>
  <c r="E7" i="28" s="1"/>
  <c r="P689" i="44" a="1"/>
  <c r="P689" i="44" s="1"/>
  <c r="S5" i="11" s="1" a="1"/>
  <c r="S5" i="11" s="1"/>
  <c r="K699" i="44"/>
  <c r="E7" i="22" s="1" a="1"/>
  <c r="E7" i="22" s="1"/>
  <c r="Q721" i="44"/>
  <c r="C6" i="28" s="1" a="1"/>
  <c r="C6" i="28" s="1"/>
  <c r="H626" i="44" a="1"/>
  <c r="H626" i="44" s="1"/>
  <c r="D3" i="16" s="1" a="1"/>
  <c r="D3" i="16" s="1"/>
  <c r="G685" i="44" a="1"/>
  <c r="G685" i="44" s="1"/>
  <c r="O5" i="19" s="1" a="1"/>
  <c r="O5" i="19" s="1"/>
  <c r="R613" i="44" a="1"/>
  <c r="R613" i="44" s="1"/>
  <c r="O2" i="29" s="1" a="1"/>
  <c r="O2" i="29" s="1"/>
  <c r="R630" i="44" a="1"/>
  <c r="R630" i="44" s="1"/>
  <c r="H3" i="29" s="1" a="1"/>
  <c r="H3" i="29" s="1"/>
  <c r="H679" i="44" a="1"/>
  <c r="H679" i="44" s="1"/>
  <c r="I5" i="16" s="1" a="1"/>
  <c r="I5" i="16" s="1"/>
  <c r="U691" i="44" a="1"/>
  <c r="U691" i="44" s="1"/>
  <c r="U5" i="32" s="1" a="1"/>
  <c r="U5" i="32" s="1"/>
  <c r="R697" i="44"/>
  <c r="C7" i="29" s="1" a="1"/>
  <c r="C7" i="29" s="1"/>
  <c r="N666" i="44" a="1"/>
  <c r="N666" i="44" s="1"/>
  <c r="T4" i="25" s="1" a="1"/>
  <c r="T4" i="25" s="1"/>
  <c r="P638" i="44" a="1"/>
  <c r="P638" i="44" s="1"/>
  <c r="P3" i="11" s="1" a="1"/>
  <c r="P3" i="11" s="1"/>
  <c r="H716" i="44"/>
  <c r="V7" i="16" s="1" a="1"/>
  <c r="V7" i="16" s="1"/>
  <c r="U740" i="44"/>
  <c r="V6" i="32" s="1" a="1"/>
  <c r="V6" i="32" s="1"/>
  <c r="H683" i="44" a="1"/>
  <c r="H683" i="44" s="1"/>
  <c r="M5" i="16" s="1" a="1"/>
  <c r="M5" i="16" s="1"/>
  <c r="H721" i="44"/>
  <c r="C6" i="16" s="1" a="1"/>
  <c r="C6" i="16" s="1"/>
  <c r="T701" i="44"/>
  <c r="G7" i="31" s="1" a="1"/>
  <c r="G7" i="31" s="1"/>
  <c r="U643" i="44" a="1"/>
  <c r="U643" i="44" s="1"/>
  <c r="U3" i="32" s="1" a="1"/>
  <c r="U3" i="32" s="1"/>
  <c r="H635" i="44" a="1"/>
  <c r="H635" i="44" s="1"/>
  <c r="M3" i="16" s="1" a="1"/>
  <c r="M3" i="16" s="1"/>
  <c r="G677" i="44" a="1"/>
  <c r="G677" i="44" s="1"/>
  <c r="G5" i="19" s="1" a="1"/>
  <c r="G5" i="19" s="1"/>
  <c r="Q667" i="44" a="1"/>
  <c r="Q667" i="44" s="1"/>
  <c r="U4" i="28" s="1" a="1"/>
  <c r="U4" i="28" s="1"/>
  <c r="G606" i="44" a="1"/>
  <c r="G606" i="44" s="1"/>
  <c r="H2" i="19" s="1" a="1"/>
  <c r="H2" i="19" s="1"/>
  <c r="G611" i="44" a="1"/>
  <c r="G611" i="44" s="1"/>
  <c r="M2" i="19" s="1" a="1"/>
  <c r="M2" i="19" s="1"/>
  <c r="V717" i="44"/>
  <c r="W7" i="10" s="1" a="1"/>
  <c r="W7" i="10" s="1"/>
  <c r="G647" i="44" a="1"/>
  <c r="G647" i="44" s="1"/>
  <c r="Y3" i="19" s="1" a="1"/>
  <c r="Y3" i="19" s="1"/>
  <c r="R717" i="44"/>
  <c r="W7" i="29" s="1" a="1"/>
  <c r="W7" i="29" s="1"/>
  <c r="H634" i="44" a="1"/>
  <c r="H634" i="44" s="1"/>
  <c r="L3" i="16" s="1" a="1"/>
  <c r="L3" i="16" s="1"/>
  <c r="Q658" i="44" a="1"/>
  <c r="Q658" i="44" s="1"/>
  <c r="L4" i="28" s="1" a="1"/>
  <c r="L4" i="28" s="1"/>
  <c r="N714" i="44"/>
  <c r="T7" i="25" s="1" a="1"/>
  <c r="T7" i="25" s="1"/>
  <c r="U634" i="44" a="1"/>
  <c r="U634" i="44" s="1"/>
  <c r="L3" i="32" s="1" a="1"/>
  <c r="L3" i="32" s="1"/>
  <c r="N699" i="44"/>
  <c r="E7" i="25" s="1" a="1"/>
  <c r="E7" i="25" s="1"/>
  <c r="U676" i="44" a="1"/>
  <c r="U676" i="44" s="1"/>
  <c r="F5" i="32" s="1" a="1"/>
  <c r="F5" i="32" s="1"/>
  <c r="R612" i="44" a="1"/>
  <c r="R612" i="44" s="1"/>
  <c r="N2" i="29" s="1" a="1"/>
  <c r="N2" i="29" s="1"/>
  <c r="H685" i="44" a="1"/>
  <c r="H685" i="44" s="1"/>
  <c r="O5" i="16" s="1" a="1"/>
  <c r="O5" i="16" s="1"/>
  <c r="H691" i="44" a="1"/>
  <c r="H691" i="44" s="1"/>
  <c r="U5" i="16" s="1" a="1"/>
  <c r="U5" i="16" s="1"/>
  <c r="U614" i="44" a="1"/>
  <c r="U614" i="44" s="1"/>
  <c r="P2" i="32" s="1" a="1"/>
  <c r="P2" i="32" s="1"/>
  <c r="T713" i="44"/>
  <c r="S7" i="31" s="1" a="1"/>
  <c r="S7" i="31" s="1"/>
  <c r="G743" i="44"/>
  <c r="Y6" i="19" s="1" a="1"/>
  <c r="Y6" i="19" s="1"/>
  <c r="S713" i="44"/>
  <c r="S7" i="30" s="1" a="1"/>
  <c r="S7" i="30" s="1"/>
  <c r="Q645" i="44" a="1"/>
  <c r="Q645" i="44" s="1"/>
  <c r="W3" i="28" s="1" a="1"/>
  <c r="W3" i="28" s="1"/>
  <c r="R702" i="44"/>
  <c r="H7" i="29" s="1" a="1"/>
  <c r="H7" i="29" s="1"/>
  <c r="T606" i="44" a="1"/>
  <c r="T606" i="44" s="1"/>
  <c r="H2" i="31" s="1" a="1"/>
  <c r="H2" i="31" s="1"/>
  <c r="T611" i="44" a="1"/>
  <c r="T611" i="44" s="1"/>
  <c r="M2" i="31" s="1" a="1"/>
  <c r="M2" i="31" s="1"/>
  <c r="P721" i="44"/>
  <c r="C6" i="11" s="1" a="1"/>
  <c r="C6" i="11" s="1"/>
  <c r="E701" i="44"/>
  <c r="G7" i="17" s="1" a="1"/>
  <c r="G7" i="17" s="1"/>
  <c r="T630" i="44" a="1"/>
  <c r="T630" i="44" s="1"/>
  <c r="H3" i="31" s="1" a="1"/>
  <c r="H3" i="31" s="1"/>
  <c r="N636" i="44" a="1"/>
  <c r="N636" i="44" s="1"/>
  <c r="N3" i="25" s="1" a="1"/>
  <c r="N3" i="25" s="1"/>
  <c r="H689" i="44" a="1"/>
  <c r="H689" i="44" s="1"/>
  <c r="S5" i="16" s="1" a="1"/>
  <c r="S5" i="16" s="1"/>
  <c r="Q692" i="44" a="1"/>
  <c r="Q692" i="44" s="1"/>
  <c r="V5" i="28" s="1" a="1"/>
  <c r="V5" i="28" s="1"/>
  <c r="E669" i="44" a="1"/>
  <c r="E669" i="44" s="1"/>
  <c r="W4" i="17" s="1" a="1"/>
  <c r="W4" i="17" s="1"/>
  <c r="N569" i="44"/>
  <c r="N416" i="44"/>
  <c r="N513" i="44"/>
  <c r="N439" i="44"/>
  <c r="N464" i="44"/>
  <c r="N682" i="44" a="1"/>
  <c r="N682" i="44" s="1"/>
  <c r="L5" i="25" s="1" a="1"/>
  <c r="L5" i="25" s="1"/>
  <c r="V607" i="44" a="1"/>
  <c r="V607" i="44" s="1"/>
  <c r="I2" i="10" s="1" a="1"/>
  <c r="I2" i="10" s="1"/>
  <c r="N618" i="44" a="1"/>
  <c r="N618" i="44" s="1"/>
  <c r="T2" i="25" s="1" a="1"/>
  <c r="T2" i="25" s="1"/>
  <c r="E704" i="44"/>
  <c r="J7" i="17" s="1" a="1"/>
  <c r="J7" i="17" s="1"/>
  <c r="V672" i="44" a="1"/>
  <c r="V672" i="44" s="1"/>
  <c r="B5" i="10" s="1" a="1"/>
  <c r="B5" i="10" s="1"/>
  <c r="K646" i="44" a="1"/>
  <c r="K646" i="44" s="1"/>
  <c r="X3" i="22" s="1" a="1"/>
  <c r="X3" i="22" s="1"/>
  <c r="T653" i="44" a="1"/>
  <c r="T653" i="44" s="1"/>
  <c r="G4" i="31" s="1" a="1"/>
  <c r="G4" i="31" s="1"/>
  <c r="K713" i="44"/>
  <c r="S7" i="22" s="1" a="1"/>
  <c r="S7" i="22" s="1"/>
  <c r="P729" i="44"/>
  <c r="K6" i="11" s="1" a="1"/>
  <c r="K6" i="11" s="1"/>
  <c r="H730" i="44"/>
  <c r="L6" i="16" s="1" a="1"/>
  <c r="L6" i="16" s="1"/>
  <c r="H724" i="44"/>
  <c r="F6" i="16" s="1" a="1"/>
  <c r="F6" i="16" s="1"/>
  <c r="R653" i="44" a="1"/>
  <c r="R653" i="44" s="1"/>
  <c r="G4" i="29" s="1" a="1"/>
  <c r="G4" i="29" s="1"/>
  <c r="N603" i="44" a="1"/>
  <c r="N603" i="44" s="1"/>
  <c r="E2" i="25" s="1" a="1"/>
  <c r="E2" i="25" s="1"/>
  <c r="V719" i="44"/>
  <c r="Y7" i="10" s="1" a="1"/>
  <c r="Y7" i="10" s="1"/>
  <c r="N649" i="44" a="1"/>
  <c r="N649" i="44" s="1"/>
  <c r="C4" i="25" s="1" a="1"/>
  <c r="C4" i="25" s="1"/>
  <c r="U735" i="44"/>
  <c r="Q6" i="32" s="1" a="1"/>
  <c r="Q6" i="32" s="1"/>
  <c r="N671" i="44" a="1"/>
  <c r="N671" i="44" s="1"/>
  <c r="Y4" i="25" s="1" a="1"/>
  <c r="Y4" i="25" s="1"/>
  <c r="S668" i="44" a="1"/>
  <c r="S668" i="44" s="1"/>
  <c r="V4" i="30" s="1" a="1"/>
  <c r="V4" i="30" s="1"/>
  <c r="N504" i="44"/>
  <c r="N507" i="44"/>
  <c r="N422" i="44"/>
  <c r="N479" i="44"/>
  <c r="N450" i="44"/>
  <c r="N486" i="44"/>
  <c r="N413" i="44"/>
  <c r="H606" i="44" a="1"/>
  <c r="H606" i="44" s="1"/>
  <c r="H2" i="16" s="1" a="1"/>
  <c r="H2" i="16" s="1"/>
  <c r="H617" i="44" a="1"/>
  <c r="H617" i="44" s="1"/>
  <c r="S2" i="16" s="1" a="1"/>
  <c r="S2" i="16" s="1"/>
  <c r="S601" i="44" a="1"/>
  <c r="S601" i="44" s="1"/>
  <c r="C2" i="30" s="1" a="1"/>
  <c r="C2" i="30" s="1"/>
  <c r="V740" i="44"/>
  <c r="V6" i="10" s="1" a="1"/>
  <c r="V6" i="10" s="1"/>
  <c r="S705" i="44"/>
  <c r="K7" i="30" s="1" a="1"/>
  <c r="K7" i="30" s="1"/>
  <c r="G658" i="44" a="1"/>
  <c r="G658" i="44" s="1"/>
  <c r="L4" i="19" s="1" a="1"/>
  <c r="L4" i="19" s="1"/>
  <c r="U607" i="44" a="1"/>
  <c r="U607" i="44" s="1"/>
  <c r="I2" i="32" s="1" a="1"/>
  <c r="I2" i="32" s="1"/>
  <c r="H697" i="44"/>
  <c r="C7" i="16" s="1" a="1"/>
  <c r="C7" i="16" s="1"/>
  <c r="R727" i="44"/>
  <c r="I6" i="29" s="1" a="1"/>
  <c r="I6" i="29" s="1"/>
  <c r="E602" i="44" a="1"/>
  <c r="E602" i="44" s="1"/>
  <c r="D2" i="17" s="1" a="1"/>
  <c r="D2" i="17" s="1"/>
  <c r="T629" i="44" a="1"/>
  <c r="T629" i="44" s="1"/>
  <c r="G3" i="31" s="1" a="1"/>
  <c r="G3" i="31" s="1"/>
  <c r="V667" i="44" a="1"/>
  <c r="V667" i="44" s="1"/>
  <c r="U4" i="10" s="1" a="1"/>
  <c r="U4" i="10" s="1"/>
  <c r="S635" i="44" a="1"/>
  <c r="S635" i="44" s="1"/>
  <c r="M3" i="30" s="1" a="1"/>
  <c r="M3" i="30" s="1"/>
  <c r="S642" i="44" a="1"/>
  <c r="S642" i="44" s="1"/>
  <c r="T3" i="30" s="1" a="1"/>
  <c r="T3" i="30" s="1"/>
  <c r="N698" i="44"/>
  <c r="D7" i="25" s="1" a="1"/>
  <c r="D7" i="25" s="1"/>
  <c r="T669" i="44" a="1"/>
  <c r="T669" i="44" s="1"/>
  <c r="W4" i="31" s="1" a="1"/>
  <c r="W4" i="31" s="1"/>
  <c r="E617" i="44" a="1"/>
  <c r="E617" i="44" s="1"/>
  <c r="S2" i="17" s="1" a="1"/>
  <c r="S2" i="17" s="1"/>
  <c r="P625" i="44" a="1"/>
  <c r="P625" i="44" s="1"/>
  <c r="C3" i="11" s="1" a="1"/>
  <c r="C3" i="11" s="1"/>
  <c r="U632" i="44" a="1"/>
  <c r="U632" i="44" s="1"/>
  <c r="J3" i="32" s="1" a="1"/>
  <c r="J3" i="32" s="1"/>
  <c r="P676" i="44" a="1"/>
  <c r="P676" i="44" s="1"/>
  <c r="F5" i="11" s="1" a="1"/>
  <c r="F5" i="11" s="1"/>
  <c r="G693" i="44" a="1"/>
  <c r="G693" i="44" s="1"/>
  <c r="W5" i="19" s="1" a="1"/>
  <c r="W5" i="19" s="1"/>
  <c r="S619" i="44" a="1"/>
  <c r="S619" i="44" s="1"/>
  <c r="U2" i="30" s="1" a="1"/>
  <c r="U2" i="30" s="1"/>
  <c r="K630" i="44" a="1"/>
  <c r="K630" i="44" s="1"/>
  <c r="H3" i="22" s="1" a="1"/>
  <c r="H3" i="22" s="1"/>
  <c r="R621" i="44" a="1"/>
  <c r="R621" i="44" s="1"/>
  <c r="W2" i="29" s="1" a="1"/>
  <c r="W2" i="29" s="1"/>
  <c r="G702" i="44"/>
  <c r="H7" i="19" s="1" a="1"/>
  <c r="H7" i="19" s="1"/>
  <c r="N411" i="44"/>
  <c r="N559" i="44"/>
  <c r="N552" i="44"/>
  <c r="N561" i="44"/>
  <c r="N443" i="44"/>
  <c r="N583" i="44"/>
  <c r="G670" i="44" a="1"/>
  <c r="G670" i="44" s="1"/>
  <c r="X4" i="19" s="1" a="1"/>
  <c r="X4" i="19" s="1"/>
  <c r="N664" i="44" a="1"/>
  <c r="N664" i="44" s="1"/>
  <c r="R4" i="25" s="1" a="1"/>
  <c r="R4" i="25" s="1"/>
  <c r="X516" i="44"/>
  <c r="Q632" i="44" a="1"/>
  <c r="Q632" i="44" s="1"/>
  <c r="J3" i="28" s="1" a="1"/>
  <c r="J3" i="28" s="1"/>
  <c r="G715" i="44"/>
  <c r="U7" i="19" s="1" a="1"/>
  <c r="U7" i="19" s="1"/>
  <c r="V674" i="44" a="1"/>
  <c r="V674" i="44" s="1"/>
  <c r="D5" i="10" s="1" a="1"/>
  <c r="D5" i="10" s="1"/>
  <c r="U641" i="44" a="1"/>
  <c r="U641" i="44" s="1"/>
  <c r="S3" i="32" s="1" a="1"/>
  <c r="S3" i="32" s="1"/>
  <c r="K606" i="44" a="1"/>
  <c r="K606" i="44" s="1"/>
  <c r="H2" i="22" s="1" a="1"/>
  <c r="H2" i="22" s="1"/>
  <c r="E632" i="44" a="1"/>
  <c r="E632" i="44" s="1"/>
  <c r="J3" i="17" s="1" a="1"/>
  <c r="J3" i="17" s="1"/>
  <c r="V660" i="44" a="1"/>
  <c r="V660" i="44" s="1"/>
  <c r="N4" i="10" s="1" a="1"/>
  <c r="N4" i="10" s="1"/>
  <c r="T710" i="44"/>
  <c r="P7" i="31" s="1" a="1"/>
  <c r="P7" i="31" s="1"/>
  <c r="T694" i="44" a="1"/>
  <c r="T694" i="44" s="1"/>
  <c r="X5" i="31" s="1" a="1"/>
  <c r="X5" i="31" s="1"/>
  <c r="T705" i="44"/>
  <c r="K7" i="31" s="1" a="1"/>
  <c r="K7" i="31" s="1"/>
  <c r="G709" i="44"/>
  <c r="O7" i="19" s="1" a="1"/>
  <c r="O7" i="19" s="1"/>
  <c r="R732" i="44"/>
  <c r="N6" i="29" s="1" a="1"/>
  <c r="N6" i="29" s="1"/>
  <c r="U702" i="44"/>
  <c r="H7" i="32" s="1" a="1"/>
  <c r="H7" i="32" s="1"/>
  <c r="R709" i="44"/>
  <c r="O7" i="29" s="1" a="1"/>
  <c r="O7" i="29" s="1"/>
  <c r="R700" i="44"/>
  <c r="F7" i="29" s="1" a="1"/>
  <c r="F7" i="29" s="1"/>
  <c r="V704" i="44"/>
  <c r="J7" i="10" s="1" a="1"/>
  <c r="J7" i="10" s="1"/>
  <c r="H712" i="44"/>
  <c r="R7" i="16" s="1" a="1"/>
  <c r="R7" i="16" s="1"/>
  <c r="N491" i="44"/>
  <c r="N463" i="44"/>
  <c r="N531" i="44"/>
  <c r="N539" i="44"/>
  <c r="N435" i="44"/>
  <c r="N574" i="44"/>
  <c r="E699" i="44"/>
  <c r="E7" i="17" s="1" a="1"/>
  <c r="E7" i="17" s="1"/>
  <c r="P678" i="44" a="1"/>
  <c r="P678" i="44" s="1"/>
  <c r="H5" i="11" s="1" a="1"/>
  <c r="H5" i="11" s="1"/>
  <c r="U685" i="44" a="1"/>
  <c r="U685" i="44" s="1"/>
  <c r="O5" i="32" s="1" a="1"/>
  <c r="O5" i="32" s="1"/>
  <c r="G727" i="44"/>
  <c r="I6" i="19" s="1" a="1"/>
  <c r="I6" i="19" s="1"/>
  <c r="N509" i="44"/>
  <c r="N560" i="44"/>
  <c r="N429" i="44"/>
  <c r="N437" i="44"/>
  <c r="N445" i="44"/>
  <c r="N525" i="44"/>
  <c r="N477" i="44"/>
  <c r="H601" i="44" a="1"/>
  <c r="H601" i="44" s="1"/>
  <c r="C2" i="16" s="1" a="1"/>
  <c r="C2" i="16" s="1"/>
  <c r="G612" i="44" a="1"/>
  <c r="G612" i="44" s="1"/>
  <c r="N2" i="19" s="1" a="1"/>
  <c r="N2" i="19" s="1"/>
  <c r="H625" i="44" a="1"/>
  <c r="H625" i="44" s="1"/>
  <c r="C3" i="16" s="1" a="1"/>
  <c r="C3" i="16" s="1"/>
  <c r="H675" i="44" a="1"/>
  <c r="H675" i="44" s="1"/>
  <c r="E5" i="16" s="1" a="1"/>
  <c r="E5" i="16" s="1"/>
  <c r="N684" i="44" a="1"/>
  <c r="N684" i="44" s="1"/>
  <c r="N5" i="25" s="1" a="1"/>
  <c r="N5" i="25" s="1"/>
  <c r="N601" i="44" a="1"/>
  <c r="N601" i="44" s="1"/>
  <c r="C2" i="25" s="1" a="1"/>
  <c r="C2" i="25" s="1"/>
  <c r="S667" i="44" a="1"/>
  <c r="S667" i="44" s="1"/>
  <c r="U4" i="30" s="1" a="1"/>
  <c r="U4" i="30" s="1"/>
  <c r="R667" i="44" a="1"/>
  <c r="R667" i="44" s="1"/>
  <c r="U4" i="29" s="1" a="1"/>
  <c r="U4" i="29" s="1"/>
  <c r="P633" i="44" a="1"/>
  <c r="P633" i="44" s="1"/>
  <c r="K3" i="11" s="1" a="1"/>
  <c r="K3" i="11" s="1"/>
  <c r="U663" i="44" a="1"/>
  <c r="U663" i="44" s="1"/>
  <c r="Q4" i="32" s="1" a="1"/>
  <c r="Q4" i="32" s="1"/>
  <c r="H736" i="44"/>
  <c r="R6" i="16" s="1" a="1"/>
  <c r="R6" i="16" s="1"/>
  <c r="U716" i="44"/>
  <c r="V7" i="32" s="1" a="1"/>
  <c r="V7" i="32" s="1"/>
  <c r="P655" i="44" a="1"/>
  <c r="P655" i="44" s="1"/>
  <c r="I4" i="11" s="1" a="1"/>
  <c r="I4" i="11" s="1"/>
  <c r="P688" i="44" a="1"/>
  <c r="P688" i="44" s="1"/>
  <c r="R5" i="11" s="1" a="1"/>
  <c r="R5" i="11" s="1"/>
  <c r="Q730" i="44"/>
  <c r="L6" i="28" s="1" a="1"/>
  <c r="L6" i="28" s="1"/>
  <c r="G632" i="44" a="1"/>
  <c r="G632" i="44" s="1"/>
  <c r="J3" i="19" s="1" a="1"/>
  <c r="J3" i="19" s="1"/>
  <c r="R718" i="44"/>
  <c r="X7" i="29" s="1" a="1"/>
  <c r="X7" i="29" s="1"/>
  <c r="P620" i="44" a="1"/>
  <c r="P620" i="44" s="1"/>
  <c r="V2" i="11" s="1" a="1"/>
  <c r="V2" i="11" s="1"/>
  <c r="K655" i="44" a="1"/>
  <c r="K655" i="44" s="1"/>
  <c r="I4" i="22" s="1" a="1"/>
  <c r="I4" i="22" s="1"/>
  <c r="T729" i="44"/>
  <c r="K6" i="31" s="1" a="1"/>
  <c r="K6" i="31" s="1"/>
  <c r="T665" i="44" a="1"/>
  <c r="T665" i="44" s="1"/>
  <c r="S4" i="31" s="1" a="1"/>
  <c r="S4" i="31" s="1"/>
  <c r="T632" i="44" a="1"/>
  <c r="T632" i="44" s="1"/>
  <c r="J3" i="31" s="1" a="1"/>
  <c r="J3" i="31" s="1"/>
  <c r="S633" i="44" a="1"/>
  <c r="S633" i="44" s="1"/>
  <c r="K3" i="30" s="1" a="1"/>
  <c r="K3" i="30" s="1"/>
  <c r="H731" i="44"/>
  <c r="M6" i="16" s="1" a="1"/>
  <c r="M6" i="16" s="1"/>
  <c r="K717" i="44"/>
  <c r="W7" i="22" s="1" a="1"/>
  <c r="W7" i="22" s="1"/>
  <c r="R682" i="44" a="1"/>
  <c r="R682" i="44" s="1"/>
  <c r="L5" i="29" s="1" a="1"/>
  <c r="L5" i="29" s="1"/>
  <c r="K658" i="44" a="1"/>
  <c r="K658" i="44" s="1"/>
  <c r="L4" i="22" s="1" a="1"/>
  <c r="L4" i="22" s="1"/>
  <c r="U621" i="44" a="1"/>
  <c r="U621" i="44" s="1"/>
  <c r="W2" i="32" s="1" a="1"/>
  <c r="W2" i="32" s="1"/>
  <c r="N465" i="44"/>
  <c r="N502" i="44"/>
  <c r="N462" i="44"/>
  <c r="N553" i="44"/>
  <c r="N537" i="44"/>
  <c r="N554" i="44"/>
  <c r="N594" i="44"/>
  <c r="N403" i="44"/>
  <c r="N638" i="44" a="1"/>
  <c r="N638" i="44" s="1"/>
  <c r="P3" i="25" s="1" a="1"/>
  <c r="P3" i="25" s="1"/>
  <c r="G644" i="44" a="1"/>
  <c r="G644" i="44" s="1"/>
  <c r="V3" i="19" s="1" a="1"/>
  <c r="V3" i="19" s="1"/>
  <c r="R641" i="44" a="1"/>
  <c r="R641" i="44" s="1"/>
  <c r="S3" i="29" s="1" a="1"/>
  <c r="S3" i="29" s="1"/>
  <c r="H614" i="44" a="1"/>
  <c r="H614" i="44" s="1"/>
  <c r="P2" i="16" s="1" a="1"/>
  <c r="P2" i="16" s="1"/>
  <c r="H680" i="44" a="1"/>
  <c r="H680" i="44" s="1"/>
  <c r="J5" i="16" s="1" a="1"/>
  <c r="J5" i="16" s="1"/>
  <c r="R676" i="44" a="1"/>
  <c r="R676" i="44" s="1"/>
  <c r="F5" i="29" s="1" a="1"/>
  <c r="F5" i="29" s="1"/>
  <c r="N607" i="44" a="1"/>
  <c r="N607" i="44" s="1"/>
  <c r="I2" i="25" s="1" a="1"/>
  <c r="I2" i="25" s="1"/>
  <c r="H688" i="44" a="1"/>
  <c r="H688" i="44" s="1"/>
  <c r="R5" i="16" s="1" a="1"/>
  <c r="R5" i="16" s="1"/>
  <c r="H653" i="44" a="1"/>
  <c r="H653" i="44" s="1"/>
  <c r="G4" i="16" s="1" a="1"/>
  <c r="G4" i="16" s="1"/>
  <c r="E626" i="44" a="1"/>
  <c r="E626" i="44" s="1"/>
  <c r="D3" i="17" s="1" a="1"/>
  <c r="D3" i="17" s="1"/>
  <c r="K666" i="44" a="1"/>
  <c r="K666" i="44" s="1"/>
  <c r="T4" i="22" s="1" a="1"/>
  <c r="T4" i="22" s="1"/>
  <c r="N738" i="44"/>
  <c r="T6" i="25" s="1" a="1"/>
  <c r="T6" i="25" s="1"/>
  <c r="G724" i="44"/>
  <c r="F6" i="19" s="1" a="1"/>
  <c r="F6" i="19" s="1"/>
  <c r="U688" i="44" a="1"/>
  <c r="U688" i="44" s="1"/>
  <c r="R5" i="32" s="1" a="1"/>
  <c r="R5" i="32" s="1"/>
  <c r="Q637" i="44" a="1"/>
  <c r="Q637" i="44" s="1"/>
  <c r="O3" i="28" s="1" a="1"/>
  <c r="O3" i="28" s="1"/>
  <c r="R736" i="44"/>
  <c r="R6" i="29" s="1" a="1"/>
  <c r="R6" i="29" s="1"/>
  <c r="U624" i="44" a="1"/>
  <c r="U624" i="44" s="1"/>
  <c r="B3" i="32" s="1" a="1"/>
  <c r="B3" i="32" s="1"/>
  <c r="Q603" i="44" a="1"/>
  <c r="Q603" i="44" s="1"/>
  <c r="E2" i="28" s="1" a="1"/>
  <c r="E2" i="28" s="1"/>
  <c r="H623" i="44" a="1"/>
  <c r="H623" i="44" s="1"/>
  <c r="Y2" i="16" s="1" a="1"/>
  <c r="Y2" i="16" s="1"/>
  <c r="P616" i="44" a="1"/>
  <c r="P616" i="44" s="1"/>
  <c r="R2" i="11" s="1" a="1"/>
  <c r="R2" i="11" s="1"/>
  <c r="K679" i="44" a="1"/>
  <c r="K679" i="44" s="1"/>
  <c r="I5" i="22" s="1" a="1"/>
  <c r="I5" i="22" s="1"/>
  <c r="Q729" i="44"/>
  <c r="K6" i="28" s="1" a="1"/>
  <c r="K6" i="28" s="1"/>
  <c r="Q739" i="44"/>
  <c r="U6" i="28" s="1" a="1"/>
  <c r="U6" i="28" s="1"/>
  <c r="S708" i="44"/>
  <c r="N7" i="30" s="1" a="1"/>
  <c r="N7" i="30" s="1"/>
  <c r="U657" i="44" a="1"/>
  <c r="U657" i="44" s="1"/>
  <c r="K4" i="32" s="1" a="1"/>
  <c r="K4" i="32" s="1"/>
  <c r="U712" i="44"/>
  <c r="R7" i="32" s="1" a="1"/>
  <c r="R7" i="32" s="1"/>
  <c r="Q662" i="44" a="1"/>
  <c r="Q662" i="44" s="1"/>
  <c r="P4" i="28" s="1" a="1"/>
  <c r="P4" i="28" s="1"/>
  <c r="S617" i="44" a="1"/>
  <c r="S617" i="44" s="1"/>
  <c r="S2" i="30" s="1" a="1"/>
  <c r="S2" i="30" s="1"/>
  <c r="K704" i="44"/>
  <c r="J7" i="22" s="1" a="1"/>
  <c r="J7" i="22" s="1"/>
  <c r="K620" i="44" a="1"/>
  <c r="K620" i="44" s="1"/>
  <c r="V2" i="22" s="1" a="1"/>
  <c r="V2" i="22" s="1"/>
  <c r="V679" i="44" a="1"/>
  <c r="V679" i="44" s="1"/>
  <c r="I5" i="10" s="1" a="1"/>
  <c r="I5" i="10" s="1"/>
  <c r="T673" i="44" a="1"/>
  <c r="T673" i="44" s="1"/>
  <c r="C5" i="31" s="1" a="1"/>
  <c r="C5" i="31" s="1"/>
  <c r="V713" i="44"/>
  <c r="S7" i="10" s="1" a="1"/>
  <c r="S7" i="10" s="1"/>
  <c r="Q633" i="44" a="1"/>
  <c r="Q633" i="44" s="1"/>
  <c r="K3" i="28" s="1" a="1"/>
  <c r="K3" i="28" s="1"/>
  <c r="G669" i="44" a="1"/>
  <c r="G669" i="44" s="1"/>
  <c r="W4" i="19" s="1" a="1"/>
  <c r="W4" i="19" s="1"/>
  <c r="Q638" i="44" a="1"/>
  <c r="Q638" i="44" s="1"/>
  <c r="P3" i="28" s="1" a="1"/>
  <c r="P3" i="28" s="1"/>
  <c r="R601" i="44" a="1"/>
  <c r="R601" i="44" s="1"/>
  <c r="C2" i="29" s="1" a="1"/>
  <c r="C2" i="29" s="1"/>
  <c r="K691" i="44" a="1"/>
  <c r="K691" i="44" s="1"/>
  <c r="U5" i="22" s="1" a="1"/>
  <c r="U5" i="22" s="1"/>
  <c r="K705" i="44"/>
  <c r="K7" i="22" s="1" a="1"/>
  <c r="K7" i="22" s="1"/>
  <c r="Q674" i="44" a="1"/>
  <c r="Q674" i="44" s="1"/>
  <c r="D5" i="28" s="1" a="1"/>
  <c r="D5" i="28" s="1"/>
  <c r="H620" i="44" a="1"/>
  <c r="H620" i="44" s="1"/>
  <c r="V2" i="16" s="1" a="1"/>
  <c r="V2" i="16" s="1"/>
  <c r="U668" i="44" a="1"/>
  <c r="U668" i="44" s="1"/>
  <c r="V4" i="32" s="1" a="1"/>
  <c r="V4" i="32" s="1"/>
  <c r="N487" i="44"/>
  <c r="N457" i="44"/>
  <c r="N551" i="44"/>
  <c r="N468" i="44"/>
  <c r="N540" i="44"/>
  <c r="N459" i="44"/>
  <c r="N578" i="44"/>
  <c r="X514" i="44"/>
  <c r="P632" i="44" a="1"/>
  <c r="P632" i="44" s="1"/>
  <c r="J3" i="11" s="1" a="1"/>
  <c r="J3" i="11" s="1"/>
  <c r="T700" i="44"/>
  <c r="F7" i="31" s="1" a="1"/>
  <c r="F7" i="31" s="1"/>
  <c r="V694" i="44" a="1"/>
  <c r="V694" i="44" s="1"/>
  <c r="X5" i="10" s="1" a="1"/>
  <c r="X5" i="10" s="1"/>
  <c r="U677" i="44" a="1"/>
  <c r="U677" i="44" s="1"/>
  <c r="G5" i="32" s="1" a="1"/>
  <c r="G5" i="32" s="1"/>
  <c r="S674" i="44" a="1"/>
  <c r="S674" i="44" s="1"/>
  <c r="D5" i="30" s="1" a="1"/>
  <c r="D5" i="30" s="1"/>
  <c r="G738" i="44"/>
  <c r="T6" i="19" s="1" a="1"/>
  <c r="T6" i="19" s="1"/>
  <c r="U739" i="44"/>
  <c r="U6" i="32" s="1" a="1"/>
  <c r="U6" i="32" s="1"/>
  <c r="Q604" i="44" a="1"/>
  <c r="Q604" i="44" s="1"/>
  <c r="F2" i="28" s="1" a="1"/>
  <c r="F2" i="28" s="1"/>
  <c r="P718" i="44"/>
  <c r="X7" i="11" s="1" a="1"/>
  <c r="X7" i="11" s="1"/>
  <c r="P693" i="44" a="1"/>
  <c r="P693" i="44" s="1"/>
  <c r="W5" i="11" s="1" a="1"/>
  <c r="W5" i="11" s="1"/>
  <c r="K701" i="44"/>
  <c r="G7" i="22" s="1" a="1"/>
  <c r="G7" i="22" s="1"/>
  <c r="T734" i="44"/>
  <c r="P6" i="31" s="1" a="1"/>
  <c r="P6" i="31" s="1"/>
  <c r="G710" i="44"/>
  <c r="P7" i="19" s="1" a="1"/>
  <c r="P7" i="19" s="1"/>
  <c r="E633" i="44" a="1"/>
  <c r="E633" i="44" s="1"/>
  <c r="K3" i="17" s="1" a="1"/>
  <c r="K3" i="17" s="1"/>
  <c r="R661" i="44" a="1"/>
  <c r="R661" i="44" s="1"/>
  <c r="O4" i="29" s="1" a="1"/>
  <c r="O4" i="29" s="1"/>
  <c r="Q718" i="44"/>
  <c r="X7" i="28" s="1" a="1"/>
  <c r="X7" i="28" s="1"/>
  <c r="H718" i="44"/>
  <c r="X7" i="16" s="1" a="1"/>
  <c r="X7" i="16" s="1"/>
  <c r="H704" i="44"/>
  <c r="J7" i="16" s="1" a="1"/>
  <c r="J7" i="16" s="1"/>
  <c r="N669" i="44" a="1"/>
  <c r="N669" i="44" s="1"/>
  <c r="W4" i="25" s="1" a="1"/>
  <c r="W4" i="25" s="1"/>
  <c r="N602" i="44" a="1"/>
  <c r="N602" i="44" s="1"/>
  <c r="D2" i="25" s="1" a="1"/>
  <c r="D2" i="25" s="1"/>
  <c r="H649" i="44" a="1"/>
  <c r="H649" i="44" s="1"/>
  <c r="C4" i="16" s="1" a="1"/>
  <c r="C4" i="16" s="1"/>
  <c r="P683" i="44" a="1"/>
  <c r="P683" i="44" s="1"/>
  <c r="M5" i="11" s="1" a="1"/>
  <c r="M5" i="11" s="1"/>
  <c r="S660" i="44" a="1"/>
  <c r="S660" i="44" s="1"/>
  <c r="N4" i="30" s="1" a="1"/>
  <c r="N4" i="30" s="1"/>
  <c r="G682" i="44" a="1"/>
  <c r="G682" i="44" s="1"/>
  <c r="L5" i="19" s="1" a="1"/>
  <c r="L5" i="19" s="1"/>
  <c r="U653" i="44" a="1"/>
  <c r="U653" i="44" s="1"/>
  <c r="G4" i="32" s="1" a="1"/>
  <c r="G4" i="32" s="1"/>
  <c r="E604" i="44" a="1"/>
  <c r="E604" i="44" s="1"/>
  <c r="F2" i="17" s="1" a="1"/>
  <c r="F2" i="17" s="1"/>
  <c r="S683" i="44" a="1"/>
  <c r="S683" i="44" s="1"/>
  <c r="M5" i="30" s="1" a="1"/>
  <c r="M5" i="30" s="1"/>
  <c r="R725" i="44"/>
  <c r="G6" i="29" s="1" a="1"/>
  <c r="G6" i="29" s="1"/>
  <c r="R675" i="44" a="1"/>
  <c r="R675" i="44" s="1"/>
  <c r="E5" i="29" s="1" a="1"/>
  <c r="E5" i="29" s="1"/>
  <c r="Q681" i="44" a="1"/>
  <c r="Q681" i="44" s="1"/>
  <c r="K5" i="28" s="1" a="1"/>
  <c r="K5" i="28" s="1"/>
  <c r="Q635" i="44" a="1"/>
  <c r="Q635" i="44" s="1"/>
  <c r="M3" i="28" s="1" a="1"/>
  <c r="M3" i="28" s="1"/>
  <c r="V636" i="44" a="1"/>
  <c r="V636" i="44" s="1"/>
  <c r="N3" i="10" s="1" a="1"/>
  <c r="N3" i="10" s="1"/>
  <c r="N646" i="44" a="1"/>
  <c r="N646" i="44" s="1"/>
  <c r="X3" i="25" s="1" a="1"/>
  <c r="X3" i="25" s="1"/>
  <c r="E600" i="44" a="1"/>
  <c r="E600" i="44" s="1"/>
  <c r="B2" i="17" s="1" a="1"/>
  <c r="B2" i="17" s="1"/>
  <c r="E688" i="44" a="1"/>
  <c r="E688" i="44" s="1"/>
  <c r="R5" i="17" s="1" a="1"/>
  <c r="R5" i="17" s="1"/>
  <c r="E634" i="44" a="1"/>
  <c r="E634" i="44" s="1"/>
  <c r="L3" i="17" s="1" a="1"/>
  <c r="L3" i="17" s="1"/>
  <c r="P705" i="44"/>
  <c r="K7" i="11" s="1" a="1"/>
  <c r="K7" i="11" s="1"/>
  <c r="P726" i="44"/>
  <c r="H6" i="11" s="1" a="1"/>
  <c r="H6" i="11" s="1"/>
  <c r="S709" i="44"/>
  <c r="O7" i="30" s="1" a="1"/>
  <c r="O7" i="30" s="1"/>
  <c r="Q732" i="44"/>
  <c r="N6" i="28" s="1" a="1"/>
  <c r="N6" i="28" s="1"/>
  <c r="G626" i="44" a="1"/>
  <c r="G626" i="44" s="1"/>
  <c r="D3" i="19" s="1" a="1"/>
  <c r="D3" i="19" s="1"/>
  <c r="Q704" i="44"/>
  <c r="J7" i="28" s="1" a="1"/>
  <c r="J7" i="28" s="1"/>
  <c r="N722" i="44"/>
  <c r="D6" i="25" s="1" a="1"/>
  <c r="D6" i="25" s="1"/>
  <c r="U706" i="44"/>
  <c r="L7" i="32" s="1" a="1"/>
  <c r="L7" i="32" s="1"/>
  <c r="P621" i="44" a="1"/>
  <c r="P621" i="44" s="1"/>
  <c r="W2" i="11" s="1" a="1"/>
  <c r="W2" i="11" s="1"/>
  <c r="E608" i="44" a="1"/>
  <c r="E608" i="44" s="1"/>
  <c r="J2" i="17" s="1" a="1"/>
  <c r="J2" i="17" s="1"/>
  <c r="N721" i="44"/>
  <c r="C6" i="25" s="1" a="1"/>
  <c r="C6" i="25" s="1"/>
  <c r="S695" i="44" a="1"/>
  <c r="S695" i="44" s="1"/>
  <c r="Y5" i="30" s="1" a="1"/>
  <c r="Y5" i="30" s="1"/>
  <c r="N659" i="44" a="1"/>
  <c r="N659" i="44" s="1"/>
  <c r="M4" i="25" s="1" a="1"/>
  <c r="M4" i="25" s="1"/>
  <c r="R644" i="44" a="1"/>
  <c r="R644" i="44" s="1"/>
  <c r="V3" i="29" s="1" a="1"/>
  <c r="V3" i="29" s="1"/>
  <c r="P607" i="44" a="1"/>
  <c r="P607" i="44" s="1"/>
  <c r="I2" i="11" s="1" a="1"/>
  <c r="I2" i="11" s="1"/>
  <c r="V600" i="44" a="1"/>
  <c r="V600" i="44" s="1"/>
  <c r="B2" i="10" s="1" a="1"/>
  <c r="B2" i="10" s="1"/>
  <c r="K660" i="44" a="1"/>
  <c r="K660" i="44" s="1"/>
  <c r="N4" i="22" s="1" a="1"/>
  <c r="N4" i="22" s="1"/>
  <c r="E630" i="44" a="1"/>
  <c r="E630" i="44" s="1"/>
  <c r="H3" i="17" s="1" a="1"/>
  <c r="H3" i="17" s="1"/>
  <c r="G737" i="44"/>
  <c r="S6" i="19" s="1" a="1"/>
  <c r="S6" i="19" s="1"/>
  <c r="H662" i="44" a="1"/>
  <c r="H662" i="44" s="1"/>
  <c r="P4" i="16" s="1" a="1"/>
  <c r="P4" i="16" s="1"/>
  <c r="R672" i="44" a="1"/>
  <c r="R672" i="44" s="1"/>
  <c r="B5" i="29" s="1" a="1"/>
  <c r="B5" i="29" s="1"/>
  <c r="N678" i="44" a="1"/>
  <c r="N678" i="44" s="1"/>
  <c r="H5" i="25" s="1" a="1"/>
  <c r="H5" i="25" s="1"/>
  <c r="R729" i="44"/>
  <c r="K6" i="29" s="1" a="1"/>
  <c r="K6" i="29" s="1"/>
  <c r="N661" i="44" a="1"/>
  <c r="N661" i="44" s="1"/>
  <c r="O4" i="25" s="1" a="1"/>
  <c r="O4" i="25" s="1"/>
  <c r="R662" i="44" a="1"/>
  <c r="R662" i="44" s="1"/>
  <c r="P4" i="29" s="1" a="1"/>
  <c r="P4" i="29" s="1"/>
  <c r="R632" i="44" a="1"/>
  <c r="R632" i="44" s="1"/>
  <c r="J3" i="29" s="1" a="1"/>
  <c r="J3" i="29" s="1"/>
  <c r="H639" i="44" a="1"/>
  <c r="H639" i="44" s="1"/>
  <c r="Q3" i="16" s="1" a="1"/>
  <c r="Q3" i="16" s="1"/>
  <c r="P611" i="44" a="1"/>
  <c r="P611" i="44" s="1"/>
  <c r="M2" i="11" s="1" a="1"/>
  <c r="M2" i="11" s="1"/>
  <c r="S666" i="44" a="1"/>
  <c r="S666" i="44" s="1"/>
  <c r="T4" i="30" s="1" a="1"/>
  <c r="T4" i="30" s="1"/>
  <c r="Q626" i="44" a="1"/>
  <c r="Q626" i="44" s="1"/>
  <c r="D3" i="28" s="1" a="1"/>
  <c r="D3" i="28" s="1"/>
  <c r="R643" i="44" a="1"/>
  <c r="R643" i="44" s="1"/>
  <c r="U3" i="29" s="1" a="1"/>
  <c r="U3" i="29" s="1"/>
  <c r="R629" i="44" a="1"/>
  <c r="R629" i="44" s="1"/>
  <c r="G3" i="29" s="1" a="1"/>
  <c r="G3" i="29" s="1"/>
  <c r="R677" i="44" a="1"/>
  <c r="R677" i="44" s="1"/>
  <c r="G5" i="29" s="1" a="1"/>
  <c r="G5" i="29" s="1"/>
  <c r="R634" i="44" a="1"/>
  <c r="R634" i="44" s="1"/>
  <c r="L3" i="29" s="1" a="1"/>
  <c r="L3" i="29" s="1"/>
  <c r="U619" i="44" a="1"/>
  <c r="U619" i="44" s="1"/>
  <c r="U2" i="32" s="1" a="1"/>
  <c r="U2" i="32" s="1"/>
  <c r="Q655" i="44" a="1"/>
  <c r="Q655" i="44" s="1"/>
  <c r="I4" i="28" s="1" a="1"/>
  <c r="I4" i="28" s="1"/>
  <c r="E740" i="44"/>
  <c r="V6" i="17" s="1" a="1"/>
  <c r="V6" i="17" s="1"/>
  <c r="S655" i="44" a="1"/>
  <c r="S655" i="44" s="1"/>
  <c r="I4" i="30" s="1" a="1"/>
  <c r="I4" i="30" s="1"/>
  <c r="S731" i="44"/>
  <c r="M6" i="30" s="1" a="1"/>
  <c r="M6" i="30" s="1"/>
  <c r="R686" i="44" a="1"/>
  <c r="R686" i="44" s="1"/>
  <c r="P5" i="29" s="1" a="1"/>
  <c r="P5" i="29" s="1"/>
  <c r="E618" i="44" a="1"/>
  <c r="E618" i="44" s="1"/>
  <c r="T2" i="17" s="1" a="1"/>
  <c r="T2" i="17" s="1"/>
  <c r="U605" i="44" a="1"/>
  <c r="U605" i="44" s="1"/>
  <c r="G2" i="32" s="1" a="1"/>
  <c r="G2" i="32" s="1"/>
  <c r="U723" i="44"/>
  <c r="E6" i="32" s="1" a="1"/>
  <c r="E6" i="32" s="1"/>
  <c r="R691" i="44" a="1"/>
  <c r="R691" i="44" s="1"/>
  <c r="U5" i="29" s="1" a="1"/>
  <c r="U5" i="29" s="1"/>
  <c r="E631" i="44" a="1"/>
  <c r="E631" i="44" s="1"/>
  <c r="I3" i="17" s="1" a="1"/>
  <c r="I3" i="17" s="1"/>
  <c r="P675" i="44" a="1"/>
  <c r="P675" i="44" s="1"/>
  <c r="E5" i="11" s="1" a="1"/>
  <c r="E5" i="11" s="1"/>
  <c r="K730" i="44"/>
  <c r="L6" i="22" s="1" a="1"/>
  <c r="L6" i="22" s="1"/>
  <c r="V687" i="44" a="1"/>
  <c r="V687" i="44" s="1"/>
  <c r="Q5" i="10" s="1" a="1"/>
  <c r="Q5" i="10" s="1"/>
  <c r="R616" i="44" a="1"/>
  <c r="R616" i="44" s="1"/>
  <c r="R2" i="29" s="1" a="1"/>
  <c r="R2" i="29" s="1"/>
  <c r="R657" i="44" a="1"/>
  <c r="R657" i="44" s="1"/>
  <c r="K4" i="29" s="1" a="1"/>
  <c r="K4" i="29" s="1"/>
  <c r="X486" i="44"/>
  <c r="X418" i="44"/>
  <c r="S671" i="44" a="1"/>
  <c r="S671" i="44" s="1"/>
  <c r="Y4" i="30" s="1" a="1"/>
  <c r="Y4" i="30" s="1"/>
  <c r="R733" i="44"/>
  <c r="O6" i="29" s="1" a="1"/>
  <c r="O6" i="29" s="1"/>
  <c r="X584" i="44"/>
  <c r="G665" i="44" a="1"/>
  <c r="G665" i="44" s="1"/>
  <c r="S4" i="19" s="1" a="1"/>
  <c r="S4" i="19" s="1"/>
  <c r="E651" i="44" a="1"/>
  <c r="E651" i="44" s="1"/>
  <c r="E4" i="17" s="1" a="1"/>
  <c r="E4" i="17" s="1"/>
  <c r="V693" i="44" a="1"/>
  <c r="V693" i="44" s="1"/>
  <c r="W5" i="10" s="1" a="1"/>
  <c r="W5" i="10" s="1"/>
  <c r="T642" i="44" a="1"/>
  <c r="T642" i="44" s="1"/>
  <c r="T3" i="31" s="1" a="1"/>
  <c r="T3" i="31" s="1"/>
  <c r="T717" i="44"/>
  <c r="W7" i="31" s="1" a="1"/>
  <c r="W7" i="31" s="1"/>
  <c r="N687" i="44" a="1"/>
  <c r="N687" i="44" s="1"/>
  <c r="Q5" i="25" s="1" a="1"/>
  <c r="Q5" i="25" s="1"/>
  <c r="S641" i="44" a="1"/>
  <c r="S641" i="44" s="1"/>
  <c r="S3" i="30" s="1" a="1"/>
  <c r="S3" i="30" s="1"/>
  <c r="N665" i="44" a="1"/>
  <c r="N665" i="44" s="1"/>
  <c r="S4" i="25" s="1" a="1"/>
  <c r="S4" i="25" s="1"/>
  <c r="N741" i="44"/>
  <c r="W6" i="25" s="1" a="1"/>
  <c r="W6" i="25" s="1"/>
  <c r="K687" i="44" a="1"/>
  <c r="K687" i="44" s="1"/>
  <c r="Q5" i="22" s="1" a="1"/>
  <c r="Q5" i="22" s="1"/>
  <c r="V640" i="44" a="1"/>
  <c r="V640" i="44" s="1"/>
  <c r="R3" i="10" s="1" a="1"/>
  <c r="R3" i="10" s="1"/>
  <c r="X587" i="44"/>
  <c r="X463" i="44"/>
  <c r="E656" i="44" a="1"/>
  <c r="E656" i="44" s="1"/>
  <c r="J4" i="17" s="1" a="1"/>
  <c r="J4" i="17" s="1"/>
  <c r="N642" i="44" a="1"/>
  <c r="N642" i="44" s="1"/>
  <c r="T3" i="25" s="1" a="1"/>
  <c r="T3" i="25" s="1"/>
  <c r="P636" i="44" a="1"/>
  <c r="P636" i="44" s="1"/>
  <c r="N3" i="11" s="1" a="1"/>
  <c r="N3" i="11" s="1"/>
  <c r="N708" i="44"/>
  <c r="N7" i="25" s="1" a="1"/>
  <c r="N7" i="25" s="1"/>
  <c r="Q608" i="44" a="1"/>
  <c r="Q608" i="44" s="1"/>
  <c r="J2" i="28" s="1" a="1"/>
  <c r="J2" i="28" s="1"/>
  <c r="R622" i="44" a="1"/>
  <c r="R622" i="44" s="1"/>
  <c r="X2" i="29" s="1" a="1"/>
  <c r="X2" i="29" s="1"/>
  <c r="X529" i="44"/>
  <c r="Q717" i="44"/>
  <c r="W7" i="28" s="1" a="1"/>
  <c r="W7" i="28" s="1"/>
  <c r="N702" i="44"/>
  <c r="H7" i="25" s="1" a="1"/>
  <c r="H7" i="25" s="1"/>
  <c r="U631" i="44" a="1"/>
  <c r="U631" i="44" s="1"/>
  <c r="I3" i="32" s="1" a="1"/>
  <c r="I3" i="32" s="1"/>
  <c r="R619" i="44" a="1"/>
  <c r="R619" i="44" s="1"/>
  <c r="U2" i="29" s="1" a="1"/>
  <c r="U2" i="29" s="1"/>
  <c r="R600" i="44" a="1"/>
  <c r="R600" i="44" s="1"/>
  <c r="B2" i="29" s="1" a="1"/>
  <c r="B2" i="29" s="1"/>
  <c r="N609" i="44" a="1"/>
  <c r="N609" i="44" s="1"/>
  <c r="K2" i="25" s="1" a="1"/>
  <c r="K2" i="25" s="1"/>
  <c r="S657" i="44" a="1"/>
  <c r="S657" i="44" s="1"/>
  <c r="K4" i="30" s="1" a="1"/>
  <c r="K4" i="30" s="1"/>
  <c r="S659" i="44" a="1"/>
  <c r="S659" i="44" s="1"/>
  <c r="M4" i="30" s="1" a="1"/>
  <c r="M4" i="30" s="1"/>
  <c r="X542" i="44"/>
  <c r="H608" i="44" a="1"/>
  <c r="H608" i="44" s="1"/>
  <c r="J2" i="16" s="1" a="1"/>
  <c r="J2" i="16" s="1"/>
  <c r="X457" i="44"/>
  <c r="R735" i="44"/>
  <c r="Q6" i="29" s="1" a="1"/>
  <c r="Q6" i="29" s="1"/>
  <c r="N640" i="44" a="1"/>
  <c r="N640" i="44" s="1"/>
  <c r="R3" i="25" s="1" a="1"/>
  <c r="R3" i="25" s="1"/>
  <c r="N651" i="44" a="1"/>
  <c r="N651" i="44" s="1"/>
  <c r="E4" i="25" s="1" a="1"/>
  <c r="E4" i="25" s="1"/>
  <c r="Q713" i="44"/>
  <c r="S7" i="28" s="1" a="1"/>
  <c r="S7" i="28" s="1"/>
  <c r="G729" i="44"/>
  <c r="K6" i="19" s="1" a="1"/>
  <c r="K6" i="19" s="1"/>
  <c r="U606" i="44" a="1"/>
  <c r="U606" i="44" s="1"/>
  <c r="H2" i="32" s="1" a="1"/>
  <c r="H2" i="32" s="1"/>
  <c r="U615" i="44" a="1"/>
  <c r="U615" i="44" s="1"/>
  <c r="Q2" i="32" s="1" a="1"/>
  <c r="Q2" i="32" s="1"/>
  <c r="N410" i="44"/>
  <c r="N512" i="44"/>
  <c r="N423" i="44"/>
  <c r="N563" i="44"/>
  <c r="N579" i="44"/>
  <c r="N529" i="44"/>
  <c r="N466" i="44"/>
  <c r="N492" i="44"/>
  <c r="N425" i="44"/>
  <c r="N615" i="44" a="1"/>
  <c r="N615" i="44" s="1"/>
  <c r="Q2" i="25" s="1" a="1"/>
  <c r="Q2" i="25" s="1"/>
  <c r="R611" i="44" a="1"/>
  <c r="R611" i="44" s="1"/>
  <c r="M2" i="29" s="1" a="1"/>
  <c r="M2" i="29" s="1"/>
  <c r="X531" i="44"/>
  <c r="X443" i="44"/>
  <c r="P719" i="44"/>
  <c r="Y7" i="11" s="1" a="1"/>
  <c r="Y7" i="11" s="1"/>
  <c r="P672" i="44" a="1"/>
  <c r="P672" i="44" s="1"/>
  <c r="B5" i="11" s="1" a="1"/>
  <c r="B5" i="11" s="1"/>
  <c r="K659" i="44" a="1"/>
  <c r="K659" i="44" s="1"/>
  <c r="M4" i="22" s="1" a="1"/>
  <c r="M4" i="22" s="1"/>
  <c r="S723" i="44"/>
  <c r="E6" i="30" s="1" a="1"/>
  <c r="E6" i="30" s="1"/>
  <c r="R679" i="44" a="1"/>
  <c r="R679" i="44" s="1"/>
  <c r="I5" i="29" s="1" a="1"/>
  <c r="I5" i="29" s="1"/>
  <c r="U700" i="44"/>
  <c r="F7" i="32" s="1" a="1"/>
  <c r="F7" i="32" s="1"/>
  <c r="N419" i="44"/>
  <c r="N590" i="44"/>
  <c r="N516" i="44"/>
  <c r="N469" i="44"/>
  <c r="N580" i="44"/>
  <c r="N431" i="44"/>
  <c r="N455" i="44"/>
  <c r="N482" i="44"/>
  <c r="N417" i="44"/>
  <c r="V613" i="44" a="1"/>
  <c r="V613" i="44" s="1"/>
  <c r="O2" i="10" s="1" a="1"/>
  <c r="O2" i="10" s="1"/>
  <c r="X429" i="44"/>
  <c r="S631" i="44" a="1"/>
  <c r="S631" i="44" s="1"/>
  <c r="I3" i="30" s="1" a="1"/>
  <c r="I3" i="30" s="1"/>
  <c r="N641" i="44" a="1"/>
  <c r="N641" i="44" s="1"/>
  <c r="S3" i="25" s="1" a="1"/>
  <c r="S3" i="25" s="1"/>
  <c r="R689" i="44" a="1"/>
  <c r="R689" i="44" s="1"/>
  <c r="S5" i="29" s="1" a="1"/>
  <c r="S5" i="29" s="1"/>
  <c r="Q710" i="44"/>
  <c r="P7" i="28" s="1" a="1"/>
  <c r="P7" i="28" s="1"/>
  <c r="U650" i="44" a="1"/>
  <c r="U650" i="44" s="1"/>
  <c r="D4" i="32" s="1" a="1"/>
  <c r="D4" i="32" s="1"/>
  <c r="R623" i="44" a="1"/>
  <c r="R623" i="44" s="1"/>
  <c r="Y2" i="29" s="1" a="1"/>
  <c r="Y2" i="29" s="1"/>
  <c r="X450" i="44"/>
  <c r="K698" i="44"/>
  <c r="D7" i="22" s="1" a="1"/>
  <c r="D7" i="22" s="1"/>
  <c r="V652" i="44" a="1"/>
  <c r="V652" i="44" s="1"/>
  <c r="F4" i="10" s="1" a="1"/>
  <c r="F4" i="10" s="1"/>
  <c r="S690" i="44" a="1"/>
  <c r="S690" i="44" s="1"/>
  <c r="T5" i="30" s="1" a="1"/>
  <c r="T5" i="30" s="1"/>
  <c r="T614" i="44" a="1"/>
  <c r="T614" i="44" s="1"/>
  <c r="P2" i="31" s="1" a="1"/>
  <c r="P2" i="31" s="1"/>
  <c r="U610" i="44" a="1"/>
  <c r="U610" i="44" s="1"/>
  <c r="L2" i="32" s="1" a="1"/>
  <c r="L2" i="32" s="1"/>
  <c r="X559" i="44"/>
  <c r="K715" i="44"/>
  <c r="U7" i="22" s="1" a="1"/>
  <c r="U7" i="22" s="1"/>
  <c r="T625" i="44" a="1"/>
  <c r="T625" i="44" s="1"/>
  <c r="C3" i="31" s="1" a="1"/>
  <c r="C3" i="31" s="1"/>
  <c r="K626" i="44" a="1"/>
  <c r="K626" i="44" s="1"/>
  <c r="D3" i="22" s="1" a="1"/>
  <c r="D3" i="22" s="1"/>
  <c r="T706" i="44"/>
  <c r="L7" i="31" s="1" a="1"/>
  <c r="L7" i="31" s="1"/>
  <c r="X469" i="44"/>
  <c r="U662" i="44" a="1"/>
  <c r="U662" i="44" s="1"/>
  <c r="P4" i="32" s="1" a="1"/>
  <c r="P4" i="32" s="1"/>
  <c r="H741" i="44"/>
  <c r="W6" i="16" s="1" a="1"/>
  <c r="W6" i="16" s="1"/>
  <c r="G679" i="44" a="1"/>
  <c r="G679" i="44" s="1"/>
  <c r="I5" i="19" s="1" a="1"/>
  <c r="I5" i="19" s="1"/>
  <c r="H622" i="44" a="1"/>
  <c r="H622" i="44" s="1"/>
  <c r="X2" i="16" s="1" a="1"/>
  <c r="X2" i="16" s="1"/>
  <c r="X403" i="44"/>
  <c r="S650" i="44" a="1"/>
  <c r="S650" i="44" s="1"/>
  <c r="D4" i="30" s="1" a="1"/>
  <c r="D4" i="30" s="1"/>
  <c r="N668" i="44" a="1"/>
  <c r="N668" i="44" s="1"/>
  <c r="V4" i="25" s="1" a="1"/>
  <c r="V4" i="25" s="1"/>
  <c r="X454" i="44"/>
  <c r="V712" i="44"/>
  <c r="R7" i="10" s="1" a="1"/>
  <c r="R7" i="10" s="1"/>
  <c r="V659" i="44" a="1"/>
  <c r="V659" i="44" s="1"/>
  <c r="M4" i="10" s="1" a="1"/>
  <c r="M4" i="10" s="1"/>
  <c r="K634" i="44" a="1"/>
  <c r="K634" i="44" s="1"/>
  <c r="L3" i="22" s="1" a="1"/>
  <c r="L3" i="22" s="1"/>
  <c r="P727" i="44"/>
  <c r="I6" i="11" s="1" a="1"/>
  <c r="I6" i="11" s="1"/>
  <c r="R734" i="44"/>
  <c r="P6" i="29" s="1" a="1"/>
  <c r="P6" i="29" s="1"/>
  <c r="G607" i="44" a="1"/>
  <c r="G607" i="44" s="1"/>
  <c r="I2" i="19" s="1" a="1"/>
  <c r="I2" i="19" s="1"/>
  <c r="X467" i="44"/>
  <c r="W736" i="44" s="1"/>
  <c r="R6" i="33" s="1" a="1"/>
  <c r="R6" i="33" s="1"/>
  <c r="N731" i="44"/>
  <c r="M6" i="25" s="1" a="1"/>
  <c r="M6" i="25" s="1"/>
  <c r="H734" i="44"/>
  <c r="P6" i="16" s="1" a="1"/>
  <c r="P6" i="16" s="1"/>
  <c r="R648" i="44" a="1"/>
  <c r="R648" i="44" s="1"/>
  <c r="B4" i="29" s="1" a="1"/>
  <c r="B4" i="29" s="1"/>
  <c r="H670" i="44" a="1"/>
  <c r="H670" i="44" s="1"/>
  <c r="X4" i="16" s="1" a="1"/>
  <c r="X4" i="16" s="1"/>
  <c r="X557" i="44"/>
  <c r="N695" i="44" a="1"/>
  <c r="N695" i="44" s="1"/>
  <c r="Y5" i="25" s="1" a="1"/>
  <c r="Y5" i="25" s="1"/>
  <c r="G708" i="44"/>
  <c r="N7" i="19" s="1" a="1"/>
  <c r="N7" i="19" s="1"/>
  <c r="R626" i="44" a="1"/>
  <c r="R626" i="44" s="1"/>
  <c r="D3" i="29" s="1" a="1"/>
  <c r="D3" i="29" s="1"/>
  <c r="G719" i="44"/>
  <c r="Y7" i="19" s="1" a="1"/>
  <c r="Y7" i="19" s="1"/>
  <c r="Q631" i="44" a="1"/>
  <c r="Q631" i="44" s="1"/>
  <c r="I3" i="28" s="1" a="1"/>
  <c r="I3" i="28" s="1"/>
  <c r="G704" i="44"/>
  <c r="J7" i="19" s="1" a="1"/>
  <c r="J7" i="19" s="1"/>
  <c r="P649" i="44" a="1"/>
  <c r="P649" i="44" s="1"/>
  <c r="C4" i="11" s="1" a="1"/>
  <c r="C4" i="11" s="1"/>
  <c r="X488" i="44"/>
  <c r="N716" i="44"/>
  <c r="V7" i="25" s="1" a="1"/>
  <c r="V7" i="25" s="1"/>
  <c r="Q716" i="44"/>
  <c r="V7" i="28" s="1" a="1"/>
  <c r="V7" i="28" s="1"/>
  <c r="X591" i="44"/>
  <c r="S687" i="44" a="1"/>
  <c r="S687" i="44" s="1"/>
  <c r="Q5" i="30" s="1" a="1"/>
  <c r="Q5" i="30" s="1"/>
  <c r="Q680" i="44" a="1"/>
  <c r="Q680" i="44" s="1"/>
  <c r="J5" i="28" s="1" a="1"/>
  <c r="J5" i="28" s="1"/>
  <c r="G713" i="44"/>
  <c r="S7" i="19" s="1" a="1"/>
  <c r="S7" i="19" s="1"/>
  <c r="X420" i="44"/>
  <c r="X493" i="44"/>
  <c r="P613" i="44" a="1"/>
  <c r="P613" i="44" s="1"/>
  <c r="O2" i="11" s="1" a="1"/>
  <c r="O2" i="11" s="1"/>
  <c r="K719" i="44"/>
  <c r="Y7" i="22" s="1" a="1"/>
  <c r="Y7" i="22" s="1"/>
  <c r="S693" i="44" a="1"/>
  <c r="S693" i="44" s="1"/>
  <c r="W5" i="30" s="1" a="1"/>
  <c r="W5" i="30" s="1"/>
  <c r="Q634" i="44" a="1"/>
  <c r="Q634" i="44" s="1"/>
  <c r="L3" i="28" s="1" a="1"/>
  <c r="L3" i="28" s="1"/>
  <c r="S738" i="44"/>
  <c r="T6" i="30" s="1" a="1"/>
  <c r="T6" i="30" s="1"/>
  <c r="Q725" i="44"/>
  <c r="G6" i="28" s="1" a="1"/>
  <c r="G6" i="28" s="1"/>
  <c r="N571" i="44"/>
  <c r="N567" i="44"/>
  <c r="N478" i="44"/>
  <c r="N433" i="44"/>
  <c r="N454" i="44"/>
  <c r="N446" i="44"/>
  <c r="N434" i="44"/>
  <c r="N565" i="44"/>
  <c r="N496" i="44"/>
  <c r="V716" i="44"/>
  <c r="V7" i="10" s="1" a="1"/>
  <c r="V7" i="10" s="1"/>
  <c r="X433" i="44"/>
  <c r="X520" i="44"/>
  <c r="U655" i="44" a="1"/>
  <c r="U655" i="44" s="1"/>
  <c r="I4" i="32" s="1" a="1"/>
  <c r="I4" i="32" s="1"/>
  <c r="K628" i="44" a="1"/>
  <c r="K628" i="44" s="1"/>
  <c r="F3" i="22" s="1" a="1"/>
  <c r="F3" i="22" s="1"/>
  <c r="E707" i="44"/>
  <c r="M7" i="17" s="1" a="1"/>
  <c r="M7" i="17" s="1"/>
  <c r="N493" i="44"/>
  <c r="N451" i="44"/>
  <c r="N575" i="44"/>
  <c r="N405" i="44"/>
  <c r="N566" i="44"/>
  <c r="N536" i="44"/>
  <c r="N541" i="44"/>
  <c r="N562" i="44"/>
  <c r="N490" i="44"/>
  <c r="V656" i="44" a="1"/>
  <c r="V656" i="44" s="1"/>
  <c r="J4" i="10" s="1" a="1"/>
  <c r="J4" i="10" s="1"/>
  <c r="X500" i="44"/>
  <c r="X421" i="44"/>
  <c r="S664" i="44" a="1"/>
  <c r="S664" i="44" s="1"/>
  <c r="R4" i="30" s="1" a="1"/>
  <c r="R4" i="30" s="1"/>
  <c r="E725" i="44"/>
  <c r="G6" i="17" s="1" a="1"/>
  <c r="G6" i="17" s="1"/>
  <c r="P733" i="44"/>
  <c r="O6" i="11" s="1" a="1"/>
  <c r="O6" i="11" s="1"/>
  <c r="S692" i="44" a="1"/>
  <c r="S692" i="44" s="1"/>
  <c r="V5" i="30" s="1" a="1"/>
  <c r="V5" i="30" s="1"/>
  <c r="Q742" i="44"/>
  <c r="X6" i="28" s="1" a="1"/>
  <c r="X6" i="28" s="1"/>
  <c r="Q706" i="44"/>
  <c r="L7" i="28" s="1" a="1"/>
  <c r="L7" i="28" s="1"/>
  <c r="U728" i="44"/>
  <c r="J6" i="32" s="1" a="1"/>
  <c r="J6" i="32" s="1"/>
  <c r="Q733" i="44"/>
  <c r="O6" i="28" s="1" a="1"/>
  <c r="O6" i="28" s="1"/>
  <c r="Y420" i="44"/>
  <c r="U604" i="44" a="1"/>
  <c r="U604" i="44" s="1"/>
  <c r="F2" i="32" s="1" a="1"/>
  <c r="F2" i="32" s="1"/>
  <c r="N409" i="44"/>
  <c r="N587" i="44"/>
  <c r="N406" i="44"/>
  <c r="N453" i="44"/>
  <c r="N510" i="44"/>
  <c r="N555" i="44"/>
  <c r="N448" i="44"/>
  <c r="N549" i="44"/>
  <c r="N584" i="44"/>
  <c r="E702" i="44"/>
  <c r="H7" i="17" s="1" a="1"/>
  <c r="H7" i="17" s="1"/>
  <c r="N613" i="44" a="1"/>
  <c r="N613" i="44" s="1"/>
  <c r="O2" i="25" s="1" a="1"/>
  <c r="O2" i="25" s="1"/>
  <c r="P697" i="44"/>
  <c r="C7" i="11" s="1" a="1"/>
  <c r="C7" i="11" s="1"/>
  <c r="X509" i="44"/>
  <c r="X487" i="44"/>
  <c r="X449" i="44"/>
  <c r="X546" i="44"/>
  <c r="X453" i="44"/>
  <c r="X459" i="44"/>
  <c r="X583" i="44"/>
  <c r="X510" i="44"/>
  <c r="E711" i="44"/>
  <c r="Q7" i="17" s="1" a="1"/>
  <c r="Q7" i="17" s="1"/>
  <c r="E628" i="44" a="1"/>
  <c r="E628" i="44" s="1"/>
  <c r="F3" i="17" s="1" a="1"/>
  <c r="F3" i="17" s="1"/>
  <c r="Q653" i="44" a="1"/>
  <c r="Q653" i="44" s="1"/>
  <c r="G4" i="28" s="1" a="1"/>
  <c r="G4" i="28" s="1"/>
  <c r="U696" i="44"/>
  <c r="B7" i="32" s="1" a="1"/>
  <c r="B7" i="32" s="1"/>
  <c r="N694" i="44" a="1"/>
  <c r="N694" i="44" s="1"/>
  <c r="X5" i="25" s="1" a="1"/>
  <c r="X5" i="25" s="1"/>
  <c r="T619" i="44" a="1"/>
  <c r="T619" i="44" s="1"/>
  <c r="U2" i="31" s="1" a="1"/>
  <c r="U2" i="31" s="1"/>
  <c r="H700" i="44"/>
  <c r="F7" i="16" s="1" a="1"/>
  <c r="F7" i="16" s="1"/>
  <c r="Y447" i="44"/>
  <c r="P609" i="44" a="1"/>
  <c r="P609" i="44" s="1"/>
  <c r="K2" i="11" s="1" a="1"/>
  <c r="K2" i="11" s="1"/>
  <c r="X594" i="44"/>
  <c r="X425" i="44"/>
  <c r="X593" i="44"/>
  <c r="X540" i="44"/>
  <c r="X535" i="44"/>
  <c r="X568" i="44"/>
  <c r="X549" i="44"/>
  <c r="X485" i="44"/>
  <c r="X413" i="44"/>
  <c r="K643" i="44" a="1"/>
  <c r="K643" i="44" s="1"/>
  <c r="U3" i="22" s="1" a="1"/>
  <c r="U3" i="22" s="1"/>
  <c r="U733" i="44"/>
  <c r="O6" i="32" s="1" a="1"/>
  <c r="O6" i="32" s="1"/>
  <c r="G692" i="44" a="1"/>
  <c r="G692" i="44" s="1"/>
  <c r="V5" i="19" s="1" a="1"/>
  <c r="V5" i="19" s="1"/>
  <c r="Y550" i="44"/>
  <c r="X515" i="44"/>
  <c r="X576" i="44"/>
  <c r="X460" i="44"/>
  <c r="X412" i="44"/>
  <c r="X434" i="44"/>
  <c r="X470" i="44"/>
  <c r="X548" i="44"/>
  <c r="X575" i="44"/>
  <c r="X506" i="44"/>
  <c r="N662" i="44" a="1"/>
  <c r="N662" i="44" s="1"/>
  <c r="P4" i="25" s="1" a="1"/>
  <c r="P4" i="25" s="1"/>
  <c r="S604" i="44" a="1"/>
  <c r="S604" i="44" s="1"/>
  <c r="F2" i="30" s="1" a="1"/>
  <c r="F2" i="30" s="1"/>
  <c r="E718" i="44"/>
  <c r="X7" i="17" s="1" a="1"/>
  <c r="X7" i="17" s="1"/>
  <c r="R688" i="44" a="1"/>
  <c r="R688" i="44" s="1"/>
  <c r="R5" i="29" s="1" a="1"/>
  <c r="R5" i="29" s="1"/>
  <c r="Y528" i="44"/>
  <c r="U620" i="44" a="1"/>
  <c r="U620" i="44" s="1"/>
  <c r="V2" i="32" s="1" a="1"/>
  <c r="V2" i="32" s="1"/>
  <c r="P702" i="44"/>
  <c r="H7" i="11" s="1" a="1"/>
  <c r="H7" i="11" s="1"/>
  <c r="E616" i="44" a="1"/>
  <c r="E616" i="44" s="1"/>
  <c r="R2" i="17" s="1" a="1"/>
  <c r="R2" i="17" s="1"/>
  <c r="X558" i="44"/>
  <c r="X553" i="44"/>
  <c r="X436" i="44"/>
  <c r="X405" i="44"/>
  <c r="X432" i="44"/>
  <c r="X560" i="44"/>
  <c r="X586" i="44"/>
  <c r="X477" i="44"/>
  <c r="X502" i="44"/>
  <c r="E684" i="44" a="1"/>
  <c r="E684" i="44" s="1"/>
  <c r="N5" i="17" s="1" a="1"/>
  <c r="N5" i="17" s="1"/>
  <c r="R722" i="44"/>
  <c r="D6" i="29" s="1" a="1"/>
  <c r="D6" i="29" s="1"/>
  <c r="U695" i="44" a="1"/>
  <c r="U695" i="44" s="1"/>
  <c r="Y5" i="32" s="1" a="1"/>
  <c r="Y5" i="32" s="1"/>
  <c r="Q737" i="44"/>
  <c r="S6" i="28" s="1" a="1"/>
  <c r="S6" i="28" s="1"/>
  <c r="Q679" i="44" a="1"/>
  <c r="Q679" i="44" s="1"/>
  <c r="I5" i="28" s="1" a="1"/>
  <c r="I5" i="28" s="1"/>
  <c r="R699" i="44"/>
  <c r="E7" i="29" s="1" a="1"/>
  <c r="E7" i="29" s="1"/>
  <c r="Y510" i="44"/>
  <c r="V611" i="44" a="1"/>
  <c r="V611" i="44" s="1"/>
  <c r="M2" i="10" s="1" a="1"/>
  <c r="M2" i="10" s="1"/>
  <c r="X571" i="44"/>
  <c r="X526" i="44"/>
  <c r="X522" i="44"/>
  <c r="X409" i="44"/>
  <c r="X543" i="44"/>
  <c r="X462" i="44"/>
  <c r="X480" i="44"/>
  <c r="X476" i="44"/>
  <c r="X426" i="44"/>
  <c r="Q661" i="44" a="1"/>
  <c r="Q661" i="44" s="1"/>
  <c r="O4" i="28" s="1" a="1"/>
  <c r="O4" i="28" s="1"/>
  <c r="G706" i="44"/>
  <c r="L7" i="19" s="1" a="1"/>
  <c r="L7" i="19" s="1"/>
  <c r="Y582" i="44"/>
  <c r="X579" i="44"/>
  <c r="X544" i="44"/>
  <c r="X494" i="44"/>
  <c r="X484" i="44"/>
  <c r="X533" i="44"/>
  <c r="X552" i="44"/>
  <c r="X496" i="44"/>
  <c r="X475" i="44"/>
  <c r="X519" i="44"/>
  <c r="P735" i="44"/>
  <c r="Q6" i="11" s="1" a="1"/>
  <c r="Q6" i="11" s="1"/>
  <c r="V690" i="44" a="1"/>
  <c r="V690" i="44" s="1"/>
  <c r="T5" i="10" s="1" a="1"/>
  <c r="T5" i="10" s="1"/>
  <c r="V697" i="44"/>
  <c r="C7" i="10" s="1" a="1"/>
  <c r="C7" i="10" s="1"/>
  <c r="T703" i="44"/>
  <c r="I7" i="31" s="1" a="1"/>
  <c r="I7" i="31" s="1"/>
  <c r="V695" i="44" a="1"/>
  <c r="V695" i="44" s="1"/>
  <c r="Y5" i="10" s="1" a="1"/>
  <c r="Y5" i="10" s="1"/>
  <c r="E696" i="44"/>
  <c r="B7" i="17" s="1" a="1"/>
  <c r="B7" i="17" s="1"/>
  <c r="V722" i="44"/>
  <c r="D6" i="10" s="1" a="1"/>
  <c r="D6" i="10" s="1"/>
  <c r="K726" i="44"/>
  <c r="H6" i="22" s="1" a="1"/>
  <c r="H6" i="22" s="1"/>
  <c r="T696" i="44"/>
  <c r="B7" i="31" s="1" a="1"/>
  <c r="B7" i="31" s="1"/>
  <c r="P714" i="44"/>
  <c r="T7" i="11" s="1" a="1"/>
  <c r="T7" i="11" s="1"/>
  <c r="Q646" i="44" a="1"/>
  <c r="Q646" i="44" s="1"/>
  <c r="X3" i="28" s="1" a="1"/>
  <c r="X3" i="28" s="1"/>
  <c r="N696" i="44"/>
  <c r="B7" i="25" s="1" a="1"/>
  <c r="B7" i="25" s="1"/>
  <c r="Q682" i="44" a="1"/>
  <c r="Q682" i="44" s="1"/>
  <c r="L5" i="28" s="1" a="1"/>
  <c r="L5" i="28" s="1"/>
  <c r="R668" i="44" a="1"/>
  <c r="R668" i="44" s="1"/>
  <c r="V4" i="29" s="1" a="1"/>
  <c r="V4" i="29" s="1"/>
  <c r="Q731" i="44"/>
  <c r="M6" i="28" s="1" a="1"/>
  <c r="M6" i="28" s="1"/>
  <c r="N715" i="44"/>
  <c r="U7" i="25" s="1" a="1"/>
  <c r="U7" i="25" s="1"/>
  <c r="R730" i="44"/>
  <c r="L6" i="29" s="1" a="1"/>
  <c r="L6" i="29" s="1"/>
  <c r="N637" i="44" a="1"/>
  <c r="N637" i="44" s="1"/>
  <c r="O3" i="25" s="1" a="1"/>
  <c r="O3" i="25" s="1"/>
  <c r="Y545" i="44"/>
  <c r="R665" i="44" a="1"/>
  <c r="R665" i="44" s="1"/>
  <c r="S4" i="29" s="1" a="1"/>
  <c r="S4" i="29" s="1"/>
  <c r="Q614" i="44" a="1"/>
  <c r="Q614" i="44" s="1"/>
  <c r="P2" i="28" s="1" a="1"/>
  <c r="P2" i="28" s="1"/>
  <c r="X501" i="44"/>
  <c r="X508" i="44"/>
  <c r="X495" i="44"/>
  <c r="X455" i="44"/>
  <c r="X538" i="44"/>
  <c r="X570" i="44"/>
  <c r="X479" i="44"/>
  <c r="X419" i="44"/>
  <c r="X511" i="44"/>
  <c r="G686" i="44" a="1"/>
  <c r="G686" i="44" s="1"/>
  <c r="P5" i="19" s="1" a="1"/>
  <c r="P5" i="19" s="1"/>
  <c r="R713" i="44"/>
  <c r="S7" i="29" s="1" a="1"/>
  <c r="S7" i="29" s="1"/>
  <c r="N692" i="44" a="1"/>
  <c r="N692" i="44" s="1"/>
  <c r="V5" i="25" s="1" a="1"/>
  <c r="V5" i="25" s="1"/>
  <c r="P645" i="44" a="1"/>
  <c r="P645" i="44" s="1"/>
  <c r="W3" i="11" s="1" a="1"/>
  <c r="W3" i="11" s="1"/>
  <c r="N625" i="44" a="1"/>
  <c r="N625" i="44" s="1"/>
  <c r="C3" i="25" s="1" a="1"/>
  <c r="C3" i="25" s="1"/>
  <c r="Y530" i="44"/>
  <c r="X417" i="44"/>
  <c r="X503" i="44"/>
  <c r="X430" i="44"/>
  <c r="X465" i="44"/>
  <c r="X427" i="44"/>
  <c r="X472" i="44"/>
  <c r="X588" i="44"/>
  <c r="X512" i="44"/>
  <c r="X414" i="44"/>
  <c r="E678" i="44" a="1"/>
  <c r="E678" i="44" s="1"/>
  <c r="H5" i="17" s="1" a="1"/>
  <c r="H5" i="17" s="1"/>
  <c r="E719" i="44"/>
  <c r="Y7" i="17" s="1" a="1"/>
  <c r="Y7" i="17" s="1"/>
  <c r="P642" i="44" a="1"/>
  <c r="P642" i="44" s="1"/>
  <c r="T3" i="11" s="1" a="1"/>
  <c r="T3" i="11" s="1"/>
  <c r="K703" i="44"/>
  <c r="I7" i="22" s="1" a="1"/>
  <c r="I7" i="22" s="1"/>
  <c r="T646" i="44" a="1"/>
  <c r="T646" i="44" s="1"/>
  <c r="X3" i="31" s="1" a="1"/>
  <c r="X3" i="31" s="1"/>
  <c r="N685" i="44" a="1"/>
  <c r="N685" i="44" s="1"/>
  <c r="O5" i="25" s="1" a="1"/>
  <c r="O5" i="25" s="1"/>
  <c r="G664" i="44" a="1"/>
  <c r="G664" i="44" s="1"/>
  <c r="R4" i="19" s="1" a="1"/>
  <c r="R4" i="19" s="1"/>
  <c r="H714" i="44"/>
  <c r="T7" i="16" s="1" a="1"/>
  <c r="T7" i="16" s="1"/>
  <c r="T609" i="44" a="1"/>
  <c r="T609" i="44" s="1"/>
  <c r="K2" i="31" s="1" a="1"/>
  <c r="K2" i="31" s="1"/>
  <c r="Y533" i="44"/>
  <c r="X574" i="44"/>
  <c r="X582" i="44"/>
  <c r="N620" i="44" a="1"/>
  <c r="N620" i="44" s="1"/>
  <c r="V2" i="25" s="1" a="1"/>
  <c r="V2" i="25" s="1"/>
  <c r="H664" i="44" a="1"/>
  <c r="H664" i="44" s="1"/>
  <c r="R4" i="16" s="1" a="1"/>
  <c r="R4" i="16" s="1"/>
  <c r="X492" i="44"/>
  <c r="X505" i="44"/>
  <c r="X441" i="44"/>
  <c r="X536" i="44"/>
  <c r="X447" i="44"/>
  <c r="X464" i="44"/>
  <c r="X490" i="44"/>
  <c r="X415" i="44"/>
  <c r="X507" i="44"/>
  <c r="E639" i="44" a="1"/>
  <c r="E639" i="44" s="1"/>
  <c r="Q3" i="17" s="1" a="1"/>
  <c r="Q3" i="17" s="1"/>
  <c r="P686" i="44" a="1"/>
  <c r="P686" i="44" s="1"/>
  <c r="P5" i="11" s="1" a="1"/>
  <c r="P5" i="11" s="1"/>
  <c r="T636" i="44" a="1"/>
  <c r="T636" i="44" s="1"/>
  <c r="N3" i="31" s="1" a="1"/>
  <c r="N3" i="31" s="1"/>
  <c r="S645" i="44" a="1"/>
  <c r="S645" i="44" s="1"/>
  <c r="W3" i="30" s="1" a="1"/>
  <c r="W3" i="30" s="1"/>
  <c r="Q711" i="44"/>
  <c r="Q7" i="28" s="1" a="1"/>
  <c r="Q7" i="28" s="1"/>
  <c r="X590" i="44"/>
  <c r="P623" i="44" a="1"/>
  <c r="P623" i="44" s="1"/>
  <c r="Y2" i="11" s="1" a="1"/>
  <c r="Y2" i="11" s="1"/>
  <c r="Y472" i="44"/>
  <c r="X539" i="44"/>
  <c r="X585" i="44"/>
  <c r="X489" i="44"/>
  <c r="X431" i="44"/>
  <c r="X528" i="44"/>
  <c r="X437" i="44"/>
  <c r="X554" i="44"/>
  <c r="X580" i="44"/>
  <c r="X411" i="44"/>
  <c r="X410" i="44"/>
  <c r="V632" i="44" a="1"/>
  <c r="V632" i="44" s="1"/>
  <c r="J3" i="10" s="1" a="1"/>
  <c r="J3" i="10" s="1"/>
  <c r="K636" i="44" a="1"/>
  <c r="K636" i="44" s="1"/>
  <c r="N3" i="22" s="1" a="1"/>
  <c r="N3" i="22" s="1"/>
  <c r="E706" i="44"/>
  <c r="L7" i="17" s="1" a="1"/>
  <c r="L7" i="17" s="1"/>
  <c r="H629" i="44" a="1"/>
  <c r="H629" i="44" s="1"/>
  <c r="G3" i="16" s="1" a="1"/>
  <c r="G3" i="16" s="1"/>
  <c r="S663" i="44" a="1"/>
  <c r="S663" i="44" s="1"/>
  <c r="Q4" i="30" s="1" a="1"/>
  <c r="Q4" i="30" s="1"/>
  <c r="Q621" i="44" a="1"/>
  <c r="Q621" i="44" s="1"/>
  <c r="W2" i="28" s="1" a="1"/>
  <c r="W2" i="28" s="1"/>
  <c r="Y562" i="44"/>
  <c r="K609" i="44" a="1"/>
  <c r="K609" i="44" s="1"/>
  <c r="K2" i="22" s="1" a="1"/>
  <c r="K2" i="22" s="1"/>
  <c r="X473" i="44"/>
  <c r="X481" i="44"/>
  <c r="X532" i="44"/>
  <c r="X440" i="44"/>
  <c r="X435" i="44"/>
  <c r="X456" i="44"/>
  <c r="X482" i="44"/>
  <c r="X504" i="44"/>
  <c r="P679" i="44" a="1"/>
  <c r="P679" i="44" s="1"/>
  <c r="I5" i="11" s="1" a="1"/>
  <c r="I5" i="11" s="1"/>
  <c r="K672" i="44" a="1"/>
  <c r="K672" i="44" s="1"/>
  <c r="B5" i="22" s="1" a="1"/>
  <c r="B5" i="22" s="1"/>
  <c r="K706" i="44"/>
  <c r="L7" i="22" s="1" a="1"/>
  <c r="L7" i="22" s="1"/>
  <c r="K716" i="44"/>
  <c r="V7" i="22" s="1" a="1"/>
  <c r="V7" i="22" s="1"/>
  <c r="Y578" i="44"/>
  <c r="H605" i="44" a="1"/>
  <c r="H605" i="44" s="1"/>
  <c r="G2" i="16" s="1" a="1"/>
  <c r="G2" i="16" s="1"/>
  <c r="U618" i="44" a="1"/>
  <c r="U618" i="44" s="1"/>
  <c r="T2" i="32" s="1" a="1"/>
  <c r="T2" i="32" s="1"/>
  <c r="T621" i="44" a="1"/>
  <c r="T621" i="44" s="1"/>
  <c r="W2" i="31" s="1" a="1"/>
  <c r="W2" i="31" s="1"/>
  <c r="X550" i="44"/>
  <c r="X577" i="44"/>
  <c r="X439" i="44"/>
  <c r="X527" i="44"/>
  <c r="X524" i="44"/>
  <c r="X474" i="44"/>
  <c r="X589" i="44"/>
  <c r="X407" i="44"/>
  <c r="P658" i="44" a="1"/>
  <c r="P658" i="44" s="1"/>
  <c r="L4" i="11" s="1" a="1"/>
  <c r="L4" i="11" s="1"/>
  <c r="K711" i="44"/>
  <c r="Q7" i="22" s="1" a="1"/>
  <c r="Q7" i="22" s="1"/>
  <c r="K695" i="44" a="1"/>
  <c r="K695" i="44" s="1"/>
  <c r="Y5" i="22" s="1" a="1"/>
  <c r="Y5" i="22" s="1"/>
  <c r="S717" i="44"/>
  <c r="W7" i="30" s="1" a="1"/>
  <c r="W7" i="30" s="1"/>
  <c r="S637" i="44" a="1"/>
  <c r="S637" i="44" s="1"/>
  <c r="O3" i="30" s="1" a="1"/>
  <c r="O3" i="30" s="1"/>
  <c r="Y585" i="44"/>
  <c r="U603" i="44" a="1"/>
  <c r="U603" i="44" s="1"/>
  <c r="E2" i="32" s="1" a="1"/>
  <c r="E2" i="32" s="1"/>
  <c r="X471" i="44"/>
  <c r="X561" i="44"/>
  <c r="X446" i="44"/>
  <c r="X448" i="44"/>
  <c r="X567" i="44"/>
  <c r="X564" i="44"/>
  <c r="X491" i="44"/>
  <c r="X521" i="44"/>
  <c r="V638" i="44" a="1"/>
  <c r="V638" i="44" s="1"/>
  <c r="P3" i="10" s="1" a="1"/>
  <c r="P3" i="10" s="1"/>
  <c r="V705" i="44"/>
  <c r="K7" i="10" s="1" a="1"/>
  <c r="K7" i="10" s="1"/>
  <c r="V710" i="44"/>
  <c r="P7" i="10" s="1" a="1"/>
  <c r="P7" i="10" s="1"/>
  <c r="T659" i="44" a="1"/>
  <c r="T659" i="44" s="1"/>
  <c r="M4" i="31" s="1" a="1"/>
  <c r="M4" i="31" s="1"/>
  <c r="H720" i="44"/>
  <c r="B6" i="16" s="1" a="1"/>
  <c r="B6" i="16" s="1"/>
  <c r="S710" i="44"/>
  <c r="P7" i="30" s="1" a="1"/>
  <c r="P7" i="30" s="1"/>
  <c r="V617" i="44" a="1"/>
  <c r="V617" i="44" s="1"/>
  <c r="S2" i="10" s="1" a="1"/>
  <c r="S2" i="10" s="1"/>
  <c r="Y477" i="44"/>
  <c r="U608" i="44" a="1"/>
  <c r="U608" i="44" s="1"/>
  <c r="J2" i="32" s="1" a="1"/>
  <c r="J2" i="32" s="1"/>
  <c r="X468" i="44"/>
  <c r="X406" i="44"/>
  <c r="X438" i="44"/>
  <c r="X445" i="44"/>
  <c r="X551" i="44"/>
  <c r="X466" i="44"/>
  <c r="X581" i="44"/>
  <c r="X424" i="44"/>
  <c r="P708" i="44"/>
  <c r="N7" i="11" s="1" a="1"/>
  <c r="N7" i="11" s="1"/>
  <c r="E640" i="44" a="1"/>
  <c r="E640" i="44" s="1"/>
  <c r="R3" i="17" s="1" a="1"/>
  <c r="R3" i="17" s="1"/>
  <c r="P628" i="44" a="1"/>
  <c r="P628" i="44" s="1"/>
  <c r="F3" i="11" s="1" a="1"/>
  <c r="F3" i="11" s="1"/>
  <c r="Q617" i="44" a="1"/>
  <c r="Q617" i="44" s="1"/>
  <c r="S2" i="28" s="1" a="1"/>
  <c r="S2" i="28" s="1"/>
  <c r="X523" i="44"/>
  <c r="Y476" i="44"/>
  <c r="X444" i="44"/>
  <c r="X517" i="44"/>
  <c r="X545" i="44"/>
  <c r="X525" i="44"/>
  <c r="X452" i="44"/>
  <c r="X556" i="44"/>
  <c r="X483" i="44"/>
  <c r="X416" i="44"/>
  <c r="E670" i="44" a="1"/>
  <c r="E670" i="44" s="1"/>
  <c r="X4" i="17" s="1" a="1"/>
  <c r="X4" i="17" s="1"/>
  <c r="P626" i="44" a="1"/>
  <c r="P626" i="44" s="1"/>
  <c r="D3" i="11" s="1" a="1"/>
  <c r="D3" i="11" s="1"/>
  <c r="P641" i="44" a="1"/>
  <c r="P641" i="44" s="1"/>
  <c r="S3" i="11" s="1" a="1"/>
  <c r="S3" i="11" s="1"/>
  <c r="E685" i="44" a="1"/>
  <c r="E685" i="44" s="1"/>
  <c r="O5" i="17" s="1" a="1"/>
  <c r="O5" i="17" s="1"/>
  <c r="E646" i="44" a="1"/>
  <c r="E646" i="44" s="1"/>
  <c r="X3" i="17" s="1" a="1"/>
  <c r="X3" i="17" s="1"/>
  <c r="P704" i="44"/>
  <c r="J7" i="11" s="1" a="1"/>
  <c r="J7" i="11" s="1"/>
  <c r="K637" i="44" a="1"/>
  <c r="K637" i="44" s="1"/>
  <c r="O3" i="22" s="1" a="1"/>
  <c r="O3" i="22" s="1"/>
  <c r="S644" i="44" a="1"/>
  <c r="S644" i="44" s="1"/>
  <c r="V3" i="30" s="1" a="1"/>
  <c r="V3" i="30" s="1"/>
  <c r="N628" i="44" a="1"/>
  <c r="N628" i="44" s="1"/>
  <c r="F3" i="25" s="1" a="1"/>
  <c r="F3" i="25" s="1"/>
  <c r="R610" i="44" a="1"/>
  <c r="R610" i="44" s="1"/>
  <c r="L2" i="29" s="1" a="1"/>
  <c r="L2" i="29" s="1"/>
  <c r="X566" i="44"/>
  <c r="X537" i="44"/>
  <c r="X513" i="44"/>
  <c r="X404" i="44"/>
  <c r="X428" i="44"/>
  <c r="X461" i="44"/>
  <c r="X458" i="44"/>
  <c r="X573" i="44"/>
  <c r="X408" i="44"/>
  <c r="E710" i="44"/>
  <c r="P7" i="17" s="1" a="1"/>
  <c r="P7" i="17" s="1"/>
  <c r="K665" i="44" a="1"/>
  <c r="K665" i="44" s="1"/>
  <c r="S4" i="22" s="1" a="1"/>
  <c r="S4" i="22" s="1"/>
  <c r="T678" i="44" a="1"/>
  <c r="T678" i="44" s="1"/>
  <c r="H5" i="31" s="1" a="1"/>
  <c r="H5" i="31" s="1"/>
  <c r="X534" i="44"/>
  <c r="X497" i="44"/>
  <c r="X478" i="44"/>
  <c r="X530" i="44"/>
  <c r="X451" i="44"/>
  <c r="X565" i="44"/>
  <c r="X572" i="44"/>
  <c r="X518" i="44"/>
  <c r="W619" i="44" s="1" a="1"/>
  <c r="W619" i="44" s="1"/>
  <c r="U2" i="33" s="1" a="1"/>
  <c r="U2" i="33" s="1"/>
  <c r="Q636" i="44" a="1"/>
  <c r="Q636" i="44" s="1"/>
  <c r="N3" i="28" s="1" a="1"/>
  <c r="N3" i="28" s="1"/>
  <c r="P612" i="44" a="1"/>
  <c r="P612" i="44" s="1"/>
  <c r="N2" i="11" s="1" a="1"/>
  <c r="N2" i="11" s="1"/>
  <c r="K629" i="44" a="1"/>
  <c r="K629" i="44" s="1"/>
  <c r="G3" i="22" s="1" a="1"/>
  <c r="G3" i="22" s="1"/>
  <c r="K682" i="44" a="1"/>
  <c r="K682" i="44" s="1"/>
  <c r="L5" i="22" s="1" a="1"/>
  <c r="L5" i="22" s="1"/>
  <c r="S669" i="44" a="1"/>
  <c r="S669" i="44" s="1"/>
  <c r="W4" i="30" s="1" a="1"/>
  <c r="W4" i="30" s="1"/>
  <c r="E689" i="44" a="1"/>
  <c r="E689" i="44" s="1"/>
  <c r="S5" i="17" s="1" a="1"/>
  <c r="S5" i="17" s="1"/>
  <c r="P696" i="44"/>
  <c r="B7" i="11" s="1" a="1"/>
  <c r="B7" i="11" s="1"/>
  <c r="S703" i="44"/>
  <c r="I7" i="30" s="1" a="1"/>
  <c r="I7" i="30" s="1"/>
  <c r="N672" i="44" a="1"/>
  <c r="N672" i="44" s="1"/>
  <c r="B5" i="25" s="1" a="1"/>
  <c r="B5" i="25" s="1"/>
  <c r="K663" i="44" a="1"/>
  <c r="K663" i="44" s="1"/>
  <c r="Q4" i="22" s="1" a="1"/>
  <c r="Q4" i="22" s="1"/>
  <c r="T660" i="44" a="1"/>
  <c r="T660" i="44" s="1"/>
  <c r="N4" i="31" s="1" a="1"/>
  <c r="N4" i="31" s="1"/>
  <c r="N629" i="44" a="1"/>
  <c r="N629" i="44" s="1"/>
  <c r="G3" i="25" s="1" a="1"/>
  <c r="G3" i="25" s="1"/>
  <c r="S611" i="44" a="1"/>
  <c r="S611" i="44" s="1"/>
  <c r="M2" i="30" s="1" a="1"/>
  <c r="M2" i="30" s="1"/>
  <c r="G730" i="44"/>
  <c r="L6" i="19" s="1" a="1"/>
  <c r="L6" i="19" s="1"/>
  <c r="R646" i="44" a="1"/>
  <c r="R646" i="44" s="1"/>
  <c r="X3" i="29" s="1" a="1"/>
  <c r="X3" i="29" s="1"/>
  <c r="N619" i="44" a="1"/>
  <c r="N619" i="44" s="1"/>
  <c r="U2" i="25" s="1" a="1"/>
  <c r="U2" i="25" s="1"/>
  <c r="S652" i="44" a="1"/>
  <c r="S652" i="44" s="1"/>
  <c r="F4" i="30" s="1" a="1"/>
  <c r="F4" i="30" s="1"/>
  <c r="N732" i="44"/>
  <c r="N6" i="25" s="1" a="1"/>
  <c r="N6" i="25" s="1"/>
  <c r="G741" i="44"/>
  <c r="W6" i="19" s="1" a="1"/>
  <c r="W6" i="19" s="1"/>
  <c r="S639" i="44" a="1"/>
  <c r="S639" i="44" s="1"/>
  <c r="Q3" i="30" s="1" a="1"/>
  <c r="Q3" i="30" s="1"/>
  <c r="P635" i="44" a="1"/>
  <c r="P635" i="44" s="1"/>
  <c r="M3" i="11" s="1" a="1"/>
  <c r="M3" i="11" s="1"/>
  <c r="N730" i="44"/>
  <c r="L6" i="25" s="1" a="1"/>
  <c r="L6" i="25" s="1"/>
  <c r="H703" i="44"/>
  <c r="I7" i="16" s="1" a="1"/>
  <c r="I7" i="16" s="1"/>
  <c r="Q642" i="44" a="1"/>
  <c r="Q642" i="44" s="1"/>
  <c r="T3" i="28" s="1" a="1"/>
  <c r="T3" i="28" s="1"/>
  <c r="Q735" i="44"/>
  <c r="Q6" i="28" s="1" a="1"/>
  <c r="Q6" i="28" s="1"/>
  <c r="V647" i="44" a="1"/>
  <c r="V647" i="44" s="1"/>
  <c r="Y3" i="10" s="1" a="1"/>
  <c r="Y3" i="10" s="1"/>
  <c r="V664" i="44" a="1"/>
  <c r="V664" i="44" s="1"/>
  <c r="R4" i="10" s="1" a="1"/>
  <c r="R4" i="10" s="1"/>
  <c r="U644" i="44" a="1"/>
  <c r="U644" i="44" s="1"/>
  <c r="V3" i="32" s="1" a="1"/>
  <c r="V3" i="32" s="1"/>
  <c r="K610" i="44" a="1"/>
  <c r="K610" i="44" s="1"/>
  <c r="L2" i="22" s="1" a="1"/>
  <c r="L2" i="22" s="1"/>
  <c r="S622" i="44" a="1"/>
  <c r="S622" i="44" s="1"/>
  <c r="X2" i="30" s="1" a="1"/>
  <c r="X2" i="30" s="1"/>
  <c r="S615" i="44" a="1"/>
  <c r="S615" i="44" s="1"/>
  <c r="Q2" i="30" s="1" a="1"/>
  <c r="Q2" i="30" s="1"/>
  <c r="G617" i="44" a="1"/>
  <c r="G617" i="44" s="1"/>
  <c r="S2" i="19" s="1" a="1"/>
  <c r="S2" i="19" s="1"/>
  <c r="E601" i="44" a="1"/>
  <c r="E601" i="44" s="1"/>
  <c r="C2" i="17" s="1" a="1"/>
  <c r="C2" i="17" s="1"/>
  <c r="N703" i="44"/>
  <c r="I7" i="25" s="1" a="1"/>
  <c r="I7" i="25" s="1"/>
  <c r="E615" i="44" a="1"/>
  <c r="E615" i="44" s="1"/>
  <c r="Q2" i="17" s="1" a="1"/>
  <c r="Q2" i="17" s="1"/>
  <c r="P659" i="44" a="1"/>
  <c r="P659" i="44" s="1"/>
  <c r="M4" i="11" s="1" a="1"/>
  <c r="M4" i="11" s="1"/>
  <c r="E610" i="44" a="1"/>
  <c r="E610" i="44" s="1"/>
  <c r="L2" i="17" s="1" a="1"/>
  <c r="L2" i="17" s="1"/>
  <c r="E680" i="44" a="1"/>
  <c r="E680" i="44" s="1"/>
  <c r="J5" i="17" s="1" a="1"/>
  <c r="J5" i="17" s="1"/>
  <c r="E666" i="44" a="1"/>
  <c r="E666" i="44" s="1"/>
  <c r="T4" i="17" s="1" a="1"/>
  <c r="T4" i="17" s="1"/>
  <c r="N654" i="44" a="1"/>
  <c r="N654" i="44" s="1"/>
  <c r="H4" i="25" s="1" a="1"/>
  <c r="H4" i="25" s="1"/>
  <c r="N710" i="44"/>
  <c r="P7" i="25" s="1" a="1"/>
  <c r="P7" i="25" s="1"/>
  <c r="H742" i="44"/>
  <c r="X6" i="16" s="1" a="1"/>
  <c r="X6" i="16" s="1"/>
  <c r="Y439" i="44"/>
  <c r="X569" i="44"/>
  <c r="X499" i="44"/>
  <c r="X442" i="44"/>
  <c r="X541" i="44"/>
  <c r="X562" i="44"/>
  <c r="X498" i="44"/>
  <c r="X423" i="44"/>
  <c r="R658" i="44" a="1"/>
  <c r="R658" i="44" s="1"/>
  <c r="L4" i="29" s="1" a="1"/>
  <c r="L4" i="29" s="1"/>
  <c r="P656" i="44" a="1"/>
  <c r="P656" i="44" s="1"/>
  <c r="J4" i="11" s="1" a="1"/>
  <c r="J4" i="11" s="1"/>
  <c r="N720" i="44"/>
  <c r="B6" i="25" s="1" a="1"/>
  <c r="B6" i="25" s="1"/>
  <c r="P618" i="44" a="1"/>
  <c r="P618" i="44" s="1"/>
  <c r="T2" i="11" s="1" a="1"/>
  <c r="T2" i="11" s="1"/>
  <c r="G613" i="44" a="1"/>
  <c r="G613" i="44" s="1"/>
  <c r="O2" i="19" s="1" a="1"/>
  <c r="O2" i="19" s="1"/>
  <c r="V609" i="44" a="1"/>
  <c r="V609" i="44" s="1"/>
  <c r="K2" i="10" s="1" a="1"/>
  <c r="K2" i="10" s="1"/>
  <c r="G619" i="44" a="1"/>
  <c r="G619" i="44" s="1"/>
  <c r="U2" i="19" s="1" a="1"/>
  <c r="U2" i="19" s="1"/>
  <c r="Q734" i="44"/>
  <c r="P6" i="28" s="1" a="1"/>
  <c r="P6" i="28" s="1"/>
  <c r="G623" i="44" a="1"/>
  <c r="G623" i="44" s="1"/>
  <c r="Y2" i="19" s="1" a="1"/>
  <c r="Y2" i="19" s="1"/>
  <c r="N623" i="44" a="1"/>
  <c r="N623" i="44" s="1"/>
  <c r="Y2" i="25" s="1" a="1"/>
  <c r="Y2" i="25" s="1"/>
  <c r="Q726" i="44"/>
  <c r="H6" i="28" s="1" a="1"/>
  <c r="H6" i="28" s="1"/>
  <c r="S715" i="44"/>
  <c r="U7" i="30" s="1" a="1"/>
  <c r="U7" i="30" s="1"/>
  <c r="Q659" i="44" a="1"/>
  <c r="Q659" i="44" s="1"/>
  <c r="M4" i="28" s="1" a="1"/>
  <c r="M4" i="28" s="1"/>
  <c r="R617" i="44" a="1"/>
  <c r="R617" i="44" s="1"/>
  <c r="S2" i="29" s="1" a="1"/>
  <c r="S2" i="29" s="1"/>
  <c r="V608" i="44" a="1"/>
  <c r="V608" i="44" s="1"/>
  <c r="J2" i="10" s="1" a="1"/>
  <c r="J2" i="10" s="1"/>
  <c r="E637" i="44" a="1"/>
  <c r="E637" i="44" s="1"/>
  <c r="O3" i="17" s="1" a="1"/>
  <c r="O3" i="17" s="1"/>
  <c r="S621" i="44" a="1"/>
  <c r="S621" i="44" s="1"/>
  <c r="W2" i="30" s="1" a="1"/>
  <c r="W2" i="30" s="1"/>
  <c r="V614" i="44" a="1"/>
  <c r="V614" i="44" s="1"/>
  <c r="P2" i="10" s="1" a="1"/>
  <c r="P2" i="10" s="1"/>
  <c r="K615" i="44" a="1"/>
  <c r="K615" i="44" s="1"/>
  <c r="Q2" i="22" s="1" a="1"/>
  <c r="Q2" i="22" s="1"/>
  <c r="E664" i="44" a="1"/>
  <c r="E664" i="44" s="1"/>
  <c r="R4" i="17" s="1" a="1"/>
  <c r="R4" i="17" s="1"/>
  <c r="Q670" i="44" a="1"/>
  <c r="Q670" i="44" s="1"/>
  <c r="X4" i="28" s="1" a="1"/>
  <c r="X4" i="28" s="1"/>
  <c r="K683" i="44" a="1"/>
  <c r="K683" i="44" s="1"/>
  <c r="M5" i="22" s="1" a="1"/>
  <c r="M5" i="22" s="1"/>
  <c r="V688" i="44" a="1"/>
  <c r="V688" i="44" s="1"/>
  <c r="R5" i="10" s="1" a="1"/>
  <c r="R5" i="10" s="1"/>
  <c r="S737" i="44"/>
  <c r="S6" i="30" s="1" a="1"/>
  <c r="S6" i="30" s="1"/>
  <c r="Q738" i="44"/>
  <c r="T6" i="28" s="1" a="1"/>
  <c r="T6" i="28" s="1"/>
  <c r="H660" i="44" a="1"/>
  <c r="H660" i="44" s="1"/>
  <c r="N4" i="16" s="1" a="1"/>
  <c r="N4" i="16" s="1"/>
  <c r="P695" i="44" a="1"/>
  <c r="P695" i="44" s="1"/>
  <c r="Y5" i="11" s="1" a="1"/>
  <c r="Y5" i="11" s="1"/>
  <c r="T651" i="44" a="1"/>
  <c r="T651" i="44" s="1"/>
  <c r="E4" i="31" s="1" a="1"/>
  <c r="E4" i="31" s="1"/>
  <c r="V715" i="44"/>
  <c r="U7" i="10" s="1" a="1"/>
  <c r="U7" i="10" s="1"/>
  <c r="K710" i="44"/>
  <c r="P7" i="22" s="1" a="1"/>
  <c r="P7" i="22" s="1"/>
  <c r="V698" i="44"/>
  <c r="D7" i="10" s="1" a="1"/>
  <c r="D7" i="10" s="1"/>
  <c r="P622" i="44" a="1"/>
  <c r="P622" i="44" s="1"/>
  <c r="X2" i="11" s="1" a="1"/>
  <c r="X2" i="11" s="1"/>
  <c r="U613" i="44" a="1"/>
  <c r="U613" i="44" s="1"/>
  <c r="O2" i="32" s="1" a="1"/>
  <c r="O2" i="32" s="1"/>
  <c r="E682" i="44" a="1"/>
  <c r="E682" i="44" s="1"/>
  <c r="L5" i="17" s="1" a="1"/>
  <c r="L5" i="17" s="1"/>
  <c r="P639" i="44" a="1"/>
  <c r="P639" i="44" s="1"/>
  <c r="Q3" i="11" s="1" a="1"/>
  <c r="Q3" i="11" s="1"/>
  <c r="E717" i="44"/>
  <c r="W7" i="17" s="1" a="1"/>
  <c r="W7" i="17" s="1"/>
  <c r="K714" i="44"/>
  <c r="T7" i="22" s="1" a="1"/>
  <c r="T7" i="22" s="1"/>
  <c r="T674" i="44" a="1"/>
  <c r="T674" i="44" s="1"/>
  <c r="D5" i="31" s="1" a="1"/>
  <c r="D5" i="31" s="1"/>
  <c r="S688" i="44" a="1"/>
  <c r="S688" i="44" s="1"/>
  <c r="R5" i="30" s="1" a="1"/>
  <c r="R5" i="30" s="1"/>
  <c r="S679" i="44" a="1"/>
  <c r="S679" i="44" s="1"/>
  <c r="I5" i="30" s="1" a="1"/>
  <c r="I5" i="30" s="1"/>
  <c r="P608" i="44" a="1"/>
  <c r="P608" i="44" s="1"/>
  <c r="J2" i="11" s="1" a="1"/>
  <c r="J2" i="11" s="1"/>
  <c r="E650" i="44" a="1"/>
  <c r="E650" i="44" s="1"/>
  <c r="D4" i="17" s="1" a="1"/>
  <c r="D4" i="17" s="1"/>
  <c r="E677" i="44" a="1"/>
  <c r="E677" i="44" s="1"/>
  <c r="G5" i="17" s="1" a="1"/>
  <c r="G5" i="17" s="1"/>
  <c r="T695" i="44" a="1"/>
  <c r="T695" i="44" s="1"/>
  <c r="Y5" i="31" s="1" a="1"/>
  <c r="Y5" i="31" s="1"/>
  <c r="V630" i="44" a="1"/>
  <c r="V630" i="44" s="1"/>
  <c r="H3" i="10" s="1" a="1"/>
  <c r="H3" i="10" s="1"/>
  <c r="N742" i="44"/>
  <c r="X6" i="25" s="1" a="1"/>
  <c r="X6" i="25" s="1"/>
  <c r="U741" i="44"/>
  <c r="W6" i="32" s="1" a="1"/>
  <c r="W6" i="32" s="1"/>
  <c r="S716" i="44"/>
  <c r="V7" i="30" s="1" a="1"/>
  <c r="V7" i="30" s="1"/>
  <c r="V729" i="44"/>
  <c r="K6" i="10" s="1" a="1"/>
  <c r="K6" i="10" s="1"/>
  <c r="K739" i="44"/>
  <c r="U6" i="22" s="1" a="1"/>
  <c r="U6" i="22" s="1"/>
  <c r="T626" i="44" a="1"/>
  <c r="T626" i="44" s="1"/>
  <c r="D3" i="31" s="1" a="1"/>
  <c r="D3" i="31" s="1"/>
  <c r="T643" i="44" a="1"/>
  <c r="T643" i="44" s="1"/>
  <c r="U3" i="31" s="1" a="1"/>
  <c r="U3" i="31" s="1"/>
  <c r="U730" i="44"/>
  <c r="L6" i="32" s="1" a="1"/>
  <c r="L6" i="32" s="1"/>
  <c r="G722" i="44"/>
  <c r="D6" i="19" s="1" a="1"/>
  <c r="D6" i="19" s="1"/>
  <c r="E675" i="44" a="1"/>
  <c r="E675" i="44" s="1"/>
  <c r="E5" i="17" s="1" a="1"/>
  <c r="E5" i="17" s="1"/>
  <c r="E705" i="44"/>
  <c r="K7" i="17" s="1" a="1"/>
  <c r="K7" i="17" s="1"/>
  <c r="E716" i="44"/>
  <c r="V7" i="17" s="1" a="1"/>
  <c r="V7" i="17" s="1"/>
  <c r="G723" i="44"/>
  <c r="E6" i="19" s="1" a="1"/>
  <c r="E6" i="19" s="1"/>
  <c r="U675" i="44" a="1"/>
  <c r="U675" i="44" s="1"/>
  <c r="E5" i="32" s="1" a="1"/>
  <c r="E5" i="32" s="1"/>
  <c r="G698" i="44"/>
  <c r="D7" i="19" s="1" a="1"/>
  <c r="D7" i="19" s="1"/>
  <c r="G733" i="44"/>
  <c r="O6" i="19" s="1" a="1"/>
  <c r="O6" i="19" s="1"/>
  <c r="R687" i="44" a="1"/>
  <c r="R687" i="44" s="1"/>
  <c r="Q5" i="29" s="1" a="1"/>
  <c r="Q5" i="29" s="1"/>
  <c r="V661" i="44" a="1"/>
  <c r="V661" i="44" s="1"/>
  <c r="O4" i="10" s="1" a="1"/>
  <c r="O4" i="10" s="1"/>
  <c r="G608" i="44" a="1"/>
  <c r="G608" i="44" s="1"/>
  <c r="J2" i="19" s="1" a="1"/>
  <c r="J2" i="19" s="1"/>
  <c r="G699" i="44"/>
  <c r="E7" i="19" s="1" a="1"/>
  <c r="E7" i="19" s="1"/>
  <c r="K625" i="44" a="1"/>
  <c r="K625" i="44" s="1"/>
  <c r="C3" i="22" s="1" a="1"/>
  <c r="C3" i="22" s="1"/>
  <c r="S680" i="44" a="1"/>
  <c r="S680" i="44" s="1"/>
  <c r="J5" i="30" s="1" a="1"/>
  <c r="J5" i="30" s="1"/>
  <c r="Q705" i="44"/>
  <c r="K7" i="28" s="1" a="1"/>
  <c r="K7" i="28" s="1"/>
  <c r="G716" i="44"/>
  <c r="V7" i="19" s="1" a="1"/>
  <c r="V7" i="19" s="1"/>
  <c r="V601" i="44" a="1"/>
  <c r="V601" i="44" s="1"/>
  <c r="C2" i="10" s="1" a="1"/>
  <c r="C2" i="10" s="1"/>
  <c r="P712" i="44"/>
  <c r="R7" i="11" s="1" a="1"/>
  <c r="R7" i="11" s="1"/>
  <c r="P692" i="44" a="1"/>
  <c r="P692" i="44" s="1"/>
  <c r="V5" i="11" s="1" a="1"/>
  <c r="V5" i="11" s="1"/>
  <c r="P669" i="44" a="1"/>
  <c r="P669" i="44" s="1"/>
  <c r="W4" i="11" s="1" a="1"/>
  <c r="W4" i="11" s="1"/>
  <c r="N680" i="44" a="1"/>
  <c r="N680" i="44" s="1"/>
  <c r="J5" i="25" s="1" a="1"/>
  <c r="J5" i="25" s="1"/>
  <c r="P661" i="44" a="1"/>
  <c r="P661" i="44" s="1"/>
  <c r="O4" i="11" s="1" a="1"/>
  <c r="O4" i="11" s="1"/>
  <c r="P662" i="44" a="1"/>
  <c r="P662" i="44" s="1"/>
  <c r="P4" i="11" s="1" a="1"/>
  <c r="P4" i="11" s="1"/>
  <c r="K631" i="44" a="1"/>
  <c r="K631" i="44" s="1"/>
  <c r="I3" i="22" s="1" a="1"/>
  <c r="I3" i="22" s="1"/>
  <c r="T732" i="44"/>
  <c r="N6" i="31" s="1" a="1"/>
  <c r="N6" i="31" s="1"/>
  <c r="K735" i="44"/>
  <c r="Q6" i="22" s="1" a="1"/>
  <c r="Q6" i="22" s="1"/>
  <c r="U722" i="44"/>
  <c r="D6" i="32" s="1" a="1"/>
  <c r="D6" i="32" s="1"/>
  <c r="S727" i="44"/>
  <c r="I6" i="30" s="1" a="1"/>
  <c r="I6" i="30" s="1"/>
  <c r="K602" i="44" a="1"/>
  <c r="K602" i="44" s="1"/>
  <c r="D2" i="22" s="1" a="1"/>
  <c r="D2" i="22" s="1"/>
  <c r="G650" i="44" a="1"/>
  <c r="G650" i="44" s="1"/>
  <c r="D4" i="19" s="1" a="1"/>
  <c r="D4" i="19" s="1"/>
  <c r="G697" i="44"/>
  <c r="C7" i="19" s="1" a="1"/>
  <c r="C7" i="19" s="1"/>
  <c r="R656" i="44" a="1"/>
  <c r="R656" i="44" s="1"/>
  <c r="J4" i="29" s="1" a="1"/>
  <c r="J4" i="29" s="1"/>
  <c r="T647" i="44" a="1"/>
  <c r="T647" i="44" s="1"/>
  <c r="Y3" i="31" s="1" a="1"/>
  <c r="Y3" i="31" s="1"/>
  <c r="T742" i="44"/>
  <c r="X6" i="31" s="1" a="1"/>
  <c r="X6" i="31" s="1"/>
  <c r="G700" i="44"/>
  <c r="F7" i="19" s="1" a="1"/>
  <c r="F7" i="19" s="1"/>
  <c r="H607" i="44" a="1"/>
  <c r="H607" i="44" s="1"/>
  <c r="I2" i="16" s="1" a="1"/>
  <c r="I2" i="16" s="1"/>
  <c r="S711" i="44"/>
  <c r="Q7" i="30" s="1" a="1"/>
  <c r="Q7" i="30" s="1"/>
  <c r="G661" i="44" a="1"/>
  <c r="G661" i="44" s="1"/>
  <c r="O4" i="19" s="1" a="1"/>
  <c r="O4" i="19" s="1"/>
  <c r="U616" i="44" a="1"/>
  <c r="U616" i="44" s="1"/>
  <c r="R2" i="32" s="1" a="1"/>
  <c r="R2" i="32" s="1"/>
  <c r="S613" i="44" a="1"/>
  <c r="S613" i="44" s="1"/>
  <c r="O2" i="30" s="1" a="1"/>
  <c r="O2" i="30" s="1"/>
  <c r="E609" i="44" a="1"/>
  <c r="E609" i="44" s="1"/>
  <c r="K2" i="17" s="1" a="1"/>
  <c r="K2" i="17" s="1"/>
  <c r="T697" i="44"/>
  <c r="C7" i="31" s="1" a="1"/>
  <c r="C7" i="31" s="1"/>
  <c r="K644" i="44" a="1"/>
  <c r="K644" i="44" s="1"/>
  <c r="V3" i="22" s="1" a="1"/>
  <c r="V3" i="22" s="1"/>
  <c r="R720" i="44"/>
  <c r="B6" i="29" s="1" a="1"/>
  <c r="B6" i="29" s="1"/>
  <c r="E622" i="44" a="1"/>
  <c r="E622" i="44" s="1"/>
  <c r="X2" i="17" s="1" a="1"/>
  <c r="X2" i="17" s="1"/>
  <c r="V602" i="44" a="1"/>
  <c r="V602" i="44" s="1"/>
  <c r="D2" i="10" s="1" a="1"/>
  <c r="D2" i="10" s="1"/>
  <c r="V646" i="44" a="1"/>
  <c r="V646" i="44" s="1"/>
  <c r="X3" i="10" s="1" a="1"/>
  <c r="X3" i="10" s="1"/>
  <c r="V650" i="44" a="1"/>
  <c r="V650" i="44" s="1"/>
  <c r="D4" i="10" s="1" a="1"/>
  <c r="D4" i="10" s="1"/>
  <c r="E620" i="44" a="1"/>
  <c r="E620" i="44" s="1"/>
  <c r="V2" i="17" s="1" a="1"/>
  <c r="V2" i="17" s="1"/>
  <c r="G610" i="44" a="1"/>
  <c r="G610" i="44" s="1"/>
  <c r="L2" i="19" s="1" a="1"/>
  <c r="L2" i="19" s="1"/>
  <c r="Q652" i="44" a="1"/>
  <c r="Q652" i="44" s="1"/>
  <c r="F4" i="28" s="1" a="1"/>
  <c r="F4" i="28" s="1"/>
  <c r="U731" i="44"/>
  <c r="M6" i="32" s="1" a="1"/>
  <c r="M6" i="32" s="1"/>
  <c r="R721" i="44"/>
  <c r="C6" i="29" s="1" a="1"/>
  <c r="C6" i="29" s="1"/>
  <c r="G641" i="44" a="1"/>
  <c r="G641" i="44" s="1"/>
  <c r="S3" i="19" s="1" a="1"/>
  <c r="S3" i="19" s="1"/>
  <c r="Q609" i="44" a="1"/>
  <c r="Q609" i="44" s="1"/>
  <c r="K2" i="28" s="1" a="1"/>
  <c r="K2" i="28" s="1"/>
  <c r="N737" i="44"/>
  <c r="S6" i="25" s="1" a="1"/>
  <c r="S6" i="25" s="1"/>
  <c r="P671" i="44" a="1"/>
  <c r="P671" i="44" s="1"/>
  <c r="Y4" i="11" s="1" a="1"/>
  <c r="Y4" i="11" s="1"/>
  <c r="E655" i="44" a="1"/>
  <c r="E655" i="44" s="1"/>
  <c r="I4" i="17" s="1" a="1"/>
  <c r="I4" i="17" s="1"/>
  <c r="V677" i="44" a="1"/>
  <c r="V677" i="44" s="1"/>
  <c r="G5" i="10" s="1" a="1"/>
  <c r="G5" i="10" s="1"/>
  <c r="G642" i="44" a="1"/>
  <c r="G642" i="44" s="1"/>
  <c r="T3" i="19" s="1" a="1"/>
  <c r="T3" i="19" s="1"/>
  <c r="Q741" i="44"/>
  <c r="W6" i="28" s="1" a="1"/>
  <c r="W6" i="28" s="1"/>
  <c r="Q722" i="44"/>
  <c r="D6" i="28" s="1" a="1"/>
  <c r="D6" i="28" s="1"/>
  <c r="T607" i="44" a="1"/>
  <c r="T607" i="44" s="1"/>
  <c r="I2" i="31" s="1" a="1"/>
  <c r="I2" i="31" s="1"/>
  <c r="G603" i="44" a="1"/>
  <c r="G603" i="44" s="1"/>
  <c r="E2" i="19" s="1" a="1"/>
  <c r="E2" i="19" s="1"/>
  <c r="N658" i="44" a="1"/>
  <c r="N658" i="44" s="1"/>
  <c r="L4" i="25" s="1" a="1"/>
  <c r="L4" i="25" s="1"/>
  <c r="P706" i="44"/>
  <c r="L7" i="11" s="1" a="1"/>
  <c r="L7" i="11" s="1"/>
  <c r="S647" i="44" a="1"/>
  <c r="S647" i="44" s="1"/>
  <c r="Y3" i="30" s="1" a="1"/>
  <c r="Y3" i="30" s="1"/>
  <c r="G614" i="44" a="1"/>
  <c r="G614" i="44" s="1"/>
  <c r="P2" i="19" s="1" a="1"/>
  <c r="P2" i="19" s="1"/>
  <c r="T610" i="44" a="1"/>
  <c r="T610" i="44" s="1"/>
  <c r="L2" i="31" s="1" a="1"/>
  <c r="L2" i="31" s="1"/>
  <c r="P602" i="44" a="1"/>
  <c r="P602" i="44" s="1"/>
  <c r="D2" i="11" s="1" a="1"/>
  <c r="D2" i="11" s="1"/>
  <c r="K619" i="44" a="1"/>
  <c r="K619" i="44" s="1"/>
  <c r="U2" i="22" s="1" a="1"/>
  <c r="U2" i="22" s="1"/>
  <c r="S670" i="44" a="1"/>
  <c r="S670" i="44" s="1"/>
  <c r="X4" i="30" s="1" a="1"/>
  <c r="X4" i="30" s="1"/>
  <c r="T716" i="44"/>
  <c r="V7" i="31" s="1" a="1"/>
  <c r="V7" i="31" s="1"/>
  <c r="S718" i="44"/>
  <c r="X7" i="30" s="1" a="1"/>
  <c r="X7" i="30" s="1"/>
  <c r="U729" i="44"/>
  <c r="K6" i="32" s="1" a="1"/>
  <c r="K6" i="32" s="1"/>
  <c r="S684" i="44" a="1"/>
  <c r="S684" i="44" s="1"/>
  <c r="N5" i="30" s="1" a="1"/>
  <c r="N5" i="30" s="1"/>
  <c r="V619" i="44" a="1"/>
  <c r="V619" i="44" s="1"/>
  <c r="U2" i="10" s="1" a="1"/>
  <c r="U2" i="10" s="1"/>
  <c r="K654" i="44" a="1"/>
  <c r="K654" i="44" s="1"/>
  <c r="H4" i="22" s="1" a="1"/>
  <c r="H4" i="22" s="1"/>
  <c r="K616" i="44" a="1"/>
  <c r="K616" i="44" s="1"/>
  <c r="R2" i="22" s="1" a="1"/>
  <c r="R2" i="22" s="1"/>
  <c r="G620" i="44" a="1"/>
  <c r="G620" i="44" s="1"/>
  <c r="V2" i="19" s="1" a="1"/>
  <c r="V2" i="19" s="1"/>
  <c r="T657" i="44" a="1"/>
  <c r="T657" i="44" s="1"/>
  <c r="K4" i="31" s="1" a="1"/>
  <c r="K4" i="31" s="1"/>
  <c r="E671" i="44" a="1"/>
  <c r="E671" i="44" s="1"/>
  <c r="Y4" i="17" s="1" a="1"/>
  <c r="Y4" i="17" s="1"/>
  <c r="N648" i="44" a="1"/>
  <c r="N648" i="44" s="1"/>
  <c r="B4" i="25" s="1" a="1"/>
  <c r="B4" i="25" s="1"/>
  <c r="E691" i="44" a="1"/>
  <c r="E691" i="44" s="1"/>
  <c r="U5" i="17" s="1" a="1"/>
  <c r="U5" i="17" s="1"/>
  <c r="V615" i="44" a="1"/>
  <c r="V615" i="44" s="1"/>
  <c r="Q2" i="10" s="1" a="1"/>
  <c r="Q2" i="10" s="1"/>
  <c r="K638" i="44" a="1"/>
  <c r="K638" i="44" s="1"/>
  <c r="P3" i="22" s="1" a="1"/>
  <c r="P3" i="22" s="1"/>
  <c r="V683" i="44" a="1"/>
  <c r="V683" i="44" s="1"/>
  <c r="M5" i="10" s="1" a="1"/>
  <c r="M5" i="10" s="1"/>
  <c r="V708" i="44"/>
  <c r="N7" i="10" s="1" a="1"/>
  <c r="N7" i="10" s="1"/>
  <c r="V678" i="44" a="1"/>
  <c r="V678" i="44" s="1"/>
  <c r="H5" i="10" s="1" a="1"/>
  <c r="H5" i="10" s="1"/>
  <c r="K692" i="44" a="1"/>
  <c r="K692" i="44" s="1"/>
  <c r="V5" i="22" s="1" a="1"/>
  <c r="V5" i="22" s="1"/>
  <c r="K696" i="44"/>
  <c r="B7" i="22" s="1" a="1"/>
  <c r="B7" i="22" s="1"/>
  <c r="K675" i="44" a="1"/>
  <c r="K675" i="44" s="1"/>
  <c r="E5" i="22" s="1" a="1"/>
  <c r="E5" i="22" s="1"/>
  <c r="K639" i="44" a="1"/>
  <c r="K639" i="44" s="1"/>
  <c r="Q3" i="22" s="1" a="1"/>
  <c r="Q3" i="22" s="1"/>
  <c r="T719" i="44"/>
  <c r="Y7" i="31" s="1" a="1"/>
  <c r="Y7" i="31" s="1"/>
  <c r="T709" i="44"/>
  <c r="O7" i="31" s="1" a="1"/>
  <c r="O7" i="31" s="1"/>
  <c r="T712" i="44"/>
  <c r="R7" i="31" s="1" a="1"/>
  <c r="R7" i="31" s="1"/>
  <c r="T666" i="44" a="1"/>
  <c r="T666" i="44" s="1"/>
  <c r="T4" i="31" s="1" a="1"/>
  <c r="T4" i="31" s="1"/>
  <c r="T688" i="44" a="1"/>
  <c r="T688" i="44" s="1"/>
  <c r="R5" i="31" s="1" a="1"/>
  <c r="R5" i="31" s="1"/>
  <c r="T686" i="44" a="1"/>
  <c r="T686" i="44" s="1"/>
  <c r="P5" i="31" s="1" a="1"/>
  <c r="P5" i="31" s="1"/>
  <c r="Q644" i="44" a="1"/>
  <c r="Q644" i="44" s="1"/>
  <c r="V3" i="28" s="1" a="1"/>
  <c r="V3" i="28" s="1"/>
  <c r="T600" i="44" a="1"/>
  <c r="T600" i="44" s="1"/>
  <c r="B2" i="31" s="1" a="1"/>
  <c r="B2" i="31" s="1"/>
  <c r="V665" i="44" a="1"/>
  <c r="V665" i="44" s="1"/>
  <c r="S4" i="10" s="1" a="1"/>
  <c r="S4" i="10" s="1"/>
  <c r="V699" i="44"/>
  <c r="E7" i="10" s="1" a="1"/>
  <c r="E7" i="10" s="1"/>
  <c r="S735" i="44"/>
  <c r="Q6" i="30" s="1" a="1"/>
  <c r="Q6" i="30" s="1"/>
  <c r="R637" i="44" a="1"/>
  <c r="R637" i="44" s="1"/>
  <c r="O3" i="29" s="1" a="1"/>
  <c r="O3" i="29" s="1"/>
  <c r="P600" i="44" a="1"/>
  <c r="P600" i="44" s="1"/>
  <c r="B2" i="11" s="1" a="1"/>
  <c r="B2" i="11" s="1"/>
  <c r="N600" i="44" a="1"/>
  <c r="N600" i="44" s="1"/>
  <c r="B2" i="25" s="1" a="1"/>
  <c r="B2" i="25" s="1"/>
  <c r="K611" i="44" a="1"/>
  <c r="K611" i="44" s="1"/>
  <c r="M2" i="22" s="1" a="1"/>
  <c r="M2" i="22" s="1"/>
  <c r="E694" i="44" a="1"/>
  <c r="E694" i="44" s="1"/>
  <c r="X5" i="17" s="1" a="1"/>
  <c r="X5" i="17" s="1"/>
  <c r="K664" i="44" a="1"/>
  <c r="K664" i="44" s="1"/>
  <c r="R4" i="22" s="1" a="1"/>
  <c r="R4" i="22" s="1"/>
  <c r="S636" i="44" a="1"/>
  <c r="S636" i="44" s="1"/>
  <c r="N3" i="30" s="1" a="1"/>
  <c r="N3" i="30" s="1"/>
  <c r="E638" i="44" a="1"/>
  <c r="E638" i="44" s="1"/>
  <c r="P3" i="17" s="1" a="1"/>
  <c r="P3" i="17" s="1"/>
  <c r="R606" i="44" a="1"/>
  <c r="R606" i="44" s="1"/>
  <c r="H2" i="29" s="1" a="1"/>
  <c r="H2" i="29" s="1"/>
  <c r="S623" i="44" a="1"/>
  <c r="S623" i="44" s="1"/>
  <c r="Y2" i="30" s="1" a="1"/>
  <c r="Y2" i="30" s="1"/>
  <c r="R603" i="44" a="1"/>
  <c r="R603" i="44" s="1"/>
  <c r="E2" i="29" s="1" a="1"/>
  <c r="E2" i="29" s="1"/>
  <c r="Q615" i="44" a="1"/>
  <c r="Q615" i="44" s="1"/>
  <c r="Q2" i="28" s="1" a="1"/>
  <c r="Q2" i="28" s="1"/>
  <c r="E653" i="44" a="1"/>
  <c r="E653" i="44" s="1"/>
  <c r="G4" i="17" s="1" a="1"/>
  <c r="G4" i="17" s="1"/>
  <c r="E603" i="44" a="1"/>
  <c r="E603" i="44" s="1"/>
  <c r="E2" i="17" s="1" a="1"/>
  <c r="E2" i="17" s="1"/>
  <c r="G736" i="44"/>
  <c r="R6" i="19" s="1" a="1"/>
  <c r="R6" i="19" s="1"/>
  <c r="G732" i="44"/>
  <c r="N6" i="19" s="1" a="1"/>
  <c r="N6" i="19" s="1"/>
  <c r="S653" i="44" a="1"/>
  <c r="S653" i="44" s="1"/>
  <c r="G4" i="30" s="1" a="1"/>
  <c r="G4" i="30" s="1"/>
  <c r="G739" i="44"/>
  <c r="U6" i="19" s="1" a="1"/>
  <c r="U6" i="19" s="1"/>
  <c r="G711" i="44"/>
  <c r="Q7" i="19" s="1" a="1"/>
  <c r="Q7" i="19" s="1"/>
  <c r="K709" i="44"/>
  <c r="O7" i="22" s="1" a="1"/>
  <c r="O7" i="22" s="1"/>
  <c r="K614" i="44" a="1"/>
  <c r="K614" i="44" s="1"/>
  <c r="P2" i="22" s="1" a="1"/>
  <c r="P2" i="22" s="1"/>
  <c r="T602" i="44" a="1"/>
  <c r="T602" i="44" s="1"/>
  <c r="D2" i="31" s="1" a="1"/>
  <c r="D2" i="31" s="1"/>
  <c r="K607" i="44" a="1"/>
  <c r="K607" i="44" s="1"/>
  <c r="I2" i="22" s="1" a="1"/>
  <c r="I2" i="22" s="1"/>
  <c r="E621" i="44" a="1"/>
  <c r="E621" i="44" s="1"/>
  <c r="W2" i="17" s="1" a="1"/>
  <c r="W2" i="17" s="1"/>
  <c r="N617" i="44" a="1"/>
  <c r="N617" i="44" s="1"/>
  <c r="S2" i="25" s="1" a="1"/>
  <c r="S2" i="25" s="1"/>
  <c r="S682" i="44" a="1"/>
  <c r="S682" i="44" s="1"/>
  <c r="L5" i="30" s="1" a="1"/>
  <c r="L5" i="30" s="1"/>
  <c r="N683" i="44" a="1"/>
  <c r="N683" i="44" s="1"/>
  <c r="M5" i="25" s="1" a="1"/>
  <c r="M5" i="25" s="1"/>
  <c r="S700" i="44"/>
  <c r="F7" i="30" s="1" a="1"/>
  <c r="F7" i="30" s="1"/>
  <c r="E623" i="44" a="1"/>
  <c r="E623" i="44" s="1"/>
  <c r="Y2" i="17" s="1" a="1"/>
  <c r="Y2" i="17" s="1"/>
  <c r="E692" i="44" a="1"/>
  <c r="E692" i="44" s="1"/>
  <c r="V5" i="17" s="1" a="1"/>
  <c r="V5" i="17" s="1"/>
  <c r="E721" i="44"/>
  <c r="C6" i="17" s="1" a="1"/>
  <c r="C6" i="17" s="1"/>
  <c r="E679" i="44" a="1"/>
  <c r="E679" i="44" s="1"/>
  <c r="I5" i="17" s="1" a="1"/>
  <c r="I5" i="17" s="1"/>
  <c r="V741" i="44"/>
  <c r="W6" i="10" s="1" a="1"/>
  <c r="W6" i="10" s="1"/>
  <c r="V616" i="44" a="1"/>
  <c r="V616" i="44" s="1"/>
  <c r="R2" i="10" s="1" a="1"/>
  <c r="R2" i="10" s="1"/>
  <c r="Q671" i="44" a="1"/>
  <c r="Q671" i="44" s="1"/>
  <c r="Y4" i="28" s="1" a="1"/>
  <c r="Y4" i="28" s="1"/>
  <c r="P687" i="44" a="1"/>
  <c r="P687" i="44" s="1"/>
  <c r="Q5" i="11" s="1" a="1"/>
  <c r="Q5" i="11" s="1"/>
  <c r="P630" i="44" a="1"/>
  <c r="P630" i="44" s="1"/>
  <c r="H3" i="11" s="1" a="1"/>
  <c r="H3" i="11" s="1"/>
  <c r="K731" i="44"/>
  <c r="M6" i="22" s="1" a="1"/>
  <c r="M6" i="22" s="1"/>
  <c r="T727" i="44"/>
  <c r="I6" i="31" s="1" a="1"/>
  <c r="I6" i="31" s="1"/>
  <c r="S721" i="44"/>
  <c r="C6" i="30" s="1" a="1"/>
  <c r="C6" i="30" s="1"/>
  <c r="R628" i="44" a="1"/>
  <c r="R628" i="44" s="1"/>
  <c r="F3" i="29" s="1" a="1"/>
  <c r="F3" i="29" s="1"/>
  <c r="S707" i="44"/>
  <c r="M7" i="30" s="1" a="1"/>
  <c r="M7" i="30" s="1"/>
  <c r="N663" i="44" a="1"/>
  <c r="N663" i="44" s="1"/>
  <c r="Q4" i="25" s="1" a="1"/>
  <c r="Q4" i="25" s="1"/>
  <c r="E645" i="44" a="1"/>
  <c r="E645" i="44" s="1"/>
  <c r="W3" i="17" s="1" a="1"/>
  <c r="W3" i="17" s="1"/>
  <c r="E644" i="44" a="1"/>
  <c r="E644" i="44" s="1"/>
  <c r="V3" i="17" s="1" a="1"/>
  <c r="V3" i="17" s="1"/>
  <c r="E665" i="44" a="1"/>
  <c r="E665" i="44" s="1"/>
  <c r="S4" i="17" s="1" a="1"/>
  <c r="S4" i="17" s="1"/>
  <c r="E687" i="44" a="1"/>
  <c r="E687" i="44" s="1"/>
  <c r="Q5" i="17" s="1" a="1"/>
  <c r="Q5" i="17" s="1"/>
  <c r="E695" i="44" a="1"/>
  <c r="E695" i="44" s="1"/>
  <c r="Y5" i="17" s="1" a="1"/>
  <c r="Y5" i="17" s="1"/>
  <c r="P711" i="44"/>
  <c r="Q7" i="11" s="1" a="1"/>
  <c r="Q7" i="11" s="1"/>
  <c r="U678" i="44" a="1"/>
  <c r="U678" i="44" s="1"/>
  <c r="H5" i="32" s="1" a="1"/>
  <c r="H5" i="32" s="1"/>
  <c r="S732" i="44"/>
  <c r="N6" i="30" s="1" a="1"/>
  <c r="N6" i="30" s="1"/>
  <c r="Y501" i="44"/>
  <c r="Y444" i="44"/>
  <c r="Y430" i="44"/>
  <c r="Y492" i="44"/>
  <c r="Y446" i="44"/>
  <c r="Y435" i="44"/>
  <c r="Y464" i="44"/>
  <c r="Y479" i="44"/>
  <c r="X676" i="44" s="1" a="1"/>
  <c r="X676" i="44" s="1"/>
  <c r="F5" i="34" s="1" a="1"/>
  <c r="F5" i="34" s="1"/>
  <c r="Y475" i="44"/>
  <c r="P615" i="44" a="1"/>
  <c r="P615" i="44" s="1"/>
  <c r="Q2" i="11" s="1" a="1"/>
  <c r="Q2" i="11" s="1"/>
  <c r="V711" i="44"/>
  <c r="Q7" i="10" s="1" a="1"/>
  <c r="Q7" i="10" s="1"/>
  <c r="T685" i="44" a="1"/>
  <c r="T685" i="44" s="1"/>
  <c r="O5" i="31" s="1" a="1"/>
  <c r="O5" i="31" s="1"/>
  <c r="K737" i="44"/>
  <c r="S6" i="22" s="1" a="1"/>
  <c r="S6" i="22" s="1"/>
  <c r="N700" i="44"/>
  <c r="F7" i="25" s="1" a="1"/>
  <c r="F7" i="25" s="1"/>
  <c r="V622" i="44" a="1"/>
  <c r="V622" i="44" s="1"/>
  <c r="X2" i="10" s="1" a="1"/>
  <c r="X2" i="10" s="1"/>
  <c r="Y499" i="44"/>
  <c r="Y505" i="44"/>
  <c r="Y540" i="44"/>
  <c r="Y473" i="44"/>
  <c r="Y538" i="44"/>
  <c r="Y525" i="44"/>
  <c r="Y554" i="44"/>
  <c r="Y577" i="44"/>
  <c r="Y421" i="44"/>
  <c r="S620" i="44" a="1"/>
  <c r="S620" i="44" s="1"/>
  <c r="V2" i="30" s="1" a="1"/>
  <c r="V2" i="30" s="1"/>
  <c r="E727" i="44"/>
  <c r="I6" i="17" s="1" a="1"/>
  <c r="I6" i="17" s="1"/>
  <c r="V734" i="44"/>
  <c r="P6" i="10" s="1" a="1"/>
  <c r="P6" i="10" s="1"/>
  <c r="K738" i="44"/>
  <c r="T6" i="22" s="1" a="1"/>
  <c r="T6" i="22" s="1"/>
  <c r="S730" i="44"/>
  <c r="L6" i="30" s="1" a="1"/>
  <c r="L6" i="30" s="1"/>
  <c r="N723" i="44"/>
  <c r="E6" i="25" s="1" a="1"/>
  <c r="E6" i="25" s="1"/>
  <c r="S661" i="44" a="1"/>
  <c r="S661" i="44" s="1"/>
  <c r="O4" i="30" s="1" a="1"/>
  <c r="O4" i="30" s="1"/>
  <c r="H659" i="44" a="1"/>
  <c r="H659" i="44" s="1"/>
  <c r="M4" i="16" s="1" a="1"/>
  <c r="M4" i="16" s="1"/>
  <c r="Y423" i="44"/>
  <c r="Y513" i="44"/>
  <c r="Y517" i="44"/>
  <c r="Y566" i="44"/>
  <c r="Y532" i="44"/>
  <c r="Y524" i="44"/>
  <c r="Y456" i="44"/>
  <c r="Y496" i="44"/>
  <c r="Y425" i="44"/>
  <c r="S606" i="44" a="1"/>
  <c r="S606" i="44" s="1"/>
  <c r="H2" i="30" s="1" a="1"/>
  <c r="H2" i="30" s="1"/>
  <c r="S651" i="44" a="1"/>
  <c r="S651" i="44" s="1"/>
  <c r="E4" i="30" s="1" a="1"/>
  <c r="E4" i="30" s="1"/>
  <c r="S694" i="44" a="1"/>
  <c r="S694" i="44" s="1"/>
  <c r="X5" i="30" s="1" a="1"/>
  <c r="X5" i="30" s="1"/>
  <c r="Y521" i="44"/>
  <c r="Y424" i="44"/>
  <c r="Y405" i="44"/>
  <c r="Y471" i="44"/>
  <c r="Y432" i="44"/>
  <c r="Y567" i="44"/>
  <c r="Y474" i="44"/>
  <c r="Y594" i="44"/>
  <c r="Y514" i="44"/>
  <c r="Y584" i="44"/>
  <c r="Y509" i="44"/>
  <c r="Y516" i="44"/>
  <c r="Y465" i="44"/>
  <c r="Y440" i="44"/>
  <c r="Y551" i="44"/>
  <c r="Y564" i="44"/>
  <c r="Y488" i="44"/>
  <c r="Y522" i="44"/>
  <c r="K722" i="44"/>
  <c r="D6" i="22" s="1" a="1"/>
  <c r="D6" i="22" s="1"/>
  <c r="P743" i="44"/>
  <c r="Y6" i="11" s="1" a="1"/>
  <c r="Y6" i="11" s="1"/>
  <c r="Y561" i="44"/>
  <c r="Y411" i="44"/>
  <c r="Y409" i="44"/>
  <c r="Y433" i="44"/>
  <c r="Y434" i="44"/>
  <c r="Y452" i="44"/>
  <c r="Y466" i="44"/>
  <c r="Y497" i="44"/>
  <c r="Y500" i="44"/>
  <c r="E730" i="44"/>
  <c r="L6" i="17" s="1" a="1"/>
  <c r="L6" i="17" s="1"/>
  <c r="S728" i="44"/>
  <c r="J6" i="30" s="1" a="1"/>
  <c r="J6" i="30" s="1"/>
  <c r="V603" i="44" a="1"/>
  <c r="V603" i="44" s="1"/>
  <c r="E2" i="10" s="1" a="1"/>
  <c r="E2" i="10" s="1"/>
  <c r="Y407" i="44"/>
  <c r="Y529" i="44"/>
  <c r="Y574" i="44"/>
  <c r="Y592" i="44"/>
  <c r="Y438" i="44"/>
  <c r="Y428" i="44"/>
  <c r="Y461" i="44"/>
  <c r="Y556" i="44"/>
  <c r="Y489" i="44"/>
  <c r="Y404" i="44"/>
  <c r="Y531" i="44"/>
  <c r="E693" i="44" a="1"/>
  <c r="E693" i="44" s="1"/>
  <c r="W5" i="17" s="1" a="1"/>
  <c r="W5" i="17" s="1"/>
  <c r="E647" i="44" a="1"/>
  <c r="E647" i="44" s="1"/>
  <c r="Y3" i="17" s="1" a="1"/>
  <c r="Y3" i="17" s="1"/>
  <c r="T737" i="44"/>
  <c r="S6" i="31" s="1" a="1"/>
  <c r="S6" i="31" s="1"/>
  <c r="T724" i="44"/>
  <c r="F6" i="31" s="1" a="1"/>
  <c r="F6" i="31" s="1"/>
  <c r="T740" i="44"/>
  <c r="V6" i="31" s="1" a="1"/>
  <c r="V6" i="31" s="1"/>
  <c r="V668" i="44" a="1"/>
  <c r="V668" i="44" s="1"/>
  <c r="V4" i="10" s="1" a="1"/>
  <c r="V4" i="10" s="1"/>
  <c r="S743" i="44"/>
  <c r="Y6" i="30" s="1" a="1"/>
  <c r="Y6" i="30" s="1"/>
  <c r="P610" i="44" a="1"/>
  <c r="P610" i="44" s="1"/>
  <c r="L2" i="11" s="1" a="1"/>
  <c r="L2" i="11" s="1"/>
  <c r="Y410" i="44"/>
  <c r="Y436" i="44"/>
  <c r="Y526" i="44"/>
  <c r="Y484" i="44"/>
  <c r="Y536" i="44"/>
  <c r="Y543" i="44"/>
  <c r="Y451" i="44"/>
  <c r="Y458" i="44"/>
  <c r="Y589" i="44"/>
  <c r="V641" i="44" a="1"/>
  <c r="V641" i="44" s="1"/>
  <c r="S3" i="10" s="1" a="1"/>
  <c r="S3" i="10" s="1"/>
  <c r="T735" i="44"/>
  <c r="Q6" i="31" s="1" a="1"/>
  <c r="Q6" i="31" s="1"/>
  <c r="T624" i="44" a="1"/>
  <c r="T624" i="44" s="1"/>
  <c r="B3" i="31" s="1" a="1"/>
  <c r="B3" i="31" s="1"/>
  <c r="N660" i="44" a="1"/>
  <c r="N660" i="44" s="1"/>
  <c r="N4" i="25" s="1" a="1"/>
  <c r="N4" i="25" s="1"/>
  <c r="Y418" i="44"/>
  <c r="Y415" i="44"/>
  <c r="Y441" i="44"/>
  <c r="Y580" i="44"/>
  <c r="Y450" i="44"/>
  <c r="Y541" i="44"/>
  <c r="Y559" i="44"/>
  <c r="Y565" i="44"/>
  <c r="Y491" i="44"/>
  <c r="P665" i="44" a="1"/>
  <c r="P665" i="44" s="1"/>
  <c r="S4" i="11" s="1" a="1"/>
  <c r="S4" i="11" s="1"/>
  <c r="E708" i="44"/>
  <c r="N7" i="17" s="1" a="1"/>
  <c r="N7" i="17" s="1"/>
  <c r="K729" i="44"/>
  <c r="K6" i="22" s="1" a="1"/>
  <c r="K6" i="22" s="1"/>
  <c r="K677" i="44" a="1"/>
  <c r="K677" i="44" s="1"/>
  <c r="G5" i="22" s="1" a="1"/>
  <c r="G5" i="22" s="1"/>
  <c r="E737" i="44"/>
  <c r="S6" i="17" s="1" a="1"/>
  <c r="S6" i="17" s="1"/>
  <c r="T616" i="44" a="1"/>
  <c r="T616" i="44" s="1"/>
  <c r="R2" i="31" s="1" a="1"/>
  <c r="R2" i="31" s="1"/>
  <c r="N614" i="44" a="1"/>
  <c r="N614" i="44" s="1"/>
  <c r="P2" i="25" s="1" a="1"/>
  <c r="P2" i="25" s="1"/>
  <c r="Y523" i="44"/>
  <c r="Y414" i="44"/>
  <c r="Y422" i="44"/>
  <c r="Y449" i="44"/>
  <c r="Y463" i="44"/>
  <c r="Y503" i="44"/>
  <c r="Y527" i="44"/>
  <c r="Y469" i="44"/>
  <c r="Y467" i="44"/>
  <c r="Y581" i="44"/>
  <c r="K608" i="44" a="1"/>
  <c r="K608" i="44" s="1"/>
  <c r="J2" i="22" s="1" a="1"/>
  <c r="J2" i="22" s="1"/>
  <c r="K688" i="44" a="1"/>
  <c r="K688" i="44" s="1"/>
  <c r="R5" i="22" s="1" a="1"/>
  <c r="R5" i="22" s="1"/>
  <c r="V618" i="44" a="1"/>
  <c r="V618" i="44" s="1"/>
  <c r="T2" i="10" s="1" a="1"/>
  <c r="T2" i="10" s="1"/>
  <c r="V735" i="44"/>
  <c r="Q6" i="10" s="1" a="1"/>
  <c r="Q6" i="10" s="1"/>
  <c r="V666" i="44" a="1"/>
  <c r="V666" i="44" s="1"/>
  <c r="T4" i="10" s="1" a="1"/>
  <c r="T4" i="10" s="1"/>
  <c r="V643" i="44" a="1"/>
  <c r="V643" i="44" s="1"/>
  <c r="U3" i="10" s="1" a="1"/>
  <c r="U3" i="10" s="1"/>
  <c r="T714" i="44"/>
  <c r="T7" i="31" s="1" a="1"/>
  <c r="T7" i="31" s="1"/>
  <c r="T645" i="44" a="1"/>
  <c r="T645" i="44" s="1"/>
  <c r="W3" i="31" s="1" a="1"/>
  <c r="W3" i="31" s="1"/>
  <c r="T690" i="44" a="1"/>
  <c r="T690" i="44" s="1"/>
  <c r="T5" i="31" s="1" a="1"/>
  <c r="T5" i="31" s="1"/>
  <c r="T654" i="44" a="1"/>
  <c r="T654" i="44" s="1"/>
  <c r="H4" i="31" s="1" a="1"/>
  <c r="H4" i="31" s="1"/>
  <c r="K718" i="44"/>
  <c r="X7" i="22" s="1" a="1"/>
  <c r="X7" i="22" s="1"/>
  <c r="V612" i="44" a="1"/>
  <c r="V612" i="44" s="1"/>
  <c r="N2" i="10" s="1" a="1"/>
  <c r="N2" i="10" s="1"/>
  <c r="Y519" i="44"/>
  <c r="Y520" i="44"/>
  <c r="Y412" i="44"/>
  <c r="Y457" i="44"/>
  <c r="Y413" i="44"/>
  <c r="Y546" i="44"/>
  <c r="Y453" i="44"/>
  <c r="Y557" i="44"/>
  <c r="Y483" i="44"/>
  <c r="T613" i="44" a="1"/>
  <c r="T613" i="44" s="1"/>
  <c r="O2" i="31" s="1" a="1"/>
  <c r="O2" i="31" s="1"/>
  <c r="Y587" i="44"/>
  <c r="E668" i="44" a="1"/>
  <c r="E668" i="44" s="1"/>
  <c r="V4" i="17" s="1" a="1"/>
  <c r="V4" i="17" s="1"/>
  <c r="K680" i="44" a="1"/>
  <c r="K680" i="44" s="1"/>
  <c r="J5" i="22" s="1" a="1"/>
  <c r="J5" i="22" s="1"/>
  <c r="T620" i="44" a="1"/>
  <c r="T620" i="44" s="1"/>
  <c r="V2" i="31" s="1" a="1"/>
  <c r="V2" i="31" s="1"/>
  <c r="Y576" i="44"/>
  <c r="Y408" i="44"/>
  <c r="Y426" i="44"/>
  <c r="Y553" i="44"/>
  <c r="Y507" i="44"/>
  <c r="Y535" i="44"/>
  <c r="Y568" i="44"/>
  <c r="Y459" i="44"/>
  <c r="Y573" i="44"/>
  <c r="V649" i="44" a="1"/>
  <c r="V649" i="44" s="1"/>
  <c r="C4" i="10" s="1" a="1"/>
  <c r="C4" i="10" s="1"/>
  <c r="P648" i="44" a="1"/>
  <c r="P648" i="44" s="1"/>
  <c r="B4" i="11" s="1" a="1"/>
  <c r="B4" i="11" s="1"/>
  <c r="V725" i="44"/>
  <c r="G6" i="10" s="1" a="1"/>
  <c r="G6" i="10" s="1"/>
  <c r="V723" i="44"/>
  <c r="E6" i="10" s="1" a="1"/>
  <c r="E6" i="10" s="1"/>
  <c r="T633" i="44" a="1"/>
  <c r="T633" i="44" s="1"/>
  <c r="K3" i="31" s="1" a="1"/>
  <c r="K3" i="31" s="1"/>
  <c r="V658" i="44" a="1"/>
  <c r="V658" i="44" s="1"/>
  <c r="L4" i="10" s="1" a="1"/>
  <c r="L4" i="10" s="1"/>
  <c r="Y481" i="44"/>
  <c r="Y504" i="44"/>
  <c r="Y416" i="44"/>
  <c r="Y455" i="44"/>
  <c r="Y419" i="44"/>
  <c r="Y429" i="44"/>
  <c r="Y470" i="44"/>
  <c r="Y549" i="44"/>
  <c r="Y572" i="44"/>
  <c r="V645" i="44" a="1"/>
  <c r="V645" i="44" s="1"/>
  <c r="W3" i="10" s="1" a="1"/>
  <c r="W3" i="10" s="1"/>
  <c r="V624" i="44" a="1"/>
  <c r="V624" i="44" s="1"/>
  <c r="B3" i="10" s="1" a="1"/>
  <c r="B3" i="10" s="1"/>
  <c r="K697" i="44"/>
  <c r="C7" i="22" s="1" a="1"/>
  <c r="C7" i="22" s="1"/>
  <c r="K617" i="44" a="1"/>
  <c r="K617" i="44" s="1"/>
  <c r="S2" i="22" s="1" a="1"/>
  <c r="S2" i="22" s="1"/>
  <c r="K684" i="44" a="1"/>
  <c r="K684" i="44" s="1"/>
  <c r="N5" i="22" s="1" a="1"/>
  <c r="N5" i="22" s="1"/>
  <c r="T722" i="44"/>
  <c r="D6" i="31" s="1" a="1"/>
  <c r="D6" i="31" s="1"/>
  <c r="T634" i="44" a="1"/>
  <c r="T634" i="44" s="1"/>
  <c r="L3" i="31" s="1" a="1"/>
  <c r="L3" i="31" s="1"/>
  <c r="T681" i="44" a="1"/>
  <c r="T681" i="44" s="1"/>
  <c r="K5" i="31" s="1" a="1"/>
  <c r="K5" i="31" s="1"/>
  <c r="Y498" i="44"/>
  <c r="Y518" i="44"/>
  <c r="Y512" i="44"/>
  <c r="Y542" i="44"/>
  <c r="Y478" i="44"/>
  <c r="Y445" i="44"/>
  <c r="Y560" i="44"/>
  <c r="Y548" i="44"/>
  <c r="Y591" i="44"/>
  <c r="Y558" i="44"/>
  <c r="Y490" i="44"/>
  <c r="Y502" i="44"/>
  <c r="Y431" i="44"/>
  <c r="Y494" i="44"/>
  <c r="Y443" i="44"/>
  <c r="Y462" i="44"/>
  <c r="Y487" i="44"/>
  <c r="Y493" i="44"/>
  <c r="Q611" i="44" a="1"/>
  <c r="Q611" i="44" s="1"/>
  <c r="M2" i="28" s="1" a="1"/>
  <c r="M2" i="28" s="1"/>
  <c r="Q601" i="44" a="1"/>
  <c r="Q601" i="44" s="1"/>
  <c r="C2" i="28" s="1" a="1"/>
  <c r="C2" i="28" s="1"/>
  <c r="T623" i="44" a="1"/>
  <c r="T623" i="44" s="1"/>
  <c r="Y2" i="31" s="1" a="1"/>
  <c r="Y2" i="31" s="1"/>
  <c r="K600" i="44" a="1"/>
  <c r="K600" i="44" s="1"/>
  <c r="B2" i="22" s="1" a="1"/>
  <c r="B2" i="22" s="1"/>
  <c r="E642" i="44" a="1"/>
  <c r="E642" i="44" s="1"/>
  <c r="T3" i="17" s="1" a="1"/>
  <c r="T3" i="17" s="1"/>
  <c r="E690" i="44" a="1"/>
  <c r="E690" i="44" s="1"/>
  <c r="T5" i="17" s="1" a="1"/>
  <c r="T5" i="17" s="1"/>
  <c r="P710" i="44"/>
  <c r="P7" i="11" s="1" a="1"/>
  <c r="P7" i="11" s="1"/>
  <c r="P699" i="44"/>
  <c r="E7" i="11" s="1" a="1"/>
  <c r="E7" i="11" s="1"/>
  <c r="P715" i="44"/>
  <c r="U7" i="11" s="1" a="1"/>
  <c r="U7" i="11" s="1"/>
  <c r="K632" i="44" a="1"/>
  <c r="K632" i="44" s="1"/>
  <c r="J3" i="22" s="1" a="1"/>
  <c r="J3" i="22" s="1"/>
  <c r="T741" i="44"/>
  <c r="W6" i="31" s="1" a="1"/>
  <c r="W6" i="31" s="1"/>
  <c r="S741" i="44"/>
  <c r="W6" i="30" s="1" a="1"/>
  <c r="W6" i="30" s="1"/>
  <c r="Y544" i="44"/>
  <c r="Y495" i="44"/>
  <c r="Y417" i="44"/>
  <c r="Y534" i="44"/>
  <c r="Y590" i="44"/>
  <c r="Y437" i="44"/>
  <c r="Y552" i="44"/>
  <c r="Y593" i="44"/>
  <c r="Y583" i="44"/>
  <c r="E635" i="44" a="1"/>
  <c r="E635" i="44" s="1"/>
  <c r="M3" i="17" s="1" a="1"/>
  <c r="M3" i="17" s="1"/>
  <c r="E672" i="44" a="1"/>
  <c r="E672" i="44" s="1"/>
  <c r="B5" i="17" s="1" a="1"/>
  <c r="B5" i="17" s="1"/>
  <c r="P701" i="44"/>
  <c r="G7" i="11" s="1" a="1"/>
  <c r="G7" i="11" s="1"/>
  <c r="K681" i="44" a="1"/>
  <c r="K681" i="44" s="1"/>
  <c r="K5" i="22" s="1" a="1"/>
  <c r="K5" i="22" s="1"/>
  <c r="T639" i="44" a="1"/>
  <c r="T639" i="44" s="1"/>
  <c r="Q3" i="31" s="1" a="1"/>
  <c r="Q3" i="31" s="1"/>
  <c r="T638" i="44" a="1"/>
  <c r="T638" i="44" s="1"/>
  <c r="P3" i="31" s="1" a="1"/>
  <c r="P3" i="31" s="1"/>
  <c r="Y442" i="44"/>
  <c r="Y588" i="44"/>
  <c r="Y486" i="44"/>
  <c r="Y506" i="44"/>
  <c r="Y569" i="44"/>
  <c r="Y427" i="44"/>
  <c r="Y454" i="44"/>
  <c r="Y586" i="44"/>
  <c r="Y485" i="44"/>
  <c r="E659" i="44" a="1"/>
  <c r="E659" i="44" s="1"/>
  <c r="M4" i="17" s="1" a="1"/>
  <c r="M4" i="17" s="1"/>
  <c r="P739" i="44"/>
  <c r="U6" i="11" s="1" a="1"/>
  <c r="U6" i="11" s="1"/>
  <c r="E729" i="44"/>
  <c r="K6" i="17" s="1" a="1"/>
  <c r="K6" i="17" s="1"/>
  <c r="T730" i="44"/>
  <c r="L6" i="31" s="1" a="1"/>
  <c r="L6" i="31" s="1"/>
  <c r="Y508" i="44"/>
  <c r="Y460" i="44"/>
  <c r="Y482" i="44"/>
  <c r="Y406" i="44"/>
  <c r="Y468" i="44"/>
  <c r="Y448" i="44"/>
  <c r="Y570" i="44"/>
  <c r="Y480" i="44"/>
  <c r="E648" i="44" a="1"/>
  <c r="E648" i="44" s="1"/>
  <c r="B4" i="17" s="1" a="1"/>
  <c r="B4" i="17" s="1"/>
  <c r="V742" i="44"/>
  <c r="X6" i="10" s="1" a="1"/>
  <c r="X6" i="10" s="1"/>
  <c r="V736" i="44"/>
  <c r="R6" i="10" s="1" a="1"/>
  <c r="R6" i="10" s="1"/>
  <c r="E661" i="44" a="1"/>
  <c r="E661" i="44" s="1"/>
  <c r="O4" i="17" s="1" a="1"/>
  <c r="O4" i="17" s="1"/>
  <c r="E733" i="44"/>
  <c r="O6" i="17" s="1" a="1"/>
  <c r="O6" i="17" s="1"/>
  <c r="P668" i="44" a="1"/>
  <c r="P668" i="44" s="1"/>
  <c r="V4" i="11" s="1" a="1"/>
  <c r="V4" i="11" s="1"/>
  <c r="P740" i="44"/>
  <c r="V6" i="11" s="1" a="1"/>
  <c r="V6" i="11" s="1"/>
  <c r="E663" i="44" a="1"/>
  <c r="E663" i="44" s="1"/>
  <c r="Q4" i="17" s="1" a="1"/>
  <c r="Q4" i="17" s="1"/>
  <c r="E735" i="44"/>
  <c r="Q6" i="17" s="1" a="1"/>
  <c r="Q6" i="17" s="1"/>
  <c r="V731" i="44"/>
  <c r="M6" i="10" s="1" a="1"/>
  <c r="M6" i="10" s="1"/>
  <c r="V657" i="44" a="1"/>
  <c r="V657" i="44" s="1"/>
  <c r="K4" i="10" s="1" a="1"/>
  <c r="K4" i="10" s="1"/>
  <c r="E649" i="44" a="1"/>
  <c r="E649" i="44" s="1"/>
  <c r="C4" i="17" s="1" a="1"/>
  <c r="C4" i="17" s="1"/>
  <c r="P738" i="44"/>
  <c r="T6" i="11" s="1" a="1"/>
  <c r="T6" i="11" s="1"/>
  <c r="E734" i="44"/>
  <c r="P6" i="17" s="1" a="1"/>
  <c r="P6" i="17" s="1"/>
  <c r="V639" i="44" a="1"/>
  <c r="V639" i="44" s="1"/>
  <c r="Q3" i="10" s="1" a="1"/>
  <c r="Q3" i="10" s="1"/>
  <c r="K668" i="44" a="1"/>
  <c r="K668" i="44" s="1"/>
  <c r="V4" i="22" s="1" a="1"/>
  <c r="V4" i="22" s="1"/>
  <c r="K740" i="44"/>
  <c r="V6" i="22" s="1" a="1"/>
  <c r="V6" i="22" s="1"/>
  <c r="V720" i="44"/>
  <c r="B6" i="10" s="1" a="1"/>
  <c r="B6" i="10" s="1"/>
  <c r="T726" i="44"/>
  <c r="H6" i="31" s="1" a="1"/>
  <c r="H6" i="31" s="1"/>
  <c r="E720" i="44"/>
  <c r="B6" i="17" s="1" a="1"/>
  <c r="B6" i="17" s="1"/>
  <c r="V738" i="44"/>
  <c r="T6" i="10" s="1" a="1"/>
  <c r="T6" i="10" s="1"/>
  <c r="K742" i="44"/>
  <c r="X6" i="22" s="1" a="1"/>
  <c r="X6" i="22" s="1"/>
  <c r="T687" i="44" a="1"/>
  <c r="T687" i="44" s="1"/>
  <c r="Q5" i="31" s="1" a="1"/>
  <c r="Q5" i="31" s="1"/>
  <c r="K732" i="44"/>
  <c r="N6" i="22" s="1" a="1"/>
  <c r="N6" i="22" s="1"/>
  <c r="K728" i="44"/>
  <c r="J6" i="22" s="1" a="1"/>
  <c r="J6" i="22" s="1"/>
  <c r="E667" i="44" a="1"/>
  <c r="E667" i="44" s="1"/>
  <c r="U4" i="17" s="1" a="1"/>
  <c r="U4" i="17" s="1"/>
  <c r="E739" i="44"/>
  <c r="U6" i="17" s="1" a="1"/>
  <c r="U6" i="17" s="1"/>
  <c r="T661" i="44" a="1"/>
  <c r="T661" i="44" s="1"/>
  <c r="O4" i="31" s="1" a="1"/>
  <c r="O4" i="31" s="1"/>
  <c r="T733" i="44"/>
  <c r="O6" i="31" s="1" a="1"/>
  <c r="O6" i="31" s="1"/>
  <c r="K651" i="44" a="1"/>
  <c r="K651" i="44" s="1"/>
  <c r="E4" i="22" s="1" a="1"/>
  <c r="E4" i="22" s="1"/>
  <c r="K723" i="44"/>
  <c r="E6" i="22" s="1" a="1"/>
  <c r="E6" i="22" s="1"/>
  <c r="P614" i="44" a="1"/>
  <c r="P614" i="44" s="1"/>
  <c r="P2" i="11" s="1" a="1"/>
  <c r="P2" i="11" s="1"/>
  <c r="P646" i="44" a="1"/>
  <c r="P646" i="44" s="1"/>
  <c r="X3" i="11" s="1" a="1"/>
  <c r="X3" i="11" s="1"/>
  <c r="V642" i="44" a="1"/>
  <c r="V642" i="44" s="1"/>
  <c r="T3" i="10" s="1" a="1"/>
  <c r="T3" i="10" s="1"/>
  <c r="P723" i="44"/>
  <c r="E6" i="11" s="1" a="1"/>
  <c r="E6" i="11" s="1"/>
  <c r="N657" i="44" a="1"/>
  <c r="N657" i="44" s="1"/>
  <c r="K4" i="25" s="1" a="1"/>
  <c r="K4" i="25" s="1"/>
  <c r="P720" i="44"/>
  <c r="B6" i="11" s="1" a="1"/>
  <c r="B6" i="11" s="1"/>
  <c r="T664" i="44" a="1"/>
  <c r="T664" i="44" s="1"/>
  <c r="R4" i="31" s="1" a="1"/>
  <c r="R4" i="31" s="1"/>
  <c r="T736" i="44"/>
  <c r="R6" i="31" s="1" a="1"/>
  <c r="R6" i="31" s="1"/>
  <c r="T720" i="44"/>
  <c r="B6" i="31" s="1" a="1"/>
  <c r="B6" i="31" s="1"/>
  <c r="T731" i="44"/>
  <c r="M6" i="31" s="1" a="1"/>
  <c r="M6" i="31" s="1"/>
  <c r="T725" i="44"/>
  <c r="G6" i="31" s="1" a="1"/>
  <c r="G6" i="31" s="1"/>
  <c r="Q743" i="44"/>
  <c r="Y6" i="28" s="1" a="1"/>
  <c r="Y6" i="28" s="1"/>
  <c r="U600" i="44" a="1"/>
  <c r="U600" i="44" s="1"/>
  <c r="B2" i="32" s="1" a="1"/>
  <c r="B2" i="32" s="1"/>
  <c r="N604" i="44" a="1"/>
  <c r="N604" i="44" s="1"/>
  <c r="F2" i="25" s="1" a="1"/>
  <c r="F2" i="25" s="1"/>
  <c r="T650" i="44" a="1"/>
  <c r="T650" i="44" s="1"/>
  <c r="D4" i="31" s="1" a="1"/>
  <c r="D4" i="31" s="1"/>
  <c r="E722" i="44"/>
  <c r="D6" i="17" s="1" a="1"/>
  <c r="D6" i="17" s="1"/>
  <c r="E673" i="44" a="1"/>
  <c r="E673" i="44" s="1"/>
  <c r="C5" i="17" s="1" a="1"/>
  <c r="C5" i="17" s="1"/>
  <c r="T728" i="44"/>
  <c r="J6" i="31" s="1" a="1"/>
  <c r="J6" i="31" s="1"/>
  <c r="S724" i="44"/>
  <c r="F6" i="30" s="1" a="1"/>
  <c r="F6" i="30" s="1"/>
  <c r="P730" i="44"/>
  <c r="L6" i="11" s="1" a="1"/>
  <c r="L6" i="11" s="1"/>
  <c r="T739" i="44"/>
  <c r="U6" i="31" s="1" a="1"/>
  <c r="U6" i="31" s="1"/>
  <c r="T618" i="44" a="1"/>
  <c r="T618" i="44" s="1"/>
  <c r="T2" i="31" s="1" a="1"/>
  <c r="T2" i="31" s="1"/>
  <c r="E709" i="44"/>
  <c r="O7" i="17" s="1" a="1"/>
  <c r="O7" i="17" s="1"/>
  <c r="V739" i="44"/>
  <c r="U6" i="10" s="1" a="1"/>
  <c r="U6" i="10" s="1"/>
  <c r="K720" i="44"/>
  <c r="B6" i="22" s="1" a="1"/>
  <c r="B6" i="22" s="1"/>
  <c r="T721" i="44"/>
  <c r="C6" i="31" s="1" a="1"/>
  <c r="C6" i="31" s="1"/>
  <c r="S725" i="44"/>
  <c r="G6" i="30" s="1" a="1"/>
  <c r="G6" i="30" s="1"/>
  <c r="E724" i="44"/>
  <c r="F6" i="17" s="1" a="1"/>
  <c r="F6" i="17" s="1"/>
  <c r="U666" i="44" a="1"/>
  <c r="U666" i="44" s="1"/>
  <c r="T4" i="32" s="1" a="1"/>
  <c r="T4" i="32" s="1"/>
  <c r="U738" i="44"/>
  <c r="T6" i="32" s="1" a="1"/>
  <c r="T6" i="32" s="1"/>
  <c r="V663" i="44" a="1"/>
  <c r="V663" i="44" s="1"/>
  <c r="Q4" i="10" s="1" a="1"/>
  <c r="Q4" i="10" s="1"/>
  <c r="P670" i="44" a="1"/>
  <c r="P670" i="44" s="1"/>
  <c r="X4" i="11" s="1" a="1"/>
  <c r="X4" i="11" s="1"/>
  <c r="P742" i="44"/>
  <c r="X6" i="11" s="1" a="1"/>
  <c r="X6" i="11" s="1"/>
  <c r="P619" i="44" a="1"/>
  <c r="P619" i="44" s="1"/>
  <c r="U2" i="11" s="1" a="1"/>
  <c r="U2" i="11" s="1"/>
  <c r="K622" i="44" a="1"/>
  <c r="K622" i="44" s="1"/>
  <c r="X2" i="22" s="1" a="1"/>
  <c r="X2" i="22" s="1"/>
  <c r="K667" i="44" a="1"/>
  <c r="K667" i="44" s="1"/>
  <c r="U4" i="22" s="1" a="1"/>
  <c r="U4" i="22" s="1"/>
  <c r="P654" i="44" a="1"/>
  <c r="P654" i="44" s="1"/>
  <c r="H4" i="11" s="1" a="1"/>
  <c r="H4" i="11" s="1"/>
  <c r="E658" i="44" a="1"/>
  <c r="E658" i="44" s="1"/>
  <c r="L4" i="17" s="1" a="1"/>
  <c r="L4" i="17" s="1"/>
  <c r="P660" i="44" a="1"/>
  <c r="P660" i="44" s="1"/>
  <c r="N4" i="11" s="1" a="1"/>
  <c r="N4" i="11" s="1"/>
  <c r="P732" i="44"/>
  <c r="N6" i="11" s="1" a="1"/>
  <c r="N6" i="11" s="1"/>
  <c r="K736" i="44"/>
  <c r="R6" i="22" s="1" a="1"/>
  <c r="R6" i="22" s="1"/>
  <c r="V631" i="44" a="1"/>
  <c r="V631" i="44" s="1"/>
  <c r="I3" i="10" s="1" a="1"/>
  <c r="I3" i="10" s="1"/>
  <c r="V714" i="44"/>
  <c r="T7" i="10" s="1" a="1"/>
  <c r="T7" i="10" s="1"/>
  <c r="V737" i="44"/>
  <c r="S6" i="10" s="1" a="1"/>
  <c r="S6" i="10" s="1"/>
  <c r="K685" i="44" a="1"/>
  <c r="K685" i="44" s="1"/>
  <c r="O5" i="22" s="1" a="1"/>
  <c r="O5" i="22" s="1"/>
  <c r="T682" i="44" a="1"/>
  <c r="T682" i="44" s="1"/>
  <c r="L5" i="31" s="1" a="1"/>
  <c r="L5" i="31" s="1"/>
  <c r="T738" i="44"/>
  <c r="T6" i="31" s="1" a="1"/>
  <c r="T6" i="31" s="1"/>
  <c r="K678" i="44" a="1"/>
  <c r="K678" i="44" s="1"/>
  <c r="H5" i="22" s="1" a="1"/>
  <c r="H5" i="22" s="1"/>
  <c r="P722" i="44"/>
  <c r="D6" i="11" s="1" a="1"/>
  <c r="D6" i="11" s="1"/>
  <c r="T723" i="44"/>
  <c r="E6" i="31" s="1" a="1"/>
  <c r="E6" i="31" s="1"/>
  <c r="K653" i="44" a="1"/>
  <c r="K653" i="44" s="1"/>
  <c r="G4" i="22" s="1" a="1"/>
  <c r="G4" i="22" s="1"/>
  <c r="K725" i="44"/>
  <c r="G6" i="22" s="1" a="1"/>
  <c r="G6" i="22" s="1"/>
  <c r="V726" i="44"/>
  <c r="H6" i="10" s="1" a="1"/>
  <c r="H6" i="10" s="1"/>
  <c r="K613" i="44" a="1"/>
  <c r="K613" i="44" s="1"/>
  <c r="O2" i="22" s="1" a="1"/>
  <c r="O2" i="22" s="1"/>
  <c r="K649" i="44" a="1"/>
  <c r="K649" i="44" s="1"/>
  <c r="C4" i="22" s="1" a="1"/>
  <c r="C4" i="22" s="1"/>
  <c r="P652" i="44" a="1"/>
  <c r="P652" i="44" s="1"/>
  <c r="F4" i="11" s="1" a="1"/>
  <c r="F4" i="11" s="1"/>
  <c r="P724" i="44"/>
  <c r="F6" i="11" s="1" a="1"/>
  <c r="F6" i="11" s="1"/>
  <c r="P741" i="44"/>
  <c r="W6" i="11" s="1" a="1"/>
  <c r="W6" i="11" s="1"/>
  <c r="V743" i="44"/>
  <c r="Y6" i="10" s="1" a="1"/>
  <c r="Y6" i="10" s="1"/>
  <c r="V724" i="44"/>
  <c r="F6" i="10" s="1" a="1"/>
  <c r="F6" i="10" s="1"/>
  <c r="K662" i="44" a="1"/>
  <c r="K662" i="44" s="1"/>
  <c r="P4" i="22" s="1" a="1"/>
  <c r="P4" i="22" s="1"/>
  <c r="K734" i="44"/>
  <c r="P6" i="22" s="1" a="1"/>
  <c r="P6" i="22" s="1"/>
  <c r="U670" i="44" a="1"/>
  <c r="U670" i="44" s="1"/>
  <c r="X4" i="32" s="1" a="1"/>
  <c r="X4" i="32" s="1"/>
  <c r="U742" i="44"/>
  <c r="X6" i="32" s="1" a="1"/>
  <c r="X6" i="32" s="1"/>
  <c r="P682" i="44" a="1"/>
  <c r="P682" i="44" s="1"/>
  <c r="L5" i="11" s="1" a="1"/>
  <c r="L5" i="11" s="1"/>
  <c r="P736" i="44"/>
  <c r="R6" i="11" s="1" a="1"/>
  <c r="R6" i="11" s="1"/>
  <c r="V730" i="44"/>
  <c r="L6" i="10" s="1" a="1"/>
  <c r="L6" i="10" s="1"/>
  <c r="T601" i="44" a="1"/>
  <c r="T601" i="44" s="1"/>
  <c r="C2" i="31" s="1" a="1"/>
  <c r="C2" i="31" s="1"/>
  <c r="K601" i="44" a="1"/>
  <c r="K601" i="44" s="1"/>
  <c r="C2" i="22" s="1" a="1"/>
  <c r="C2" i="22" s="1"/>
  <c r="P681" i="44" a="1"/>
  <c r="P681" i="44" s="1"/>
  <c r="K5" i="11" s="1" a="1"/>
  <c r="K5" i="11" s="1"/>
  <c r="T671" i="44" a="1"/>
  <c r="T671" i="44" s="1"/>
  <c r="Y4" i="31" s="1" a="1"/>
  <c r="Y4" i="31" s="1"/>
  <c r="T743" i="44"/>
  <c r="Y6" i="31" s="1" a="1"/>
  <c r="Y6" i="31" s="1"/>
  <c r="V732" i="44"/>
  <c r="N6" i="10" s="1" a="1"/>
  <c r="N6" i="10" s="1"/>
  <c r="K689" i="44" a="1"/>
  <c r="K689" i="44" s="1"/>
  <c r="S5" i="22" s="1" a="1"/>
  <c r="S5" i="22" s="1"/>
  <c r="K624" i="44" a="1"/>
  <c r="K624" i="44" s="1"/>
  <c r="B3" i="22" s="1" a="1"/>
  <c r="B3" i="22" s="1"/>
  <c r="T718" i="44"/>
  <c r="X7" i="31" s="1" a="1"/>
  <c r="X7" i="31" s="1"/>
  <c r="T689" i="44" a="1"/>
  <c r="T689" i="44" s="1"/>
  <c r="S5" i="31" s="1" a="1"/>
  <c r="S5" i="31" s="1"/>
  <c r="T672" i="44" a="1"/>
  <c r="T672" i="44" s="1"/>
  <c r="B5" i="31" s="1" a="1"/>
  <c r="B5" i="31" s="1"/>
  <c r="T711" i="44"/>
  <c r="Q7" i="31" s="1" a="1"/>
  <c r="Q7" i="31" s="1"/>
  <c r="T704" i="44"/>
  <c r="J7" i="31" s="1" a="1"/>
  <c r="J7" i="31" s="1"/>
  <c r="E660" i="44" a="1"/>
  <c r="E660" i="44" s="1"/>
  <c r="N4" i="17" s="1" a="1"/>
  <c r="N4" i="17" s="1"/>
  <c r="E732" i="44"/>
  <c r="N6" i="17" s="1" a="1"/>
  <c r="N6" i="17" s="1"/>
  <c r="E723" i="44"/>
  <c r="E6" i="17" s="1" a="1"/>
  <c r="E6" i="17" s="1"/>
  <c r="E731" i="44"/>
  <c r="M6" i="17" s="1" a="1"/>
  <c r="M6" i="17" s="1"/>
  <c r="K727" i="44"/>
  <c r="I6" i="22" s="1" a="1"/>
  <c r="I6" i="22" s="1"/>
  <c r="K724" i="44"/>
  <c r="F6" i="22" s="1" a="1"/>
  <c r="F6" i="22" s="1"/>
  <c r="K661" i="44" a="1"/>
  <c r="K661" i="44" s="1"/>
  <c r="O4" i="22" s="1" a="1"/>
  <c r="O4" i="22" s="1"/>
  <c r="K733" i="44"/>
  <c r="O6" i="22" s="1" a="1"/>
  <c r="O6" i="22" s="1"/>
  <c r="V727" i="44"/>
  <c r="I6" i="10" s="1" a="1"/>
  <c r="I6" i="10" s="1"/>
  <c r="T667" i="44" a="1"/>
  <c r="T667" i="44" s="1"/>
  <c r="U4" i="31" s="1" a="1"/>
  <c r="U4" i="31" s="1"/>
  <c r="P603" i="44" a="1"/>
  <c r="P603" i="44" s="1"/>
  <c r="E2" i="11" s="1" a="1"/>
  <c r="E2" i="11" s="1"/>
  <c r="E614" i="44" a="1"/>
  <c r="E614" i="44" s="1"/>
  <c r="P2" i="17" s="1" a="1"/>
  <c r="P2" i="17" s="1"/>
  <c r="Q651" i="44" a="1"/>
  <c r="Q651" i="44" s="1"/>
  <c r="E4" i="28" s="1" a="1"/>
  <c r="E4" i="28" s="1"/>
  <c r="Q723" i="44"/>
  <c r="E6" i="28" s="1" a="1"/>
  <c r="E6" i="28" s="1"/>
  <c r="E654" i="44" a="1"/>
  <c r="E654" i="44" s="1"/>
  <c r="H4" i="17" s="1" a="1"/>
  <c r="H4" i="17" s="1"/>
  <c r="E726" i="44"/>
  <c r="H6" i="17" s="1" a="1"/>
  <c r="H6" i="17" s="1"/>
  <c r="E728" i="44"/>
  <c r="J6" i="17" s="1" a="1"/>
  <c r="J6" i="17" s="1"/>
  <c r="T675" i="44" a="1"/>
  <c r="T675" i="44" s="1"/>
  <c r="E5" i="31" s="1" a="1"/>
  <c r="E5" i="31" s="1"/>
  <c r="E738" i="44"/>
  <c r="T6" i="17" s="1" a="1"/>
  <c r="T6" i="17" s="1"/>
  <c r="P673" i="44" a="1"/>
  <c r="P673" i="44" s="1"/>
  <c r="C5" i="11" s="1" a="1"/>
  <c r="C5" i="11" s="1"/>
  <c r="K674" i="44" a="1"/>
  <c r="K674" i="44" s="1"/>
  <c r="D5" i="22" s="1" a="1"/>
  <c r="D5" i="22" s="1"/>
  <c r="K669" i="44" a="1"/>
  <c r="K669" i="44" s="1"/>
  <c r="W4" i="22" s="1" a="1"/>
  <c r="W4" i="22" s="1"/>
  <c r="K741" i="44"/>
  <c r="W6" i="22" s="1" a="1"/>
  <c r="W6" i="22" s="1"/>
  <c r="T684" i="44" a="1"/>
  <c r="T684" i="44" s="1"/>
  <c r="N5" i="31" s="1" a="1"/>
  <c r="N5" i="31" s="1"/>
  <c r="E641" i="44" a="1"/>
  <c r="E641" i="44" s="1"/>
  <c r="S3" i="17" s="1" a="1"/>
  <c r="S3" i="17" s="1"/>
  <c r="V662" i="44" a="1"/>
  <c r="V662" i="44" s="1"/>
  <c r="P4" i="10" s="1" a="1"/>
  <c r="P4" i="10" s="1"/>
  <c r="T655" i="44" a="1"/>
  <c r="T655" i="44" s="1"/>
  <c r="I4" i="31" s="1" a="1"/>
  <c r="I4" i="31" s="1"/>
  <c r="K673" i="44" a="1"/>
  <c r="K673" i="44" s="1"/>
  <c r="C5" i="22" s="1" a="1"/>
  <c r="C5" i="22" s="1"/>
  <c r="K640" i="44" a="1"/>
  <c r="K640" i="44" s="1"/>
  <c r="R3" i="22" s="1" a="1"/>
  <c r="R3" i="22" s="1"/>
  <c r="E619" i="44" a="1"/>
  <c r="E619" i="44" s="1"/>
  <c r="U2" i="17" s="1" a="1"/>
  <c r="U2" i="17" s="1"/>
  <c r="P605" i="44" a="1"/>
  <c r="P605" i="44" s="1"/>
  <c r="G2" i="11" s="1" a="1"/>
  <c r="G2" i="11" s="1"/>
  <c r="E612" i="44" a="1"/>
  <c r="E612" i="44" s="1"/>
  <c r="N2" i="17" s="1" a="1"/>
  <c r="N2" i="17" s="1"/>
  <c r="P637" i="44" a="1"/>
  <c r="P637" i="44" s="1"/>
  <c r="O3" i="11" s="1" a="1"/>
  <c r="O3" i="11" s="1"/>
  <c r="E625" i="44" a="1"/>
  <c r="E625" i="44" s="1"/>
  <c r="C3" i="17" s="1" a="1"/>
  <c r="C3" i="17" s="1"/>
  <c r="V637" i="44" a="1"/>
  <c r="V637" i="44" s="1"/>
  <c r="O3" i="10" s="1" a="1"/>
  <c r="O3" i="10" s="1"/>
  <c r="V626" i="44" a="1"/>
  <c r="V626" i="44" s="1"/>
  <c r="D3" i="10" s="1" a="1"/>
  <c r="D3" i="10" s="1"/>
  <c r="T652" i="44" a="1"/>
  <c r="T652" i="44" s="1"/>
  <c r="F4" i="31" s="1" a="1"/>
  <c r="F4" i="31" s="1"/>
  <c r="T668" i="44" a="1"/>
  <c r="T668" i="44" s="1"/>
  <c r="V4" i="31" s="1" a="1"/>
  <c r="V4" i="31" s="1"/>
  <c r="T641" i="44" a="1"/>
  <c r="T641" i="44" s="1"/>
  <c r="S3" i="31" s="1" a="1"/>
  <c r="S3" i="31" s="1"/>
  <c r="P461" i="44"/>
  <c r="T608" i="44" a="1"/>
  <c r="T608" i="44" s="1"/>
  <c r="J2" i="31" s="1" a="1"/>
  <c r="J2" i="31" s="1"/>
  <c r="P403" i="44"/>
  <c r="T628" i="44" a="1"/>
  <c r="T628" i="44" s="1"/>
  <c r="F3" i="31" s="1" a="1"/>
  <c r="F3" i="31" s="1"/>
  <c r="T627" i="44" a="1"/>
  <c r="T627" i="44" s="1"/>
  <c r="E3" i="31" s="1" a="1"/>
  <c r="E3" i="31" s="1"/>
  <c r="T680" i="44" a="1"/>
  <c r="T680" i="44" s="1"/>
  <c r="J5" i="31" s="1" a="1"/>
  <c r="J5" i="31" s="1"/>
  <c r="K618" i="44" a="1"/>
  <c r="K618" i="44" s="1"/>
  <c r="T2" i="22" s="1" a="1"/>
  <c r="T2" i="22" s="1"/>
  <c r="V606" i="44" a="1"/>
  <c r="V606" i="44" s="1"/>
  <c r="H2" i="10" s="1" a="1"/>
  <c r="H2" i="10" s="1"/>
  <c r="Q618" i="44" a="1"/>
  <c r="Q618" i="44" s="1"/>
  <c r="T2" i="28" s="1" a="1"/>
  <c r="T2" i="28" s="1"/>
  <c r="J506" i="44"/>
  <c r="V627" i="44" a="1"/>
  <c r="V627" i="44" s="1"/>
  <c r="E3" i="10" s="1" a="1"/>
  <c r="E3" i="10" s="1"/>
  <c r="K670" i="44" a="1"/>
  <c r="K670" i="44" s="1"/>
  <c r="X4" i="22" s="1" a="1"/>
  <c r="X4" i="22" s="1"/>
  <c r="K648" i="44" a="1"/>
  <c r="K648" i="44" s="1"/>
  <c r="B4" i="22" s="1" a="1"/>
  <c r="B4" i="22" s="1"/>
  <c r="X547" i="44"/>
  <c r="X555" i="44"/>
  <c r="X578" i="44"/>
  <c r="T679" i="44" a="1"/>
  <c r="T679" i="44" s="1"/>
  <c r="I5" i="31" s="1" a="1"/>
  <c r="I5" i="31" s="1"/>
  <c r="T649" i="44" a="1"/>
  <c r="T649" i="44" s="1"/>
  <c r="C4" i="31" s="1" a="1"/>
  <c r="C4" i="31" s="1"/>
  <c r="V648" i="44" a="1"/>
  <c r="V648" i="44" s="1"/>
  <c r="B4" i="10" s="1" a="1"/>
  <c r="B4" i="10" s="1"/>
  <c r="K623" i="44" a="1"/>
  <c r="K623" i="44" s="1"/>
  <c r="Y2" i="22" s="1" a="1"/>
  <c r="Y2" i="22" s="1"/>
  <c r="K604" i="44" a="1"/>
  <c r="K604" i="44" s="1"/>
  <c r="F2" i="22" s="1" a="1"/>
  <c r="F2" i="22" s="1"/>
  <c r="K603" i="44" a="1"/>
  <c r="K603" i="44" s="1"/>
  <c r="E2" i="22" s="1" a="1"/>
  <c r="E2" i="22" s="1"/>
  <c r="P417" i="44"/>
  <c r="P410" i="44"/>
  <c r="K657" i="44" a="1"/>
  <c r="K657" i="44" s="1"/>
  <c r="K4" i="22" s="1" a="1"/>
  <c r="K4" i="22" s="1"/>
  <c r="T692" i="44" a="1"/>
  <c r="T692" i="44" s="1"/>
  <c r="V5" i="31" s="1" a="1"/>
  <c r="V5" i="31" s="1"/>
  <c r="V670" i="44" a="1"/>
  <c r="V670" i="44" s="1"/>
  <c r="X4" i="10" s="1" a="1"/>
  <c r="X4" i="10" s="1"/>
  <c r="V651" i="44" a="1"/>
  <c r="V651" i="44" s="1"/>
  <c r="E4" i="10" s="1" a="1"/>
  <c r="E4" i="10" s="1"/>
  <c r="T663" i="44" a="1"/>
  <c r="T663" i="44" s="1"/>
  <c r="Q4" i="31" s="1" a="1"/>
  <c r="Q4" i="31" s="1"/>
  <c r="P453" i="44"/>
  <c r="V644" i="44" a="1"/>
  <c r="V644" i="44" s="1"/>
  <c r="V3" i="10" s="1" a="1"/>
  <c r="V3" i="10" s="1"/>
  <c r="K693" i="44" a="1"/>
  <c r="K693" i="44" s="1"/>
  <c r="W5" i="22" s="1" a="1"/>
  <c r="W5" i="22" s="1"/>
  <c r="K635" i="44" a="1"/>
  <c r="K635" i="44" s="1"/>
  <c r="M3" i="22" s="1" a="1"/>
  <c r="M3" i="22" s="1"/>
  <c r="Q602" i="44" a="1"/>
  <c r="Q602" i="44" s="1"/>
  <c r="D2" i="28" s="1" a="1"/>
  <c r="D2" i="28" s="1"/>
  <c r="J511" i="44"/>
  <c r="J577" i="44"/>
  <c r="J575" i="44"/>
  <c r="J483" i="44"/>
  <c r="J588" i="44"/>
  <c r="J567" i="44"/>
  <c r="J556" i="44"/>
  <c r="J472" i="44"/>
  <c r="J541" i="44"/>
  <c r="J446" i="44"/>
  <c r="J445" i="44"/>
  <c r="J424" i="44"/>
  <c r="J423" i="44"/>
  <c r="J480" i="44"/>
  <c r="J487" i="44"/>
  <c r="J485" i="44"/>
  <c r="J451" i="44"/>
  <c r="J570" i="44"/>
  <c r="J538" i="44"/>
  <c r="J544" i="44"/>
  <c r="J543" i="44"/>
  <c r="J508" i="44"/>
  <c r="J516" i="44"/>
  <c r="J578" i="44"/>
  <c r="J585" i="44"/>
  <c r="J583" i="44"/>
  <c r="J491" i="44"/>
  <c r="J452" i="44"/>
  <c r="J549" i="44"/>
  <c r="J564" i="44"/>
  <c r="J523" i="44"/>
  <c r="J532" i="44"/>
  <c r="J427" i="44"/>
  <c r="J500" i="44"/>
  <c r="J471" i="44"/>
  <c r="J502" i="44"/>
  <c r="J592" i="44"/>
  <c r="J558" i="44"/>
  <c r="J566" i="44"/>
  <c r="J444" i="44"/>
  <c r="J542" i="44"/>
  <c r="J531" i="44"/>
  <c r="J403" i="44"/>
  <c r="J495" i="44"/>
  <c r="J493" i="44"/>
  <c r="J589" i="44"/>
  <c r="J453" i="44"/>
  <c r="J524" i="44"/>
  <c r="J442" i="44"/>
  <c r="J546" i="44"/>
  <c r="J428" i="44"/>
  <c r="J462" i="44"/>
  <c r="J526" i="44"/>
  <c r="J410" i="44"/>
  <c r="J586" i="44"/>
  <c r="J591" i="44"/>
  <c r="J490" i="44"/>
  <c r="J551" i="44"/>
  <c r="J557" i="44"/>
  <c r="J456" i="44"/>
  <c r="J525" i="44"/>
  <c r="J540" i="44"/>
  <c r="J430" i="44"/>
  <c r="J429" i="44"/>
  <c r="J519" i="44"/>
  <c r="J515" i="44"/>
  <c r="J481" i="44"/>
  <c r="J405" i="44"/>
  <c r="J505" i="44"/>
  <c r="J436" i="44"/>
  <c r="J408" i="44"/>
  <c r="J548" i="44"/>
  <c r="J503" i="44"/>
  <c r="J514" i="44"/>
  <c r="J574" i="44"/>
  <c r="J473" i="44"/>
  <c r="J507" i="44"/>
  <c r="J594" i="44"/>
  <c r="J572" i="44"/>
  <c r="I673" i="44" s="1" a="1"/>
  <c r="I673" i="44" s="1"/>
  <c r="C5" i="8" s="1" a="1"/>
  <c r="C5" i="8" s="1"/>
  <c r="J464" i="44"/>
  <c r="J533" i="44"/>
  <c r="J432" i="44"/>
  <c r="J438" i="44"/>
  <c r="J412" i="44"/>
  <c r="J590" i="44"/>
  <c r="J420" i="44"/>
  <c r="J494" i="44"/>
  <c r="J406" i="44"/>
  <c r="J479" i="44"/>
  <c r="J477" i="44"/>
  <c r="J573" i="44"/>
  <c r="J498" i="44"/>
  <c r="J469" i="44"/>
  <c r="J458" i="44"/>
  <c r="J562" i="44"/>
  <c r="J443" i="44"/>
  <c r="J530" i="44"/>
  <c r="J536" i="44"/>
  <c r="J535" i="44"/>
  <c r="J422" i="44"/>
  <c r="J457" i="44"/>
  <c r="J520" i="44"/>
  <c r="J513" i="44"/>
  <c r="J521" i="44"/>
  <c r="J461" i="44"/>
  <c r="J510" i="44"/>
  <c r="J517" i="44"/>
  <c r="J425" i="44"/>
  <c r="J404" i="44"/>
  <c r="J478" i="44"/>
  <c r="J447" i="44"/>
  <c r="J467" i="44"/>
  <c r="J417" i="44"/>
  <c r="J501" i="44"/>
  <c r="J509" i="44"/>
  <c r="J555" i="44"/>
  <c r="J545" i="44"/>
  <c r="J431" i="44"/>
  <c r="J569" i="44"/>
  <c r="J475" i="44"/>
  <c r="J528" i="44"/>
  <c r="J552" i="44"/>
  <c r="J554" i="44"/>
  <c r="J522" i="44"/>
  <c r="J539" i="44"/>
  <c r="J512" i="44"/>
  <c r="J489" i="44"/>
  <c r="J563" i="44"/>
  <c r="J568" i="44"/>
  <c r="J439" i="44"/>
  <c r="J449" i="44"/>
  <c r="J529" i="44"/>
  <c r="J413" i="44"/>
  <c r="J486" i="44"/>
  <c r="J426" i="44"/>
  <c r="J435" i="44"/>
  <c r="J499" i="44"/>
  <c r="J414" i="44"/>
  <c r="J460" i="44"/>
  <c r="J582" i="44"/>
  <c r="J553" i="44"/>
  <c r="J504" i="44"/>
  <c r="J584" i="44"/>
  <c r="J455" i="44"/>
  <c r="J409" i="44"/>
  <c r="J579" i="44"/>
  <c r="J496" i="44"/>
  <c r="J450" i="44"/>
  <c r="J416" i="44"/>
  <c r="J497" i="44"/>
  <c r="J468" i="44"/>
  <c r="J433" i="44"/>
  <c r="J441" i="44"/>
  <c r="J415" i="44"/>
  <c r="J419" i="44"/>
  <c r="J571" i="44"/>
  <c r="J527" i="44"/>
  <c r="J534" i="44"/>
  <c r="J560" i="44"/>
  <c r="J411" i="44"/>
  <c r="J576" i="44"/>
  <c r="J463" i="44"/>
  <c r="J418" i="44"/>
  <c r="J580" i="44"/>
  <c r="J421" i="44"/>
  <c r="J537" i="44"/>
  <c r="J407" i="44"/>
  <c r="J561" i="44"/>
  <c r="J484" i="44"/>
  <c r="J492" i="44"/>
  <c r="J454" i="44"/>
  <c r="J559" i="44"/>
  <c r="J465" i="44"/>
  <c r="P438" i="44"/>
  <c r="J547" i="44"/>
  <c r="E657" i="44" a="1"/>
  <c r="E657" i="44" s="1"/>
  <c r="K4" i="17" s="1" a="1"/>
  <c r="K4" i="17" s="1"/>
  <c r="E613" i="44" a="1"/>
  <c r="E613" i="44" s="1"/>
  <c r="O2" i="17" s="1" a="1"/>
  <c r="O2" i="17" s="1"/>
  <c r="P470" i="44"/>
  <c r="J593" i="44"/>
  <c r="J466" i="44"/>
  <c r="P479" i="44"/>
  <c r="Y555" i="44"/>
  <c r="Y563" i="44"/>
  <c r="Y539" i="44"/>
  <c r="Y571" i="44"/>
  <c r="Y515" i="44"/>
  <c r="Y547" i="44"/>
  <c r="Y579" i="44"/>
  <c r="Y403" i="44"/>
  <c r="J448" i="44"/>
  <c r="J565" i="44"/>
  <c r="P634" i="44" a="1"/>
  <c r="P634" i="44" s="1"/>
  <c r="L3" i="11" s="1" a="1"/>
  <c r="L3" i="11" s="1"/>
  <c r="P664" i="44" a="1"/>
  <c r="P664" i="44" s="1"/>
  <c r="R4" i="11" s="1" a="1"/>
  <c r="R4" i="11" s="1"/>
  <c r="P460" i="44"/>
  <c r="J459" i="44"/>
  <c r="J587" i="44"/>
  <c r="P574" i="44"/>
  <c r="J550" i="44"/>
  <c r="P667" i="44" a="1"/>
  <c r="P667" i="44" s="1"/>
  <c r="U4" i="11" s="1" a="1"/>
  <c r="U4" i="11" s="1"/>
  <c r="J440" i="44"/>
  <c r="P501" i="44"/>
  <c r="P522" i="44"/>
  <c r="J470" i="44"/>
  <c r="P542" i="44"/>
  <c r="Q708" i="44"/>
  <c r="N7" i="28" s="1" a="1"/>
  <c r="N7" i="28" s="1"/>
  <c r="Q612" i="44" a="1"/>
  <c r="Q612" i="44" s="1"/>
  <c r="N2" i="28" s="1" a="1"/>
  <c r="N2" i="28" s="1"/>
  <c r="P568" i="44"/>
  <c r="P492" i="44"/>
  <c r="P582" i="44"/>
  <c r="P584" i="44"/>
  <c r="P576" i="44"/>
  <c r="P469" i="44"/>
  <c r="P433" i="44"/>
  <c r="P407" i="44"/>
  <c r="P415" i="44"/>
  <c r="P530" i="44"/>
  <c r="P517" i="44"/>
  <c r="P416" i="44"/>
  <c r="P577" i="44"/>
  <c r="P555" i="44"/>
  <c r="P533" i="44"/>
  <c r="P471" i="44"/>
  <c r="P474" i="44"/>
  <c r="P462" i="44"/>
  <c r="P466" i="44"/>
  <c r="P464" i="44"/>
  <c r="P457" i="44"/>
  <c r="P567" i="44"/>
  <c r="P586" i="44"/>
  <c r="P575" i="44"/>
  <c r="P594" i="44"/>
  <c r="P485" i="44"/>
  <c r="P580" i="44"/>
  <c r="P472" i="44"/>
  <c r="P572" i="44"/>
  <c r="P467" i="44"/>
  <c r="P509" i="44"/>
  <c r="P593" i="44"/>
  <c r="P571" i="44"/>
  <c r="P549" i="44"/>
  <c r="P529" i="44"/>
  <c r="P560" i="44"/>
  <c r="P552" i="44"/>
  <c r="P548" i="44"/>
  <c r="P473" i="44"/>
  <c r="P476" i="44"/>
  <c r="P465" i="44"/>
  <c r="P468" i="44"/>
  <c r="P587" i="44"/>
  <c r="P565" i="44"/>
  <c r="P523" i="44"/>
  <c r="P590" i="44"/>
  <c r="P477" i="44"/>
  <c r="P519" i="44"/>
  <c r="P564" i="44"/>
  <c r="P521" i="44"/>
  <c r="P510" i="44"/>
  <c r="P518" i="44"/>
  <c r="P425" i="44"/>
  <c r="P515" i="44"/>
  <c r="P585" i="44"/>
  <c r="P563" i="44"/>
  <c r="P556" i="44"/>
  <c r="P428" i="44"/>
  <c r="P455" i="44"/>
  <c r="P429" i="44"/>
  <c r="P589" i="44"/>
  <c r="P547" i="44"/>
  <c r="P526" i="44"/>
  <c r="P508" i="44"/>
  <c r="P406" i="44"/>
  <c r="P422" i="44"/>
  <c r="P452" i="44"/>
  <c r="P490" i="44"/>
  <c r="P488" i="44"/>
  <c r="P491" i="44"/>
  <c r="P480" i="44"/>
  <c r="P483" i="44"/>
  <c r="P409" i="44"/>
  <c r="P499" i="44"/>
  <c r="P581" i="44"/>
  <c r="P539" i="44"/>
  <c r="P423" i="44"/>
  <c r="P534" i="44"/>
  <c r="P459" i="44"/>
  <c r="P496" i="44"/>
  <c r="P532" i="44"/>
  <c r="P439" i="44"/>
  <c r="P442" i="44"/>
  <c r="P431" i="44"/>
  <c r="P434" i="44"/>
  <c r="P432" i="44"/>
  <c r="P566" i="44"/>
  <c r="P497" i="44"/>
  <c r="P559" i="44"/>
  <c r="P578" i="44"/>
  <c r="P579" i="44"/>
  <c r="P537" i="44"/>
  <c r="P583" i="44"/>
  <c r="P527" i="44"/>
  <c r="P456" i="44"/>
  <c r="P498" i="44"/>
  <c r="P447" i="44"/>
  <c r="P550" i="44"/>
  <c r="P414" i="44"/>
  <c r="P558" i="44"/>
  <c r="P504" i="44"/>
  <c r="P484" i="44"/>
  <c r="P443" i="44"/>
  <c r="P430" i="44"/>
  <c r="P514" i="44"/>
  <c r="P561" i="44"/>
  <c r="P538" i="44"/>
  <c r="P513" i="44"/>
  <c r="P436" i="44"/>
  <c r="P419" i="44"/>
  <c r="P531" i="44"/>
  <c r="P421" i="44"/>
  <c r="P591" i="44"/>
  <c r="P495" i="44"/>
  <c r="P540" i="44"/>
  <c r="P494" i="44"/>
  <c r="P458" i="44"/>
  <c r="P489" i="44"/>
  <c r="P448" i="44"/>
  <c r="P507" i="44"/>
  <c r="P536" i="44"/>
  <c r="P411" i="44"/>
  <c r="P569" i="44"/>
  <c r="P525" i="44"/>
  <c r="P505" i="44"/>
  <c r="P511" i="44"/>
  <c r="P445" i="44"/>
  <c r="P463" i="44"/>
  <c r="P440" i="44"/>
  <c r="P426" i="44"/>
  <c r="P435" i="44"/>
  <c r="P506" i="44"/>
  <c r="P404" i="44"/>
  <c r="P418" i="44"/>
  <c r="P543" i="44"/>
  <c r="P562" i="44"/>
  <c r="P551" i="44"/>
  <c r="P570" i="44"/>
  <c r="P424" i="44"/>
  <c r="P557" i="44"/>
  <c r="P546" i="44"/>
  <c r="P450" i="44"/>
  <c r="P554" i="44"/>
  <c r="P412" i="44"/>
  <c r="P512" i="44"/>
  <c r="P588" i="44"/>
  <c r="P405" i="44"/>
  <c r="P500" i="44"/>
  <c r="P487" i="44"/>
  <c r="P441" i="44"/>
  <c r="P444" i="44"/>
  <c r="P524" i="44"/>
  <c r="P475" i="44"/>
  <c r="O672" i="44" s="1" a="1"/>
  <c r="O672" i="44" s="1"/>
  <c r="B5" i="26" s="1" a="1"/>
  <c r="B5" i="26" s="1"/>
  <c r="P478" i="44"/>
  <c r="P481" i="44"/>
  <c r="P486" i="44"/>
  <c r="P528" i="44"/>
  <c r="P408" i="44"/>
  <c r="P553" i="44"/>
  <c r="P520" i="44"/>
  <c r="P516" i="44"/>
  <c r="O713" i="44" s="1"/>
  <c r="S7" i="26" s="1" a="1"/>
  <c r="S7" i="26" s="1"/>
  <c r="P413" i="44"/>
  <c r="P535" i="44"/>
  <c r="P503" i="44"/>
  <c r="P451" i="44"/>
  <c r="P454" i="44"/>
  <c r="P544" i="44"/>
  <c r="P446" i="44"/>
  <c r="P449" i="44"/>
  <c r="P437" i="44"/>
  <c r="P502" i="44"/>
  <c r="P427" i="44"/>
  <c r="P592" i="44"/>
  <c r="P493" i="44"/>
  <c r="P482" i="44"/>
  <c r="J581" i="44"/>
  <c r="J434" i="44"/>
  <c r="P545" i="44"/>
  <c r="J474" i="44"/>
  <c r="J518" i="44"/>
  <c r="Q605" i="44" a="1"/>
  <c r="Q605" i="44" s="1"/>
  <c r="G2" i="28" s="1" a="1"/>
  <c r="G2" i="28" s="1"/>
  <c r="Q701" i="44"/>
  <c r="G7" i="28" s="1" a="1"/>
  <c r="G7" i="28" s="1"/>
  <c r="J437" i="44"/>
  <c r="J488" i="44"/>
  <c r="P541" i="44"/>
  <c r="J482" i="44"/>
  <c r="E662" i="44" a="1"/>
  <c r="E662" i="44" s="1"/>
  <c r="P4" i="17" s="1" a="1"/>
  <c r="P4" i="17" s="1"/>
  <c r="N484" i="44"/>
  <c r="N548" i="44"/>
  <c r="N420" i="44"/>
  <c r="P573" i="44"/>
  <c r="G5" i="46"/>
  <c r="U5" i="46"/>
  <c r="J2" i="46"/>
  <c r="J3" i="46"/>
  <c r="M3" i="46"/>
  <c r="M4" i="46"/>
  <c r="D2" i="46"/>
  <c r="S5" i="46"/>
  <c r="U4" i="46"/>
  <c r="P5" i="46"/>
  <c r="I5" i="46"/>
  <c r="O4" i="46"/>
  <c r="D4" i="46"/>
  <c r="C4" i="46"/>
  <c r="F3" i="46"/>
  <c r="M2" i="46"/>
  <c r="F5" i="46"/>
  <c r="Q4" i="46"/>
  <c r="S3" i="46"/>
  <c r="T2" i="46"/>
  <c r="I2" i="46"/>
  <c r="Q2" i="46"/>
  <c r="U2" i="46"/>
  <c r="R3" i="46"/>
  <c r="Q3" i="46"/>
  <c r="D3" i="46"/>
  <c r="J5" i="46"/>
  <c r="O2" i="46"/>
  <c r="R5" i="46"/>
  <c r="Q5" i="46"/>
  <c r="P4" i="46"/>
  <c r="I3" i="46"/>
  <c r="M5" i="46"/>
  <c r="S2" i="46"/>
  <c r="D5" i="46"/>
  <c r="P2" i="46"/>
  <c r="C5" i="46"/>
  <c r="T4" i="46"/>
  <c r="U3" i="46"/>
  <c r="C3" i="46"/>
  <c r="G4" i="46"/>
  <c r="T5" i="46"/>
  <c r="R2" i="46"/>
  <c r="F2" i="46"/>
  <c r="S4" i="46"/>
  <c r="J4" i="46"/>
  <c r="P3" i="46"/>
  <c r="G3" i="46"/>
  <c r="C2" i="46"/>
  <c r="T3" i="46"/>
  <c r="F4" i="46"/>
  <c r="O3" i="46"/>
  <c r="G2" i="46"/>
  <c r="I4" i="46"/>
  <c r="R4" i="46"/>
  <c r="O5" i="46"/>
  <c r="M723" i="44" l="1"/>
  <c r="E6" i="24" s="1" a="1"/>
  <c r="E6" i="24" s="1"/>
  <c r="M674" i="44" a="1"/>
  <c r="M674" i="44" s="1"/>
  <c r="D5" i="24" s="1" a="1"/>
  <c r="D5" i="24" s="1"/>
  <c r="M619" i="44" a="1"/>
  <c r="M619" i="44" s="1"/>
  <c r="U2" i="24" s="1" a="1"/>
  <c r="U2" i="24" s="1"/>
  <c r="M695" i="44" a="1"/>
  <c r="M695" i="44" s="1"/>
  <c r="Y5" i="24" s="1" a="1"/>
  <c r="Y5" i="24" s="1"/>
  <c r="M683" i="44" a="1"/>
  <c r="M683" i="44" s="1"/>
  <c r="M5" i="24" s="1" a="1"/>
  <c r="M5" i="24" s="1"/>
  <c r="I630" i="44" a="1"/>
  <c r="I630" i="44" s="1"/>
  <c r="H3" i="8" s="1" a="1"/>
  <c r="H3" i="8" s="1"/>
  <c r="W704" i="44"/>
  <c r="J7" i="33" s="1" a="1"/>
  <c r="J7" i="33" s="1"/>
  <c r="W637" i="44" a="1"/>
  <c r="W637" i="44" s="1"/>
  <c r="O3" i="33" s="1" a="1"/>
  <c r="O3" i="33" s="1"/>
  <c r="M630" i="44" a="1"/>
  <c r="M630" i="44" s="1"/>
  <c r="H3" i="24" s="1" a="1"/>
  <c r="H3" i="24" s="1"/>
  <c r="O632" i="44" a="1"/>
  <c r="O632" i="44" s="1"/>
  <c r="J3" i="26" s="1" a="1"/>
  <c r="J3" i="26" s="1"/>
  <c r="M690" i="44" a="1"/>
  <c r="M690" i="44" s="1"/>
  <c r="T5" i="24" s="1" a="1"/>
  <c r="T5" i="24" s="1"/>
  <c r="M672" i="44" a="1"/>
  <c r="M672" i="44" s="1"/>
  <c r="B5" i="24" s="1" a="1"/>
  <c r="B5" i="24" s="1"/>
  <c r="M689" i="44" a="1"/>
  <c r="M689" i="44" s="1"/>
  <c r="S5" i="24" s="1" a="1"/>
  <c r="S5" i="24" s="1"/>
  <c r="M680" i="44" a="1"/>
  <c r="M680" i="44" s="1"/>
  <c r="J5" i="24" s="1" a="1"/>
  <c r="J5" i="24" s="1"/>
  <c r="M612" i="44" a="1"/>
  <c r="M612" i="44" s="1"/>
  <c r="N2" i="24" s="1" a="1"/>
  <c r="N2" i="24" s="1"/>
  <c r="M704" i="44"/>
  <c r="J7" i="24" s="1" a="1"/>
  <c r="J7" i="24" s="1"/>
  <c r="W617" i="44" a="1"/>
  <c r="W617" i="44" s="1"/>
  <c r="S2" i="33" s="1" a="1"/>
  <c r="S2" i="33" s="1"/>
  <c r="W611" i="44" a="1"/>
  <c r="W611" i="44" s="1"/>
  <c r="M2" i="33" s="1" a="1"/>
  <c r="M2" i="33" s="1"/>
  <c r="X646" i="44" a="1"/>
  <c r="X646" i="44" s="1"/>
  <c r="X3" i="34" s="1" a="1"/>
  <c r="X3" i="34" s="1"/>
  <c r="M740" i="44"/>
  <c r="V6" i="24" s="1" a="1"/>
  <c r="V6" i="24" s="1"/>
  <c r="W693" i="44" a="1"/>
  <c r="W693" i="44" s="1"/>
  <c r="W5" i="33" s="1" a="1"/>
  <c r="W5" i="33" s="1"/>
  <c r="M646" i="44" a="1"/>
  <c r="M646" i="44" s="1"/>
  <c r="X3" i="24" s="1" a="1"/>
  <c r="X3" i="24" s="1"/>
  <c r="W702" i="44"/>
  <c r="H7" i="33" s="1" a="1"/>
  <c r="H7" i="33" s="1"/>
  <c r="M628" i="44" a="1"/>
  <c r="M628" i="44" s="1"/>
  <c r="F3" i="24" s="1" a="1"/>
  <c r="F3" i="24" s="1"/>
  <c r="M621" i="44" a="1"/>
  <c r="M621" i="44" s="1"/>
  <c r="W2" i="24" s="1" a="1"/>
  <c r="W2" i="24" s="1"/>
  <c r="M741" i="44"/>
  <c r="W6" i="24" s="1" a="1"/>
  <c r="W6" i="24" s="1"/>
  <c r="M708" i="44"/>
  <c r="N7" i="24" s="1" a="1"/>
  <c r="N7" i="24" s="1"/>
  <c r="M631" i="44" a="1"/>
  <c r="M631" i="44" s="1"/>
  <c r="I3" i="24" s="1" a="1"/>
  <c r="I3" i="24" s="1"/>
  <c r="W713" i="44"/>
  <c r="S7" i="33" s="1" a="1"/>
  <c r="S7" i="33" s="1"/>
  <c r="W700" i="44"/>
  <c r="F7" i="33" s="1" a="1"/>
  <c r="F7" i="33" s="1"/>
  <c r="M673" i="44" a="1"/>
  <c r="M673" i="44" s="1"/>
  <c r="C5" i="24" s="1" a="1"/>
  <c r="C5" i="24" s="1"/>
  <c r="W604" i="44" a="1"/>
  <c r="W604" i="44" s="1"/>
  <c r="F2" i="33" s="1" a="1"/>
  <c r="F2" i="33" s="1"/>
  <c r="W733" i="44"/>
  <c r="O6" i="33" s="1" a="1"/>
  <c r="O6" i="33" s="1"/>
  <c r="W624" i="44" a="1"/>
  <c r="W624" i="44" s="1"/>
  <c r="B3" i="33" s="1" a="1"/>
  <c r="B3" i="33" s="1"/>
  <c r="M692" i="44" a="1"/>
  <c r="M692" i="44" s="1"/>
  <c r="V5" i="24" s="1" a="1"/>
  <c r="V5" i="24" s="1"/>
  <c r="X638" i="44" a="1"/>
  <c r="X638" i="44" s="1"/>
  <c r="P3" i="34" s="1" a="1"/>
  <c r="P3" i="34" s="1"/>
  <c r="M622" i="44" a="1"/>
  <c r="M622" i="44" s="1"/>
  <c r="X2" i="24" s="1" a="1"/>
  <c r="X2" i="24" s="1"/>
  <c r="W664" i="44" a="1"/>
  <c r="W664" i="44" s="1"/>
  <c r="R4" i="33" s="1" a="1"/>
  <c r="R4" i="33" s="1"/>
  <c r="M669" i="44" a="1"/>
  <c r="M669" i="44" s="1"/>
  <c r="W4" i="24" s="1" a="1"/>
  <c r="W4" i="24" s="1"/>
  <c r="M649" i="44" a="1"/>
  <c r="M649" i="44" s="1"/>
  <c r="C4" i="24" s="1" a="1"/>
  <c r="C4" i="24" s="1"/>
  <c r="M696" i="44"/>
  <c r="B7" i="24" s="1" a="1"/>
  <c r="B7" i="24" s="1"/>
  <c r="M647" i="44" a="1"/>
  <c r="M647" i="44" s="1"/>
  <c r="Y3" i="24" s="1" a="1"/>
  <c r="Y3" i="24" s="1"/>
  <c r="X683" i="44" a="1"/>
  <c r="X683" i="44" s="1"/>
  <c r="M5" i="34" s="1" a="1"/>
  <c r="M5" i="34" s="1"/>
  <c r="X714" i="44"/>
  <c r="T7" i="34" s="1" a="1"/>
  <c r="T7" i="34" s="1"/>
  <c r="M636" i="44" a="1"/>
  <c r="M636" i="44" s="1"/>
  <c r="N3" i="24" s="1" a="1"/>
  <c r="N3" i="24" s="1"/>
  <c r="M717" i="44"/>
  <c r="W7" i="24" s="1" a="1"/>
  <c r="W7" i="24" s="1"/>
  <c r="M665" i="44" a="1"/>
  <c r="M665" i="44" s="1"/>
  <c r="S4" i="24" s="1" a="1"/>
  <c r="S4" i="24" s="1"/>
  <c r="W695" i="44" a="1"/>
  <c r="W695" i="44" s="1"/>
  <c r="Y5" i="33" s="1" a="1"/>
  <c r="Y5" i="33" s="1"/>
  <c r="M737" i="44"/>
  <c r="S6" i="24" s="1" a="1"/>
  <c r="S6" i="24" s="1"/>
  <c r="M657" i="44" a="1"/>
  <c r="M657" i="44" s="1"/>
  <c r="K4" i="24" s="1" a="1"/>
  <c r="K4" i="24" s="1"/>
  <c r="M681" i="44" a="1"/>
  <c r="M681" i="44" s="1"/>
  <c r="K5" i="24" s="1" a="1"/>
  <c r="K5" i="24" s="1"/>
  <c r="M632" i="44" a="1"/>
  <c r="M632" i="44" s="1"/>
  <c r="J3" i="24" s="1" a="1"/>
  <c r="J3" i="24" s="1"/>
  <c r="W623" i="44" a="1"/>
  <c r="W623" i="44" s="1"/>
  <c r="Y2" i="33" s="1" a="1"/>
  <c r="Y2" i="33" s="1"/>
  <c r="M659" i="44" a="1"/>
  <c r="M659" i="44" s="1"/>
  <c r="M4" i="24" s="1" a="1"/>
  <c r="M4" i="24" s="1"/>
  <c r="W657" i="44" a="1"/>
  <c r="W657" i="44" s="1"/>
  <c r="K4" i="33" s="1" a="1"/>
  <c r="K4" i="33" s="1"/>
  <c r="M706" i="44"/>
  <c r="L7" i="24" s="1" a="1"/>
  <c r="L7" i="24" s="1"/>
  <c r="M663" i="44" a="1"/>
  <c r="M663" i="44" s="1"/>
  <c r="Q4" i="24" s="1" a="1"/>
  <c r="Q4" i="24" s="1"/>
  <c r="M675" i="44" a="1"/>
  <c r="M675" i="44" s="1"/>
  <c r="E5" i="24" s="1" a="1"/>
  <c r="E5" i="24" s="1"/>
  <c r="W676" i="44" a="1"/>
  <c r="W676" i="44" s="1"/>
  <c r="F5" i="33" s="1" a="1"/>
  <c r="F5" i="33" s="1"/>
  <c r="M738" i="44"/>
  <c r="T6" i="24" s="1" a="1"/>
  <c r="T6" i="24" s="1"/>
  <c r="X741" i="44"/>
  <c r="W6" i="34" s="1" a="1"/>
  <c r="W6" i="34" s="1"/>
  <c r="X708" i="44"/>
  <c r="N7" i="34" s="1" a="1"/>
  <c r="N7" i="34" s="1"/>
  <c r="M643" i="44" a="1"/>
  <c r="M643" i="44" s="1"/>
  <c r="U3" i="24" s="1" a="1"/>
  <c r="U3" i="24" s="1"/>
  <c r="M651" i="44" a="1"/>
  <c r="M651" i="44" s="1"/>
  <c r="E4" i="24" s="1" a="1"/>
  <c r="E4" i="24" s="1"/>
  <c r="M716" i="44"/>
  <c r="V7" i="24" s="1" a="1"/>
  <c r="V7" i="24" s="1"/>
  <c r="M638" i="44" a="1"/>
  <c r="M638" i="44" s="1"/>
  <c r="P3" i="24" s="1" a="1"/>
  <c r="P3" i="24" s="1"/>
  <c r="X686" i="44" a="1"/>
  <c r="X686" i="44" s="1"/>
  <c r="P5" i="34" s="1" a="1"/>
  <c r="P5" i="34" s="1"/>
  <c r="M727" i="44"/>
  <c r="I6" i="24" s="1" a="1"/>
  <c r="I6" i="24" s="1"/>
  <c r="M705" i="44"/>
  <c r="K7" i="24" s="1" a="1"/>
  <c r="K7" i="24" s="1"/>
  <c r="W680" i="44" a="1"/>
  <c r="W680" i="44" s="1"/>
  <c r="J5" i="33" s="1" a="1"/>
  <c r="J5" i="33" s="1"/>
  <c r="M743" i="44"/>
  <c r="Y6" i="24" s="1" a="1"/>
  <c r="Y6" i="24" s="1"/>
  <c r="X720" i="44"/>
  <c r="B6" i="34" s="1" a="1"/>
  <c r="B6" i="34" s="1"/>
  <c r="W697" i="44"/>
  <c r="C7" i="33" s="1" a="1"/>
  <c r="C7" i="33" s="1"/>
  <c r="W649" i="44" a="1"/>
  <c r="W649" i="44" s="1"/>
  <c r="C4" i="33" s="1" a="1"/>
  <c r="C4" i="33" s="1"/>
  <c r="M633" i="44" a="1"/>
  <c r="M633" i="44" s="1"/>
  <c r="K3" i="24" s="1" a="1"/>
  <c r="K3" i="24" s="1"/>
  <c r="X660" i="44" a="1"/>
  <c r="X660" i="44" s="1"/>
  <c r="N4" i="34" s="1" a="1"/>
  <c r="N4" i="34" s="1"/>
  <c r="W630" i="44" a="1"/>
  <c r="W630" i="44" s="1"/>
  <c r="H3" i="33" s="1" a="1"/>
  <c r="H3" i="33" s="1"/>
  <c r="M608" i="44" a="1"/>
  <c r="M608" i="44" s="1"/>
  <c r="J2" i="24" s="1" a="1"/>
  <c r="J2" i="24" s="1"/>
  <c r="M625" i="44" a="1"/>
  <c r="M625" i="44" s="1"/>
  <c r="C3" i="24" s="1" a="1"/>
  <c r="C3" i="24" s="1"/>
  <c r="W687" i="44" a="1"/>
  <c r="W687" i="44" s="1"/>
  <c r="Q5" i="33" s="1" a="1"/>
  <c r="Q5" i="33" s="1"/>
  <c r="M697" i="44"/>
  <c r="C7" i="24" s="1" a="1"/>
  <c r="C7" i="24" s="1"/>
  <c r="M676" i="44" a="1"/>
  <c r="M676" i="44" s="1"/>
  <c r="F5" i="24" s="1" a="1"/>
  <c r="F5" i="24" s="1"/>
  <c r="M624" i="44" a="1"/>
  <c r="M624" i="44" s="1"/>
  <c r="B3" i="24" s="1" a="1"/>
  <c r="B3" i="24" s="1"/>
  <c r="M678" i="44" a="1"/>
  <c r="M678" i="44" s="1"/>
  <c r="H5" i="24" s="1" a="1"/>
  <c r="H5" i="24" s="1"/>
  <c r="W694" i="44" a="1"/>
  <c r="W694" i="44" s="1"/>
  <c r="X5" i="33" s="1" a="1"/>
  <c r="X5" i="33" s="1"/>
  <c r="M714" i="44"/>
  <c r="T7" i="24" s="1" a="1"/>
  <c r="T7" i="24" s="1"/>
  <c r="M627" i="44" a="1"/>
  <c r="M627" i="44" s="1"/>
  <c r="E3" i="24" s="1" a="1"/>
  <c r="E3" i="24" s="1"/>
  <c r="W663" i="44" a="1"/>
  <c r="W663" i="44" s="1"/>
  <c r="Q4" i="33" s="1" a="1"/>
  <c r="Q4" i="33" s="1"/>
  <c r="W660" i="44" a="1"/>
  <c r="W660" i="44" s="1"/>
  <c r="N4" i="33" s="1" a="1"/>
  <c r="N4" i="33" s="1"/>
  <c r="M685" i="44" a="1"/>
  <c r="M685" i="44" s="1"/>
  <c r="O5" i="24" s="1" a="1"/>
  <c r="O5" i="24" s="1"/>
  <c r="M648" i="44" a="1"/>
  <c r="M648" i="44" s="1"/>
  <c r="B4" i="24" s="1" a="1"/>
  <c r="B4" i="24" s="1"/>
  <c r="X723" i="44"/>
  <c r="E6" i="34" s="1" a="1"/>
  <c r="E6" i="34" s="1"/>
  <c r="M687" i="44" a="1"/>
  <c r="M687" i="44" s="1"/>
  <c r="Q5" i="24" s="1" a="1"/>
  <c r="Q5" i="24" s="1"/>
  <c r="M660" i="44" a="1"/>
  <c r="M660" i="44" s="1"/>
  <c r="N4" i="24" s="1" a="1"/>
  <c r="N4" i="24" s="1"/>
  <c r="W651" i="44" a="1"/>
  <c r="W651" i="44" s="1"/>
  <c r="E4" i="33" s="1" a="1"/>
  <c r="E4" i="33" s="1"/>
  <c r="M736" i="44"/>
  <c r="R6" i="24" s="1" a="1"/>
  <c r="R6" i="24" s="1"/>
  <c r="M601" i="44" a="1"/>
  <c r="M601" i="44" s="1"/>
  <c r="C2" i="24" s="1" a="1"/>
  <c r="C2" i="24" s="1"/>
  <c r="M720" i="44"/>
  <c r="B6" i="24" s="1" a="1"/>
  <c r="B6" i="24" s="1"/>
  <c r="M645" i="44" a="1"/>
  <c r="M645" i="44" s="1"/>
  <c r="W3" i="24" s="1" a="1"/>
  <c r="W3" i="24" s="1"/>
  <c r="M666" i="44" a="1"/>
  <c r="M666" i="44" s="1"/>
  <c r="T4" i="24" s="1" a="1"/>
  <c r="T4" i="24" s="1"/>
  <c r="W622" i="44" a="1"/>
  <c r="W622" i="44" s="1"/>
  <c r="X2" i="33" s="1" a="1"/>
  <c r="X2" i="33" s="1"/>
  <c r="W662" i="44" a="1"/>
  <c r="W662" i="44" s="1"/>
  <c r="P4" i="33" s="1" a="1"/>
  <c r="P4" i="33" s="1"/>
  <c r="W705" i="44"/>
  <c r="K7" i="33" s="1" a="1"/>
  <c r="K7" i="33" s="1"/>
  <c r="W629" i="44" a="1"/>
  <c r="W629" i="44" s="1"/>
  <c r="G3" i="33" s="1" a="1"/>
  <c r="G3" i="33" s="1"/>
  <c r="M698" i="44"/>
  <c r="D7" i="24" s="1" a="1"/>
  <c r="D7" i="24" s="1"/>
  <c r="M677" i="44" a="1"/>
  <c r="M677" i="44" s="1"/>
  <c r="G5" i="24" s="1" a="1"/>
  <c r="G5" i="24" s="1"/>
  <c r="M701" i="44"/>
  <c r="G7" i="24" s="1" a="1"/>
  <c r="G7" i="24" s="1"/>
  <c r="M711" i="44"/>
  <c r="Q7" i="24" s="1" a="1"/>
  <c r="Q7" i="24" s="1"/>
  <c r="M712" i="44"/>
  <c r="R7" i="24" s="1" a="1"/>
  <c r="R7" i="24" s="1"/>
  <c r="W688" i="44" a="1"/>
  <c r="W688" i="44" s="1"/>
  <c r="R5" i="33" s="1" a="1"/>
  <c r="R5" i="33" s="1"/>
  <c r="W683" i="44" a="1"/>
  <c r="W683" i="44" s="1"/>
  <c r="M5" i="33" s="1" a="1"/>
  <c r="M5" i="33" s="1"/>
  <c r="M739" i="44"/>
  <c r="U6" i="24" s="1" a="1"/>
  <c r="U6" i="24" s="1"/>
  <c r="M618" i="44" a="1"/>
  <c r="M618" i="44" s="1"/>
  <c r="T2" i="24" s="1" a="1"/>
  <c r="T2" i="24" s="1"/>
  <c r="W655" i="44" a="1"/>
  <c r="W655" i="44" s="1"/>
  <c r="I4" i="33" s="1" a="1"/>
  <c r="I4" i="33" s="1"/>
  <c r="W643" i="44" a="1"/>
  <c r="W643" i="44" s="1"/>
  <c r="U3" i="33" s="1" a="1"/>
  <c r="U3" i="33" s="1"/>
  <c r="W626" i="44" a="1"/>
  <c r="W626" i="44" s="1"/>
  <c r="D3" i="33" s="1" a="1"/>
  <c r="D3" i="33" s="1"/>
  <c r="W703" i="44"/>
  <c r="I7" i="33" s="1" a="1"/>
  <c r="I7" i="33" s="1"/>
  <c r="M635" i="44" a="1"/>
  <c r="M635" i="44" s="1"/>
  <c r="M3" i="24" s="1" a="1"/>
  <c r="M3" i="24" s="1"/>
  <c r="M725" i="44"/>
  <c r="G6" i="24" s="1" a="1"/>
  <c r="G6" i="24" s="1"/>
  <c r="M639" i="44" a="1"/>
  <c r="M639" i="44" s="1"/>
  <c r="Q3" i="24" s="1" a="1"/>
  <c r="Q3" i="24" s="1"/>
  <c r="W618" i="44" a="1"/>
  <c r="W618" i="44" s="1"/>
  <c r="T2" i="33" s="1" a="1"/>
  <c r="T2" i="33" s="1"/>
  <c r="W708" i="44"/>
  <c r="N7" i="33" s="1" a="1"/>
  <c r="N7" i="33" s="1"/>
  <c r="W609" i="44" a="1"/>
  <c r="W609" i="44" s="1"/>
  <c r="K2" i="33" s="1" a="1"/>
  <c r="K2" i="33" s="1"/>
  <c r="M729" i="44"/>
  <c r="K6" i="24" s="1" a="1"/>
  <c r="K6" i="24" s="1"/>
  <c r="M616" i="44" a="1"/>
  <c r="M616" i="44" s="1"/>
  <c r="R2" i="24" s="1" a="1"/>
  <c r="R2" i="24" s="1"/>
  <c r="M634" i="44" a="1"/>
  <c r="M634" i="44" s="1"/>
  <c r="L3" i="24" s="1" a="1"/>
  <c r="L3" i="24" s="1"/>
  <c r="W666" i="44" a="1"/>
  <c r="W666" i="44" s="1"/>
  <c r="T4" i="33" s="1" a="1"/>
  <c r="T4" i="33" s="1"/>
  <c r="M710" i="44"/>
  <c r="P7" i="24" s="1" a="1"/>
  <c r="P7" i="24" s="1"/>
  <c r="M694" i="44" a="1"/>
  <c r="M694" i="44" s="1"/>
  <c r="X5" i="24" s="1" a="1"/>
  <c r="X5" i="24" s="1"/>
  <c r="M709" i="44"/>
  <c r="O7" i="24" s="1" a="1"/>
  <c r="O7" i="24" s="1"/>
  <c r="M605" i="44" a="1"/>
  <c r="M605" i="44" s="1"/>
  <c r="G2" i="24" s="1" a="1"/>
  <c r="G2" i="24" s="1"/>
  <c r="M602" i="44" a="1"/>
  <c r="M602" i="44" s="1"/>
  <c r="D2" i="24" s="1" a="1"/>
  <c r="D2" i="24" s="1"/>
  <c r="M615" i="44" a="1"/>
  <c r="M615" i="44" s="1"/>
  <c r="Q2" i="24" s="1" a="1"/>
  <c r="Q2" i="24" s="1"/>
  <c r="M620" i="44" a="1"/>
  <c r="M620" i="44" s="1"/>
  <c r="V2" i="24" s="1" a="1"/>
  <c r="V2" i="24" s="1"/>
  <c r="X645" i="44" a="1"/>
  <c r="X645" i="44" s="1"/>
  <c r="W3" i="34" s="1" a="1"/>
  <c r="W3" i="34" s="1"/>
  <c r="W670" i="44" a="1"/>
  <c r="W670" i="44" s="1"/>
  <c r="X4" i="33" s="1" a="1"/>
  <c r="X4" i="33" s="1"/>
  <c r="M668" i="44" a="1"/>
  <c r="M668" i="44" s="1"/>
  <c r="V4" i="24" s="1" a="1"/>
  <c r="V4" i="24" s="1"/>
  <c r="M600" i="44" a="1"/>
  <c r="M600" i="44" s="1"/>
  <c r="B2" i="24" s="1" a="1"/>
  <c r="B2" i="24" s="1"/>
  <c r="W646" i="44" a="1"/>
  <c r="W646" i="44" s="1"/>
  <c r="X3" i="33" s="1" a="1"/>
  <c r="X3" i="33" s="1"/>
  <c r="M604" i="44" a="1"/>
  <c r="M604" i="44" s="1"/>
  <c r="F2" i="24" s="1" a="1"/>
  <c r="F2" i="24" s="1"/>
  <c r="W711" i="44"/>
  <c r="Q7" i="33" s="1" a="1"/>
  <c r="Q7" i="33" s="1"/>
  <c r="M693" i="44" a="1"/>
  <c r="M693" i="44" s="1"/>
  <c r="W5" i="24" s="1" a="1"/>
  <c r="W5" i="24" s="1"/>
  <c r="X674" i="44" a="1"/>
  <c r="X674" i="44" s="1"/>
  <c r="D5" i="34" s="1" a="1"/>
  <c r="D5" i="34" s="1"/>
  <c r="W738" i="44"/>
  <c r="T6" i="33" s="1" a="1"/>
  <c r="T6" i="33" s="1"/>
  <c r="W661" i="44" a="1"/>
  <c r="W661" i="44" s="1"/>
  <c r="O4" i="33" s="1" a="1"/>
  <c r="O4" i="33" s="1"/>
  <c r="W732" i="44"/>
  <c r="N6" i="33" s="1" a="1"/>
  <c r="N6" i="33" s="1"/>
  <c r="M614" i="44" a="1"/>
  <c r="M614" i="44" s="1"/>
  <c r="P2" i="24" s="1" a="1"/>
  <c r="P2" i="24" s="1"/>
  <c r="X697" i="44"/>
  <c r="C7" i="34" s="1" a="1"/>
  <c r="C7" i="34" s="1"/>
  <c r="W712" i="44"/>
  <c r="R7" i="33" s="1" a="1"/>
  <c r="R7" i="33" s="1"/>
  <c r="M702" i="44"/>
  <c r="H7" i="24" s="1" a="1"/>
  <c r="H7" i="24" s="1"/>
  <c r="M671" i="44" a="1"/>
  <c r="M671" i="44" s="1"/>
  <c r="Y4" i="24" s="1" a="1"/>
  <c r="Y4" i="24" s="1"/>
  <c r="W659" i="44" a="1"/>
  <c r="W659" i="44" s="1"/>
  <c r="M4" i="33" s="1" a="1"/>
  <c r="M4" i="33" s="1"/>
  <c r="M626" i="44" a="1"/>
  <c r="M626" i="44" s="1"/>
  <c r="D3" i="24" s="1" a="1"/>
  <c r="D3" i="24" s="1"/>
  <c r="W607" i="44" a="1"/>
  <c r="W607" i="44" s="1"/>
  <c r="I2" i="33" s="1" a="1"/>
  <c r="I2" i="33" s="1"/>
  <c r="X613" i="44" a="1"/>
  <c r="X613" i="44" s="1"/>
  <c r="O2" i="34" s="1" a="1"/>
  <c r="O2" i="34" s="1"/>
  <c r="W603" i="44" a="1"/>
  <c r="W603" i="44" s="1"/>
  <c r="E2" i="33" s="1" a="1"/>
  <c r="E2" i="33" s="1"/>
  <c r="M629" i="44" a="1"/>
  <c r="M629" i="44" s="1"/>
  <c r="G3" i="24" s="1" a="1"/>
  <c r="G3" i="24" s="1"/>
  <c r="M719" i="44"/>
  <c r="Y7" i="24" s="1" a="1"/>
  <c r="Y7" i="24" s="1"/>
  <c r="X626" i="44" a="1"/>
  <c r="X626" i="44" s="1"/>
  <c r="D3" i="34" s="1" a="1"/>
  <c r="D3" i="34" s="1"/>
  <c r="W615" i="44" a="1"/>
  <c r="W615" i="44" s="1"/>
  <c r="Q2" i="33" s="1" a="1"/>
  <c r="Q2" i="33" s="1"/>
  <c r="W669" i="44" a="1"/>
  <c r="W669" i="44" s="1"/>
  <c r="W4" i="33" s="1" a="1"/>
  <c r="W4" i="33" s="1"/>
  <c r="W628" i="44" a="1"/>
  <c r="W628" i="44" s="1"/>
  <c r="F3" i="33" s="1" a="1"/>
  <c r="F3" i="33" s="1"/>
  <c r="M724" i="44"/>
  <c r="F6" i="24" s="1" a="1"/>
  <c r="F6" i="24" s="1"/>
  <c r="X673" i="44" a="1"/>
  <c r="X673" i="44" s="1"/>
  <c r="C5" i="34" s="1" a="1"/>
  <c r="C5" i="34" s="1"/>
  <c r="W696" i="44"/>
  <c r="B7" i="33" s="1" a="1"/>
  <c r="B7" i="33" s="1"/>
  <c r="M688" i="44" a="1"/>
  <c r="M688" i="44" s="1"/>
  <c r="R5" i="24" s="1" a="1"/>
  <c r="R5" i="24" s="1"/>
  <c r="M686" i="44" a="1"/>
  <c r="M686" i="44" s="1"/>
  <c r="P5" i="24" s="1" a="1"/>
  <c r="P5" i="24" s="1"/>
  <c r="M707" i="44"/>
  <c r="M7" i="24" s="1" a="1"/>
  <c r="M7" i="24" s="1"/>
  <c r="M644" i="44" a="1"/>
  <c r="M644" i="44" s="1"/>
  <c r="V3" i="24" s="1" a="1"/>
  <c r="V3" i="24" s="1"/>
  <c r="M732" i="44"/>
  <c r="N6" i="24" s="1" a="1"/>
  <c r="N6" i="24" s="1"/>
  <c r="X631" i="44" a="1"/>
  <c r="X631" i="44" s="1"/>
  <c r="I3" i="34" s="1" a="1"/>
  <c r="I3" i="34" s="1"/>
  <c r="M726" i="44"/>
  <c r="H6" i="24" s="1" a="1"/>
  <c r="H6" i="24" s="1"/>
  <c r="M670" i="44" a="1"/>
  <c r="M670" i="44" s="1"/>
  <c r="X4" i="24" s="1" a="1"/>
  <c r="X4" i="24" s="1"/>
  <c r="W668" i="44" a="1"/>
  <c r="W668" i="44" s="1"/>
  <c r="V4" i="33" s="1" a="1"/>
  <c r="V4" i="33" s="1"/>
  <c r="M682" i="44" a="1"/>
  <c r="M682" i="44" s="1"/>
  <c r="L5" i="24" s="1" a="1"/>
  <c r="L5" i="24" s="1"/>
  <c r="M609" i="44" a="1"/>
  <c r="M609" i="44" s="1"/>
  <c r="K2" i="24" s="1" a="1"/>
  <c r="K2" i="24" s="1"/>
  <c r="M641" i="44" a="1"/>
  <c r="M641" i="44" s="1"/>
  <c r="S3" i="24" s="1" a="1"/>
  <c r="S3" i="24" s="1"/>
  <c r="M700" i="44"/>
  <c r="F7" i="24" s="1" a="1"/>
  <c r="F7" i="24" s="1"/>
  <c r="W719" i="44"/>
  <c r="Y7" i="33" s="1" a="1"/>
  <c r="Y7" i="33" s="1"/>
  <c r="M654" i="44" a="1"/>
  <c r="M654" i="44" s="1"/>
  <c r="H4" i="24" s="1" a="1"/>
  <c r="H4" i="24" s="1"/>
  <c r="X732" i="44"/>
  <c r="N6" i="34" s="1" a="1"/>
  <c r="N6" i="34" s="1"/>
  <c r="X711" i="44"/>
  <c r="Q7" i="34" s="1" a="1"/>
  <c r="Q7" i="34" s="1"/>
  <c r="X619" i="44" a="1"/>
  <c r="X619" i="44" s="1"/>
  <c r="U2" i="34" s="1" a="1"/>
  <c r="U2" i="34" s="1"/>
  <c r="W600" i="44" a="1"/>
  <c r="W600" i="44" s="1"/>
  <c r="B2" i="33" s="1" a="1"/>
  <c r="B2" i="33" s="1"/>
  <c r="M715" i="44"/>
  <c r="U7" i="24" s="1" a="1"/>
  <c r="U7" i="24" s="1"/>
  <c r="X713" i="44"/>
  <c r="S7" i="34" s="1" a="1"/>
  <c r="S7" i="34" s="1"/>
  <c r="X707" i="44"/>
  <c r="M7" i="34" s="1" a="1"/>
  <c r="M7" i="34" s="1"/>
  <c r="M742" i="44"/>
  <c r="X6" i="24" s="1" a="1"/>
  <c r="X6" i="24" s="1"/>
  <c r="M655" i="44" a="1"/>
  <c r="M655" i="44" s="1"/>
  <c r="I4" i="24" s="1" a="1"/>
  <c r="I4" i="24" s="1"/>
  <c r="W679" i="44" a="1"/>
  <c r="W679" i="44" s="1"/>
  <c r="I5" i="33" s="1" a="1"/>
  <c r="I5" i="33" s="1"/>
  <c r="X677" i="44" a="1"/>
  <c r="X677" i="44" s="1"/>
  <c r="G5" i="34" s="1" a="1"/>
  <c r="G5" i="34" s="1"/>
  <c r="W656" i="44" a="1"/>
  <c r="W656" i="44" s="1"/>
  <c r="J4" i="33" s="1" a="1"/>
  <c r="J4" i="33" s="1"/>
  <c r="M611" i="44" a="1"/>
  <c r="M611" i="44" s="1"/>
  <c r="M2" i="24" s="1" a="1"/>
  <c r="M2" i="24" s="1"/>
  <c r="M653" i="44" a="1"/>
  <c r="M653" i="44" s="1"/>
  <c r="G4" i="24" s="1" a="1"/>
  <c r="G4" i="24" s="1"/>
  <c r="W648" i="44" a="1"/>
  <c r="W648" i="44" s="1"/>
  <c r="B4" i="33" s="1" a="1"/>
  <c r="B4" i="33" s="1"/>
  <c r="M637" i="44" a="1"/>
  <c r="M637" i="44" s="1"/>
  <c r="O3" i="24" s="1" a="1"/>
  <c r="O3" i="24" s="1"/>
  <c r="M691" i="44" a="1"/>
  <c r="M691" i="44" s="1"/>
  <c r="U5" i="24" s="1" a="1"/>
  <c r="U5" i="24" s="1"/>
  <c r="M613" i="44" a="1"/>
  <c r="M613" i="44" s="1"/>
  <c r="O2" i="24" s="1" a="1"/>
  <c r="O2" i="24" s="1"/>
  <c r="W658" i="44" a="1"/>
  <c r="W658" i="44" s="1"/>
  <c r="L4" i="33" s="1" a="1"/>
  <c r="L4" i="33" s="1"/>
  <c r="W681" i="44" a="1"/>
  <c r="W681" i="44" s="1"/>
  <c r="K5" i="33" s="1" a="1"/>
  <c r="K5" i="33" s="1"/>
  <c r="X710" i="44"/>
  <c r="P7" i="34" s="1" a="1"/>
  <c r="P7" i="34" s="1"/>
  <c r="W718" i="44"/>
  <c r="X7" i="33" s="1" a="1"/>
  <c r="X7" i="33" s="1"/>
  <c r="W691" i="44" a="1"/>
  <c r="W691" i="44" s="1"/>
  <c r="U5" i="33" s="1" a="1"/>
  <c r="U5" i="33" s="1"/>
  <c r="W627" i="44" a="1"/>
  <c r="W627" i="44" s="1"/>
  <c r="E3" i="33" s="1" a="1"/>
  <c r="E3" i="33" s="1"/>
  <c r="M640" i="44" a="1"/>
  <c r="M640" i="44" s="1"/>
  <c r="R3" i="24" s="1" a="1"/>
  <c r="R3" i="24" s="1"/>
  <c r="X622" i="44" a="1"/>
  <c r="X622" i="44" s="1"/>
  <c r="X2" i="34" s="1" a="1"/>
  <c r="X2" i="34" s="1"/>
  <c r="X615" i="44" a="1"/>
  <c r="X615" i="44" s="1"/>
  <c r="Q2" i="34" s="1" a="1"/>
  <c r="Q2" i="34" s="1"/>
  <c r="X679" i="44" a="1"/>
  <c r="X679" i="44" s="1"/>
  <c r="I5" i="34" s="1" a="1"/>
  <c r="I5" i="34" s="1"/>
  <c r="X709" i="44"/>
  <c r="O7" i="34" s="1" a="1"/>
  <c r="O7" i="34" s="1"/>
  <c r="X635" i="44" a="1"/>
  <c r="X635" i="44" s="1"/>
  <c r="M3" i="34" s="1" a="1"/>
  <c r="M3" i="34" s="1"/>
  <c r="X618" i="44" a="1"/>
  <c r="X618" i="44" s="1"/>
  <c r="T2" i="34" s="1" a="1"/>
  <c r="T2" i="34" s="1"/>
  <c r="W652" i="44" a="1"/>
  <c r="W652" i="44" s="1"/>
  <c r="F4" i="33" s="1" a="1"/>
  <c r="F4" i="33" s="1"/>
  <c r="W710" i="44"/>
  <c r="P7" i="33" s="1" a="1"/>
  <c r="P7" i="33" s="1"/>
  <c r="W644" i="44" a="1"/>
  <c r="W644" i="44" s="1"/>
  <c r="V3" i="33" s="1" a="1"/>
  <c r="V3" i="33" s="1"/>
  <c r="W654" i="44" a="1"/>
  <c r="W654" i="44" s="1"/>
  <c r="H4" i="33" s="1" a="1"/>
  <c r="H4" i="33" s="1"/>
  <c r="W645" i="44" a="1"/>
  <c r="W645" i="44" s="1"/>
  <c r="W3" i="33" s="1" a="1"/>
  <c r="W3" i="33" s="1"/>
  <c r="W727" i="44"/>
  <c r="I6" i="33" s="1" a="1"/>
  <c r="I6" i="33" s="1"/>
  <c r="M730" i="44"/>
  <c r="L6" i="24" s="1" a="1"/>
  <c r="L6" i="24" s="1"/>
  <c r="M703" i="44"/>
  <c r="I7" i="24" s="1" a="1"/>
  <c r="I7" i="24" s="1"/>
  <c r="W612" i="44" a="1"/>
  <c r="W612" i="44" s="1"/>
  <c r="N2" i="33" s="1" a="1"/>
  <c r="N2" i="33" s="1"/>
  <c r="W706" i="44"/>
  <c r="L7" i="33" s="1" a="1"/>
  <c r="L7" i="33" s="1"/>
  <c r="M610" i="44" a="1"/>
  <c r="M610" i="44" s="1"/>
  <c r="L2" i="24" s="1" a="1"/>
  <c r="L2" i="24" s="1"/>
  <c r="X704" i="44"/>
  <c r="J7" i="34" s="1" a="1"/>
  <c r="J7" i="34" s="1"/>
  <c r="M658" i="44" a="1"/>
  <c r="M658" i="44" s="1"/>
  <c r="L4" i="24" s="1" a="1"/>
  <c r="L4" i="24" s="1"/>
  <c r="M607" i="44" a="1"/>
  <c r="M607" i="44" s="1"/>
  <c r="I2" i="24" s="1" a="1"/>
  <c r="I2" i="24" s="1"/>
  <c r="W698" i="44"/>
  <c r="D7" i="33" s="1" a="1"/>
  <c r="D7" i="33" s="1"/>
  <c r="W675" i="44" a="1"/>
  <c r="W675" i="44" s="1"/>
  <c r="E5" i="33" s="1" a="1"/>
  <c r="E5" i="33" s="1"/>
  <c r="X695" i="44" a="1"/>
  <c r="X695" i="44" s="1"/>
  <c r="Y5" i="34" s="1" a="1"/>
  <c r="Y5" i="34" s="1"/>
  <c r="W731" i="44"/>
  <c r="M6" i="33" s="1" a="1"/>
  <c r="M6" i="33" s="1"/>
  <c r="X693" i="44" a="1"/>
  <c r="X693" i="44" s="1"/>
  <c r="W5" i="34" s="1" a="1"/>
  <c r="W5" i="34" s="1"/>
  <c r="W737" i="44"/>
  <c r="S6" i="33" s="1" a="1"/>
  <c r="S6" i="33" s="1"/>
  <c r="W722" i="44"/>
  <c r="D6" i="33" s="1" a="1"/>
  <c r="D6" i="33" s="1"/>
  <c r="W685" i="44" a="1"/>
  <c r="W685" i="44" s="1"/>
  <c r="O5" i="33" s="1" a="1"/>
  <c r="O5" i="33" s="1"/>
  <c r="M642" i="44" a="1"/>
  <c r="M642" i="44" s="1"/>
  <c r="T3" i="24" s="1" a="1"/>
  <c r="T3" i="24" s="1"/>
  <c r="M699" i="44"/>
  <c r="E7" i="24" s="1" a="1"/>
  <c r="E7" i="24" s="1"/>
  <c r="M684" i="44" a="1"/>
  <c r="M684" i="44" s="1"/>
  <c r="N5" i="24" s="1" a="1"/>
  <c r="N5" i="24" s="1"/>
  <c r="W616" i="44" a="1"/>
  <c r="W616" i="44" s="1"/>
  <c r="R2" i="33" s="1" a="1"/>
  <c r="R2" i="33" s="1"/>
  <c r="X628" i="44" a="1"/>
  <c r="X628" i="44" s="1"/>
  <c r="F3" i="34" s="1" a="1"/>
  <c r="F3" i="34" s="1"/>
  <c r="X692" i="44" a="1"/>
  <c r="X692" i="44" s="1"/>
  <c r="V5" i="34" s="1" a="1"/>
  <c r="V5" i="34" s="1"/>
  <c r="X603" i="44" a="1"/>
  <c r="X603" i="44" s="1"/>
  <c r="E2" i="34" s="1" a="1"/>
  <c r="E2" i="34" s="1"/>
  <c r="W735" i="44"/>
  <c r="Q6" i="33" s="1" a="1"/>
  <c r="Q6" i="33" s="1"/>
  <c r="X703" i="44"/>
  <c r="I7" i="34" s="1" a="1"/>
  <c r="I7" i="34" s="1"/>
  <c r="W633" i="44" a="1"/>
  <c r="W633" i="44" s="1"/>
  <c r="K3" i="33" s="1" a="1"/>
  <c r="K3" i="33" s="1"/>
  <c r="W602" i="44" a="1"/>
  <c r="W602" i="44" s="1"/>
  <c r="D2" i="33" s="1" a="1"/>
  <c r="D2" i="33" s="1"/>
  <c r="W715" i="44"/>
  <c r="U7" i="33" s="1" a="1"/>
  <c r="U7" i="33" s="1"/>
  <c r="M667" i="44" a="1"/>
  <c r="M667" i="44" s="1"/>
  <c r="U4" i="24" s="1" a="1"/>
  <c r="U4" i="24" s="1"/>
  <c r="X682" i="44" a="1"/>
  <c r="X682" i="44" s="1"/>
  <c r="L5" i="34" s="1" a="1"/>
  <c r="L5" i="34" s="1"/>
  <c r="X691" i="44" a="1"/>
  <c r="X691" i="44" s="1"/>
  <c r="U5" i="34" s="1" a="1"/>
  <c r="U5" i="34" s="1"/>
  <c r="W716" i="44"/>
  <c r="V7" i="33" s="1" a="1"/>
  <c r="V7" i="33" s="1"/>
  <c r="M661" i="44" a="1"/>
  <c r="M661" i="44" s="1"/>
  <c r="O4" i="24" s="1" a="1"/>
  <c r="O4" i="24" s="1"/>
  <c r="M734" i="44"/>
  <c r="P6" i="24" s="1" a="1"/>
  <c r="P6" i="24" s="1"/>
  <c r="X700" i="44"/>
  <c r="F7" i="34" s="1" a="1"/>
  <c r="F7" i="34" s="1"/>
  <c r="W701" i="44"/>
  <c r="G7" i="33" s="1" a="1"/>
  <c r="G7" i="33" s="1"/>
  <c r="W634" i="44" a="1"/>
  <c r="W634" i="44" s="1"/>
  <c r="L3" i="33" s="1" a="1"/>
  <c r="L3" i="33" s="1"/>
  <c r="W641" i="44" a="1"/>
  <c r="W641" i="44" s="1"/>
  <c r="S3" i="33" s="1" a="1"/>
  <c r="S3" i="33" s="1"/>
  <c r="W632" i="44" a="1"/>
  <c r="W632" i="44" s="1"/>
  <c r="J3" i="33" s="1" a="1"/>
  <c r="J3" i="33" s="1"/>
  <c r="M656" i="44" a="1"/>
  <c r="M656" i="44" s="1"/>
  <c r="J4" i="24" s="1" a="1"/>
  <c r="J4" i="24" s="1"/>
  <c r="X716" i="44"/>
  <c r="V7" i="34" s="1" a="1"/>
  <c r="V7" i="34" s="1"/>
  <c r="W686" i="44" a="1"/>
  <c r="W686" i="44" s="1"/>
  <c r="P5" i="33" s="1" a="1"/>
  <c r="P5" i="33" s="1"/>
  <c r="X649" i="44" a="1"/>
  <c r="X649" i="44" s="1"/>
  <c r="C4" i="34" s="1" a="1"/>
  <c r="C4" i="34" s="1"/>
  <c r="W672" i="44" a="1"/>
  <c r="W672" i="44" s="1"/>
  <c r="B5" i="33" s="1" a="1"/>
  <c r="B5" i="33" s="1"/>
  <c r="W689" i="44" a="1"/>
  <c r="W689" i="44" s="1"/>
  <c r="S5" i="33" s="1" a="1"/>
  <c r="S5" i="33" s="1"/>
  <c r="W741" i="44"/>
  <c r="W6" i="33" s="1" a="1"/>
  <c r="W6" i="33" s="1"/>
  <c r="X690" i="44" a="1"/>
  <c r="X690" i="44" s="1"/>
  <c r="T5" i="34" s="1" a="1"/>
  <c r="T5" i="34" s="1"/>
  <c r="X718" i="44"/>
  <c r="X7" i="34" s="1" a="1"/>
  <c r="X7" i="34" s="1"/>
  <c r="X601" i="44" a="1"/>
  <c r="X601" i="44" s="1"/>
  <c r="C2" i="34" s="1" a="1"/>
  <c r="C2" i="34" s="1"/>
  <c r="W729" i="44"/>
  <c r="K6" i="33" s="1" a="1"/>
  <c r="K6" i="33" s="1"/>
  <c r="M733" i="44"/>
  <c r="O6" i="24" s="1" a="1"/>
  <c r="O6" i="24" s="1"/>
  <c r="W610" i="44" a="1"/>
  <c r="W610" i="44" s="1"/>
  <c r="L2" i="33" s="1" a="1"/>
  <c r="L2" i="33" s="1"/>
  <c r="W650" i="44" a="1"/>
  <c r="W650" i="44" s="1"/>
  <c r="D4" i="33" s="1" a="1"/>
  <c r="D4" i="33" s="1"/>
  <c r="X651" i="44" a="1"/>
  <c r="X651" i="44" s="1"/>
  <c r="E4" i="34" s="1" a="1"/>
  <c r="E4" i="34" s="1"/>
  <c r="W730" i="44"/>
  <c r="L6" i="33" s="1" a="1"/>
  <c r="L6" i="33" s="1"/>
  <c r="X639" i="44" a="1"/>
  <c r="X639" i="44" s="1"/>
  <c r="Q3" i="34" s="1" a="1"/>
  <c r="Q3" i="34" s="1"/>
  <c r="X696" i="44"/>
  <c r="B7" i="34" s="1" a="1"/>
  <c r="B7" i="34" s="1"/>
  <c r="W665" i="44" a="1"/>
  <c r="W665" i="44" s="1"/>
  <c r="S4" i="33" s="1" a="1"/>
  <c r="S4" i="33" s="1"/>
  <c r="X629" i="44" a="1"/>
  <c r="X629" i="44" s="1"/>
  <c r="G3" i="34" s="1" a="1"/>
  <c r="G3" i="34" s="1"/>
  <c r="M679" i="44" a="1"/>
  <c r="M679" i="44" s="1"/>
  <c r="I5" i="24" s="1" a="1"/>
  <c r="I5" i="24" s="1"/>
  <c r="X739" i="44"/>
  <c r="U6" i="34" s="1" a="1"/>
  <c r="U6" i="34" s="1"/>
  <c r="W690" i="44" a="1"/>
  <c r="W690" i="44" s="1"/>
  <c r="T5" i="33" s="1" a="1"/>
  <c r="T5" i="33" s="1"/>
  <c r="W638" i="44" a="1"/>
  <c r="W638" i="44" s="1"/>
  <c r="P3" i="33" s="1" a="1"/>
  <c r="P3" i="33" s="1"/>
  <c r="X614" i="44" a="1"/>
  <c r="X614" i="44" s="1"/>
  <c r="P2" i="34" s="1" a="1"/>
  <c r="P2" i="34" s="1"/>
  <c r="X678" i="44" a="1"/>
  <c r="X678" i="44" s="1"/>
  <c r="H5" i="34" s="1" a="1"/>
  <c r="H5" i="34" s="1"/>
  <c r="X602" i="44" a="1"/>
  <c r="X602" i="44" s="1"/>
  <c r="D2" i="34" s="1" a="1"/>
  <c r="D2" i="34" s="1"/>
  <c r="W671" i="44" a="1"/>
  <c r="W671" i="44" s="1"/>
  <c r="Y4" i="33" s="1" a="1"/>
  <c r="Y4" i="33" s="1"/>
  <c r="W678" i="44" a="1"/>
  <c r="W678" i="44" s="1"/>
  <c r="H5" i="33" s="1" a="1"/>
  <c r="H5" i="33" s="1"/>
  <c r="W606" i="44" a="1"/>
  <c r="W606" i="44" s="1"/>
  <c r="H2" i="33" s="1" a="1"/>
  <c r="H2" i="33" s="1"/>
  <c r="M731" i="44"/>
  <c r="M6" i="24" s="1" a="1"/>
  <c r="M6" i="24" s="1"/>
  <c r="X637" i="44" a="1"/>
  <c r="X637" i="44" s="1"/>
  <c r="O3" i="34" s="1" a="1"/>
  <c r="O3" i="34" s="1"/>
  <c r="W625" i="44" a="1"/>
  <c r="W625" i="44" s="1"/>
  <c r="C3" i="33" s="1" a="1"/>
  <c r="C3" i="33" s="1"/>
  <c r="W640" i="44" a="1"/>
  <c r="W640" i="44" s="1"/>
  <c r="R3" i="33" s="1" a="1"/>
  <c r="R3" i="33" s="1"/>
  <c r="M728" i="44"/>
  <c r="J6" i="24" s="1" a="1"/>
  <c r="J6" i="24" s="1"/>
  <c r="X607" i="44" a="1"/>
  <c r="X607" i="44" s="1"/>
  <c r="I2" i="34" s="1" a="1"/>
  <c r="I2" i="34" s="1"/>
  <c r="X620" i="44" a="1"/>
  <c r="X620" i="44" s="1"/>
  <c r="V2" i="34" s="1" a="1"/>
  <c r="V2" i="34" s="1"/>
  <c r="W601" i="44" a="1"/>
  <c r="W601" i="44" s="1"/>
  <c r="C2" i="33" s="1" a="1"/>
  <c r="C2" i="33" s="1"/>
  <c r="M662" i="44" a="1"/>
  <c r="M662" i="44" s="1"/>
  <c r="P4" i="24" s="1" a="1"/>
  <c r="P4" i="24" s="1"/>
  <c r="W717" i="44"/>
  <c r="W7" i="33" s="1" a="1"/>
  <c r="W7" i="33" s="1"/>
  <c r="W734" i="44"/>
  <c r="P6" i="33" s="1" a="1"/>
  <c r="P6" i="33" s="1"/>
  <c r="W677" i="44" a="1"/>
  <c r="W677" i="44" s="1"/>
  <c r="G5" i="33" s="1" a="1"/>
  <c r="G5" i="33" s="1"/>
  <c r="W723" i="44"/>
  <c r="E6" i="33" s="1" a="1"/>
  <c r="E6" i="33" s="1"/>
  <c r="X684" i="44" a="1"/>
  <c r="X684" i="44" s="1"/>
  <c r="N5" i="34" s="1" a="1"/>
  <c r="N5" i="34" s="1"/>
  <c r="X650" i="44" a="1"/>
  <c r="X650" i="44" s="1"/>
  <c r="D4" i="34" s="1" a="1"/>
  <c r="D4" i="34" s="1"/>
  <c r="X689" i="44" a="1"/>
  <c r="X689" i="44" s="1"/>
  <c r="S5" i="34" s="1" a="1"/>
  <c r="S5" i="34" s="1"/>
  <c r="X617" i="44" a="1"/>
  <c r="X617" i="44" s="1"/>
  <c r="S2" i="34" s="1" a="1"/>
  <c r="S2" i="34" s="1"/>
  <c r="X655" i="44" a="1"/>
  <c r="X655" i="44" s="1"/>
  <c r="I4" i="34" s="1" a="1"/>
  <c r="I4" i="34" s="1"/>
  <c r="X665" i="44" a="1"/>
  <c r="X665" i="44" s="1"/>
  <c r="S4" i="34" s="1" a="1"/>
  <c r="S4" i="34" s="1"/>
  <c r="W605" i="44" a="1"/>
  <c r="W605" i="44" s="1"/>
  <c r="G2" i="33" s="1" a="1"/>
  <c r="G2" i="33" s="1"/>
  <c r="W740" i="44"/>
  <c r="V6" i="33" s="1" a="1"/>
  <c r="V6" i="33" s="1"/>
  <c r="M603" i="44" a="1"/>
  <c r="M603" i="44" s="1"/>
  <c r="E2" i="24" s="1" a="1"/>
  <c r="E2" i="24" s="1"/>
  <c r="X641" i="44" a="1"/>
  <c r="X641" i="44" s="1"/>
  <c r="S3" i="34" s="1" a="1"/>
  <c r="S3" i="34" s="1"/>
  <c r="X604" i="44" a="1"/>
  <c r="X604" i="44" s="1"/>
  <c r="F2" i="34" s="1" a="1"/>
  <c r="F2" i="34" s="1"/>
  <c r="M664" i="44" a="1"/>
  <c r="M664" i="44" s="1"/>
  <c r="R4" i="24" s="1" a="1"/>
  <c r="R4" i="24" s="1"/>
  <c r="X600" i="44" a="1"/>
  <c r="X600" i="44" s="1"/>
  <c r="B2" i="34" s="1" a="1"/>
  <c r="B2" i="34" s="1"/>
  <c r="X687" i="44" a="1"/>
  <c r="X687" i="44" s="1"/>
  <c r="Q5" i="34" s="1" a="1"/>
  <c r="Q5" i="34" s="1"/>
  <c r="X717" i="44"/>
  <c r="W7" i="34" s="1" a="1"/>
  <c r="W7" i="34" s="1"/>
  <c r="W647" i="44" a="1"/>
  <c r="W647" i="44" s="1"/>
  <c r="Y3" i="33" s="1" a="1"/>
  <c r="Y3" i="33" s="1"/>
  <c r="W642" i="44" a="1"/>
  <c r="W642" i="44" s="1"/>
  <c r="T3" i="33" s="1" a="1"/>
  <c r="T3" i="33" s="1"/>
  <c r="W621" i="44" a="1"/>
  <c r="W621" i="44" s="1"/>
  <c r="W2" i="33" s="1" a="1"/>
  <c r="W2" i="33" s="1"/>
  <c r="X701" i="44"/>
  <c r="G7" i="34" s="1" a="1"/>
  <c r="G7" i="34" s="1"/>
  <c r="X715" i="44"/>
  <c r="U7" i="34" s="1" a="1"/>
  <c r="U7" i="34" s="1"/>
  <c r="X612" i="44" a="1"/>
  <c r="X612" i="44" s="1"/>
  <c r="N2" i="34" s="1" a="1"/>
  <c r="N2" i="34" s="1"/>
  <c r="X608" i="44" a="1"/>
  <c r="X608" i="44" s="1"/>
  <c r="J2" i="34" s="1" a="1"/>
  <c r="J2" i="34" s="1"/>
  <c r="X735" i="44"/>
  <c r="Q6" i="34" s="1" a="1"/>
  <c r="Q6" i="34" s="1"/>
  <c r="W682" i="44" a="1"/>
  <c r="W682" i="44" s="1"/>
  <c r="L5" i="33" s="1" a="1"/>
  <c r="L5" i="33" s="1"/>
  <c r="X624" i="44" a="1"/>
  <c r="X624" i="44" s="1"/>
  <c r="B3" i="34" s="1" a="1"/>
  <c r="B3" i="34" s="1"/>
  <c r="X733" i="44"/>
  <c r="O6" i="34" s="1" a="1"/>
  <c r="O6" i="34" s="1"/>
  <c r="W653" i="44" a="1"/>
  <c r="W653" i="44" s="1"/>
  <c r="G4" i="33" s="1" a="1"/>
  <c r="G4" i="33" s="1"/>
  <c r="W636" i="44" a="1"/>
  <c r="W636" i="44" s="1"/>
  <c r="N3" i="33" s="1" a="1"/>
  <c r="N3" i="33" s="1"/>
  <c r="W684" i="44" a="1"/>
  <c r="W684" i="44" s="1"/>
  <c r="N5" i="33" s="1" a="1"/>
  <c r="N5" i="33" s="1"/>
  <c r="X640" i="44" a="1"/>
  <c r="X640" i="44" s="1"/>
  <c r="R3" i="34" s="1" a="1"/>
  <c r="R3" i="34" s="1"/>
  <c r="X727" i="44"/>
  <c r="I6" i="34" s="1" a="1"/>
  <c r="I6" i="34" s="1"/>
  <c r="W673" i="44" a="1"/>
  <c r="W673" i="44" s="1"/>
  <c r="C5" i="33" s="1" a="1"/>
  <c r="C5" i="33" s="1"/>
  <c r="X664" i="44" a="1"/>
  <c r="X664" i="44" s="1"/>
  <c r="R4" i="34" s="1" a="1"/>
  <c r="R4" i="34" s="1"/>
  <c r="X699" i="44"/>
  <c r="E7" i="34" s="1" a="1"/>
  <c r="E7" i="34" s="1"/>
  <c r="W724" i="44"/>
  <c r="F6" i="33" s="1" a="1"/>
  <c r="F6" i="33" s="1"/>
  <c r="X662" i="44" a="1"/>
  <c r="X662" i="44" s="1"/>
  <c r="P4" i="34" s="1" a="1"/>
  <c r="P4" i="34" s="1"/>
  <c r="X627" i="44" a="1"/>
  <c r="X627" i="44" s="1"/>
  <c r="E3" i="34" s="1" a="1"/>
  <c r="E3" i="34" s="1"/>
  <c r="W709" i="44"/>
  <c r="O7" i="33" s="1" a="1"/>
  <c r="O7" i="33" s="1"/>
  <c r="W699" i="44"/>
  <c r="E7" i="33" s="1" a="1"/>
  <c r="E7" i="33" s="1"/>
  <c r="X644" i="44" a="1"/>
  <c r="X644" i="44" s="1"/>
  <c r="V3" i="34" s="1" a="1"/>
  <c r="V3" i="34" s="1"/>
  <c r="M650" i="44" a="1"/>
  <c r="M650" i="44" s="1"/>
  <c r="D4" i="24" s="1" a="1"/>
  <c r="D4" i="24" s="1"/>
  <c r="W692" i="44" a="1"/>
  <c r="W692" i="44" s="1"/>
  <c r="V5" i="33" s="1" a="1"/>
  <c r="V5" i="33" s="1"/>
  <c r="W674" i="44" a="1"/>
  <c r="W674" i="44" s="1"/>
  <c r="D5" i="33" s="1" a="1"/>
  <c r="D5" i="33" s="1"/>
  <c r="W631" i="44" a="1"/>
  <c r="W631" i="44" s="1"/>
  <c r="I3" i="33" s="1" a="1"/>
  <c r="I3" i="33" s="1"/>
  <c r="M735" i="44"/>
  <c r="Q6" i="24" s="1" a="1"/>
  <c r="Q6" i="24" s="1"/>
  <c r="X725" i="44"/>
  <c r="G6" i="34" s="1" a="1"/>
  <c r="G6" i="34" s="1"/>
  <c r="X675" i="44" a="1"/>
  <c r="X675" i="44" s="1"/>
  <c r="E5" i="34" s="1" a="1"/>
  <c r="E5" i="34" s="1"/>
  <c r="X719" i="44"/>
  <c r="Y7" i="34" s="1" a="1"/>
  <c r="Y7" i="34" s="1"/>
  <c r="X643" i="44" a="1"/>
  <c r="X643" i="44" s="1"/>
  <c r="U3" i="34" s="1" a="1"/>
  <c r="U3" i="34" s="1"/>
  <c r="X636" i="44" a="1"/>
  <c r="X636" i="44" s="1"/>
  <c r="N3" i="34" s="1" a="1"/>
  <c r="N3" i="34" s="1"/>
  <c r="W742" i="44"/>
  <c r="X6" i="33" s="1" a="1"/>
  <c r="X6" i="33" s="1"/>
  <c r="X634" i="44" a="1"/>
  <c r="X634" i="44" s="1"/>
  <c r="L3" i="34" s="1" a="1"/>
  <c r="L3" i="34" s="1"/>
  <c r="X731" i="44"/>
  <c r="M6" i="34" s="1" a="1"/>
  <c r="M6" i="34" s="1"/>
  <c r="X654" i="44" a="1"/>
  <c r="X654" i="44" s="1"/>
  <c r="H4" i="34" s="1" a="1"/>
  <c r="H4" i="34" s="1"/>
  <c r="X642" i="44" a="1"/>
  <c r="X642" i="44" s="1"/>
  <c r="T3" i="34" s="1" a="1"/>
  <c r="T3" i="34" s="1"/>
  <c r="X630" i="44" a="1"/>
  <c r="X630" i="44" s="1"/>
  <c r="H3" i="34" s="1" a="1"/>
  <c r="H3" i="34" s="1"/>
  <c r="W726" i="44"/>
  <c r="H6" i="33" s="1" a="1"/>
  <c r="H6" i="33" s="1"/>
  <c r="X656" i="44" a="1"/>
  <c r="X656" i="44" s="1"/>
  <c r="J4" i="34" s="1" a="1"/>
  <c r="J4" i="34" s="1"/>
  <c r="X669" i="44" a="1"/>
  <c r="X669" i="44" s="1"/>
  <c r="W4" i="34" s="1" a="1"/>
  <c r="W4" i="34" s="1"/>
  <c r="M652" i="44" a="1"/>
  <c r="M652" i="44" s="1"/>
  <c r="F4" i="24" s="1" a="1"/>
  <c r="F4" i="24" s="1"/>
  <c r="O658" i="44" a="1"/>
  <c r="O658" i="44" s="1"/>
  <c r="L4" i="26" s="1" a="1"/>
  <c r="L4" i="26" s="1"/>
  <c r="X605" i="44" a="1"/>
  <c r="X605" i="44" s="1"/>
  <c r="G2" i="34" s="1" a="1"/>
  <c r="G2" i="34" s="1"/>
  <c r="X685" i="44" a="1"/>
  <c r="X685" i="44" s="1"/>
  <c r="O5" i="34" s="1" a="1"/>
  <c r="O5" i="34" s="1"/>
  <c r="X702" i="44"/>
  <c r="H7" i="34" s="1" a="1"/>
  <c r="H7" i="34" s="1"/>
  <c r="W635" i="44" a="1"/>
  <c r="W635" i="44" s="1"/>
  <c r="M3" i="33" s="1" a="1"/>
  <c r="M3" i="33" s="1"/>
  <c r="W707" i="44"/>
  <c r="M7" i="33" s="1" a="1"/>
  <c r="M7" i="33" s="1"/>
  <c r="M606" i="44" a="1"/>
  <c r="M606" i="44" s="1"/>
  <c r="H2" i="24" s="1" a="1"/>
  <c r="H2" i="24" s="1"/>
  <c r="W613" i="44" a="1"/>
  <c r="W613" i="44" s="1"/>
  <c r="O2" i="33" s="1" a="1"/>
  <c r="O2" i="33" s="1"/>
  <c r="X671" i="44" a="1"/>
  <c r="X671" i="44" s="1"/>
  <c r="Y4" i="34" s="1" a="1"/>
  <c r="Y4" i="34" s="1"/>
  <c r="X724" i="44"/>
  <c r="F6" i="34" s="1" a="1"/>
  <c r="F6" i="34" s="1"/>
  <c r="X667" i="44" a="1"/>
  <c r="X667" i="44" s="1"/>
  <c r="U4" i="34" s="1" a="1"/>
  <c r="U4" i="34" s="1"/>
  <c r="W620" i="44" a="1"/>
  <c r="W620" i="44" s="1"/>
  <c r="V2" i="33" s="1" a="1"/>
  <c r="V2" i="33" s="1"/>
  <c r="X737" i="44"/>
  <c r="S6" i="34" s="1" a="1"/>
  <c r="S6" i="34" s="1"/>
  <c r="M722" i="44"/>
  <c r="D6" i="24" s="1" a="1"/>
  <c r="D6" i="24" s="1"/>
  <c r="W743" i="44"/>
  <c r="Y6" i="33" s="1" a="1"/>
  <c r="Y6" i="33" s="1"/>
  <c r="W739" i="44"/>
  <c r="U6" i="33" s="1" a="1"/>
  <c r="U6" i="33" s="1"/>
  <c r="X659" i="44" a="1"/>
  <c r="X659" i="44" s="1"/>
  <c r="M4" i="34" s="1" a="1"/>
  <c r="M4" i="34" s="1"/>
  <c r="X623" i="44" a="1"/>
  <c r="X623" i="44" s="1"/>
  <c r="Y2" i="34" s="1" a="1"/>
  <c r="Y2" i="34" s="1"/>
  <c r="W614" i="44" a="1"/>
  <c r="W614" i="44" s="1"/>
  <c r="P2" i="33" s="1" a="1"/>
  <c r="P2" i="33" s="1"/>
  <c r="X657" i="44" a="1"/>
  <c r="X657" i="44" s="1"/>
  <c r="K4" i="34" s="1" a="1"/>
  <c r="K4" i="34" s="1"/>
  <c r="M718" i="44"/>
  <c r="X7" i="24" s="1" a="1"/>
  <c r="X7" i="24" s="1"/>
  <c r="X705" i="44"/>
  <c r="K7" i="34" s="1" a="1"/>
  <c r="K7" i="34" s="1"/>
  <c r="X681" i="44" a="1"/>
  <c r="X681" i="44" s="1"/>
  <c r="K5" i="34" s="1" a="1"/>
  <c r="K5" i="34" s="1"/>
  <c r="X621" i="44" a="1"/>
  <c r="X621" i="44" s="1"/>
  <c r="W2" i="34" s="1" a="1"/>
  <c r="W2" i="34" s="1"/>
  <c r="X688" i="44" a="1"/>
  <c r="X688" i="44" s="1"/>
  <c r="R5" i="34" s="1" a="1"/>
  <c r="R5" i="34" s="1"/>
  <c r="W639" i="44" a="1"/>
  <c r="W639" i="44" s="1"/>
  <c r="Q3" i="33" s="1" a="1"/>
  <c r="Q3" i="33" s="1"/>
  <c r="X647" i="44" a="1"/>
  <c r="X647" i="44" s="1"/>
  <c r="Y3" i="34" s="1" a="1"/>
  <c r="Y3" i="34" s="1"/>
  <c r="X666" i="44" a="1"/>
  <c r="X666" i="44" s="1"/>
  <c r="T4" i="34" s="1" a="1"/>
  <c r="T4" i="34" s="1"/>
  <c r="I7" i="46"/>
  <c r="W725" i="44"/>
  <c r="G6" i="33" s="1" a="1"/>
  <c r="G6" i="33" s="1"/>
  <c r="W667" i="44" a="1"/>
  <c r="W667" i="44" s="1"/>
  <c r="U4" i="33" s="1" a="1"/>
  <c r="U4" i="33" s="1"/>
  <c r="X658" i="44" a="1"/>
  <c r="X658" i="44" s="1"/>
  <c r="L4" i="34" s="1" a="1"/>
  <c r="L4" i="34" s="1"/>
  <c r="X740" i="44"/>
  <c r="V6" i="34" s="1" a="1"/>
  <c r="V6" i="34" s="1"/>
  <c r="W714" i="44"/>
  <c r="T7" i="33" s="1" a="1"/>
  <c r="T7" i="33" s="1"/>
  <c r="X633" i="44" a="1"/>
  <c r="X633" i="44" s="1"/>
  <c r="K3" i="34" s="1" a="1"/>
  <c r="K3" i="34" s="1"/>
  <c r="W608" i="44" a="1"/>
  <c r="W608" i="44" s="1"/>
  <c r="J2" i="33" s="1" a="1"/>
  <c r="J2" i="33" s="1"/>
  <c r="X663" i="44" a="1"/>
  <c r="X663" i="44" s="1"/>
  <c r="Q4" i="34" s="1" a="1"/>
  <c r="Q4" i="34" s="1"/>
  <c r="I632" i="44" a="1"/>
  <c r="I632" i="44" s="1"/>
  <c r="J3" i="8" s="1" a="1"/>
  <c r="J3" i="8" s="1"/>
  <c r="I640" i="44" a="1"/>
  <c r="I640" i="44" s="1"/>
  <c r="R3" i="8" s="1" a="1"/>
  <c r="R3" i="8" s="1"/>
  <c r="X661" i="44" a="1"/>
  <c r="X661" i="44" s="1"/>
  <c r="O4" i="34" s="1" a="1"/>
  <c r="O4" i="34" s="1"/>
  <c r="X606" i="44" a="1"/>
  <c r="X606" i="44" s="1"/>
  <c r="H2" i="34" s="1" a="1"/>
  <c r="H2" i="34" s="1"/>
  <c r="O634" i="44" a="1"/>
  <c r="O634" i="44" s="1"/>
  <c r="L3" i="26" s="1" a="1"/>
  <c r="L3" i="26" s="1"/>
  <c r="X652" i="44" a="1"/>
  <c r="X652" i="44" s="1"/>
  <c r="F4" i="34" s="1" a="1"/>
  <c r="F4" i="34" s="1"/>
  <c r="I689" i="44" a="1"/>
  <c r="I689" i="44" s="1"/>
  <c r="S5" i="8" s="1" a="1"/>
  <c r="S5" i="8" s="1"/>
  <c r="W721" i="44"/>
  <c r="C6" i="33" s="1" a="1"/>
  <c r="C6" i="33" s="1"/>
  <c r="X653" i="44" a="1"/>
  <c r="X653" i="44" s="1"/>
  <c r="G4" i="34" s="1" a="1"/>
  <c r="G4" i="34" s="1"/>
  <c r="X729" i="44"/>
  <c r="K6" i="34" s="1" a="1"/>
  <c r="K6" i="34" s="1"/>
  <c r="O637" i="44" a="1"/>
  <c r="O637" i="44" s="1"/>
  <c r="O3" i="26" s="1" a="1"/>
  <c r="O3" i="26" s="1"/>
  <c r="I634" i="44" a="1"/>
  <c r="I634" i="44" s="1"/>
  <c r="L3" i="8" s="1" a="1"/>
  <c r="L3" i="8" s="1"/>
  <c r="I694" i="44" a="1"/>
  <c r="I694" i="44" s="1"/>
  <c r="X5" i="8" s="1" a="1"/>
  <c r="X5" i="8" s="1"/>
  <c r="X680" i="44" a="1"/>
  <c r="X680" i="44" s="1"/>
  <c r="J5" i="34" s="1" a="1"/>
  <c r="J5" i="34" s="1"/>
  <c r="X722" i="44"/>
  <c r="D6" i="34" s="1" a="1"/>
  <c r="D6" i="34" s="1"/>
  <c r="O627" i="44" a="1"/>
  <c r="O627" i="44" s="1"/>
  <c r="E3" i="26" s="1" a="1"/>
  <c r="E3" i="26" s="1"/>
  <c r="X672" i="44" a="1"/>
  <c r="X672" i="44" s="1"/>
  <c r="B5" i="34" s="1" a="1"/>
  <c r="B5" i="34" s="1"/>
  <c r="X609" i="44" a="1"/>
  <c r="X609" i="44" s="1"/>
  <c r="K2" i="34" s="1" a="1"/>
  <c r="K2" i="34" s="1"/>
  <c r="X738" i="44"/>
  <c r="T6" i="34" s="1" a="1"/>
  <c r="T6" i="34" s="1"/>
  <c r="O726" i="44"/>
  <c r="H6" i="26" s="1" a="1"/>
  <c r="H6" i="26" s="1"/>
  <c r="Q7" i="46"/>
  <c r="F7" i="46"/>
  <c r="X668" i="44" a="1"/>
  <c r="X668" i="44" s="1"/>
  <c r="V4" i="34" s="1" a="1"/>
  <c r="V4" i="34" s="1"/>
  <c r="O733" i="44"/>
  <c r="O6" i="26" s="1" a="1"/>
  <c r="O6" i="26" s="1"/>
  <c r="I626" i="44" a="1"/>
  <c r="I626" i="44" s="1"/>
  <c r="D3" i="8" s="1" a="1"/>
  <c r="D3" i="8" s="1"/>
  <c r="X726" i="44"/>
  <c r="H6" i="34" s="1" a="1"/>
  <c r="H6" i="34" s="1"/>
  <c r="X648" i="44" a="1"/>
  <c r="X648" i="44" s="1"/>
  <c r="B4" i="34" s="1" a="1"/>
  <c r="B4" i="34" s="1"/>
  <c r="X632" i="44" a="1"/>
  <c r="X632" i="44" s="1"/>
  <c r="J3" i="34" s="1" a="1"/>
  <c r="J3" i="34" s="1"/>
  <c r="O686" i="44" a="1"/>
  <c r="O686" i="44" s="1"/>
  <c r="P5" i="26" s="1" a="1"/>
  <c r="P5" i="26" s="1"/>
  <c r="X698" i="44"/>
  <c r="D7" i="34" s="1" a="1"/>
  <c r="D7" i="34" s="1"/>
  <c r="I729" i="44"/>
  <c r="K6" i="8" s="1" a="1"/>
  <c r="K6" i="8" s="1"/>
  <c r="X670" i="44" a="1"/>
  <c r="X670" i="44" s="1"/>
  <c r="X4" i="34" s="1" a="1"/>
  <c r="X4" i="34" s="1"/>
  <c r="X712" i="44"/>
  <c r="R7" i="34" s="1" a="1"/>
  <c r="R7" i="34" s="1"/>
  <c r="X694" i="44" a="1"/>
  <c r="X694" i="44" s="1"/>
  <c r="X5" i="34" s="1" a="1"/>
  <c r="X5" i="34" s="1"/>
  <c r="X706" i="44"/>
  <c r="L7" i="34" s="1" a="1"/>
  <c r="L7" i="34" s="1"/>
  <c r="O694" i="44" a="1"/>
  <c r="O694" i="44" s="1"/>
  <c r="X5" i="26" s="1" a="1"/>
  <c r="X5" i="26" s="1"/>
  <c r="X730" i="44"/>
  <c r="L6" i="34" s="1" a="1"/>
  <c r="L6" i="34" s="1"/>
  <c r="G7" i="46"/>
  <c r="R7" i="46"/>
  <c r="I693" i="44" a="1"/>
  <c r="I693" i="44" s="1"/>
  <c r="W5" i="8" s="1" a="1"/>
  <c r="W5" i="8" s="1"/>
  <c r="I686" i="44" a="1"/>
  <c r="I686" i="44" s="1"/>
  <c r="P5" i="8" s="1" a="1"/>
  <c r="P5" i="8" s="1"/>
  <c r="I691" i="44" a="1"/>
  <c r="I691" i="44" s="1"/>
  <c r="U5" i="8" s="1" a="1"/>
  <c r="U5" i="8" s="1"/>
  <c r="W728" i="44"/>
  <c r="J6" i="33" s="1" a="1"/>
  <c r="J6" i="33" s="1"/>
  <c r="X742" i="44"/>
  <c r="X6" i="34" s="1" a="1"/>
  <c r="X6" i="34" s="1"/>
  <c r="X610" i="44" a="1"/>
  <c r="X610" i="44" s="1"/>
  <c r="L2" i="34" s="1" a="1"/>
  <c r="L2" i="34" s="1"/>
  <c r="O728" i="44"/>
  <c r="J6" i="26" s="1" a="1"/>
  <c r="J6" i="26" s="1"/>
  <c r="O731" i="44"/>
  <c r="M6" i="26" s="1" a="1"/>
  <c r="M6" i="26" s="1"/>
  <c r="I631" i="44" a="1"/>
  <c r="I631" i="44" s="1"/>
  <c r="I3" i="8" s="1" a="1"/>
  <c r="I3" i="8" s="1"/>
  <c r="I637" i="44" a="1"/>
  <c r="I637" i="44" s="1"/>
  <c r="O3" i="8" s="1" a="1"/>
  <c r="O3" i="8" s="1"/>
  <c r="O676" i="44" a="1"/>
  <c r="O676" i="44" s="1"/>
  <c r="F5" i="26" s="1" a="1"/>
  <c r="F5" i="26" s="1"/>
  <c r="I627" i="44" a="1"/>
  <c r="I627" i="44" s="1"/>
  <c r="E3" i="8" s="1" a="1"/>
  <c r="E3" i="8" s="1"/>
  <c r="X743" i="44"/>
  <c r="Y6" i="34" s="1" a="1"/>
  <c r="Y6" i="34" s="1"/>
  <c r="X625" i="44" a="1"/>
  <c r="X625" i="44" s="1"/>
  <c r="C3" i="34" s="1" a="1"/>
  <c r="C3" i="34" s="1"/>
  <c r="X721" i="44"/>
  <c r="C6" i="34" s="1" a="1"/>
  <c r="C6" i="34" s="1"/>
  <c r="O722" i="44"/>
  <c r="D6" i="26" s="1" a="1"/>
  <c r="D6" i="26" s="1"/>
  <c r="O684" i="44" a="1"/>
  <c r="O684" i="44" s="1"/>
  <c r="N5" i="26" s="1" a="1"/>
  <c r="N5" i="26" s="1"/>
  <c r="I740" i="44"/>
  <c r="V6" i="8" s="1" a="1"/>
  <c r="V6" i="8" s="1"/>
  <c r="I684" i="44" a="1"/>
  <c r="I684" i="44" s="1"/>
  <c r="N5" i="8" s="1" a="1"/>
  <c r="N5" i="8" s="1"/>
  <c r="X728" i="44"/>
  <c r="J6" i="34" s="1" a="1"/>
  <c r="J6" i="34" s="1"/>
  <c r="X611" i="44" a="1"/>
  <c r="X611" i="44" s="1"/>
  <c r="M2" i="34" s="1" a="1"/>
  <c r="M2" i="34" s="1"/>
  <c r="I645" i="44" a="1"/>
  <c r="I645" i="44" s="1"/>
  <c r="W3" i="8" s="1" a="1"/>
  <c r="W3" i="8" s="1"/>
  <c r="I734" i="44"/>
  <c r="P6" i="8" s="1" a="1"/>
  <c r="P6" i="8" s="1"/>
  <c r="I738" i="44"/>
  <c r="T6" i="8" s="1" a="1"/>
  <c r="T6" i="8" s="1"/>
  <c r="O738" i="44"/>
  <c r="T6" i="26" s="1" a="1"/>
  <c r="T6" i="26" s="1"/>
  <c r="I736" i="44"/>
  <c r="R6" i="8" s="1" a="1"/>
  <c r="R6" i="8" s="1"/>
  <c r="I695" i="44" a="1"/>
  <c r="I695" i="44" s="1"/>
  <c r="Y5" i="8" s="1" a="1"/>
  <c r="Y5" i="8" s="1"/>
  <c r="I739" i="44"/>
  <c r="U6" i="8" s="1" a="1"/>
  <c r="U6" i="8" s="1"/>
  <c r="I723" i="44"/>
  <c r="E6" i="8" s="1" a="1"/>
  <c r="E6" i="8" s="1"/>
  <c r="I644" i="44" a="1"/>
  <c r="I644" i="44" s="1"/>
  <c r="V3" i="8" s="1" a="1"/>
  <c r="V3" i="8" s="1"/>
  <c r="X616" i="44" a="1"/>
  <c r="X616" i="44" s="1"/>
  <c r="R2" i="34" s="1" a="1"/>
  <c r="R2" i="34" s="1"/>
  <c r="O628" i="44" a="1"/>
  <c r="O628" i="44" s="1"/>
  <c r="F3" i="26" s="1" a="1"/>
  <c r="F3" i="26" s="1"/>
  <c r="X734" i="44"/>
  <c r="P6" i="34" s="1" a="1"/>
  <c r="P6" i="34" s="1"/>
  <c r="I639" i="44" a="1"/>
  <c r="I639" i="44" s="1"/>
  <c r="Q3" i="8" s="1" a="1"/>
  <c r="Q3" i="8" s="1"/>
  <c r="M7" i="46"/>
  <c r="T7" i="46"/>
  <c r="O683" i="44" a="1"/>
  <c r="O683" i="44" s="1"/>
  <c r="M5" i="26" s="1" a="1"/>
  <c r="M5" i="26" s="1"/>
  <c r="O691" i="44" a="1"/>
  <c r="O691" i="44" s="1"/>
  <c r="U5" i="26" s="1" a="1"/>
  <c r="U5" i="26" s="1"/>
  <c r="O740" i="44"/>
  <c r="V6" i="26" s="1" a="1"/>
  <c r="V6" i="26" s="1"/>
  <c r="I735" i="44"/>
  <c r="Q6" i="8" s="1" a="1"/>
  <c r="Q6" i="8" s="1"/>
  <c r="I732" i="44"/>
  <c r="N6" i="8" s="1" a="1"/>
  <c r="N6" i="8" s="1"/>
  <c r="M721" i="44"/>
  <c r="C6" i="24" s="1" a="1"/>
  <c r="C6" i="24" s="1"/>
  <c r="O655" i="44" a="1"/>
  <c r="O655" i="44" s="1"/>
  <c r="I4" i="26" s="1" a="1"/>
  <c r="I4" i="26" s="1"/>
  <c r="O727" i="44"/>
  <c r="I6" i="26" s="1" a="1"/>
  <c r="I6" i="26" s="1"/>
  <c r="O743" i="44"/>
  <c r="Y6" i="26" s="1" a="1"/>
  <c r="Y6" i="26" s="1"/>
  <c r="O678" i="44" a="1"/>
  <c r="O678" i="44" s="1"/>
  <c r="H5" i="26" s="1" a="1"/>
  <c r="H5" i="26" s="1"/>
  <c r="O725" i="44"/>
  <c r="G6" i="26" s="1" a="1"/>
  <c r="G6" i="26" s="1"/>
  <c r="I726" i="44"/>
  <c r="H6" i="8" s="1" a="1"/>
  <c r="H6" i="8" s="1"/>
  <c r="O690" i="44" a="1"/>
  <c r="O690" i="44" s="1"/>
  <c r="T5" i="26" s="1" a="1"/>
  <c r="T5" i="26" s="1"/>
  <c r="O650" i="44" a="1"/>
  <c r="O650" i="44" s="1"/>
  <c r="D4" i="26" s="1" a="1"/>
  <c r="D4" i="26" s="1"/>
  <c r="O739" i="44"/>
  <c r="U6" i="26" s="1" a="1"/>
  <c r="U6" i="26" s="1"/>
  <c r="I733" i="44"/>
  <c r="O6" i="8" s="1" a="1"/>
  <c r="O6" i="8" s="1"/>
  <c r="I725" i="44"/>
  <c r="G6" i="8" s="1" a="1"/>
  <c r="G6" i="8" s="1"/>
  <c r="I641" i="44" a="1"/>
  <c r="I641" i="44" s="1"/>
  <c r="S3" i="8" s="1" a="1"/>
  <c r="S3" i="8" s="1"/>
  <c r="X736" i="44"/>
  <c r="R6" i="34" s="1" a="1"/>
  <c r="R6" i="34" s="1"/>
  <c r="O624" i="44" a="1"/>
  <c r="O624" i="44" s="1"/>
  <c r="B3" i="26" s="1" a="1"/>
  <c r="B3" i="26" s="1"/>
  <c r="I656" i="44" a="1"/>
  <c r="I656" i="44" s="1"/>
  <c r="J4" i="8" s="1" a="1"/>
  <c r="J4" i="8" s="1"/>
  <c r="I728" i="44"/>
  <c r="J6" i="8" s="1" a="1"/>
  <c r="J6" i="8" s="1"/>
  <c r="O730" i="44"/>
  <c r="L6" i="26" s="1" a="1"/>
  <c r="L6" i="26" s="1"/>
  <c r="O729" i="44"/>
  <c r="K6" i="26" s="1" a="1"/>
  <c r="K6" i="26" s="1"/>
  <c r="I720" i="44"/>
  <c r="B6" i="8" s="1" a="1"/>
  <c r="B6" i="8" s="1"/>
  <c r="O664" i="44" a="1"/>
  <c r="O664" i="44" s="1"/>
  <c r="R4" i="26" s="1" a="1"/>
  <c r="R4" i="26" s="1"/>
  <c r="O736" i="44"/>
  <c r="R6" i="26" s="1" a="1"/>
  <c r="R6" i="26" s="1"/>
  <c r="I742" i="44"/>
  <c r="X6" i="8" s="1" a="1"/>
  <c r="X6" i="8" s="1"/>
  <c r="W720" i="44"/>
  <c r="B6" i="33" s="1" a="1"/>
  <c r="B6" i="33" s="1"/>
  <c r="I685" i="44" a="1"/>
  <c r="I685" i="44" s="1"/>
  <c r="O5" i="8" s="1" a="1"/>
  <c r="O5" i="8" s="1"/>
  <c r="O646" i="44" a="1"/>
  <c r="O646" i="44" s="1"/>
  <c r="X3" i="26" s="1" a="1"/>
  <c r="X3" i="26" s="1"/>
  <c r="O643" i="44" a="1"/>
  <c r="O643" i="44" s="1"/>
  <c r="U3" i="26" s="1" a="1"/>
  <c r="U3" i="26" s="1"/>
  <c r="O732" i="44"/>
  <c r="N6" i="26" s="1" a="1"/>
  <c r="N6" i="26" s="1"/>
  <c r="O687" i="44" a="1"/>
  <c r="O687" i="44" s="1"/>
  <c r="Q5" i="26" s="1" a="1"/>
  <c r="Q5" i="26" s="1"/>
  <c r="O669" i="44" a="1"/>
  <c r="O669" i="44" s="1"/>
  <c r="W4" i="26" s="1" a="1"/>
  <c r="W4" i="26" s="1"/>
  <c r="O741" i="44"/>
  <c r="W6" i="26" s="1" a="1"/>
  <c r="W6" i="26" s="1"/>
  <c r="I727" i="44"/>
  <c r="I6" i="8" s="1" a="1"/>
  <c r="I6" i="8" s="1"/>
  <c r="O721" i="44"/>
  <c r="C6" i="26" s="1" a="1"/>
  <c r="C6" i="26" s="1"/>
  <c r="O651" i="44" a="1"/>
  <c r="O651" i="44" s="1"/>
  <c r="E4" i="26" s="1" a="1"/>
  <c r="E4" i="26" s="1"/>
  <c r="O723" i="44"/>
  <c r="E6" i="26" s="1" a="1"/>
  <c r="E6" i="26" s="1"/>
  <c r="O629" i="44" a="1"/>
  <c r="O629" i="44" s="1"/>
  <c r="G3" i="26" s="1" a="1"/>
  <c r="G3" i="26" s="1"/>
  <c r="I659" i="44" a="1"/>
  <c r="I659" i="44" s="1"/>
  <c r="M4" i="8" s="1" a="1"/>
  <c r="M4" i="8" s="1"/>
  <c r="I731" i="44"/>
  <c r="M6" i="8" s="1" a="1"/>
  <c r="M6" i="8" s="1"/>
  <c r="O648" i="44" a="1"/>
  <c r="O648" i="44" s="1"/>
  <c r="B4" i="26" s="1" a="1"/>
  <c r="B4" i="26" s="1"/>
  <c r="O720" i="44"/>
  <c r="B6" i="26" s="1" a="1"/>
  <c r="B6" i="26" s="1"/>
  <c r="I665" i="44" a="1"/>
  <c r="I665" i="44" s="1"/>
  <c r="S4" i="8" s="1" a="1"/>
  <c r="S4" i="8" s="1"/>
  <c r="I737" i="44"/>
  <c r="S6" i="8" s="1" a="1"/>
  <c r="S6" i="8" s="1"/>
  <c r="I676" i="44" a="1"/>
  <c r="I676" i="44" s="1"/>
  <c r="O647" i="44" a="1"/>
  <c r="O647" i="44" s="1"/>
  <c r="Y3" i="26" s="1" a="1"/>
  <c r="Y3" i="26" s="1"/>
  <c r="O737" i="44"/>
  <c r="S6" i="26" s="1" a="1"/>
  <c r="S6" i="26" s="1"/>
  <c r="I647" i="44" a="1"/>
  <c r="I647" i="44" s="1"/>
  <c r="Y3" i="8" s="1" a="1"/>
  <c r="Y3" i="8" s="1"/>
  <c r="I721" i="44"/>
  <c r="C6" i="8" s="1" a="1"/>
  <c r="C6" i="8" s="1"/>
  <c r="I741" i="44"/>
  <c r="W6" i="8" s="1" a="1"/>
  <c r="W6" i="8" s="1"/>
  <c r="O734" i="44"/>
  <c r="P6" i="26" s="1" a="1"/>
  <c r="P6" i="26" s="1"/>
  <c r="I650" i="44" a="1"/>
  <c r="I650" i="44" s="1"/>
  <c r="D4" i="8" s="1" a="1"/>
  <c r="D4" i="8" s="1"/>
  <c r="I722" i="44"/>
  <c r="D6" i="8" s="1" a="1"/>
  <c r="D6" i="8" s="1"/>
  <c r="I652" i="44" a="1"/>
  <c r="I652" i="44" s="1"/>
  <c r="F4" i="8" s="1" a="1"/>
  <c r="F4" i="8" s="1"/>
  <c r="I724" i="44"/>
  <c r="F6" i="8" s="1" a="1"/>
  <c r="F6" i="8" s="1"/>
  <c r="I671" i="44" a="1"/>
  <c r="I671" i="44" s="1"/>
  <c r="Y4" i="8" s="1" a="1"/>
  <c r="Y4" i="8" s="1"/>
  <c r="I743" i="44"/>
  <c r="Y6" i="8" s="1" a="1"/>
  <c r="Y6" i="8" s="1"/>
  <c r="O724" i="44"/>
  <c r="F6" i="26" s="1" a="1"/>
  <c r="F6" i="26" s="1"/>
  <c r="O742" i="44"/>
  <c r="X6" i="26" s="1" a="1"/>
  <c r="X6" i="26" s="1"/>
  <c r="O735" i="44"/>
  <c r="Q6" i="26" s="1" a="1"/>
  <c r="Q6" i="26" s="1"/>
  <c r="I658" i="44" a="1"/>
  <c r="I658" i="44" s="1"/>
  <c r="L4" i="8" s="1" a="1"/>
  <c r="L4" i="8" s="1"/>
  <c r="I730" i="44"/>
  <c r="L6" i="8" s="1" a="1"/>
  <c r="L6" i="8" s="1"/>
  <c r="I690" i="44" a="1"/>
  <c r="I690" i="44" s="1"/>
  <c r="T5" i="8" s="1" a="1"/>
  <c r="T5" i="8" s="1"/>
  <c r="U7" i="46"/>
  <c r="J7" i="46"/>
  <c r="S7" i="46"/>
  <c r="O681" i="44" a="1"/>
  <c r="O681" i="44" s="1"/>
  <c r="K5" i="26" s="1" a="1"/>
  <c r="K5" i="26" s="1"/>
  <c r="O688" i="44" a="1"/>
  <c r="O688" i="44" s="1"/>
  <c r="R5" i="26" s="1" a="1"/>
  <c r="R5" i="26" s="1"/>
  <c r="O636" i="44" a="1"/>
  <c r="O636" i="44" s="1"/>
  <c r="N3" i="26" s="1" a="1"/>
  <c r="N3" i="26" s="1"/>
  <c r="O625" i="44" a="1"/>
  <c r="O625" i="44" s="1"/>
  <c r="C3" i="26" s="1" a="1"/>
  <c r="C3" i="26" s="1"/>
  <c r="O682" i="44" a="1"/>
  <c r="O682" i="44" s="1"/>
  <c r="L5" i="26" s="1" a="1"/>
  <c r="L5" i="26" s="1"/>
  <c r="I628" i="44" a="1"/>
  <c r="I628" i="44" s="1"/>
  <c r="F3" i="8" s="1" a="1"/>
  <c r="F3" i="8" s="1"/>
  <c r="O644" i="44" a="1"/>
  <c r="O644" i="44" s="1"/>
  <c r="V3" i="26" s="1" a="1"/>
  <c r="V3" i="26" s="1"/>
  <c r="O662" i="44" a="1"/>
  <c r="O662" i="44" s="1"/>
  <c r="P4" i="26" s="1" a="1"/>
  <c r="P4" i="26" s="1"/>
  <c r="O671" i="44" a="1"/>
  <c r="O671" i="44" s="1"/>
  <c r="Y4" i="26" s="1" a="1"/>
  <c r="Y4" i="26" s="1"/>
  <c r="I667" i="44" a="1"/>
  <c r="I667" i="44" s="1"/>
  <c r="U4" i="8" s="1" a="1"/>
  <c r="U4" i="8" s="1"/>
  <c r="I653" i="44" a="1"/>
  <c r="I653" i="44" s="1"/>
  <c r="G4" i="8" s="1" a="1"/>
  <c r="G4" i="8" s="1"/>
  <c r="I679" i="44" a="1"/>
  <c r="I679" i="44" s="1"/>
  <c r="I5" i="8" s="1" a="1"/>
  <c r="I5" i="8" s="1"/>
  <c r="O641" i="44" a="1"/>
  <c r="O641" i="44" s="1"/>
  <c r="I646" i="44" a="1"/>
  <c r="I646" i="44" s="1"/>
  <c r="X3" i="8" s="1" a="1"/>
  <c r="X3" i="8" s="1"/>
  <c r="I678" i="44" a="1"/>
  <c r="I678" i="44" s="1"/>
  <c r="H5" i="8" s="1" a="1"/>
  <c r="H5" i="8" s="1"/>
  <c r="I625" i="44" a="1"/>
  <c r="I625" i="44" s="1"/>
  <c r="C3" i="8" s="1" a="1"/>
  <c r="C3" i="8" s="1"/>
  <c r="I668" i="44" a="1"/>
  <c r="I668" i="44" s="1"/>
  <c r="V4" i="8" s="1" a="1"/>
  <c r="V4" i="8" s="1"/>
  <c r="I642" i="44" a="1"/>
  <c r="I642" i="44" s="1"/>
  <c r="T3" i="8" s="1" a="1"/>
  <c r="T3" i="8" s="1"/>
  <c r="P7" i="46"/>
  <c r="O7" i="46"/>
  <c r="D7" i="46"/>
  <c r="O698" i="44"/>
  <c r="D7" i="26" s="1" a="1"/>
  <c r="D7" i="26" s="1"/>
  <c r="O602" i="44" a="1"/>
  <c r="O602" i="44" s="1"/>
  <c r="D2" i="26" s="1" a="1"/>
  <c r="D2" i="26" s="1"/>
  <c r="O621" i="44" a="1"/>
  <c r="O621" i="44" s="1"/>
  <c r="W2" i="26" s="1" a="1"/>
  <c r="W2" i="26" s="1"/>
  <c r="O717" i="44"/>
  <c r="W7" i="26" s="1" a="1"/>
  <c r="W7" i="26" s="1"/>
  <c r="O611" i="44" a="1"/>
  <c r="O611" i="44" s="1"/>
  <c r="M2" i="26" s="1" a="1"/>
  <c r="M2" i="26" s="1"/>
  <c r="O707" i="44"/>
  <c r="M7" i="26" s="1" a="1"/>
  <c r="M7" i="26" s="1"/>
  <c r="O639" i="44" a="1"/>
  <c r="O639" i="44" s="1"/>
  <c r="Q3" i="26" s="1" a="1"/>
  <c r="Q3" i="26" s="1"/>
  <c r="O649" i="44" a="1"/>
  <c r="O649" i="44" s="1"/>
  <c r="C4" i="26" s="1" a="1"/>
  <c r="C4" i="26" s="1"/>
  <c r="O652" i="44" a="1"/>
  <c r="O652" i="44" s="1"/>
  <c r="O663" i="44" a="1"/>
  <c r="O663" i="44" s="1"/>
  <c r="Q4" i="26" s="1" a="1"/>
  <c r="Q4" i="26" s="1"/>
  <c r="I681" i="44" a="1"/>
  <c r="I681" i="44" s="1"/>
  <c r="I638" i="44" a="1"/>
  <c r="I638" i="44" s="1"/>
  <c r="P3" i="8" s="1" a="1"/>
  <c r="P3" i="8" s="1"/>
  <c r="I606" i="44" a="1"/>
  <c r="I606" i="44" s="1"/>
  <c r="H2" i="8" s="1" a="1"/>
  <c r="H2" i="8" s="1"/>
  <c r="I702" i="44"/>
  <c r="I710" i="44"/>
  <c r="P7" i="8" s="1" a="1"/>
  <c r="P7" i="8" s="1"/>
  <c r="I614" i="44" a="1"/>
  <c r="I614" i="44" s="1"/>
  <c r="P2" i="8" s="1" a="1"/>
  <c r="P2" i="8" s="1"/>
  <c r="I687" i="44" a="1"/>
  <c r="I687" i="44" s="1"/>
  <c r="Q5" i="8" s="1" a="1"/>
  <c r="Q5" i="8" s="1"/>
  <c r="I624" i="44" a="1"/>
  <c r="I624" i="44" s="1"/>
  <c r="B3" i="8" s="1" a="1"/>
  <c r="B3" i="8" s="1"/>
  <c r="I648" i="44" a="1"/>
  <c r="I648" i="44" s="1"/>
  <c r="O706" i="44"/>
  <c r="L7" i="26" s="1" a="1"/>
  <c r="L7" i="26" s="1"/>
  <c r="O610" i="44" a="1"/>
  <c r="O610" i="44" s="1"/>
  <c r="L2" i="26" s="1" a="1"/>
  <c r="L2" i="26" s="1"/>
  <c r="O675" i="44" a="1"/>
  <c r="O675" i="44" s="1"/>
  <c r="E5" i="26" s="1" a="1"/>
  <c r="E5" i="26" s="1"/>
  <c r="O719" i="44"/>
  <c r="Y7" i="26" s="1" a="1"/>
  <c r="Y7" i="26" s="1"/>
  <c r="O623" i="44" a="1"/>
  <c r="O623" i="44" s="1"/>
  <c r="Y2" i="26" s="1" a="1"/>
  <c r="Y2" i="26" s="1"/>
  <c r="O608" i="44" a="1"/>
  <c r="O608" i="44" s="1"/>
  <c r="J2" i="26" s="1" a="1"/>
  <c r="J2" i="26" s="1"/>
  <c r="O704" i="44"/>
  <c r="J7" i="26" s="1" a="1"/>
  <c r="J7" i="26" s="1"/>
  <c r="O692" i="44" a="1"/>
  <c r="O692" i="44" s="1"/>
  <c r="V5" i="26" s="1" a="1"/>
  <c r="V5" i="26" s="1"/>
  <c r="O600" i="44" a="1"/>
  <c r="O600" i="44" s="1"/>
  <c r="B2" i="26" s="1" a="1"/>
  <c r="B2" i="26" s="1"/>
  <c r="O696" i="44"/>
  <c r="B7" i="26" s="1" a="1"/>
  <c r="B7" i="26" s="1"/>
  <c r="O715" i="44"/>
  <c r="U7" i="26" s="1" a="1"/>
  <c r="U7" i="26" s="1"/>
  <c r="O619" i="44" a="1"/>
  <c r="O619" i="44" s="1"/>
  <c r="U2" i="26" s="1" a="1"/>
  <c r="U2" i="26" s="1"/>
  <c r="O665" i="44" a="1"/>
  <c r="O665" i="44" s="1"/>
  <c r="S4" i="26" s="1" a="1"/>
  <c r="S4" i="26" s="1"/>
  <c r="O659" i="44" a="1"/>
  <c r="O659" i="44" s="1"/>
  <c r="M4" i="26" s="1" a="1"/>
  <c r="M4" i="26" s="1"/>
  <c r="O689" i="44" a="1"/>
  <c r="O689" i="44" s="1"/>
  <c r="S5" i="26" s="1" a="1"/>
  <c r="S5" i="26" s="1"/>
  <c r="I704" i="44"/>
  <c r="J7" i="8" s="1" a="1"/>
  <c r="J7" i="8" s="1"/>
  <c r="I608" i="44" a="1"/>
  <c r="I608" i="44" s="1"/>
  <c r="J2" i="8" s="1" a="1"/>
  <c r="J2" i="8" s="1"/>
  <c r="I672" i="44" a="1"/>
  <c r="I672" i="44" s="1"/>
  <c r="B5" i="8" s="1" a="1"/>
  <c r="B5" i="8" s="1"/>
  <c r="I664" i="44" a="1"/>
  <c r="I664" i="44" s="1"/>
  <c r="R4" i="8" s="1" a="1"/>
  <c r="R4" i="8" s="1"/>
  <c r="I699" i="44"/>
  <c r="E7" i="8" s="1" a="1"/>
  <c r="E7" i="8" s="1"/>
  <c r="I603" i="44" a="1"/>
  <c r="I603" i="44" s="1"/>
  <c r="E2" i="8" s="1" a="1"/>
  <c r="E2" i="8" s="1"/>
  <c r="I661" i="44" a="1"/>
  <c r="I661" i="44" s="1"/>
  <c r="O4" i="8" s="1" a="1"/>
  <c r="O4" i="8" s="1"/>
  <c r="I682" i="44" a="1"/>
  <c r="I682" i="44" s="1"/>
  <c r="L5" i="8" s="1" a="1"/>
  <c r="L5" i="8" s="1"/>
  <c r="I669" i="44" a="1"/>
  <c r="I669" i="44" s="1"/>
  <c r="W4" i="8" s="1" a="1"/>
  <c r="W4" i="8" s="1"/>
  <c r="O606" i="44" a="1"/>
  <c r="O606" i="44" s="1"/>
  <c r="H2" i="26" s="1" a="1"/>
  <c r="H2" i="26" s="1"/>
  <c r="O702" i="44"/>
  <c r="H7" i="26" s="1" a="1"/>
  <c r="H7" i="26" s="1"/>
  <c r="O603" i="44" a="1"/>
  <c r="O603" i="44" s="1"/>
  <c r="E2" i="26" s="1" a="1"/>
  <c r="E2" i="26" s="1"/>
  <c r="O699" i="44"/>
  <c r="E7" i="26" s="1" a="1"/>
  <c r="E7" i="26" s="1"/>
  <c r="O612" i="44" a="1"/>
  <c r="O612" i="44" s="1"/>
  <c r="N2" i="26" s="1" a="1"/>
  <c r="N2" i="26" s="1"/>
  <c r="O708" i="44"/>
  <c r="N7" i="26" s="1" a="1"/>
  <c r="N7" i="26" s="1"/>
  <c r="I700" i="44"/>
  <c r="F7" i="8" s="1" a="1"/>
  <c r="F7" i="8" s="1"/>
  <c r="I604" i="44" a="1"/>
  <c r="I604" i="44" s="1"/>
  <c r="F2" i="8" s="1" a="1"/>
  <c r="F2" i="8" s="1"/>
  <c r="I623" i="44" a="1"/>
  <c r="I623" i="44" s="1"/>
  <c r="Y2" i="8" s="1" a="1"/>
  <c r="Y2" i="8" s="1"/>
  <c r="I719" i="44"/>
  <c r="Y7" i="8" s="1" a="1"/>
  <c r="Y7" i="8" s="1"/>
  <c r="I701" i="44"/>
  <c r="G7" i="8" s="1" a="1"/>
  <c r="G7" i="8" s="1"/>
  <c r="I605" i="44" a="1"/>
  <c r="I605" i="44" s="1"/>
  <c r="G2" i="8" s="1" a="1"/>
  <c r="G2" i="8" s="1"/>
  <c r="O705" i="44"/>
  <c r="K7" i="26" s="1" a="1"/>
  <c r="K7" i="26" s="1"/>
  <c r="O609" i="44" a="1"/>
  <c r="O609" i="44" s="1"/>
  <c r="K2" i="26" s="1" a="1"/>
  <c r="K2" i="26" s="1"/>
  <c r="O660" i="44" a="1"/>
  <c r="O660" i="44" s="1"/>
  <c r="N4" i="26" s="1" a="1"/>
  <c r="N4" i="26" s="1"/>
  <c r="O714" i="44"/>
  <c r="T7" i="26" s="1" a="1"/>
  <c r="T7" i="26" s="1"/>
  <c r="O618" i="44" a="1"/>
  <c r="O618" i="44" s="1"/>
  <c r="T2" i="26" s="1" a="1"/>
  <c r="T2" i="26" s="1"/>
  <c r="O695" i="44" a="1"/>
  <c r="O695" i="44" s="1"/>
  <c r="Y5" i="26" s="1" a="1"/>
  <c r="Y5" i="26" s="1"/>
  <c r="O693" i="44" a="1"/>
  <c r="O693" i="44" s="1"/>
  <c r="W5" i="26" s="1" a="1"/>
  <c r="W5" i="26" s="1"/>
  <c r="O680" i="44" a="1"/>
  <c r="O680" i="44" s="1"/>
  <c r="J5" i="26" s="1" a="1"/>
  <c r="J5" i="26" s="1"/>
  <c r="O673" i="44" a="1"/>
  <c r="O673" i="44" s="1"/>
  <c r="O668" i="44" a="1"/>
  <c r="O668" i="44" s="1"/>
  <c r="V4" i="26" s="1" a="1"/>
  <c r="V4" i="26" s="1"/>
  <c r="O604" i="44" a="1"/>
  <c r="O604" i="44" s="1"/>
  <c r="F2" i="26" s="1" a="1"/>
  <c r="F2" i="26" s="1"/>
  <c r="O700" i="44"/>
  <c r="F7" i="26" s="1" a="1"/>
  <c r="F7" i="26" s="1"/>
  <c r="O657" i="44" a="1"/>
  <c r="O657" i="44" s="1"/>
  <c r="K4" i="26" s="1" a="1"/>
  <c r="K4" i="26" s="1"/>
  <c r="I663" i="44" a="1"/>
  <c r="I663" i="44" s="1"/>
  <c r="Q4" i="8" s="1" a="1"/>
  <c r="Q4" i="8" s="1"/>
  <c r="O635" i="44" a="1"/>
  <c r="O635" i="44" s="1"/>
  <c r="M3" i="26" s="1" a="1"/>
  <c r="M3" i="26" s="1"/>
  <c r="I683" i="44" a="1"/>
  <c r="I683" i="44" s="1"/>
  <c r="M5" i="8" s="1" a="1"/>
  <c r="M5" i="8" s="1"/>
  <c r="I675" i="44" a="1"/>
  <c r="I675" i="44" s="1"/>
  <c r="E5" i="8" s="1" a="1"/>
  <c r="E5" i="8" s="1"/>
  <c r="I655" i="44" a="1"/>
  <c r="I655" i="44" s="1"/>
  <c r="I4" i="8" s="1" a="1"/>
  <c r="I4" i="8" s="1"/>
  <c r="I713" i="44"/>
  <c r="S7" i="8" s="1" a="1"/>
  <c r="S7" i="8" s="1"/>
  <c r="I617" i="44" a="1"/>
  <c r="I617" i="44" s="1"/>
  <c r="S2" i="8" s="1" a="1"/>
  <c r="S2" i="8" s="1"/>
  <c r="I633" i="44" a="1"/>
  <c r="I633" i="44" s="1"/>
  <c r="K3" i="8" s="1" a="1"/>
  <c r="K3" i="8" s="1"/>
  <c r="I703" i="44"/>
  <c r="I7" i="8" s="1" a="1"/>
  <c r="I7" i="8" s="1"/>
  <c r="I607" i="44" a="1"/>
  <c r="I607" i="44" s="1"/>
  <c r="I2" i="8" s="1" a="1"/>
  <c r="I2" i="8" s="1"/>
  <c r="I677" i="44" a="1"/>
  <c r="I677" i="44" s="1"/>
  <c r="G5" i="8" s="1" a="1"/>
  <c r="G5" i="8" s="1"/>
  <c r="O679" i="44" a="1"/>
  <c r="O679" i="44" s="1"/>
  <c r="I5" i="26" s="1" a="1"/>
  <c r="I5" i="26" s="1"/>
  <c r="O642" i="44" a="1"/>
  <c r="O642" i="44" s="1"/>
  <c r="O645" i="44" a="1"/>
  <c r="O645" i="44" s="1"/>
  <c r="W3" i="26" s="1" a="1"/>
  <c r="W3" i="26" s="1"/>
  <c r="O640" i="44" a="1"/>
  <c r="O640" i="44" s="1"/>
  <c r="R3" i="26" s="1" a="1"/>
  <c r="R3" i="26" s="1"/>
  <c r="O653" i="44" a="1"/>
  <c r="O653" i="44" s="1"/>
  <c r="G4" i="26" s="1" a="1"/>
  <c r="G4" i="26" s="1"/>
  <c r="O656" i="44" a="1"/>
  <c r="O656" i="44" s="1"/>
  <c r="O677" i="44" a="1"/>
  <c r="O677" i="44" s="1"/>
  <c r="G5" i="26" s="1" a="1"/>
  <c r="G5" i="26" s="1"/>
  <c r="O674" i="44" a="1"/>
  <c r="O674" i="44" s="1"/>
  <c r="D5" i="26" s="1" a="1"/>
  <c r="D5" i="26" s="1"/>
  <c r="O670" i="44" a="1"/>
  <c r="O670" i="44" s="1"/>
  <c r="X4" i="26" s="1" a="1"/>
  <c r="X4" i="26" s="1"/>
  <c r="O630" i="44" a="1"/>
  <c r="O630" i="44" s="1"/>
  <c r="H3" i="26" s="1" a="1"/>
  <c r="H3" i="26" s="1"/>
  <c r="I662" i="44" a="1"/>
  <c r="I662" i="44" s="1"/>
  <c r="P4" i="8" s="1" a="1"/>
  <c r="P4" i="8" s="1"/>
  <c r="I714" i="44"/>
  <c r="T7" i="8" s="1" a="1"/>
  <c r="T7" i="8" s="1"/>
  <c r="I618" i="44" a="1"/>
  <c r="I618" i="44" s="1"/>
  <c r="T2" i="8" s="1" a="1"/>
  <c r="T2" i="8" s="1"/>
  <c r="I709" i="44"/>
  <c r="O7" i="8" s="1" a="1"/>
  <c r="O7" i="8" s="1"/>
  <c r="I613" i="44" a="1"/>
  <c r="I613" i="44" s="1"/>
  <c r="O2" i="8" s="1" a="1"/>
  <c r="O2" i="8" s="1"/>
  <c r="I706" i="44"/>
  <c r="L7" i="8" s="1" a="1"/>
  <c r="L7" i="8" s="1"/>
  <c r="I610" i="44" a="1"/>
  <c r="I610" i="44" s="1"/>
  <c r="L2" i="8" s="1" a="1"/>
  <c r="L2" i="8" s="1"/>
  <c r="I601" i="44" a="1"/>
  <c r="I601" i="44" s="1"/>
  <c r="C2" i="8" s="1" a="1"/>
  <c r="C2" i="8" s="1"/>
  <c r="I697" i="44"/>
  <c r="C7" i="8" s="1" a="1"/>
  <c r="C7" i="8" s="1"/>
  <c r="I654" i="44" a="1"/>
  <c r="I654" i="44" s="1"/>
  <c r="H4" i="8" s="1" a="1"/>
  <c r="H4" i="8" s="1"/>
  <c r="I666" i="44" a="1"/>
  <c r="I666" i="44" s="1"/>
  <c r="T4" i="8" s="1" a="1"/>
  <c r="T4" i="8" s="1"/>
  <c r="I716" i="44"/>
  <c r="V7" i="8" s="1" a="1"/>
  <c r="V7" i="8" s="1"/>
  <c r="I620" i="44" a="1"/>
  <c r="I620" i="44" s="1"/>
  <c r="V2" i="8" s="1" a="1"/>
  <c r="V2" i="8" s="1"/>
  <c r="O701" i="44"/>
  <c r="G7" i="26" s="1" a="1"/>
  <c r="G7" i="26" s="1"/>
  <c r="O605" i="44" a="1"/>
  <c r="O605" i="44" s="1"/>
  <c r="G2" i="26" s="1" a="1"/>
  <c r="G2" i="26" s="1"/>
  <c r="O638" i="44" a="1"/>
  <c r="O638" i="44" s="1"/>
  <c r="P3" i="26" s="1" a="1"/>
  <c r="P3" i="26" s="1"/>
  <c r="O711" i="44"/>
  <c r="Q7" i="26" s="1" a="1"/>
  <c r="Q7" i="26" s="1"/>
  <c r="O615" i="44" a="1"/>
  <c r="O615" i="44" s="1"/>
  <c r="Q2" i="26" s="1" a="1"/>
  <c r="Q2" i="26" s="1"/>
  <c r="O712" i="44"/>
  <c r="R7" i="26" s="1" a="1"/>
  <c r="R7" i="26" s="1"/>
  <c r="O616" i="44" a="1"/>
  <c r="O616" i="44" s="1"/>
  <c r="R2" i="26" s="1" a="1"/>
  <c r="R2" i="26" s="1"/>
  <c r="O666" i="44" a="1"/>
  <c r="O666" i="44" s="1"/>
  <c r="T4" i="26" s="1" a="1"/>
  <c r="T4" i="26" s="1"/>
  <c r="O667" i="44" a="1"/>
  <c r="O667" i="44" s="1"/>
  <c r="U4" i="26" s="1" a="1"/>
  <c r="U4" i="26" s="1"/>
  <c r="I622" i="44" a="1"/>
  <c r="I622" i="44" s="1"/>
  <c r="X2" i="8" s="1" a="1"/>
  <c r="X2" i="8" s="1"/>
  <c r="I718" i="44"/>
  <c r="X7" i="8" s="1" a="1"/>
  <c r="X7" i="8" s="1"/>
  <c r="I715" i="44"/>
  <c r="U7" i="8" s="1" a="1"/>
  <c r="U7" i="8" s="1"/>
  <c r="I619" i="44" a="1"/>
  <c r="I619" i="44" s="1"/>
  <c r="U2" i="8" s="1" a="1"/>
  <c r="U2" i="8" s="1"/>
  <c r="I705" i="44"/>
  <c r="K7" i="8" s="1" a="1"/>
  <c r="K7" i="8" s="1"/>
  <c r="I609" i="44" a="1"/>
  <c r="I609" i="44" s="1"/>
  <c r="K2" i="8" s="1" a="1"/>
  <c r="K2" i="8" s="1"/>
  <c r="I670" i="44" a="1"/>
  <c r="I670" i="44" s="1"/>
  <c r="X4" i="8" s="1" a="1"/>
  <c r="X4" i="8" s="1"/>
  <c r="I602" i="44" a="1"/>
  <c r="I602" i="44" s="1"/>
  <c r="D2" i="8" s="1" a="1"/>
  <c r="D2" i="8" s="1"/>
  <c r="I698" i="44"/>
  <c r="D7" i="8" s="1" a="1"/>
  <c r="D7" i="8" s="1"/>
  <c r="I692" i="44" a="1"/>
  <c r="I692" i="44" s="1"/>
  <c r="I649" i="44" a="1"/>
  <c r="I649" i="44" s="1"/>
  <c r="I717" i="44"/>
  <c r="W7" i="8" s="1" a="1"/>
  <c r="W7" i="8" s="1"/>
  <c r="I621" i="44" a="1"/>
  <c r="I621" i="44" s="1"/>
  <c r="W2" i="8" s="1" a="1"/>
  <c r="W2" i="8" s="1"/>
  <c r="I680" i="44" a="1"/>
  <c r="I680" i="44" s="1"/>
  <c r="J5" i="8" s="1" a="1"/>
  <c r="J5" i="8" s="1"/>
  <c r="O617" i="44" a="1"/>
  <c r="O617" i="44" s="1"/>
  <c r="S2" i="26" s="1" a="1"/>
  <c r="S2" i="26" s="1"/>
  <c r="O601" i="44" a="1"/>
  <c r="O601" i="44" s="1"/>
  <c r="C2" i="26" s="1" a="1"/>
  <c r="C2" i="26" s="1"/>
  <c r="O697" i="44"/>
  <c r="C7" i="26" s="1" a="1"/>
  <c r="C7" i="26" s="1"/>
  <c r="O633" i="44" a="1"/>
  <c r="O633" i="44" s="1"/>
  <c r="K3" i="26" s="1" a="1"/>
  <c r="K3" i="26" s="1"/>
  <c r="O631" i="44" a="1"/>
  <c r="O631" i="44" s="1"/>
  <c r="I3" i="26" s="1" a="1"/>
  <c r="I3" i="26" s="1"/>
  <c r="O620" i="44" a="1"/>
  <c r="O620" i="44" s="1"/>
  <c r="V2" i="26" s="1" a="1"/>
  <c r="V2" i="26" s="1"/>
  <c r="O716" i="44"/>
  <c r="V7" i="26" s="1" a="1"/>
  <c r="V7" i="26" s="1"/>
  <c r="O685" i="44" a="1"/>
  <c r="O685" i="44" s="1"/>
  <c r="O5" i="26" s="1" a="1"/>
  <c r="O5" i="26" s="1"/>
  <c r="O622" i="44" a="1"/>
  <c r="O622" i="44" s="1"/>
  <c r="X2" i="26" s="1" a="1"/>
  <c r="X2" i="26" s="1"/>
  <c r="O718" i="44"/>
  <c r="X7" i="26" s="1" a="1"/>
  <c r="X7" i="26" s="1"/>
  <c r="O654" i="44" a="1"/>
  <c r="O654" i="44" s="1"/>
  <c r="H4" i="26" s="1" a="1"/>
  <c r="H4" i="26" s="1"/>
  <c r="I651" i="44" a="1"/>
  <c r="I651" i="44" s="1"/>
  <c r="E4" i="8" s="1" a="1"/>
  <c r="E4" i="8" s="1"/>
  <c r="I615" i="44" a="1"/>
  <c r="I615" i="44" s="1"/>
  <c r="Q2" i="8" s="1" a="1"/>
  <c r="Q2" i="8" s="1"/>
  <c r="I711" i="44"/>
  <c r="Q7" i="8" s="1" a="1"/>
  <c r="Q7" i="8" s="1"/>
  <c r="I712" i="44"/>
  <c r="R7" i="8" s="1" a="1"/>
  <c r="R7" i="8" s="1"/>
  <c r="I616" i="44" a="1"/>
  <c r="I616" i="44" s="1"/>
  <c r="R2" i="8" s="1" a="1"/>
  <c r="R2" i="8" s="1"/>
  <c r="I657" i="44" a="1"/>
  <c r="I657" i="44" s="1"/>
  <c r="K4" i="8" s="1" a="1"/>
  <c r="K4" i="8" s="1"/>
  <c r="I635" i="44" a="1"/>
  <c r="I635" i="44" s="1"/>
  <c r="M3" i="8" s="1" a="1"/>
  <c r="M3" i="8" s="1"/>
  <c r="I696" i="44"/>
  <c r="B7" i="8" s="1" a="1"/>
  <c r="B7" i="8" s="1"/>
  <c r="I600" i="44" a="1"/>
  <c r="I600" i="44" s="1"/>
  <c r="B2" i="8" s="1" a="1"/>
  <c r="B2" i="8" s="1"/>
  <c r="I688" i="44" a="1"/>
  <c r="I688" i="44" s="1"/>
  <c r="R5" i="8" s="1" a="1"/>
  <c r="R5" i="8" s="1"/>
  <c r="M617" i="44" a="1"/>
  <c r="M617" i="44" s="1"/>
  <c r="S2" i="24" s="1" a="1"/>
  <c r="S2" i="24" s="1"/>
  <c r="M713" i="44"/>
  <c r="S7" i="24" s="1" a="1"/>
  <c r="S7" i="24" s="1"/>
  <c r="O703" i="44"/>
  <c r="I7" i="26" s="1" a="1"/>
  <c r="I7" i="26" s="1"/>
  <c r="O607" i="44" a="1"/>
  <c r="O607" i="44" s="1"/>
  <c r="I2" i="26" s="1" a="1"/>
  <c r="I2" i="26" s="1"/>
  <c r="O614" i="44" a="1"/>
  <c r="O614" i="44" s="1"/>
  <c r="P2" i="26" s="1" a="1"/>
  <c r="P2" i="26" s="1"/>
  <c r="O710" i="44"/>
  <c r="P7" i="26" s="1" a="1"/>
  <c r="P7" i="26" s="1"/>
  <c r="O626" i="44" a="1"/>
  <c r="O626" i="44" s="1"/>
  <c r="D3" i="26" s="1" a="1"/>
  <c r="D3" i="26" s="1"/>
  <c r="O661" i="44" a="1"/>
  <c r="O661" i="44" s="1"/>
  <c r="O4" i="26" s="1" a="1"/>
  <c r="O4" i="26" s="1"/>
  <c r="O709" i="44"/>
  <c r="O7" i="26" s="1" a="1"/>
  <c r="O7" i="26" s="1"/>
  <c r="O613" i="44" a="1"/>
  <c r="O613" i="44" s="1"/>
  <c r="O2" i="26" s="1" a="1"/>
  <c r="O2" i="26" s="1"/>
  <c r="I660" i="44" a="1"/>
  <c r="I660" i="44" s="1"/>
  <c r="N4" i="8" s="1" a="1"/>
  <c r="N4" i="8" s="1"/>
  <c r="I708" i="44"/>
  <c r="N7" i="8" s="1" a="1"/>
  <c r="N7" i="8" s="1"/>
  <c r="I612" i="44" a="1"/>
  <c r="I612" i="44" s="1"/>
  <c r="N2" i="8" s="1" a="1"/>
  <c r="N2" i="8" s="1"/>
  <c r="I707" i="44"/>
  <c r="M7" i="8" s="1" a="1"/>
  <c r="M7" i="8" s="1"/>
  <c r="I611" i="44" a="1"/>
  <c r="I611" i="44" s="1"/>
  <c r="M2" i="8" s="1" a="1"/>
  <c r="M2" i="8" s="1"/>
  <c r="I636" i="44" a="1"/>
  <c r="I636" i="44" s="1"/>
  <c r="N3" i="8" s="1" a="1"/>
  <c r="N3" i="8" s="1"/>
  <c r="I674" i="44" a="1"/>
  <c r="I674" i="44" s="1"/>
  <c r="D5" i="8" s="1" a="1"/>
  <c r="D5" i="8" s="1"/>
  <c r="I629" i="44" a="1"/>
  <c r="I629" i="44" s="1"/>
  <c r="G3" i="8" s="1" a="1"/>
  <c r="G3" i="8" s="1"/>
  <c r="I643" i="44" a="1"/>
  <c r="I643" i="44" s="1"/>
  <c r="U3" i="8" s="1" a="1"/>
  <c r="U3" i="8" s="1"/>
  <c r="C7" i="46"/>
  <c r="H3" i="46"/>
  <c r="V4" i="46"/>
  <c r="L2" i="46"/>
  <c r="V3" i="46"/>
  <c r="H2" i="46"/>
  <c r="W3" i="46"/>
  <c r="W4" i="46"/>
  <c r="V2" i="46"/>
  <c r="N2" i="46"/>
  <c r="L5" i="46"/>
  <c r="V5" i="46"/>
  <c r="W2" i="46"/>
  <c r="W5" i="46"/>
  <c r="L4" i="46"/>
  <c r="L3" i="46"/>
  <c r="Y659" i="44" l="1"/>
  <c r="Y684" i="44"/>
  <c r="Y710" i="44"/>
  <c r="Y638" i="44"/>
  <c r="Y723" i="44"/>
  <c r="Y706" i="44"/>
  <c r="Y714" i="44"/>
  <c r="Y678" i="44"/>
  <c r="Y715" i="44"/>
  <c r="Y711" i="44"/>
  <c r="Y665" i="44"/>
  <c r="Y637" i="44"/>
  <c r="Y730" i="44"/>
  <c r="Y698" i="44"/>
  <c r="Y739" i="44"/>
  <c r="Y741" i="44"/>
  <c r="Y728" i="44"/>
  <c r="Y603" i="44"/>
  <c r="Y743" i="44"/>
  <c r="Y724" i="44"/>
  <c r="Y732" i="44"/>
  <c r="Y646" i="44"/>
  <c r="Y722" i="44"/>
  <c r="Y725" i="44"/>
  <c r="Y701" i="44"/>
  <c r="Y734" i="44"/>
  <c r="Y627" i="44"/>
  <c r="Y707" i="44"/>
  <c r="Y671" i="44"/>
  <c r="Y632" i="44"/>
  <c r="Y720" i="44"/>
  <c r="Y687" i="44"/>
  <c r="Y690" i="44"/>
  <c r="Y729" i="44"/>
  <c r="Y699" i="44"/>
  <c r="Y742" i="44"/>
  <c r="Y700" i="44"/>
  <c r="Y719" i="44"/>
  <c r="Y726" i="44"/>
  <c r="Y626" i="44"/>
  <c r="Y735" i="44"/>
  <c r="Y738" i="44"/>
  <c r="Y634" i="44"/>
  <c r="Y682" i="44"/>
  <c r="Y691" i="44"/>
  <c r="Y625" i="44"/>
  <c r="Y630" i="44"/>
  <c r="Y640" i="44"/>
  <c r="Y651" i="44"/>
  <c r="Y672" i="44"/>
  <c r="Y686" i="44"/>
  <c r="Y602" i="44"/>
  <c r="Y624" i="44"/>
  <c r="Y664" i="44"/>
  <c r="Y647" i="44"/>
  <c r="Y608" i="44"/>
  <c r="Y655" i="44"/>
  <c r="Y639" i="44"/>
  <c r="Y689" i="44"/>
  <c r="Y628" i="44"/>
  <c r="Y631" i="44"/>
  <c r="Y669" i="44"/>
  <c r="Y694" i="44"/>
  <c r="Y693" i="44"/>
  <c r="Y683" i="44"/>
  <c r="Y606" i="44"/>
  <c r="Y695" i="44"/>
  <c r="Y650" i="44"/>
  <c r="Y675" i="44"/>
  <c r="Y644" i="44"/>
  <c r="Y633" i="44"/>
  <c r="Y670" i="44"/>
  <c r="Y645" i="44"/>
  <c r="Y609" i="44"/>
  <c r="Y674" i="44"/>
  <c r="Y601" i="44"/>
  <c r="Y600" i="44"/>
  <c r="Y620" i="44"/>
  <c r="Y619" i="44"/>
  <c r="Y653" i="44"/>
  <c r="Y658" i="44"/>
  <c r="Y607" i="44"/>
  <c r="F5" i="8" a="1"/>
  <c r="F5" i="8" s="1"/>
  <c r="Y676" i="44"/>
  <c r="Y685" i="44"/>
  <c r="Y618" i="44"/>
  <c r="Y604" i="44"/>
  <c r="Y610" i="44"/>
  <c r="Y679" i="44"/>
  <c r="Y667" i="44"/>
  <c r="W7" i="46"/>
  <c r="Y605" i="44"/>
  <c r="Y717" i="44"/>
  <c r="Y636" i="44"/>
  <c r="Y663" i="44"/>
  <c r="Y737" i="44"/>
  <c r="Y668" i="44"/>
  <c r="Y705" i="44"/>
  <c r="Y666" i="44"/>
  <c r="Y704" i="44"/>
  <c r="Y680" i="44"/>
  <c r="Y697" i="44"/>
  <c r="Y718" i="44"/>
  <c r="Y727" i="44"/>
  <c r="Y677" i="44"/>
  <c r="Y708" i="44"/>
  <c r="Y721" i="44"/>
  <c r="Y623" i="44"/>
  <c r="Y629" i="44"/>
  <c r="Y713" i="44"/>
  <c r="Y611" i="44"/>
  <c r="Y662" i="44"/>
  <c r="Y733" i="44"/>
  <c r="S3" i="26" a="1"/>
  <c r="S3" i="26" s="1"/>
  <c r="Y641" i="44"/>
  <c r="L7" i="46"/>
  <c r="F4" i="26" a="1"/>
  <c r="F4" i="26" s="1"/>
  <c r="Y652" i="44"/>
  <c r="T3" i="26" a="1"/>
  <c r="T3" i="26" s="1"/>
  <c r="Y642" i="44"/>
  <c r="Y696" i="44"/>
  <c r="Y614" i="44"/>
  <c r="Y716" i="44"/>
  <c r="Y731" i="44"/>
  <c r="Y622" i="44"/>
  <c r="Y613" i="44"/>
  <c r="Y621" i="44"/>
  <c r="Y712" i="44"/>
  <c r="Y643" i="44"/>
  <c r="Y688" i="44"/>
  <c r="Y736" i="44"/>
  <c r="Y616" i="44"/>
  <c r="H7" i="8" a="1"/>
  <c r="H7" i="8" s="1"/>
  <c r="Y702" i="44"/>
  <c r="Y612" i="44"/>
  <c r="Y709" i="44"/>
  <c r="C4" i="8" a="1"/>
  <c r="C4" i="8" s="1"/>
  <c r="Y649" i="44"/>
  <c r="B4" i="8" a="1"/>
  <c r="B4" i="8" s="1"/>
  <c r="Y648" i="44"/>
  <c r="Y617" i="44"/>
  <c r="Y654" i="44"/>
  <c r="Y661" i="44"/>
  <c r="Y660" i="44"/>
  <c r="Y657" i="44"/>
  <c r="V5" i="8" a="1"/>
  <c r="V5" i="8" s="1"/>
  <c r="Y692" i="44"/>
  <c r="J4" i="26" a="1"/>
  <c r="J4" i="26" s="1"/>
  <c r="Y656" i="44"/>
  <c r="Y615" i="44"/>
  <c r="Y635" i="44"/>
  <c r="Y703" i="44"/>
  <c r="Y740" i="44"/>
  <c r="C5" i="26" a="1"/>
  <c r="C5" i="26" s="1"/>
  <c r="Y673" i="44"/>
  <c r="K5" i="8" a="1"/>
  <c r="K5" i="8" s="1"/>
  <c r="Y681" i="44"/>
  <c r="V7" i="46"/>
  <c r="N3" i="46"/>
  <c r="N4" i="46"/>
  <c r="N5" i="46"/>
  <c r="H5" i="46"/>
  <c r="H4" i="46"/>
  <c r="Z673" i="44" l="1"/>
  <c r="Z630" i="44"/>
  <c r="Z647" i="44"/>
  <c r="Z629" i="44"/>
  <c r="Z651" i="44"/>
  <c r="Z675" i="44"/>
  <c r="Z633" i="44"/>
  <c r="Z620" i="44"/>
  <c r="Z685" i="44"/>
  <c r="Z670" i="44"/>
  <c r="Z660" i="44"/>
  <c r="Z616" i="44"/>
  <c r="Z695" i="44"/>
  <c r="Z668" i="44"/>
  <c r="Z611" i="44"/>
  <c r="Z635" i="44"/>
  <c r="Z617" i="44"/>
  <c r="Z610" i="44"/>
  <c r="H7" i="46"/>
  <c r="N7" i="46"/>
  <c r="Z680" i="44"/>
  <c r="Z663" i="44"/>
  <c r="Z657" i="44"/>
  <c r="Z607" i="44"/>
  <c r="Z655" i="44"/>
  <c r="Z638" i="44"/>
  <c r="Z689" i="44"/>
  <c r="Z641" i="44"/>
  <c r="Z643" i="44"/>
  <c r="Z690" i="44"/>
  <c r="Z687" i="44"/>
  <c r="Z636" i="44"/>
  <c r="Z627" i="44"/>
  <c r="Z671" i="44"/>
  <c r="Z678" i="44"/>
  <c r="Z625" i="44"/>
  <c r="Z694" i="44"/>
  <c r="Z606" i="44"/>
  <c r="Z626" i="44"/>
  <c r="Z612" i="44"/>
  <c r="Z686" i="44"/>
  <c r="Z691" i="44"/>
  <c r="Z628" i="44"/>
  <c r="Z645" i="44"/>
  <c r="Z602" i="44"/>
  <c r="Z674" i="44"/>
  <c r="Z693" i="44"/>
  <c r="Z600" i="44"/>
  <c r="Z609" i="44"/>
  <c r="Z615" i="44"/>
  <c r="Z601" i="44"/>
  <c r="Z654" i="44"/>
  <c r="Z648" i="44"/>
  <c r="Z658" i="44"/>
  <c r="Z650" i="44"/>
  <c r="Z624" i="44"/>
  <c r="Z646" i="44"/>
  <c r="Z637" i="44"/>
  <c r="Z667" i="44"/>
  <c r="Z662" i="44"/>
  <c r="Z644" i="44"/>
  <c r="Z669" i="44"/>
  <c r="Z613" i="44"/>
  <c r="Z614" i="44"/>
  <c r="Z666" i="44"/>
  <c r="Z683" i="44"/>
  <c r="Z672" i="44"/>
  <c r="Z681" i="44"/>
  <c r="Z619" i="44"/>
  <c r="Z684" i="44"/>
  <c r="Z656" i="44"/>
  <c r="Z603" i="44"/>
  <c r="Z605" i="44"/>
  <c r="Z664" i="44"/>
  <c r="Z649" i="44"/>
  <c r="Z604" i="44"/>
  <c r="Z653" i="44"/>
  <c r="Z682" i="44"/>
  <c r="Z659" i="44"/>
  <c r="Z623" i="44"/>
  <c r="Z631" i="44"/>
  <c r="Z676" i="44"/>
  <c r="Z640" i="44"/>
  <c r="Z634" i="44"/>
  <c r="Z618" i="44"/>
  <c r="Z622" i="44"/>
  <c r="Z652" i="44"/>
  <c r="Z665" i="44"/>
  <c r="Z692" i="44"/>
  <c r="Z661" i="44"/>
  <c r="Z639" i="44"/>
  <c r="Z608" i="44"/>
  <c r="Z677" i="44"/>
  <c r="Z632" i="44"/>
  <c r="Z642" i="44"/>
  <c r="Z688" i="44"/>
  <c r="Z621" i="44"/>
  <c r="Z679" i="4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F022B-876E-41EC-B03B-070AD51A1A70}" keepAlive="1" name="Query - Future global electricity demand load curves" description="Connection to the 'Future global electricity demand load curves' query in the workbook." type="5" refreshedVersion="8" background="1" saveData="1">
    <dbPr connection="Provider=Microsoft.Mashup.OleDb.1;Data Source=$Workbook$;Location=&quot;Future global electricity demand load curves&quot;;Extended Properties=&quot;&quot;" command="SELECT * FROM [Future global electricity demand load curves]"/>
  </connection>
  <connection id="2" xr16:uid="{F330CBFC-8879-4803-B07E-D3455920BB81}" keepAlive="1" name="Query - Future global electricity demand load curves (2)" description="Connection to the 'Future global electricity demand load curves (2)' query in the workbook." type="5" refreshedVersion="8" background="1" saveData="1">
    <dbPr connection="Provider=Microsoft.Mashup.OleDb.1;Data Source=$Workbook$;Location=&quot;Future global electricity demand load curves (2)&quot;;Extended Properties=&quot;&quot;" command="SELECT * FROM [Future global electricity demand load curves (2)]"/>
  </connection>
  <connection id="3" xr16:uid="{385F7B77-9BBE-469A-8981-1D6573ACD93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75A53F6-953E-4EAD-895D-8AE770EB0D17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5" xr16:uid="{F2938307-66F2-48E2-BB37-18EB5A45F0D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B62F3D0D-711D-4537-86F2-53687F47B52D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<sst xmlns="http://schemas.openxmlformats.org/spreadsheetml/2006/main" count="4477" uniqueCount="237">
  <si>
    <t>SHELF Seasonal Hourly Equipment Load Factors</t>
  </si>
  <si>
    <t>Source:</t>
  </si>
  <si>
    <t>Hourly Load Data</t>
  </si>
  <si>
    <t>Meixco SHELF Seasonal Hourly Equipment Load Factors</t>
  </si>
  <si>
    <t>NREL</t>
  </si>
  <si>
    <t>National Energy Control Center (Cenace)</t>
  </si>
  <si>
    <t>Electrification Futures Study Load Profiles</t>
  </si>
  <si>
    <t>Accessed 2024</t>
  </si>
  <si>
    <t>https://data.nrel.gov/submissions/126</t>
  </si>
  <si>
    <t>Public area of ​​the market information system</t>
  </si>
  <si>
    <t>EFSLoadProfile_Medium_Moderate</t>
  </si>
  <si>
    <t>https://www.cenace.gob.mx/Paginas/SIM/PronosticosHorasCriticas.aspx</t>
  </si>
  <si>
    <t>Horas criticas de 2022</t>
  </si>
  <si>
    <t>Monthly natural gas and electricity consumption</t>
  </si>
  <si>
    <t>EIA</t>
  </si>
  <si>
    <t>Monthly Energy Review</t>
  </si>
  <si>
    <t>https://www.eia.gov/totalenergy/data/monthly/</t>
  </si>
  <si>
    <t>https://www.cenace.gob.mx/APSIM.aspx</t>
  </si>
  <si>
    <t>Tables and 4.3 and 7.6</t>
  </si>
  <si>
    <t>Obtained through the Energy Transition Observatory in Mexico (Obtrenmx.org)</t>
  </si>
  <si>
    <t xml:space="preserve">https://obtrenmx.org/ </t>
  </si>
  <si>
    <t>Zapata, Victhalia (2022)</t>
  </si>
  <si>
    <t>“Data for: Future global electricity demand load curves”</t>
  </si>
  <si>
    <t>https://data.mendeley.com/datasets/pmd2dchk44/1</t>
  </si>
  <si>
    <t>About</t>
  </si>
  <si>
    <t>This file specifies the ratio of the electricity consumed in each hour of the year to the</t>
  </si>
  <si>
    <t>total amount of electricity consumed during the year, disaggregated by sector.</t>
  </si>
  <si>
    <t>For the US, we use data from NREL's Electrification Futures Study. We choose to use</t>
  </si>
  <si>
    <t>the Medium Electrification scenario with Moderate technology advancement, which</t>
  </si>
  <si>
    <t>is more in line with deployment of technologies like electric vehicles in the EPS</t>
  </si>
  <si>
    <t>BAU case when compared to NREL's Reference scenario. We choose data from the</t>
  </si>
  <si>
    <t>year 2018 to ensure we're using historical data.</t>
  </si>
  <si>
    <t>Due to file size limitations, the raw NREL data is already consolidated using Excel's</t>
  </si>
  <si>
    <t>Power Query feature.</t>
  </si>
  <si>
    <t>If you are adapting the EPS to a new geography and don't have hourly load data broken out</t>
  </si>
  <si>
    <t>by sector, you can use total economywide data in all of the blue output tabs.</t>
  </si>
  <si>
    <t>The NREL data only includes a combined category for heating and cooling and does not</t>
  </si>
  <si>
    <t>break these end uses out separately in commercial and residential buildings. For winter</t>
  </si>
  <si>
    <t>timeslices, we assume 100% of this category is heating and for summer timeslice, we assume</t>
  </si>
  <si>
    <t>100% of this category is cooling. For spring and fall days, we assume the following, based</t>
  </si>
  <si>
    <t>on ratios of natural gas to electricity demand in relevant months:</t>
  </si>
  <si>
    <t>For China, we use Victhalia Zapata's demand load curve for the year 2019.</t>
  </si>
  <si>
    <t>In Zapata's research, hourly electricity demand aggregated at the monthly level is modeled within the integrated</t>
  </si>
  <si>
    <t>assessment model (IAM) IMAGE and under the SSP2 baseline scenario for the future.</t>
  </si>
  <si>
    <t>Zapata's data files have already been consolidated using Excel's</t>
  </si>
  <si>
    <t>Power Query (aka Get &amp; Transform) feature in the 'Source Data' sheet.</t>
  </si>
  <si>
    <t>by certain sectors, you can use total economy-wide or sector-wide data.</t>
  </si>
  <si>
    <t>Number of days per week</t>
  </si>
  <si>
    <t>Weekend</t>
  </si>
  <si>
    <t>Weekday</t>
  </si>
  <si>
    <t>Total</t>
  </si>
  <si>
    <t>heating</t>
  </si>
  <si>
    <t>cooling</t>
  </si>
  <si>
    <t>Source.Name</t>
  </si>
  <si>
    <t>(Multiple Items)</t>
  </si>
  <si>
    <t>Row Labels</t>
  </si>
  <si>
    <t>Sum of h9</t>
  </si>
  <si>
    <t>Grand Total</t>
  </si>
  <si>
    <t>Source Data</t>
  </si>
  <si>
    <t>Category Mapping</t>
  </si>
  <si>
    <t>Year</t>
  </si>
  <si>
    <t>Region</t>
  </si>
  <si>
    <t>Regions_code.Region Name</t>
  </si>
  <si>
    <t>Month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</si>
  <si>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</si>
  <si>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</si>
  <si>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</si>
  <si>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</si>
  <si>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</si>
  <si>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</si>
  <si>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</si>
  <si>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</si>
  <si>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</si>
  <si>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</si>
  <si>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</si>
  <si>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</si>
  <si>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</si>
  <si>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</si>
  <si>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</si>
  <si>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</si>
  <si>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</si>
  <si>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</si>
  <si>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</si>
  <si>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</si>
  <si>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</si>
  <si>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</si>
  <si>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</si>
  <si>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</si>
  <si>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season</t>
  </si>
  <si>
    <t>time of week</t>
  </si>
  <si>
    <t>sector</t>
  </si>
  <si>
    <t>subsector</t>
  </si>
  <si>
    <t>Residential_cooling_weekday.csv</t>
  </si>
  <si>
    <t>Mexico</t>
  </si>
  <si>
    <t>Residential_cooling_weekend.csv</t>
  </si>
  <si>
    <t>Residential_heating_weekday.csv</t>
  </si>
  <si>
    <t>Residential_heating_weekend.csv</t>
  </si>
  <si>
    <t>Residential_lighting_weekday.csv</t>
  </si>
  <si>
    <t>Residential_lighting_weekend.csv</t>
  </si>
  <si>
    <t>Residential_waterheating_weekday.csv</t>
  </si>
  <si>
    <t>Residential_waterheating_weekend.csv</t>
  </si>
  <si>
    <t>Service_cooling_weekday.csv</t>
  </si>
  <si>
    <t>Service_cooling_weekend.csv</t>
  </si>
  <si>
    <t>Service_heating_weekday.csv</t>
  </si>
  <si>
    <t>Service_heating_weekend.csv</t>
  </si>
  <si>
    <t>Service_waterheating_weekday.csv</t>
  </si>
  <si>
    <t>Service_waterheating_weekend.csv</t>
  </si>
  <si>
    <t>Industry_total_weekday_SSP2.csv</t>
  </si>
  <si>
    <t>Industry_total_weekend_SSP2.csv</t>
  </si>
  <si>
    <t>Residential_total_weekday_SSP2.csv</t>
  </si>
  <si>
    <t>Residential_total_weekend_SSP2.csv</t>
  </si>
  <si>
    <t>Service_total_weekday_SSP2.csv</t>
  </si>
  <si>
    <t>Service_total_weekend_SSP2.csv</t>
  </si>
  <si>
    <t>Total_regional_weekday_SSP2.csv</t>
  </si>
  <si>
    <t>Total_regional_weekend_SSP2.csv</t>
  </si>
  <si>
    <t>Transport_total_weekday.csv</t>
  </si>
  <si>
    <t>Transport_total_weekend.csv</t>
  </si>
  <si>
    <t>Total Season Demand Per Specified Hour, Time of Week, and End Use (kW/month)</t>
  </si>
  <si>
    <t>Residential</t>
  </si>
  <si>
    <t>Commercial</t>
  </si>
  <si>
    <t>Transportation</t>
  </si>
  <si>
    <t>Industry</t>
  </si>
  <si>
    <t>Season</t>
  </si>
  <si>
    <t>Hour</t>
  </si>
  <si>
    <t>Time of Week</t>
  </si>
  <si>
    <t>Heating</t>
  </si>
  <si>
    <t>Cooling</t>
  </si>
  <si>
    <t>Envelope</t>
  </si>
  <si>
    <t>Lighting</t>
  </si>
  <si>
    <t>Appliances</t>
  </si>
  <si>
    <t>Other</t>
  </si>
  <si>
    <t>LDVs</t>
  </si>
  <si>
    <t>HDVs</t>
  </si>
  <si>
    <t>Aircraft</t>
  </si>
  <si>
    <t>Rail</t>
  </si>
  <si>
    <t>Ships</t>
  </si>
  <si>
    <t>Motorbikes</t>
  </si>
  <si>
    <t>District Heat and Hydrogen</t>
  </si>
  <si>
    <t>Geoengineering</t>
  </si>
  <si>
    <t>Winter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</si>
  <si>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</si>
  <si>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</si>
  <si>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</si>
  <si>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</si>
  <si>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</si>
  <si>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</si>
  <si>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</si>
  <si>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</si>
  <si>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</si>
  <si>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</si>
  <si>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</si>
  <si>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</si>
  <si>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</si>
  <si>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</si>
  <si>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</si>
  <si>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</si>
  <si>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</si>
  <si>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</si>
  <si>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</si>
  <si>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</si>
  <si>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</si>
  <si>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</si>
  <si>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</si>
  <si>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</si>
  <si>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Spring</t>
  </si>
  <si>
    <t>Summer</t>
  </si>
  <si>
    <t>Fall</t>
  </si>
  <si>
    <t>Hourly Demand by Time of Week and End Use (kW/day)</t>
  </si>
  <si>
    <t>Total Annual Demand by End Use (kW/year)</t>
  </si>
  <si>
    <t>Share of Annual Demand by End Use (Load Factors)</t>
  </si>
  <si>
    <t>Average and Peak Load Factors by Season and Hour</t>
  </si>
  <si>
    <t>Winter Peak</t>
  </si>
  <si>
    <t>Summer Peak</t>
  </si>
  <si>
    <t>LBNL Source Name</t>
  </si>
  <si>
    <t>Time</t>
  </si>
  <si>
    <t>EPS Sector</t>
  </si>
  <si>
    <t>EPS End Use</t>
  </si>
  <si>
    <t>Notes</t>
  </si>
  <si>
    <t>In addition to lighting, cooling, heating, and water heating, the residential sector total also includes cooking and appliances/equipment (the latter showing less climate dependence)</t>
  </si>
  <si>
    <t>In addition to lighting, cooling, heating, and water heating, the service sector total also includes cooking and appliances/equipment (the latter showing less climate dependence)</t>
  </si>
  <si>
    <t>All Sectors</t>
  </si>
  <si>
    <t>Month Name</t>
  </si>
  <si>
    <t>Month Abbrev.</t>
  </si>
  <si>
    <t># of Days</t>
  </si>
  <si>
    <t>Weekend Days</t>
  </si>
  <si>
    <t>Weekdays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</si>
  <si>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</si>
  <si>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</si>
  <si>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</si>
  <si>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</si>
  <si>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</si>
  <si>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</si>
  <si>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</si>
  <si>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</si>
  <si>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</si>
  <si>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</si>
  <si>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</si>
  <si>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</si>
  <si>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</si>
  <si>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</si>
  <si>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</si>
  <si>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</si>
  <si>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</si>
  <si>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</si>
  <si>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</si>
  <si>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</si>
  <si>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</si>
  <si>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</si>
  <si>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</si>
  <si>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Days per Season</t>
  </si>
  <si>
    <t>Hours per Season</t>
  </si>
  <si>
    <t>Days per Electricity Timeslice</t>
  </si>
  <si>
    <t>SHELF-residential-heating</t>
  </si>
  <si>
    <t>SHELF-residential-cooling</t>
  </si>
  <si>
    <t>SHELF-residential-envelope</t>
  </si>
  <si>
    <t>SHELF-residential-lighting</t>
  </si>
  <si>
    <t>SHELF-residential-appliances</t>
  </si>
  <si>
    <t>SHELF-residential-other</t>
  </si>
  <si>
    <t>SHELF-commercial-heating</t>
  </si>
  <si>
    <t>SHELF-commercial-cooling</t>
  </si>
  <si>
    <t>SHELF-commercial-envelope</t>
  </si>
  <si>
    <t>SHELF-commercial-lighting</t>
  </si>
  <si>
    <t>SHELF-commercial-appliances</t>
  </si>
  <si>
    <t>SHELF-commercial-other</t>
  </si>
  <si>
    <t>SHELF-LDVs</t>
  </si>
  <si>
    <t>SHELF-HDVs</t>
  </si>
  <si>
    <t>SHELF-aircraft</t>
  </si>
  <si>
    <t>SHELF-rail</t>
  </si>
  <si>
    <t>SHELF-ships</t>
  </si>
  <si>
    <t>SHELF-motorbikes</t>
  </si>
  <si>
    <t>SHELF-industry</t>
  </si>
  <si>
    <t>SHELF-district-heat-hydrogen</t>
  </si>
  <si>
    <t>SHELF-geoeng</t>
  </si>
  <si>
    <t>Check</t>
  </si>
  <si>
    <t>Unit: days</t>
  </si>
  <si>
    <t>Days per Timeslice</t>
  </si>
  <si>
    <t>Unit: dimensionless (ratio of electricity demand in this hour to annual demand)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</si>
</sst>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000000000000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/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 wrapText="1"/>
    </xf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6" fillId="5" borderId="1" xfId="0" applyFont="1" applyFill="1" applyBorder="1"/>
    <xf numFmtId="0" fontId="6" fillId="5" borderId="2" xfId="0" applyFont="1" applyFill="1" applyBorder="1"/>
    <xf numFmtId="0" fontId="6" fillId="5" borderId="3" xfId="0" applyFont="1" applyFill="1" applyBorder="1"/>
    <xf numFmtId="0" fontId="5" fillId="6" borderId="1" xfId="0" applyFont="1" applyFill="1" applyBorder="1"/>
    <xf numFmtId="0" fontId="5" fillId="6" borderId="2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 wrapText="1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7" borderId="0" xfId="0" applyNumberFormat="1" applyFill="1" applyAlignment="1">
      <alignment horizontal="center"/>
    </xf>
    <xf numFmtId="11" fontId="5" fillId="0" borderId="2" xfId="0" applyNumberFormat="1" applyFont="1" applyBorder="1"/>
    <xf numFmtId="11" fontId="5" fillId="6" borderId="2" xfId="0" applyNumberFormat="1" applyFont="1" applyFill="1" applyBorder="1"/>
    <xf numFmtId="11" fontId="0" fillId="7" borderId="0" xfId="0" applyNumberFormat="1" applyFill="1"/>
    <xf numFmtId="11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1" fontId="0" fillId="9" borderId="0" xfId="0" applyNumberFormat="1" applyFill="1" applyAlignment="1">
      <alignment horizontal="center"/>
    </xf>
    <xf numFmtId="0" fontId="0" fillId="0" borderId="0" xfId="0" pivotButton="1"/>
    <xf numFmtId="11" fontId="0" fillId="10" borderId="0" xfId="0" applyNumberFormat="1" applyFill="1"/>
    <xf numFmtId="0" fontId="7" fillId="0" borderId="0" xfId="0" applyFont="1"/>
    <xf numFmtId="0" fontId="8" fillId="0" borderId="0" xfId="0" applyFont="1"/>
    <xf numFmtId="0" fontId="7" fillId="11" borderId="0" xfId="0" applyFont="1" applyFill="1"/>
    <xf numFmtId="0" fontId="8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right"/>
    </xf>
    <xf numFmtId="9" fontId="8" fillId="0" borderId="0" xfId="0" applyNumberFormat="1" applyFont="1"/>
    <xf numFmtId="0" fontId="8" fillId="6" borderId="0" xfId="0" applyFont="1" applyFill="1"/>
    <xf numFmtId="11" fontId="8" fillId="6" borderId="0" xfId="0" applyNumberFormat="1" applyFont="1" applyFill="1"/>
    <xf numFmtId="11" fontId="8" fillId="0" borderId="0" xfId="0" applyNumberFormat="1" applyFont="1"/>
    <xf numFmtId="0" fontId="1" fillId="2" borderId="4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1" fillId="4" borderId="0" xfId="0" applyFont="1" applyFill="1" applyAlignment="1">
      <alignment horizontal="left"/>
    </xf>
    <xf numFmtId="0" fontId="0" fillId="0" borderId="0" xfId="0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D3AB6638-E7D9-4681-B987-396182D5819A}"/>
  </cellStyles>
  <dxfs count="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shu Deng" refreshedDate="45462.615018518518" createdVersion="8" refreshedVersion="8" minRefreshableVersion="3" recordCount="288" xr:uid="{BB640B33-191D-4BAB-B6C4-9B1A8002F3E0}">
  <cacheSource type="worksheet">
    <worksheetSource ref="A2:AG290" sheet="Source Data"/>
  </cacheSource>
  <cacheFields count="33">
    <cacheField name="Source.Name" numFmtId="0">
      <sharedItems count="24">
        <s v="Residential_cooling_weekday.csv"/>
        <s v="Residential_cooling_weekend.csv"/>
        <s v="Residential_heating_weekday.csv"/>
        <s v="Residential_heating_weekend.csv"/>
        <s v="Residential_lighting_weekday.csv"/>
        <s v="Residential_lighting_weekend.csv"/>
        <s v="Residential_waterheating_weekday.csv"/>
        <s v="Residential_waterheating_weekend.csv"/>
        <s v="Service_cooling_weekday.csv"/>
        <s v="Service_cooling_weekend.csv"/>
        <s v="Service_heating_weekday.csv"/>
        <s v="Service_heating_weekend.csv"/>
        <s v="Service_waterheating_weekday.csv"/>
        <s v="Service_waterheating_weekend.csv"/>
        <s v="Industry_total_weekday_SSP2.csv"/>
        <s v="Industry_total_weekend_SSP2.csv"/>
        <s v="Residential_total_weekday_SSP2.csv"/>
        <s v="Residential_total_weekend_SSP2.csv"/>
        <s v="Service_total_weekday_SSP2.csv"/>
        <s v="Service_total_weekend_SSP2.csv"/>
        <s v="Total_regional_weekday_SSP2.csv"/>
        <s v="Total_regional_weekend_SSP2.csv"/>
        <s v="Transport_total_weekday.csv"/>
        <s v="Transport_total_weekend.csv"/>
      </sharedItems>
    </cacheField>
    <cacheField name="Year" numFmtId="0">
      <sharedItems containsSemiMixedTypes="0" containsString="0" containsNumber="1" containsInteger="1" minValue="2019" maxValue="2019"/>
    </cacheField>
    <cacheField name="Region" numFmtId="0">
      <sharedItems containsSemiMixedTypes="0" containsString="0" containsNumber="1" containsInteger="1" minValue="20" maxValue="20"/>
    </cacheField>
    <cacheField name="Regions_code.Region Name" numFmtId="0">
      <sharedItems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h1" numFmtId="11">
      <sharedItems containsSemiMixedTypes="0" containsString="0" containsNumber="1" containsInteger="1" minValue="14693" maxValue="13700000000"/>
    </cacheField>
    <cacheField name="h2" numFmtId="11">
      <sharedItems containsSemiMixedTypes="0" containsString="0" containsNumber="1" containsInteger="1" minValue="14918" maxValue="13200000000"/>
    </cacheField>
    <cacheField name="h3" numFmtId="11">
      <sharedItems containsSemiMixedTypes="0" containsString="0" containsNumber="1" containsInteger="1" minValue="15116" maxValue="13000000000"/>
    </cacheField>
    <cacheField name="h4" numFmtId="11">
      <sharedItems containsSemiMixedTypes="0" containsString="0" containsNumber="1" containsInteger="1" minValue="15145" maxValue="12900000000"/>
    </cacheField>
    <cacheField name="h5" numFmtId="11">
      <sharedItems containsSemiMixedTypes="0" containsString="0" containsNumber="1" containsInteger="1" minValue="15096" maxValue="13100000000"/>
    </cacheField>
    <cacheField name="h6" numFmtId="11">
      <sharedItems containsSemiMixedTypes="0" containsString="0" containsNumber="1" containsInteger="1" minValue="19621" maxValue="13600000000"/>
    </cacheField>
    <cacheField name="h7" numFmtId="11">
      <sharedItems containsSemiMixedTypes="0" containsString="0" containsNumber="1" containsInteger="1" minValue="35428" maxValue="14500000000"/>
    </cacheField>
    <cacheField name="h8" numFmtId="11">
      <sharedItems containsSemiMixedTypes="0" containsString="0" containsNumber="1" containsInteger="1" minValue="84365" maxValue="15800000000"/>
    </cacheField>
    <cacheField name="h9" numFmtId="11">
      <sharedItems containsSemiMixedTypes="0" containsString="0" containsNumber="1" containsInteger="1" minValue="138588" maxValue="16800000000"/>
    </cacheField>
    <cacheField name="h10" numFmtId="11">
      <sharedItems containsSemiMixedTypes="0" containsString="0" containsNumber="1" containsInteger="1" minValue="164265" maxValue="16700000000"/>
    </cacheField>
    <cacheField name="h11" numFmtId="11">
      <sharedItems containsSemiMixedTypes="0" containsString="0" containsNumber="1" containsInteger="1" minValue="169250" maxValue="16500000000"/>
    </cacheField>
    <cacheField name="h12" numFmtId="11">
      <sharedItems containsSemiMixedTypes="0" containsString="0" containsNumber="1" containsInteger="1" minValue="170911" maxValue="16800000000"/>
    </cacheField>
    <cacheField name="h13" numFmtId="11">
      <sharedItems containsSemiMixedTypes="0" containsString="0" containsNumber="1" containsInteger="1" minValue="172675" maxValue="17100000000"/>
    </cacheField>
    <cacheField name="h14" numFmtId="11">
      <sharedItems containsSemiMixedTypes="0" containsString="0" containsNumber="1" containsInteger="1" minValue="173349" maxValue="17300000000"/>
    </cacheField>
    <cacheField name="h15" numFmtId="11">
      <sharedItems containsSemiMixedTypes="0" containsString="0" containsNumber="1" containsInteger="1" minValue="173619" maxValue="17400000000"/>
    </cacheField>
    <cacheField name="h16" numFmtId="11">
      <sharedItems containsSemiMixedTypes="0" containsString="0" containsNumber="1" containsInteger="1" minValue="173387" maxValue="17800000000"/>
    </cacheField>
    <cacheField name="h17" numFmtId="11">
      <sharedItems containsSemiMixedTypes="0" containsString="0" containsNumber="1" containsInteger="1" minValue="170880" maxValue="18500000000"/>
    </cacheField>
    <cacheField name="h18" numFmtId="11">
      <sharedItems containsSemiMixedTypes="0" containsString="0" containsNumber="1" containsInteger="1" minValue="165972" maxValue="19000000000"/>
    </cacheField>
    <cacheField name="h19" numFmtId="11">
      <sharedItems containsSemiMixedTypes="0" containsString="0" containsNumber="1" containsInteger="1" minValue="161879" maxValue="19200000000"/>
    </cacheField>
    <cacheField name="h20" numFmtId="11">
      <sharedItems containsSemiMixedTypes="0" containsString="0" containsNumber="1" containsInteger="1" minValue="156544" maxValue="18600000000"/>
    </cacheField>
    <cacheField name="h21" numFmtId="11">
      <sharedItems containsSemiMixedTypes="0" containsString="0" containsNumber="1" containsInteger="1" minValue="151071" maxValue="17800000000"/>
    </cacheField>
    <cacheField name="h22" numFmtId="11">
      <sharedItems containsSemiMixedTypes="0" containsString="0" containsNumber="1" containsInteger="1" minValue="85760" maxValue="17000000000"/>
    </cacheField>
    <cacheField name="h23" numFmtId="11">
      <sharedItems containsSemiMixedTypes="0" containsString="0" containsNumber="1" containsInteger="1" minValue="34742" maxValue="15600000000"/>
    </cacheField>
    <cacheField name="h24" numFmtId="11">
      <sharedItems containsSemiMixedTypes="0" containsString="0" containsNumber="1" containsInteger="1" minValue="19049" maxValue="14500000000"/>
    </cacheField>
    <cacheField name="season" numFmtId="0">
      <sharedItems/>
    </cacheField>
    <cacheField name="time of week" numFmtId="0">
      <sharedItems/>
    </cacheField>
    <cacheField name="sector" numFmtId="0">
      <sharedItems/>
    </cacheField>
    <cacheField name="subse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n v="2019"/>
    <n v="20"/>
    <s v="China +"/>
    <x v="0"/>
    <n v="34908"/>
    <n v="35104"/>
    <n v="35239"/>
    <n v="35258"/>
    <n v="34366"/>
    <n v="41819"/>
    <n v="64256"/>
    <n v="123535"/>
    <n v="183343"/>
    <n v="255776"/>
    <n v="394590"/>
    <n v="742081"/>
    <n v="1289245"/>
    <n v="1733170"/>
    <n v="1978424"/>
    <n v="1976738"/>
    <n v="1656191"/>
    <n v="1134240"/>
    <n v="748799"/>
    <n v="528328"/>
    <n v="354370"/>
    <n v="205207"/>
    <n v="83503"/>
    <n v="45616"/>
    <s v="Winter"/>
    <s v="Weekday"/>
    <s v="Residential"/>
    <s v="Cooling"/>
  </r>
  <r>
    <x v="0"/>
    <n v="2019"/>
    <n v="20"/>
    <s v="China +"/>
    <x v="1"/>
    <n v="135151"/>
    <n v="102185"/>
    <n v="91498"/>
    <n v="102633"/>
    <n v="133054"/>
    <n v="184478"/>
    <n v="234586"/>
    <n v="273654"/>
    <n v="370002"/>
    <n v="634273"/>
    <n v="1093638"/>
    <n v="1822472"/>
    <n v="2568012"/>
    <n v="3077575"/>
    <n v="3375899"/>
    <n v="3510078"/>
    <n v="3298923"/>
    <n v="2785572"/>
    <n v="2075360"/>
    <n v="1310149"/>
    <n v="715150"/>
    <n v="454575"/>
    <n v="304852"/>
    <n v="201230"/>
    <s v="Winter"/>
    <s v="Weekday"/>
    <s v="Residential"/>
    <s v="Cooling"/>
  </r>
  <r>
    <x v="0"/>
    <n v="2019"/>
    <n v="20"/>
    <s v="China +"/>
    <x v="2"/>
    <n v="1781185"/>
    <n v="1483811"/>
    <n v="1392836"/>
    <n v="1490319"/>
    <n v="1753539"/>
    <n v="2285454"/>
    <n v="3215461"/>
    <n v="4246147"/>
    <n v="5622156"/>
    <n v="7303471"/>
    <n v="10200000"/>
    <n v="14700000"/>
    <n v="18900000"/>
    <n v="21500000"/>
    <n v="23200000"/>
    <n v="24500000"/>
    <n v="24300000"/>
    <n v="22500000"/>
    <n v="19300000"/>
    <n v="15100000"/>
    <n v="10900000"/>
    <n v="7053397"/>
    <n v="4178593"/>
    <n v="2492988"/>
    <s v="Spring"/>
    <s v="Weekday"/>
    <s v="Residential"/>
    <s v="Cooling"/>
  </r>
  <r>
    <x v="0"/>
    <n v="2019"/>
    <n v="20"/>
    <s v="China +"/>
    <x v="3"/>
    <n v="52100000"/>
    <n v="45000000"/>
    <n v="42800000"/>
    <n v="45200000"/>
    <n v="51300000"/>
    <n v="58600000"/>
    <n v="62000000"/>
    <n v="60700000"/>
    <n v="64200000"/>
    <n v="73400000"/>
    <n v="99100000"/>
    <n v="155000000"/>
    <n v="216000000"/>
    <n v="258000000"/>
    <n v="282000000"/>
    <n v="294000000"/>
    <n v="278000000"/>
    <n v="236000000"/>
    <n v="188000000"/>
    <n v="152000000"/>
    <n v="124000000"/>
    <n v="101000000"/>
    <n v="80600000"/>
    <n v="63900000"/>
    <s v="Spring"/>
    <s v="Weekday"/>
    <s v="Residential"/>
    <s v="Cooling"/>
  </r>
  <r>
    <x v="0"/>
    <n v="2019"/>
    <n v="20"/>
    <s v="China +"/>
    <x v="4"/>
    <n v="304000000"/>
    <n v="265000000"/>
    <n v="254000000"/>
    <n v="266000000"/>
    <n v="299000000"/>
    <n v="359000000"/>
    <n v="420000000"/>
    <n v="447000000"/>
    <n v="487000000"/>
    <n v="539000000"/>
    <n v="649000000"/>
    <n v="845000000"/>
    <n v="1020000000"/>
    <n v="1120000000"/>
    <n v="1190000000"/>
    <n v="1280000000"/>
    <n v="1310000000"/>
    <n v="1290000000"/>
    <n v="1230000000"/>
    <n v="1110000000"/>
    <n v="941000000"/>
    <n v="742000000"/>
    <n v="545000000"/>
    <n v="392000000"/>
    <s v="Spring"/>
    <s v="Weekday"/>
    <s v="Residential"/>
    <s v="Cooling"/>
  </r>
  <r>
    <x v="0"/>
    <n v="2019"/>
    <n v="20"/>
    <s v="China +"/>
    <x v="5"/>
    <n v="999000000"/>
    <n v="906000000"/>
    <n v="876000000"/>
    <n v="910000000"/>
    <n v="983000000"/>
    <n v="1050000000"/>
    <n v="1030000000"/>
    <n v="927000000"/>
    <n v="893000000"/>
    <n v="901000000"/>
    <n v="1010000000"/>
    <n v="1250000000"/>
    <n v="1450000000"/>
    <n v="1560000000"/>
    <n v="1650000000"/>
    <n v="1780000000"/>
    <n v="1860000000"/>
    <n v="1900000000"/>
    <n v="1920000000"/>
    <n v="1860000000"/>
    <n v="1730000000"/>
    <n v="1540000000"/>
    <n v="1330000000"/>
    <n v="1150000000"/>
    <s v="Summer"/>
    <s v="Weekday"/>
    <s v="Residential"/>
    <s v="Cooling"/>
  </r>
  <r>
    <x v="0"/>
    <n v="2019"/>
    <n v="20"/>
    <s v="China +"/>
    <x v="6"/>
    <n v="1760000000"/>
    <n v="1650000000"/>
    <n v="1620000000"/>
    <n v="1660000000"/>
    <n v="1730000000"/>
    <n v="1770000000"/>
    <n v="1640000000"/>
    <n v="1410000000"/>
    <n v="1290000000"/>
    <n v="1250000000"/>
    <n v="1360000000"/>
    <n v="1650000000"/>
    <n v="1890000000"/>
    <n v="2010000000"/>
    <n v="2130000000"/>
    <n v="2300000000"/>
    <n v="2430000000"/>
    <n v="2520000000"/>
    <n v="2590000000"/>
    <n v="2590000000"/>
    <n v="2500000000"/>
    <n v="2340000000"/>
    <n v="2130000000"/>
    <n v="1930000000"/>
    <s v="Summer"/>
    <s v="Weekday"/>
    <s v="Residential"/>
    <s v="Cooling"/>
  </r>
  <r>
    <x v="0"/>
    <n v="2019"/>
    <n v="20"/>
    <s v="China +"/>
    <x v="7"/>
    <n v="1610000000"/>
    <n v="1500000000"/>
    <n v="1470000000"/>
    <n v="1510000000"/>
    <n v="1580000000"/>
    <n v="1630000000"/>
    <n v="1520000000"/>
    <n v="1320000000"/>
    <n v="1230000000"/>
    <n v="1200000000"/>
    <n v="1320000000"/>
    <n v="1600000000"/>
    <n v="1840000000"/>
    <n v="1960000000"/>
    <n v="2080000000"/>
    <n v="2240000000"/>
    <n v="2360000000"/>
    <n v="2440000000"/>
    <n v="2500000000"/>
    <n v="2480000000"/>
    <n v="2370000000"/>
    <n v="2200000000"/>
    <n v="1980000000"/>
    <n v="1780000000"/>
    <s v="Summer"/>
    <s v="Weekday"/>
    <s v="Residential"/>
    <s v="Cooling"/>
  </r>
  <r>
    <x v="0"/>
    <n v="2019"/>
    <n v="20"/>
    <s v="China +"/>
    <x v="8"/>
    <n v="629000000"/>
    <n v="567000000"/>
    <n v="548000000"/>
    <n v="569000000"/>
    <n v="619000000"/>
    <n v="677000000"/>
    <n v="679000000"/>
    <n v="628000000"/>
    <n v="616000000"/>
    <n v="633000000"/>
    <n v="723000000"/>
    <n v="910000000"/>
    <n v="1070000000"/>
    <n v="1170000000"/>
    <n v="1240000000"/>
    <n v="1330000000"/>
    <n v="1380000000"/>
    <n v="1390000000"/>
    <n v="1370000000"/>
    <n v="1310000000"/>
    <n v="1190000000"/>
    <n v="1040000000"/>
    <n v="883000000"/>
    <n v="738000000"/>
    <s v="Fall"/>
    <s v="Weekday"/>
    <s v="Residential"/>
    <s v="Cooling"/>
  </r>
  <r>
    <x v="0"/>
    <n v="2019"/>
    <n v="20"/>
    <s v="China +"/>
    <x v="9"/>
    <n v="89400000"/>
    <n v="79600000"/>
    <n v="76500000"/>
    <n v="79900000"/>
    <n v="88000000"/>
    <n v="96900000"/>
    <n v="99700000"/>
    <n v="99200000"/>
    <n v="113000000"/>
    <n v="139000000"/>
    <n v="188000000"/>
    <n v="265000000"/>
    <n v="336000000"/>
    <n v="379000000"/>
    <n v="407000000"/>
    <n v="432000000"/>
    <n v="431000000"/>
    <n v="405000000"/>
    <n v="356000000"/>
    <n v="287000000"/>
    <n v="218000000"/>
    <n v="165000000"/>
    <n v="130000000"/>
    <n v="106000000"/>
    <s v="Fall"/>
    <s v="Weekday"/>
    <s v="Residential"/>
    <s v="Cooling"/>
  </r>
  <r>
    <x v="0"/>
    <n v="2019"/>
    <n v="20"/>
    <s v="China +"/>
    <x v="10"/>
    <n v="13300000"/>
    <n v="10100000"/>
    <n v="9396386"/>
    <n v="10100000"/>
    <n v="13100000"/>
    <n v="18300000"/>
    <n v="24600000"/>
    <n v="29500000"/>
    <n v="34800000"/>
    <n v="40400000"/>
    <n v="50800000"/>
    <n v="68800000"/>
    <n v="86300000"/>
    <n v="98100000"/>
    <n v="106000000"/>
    <n v="112000000"/>
    <n v="111000000"/>
    <n v="105000000"/>
    <n v="96400000"/>
    <n v="83500000"/>
    <n v="67300000"/>
    <n v="49000000"/>
    <n v="32000000"/>
    <n v="20000000"/>
    <s v="Winter"/>
    <s v="Weekday"/>
    <s v="Residential"/>
    <s v="Cooling"/>
  </r>
  <r>
    <x v="0"/>
    <n v="2019"/>
    <n v="20"/>
    <s v="China +"/>
    <x v="11"/>
    <n v="203853"/>
    <n v="117532"/>
    <n v="117982"/>
    <n v="118048"/>
    <n v="200689"/>
    <n v="325447"/>
    <n v="541526"/>
    <n v="755170"/>
    <n v="977208"/>
    <n v="1435455"/>
    <n v="3058504"/>
    <n v="6354962"/>
    <n v="10000000"/>
    <n v="12600000"/>
    <n v="14000000"/>
    <n v="14400000"/>
    <n v="12900000"/>
    <n v="9713295"/>
    <n v="5804020"/>
    <n v="2965063"/>
    <n v="1888776"/>
    <n v="1254434"/>
    <n v="703731"/>
    <n v="355000"/>
    <s v="Winter"/>
    <s v="Weekday"/>
    <s v="Residential"/>
    <s v="Cooling"/>
  </r>
  <r>
    <x v="1"/>
    <n v="2019"/>
    <n v="20"/>
    <s v="China +"/>
    <x v="0"/>
    <n v="14693"/>
    <n v="14918"/>
    <n v="15116"/>
    <n v="15145"/>
    <n v="15096"/>
    <n v="19621"/>
    <n v="35428"/>
    <n v="84365"/>
    <n v="138588"/>
    <n v="194920"/>
    <n v="283962"/>
    <n v="493989"/>
    <n v="824331"/>
    <n v="1084428"/>
    <n v="1182978"/>
    <n v="1078706"/>
    <n v="834276"/>
    <n v="541892"/>
    <n v="342077"/>
    <n v="232842"/>
    <n v="151071"/>
    <n v="85760"/>
    <n v="34742"/>
    <n v="19049"/>
    <s v="Winter"/>
    <s v="Weekend"/>
    <s v="Residential"/>
    <s v="Cooling"/>
  </r>
  <r>
    <x v="1"/>
    <n v="2019"/>
    <n v="20"/>
    <s v="China +"/>
    <x v="1"/>
    <n v="57407"/>
    <n v="43822"/>
    <n v="39608"/>
    <n v="44488"/>
    <n v="58982"/>
    <n v="87346"/>
    <n v="130522"/>
    <n v="188595"/>
    <n v="282239"/>
    <n v="487781"/>
    <n v="794217"/>
    <n v="1224276"/>
    <n v="1656972"/>
    <n v="1943212"/>
    <n v="2037037"/>
    <n v="1932960"/>
    <n v="1676963"/>
    <n v="1342995"/>
    <n v="956762"/>
    <n v="582680"/>
    <n v="307662"/>
    <n v="191712"/>
    <n v="127996"/>
    <n v="84799"/>
    <s v="Winter"/>
    <s v="Weekend"/>
    <s v="Residential"/>
    <s v="Cooling"/>
  </r>
  <r>
    <x v="1"/>
    <n v="2019"/>
    <n v="20"/>
    <s v="China +"/>
    <x v="2"/>
    <n v="766213"/>
    <n v="644441"/>
    <n v="610610"/>
    <n v="654239"/>
    <n v="787234"/>
    <n v="1095890"/>
    <n v="1811845"/>
    <n v="2963605"/>
    <n v="4343235"/>
    <n v="5688216"/>
    <n v="7482564"/>
    <n v="9995950"/>
    <n v="12300000"/>
    <n v="13700000"/>
    <n v="14200000"/>
    <n v="13700000"/>
    <n v="12500000"/>
    <n v="11000000"/>
    <n v="9013947"/>
    <n v="6794861"/>
    <n v="4734461"/>
    <n v="3012592"/>
    <n v="1776794"/>
    <n v="1063937"/>
    <s v="Spring"/>
    <s v="Weekend"/>
    <s v="Residential"/>
    <s v="Cooling"/>
  </r>
  <r>
    <x v="1"/>
    <n v="2019"/>
    <n v="20"/>
    <s v="China +"/>
    <x v="3"/>
    <n v="22800000"/>
    <n v="19900000"/>
    <n v="19100000"/>
    <n v="20200000"/>
    <n v="23400000"/>
    <n v="28600000"/>
    <n v="35600000"/>
    <n v="43100000"/>
    <n v="50400000"/>
    <n v="58100000"/>
    <n v="74200000"/>
    <n v="107000000"/>
    <n v="144000000"/>
    <n v="168000000"/>
    <n v="175000000"/>
    <n v="167000000"/>
    <n v="145000000"/>
    <n v="117000000"/>
    <n v="89400000"/>
    <n v="69500000"/>
    <n v="55000000"/>
    <n v="43800000"/>
    <n v="34900000"/>
    <n v="27800000"/>
    <s v="Spring"/>
    <s v="Weekend"/>
    <s v="Residential"/>
    <s v="Cooling"/>
  </r>
  <r>
    <x v="1"/>
    <n v="2019"/>
    <n v="20"/>
    <s v="China +"/>
    <x v="4"/>
    <n v="134000000"/>
    <n v="118000000"/>
    <n v="115000000"/>
    <n v="120000000"/>
    <n v="138000000"/>
    <n v="177000000"/>
    <n v="243000000"/>
    <n v="320000000"/>
    <n v="386000000"/>
    <n v="431000000"/>
    <n v="490000000"/>
    <n v="591000000"/>
    <n v="685000000"/>
    <n v="735000000"/>
    <n v="749000000"/>
    <n v="731000000"/>
    <n v="693000000"/>
    <n v="648000000"/>
    <n v="591000000"/>
    <n v="515000000"/>
    <n v="421000000"/>
    <n v="325000000"/>
    <n v="238000000"/>
    <n v="172000000"/>
    <s v="Spring"/>
    <s v="Weekend"/>
    <s v="Residential"/>
    <s v="Cooling"/>
  </r>
  <r>
    <x v="1"/>
    <n v="2019"/>
    <n v="20"/>
    <s v="China +"/>
    <x v="5"/>
    <n v="454000000"/>
    <n v="416000000"/>
    <n v="406000000"/>
    <n v="422000000"/>
    <n v="467000000"/>
    <n v="533000000"/>
    <n v="611000000"/>
    <n v="684000000"/>
    <n v="730000000"/>
    <n v="742000000"/>
    <n v="785000000"/>
    <n v="896000000"/>
    <n v="1000000000"/>
    <n v="1050000000"/>
    <n v="1060000000"/>
    <n v="1050000000"/>
    <n v="1010000000"/>
    <n v="983000000"/>
    <n v="946000000"/>
    <n v="886000000"/>
    <n v="795000000"/>
    <n v="695000000"/>
    <n v="599000000"/>
    <n v="517000000"/>
    <s v="Summer"/>
    <s v="Weekend"/>
    <s v="Residential"/>
    <s v="Cooling"/>
  </r>
  <r>
    <x v="1"/>
    <n v="2019"/>
    <n v="20"/>
    <s v="China +"/>
    <x v="6"/>
    <n v="810000000"/>
    <n v="767000000"/>
    <n v="758000000"/>
    <n v="778000000"/>
    <n v="832000000"/>
    <n v="908000000"/>
    <n v="989000000"/>
    <n v="1050000000"/>
    <n v="1070000000"/>
    <n v="1040000000"/>
    <n v="1070000000"/>
    <n v="1200000000"/>
    <n v="1320000000"/>
    <n v="1380000000"/>
    <n v="1390000000"/>
    <n v="1370000000"/>
    <n v="1340000000"/>
    <n v="1320000000"/>
    <n v="1290000000"/>
    <n v="1250000000"/>
    <n v="1160000000"/>
    <n v="1070000000"/>
    <n v="970000000"/>
    <n v="881000000"/>
    <s v="Summer"/>
    <s v="Weekend"/>
    <s v="Residential"/>
    <s v="Cooling"/>
  </r>
  <r>
    <x v="1"/>
    <n v="2019"/>
    <n v="20"/>
    <s v="China +"/>
    <x v="7"/>
    <n v="738000000"/>
    <n v="695000000"/>
    <n v="686000000"/>
    <n v="706000000"/>
    <n v="758000000"/>
    <n v="833000000"/>
    <n v="917000000"/>
    <n v="985000000"/>
    <n v="1010000000"/>
    <n v="999000000"/>
    <n v="1030000000"/>
    <n v="1160000000"/>
    <n v="1280000000"/>
    <n v="1340000000"/>
    <n v="1350000000"/>
    <n v="1330000000"/>
    <n v="1300000000"/>
    <n v="1270000000"/>
    <n v="1250000000"/>
    <n v="1190000000"/>
    <n v="1100000000"/>
    <n v="1000000000"/>
    <n v="899000000"/>
    <n v="809000000"/>
    <s v="Summer"/>
    <s v="Weekend"/>
    <s v="Residential"/>
    <s v="Cooling"/>
  </r>
  <r>
    <x v="1"/>
    <n v="2019"/>
    <n v="20"/>
    <s v="China +"/>
    <x v="8"/>
    <n v="284000000"/>
    <n v="259000000"/>
    <n v="252000000"/>
    <n v="263000000"/>
    <n v="292000000"/>
    <n v="341000000"/>
    <n v="402000000"/>
    <n v="461000000"/>
    <n v="500000000"/>
    <n v="518000000"/>
    <n v="559000000"/>
    <n v="650000000"/>
    <n v="738000000"/>
    <n v="783000000"/>
    <n v="795000000"/>
    <n v="779000000"/>
    <n v="747000000"/>
    <n v="713000000"/>
    <n v="673000000"/>
    <n v="618000000"/>
    <n v="545000000"/>
    <n v="468000000"/>
    <n v="394000000"/>
    <n v="331000000"/>
    <s v="Fall"/>
    <s v="Weekend"/>
    <s v="Residential"/>
    <s v="Cooling"/>
  </r>
  <r>
    <x v="1"/>
    <n v="2019"/>
    <n v="20"/>
    <s v="China +"/>
    <x v="9"/>
    <n v="39300000"/>
    <n v="35300000"/>
    <n v="34200000"/>
    <n v="35800000"/>
    <n v="40300000"/>
    <n v="47400000"/>
    <n v="57300000"/>
    <n v="70700000"/>
    <n v="89200000"/>
    <n v="110000000"/>
    <n v="141000000"/>
    <n v="184000000"/>
    <n v="224000000"/>
    <n v="247000000"/>
    <n v="254000000"/>
    <n v="246000000"/>
    <n v="227000000"/>
    <n v="202000000"/>
    <n v="170000000"/>
    <n v="132000000"/>
    <n v="97200000"/>
    <n v="71900000"/>
    <n v="56200000"/>
    <n v="46000000"/>
    <s v="Fall"/>
    <s v="Weekend"/>
    <s v="Residential"/>
    <s v="Cooling"/>
  </r>
  <r>
    <x v="1"/>
    <n v="2019"/>
    <n v="20"/>
    <s v="China +"/>
    <x v="10"/>
    <n v="5792137"/>
    <n v="4425960"/>
    <n v="4163202"/>
    <n v="4493249"/>
    <n v="5951045"/>
    <n v="8864524"/>
    <n v="14000000"/>
    <n v="20800000"/>
    <n v="27200000"/>
    <n v="31800000"/>
    <n v="37800000"/>
    <n v="47300000"/>
    <n v="57000000"/>
    <n v="63400000"/>
    <n v="65500000"/>
    <n v="63100000"/>
    <n v="57700000"/>
    <n v="51900000"/>
    <n v="45500000"/>
    <n v="38000000"/>
    <n v="29600000"/>
    <n v="21200000"/>
    <n v="13700000"/>
    <n v="8606063"/>
    <s v="Winter"/>
    <s v="Weekend"/>
    <s v="Residential"/>
    <s v="Cooling"/>
  </r>
  <r>
    <x v="1"/>
    <n v="2019"/>
    <n v="20"/>
    <s v="China +"/>
    <x v="11"/>
    <n v="85705"/>
    <n v="49890"/>
    <n v="50551"/>
    <n v="50648"/>
    <n v="88057"/>
    <n v="152519"/>
    <n v="298227"/>
    <n v="515133"/>
    <n v="737815"/>
    <n v="1092663"/>
    <n v="2198480"/>
    <n v="4225508"/>
    <n v="6415201"/>
    <n v="7884403"/>
    <n v="8371094"/>
    <n v="7842804"/>
    <n v="6492599"/>
    <n v="4635261"/>
    <n v="2648421"/>
    <n v="1305241"/>
    <n v="804275"/>
    <n v="523648"/>
    <n v="292458"/>
    <n v="148072"/>
    <s v="Winter"/>
    <s v="Weekend"/>
    <s v="Residential"/>
    <s v="Cooling"/>
  </r>
  <r>
    <x v="2"/>
    <n v="2019"/>
    <n v="20"/>
    <s v="China +"/>
    <x v="0"/>
    <n v="422000000"/>
    <n v="430000000"/>
    <n v="433000000"/>
    <n v="430000000"/>
    <n v="422000000"/>
    <n v="538000000"/>
    <n v="573000000"/>
    <n v="559000000"/>
    <n v="535000000"/>
    <n v="376000000"/>
    <n v="359000000"/>
    <n v="359000000"/>
    <n v="356000000"/>
    <n v="351000000"/>
    <n v="354000000"/>
    <n v="372000000"/>
    <n v="399000000"/>
    <n v="432000000"/>
    <n v="472000000"/>
    <n v="512000000"/>
    <n v="538000000"/>
    <n v="504000000"/>
    <n v="423000000"/>
    <n v="409000000"/>
    <s v="Winter"/>
    <s v="Weekday"/>
    <s v="Residential"/>
    <s v="Heating"/>
  </r>
  <r>
    <x v="2"/>
    <n v="2019"/>
    <n v="20"/>
    <s v="China +"/>
    <x v="1"/>
    <n v="328000000"/>
    <n v="336000000"/>
    <n v="338000000"/>
    <n v="336000000"/>
    <n v="328000000"/>
    <n v="433000000"/>
    <n v="464000000"/>
    <n v="452000000"/>
    <n v="431000000"/>
    <n v="290000000"/>
    <n v="279000000"/>
    <n v="293000000"/>
    <n v="301000000"/>
    <n v="304000000"/>
    <n v="308000000"/>
    <n v="322000000"/>
    <n v="339000000"/>
    <n v="358000000"/>
    <n v="379000000"/>
    <n v="412000000"/>
    <n v="434000000"/>
    <n v="403000000"/>
    <n v="330000000"/>
    <n v="317000000"/>
    <s v="Winter"/>
    <s v="Weekday"/>
    <s v="Residential"/>
    <s v="Heating"/>
  </r>
  <r>
    <x v="2"/>
    <n v="2019"/>
    <n v="20"/>
    <s v="China +"/>
    <x v="2"/>
    <n v="200000000"/>
    <n v="206000000"/>
    <n v="208000000"/>
    <n v="206000000"/>
    <n v="200000000"/>
    <n v="279000000"/>
    <n v="304000000"/>
    <n v="308000000"/>
    <n v="306000000"/>
    <n v="211000000"/>
    <n v="213000000"/>
    <n v="224000000"/>
    <n v="230000000"/>
    <n v="232000000"/>
    <n v="235000000"/>
    <n v="246000000"/>
    <n v="259000000"/>
    <n v="274000000"/>
    <n v="290000000"/>
    <n v="304000000"/>
    <n v="308000000"/>
    <n v="270000000"/>
    <n v="202000000"/>
    <n v="191000000"/>
    <s v="Spring"/>
    <s v="Weekday"/>
    <s v="Residential"/>
    <s v="Heating"/>
  </r>
  <r>
    <x v="2"/>
    <n v="2019"/>
    <n v="20"/>
    <s v="China +"/>
    <x v="3"/>
    <n v="71700000"/>
    <n v="71700000"/>
    <n v="71700000"/>
    <n v="71700000"/>
    <n v="71700000"/>
    <n v="107000000"/>
    <n v="121000000"/>
    <n v="122000000"/>
    <n v="121000000"/>
    <n v="83900000"/>
    <n v="84600000"/>
    <n v="88900000"/>
    <n v="91500000"/>
    <n v="92200000"/>
    <n v="93500000"/>
    <n v="97900000"/>
    <n v="103000000"/>
    <n v="109000000"/>
    <n v="115000000"/>
    <n v="121000000"/>
    <n v="122000000"/>
    <n v="107000000"/>
    <n v="80200000"/>
    <n v="71700000"/>
    <s v="Spring"/>
    <s v="Weekday"/>
    <s v="Residential"/>
    <s v="Heating"/>
  </r>
  <r>
    <x v="2"/>
    <n v="2019"/>
    <n v="20"/>
    <s v="China +"/>
    <x v="4"/>
    <n v="14800000"/>
    <n v="14800000"/>
    <n v="14800000"/>
    <n v="14800000"/>
    <n v="14800000"/>
    <n v="22000000"/>
    <n v="24900000"/>
    <n v="25200000"/>
    <n v="25000000"/>
    <n v="17300000"/>
    <n v="17400000"/>
    <n v="18300000"/>
    <n v="18900000"/>
    <n v="19000000"/>
    <n v="19300000"/>
    <n v="20200000"/>
    <n v="21200000"/>
    <n v="22400000"/>
    <n v="23800000"/>
    <n v="24900000"/>
    <n v="25200000"/>
    <n v="22100000"/>
    <n v="16500000"/>
    <n v="14800000"/>
    <s v="Spring"/>
    <s v="Weekday"/>
    <s v="Residential"/>
    <s v="Heating"/>
  </r>
  <r>
    <x v="2"/>
    <n v="2019"/>
    <n v="20"/>
    <s v="China +"/>
    <x v="5"/>
    <n v="4095635"/>
    <n v="4095635"/>
    <n v="4095635"/>
    <n v="4095635"/>
    <n v="4095635"/>
    <n v="6099411"/>
    <n v="6904896"/>
    <n v="6991139"/>
    <n v="6936619"/>
    <n v="4790442"/>
    <n v="4831074"/>
    <n v="5074268"/>
    <n v="5223201"/>
    <n v="5265101"/>
    <n v="5341326"/>
    <n v="5587548"/>
    <n v="5884243"/>
    <n v="6210209"/>
    <n v="6580950"/>
    <n v="6907895"/>
    <n v="6980355"/>
    <n v="6132261"/>
    <n v="4578847"/>
    <n v="4095635"/>
    <s v="Summer"/>
    <s v="Weekday"/>
    <s v="Residential"/>
    <s v="Heating"/>
  </r>
  <r>
    <x v="2"/>
    <n v="2019"/>
    <n v="20"/>
    <s v="China +"/>
    <x v="6"/>
    <n v="1920502"/>
    <n v="1920502"/>
    <n v="1920502"/>
    <n v="1920502"/>
    <n v="1920502"/>
    <n v="2860101"/>
    <n v="3237805"/>
    <n v="3278245"/>
    <n v="3252680"/>
    <n v="2246307"/>
    <n v="2265360"/>
    <n v="2379397"/>
    <n v="2449234"/>
    <n v="2468881"/>
    <n v="2504624"/>
    <n v="2620082"/>
    <n v="2759206"/>
    <n v="2912056"/>
    <n v="3085902"/>
    <n v="3239211"/>
    <n v="3273188"/>
    <n v="2875505"/>
    <n v="2147087"/>
    <n v="1920502"/>
    <s v="Summer"/>
    <s v="Weekday"/>
    <s v="Residential"/>
    <s v="Heating"/>
  </r>
  <r>
    <x v="2"/>
    <n v="2019"/>
    <n v="20"/>
    <s v="China +"/>
    <x v="7"/>
    <n v="2544110"/>
    <n v="2544110"/>
    <n v="2544110"/>
    <n v="2544110"/>
    <n v="2544110"/>
    <n v="3788807"/>
    <n v="4289155"/>
    <n v="4342727"/>
    <n v="4308860"/>
    <n v="2975707"/>
    <n v="3000946"/>
    <n v="3152013"/>
    <n v="3244526"/>
    <n v="3270554"/>
    <n v="3317903"/>
    <n v="3470850"/>
    <n v="3655150"/>
    <n v="3857632"/>
    <n v="4087928"/>
    <n v="4291017"/>
    <n v="4336028"/>
    <n v="3809213"/>
    <n v="2844269"/>
    <n v="2544110"/>
    <s v="Summer"/>
    <s v="Weekday"/>
    <s v="Residential"/>
    <s v="Heating"/>
  </r>
  <r>
    <x v="2"/>
    <n v="2019"/>
    <n v="20"/>
    <s v="China +"/>
    <x v="8"/>
    <n v="14300000"/>
    <n v="14300000"/>
    <n v="14300000"/>
    <n v="14300000"/>
    <n v="14300000"/>
    <n v="21300000"/>
    <n v="24100000"/>
    <n v="24400000"/>
    <n v="24200000"/>
    <n v="16700000"/>
    <n v="16900000"/>
    <n v="17700000"/>
    <n v="18200000"/>
    <n v="18400000"/>
    <n v="18600000"/>
    <n v="19500000"/>
    <n v="20500000"/>
    <n v="21700000"/>
    <n v="23000000"/>
    <n v="24100000"/>
    <n v="24300000"/>
    <n v="21400000"/>
    <n v="16000000"/>
    <n v="14300000"/>
    <s v="Fall"/>
    <s v="Weekday"/>
    <s v="Residential"/>
    <s v="Heating"/>
  </r>
  <r>
    <x v="2"/>
    <n v="2019"/>
    <n v="20"/>
    <s v="China +"/>
    <x v="9"/>
    <n v="60900000"/>
    <n v="60900000"/>
    <n v="60900000"/>
    <n v="60900000"/>
    <n v="60900000"/>
    <n v="90700000"/>
    <n v="103000000"/>
    <n v="104000000"/>
    <n v="103000000"/>
    <n v="71300000"/>
    <n v="71900000"/>
    <n v="75500000"/>
    <n v="77700000"/>
    <n v="78300000"/>
    <n v="79500000"/>
    <n v="83100000"/>
    <n v="87500000"/>
    <n v="92400000"/>
    <n v="97900000"/>
    <n v="103000000"/>
    <n v="104000000"/>
    <n v="91200000"/>
    <n v="68100000"/>
    <n v="60900000"/>
    <s v="Fall"/>
    <s v="Weekday"/>
    <s v="Residential"/>
    <s v="Heating"/>
  </r>
  <r>
    <x v="2"/>
    <n v="2019"/>
    <n v="20"/>
    <s v="China +"/>
    <x v="10"/>
    <n v="173000000"/>
    <n v="178000000"/>
    <n v="180000000"/>
    <n v="178000000"/>
    <n v="173000000"/>
    <n v="244000000"/>
    <n v="274000000"/>
    <n v="277000000"/>
    <n v="275000000"/>
    <n v="190000000"/>
    <n v="192000000"/>
    <n v="201000000"/>
    <n v="207000000"/>
    <n v="209000000"/>
    <n v="212000000"/>
    <n v="222000000"/>
    <n v="234000000"/>
    <n v="246000000"/>
    <n v="261000000"/>
    <n v="274000000"/>
    <n v="277000000"/>
    <n v="243000000"/>
    <n v="182000000"/>
    <n v="165000000"/>
    <s v="Winter"/>
    <s v="Weekday"/>
    <s v="Residential"/>
    <s v="Heating"/>
  </r>
  <r>
    <x v="2"/>
    <n v="2019"/>
    <n v="20"/>
    <s v="China +"/>
    <x v="11"/>
    <n v="364000000"/>
    <n v="372000000"/>
    <n v="374000000"/>
    <n v="372000000"/>
    <n v="364000000"/>
    <n v="472000000"/>
    <n v="505000000"/>
    <n v="491000000"/>
    <n v="468000000"/>
    <n v="320000000"/>
    <n v="304000000"/>
    <n v="305000000"/>
    <n v="314000000"/>
    <n v="316000000"/>
    <n v="321000000"/>
    <n v="336000000"/>
    <n v="353000000"/>
    <n v="373000000"/>
    <n v="409000000"/>
    <n v="447000000"/>
    <n v="471000000"/>
    <n v="440000000"/>
    <n v="365000000"/>
    <n v="352000000"/>
    <s v="Winter"/>
    <s v="Weekday"/>
    <s v="Residential"/>
    <s v="Heating"/>
  </r>
  <r>
    <x v="3"/>
    <n v="2019"/>
    <n v="20"/>
    <s v="China +"/>
    <x v="0"/>
    <n v="231000000"/>
    <n v="235000000"/>
    <n v="237000000"/>
    <n v="235000000"/>
    <n v="231000000"/>
    <n v="249000000"/>
    <n v="266000000"/>
    <n v="288000000"/>
    <n v="298000000"/>
    <n v="291000000"/>
    <n v="282000000"/>
    <n v="226000000"/>
    <n v="224000000"/>
    <n v="220000000"/>
    <n v="217000000"/>
    <n v="219000000"/>
    <n v="226000000"/>
    <n v="239000000"/>
    <n v="256000000"/>
    <n v="274000000"/>
    <n v="284000000"/>
    <n v="270000000"/>
    <n v="236000000"/>
    <n v="224000000"/>
    <s v="Winter"/>
    <s v="Weekend"/>
    <s v="Residential"/>
    <s v="Heating"/>
  </r>
  <r>
    <x v="3"/>
    <n v="2019"/>
    <n v="20"/>
    <s v="China +"/>
    <x v="1"/>
    <n v="181000000"/>
    <n v="185000000"/>
    <n v="186000000"/>
    <n v="185000000"/>
    <n v="181000000"/>
    <n v="200000000"/>
    <n v="215000000"/>
    <n v="236000000"/>
    <n v="245000000"/>
    <n v="239000000"/>
    <n v="233000000"/>
    <n v="179000000"/>
    <n v="183000000"/>
    <n v="183000000"/>
    <n v="182000000"/>
    <n v="182000000"/>
    <n v="185000000"/>
    <n v="191000000"/>
    <n v="206000000"/>
    <n v="221000000"/>
    <n v="230000000"/>
    <n v="217000000"/>
    <n v="186000000"/>
    <n v="174000000"/>
    <s v="Winter"/>
    <s v="Weekend"/>
    <s v="Residential"/>
    <s v="Heating"/>
  </r>
  <r>
    <x v="3"/>
    <n v="2019"/>
    <n v="20"/>
    <s v="China +"/>
    <x v="2"/>
    <n v="110000000"/>
    <n v="113000000"/>
    <n v="114000000"/>
    <n v="113000000"/>
    <n v="110000000"/>
    <n v="127000000"/>
    <n v="139000000"/>
    <n v="162000000"/>
    <n v="176000000"/>
    <n v="178000000"/>
    <n v="179000000"/>
    <n v="138000000"/>
    <n v="141000000"/>
    <n v="141000000"/>
    <n v="140000000"/>
    <n v="140000000"/>
    <n v="142000000"/>
    <n v="147000000"/>
    <n v="152000000"/>
    <n v="157000000"/>
    <n v="156000000"/>
    <n v="138000000"/>
    <n v="114000000"/>
    <n v="105000000"/>
    <s v="Spring"/>
    <s v="Weekend"/>
    <s v="Residential"/>
    <s v="Heating"/>
  </r>
  <r>
    <x v="3"/>
    <n v="2019"/>
    <n v="20"/>
    <s v="China +"/>
    <x v="3"/>
    <n v="37200000"/>
    <n v="37200000"/>
    <n v="37200000"/>
    <n v="37200000"/>
    <n v="37200000"/>
    <n v="49100000"/>
    <n v="56100000"/>
    <n v="65200000"/>
    <n v="70800000"/>
    <n v="71900000"/>
    <n v="72100000"/>
    <n v="55500000"/>
    <n v="56700000"/>
    <n v="56700000"/>
    <n v="56300000"/>
    <n v="56400000"/>
    <n v="57400000"/>
    <n v="59200000"/>
    <n v="61300000"/>
    <n v="63200000"/>
    <n v="63000000"/>
    <n v="55700000"/>
    <n v="43400000"/>
    <n v="37200000"/>
    <s v="Spring"/>
    <s v="Weekend"/>
    <s v="Residential"/>
    <s v="Heating"/>
  </r>
  <r>
    <x v="3"/>
    <n v="2019"/>
    <n v="20"/>
    <s v="China +"/>
    <x v="4"/>
    <n v="7667865"/>
    <n v="7667865"/>
    <n v="7667865"/>
    <n v="7667865"/>
    <n v="7667865"/>
    <n v="10100000"/>
    <n v="11600000"/>
    <n v="13400000"/>
    <n v="14600000"/>
    <n v="14800000"/>
    <n v="14900000"/>
    <n v="11400000"/>
    <n v="11700000"/>
    <n v="11700000"/>
    <n v="11600000"/>
    <n v="11600000"/>
    <n v="11800000"/>
    <n v="12200000"/>
    <n v="12600000"/>
    <n v="13000000"/>
    <n v="13000000"/>
    <n v="11500000"/>
    <n v="8940763"/>
    <n v="7667865"/>
    <s v="Spring"/>
    <s v="Weekend"/>
    <s v="Residential"/>
    <s v="Heating"/>
  </r>
  <r>
    <x v="3"/>
    <n v="2019"/>
    <n v="20"/>
    <s v="China +"/>
    <x v="5"/>
    <n v="2123693"/>
    <n v="2123693"/>
    <n v="2123693"/>
    <n v="2123693"/>
    <n v="2123693"/>
    <n v="2806514"/>
    <n v="3206000"/>
    <n v="3721152"/>
    <n v="4043315"/>
    <n v="4107965"/>
    <n v="4119009"/>
    <n v="3170824"/>
    <n v="3239506"/>
    <n v="3236886"/>
    <n v="3215397"/>
    <n v="3220468"/>
    <n v="3275791"/>
    <n v="3379070"/>
    <n v="3502187"/>
    <n v="3611580"/>
    <n v="3598520"/>
    <n v="3182316"/>
    <n v="2476235"/>
    <n v="2123693"/>
    <s v="Summer"/>
    <s v="Weekend"/>
    <s v="Residential"/>
    <s v="Heating"/>
  </r>
  <r>
    <x v="3"/>
    <n v="2019"/>
    <n v="20"/>
    <s v="China +"/>
    <x v="6"/>
    <n v="995830"/>
    <n v="995830"/>
    <n v="995830"/>
    <n v="995830"/>
    <n v="995830"/>
    <n v="1316015"/>
    <n v="1503339"/>
    <n v="1744901"/>
    <n v="1895968"/>
    <n v="1926284"/>
    <n v="1931463"/>
    <n v="1486845"/>
    <n v="1519051"/>
    <n v="1517822"/>
    <n v="1507746"/>
    <n v="1510124"/>
    <n v="1536065"/>
    <n v="1584494"/>
    <n v="1642226"/>
    <n v="1693521"/>
    <n v="1687398"/>
    <n v="1492234"/>
    <n v="1161142"/>
    <n v="995830"/>
    <s v="Summer"/>
    <s v="Weekend"/>
    <s v="Residential"/>
    <s v="Heating"/>
  </r>
  <r>
    <x v="3"/>
    <n v="2019"/>
    <n v="20"/>
    <s v="China +"/>
    <x v="7"/>
    <n v="1319187"/>
    <n v="1319187"/>
    <n v="1319187"/>
    <n v="1319187"/>
    <n v="1319187"/>
    <n v="1743339"/>
    <n v="1991490"/>
    <n v="2311490"/>
    <n v="2511610"/>
    <n v="2551769"/>
    <n v="2558629"/>
    <n v="1969639"/>
    <n v="2012303"/>
    <n v="2010676"/>
    <n v="1997327"/>
    <n v="2000477"/>
    <n v="2034842"/>
    <n v="2098997"/>
    <n v="2175474"/>
    <n v="2243426"/>
    <n v="2235314"/>
    <n v="1976778"/>
    <n v="1538177"/>
    <n v="1319187"/>
    <s v="Summer"/>
    <s v="Weekend"/>
    <s v="Residential"/>
    <s v="Heating"/>
  </r>
  <r>
    <x v="3"/>
    <n v="2019"/>
    <n v="20"/>
    <s v="China +"/>
    <x v="8"/>
    <n v="7407310"/>
    <n v="7407310"/>
    <n v="7407310"/>
    <n v="7407310"/>
    <n v="7407310"/>
    <n v="9788947"/>
    <n v="11200000"/>
    <n v="13000000"/>
    <n v="14100000"/>
    <n v="14300000"/>
    <n v="14400000"/>
    <n v="11100000"/>
    <n v="11300000"/>
    <n v="11300000"/>
    <n v="11200000"/>
    <n v="11200000"/>
    <n v="11400000"/>
    <n v="11800000"/>
    <n v="12200000"/>
    <n v="12600000"/>
    <n v="12600000"/>
    <n v="11100000"/>
    <n v="8636954"/>
    <n v="7407310"/>
    <s v="Fall"/>
    <s v="Weekend"/>
    <s v="Residential"/>
    <s v="Heating"/>
  </r>
  <r>
    <x v="3"/>
    <n v="2019"/>
    <n v="20"/>
    <s v="China +"/>
    <x v="9"/>
    <n v="31600000"/>
    <n v="31600000"/>
    <n v="31600000"/>
    <n v="31600000"/>
    <n v="31600000"/>
    <n v="41800000"/>
    <n v="47700000"/>
    <n v="55400000"/>
    <n v="60200000"/>
    <n v="61100000"/>
    <n v="61300000"/>
    <n v="47200000"/>
    <n v="48200000"/>
    <n v="48200000"/>
    <n v="47800000"/>
    <n v="47900000"/>
    <n v="48700000"/>
    <n v="50300000"/>
    <n v="52100000"/>
    <n v="53700000"/>
    <n v="53500000"/>
    <n v="47300000"/>
    <n v="36800000"/>
    <n v="31600000"/>
    <s v="Fall"/>
    <s v="Weekend"/>
    <s v="Residential"/>
    <s v="Heating"/>
  </r>
  <r>
    <x v="3"/>
    <n v="2019"/>
    <n v="20"/>
    <s v="China +"/>
    <x v="10"/>
    <n v="95300000"/>
    <n v="98200000"/>
    <n v="99200000"/>
    <n v="98200000"/>
    <n v="95300000"/>
    <n v="111000000"/>
    <n v="126000000"/>
    <n v="146000000"/>
    <n v="158000000"/>
    <n v="161000000"/>
    <n v="161000000"/>
    <n v="124000000"/>
    <n v="127000000"/>
    <n v="127000000"/>
    <n v="126000000"/>
    <n v="126000000"/>
    <n v="128000000"/>
    <n v="132000000"/>
    <n v="137000000"/>
    <n v="141000000"/>
    <n v="141000000"/>
    <n v="125000000"/>
    <n v="98600000"/>
    <n v="90700000"/>
    <s v="Winter"/>
    <s v="Weekend"/>
    <s v="Residential"/>
    <s v="Heating"/>
  </r>
  <r>
    <x v="3"/>
    <n v="2019"/>
    <n v="20"/>
    <s v="China +"/>
    <x v="11"/>
    <n v="200000000"/>
    <n v="204000000"/>
    <n v="206000000"/>
    <n v="204000000"/>
    <n v="200000000"/>
    <n v="218000000"/>
    <n v="234000000"/>
    <n v="255000000"/>
    <n v="264000000"/>
    <n v="257000000"/>
    <n v="249000000"/>
    <n v="195000000"/>
    <n v="193000000"/>
    <n v="190000000"/>
    <n v="189000000"/>
    <n v="189000000"/>
    <n v="195000000"/>
    <n v="208000000"/>
    <n v="223000000"/>
    <n v="239000000"/>
    <n v="249000000"/>
    <n v="236000000"/>
    <n v="205000000"/>
    <n v="193000000"/>
    <s v="Winter"/>
    <s v="Weekend"/>
    <s v="Residential"/>
    <s v="Heating"/>
  </r>
  <r>
    <x v="4"/>
    <n v="2019"/>
    <n v="20"/>
    <s v="China +"/>
    <x v="0"/>
    <n v="120000000"/>
    <n v="111000000"/>
    <n v="110000000"/>
    <n v="112000000"/>
    <n v="144000000"/>
    <n v="248000000"/>
    <n v="363000000"/>
    <n v="243000000"/>
    <n v="110000000"/>
    <n v="106000000"/>
    <n v="108000000"/>
    <n v="118000000"/>
    <n v="124000000"/>
    <n v="126000000"/>
    <n v="129000000"/>
    <n v="140000000"/>
    <n v="329000000"/>
    <n v="555000000"/>
    <n v="608000000"/>
    <n v="654000000"/>
    <n v="664000000"/>
    <n v="544000000"/>
    <n v="323000000"/>
    <n v="170000000"/>
    <s v="Winter"/>
    <s v="Weekday"/>
    <s v="Residential"/>
    <s v="Lighting"/>
  </r>
  <r>
    <x v="4"/>
    <n v="2019"/>
    <n v="20"/>
    <s v="China +"/>
    <x v="1"/>
    <n v="115000000"/>
    <n v="106000000"/>
    <n v="105000000"/>
    <n v="108000000"/>
    <n v="139000000"/>
    <n v="238000000"/>
    <n v="348000000"/>
    <n v="155000000"/>
    <n v="106000000"/>
    <n v="102000000"/>
    <n v="103000000"/>
    <n v="113000000"/>
    <n v="119000000"/>
    <n v="121000000"/>
    <n v="124000000"/>
    <n v="134000000"/>
    <n v="210000000"/>
    <n v="533000000"/>
    <n v="583000000"/>
    <n v="628000000"/>
    <n v="638000000"/>
    <n v="522000000"/>
    <n v="310000000"/>
    <n v="163000000"/>
    <s v="Winter"/>
    <s v="Weekday"/>
    <s v="Residential"/>
    <s v="Lighting"/>
  </r>
  <r>
    <x v="4"/>
    <n v="2019"/>
    <n v="20"/>
    <s v="China +"/>
    <x v="2"/>
    <n v="108000000"/>
    <n v="100000000"/>
    <n v="99000000"/>
    <n v="101000000"/>
    <n v="130000000"/>
    <n v="224000000"/>
    <n v="313000000"/>
    <n v="107000000"/>
    <n v="99400000"/>
    <n v="95600000"/>
    <n v="97100000"/>
    <n v="106000000"/>
    <n v="112000000"/>
    <n v="114000000"/>
    <n v="117000000"/>
    <n v="126000000"/>
    <n v="145000000"/>
    <n v="479000000"/>
    <n v="548000000"/>
    <n v="590000000"/>
    <n v="599000000"/>
    <n v="490000000"/>
    <n v="291000000"/>
    <n v="153000000"/>
    <s v="Spring"/>
    <s v="Weekday"/>
    <s v="Residential"/>
    <s v="Lighting"/>
  </r>
  <r>
    <x v="4"/>
    <n v="2019"/>
    <n v="20"/>
    <s v="China +"/>
    <x v="3"/>
    <n v="108000000"/>
    <n v="99400000"/>
    <n v="98400000"/>
    <n v="101000000"/>
    <n v="129000000"/>
    <n v="223000000"/>
    <n v="166000000"/>
    <n v="101000000"/>
    <n v="98800000"/>
    <n v="95000000"/>
    <n v="96600000"/>
    <n v="106000000"/>
    <n v="112000000"/>
    <n v="113000000"/>
    <n v="116000000"/>
    <n v="125000000"/>
    <n v="137000000"/>
    <n v="254000000"/>
    <n v="545000000"/>
    <n v="586000000"/>
    <n v="596000000"/>
    <n v="488000000"/>
    <n v="290000000"/>
    <n v="152000000"/>
    <s v="Spring"/>
    <s v="Weekday"/>
    <s v="Residential"/>
    <s v="Lighting"/>
  </r>
  <r>
    <x v="4"/>
    <n v="2019"/>
    <n v="20"/>
    <s v="China +"/>
    <x v="4"/>
    <n v="103000000"/>
    <n v="95200000"/>
    <n v="94300000"/>
    <n v="96400000"/>
    <n v="124000000"/>
    <n v="213000000"/>
    <n v="119000000"/>
    <n v="96600000"/>
    <n v="94600000"/>
    <n v="91000000"/>
    <n v="92500000"/>
    <n v="101000000"/>
    <n v="107000000"/>
    <n v="108000000"/>
    <n v="111000000"/>
    <n v="120000000"/>
    <n v="131000000"/>
    <n v="182000000"/>
    <n v="522000000"/>
    <n v="562000000"/>
    <n v="571000000"/>
    <n v="467000000"/>
    <n v="278000000"/>
    <n v="146000000"/>
    <s v="Spring"/>
    <s v="Weekday"/>
    <s v="Residential"/>
    <s v="Lighting"/>
  </r>
  <r>
    <x v="4"/>
    <n v="2019"/>
    <n v="20"/>
    <s v="China +"/>
    <x v="5"/>
    <n v="103000000"/>
    <n v="95100000"/>
    <n v="94100000"/>
    <n v="96200000"/>
    <n v="124000000"/>
    <n v="180000000"/>
    <n v="105000000"/>
    <n v="96500000"/>
    <n v="94500000"/>
    <n v="90900000"/>
    <n v="92400000"/>
    <n v="101000000"/>
    <n v="107000000"/>
    <n v="108000000"/>
    <n v="111000000"/>
    <n v="120000000"/>
    <n v="131000000"/>
    <n v="161000000"/>
    <n v="442000000"/>
    <n v="561000000"/>
    <n v="570000000"/>
    <n v="466000000"/>
    <n v="277000000"/>
    <n v="146000000"/>
    <s v="Summer"/>
    <s v="Weekday"/>
    <s v="Residential"/>
    <s v="Lighting"/>
  </r>
  <r>
    <x v="4"/>
    <n v="2019"/>
    <n v="20"/>
    <s v="China +"/>
    <x v="6"/>
    <n v="102000000"/>
    <n v="94300000"/>
    <n v="93400000"/>
    <n v="95500000"/>
    <n v="123000000"/>
    <n v="201000000"/>
    <n v="108000000"/>
    <n v="95700000"/>
    <n v="93700000"/>
    <n v="90200000"/>
    <n v="91600000"/>
    <n v="100000000"/>
    <n v="106000000"/>
    <n v="107000000"/>
    <n v="110000000"/>
    <n v="119000000"/>
    <n v="130000000"/>
    <n v="166000000"/>
    <n v="491000000"/>
    <n v="556000000"/>
    <n v="565000000"/>
    <n v="463000000"/>
    <n v="275000000"/>
    <n v="145000000"/>
    <s v="Summer"/>
    <s v="Weekday"/>
    <s v="Residential"/>
    <s v="Lighting"/>
  </r>
  <r>
    <x v="4"/>
    <n v="2019"/>
    <n v="20"/>
    <s v="China +"/>
    <x v="7"/>
    <n v="105000000"/>
    <n v="97100000"/>
    <n v="96100000"/>
    <n v="98300000"/>
    <n v="126000000"/>
    <n v="217000000"/>
    <n v="135000000"/>
    <n v="98500000"/>
    <n v="96500000"/>
    <n v="92800000"/>
    <n v="94300000"/>
    <n v="103000000"/>
    <n v="109000000"/>
    <n v="111000000"/>
    <n v="113000000"/>
    <n v="123000000"/>
    <n v="134000000"/>
    <n v="206000000"/>
    <n v="532000000"/>
    <n v="573000000"/>
    <n v="582000000"/>
    <n v="476000000"/>
    <n v="283000000"/>
    <n v="149000000"/>
    <s v="Summer"/>
    <s v="Weekday"/>
    <s v="Residential"/>
    <s v="Lighting"/>
  </r>
  <r>
    <x v="4"/>
    <n v="2019"/>
    <n v="20"/>
    <s v="China +"/>
    <x v="8"/>
    <n v="109000000"/>
    <n v="101000000"/>
    <n v="99800000"/>
    <n v="102000000"/>
    <n v="131000000"/>
    <n v="226000000"/>
    <n v="209000000"/>
    <n v="102000000"/>
    <n v="100000000"/>
    <n v="96400000"/>
    <n v="97900000"/>
    <n v="107000000"/>
    <n v="113000000"/>
    <n v="115000000"/>
    <n v="118000000"/>
    <n v="127000000"/>
    <n v="139000000"/>
    <n v="319000000"/>
    <n v="552000000"/>
    <n v="595000000"/>
    <n v="604000000"/>
    <n v="494000000"/>
    <n v="294000000"/>
    <n v="155000000"/>
    <s v="Fall"/>
    <s v="Weekday"/>
    <s v="Residential"/>
    <s v="Lighting"/>
  </r>
  <r>
    <x v="4"/>
    <n v="2019"/>
    <n v="20"/>
    <s v="China +"/>
    <x v="9"/>
    <n v="111000000"/>
    <n v="102000000"/>
    <n v="101000000"/>
    <n v="104000000"/>
    <n v="133000000"/>
    <n v="229000000"/>
    <n v="335000000"/>
    <n v="123000000"/>
    <n v="102000000"/>
    <n v="98000000"/>
    <n v="99600000"/>
    <n v="109000000"/>
    <n v="115000000"/>
    <n v="117000000"/>
    <n v="120000000"/>
    <n v="129000000"/>
    <n v="167000000"/>
    <n v="513000000"/>
    <n v="562000000"/>
    <n v="605000000"/>
    <n v="614000000"/>
    <n v="503000000"/>
    <n v="299000000"/>
    <n v="157000000"/>
    <s v="Fall"/>
    <s v="Weekday"/>
    <s v="Residential"/>
    <s v="Lighting"/>
  </r>
  <r>
    <x v="4"/>
    <n v="2019"/>
    <n v="20"/>
    <s v="China +"/>
    <x v="10"/>
    <n v="118000000"/>
    <n v="109000000"/>
    <n v="108000000"/>
    <n v="110000000"/>
    <n v="142000000"/>
    <n v="244000000"/>
    <n v="356000000"/>
    <n v="187000000"/>
    <n v="108000000"/>
    <n v="104000000"/>
    <n v="106000000"/>
    <n v="116000000"/>
    <n v="122000000"/>
    <n v="124000000"/>
    <n v="127000000"/>
    <n v="137000000"/>
    <n v="254000000"/>
    <n v="545000000"/>
    <n v="597000000"/>
    <n v="642000000"/>
    <n v="652000000"/>
    <n v="534000000"/>
    <n v="317000000"/>
    <n v="167000000"/>
    <s v="Winter"/>
    <s v="Weekday"/>
    <s v="Residential"/>
    <s v="Lighting"/>
  </r>
  <r>
    <x v="4"/>
    <n v="2019"/>
    <n v="20"/>
    <s v="China +"/>
    <x v="11"/>
    <n v="121000000"/>
    <n v="111000000"/>
    <n v="110000000"/>
    <n v="113000000"/>
    <n v="145000000"/>
    <n v="249000000"/>
    <n v="364000000"/>
    <n v="279000000"/>
    <n v="111000000"/>
    <n v="106000000"/>
    <n v="108000000"/>
    <n v="119000000"/>
    <n v="125000000"/>
    <n v="127000000"/>
    <n v="130000000"/>
    <n v="141000000"/>
    <n v="378000000"/>
    <n v="557000000"/>
    <n v="610000000"/>
    <n v="657000000"/>
    <n v="667000000"/>
    <n v="546000000"/>
    <n v="324000000"/>
    <n v="171000000"/>
    <s v="Winter"/>
    <s v="Weekday"/>
    <s v="Residential"/>
    <s v="Lighting"/>
  </r>
  <r>
    <x v="5"/>
    <n v="2019"/>
    <n v="20"/>
    <s v="China +"/>
    <x v="0"/>
    <n v="71500000"/>
    <n v="61700000"/>
    <n v="59600000"/>
    <n v="59600000"/>
    <n v="62700000"/>
    <n v="81300000"/>
    <n v="140000000"/>
    <n v="140000000"/>
    <n v="79200000"/>
    <n v="82100000"/>
    <n v="82600000"/>
    <n v="87600000"/>
    <n v="90600000"/>
    <n v="90500000"/>
    <n v="89600000"/>
    <n v="89800000"/>
    <n v="199000000"/>
    <n v="323000000"/>
    <n v="341000000"/>
    <n v="357000000"/>
    <n v="355000000"/>
    <n v="294000000"/>
    <n v="189000000"/>
    <n v="106000000"/>
    <s v="Winter"/>
    <s v="Weekend"/>
    <s v="Residential"/>
    <s v="Lighting"/>
  </r>
  <r>
    <x v="5"/>
    <n v="2019"/>
    <n v="20"/>
    <s v="China +"/>
    <x v="1"/>
    <n v="68700000"/>
    <n v="59400000"/>
    <n v="57300000"/>
    <n v="57300000"/>
    <n v="60300000"/>
    <n v="78100000"/>
    <n v="135000000"/>
    <n v="89600000"/>
    <n v="76200000"/>
    <n v="78900000"/>
    <n v="79400000"/>
    <n v="84200000"/>
    <n v="87200000"/>
    <n v="87000000"/>
    <n v="86100000"/>
    <n v="86300000"/>
    <n v="127000000"/>
    <n v="310000000"/>
    <n v="328000000"/>
    <n v="343000000"/>
    <n v="342000000"/>
    <n v="282000000"/>
    <n v="182000000"/>
    <n v="102000000"/>
    <s v="Winter"/>
    <s v="Weekend"/>
    <s v="Residential"/>
    <s v="Lighting"/>
  </r>
  <r>
    <x v="5"/>
    <n v="2019"/>
    <n v="20"/>
    <s v="China +"/>
    <x v="2"/>
    <n v="64600000"/>
    <n v="55800000"/>
    <n v="53900000"/>
    <n v="53800000"/>
    <n v="56700000"/>
    <n v="73400000"/>
    <n v="121000000"/>
    <n v="61900000"/>
    <n v="71600000"/>
    <n v="74100000"/>
    <n v="74600000"/>
    <n v="79100000"/>
    <n v="81900000"/>
    <n v="81800000"/>
    <n v="80900000"/>
    <n v="81100000"/>
    <n v="88000000"/>
    <n v="279000000"/>
    <n v="308000000"/>
    <n v="323000000"/>
    <n v="321000000"/>
    <n v="265000000"/>
    <n v="171000000"/>
    <n v="95700000"/>
    <s v="Spring"/>
    <s v="Weekend"/>
    <s v="Residential"/>
    <s v="Lighting"/>
  </r>
  <r>
    <x v="5"/>
    <n v="2019"/>
    <n v="20"/>
    <s v="China +"/>
    <x v="3"/>
    <n v="63700000"/>
    <n v="55000000"/>
    <n v="53100000"/>
    <n v="53100000"/>
    <n v="55900000"/>
    <n v="72400000"/>
    <n v="63800000"/>
    <n v="57900000"/>
    <n v="70600000"/>
    <n v="73100000"/>
    <n v="73600000"/>
    <n v="78100000"/>
    <n v="80800000"/>
    <n v="80700000"/>
    <n v="79800000"/>
    <n v="80000000"/>
    <n v="82200000"/>
    <n v="147000000"/>
    <n v="304000000"/>
    <n v="318000000"/>
    <n v="317000000"/>
    <n v="262000000"/>
    <n v="169000000"/>
    <n v="94400000"/>
    <s v="Spring"/>
    <s v="Weekend"/>
    <s v="Residential"/>
    <s v="Lighting"/>
  </r>
  <r>
    <x v="5"/>
    <n v="2019"/>
    <n v="20"/>
    <s v="China +"/>
    <x v="4"/>
    <n v="60900000"/>
    <n v="52600000"/>
    <n v="50800000"/>
    <n v="50800000"/>
    <n v="53400000"/>
    <n v="69200000"/>
    <n v="45500000"/>
    <n v="55300000"/>
    <n v="67500000"/>
    <n v="69900000"/>
    <n v="70300000"/>
    <n v="74600000"/>
    <n v="77200000"/>
    <n v="77100000"/>
    <n v="76300000"/>
    <n v="76500000"/>
    <n v="78600000"/>
    <n v="105000000"/>
    <n v="290000000"/>
    <n v="304000000"/>
    <n v="303000000"/>
    <n v="250000000"/>
    <n v="161000000"/>
    <n v="90200000"/>
    <s v="Spring"/>
    <s v="Weekend"/>
    <s v="Residential"/>
    <s v="Lighting"/>
  </r>
  <r>
    <x v="5"/>
    <n v="2019"/>
    <n v="20"/>
    <s v="China +"/>
    <x v="5"/>
    <n v="60500000"/>
    <n v="52300000"/>
    <n v="50500000"/>
    <n v="50500000"/>
    <n v="53100000"/>
    <n v="58300000"/>
    <n v="40300000"/>
    <n v="55000000"/>
    <n v="67100000"/>
    <n v="69500000"/>
    <n v="69900000"/>
    <n v="74200000"/>
    <n v="76800000"/>
    <n v="76700000"/>
    <n v="75900000"/>
    <n v="76000000"/>
    <n v="78100000"/>
    <n v="92700000"/>
    <n v="245000000"/>
    <n v="302000000"/>
    <n v="301000000"/>
    <n v="249000000"/>
    <n v="160000000"/>
    <n v="89700000"/>
    <s v="Summer"/>
    <s v="Weekend"/>
    <s v="Residential"/>
    <s v="Lighting"/>
  </r>
  <r>
    <x v="5"/>
    <n v="2019"/>
    <n v="20"/>
    <s v="China +"/>
    <x v="6"/>
    <n v="60200000"/>
    <n v="52000000"/>
    <n v="50200000"/>
    <n v="50200000"/>
    <n v="52800000"/>
    <n v="65000000"/>
    <n v="41500000"/>
    <n v="54700000"/>
    <n v="66700000"/>
    <n v="69100000"/>
    <n v="69500000"/>
    <n v="73800000"/>
    <n v="76300000"/>
    <n v="76200000"/>
    <n v="75400000"/>
    <n v="75600000"/>
    <n v="77700000"/>
    <n v="95400000"/>
    <n v="273000000"/>
    <n v="301000000"/>
    <n v="299000000"/>
    <n v="247000000"/>
    <n v="159000000"/>
    <n v="89200000"/>
    <s v="Summer"/>
    <s v="Weekend"/>
    <s v="Residential"/>
    <s v="Lighting"/>
  </r>
  <r>
    <x v="5"/>
    <n v="2019"/>
    <n v="20"/>
    <s v="China +"/>
    <x v="7"/>
    <n v="62100000"/>
    <n v="53700000"/>
    <n v="51800000"/>
    <n v="51800000"/>
    <n v="54500000"/>
    <n v="70600000"/>
    <n v="51700000"/>
    <n v="56400000"/>
    <n v="68800000"/>
    <n v="71300000"/>
    <n v="71800000"/>
    <n v="76100000"/>
    <n v="78800000"/>
    <n v="78700000"/>
    <n v="77900000"/>
    <n v="78100000"/>
    <n v="80200000"/>
    <n v="119000000"/>
    <n v="296000000"/>
    <n v="310000000"/>
    <n v="309000000"/>
    <n v="255000000"/>
    <n v="165000000"/>
    <n v="92000000"/>
    <s v="Summer"/>
    <s v="Weekend"/>
    <s v="Residential"/>
    <s v="Lighting"/>
  </r>
  <r>
    <x v="5"/>
    <n v="2019"/>
    <n v="20"/>
    <s v="China +"/>
    <x v="8"/>
    <n v="64700000"/>
    <n v="55900000"/>
    <n v="54000000"/>
    <n v="54000000"/>
    <n v="56800000"/>
    <n v="73600000"/>
    <n v="80500000"/>
    <n v="58800000"/>
    <n v="71700000"/>
    <n v="74300000"/>
    <n v="74800000"/>
    <n v="79400000"/>
    <n v="82100000"/>
    <n v="82000000"/>
    <n v="81100000"/>
    <n v="81300000"/>
    <n v="83600000"/>
    <n v="185000000"/>
    <n v="309000000"/>
    <n v="323000000"/>
    <n v="322000000"/>
    <n v="266000000"/>
    <n v="172000000"/>
    <n v="95900000"/>
    <s v="Fall"/>
    <s v="Weekend"/>
    <s v="Residential"/>
    <s v="Lighting"/>
  </r>
  <r>
    <x v="5"/>
    <n v="2019"/>
    <n v="20"/>
    <s v="China +"/>
    <x v="9"/>
    <n v="66200000"/>
    <n v="57200000"/>
    <n v="55200000"/>
    <n v="55200000"/>
    <n v="58100000"/>
    <n v="75300000"/>
    <n v="130000000"/>
    <n v="71300000"/>
    <n v="73400000"/>
    <n v="76000000"/>
    <n v="76500000"/>
    <n v="81100000"/>
    <n v="84000000"/>
    <n v="83800000"/>
    <n v="83000000"/>
    <n v="83200000"/>
    <n v="101000000"/>
    <n v="299000000"/>
    <n v="316000000"/>
    <n v="331000000"/>
    <n v="329000000"/>
    <n v="272000000"/>
    <n v="175000000"/>
    <n v="98100000"/>
    <s v="Fall"/>
    <s v="Weekend"/>
    <s v="Residential"/>
    <s v="Lighting"/>
  </r>
  <r>
    <x v="5"/>
    <n v="2019"/>
    <n v="20"/>
    <s v="China +"/>
    <x v="10"/>
    <n v="70200000"/>
    <n v="60700000"/>
    <n v="58600000"/>
    <n v="58500000"/>
    <n v="61600000"/>
    <n v="79900000"/>
    <n v="138000000"/>
    <n v="108000000"/>
    <n v="77800000"/>
    <n v="80600000"/>
    <n v="81100000"/>
    <n v="86100000"/>
    <n v="89100000"/>
    <n v="89000000"/>
    <n v="88000000"/>
    <n v="88200000"/>
    <n v="154000000"/>
    <n v="317000000"/>
    <n v="335000000"/>
    <n v="351000000"/>
    <n v="349000000"/>
    <n v="289000000"/>
    <n v="186000000"/>
    <n v="104000000"/>
    <s v="Winter"/>
    <s v="Weekend"/>
    <s v="Residential"/>
    <s v="Lighting"/>
  </r>
  <r>
    <x v="5"/>
    <n v="2019"/>
    <n v="20"/>
    <s v="China +"/>
    <x v="11"/>
    <n v="71700000"/>
    <n v="61900000"/>
    <n v="59800000"/>
    <n v="59800000"/>
    <n v="62900000"/>
    <n v="81500000"/>
    <n v="141000000"/>
    <n v="161000000"/>
    <n v="79500000"/>
    <n v="82300000"/>
    <n v="82800000"/>
    <n v="87900000"/>
    <n v="90900000"/>
    <n v="90800000"/>
    <n v="89900000"/>
    <n v="90100000"/>
    <n v="228000000"/>
    <n v="324000000"/>
    <n v="342000000"/>
    <n v="358000000"/>
    <n v="356000000"/>
    <n v="295000000"/>
    <n v="190000000"/>
    <n v="106000000"/>
    <s v="Winter"/>
    <s v="Weekend"/>
    <s v="Residential"/>
    <s v="Lighting"/>
  </r>
  <r>
    <x v="6"/>
    <n v="2019"/>
    <n v="20"/>
    <s v="China +"/>
    <x v="0"/>
    <n v="68300000"/>
    <n v="47200000"/>
    <n v="42900000"/>
    <n v="41900000"/>
    <n v="58800000"/>
    <n v="131000000"/>
    <n v="256000000"/>
    <n v="352000000"/>
    <n v="233000000"/>
    <n v="208000000"/>
    <n v="194000000"/>
    <n v="167000000"/>
    <n v="136000000"/>
    <n v="119000000"/>
    <n v="117000000"/>
    <n v="119000000"/>
    <n v="143000000"/>
    <n v="181000000"/>
    <n v="233000000"/>
    <n v="233000000"/>
    <n v="210000000"/>
    <n v="194000000"/>
    <n v="171000000"/>
    <n v="120000000"/>
    <s v="Winter"/>
    <s v="Weekday"/>
    <s v="Residential"/>
    <s v="Appliances"/>
  </r>
  <r>
    <x v="6"/>
    <n v="2019"/>
    <n v="20"/>
    <s v="China +"/>
    <x v="1"/>
    <n v="65100000"/>
    <n v="45000000"/>
    <n v="40900000"/>
    <n v="40000000"/>
    <n v="56100000"/>
    <n v="124000000"/>
    <n v="244000000"/>
    <n v="336000000"/>
    <n v="222000000"/>
    <n v="198000000"/>
    <n v="185000000"/>
    <n v="159000000"/>
    <n v="130000000"/>
    <n v="114000000"/>
    <n v="112000000"/>
    <n v="113000000"/>
    <n v="136000000"/>
    <n v="173000000"/>
    <n v="222000000"/>
    <n v="222000000"/>
    <n v="200000000"/>
    <n v="185000000"/>
    <n v="163000000"/>
    <n v="114000000"/>
    <s v="Winter"/>
    <s v="Weekday"/>
    <s v="Residential"/>
    <s v="Appliances"/>
  </r>
  <r>
    <x v="6"/>
    <n v="2019"/>
    <n v="20"/>
    <s v="China +"/>
    <x v="2"/>
    <n v="61000000"/>
    <n v="42200000"/>
    <n v="38300000"/>
    <n v="37400000"/>
    <n v="52500000"/>
    <n v="116000000"/>
    <n v="228000000"/>
    <n v="314000000"/>
    <n v="208000000"/>
    <n v="186000000"/>
    <n v="173000000"/>
    <n v="149000000"/>
    <n v="121000000"/>
    <n v="107000000"/>
    <n v="105000000"/>
    <n v="106000000"/>
    <n v="128000000"/>
    <n v="162000000"/>
    <n v="208000000"/>
    <n v="208000000"/>
    <n v="187000000"/>
    <n v="173000000"/>
    <n v="153000000"/>
    <n v="107000000"/>
    <s v="Spring"/>
    <s v="Weekday"/>
    <s v="Residential"/>
    <s v="Appliances"/>
  </r>
  <r>
    <x v="6"/>
    <n v="2019"/>
    <n v="20"/>
    <s v="China +"/>
    <x v="3"/>
    <n v="55300000"/>
    <n v="38200000"/>
    <n v="34700000"/>
    <n v="33900000"/>
    <n v="47600000"/>
    <n v="106000000"/>
    <n v="207000000"/>
    <n v="285000000"/>
    <n v="188000000"/>
    <n v="168000000"/>
    <n v="157000000"/>
    <n v="135000000"/>
    <n v="110000000"/>
    <n v="96500000"/>
    <n v="94900000"/>
    <n v="95900000"/>
    <n v="116000000"/>
    <n v="147000000"/>
    <n v="188000000"/>
    <n v="189000000"/>
    <n v="170000000"/>
    <n v="157000000"/>
    <n v="138000000"/>
    <n v="96800000"/>
    <s v="Spring"/>
    <s v="Weekday"/>
    <s v="Residential"/>
    <s v="Appliances"/>
  </r>
  <r>
    <x v="6"/>
    <n v="2019"/>
    <n v="20"/>
    <s v="China +"/>
    <x v="4"/>
    <n v="52400000"/>
    <n v="36200000"/>
    <n v="32900000"/>
    <n v="32200000"/>
    <n v="45100000"/>
    <n v="100000000"/>
    <n v="196000000"/>
    <n v="270000000"/>
    <n v="178000000"/>
    <n v="160000000"/>
    <n v="149000000"/>
    <n v="128000000"/>
    <n v="104000000"/>
    <n v="91500000"/>
    <n v="89900000"/>
    <n v="90900000"/>
    <n v="110000000"/>
    <n v="139000000"/>
    <n v="179000000"/>
    <n v="179000000"/>
    <n v="161000000"/>
    <n v="149000000"/>
    <n v="131000000"/>
    <n v="91700000"/>
    <s v="Spring"/>
    <s v="Weekday"/>
    <s v="Residential"/>
    <s v="Appliances"/>
  </r>
  <r>
    <x v="6"/>
    <n v="2019"/>
    <n v="20"/>
    <s v="China +"/>
    <x v="5"/>
    <n v="51900000"/>
    <n v="35900000"/>
    <n v="32600000"/>
    <n v="31800000"/>
    <n v="44700000"/>
    <n v="99100000"/>
    <n v="194000000"/>
    <n v="267000000"/>
    <n v="177000000"/>
    <n v="158000000"/>
    <n v="147000000"/>
    <n v="127000000"/>
    <n v="103000000"/>
    <n v="90600000"/>
    <n v="89000000"/>
    <n v="90000000"/>
    <n v="109000000"/>
    <n v="138000000"/>
    <n v="177000000"/>
    <n v="177000000"/>
    <n v="159000000"/>
    <n v="147000000"/>
    <n v="130000000"/>
    <n v="90800000"/>
    <s v="Summer"/>
    <s v="Weekday"/>
    <s v="Residential"/>
    <s v="Appliances"/>
  </r>
  <r>
    <x v="6"/>
    <n v="2019"/>
    <n v="20"/>
    <s v="China +"/>
    <x v="6"/>
    <n v="51800000"/>
    <n v="35800000"/>
    <n v="32500000"/>
    <n v="31800000"/>
    <n v="44600000"/>
    <n v="98900000"/>
    <n v="194000000"/>
    <n v="267000000"/>
    <n v="176000000"/>
    <n v="158000000"/>
    <n v="147000000"/>
    <n v="127000000"/>
    <n v="103000000"/>
    <n v="90400000"/>
    <n v="88800000"/>
    <n v="89800000"/>
    <n v="109000000"/>
    <n v="137000000"/>
    <n v="176000000"/>
    <n v="177000000"/>
    <n v="159000000"/>
    <n v="147000000"/>
    <n v="129000000"/>
    <n v="90600000"/>
    <s v="Summer"/>
    <s v="Weekday"/>
    <s v="Residential"/>
    <s v="Appliances"/>
  </r>
  <r>
    <x v="6"/>
    <n v="2019"/>
    <n v="20"/>
    <s v="China +"/>
    <x v="7"/>
    <n v="51800000"/>
    <n v="35800000"/>
    <n v="32500000"/>
    <n v="31800000"/>
    <n v="44600000"/>
    <n v="98900000"/>
    <n v="194000000"/>
    <n v="267000000"/>
    <n v="176000000"/>
    <n v="158000000"/>
    <n v="147000000"/>
    <n v="127000000"/>
    <n v="103000000"/>
    <n v="90500000"/>
    <n v="88900000"/>
    <n v="89800000"/>
    <n v="109000000"/>
    <n v="137000000"/>
    <n v="177000000"/>
    <n v="177000000"/>
    <n v="159000000"/>
    <n v="147000000"/>
    <n v="130000000"/>
    <n v="90700000"/>
    <s v="Summer"/>
    <s v="Weekday"/>
    <s v="Residential"/>
    <s v="Appliances"/>
  </r>
  <r>
    <x v="6"/>
    <n v="2019"/>
    <n v="20"/>
    <s v="China +"/>
    <x v="8"/>
    <n v="52400000"/>
    <n v="36200000"/>
    <n v="32900000"/>
    <n v="32100000"/>
    <n v="45100000"/>
    <n v="100000000"/>
    <n v="196000000"/>
    <n v="270000000"/>
    <n v="178000000"/>
    <n v="160000000"/>
    <n v="149000000"/>
    <n v="128000000"/>
    <n v="104000000"/>
    <n v="91500000"/>
    <n v="89900000"/>
    <n v="90800000"/>
    <n v="110000000"/>
    <n v="139000000"/>
    <n v="179000000"/>
    <n v="179000000"/>
    <n v="161000000"/>
    <n v="149000000"/>
    <n v="131000000"/>
    <n v="91700000"/>
    <s v="Fall"/>
    <s v="Weekday"/>
    <s v="Residential"/>
    <s v="Appliances"/>
  </r>
  <r>
    <x v="6"/>
    <n v="2019"/>
    <n v="20"/>
    <s v="China +"/>
    <x v="9"/>
    <n v="54700000"/>
    <n v="37800000"/>
    <n v="34400000"/>
    <n v="33600000"/>
    <n v="47100000"/>
    <n v="105000000"/>
    <n v="205000000"/>
    <n v="282000000"/>
    <n v="186000000"/>
    <n v="167000000"/>
    <n v="155000000"/>
    <n v="134000000"/>
    <n v="109000000"/>
    <n v="95600000"/>
    <n v="93900000"/>
    <n v="94900000"/>
    <n v="115000000"/>
    <n v="145000000"/>
    <n v="187000000"/>
    <n v="187000000"/>
    <n v="168000000"/>
    <n v="156000000"/>
    <n v="137000000"/>
    <n v="95800000"/>
    <s v="Fall"/>
    <s v="Weekday"/>
    <s v="Residential"/>
    <s v="Appliances"/>
  </r>
  <r>
    <x v="6"/>
    <n v="2019"/>
    <n v="20"/>
    <s v="China +"/>
    <x v="10"/>
    <n v="60000000"/>
    <n v="41500000"/>
    <n v="37700000"/>
    <n v="36800000"/>
    <n v="51600000"/>
    <n v="115000000"/>
    <n v="225000000"/>
    <n v="309000000"/>
    <n v="204000000"/>
    <n v="183000000"/>
    <n v="170000000"/>
    <n v="147000000"/>
    <n v="119000000"/>
    <n v="105000000"/>
    <n v="103000000"/>
    <n v="104000000"/>
    <n v="126000000"/>
    <n v="159000000"/>
    <n v="204000000"/>
    <n v="205000000"/>
    <n v="184000000"/>
    <n v="171000000"/>
    <n v="150000000"/>
    <n v="105000000"/>
    <s v="Winter"/>
    <s v="Weekday"/>
    <s v="Residential"/>
    <s v="Appliances"/>
  </r>
  <r>
    <x v="6"/>
    <n v="2019"/>
    <n v="20"/>
    <s v="China +"/>
    <x v="11"/>
    <n v="66200000"/>
    <n v="45800000"/>
    <n v="41600000"/>
    <n v="40600000"/>
    <n v="57000000"/>
    <n v="126000000"/>
    <n v="248000000"/>
    <n v="341000000"/>
    <n v="225000000"/>
    <n v="202000000"/>
    <n v="188000000"/>
    <n v="162000000"/>
    <n v="132000000"/>
    <n v="116000000"/>
    <n v="114000000"/>
    <n v="115000000"/>
    <n v="139000000"/>
    <n v="176000000"/>
    <n v="226000000"/>
    <n v="226000000"/>
    <n v="203000000"/>
    <n v="188000000"/>
    <n v="166000000"/>
    <n v="116000000"/>
    <s v="Winter"/>
    <s v="Weekday"/>
    <s v="Residential"/>
    <s v="Appliances"/>
  </r>
  <r>
    <x v="7"/>
    <n v="2019"/>
    <n v="20"/>
    <s v="China +"/>
    <x v="0"/>
    <n v="58900000"/>
    <n v="38000000"/>
    <n v="31700000"/>
    <n v="29400000"/>
    <n v="30300000"/>
    <n v="39300000"/>
    <n v="69100000"/>
    <n v="108000000"/>
    <n v="164000000"/>
    <n v="224000000"/>
    <n v="231000000"/>
    <n v="212000000"/>
    <n v="190000000"/>
    <n v="163000000"/>
    <n v="150000000"/>
    <n v="131000000"/>
    <n v="131000000"/>
    <n v="151000000"/>
    <n v="172000000"/>
    <n v="157000000"/>
    <n v="146000000"/>
    <n v="128000000"/>
    <n v="111000000"/>
    <n v="84500000"/>
    <s v="Winter"/>
    <s v="Weekend"/>
    <s v="Residential"/>
    <s v="Appliances"/>
  </r>
  <r>
    <x v="7"/>
    <n v="2019"/>
    <n v="20"/>
    <s v="China +"/>
    <x v="1"/>
    <n v="56100000"/>
    <n v="36200000"/>
    <n v="30200000"/>
    <n v="28000000"/>
    <n v="28900000"/>
    <n v="37400000"/>
    <n v="65900000"/>
    <n v="103000000"/>
    <n v="157000000"/>
    <n v="213000000"/>
    <n v="220000000"/>
    <n v="202000000"/>
    <n v="181000000"/>
    <n v="156000000"/>
    <n v="143000000"/>
    <n v="125000000"/>
    <n v="125000000"/>
    <n v="144000000"/>
    <n v="164000000"/>
    <n v="149000000"/>
    <n v="139000000"/>
    <n v="122000000"/>
    <n v="106000000"/>
    <n v="80500000"/>
    <s v="Winter"/>
    <s v="Weekend"/>
    <s v="Residential"/>
    <s v="Appliances"/>
  </r>
  <r>
    <x v="7"/>
    <n v="2019"/>
    <n v="20"/>
    <s v="China +"/>
    <x v="2"/>
    <n v="52500000"/>
    <n v="34000000"/>
    <n v="28300000"/>
    <n v="26200000"/>
    <n v="27000000"/>
    <n v="35000000"/>
    <n v="61700000"/>
    <n v="96300000"/>
    <n v="147000000"/>
    <n v="200000000"/>
    <n v="206000000"/>
    <n v="189000000"/>
    <n v="169000000"/>
    <n v="146000000"/>
    <n v="134000000"/>
    <n v="117000000"/>
    <n v="117000000"/>
    <n v="135000000"/>
    <n v="153000000"/>
    <n v="140000000"/>
    <n v="131000000"/>
    <n v="114000000"/>
    <n v="99100000"/>
    <n v="75400000"/>
    <s v="Spring"/>
    <s v="Weekend"/>
    <s v="Residential"/>
    <s v="Appliances"/>
  </r>
  <r>
    <x v="7"/>
    <n v="2019"/>
    <n v="20"/>
    <s v="China +"/>
    <x v="3"/>
    <n v="47600000"/>
    <n v="30800000"/>
    <n v="25600000"/>
    <n v="23800000"/>
    <n v="24500000"/>
    <n v="31800000"/>
    <n v="55900000"/>
    <n v="87300000"/>
    <n v="133000000"/>
    <n v="181000000"/>
    <n v="187000000"/>
    <n v="172000000"/>
    <n v="153000000"/>
    <n v="132000000"/>
    <n v="122000000"/>
    <n v="106000000"/>
    <n v="106000000"/>
    <n v="122000000"/>
    <n v="139000000"/>
    <n v="127000000"/>
    <n v="118000000"/>
    <n v="103000000"/>
    <n v="89800000"/>
    <n v="68400000"/>
    <s v="Spring"/>
    <s v="Weekend"/>
    <s v="Residential"/>
    <s v="Appliances"/>
  </r>
  <r>
    <x v="7"/>
    <n v="2019"/>
    <n v="20"/>
    <s v="China +"/>
    <x v="4"/>
    <n v="45200000"/>
    <n v="29200000"/>
    <n v="24300000"/>
    <n v="22500000"/>
    <n v="23200000"/>
    <n v="30100000"/>
    <n v="53000000"/>
    <n v="82700000"/>
    <n v="126000000"/>
    <n v="172000000"/>
    <n v="177000000"/>
    <n v="163000000"/>
    <n v="145000000"/>
    <n v="125000000"/>
    <n v="115000000"/>
    <n v="101000000"/>
    <n v="101000000"/>
    <n v="116000000"/>
    <n v="132000000"/>
    <n v="120000000"/>
    <n v="112000000"/>
    <n v="98000000"/>
    <n v="85100000"/>
    <n v="64800000"/>
    <s v="Spring"/>
    <s v="Weekend"/>
    <s v="Residential"/>
    <s v="Appliances"/>
  </r>
  <r>
    <x v="7"/>
    <n v="2019"/>
    <n v="20"/>
    <s v="China +"/>
    <x v="5"/>
    <n v="44700000"/>
    <n v="28900000"/>
    <n v="24100000"/>
    <n v="22300000"/>
    <n v="23000000"/>
    <n v="29800000"/>
    <n v="52500000"/>
    <n v="81900000"/>
    <n v="125000000"/>
    <n v="170000000"/>
    <n v="175000000"/>
    <n v="161000000"/>
    <n v="144000000"/>
    <n v="124000000"/>
    <n v="114000000"/>
    <n v="99600000"/>
    <n v="99700000"/>
    <n v="114000000"/>
    <n v="130000000"/>
    <n v="119000000"/>
    <n v="111000000"/>
    <n v="97000000"/>
    <n v="84200000"/>
    <n v="64200000"/>
    <s v="Summer"/>
    <s v="Weekend"/>
    <s v="Residential"/>
    <s v="Appliances"/>
  </r>
  <r>
    <x v="7"/>
    <n v="2019"/>
    <n v="20"/>
    <s v="China +"/>
    <x v="6"/>
    <n v="44600000"/>
    <n v="28800000"/>
    <n v="24000000"/>
    <n v="22300000"/>
    <n v="22900000"/>
    <n v="29700000"/>
    <n v="52400000"/>
    <n v="81700000"/>
    <n v="124000000"/>
    <n v="170000000"/>
    <n v="175000000"/>
    <n v="161000000"/>
    <n v="144000000"/>
    <n v="124000000"/>
    <n v="114000000"/>
    <n v="99400000"/>
    <n v="99500000"/>
    <n v="114000000"/>
    <n v="130000000"/>
    <n v="119000000"/>
    <n v="111000000"/>
    <n v="96800000"/>
    <n v="84100000"/>
    <n v="64000000"/>
    <s v="Summer"/>
    <s v="Weekend"/>
    <s v="Residential"/>
    <s v="Appliances"/>
  </r>
  <r>
    <x v="7"/>
    <n v="2019"/>
    <n v="20"/>
    <s v="China +"/>
    <x v="7"/>
    <n v="44600000"/>
    <n v="28800000"/>
    <n v="24000000"/>
    <n v="22300000"/>
    <n v="23000000"/>
    <n v="29700000"/>
    <n v="52400000"/>
    <n v="81800000"/>
    <n v="125000000"/>
    <n v="170000000"/>
    <n v="175000000"/>
    <n v="161000000"/>
    <n v="144000000"/>
    <n v="124000000"/>
    <n v="114000000"/>
    <n v="99500000"/>
    <n v="99500000"/>
    <n v="114000000"/>
    <n v="130000000"/>
    <n v="119000000"/>
    <n v="111000000"/>
    <n v="96900000"/>
    <n v="84100000"/>
    <n v="64100000"/>
    <s v="Summer"/>
    <s v="Weekend"/>
    <s v="Residential"/>
    <s v="Appliances"/>
  </r>
  <r>
    <x v="7"/>
    <n v="2019"/>
    <n v="20"/>
    <s v="China +"/>
    <x v="8"/>
    <n v="45100000"/>
    <n v="29200000"/>
    <n v="24300000"/>
    <n v="22500000"/>
    <n v="23200000"/>
    <n v="30100000"/>
    <n v="53000000"/>
    <n v="82700000"/>
    <n v="126000000"/>
    <n v="172000000"/>
    <n v="177000000"/>
    <n v="163000000"/>
    <n v="145000000"/>
    <n v="125000000"/>
    <n v="115000000"/>
    <n v="101000000"/>
    <n v="101000000"/>
    <n v="116000000"/>
    <n v="132000000"/>
    <n v="120000000"/>
    <n v="112000000"/>
    <n v="98000000"/>
    <n v="85100000"/>
    <n v="64800000"/>
    <s v="Fall"/>
    <s v="Weekend"/>
    <s v="Residential"/>
    <s v="Appliances"/>
  </r>
  <r>
    <x v="7"/>
    <n v="2019"/>
    <n v="20"/>
    <s v="China +"/>
    <x v="9"/>
    <n v="47200000"/>
    <n v="30500000"/>
    <n v="25400000"/>
    <n v="23500000"/>
    <n v="24300000"/>
    <n v="31400000"/>
    <n v="55400000"/>
    <n v="86400000"/>
    <n v="132000000"/>
    <n v="179000000"/>
    <n v="185000000"/>
    <n v="170000000"/>
    <n v="152000000"/>
    <n v="131000000"/>
    <n v="121000000"/>
    <n v="105000000"/>
    <n v="105000000"/>
    <n v="121000000"/>
    <n v="138000000"/>
    <n v="125000000"/>
    <n v="117000000"/>
    <n v="102000000"/>
    <n v="88900000"/>
    <n v="67700000"/>
    <s v="Fall"/>
    <s v="Weekend"/>
    <s v="Residential"/>
    <s v="Appliances"/>
  </r>
  <r>
    <x v="7"/>
    <n v="2019"/>
    <n v="20"/>
    <s v="China +"/>
    <x v="10"/>
    <n v="51700000"/>
    <n v="33400000"/>
    <n v="27800000"/>
    <n v="25800000"/>
    <n v="26600000"/>
    <n v="34500000"/>
    <n v="60700000"/>
    <n v="94700000"/>
    <n v="144000000"/>
    <n v="197000000"/>
    <n v="202000000"/>
    <n v="186000000"/>
    <n v="166000000"/>
    <n v="143000000"/>
    <n v="132000000"/>
    <n v="115000000"/>
    <n v="115000000"/>
    <n v="132000000"/>
    <n v="151000000"/>
    <n v="137000000"/>
    <n v="128000000"/>
    <n v="112000000"/>
    <n v="97400000"/>
    <n v="74200000"/>
    <s v="Winter"/>
    <s v="Weekend"/>
    <s v="Residential"/>
    <s v="Appliances"/>
  </r>
  <r>
    <x v="7"/>
    <n v="2019"/>
    <n v="20"/>
    <s v="China +"/>
    <x v="11"/>
    <n v="57000000"/>
    <n v="36900000"/>
    <n v="30700000"/>
    <n v="28500000"/>
    <n v="29300000"/>
    <n v="38000000"/>
    <n v="67000000"/>
    <n v="105000000"/>
    <n v="159000000"/>
    <n v="217000000"/>
    <n v="223000000"/>
    <n v="206000000"/>
    <n v="184000000"/>
    <n v="158000000"/>
    <n v="146000000"/>
    <n v="127000000"/>
    <n v="127000000"/>
    <n v="146000000"/>
    <n v="166000000"/>
    <n v="152000000"/>
    <n v="142000000"/>
    <n v="124000000"/>
    <n v="108000000"/>
    <n v="81900000"/>
    <s v="Winter"/>
    <s v="Weekend"/>
    <s v="Residential"/>
    <s v="Appliances"/>
  </r>
  <r>
    <x v="8"/>
    <n v="2019"/>
    <n v="20"/>
    <s v="China +"/>
    <x v="0"/>
    <n v="238848"/>
    <n v="225210"/>
    <n v="219520"/>
    <n v="216316"/>
    <n v="215637"/>
    <n v="222400"/>
    <n v="246558"/>
    <n v="294290"/>
    <n v="364438"/>
    <n v="409408"/>
    <n v="433096"/>
    <n v="439462"/>
    <n v="424750"/>
    <n v="435828"/>
    <n v="446998"/>
    <n v="446739"/>
    <n v="436555"/>
    <n v="415018"/>
    <n v="396618"/>
    <n v="371195"/>
    <n v="349895"/>
    <n v="328259"/>
    <n v="302359"/>
    <n v="267171"/>
    <s v="Winter"/>
    <s v="Weekday"/>
    <s v="Commercial"/>
    <s v="Cooling"/>
  </r>
  <r>
    <x v="8"/>
    <n v="2019"/>
    <n v="20"/>
    <s v="China +"/>
    <x v="1"/>
    <n v="498600"/>
    <n v="470041"/>
    <n v="458136"/>
    <n v="451494"/>
    <n v="450195"/>
    <n v="464539"/>
    <n v="515286"/>
    <n v="615198"/>
    <n v="762376"/>
    <n v="858887"/>
    <n v="912409"/>
    <n v="929651"/>
    <n v="901452"/>
    <n v="926004"/>
    <n v="949739"/>
    <n v="948760"/>
    <n v="926070"/>
    <n v="878674"/>
    <n v="836336"/>
    <n v="779196"/>
    <n v="732047"/>
    <n v="686039"/>
    <n v="631656"/>
    <n v="557906"/>
    <s v="Winter"/>
    <s v="Weekday"/>
    <s v="Commercial"/>
    <s v="Cooling"/>
  </r>
  <r>
    <x v="8"/>
    <n v="2019"/>
    <n v="20"/>
    <s v="China +"/>
    <x v="2"/>
    <n v="4243565"/>
    <n v="3999334"/>
    <n v="3897748"/>
    <n v="3841979"/>
    <n v="3832891"/>
    <n v="3959748"/>
    <n v="4404904"/>
    <n v="5280108"/>
    <n v="6566929"/>
    <n v="7421252"/>
    <n v="7910771"/>
    <n v="8086211"/>
    <n v="7866308"/>
    <n v="8085435"/>
    <n v="8290348"/>
    <n v="8278495"/>
    <n v="8075166"/>
    <n v="7653715"/>
    <n v="7265356"/>
    <n v="6745148"/>
    <n v="6309613"/>
    <n v="5881126"/>
    <n v="5392199"/>
    <n v="4751885"/>
    <s v="Spring"/>
    <s v="Weekday"/>
    <s v="Commercial"/>
    <s v="Cooling"/>
  </r>
  <r>
    <x v="8"/>
    <n v="2019"/>
    <n v="20"/>
    <s v="China +"/>
    <x v="3"/>
    <n v="50800000"/>
    <n v="47700000"/>
    <n v="46500000"/>
    <n v="45900000"/>
    <n v="46000000"/>
    <n v="47800000"/>
    <n v="53300000"/>
    <n v="63900000"/>
    <n v="79300000"/>
    <n v="89900000"/>
    <n v="96800000"/>
    <n v="101000000"/>
    <n v="101000000"/>
    <n v="105000000"/>
    <n v="108000000"/>
    <n v="107000000"/>
    <n v="103000000"/>
    <n v="96000000"/>
    <n v="89300000"/>
    <n v="82000000"/>
    <n v="76300000"/>
    <n v="70900000"/>
    <n v="64800000"/>
    <n v="57000000"/>
    <s v="Spring"/>
    <s v="Weekday"/>
    <s v="Commercial"/>
    <s v="Cooling"/>
  </r>
  <r>
    <x v="8"/>
    <n v="2019"/>
    <n v="20"/>
    <s v="China +"/>
    <x v="4"/>
    <n v="247000000"/>
    <n v="230000000"/>
    <n v="224000000"/>
    <n v="222000000"/>
    <n v="226000000"/>
    <n v="241000000"/>
    <n v="281000000"/>
    <n v="348000000"/>
    <n v="440000000"/>
    <n v="512000000"/>
    <n v="565000000"/>
    <n v="599000000"/>
    <n v="607000000"/>
    <n v="631000000"/>
    <n v="645000000"/>
    <n v="641000000"/>
    <n v="618000000"/>
    <n v="577000000"/>
    <n v="532000000"/>
    <n v="478000000"/>
    <n v="427000000"/>
    <n v="379000000"/>
    <n v="331000000"/>
    <n v="282000000"/>
    <s v="Spring"/>
    <s v="Weekday"/>
    <s v="Commercial"/>
    <s v="Cooling"/>
  </r>
  <r>
    <x v="8"/>
    <n v="2019"/>
    <n v="20"/>
    <s v="China +"/>
    <x v="5"/>
    <n v="482000000"/>
    <n v="448000000"/>
    <n v="435000000"/>
    <n v="436000000"/>
    <n v="450000000"/>
    <n v="485000000"/>
    <n v="553000000"/>
    <n v="662000000"/>
    <n v="807000000"/>
    <n v="920000000"/>
    <n v="1000000000"/>
    <n v="1050000000"/>
    <n v="1060000000"/>
    <n v="1090000000"/>
    <n v="1110000000"/>
    <n v="1110000000"/>
    <n v="1080000000"/>
    <n v="1020000000"/>
    <n v="950000000"/>
    <n v="867000000"/>
    <n v="787000000"/>
    <n v="708000000"/>
    <n v="629000000"/>
    <n v="546000000"/>
    <s v="Summer"/>
    <s v="Weekday"/>
    <s v="Commercial"/>
    <s v="Cooling"/>
  </r>
  <r>
    <x v="8"/>
    <n v="2019"/>
    <n v="20"/>
    <s v="China +"/>
    <x v="6"/>
    <n v="754000000"/>
    <n v="707000000"/>
    <n v="690000000"/>
    <n v="691000000"/>
    <n v="711000000"/>
    <n v="759000000"/>
    <n v="851000000"/>
    <n v="995000000"/>
    <n v="1180000000"/>
    <n v="1330000000"/>
    <n v="1430000000"/>
    <n v="1490000000"/>
    <n v="1500000000"/>
    <n v="1550000000"/>
    <n v="1570000000"/>
    <n v="1570000000"/>
    <n v="1520000000"/>
    <n v="1450000000"/>
    <n v="1360000000"/>
    <n v="1260000000"/>
    <n v="1160000000"/>
    <n v="1060000000"/>
    <n v="952000000"/>
    <n v="841000000"/>
    <s v="Summer"/>
    <s v="Weekday"/>
    <s v="Commercial"/>
    <s v="Cooling"/>
  </r>
  <r>
    <x v="8"/>
    <n v="2019"/>
    <n v="20"/>
    <s v="China +"/>
    <x v="7"/>
    <n v="703000000"/>
    <n v="659000000"/>
    <n v="642000000"/>
    <n v="643000000"/>
    <n v="662000000"/>
    <n v="708000000"/>
    <n v="796000000"/>
    <n v="937000000"/>
    <n v="1120000000"/>
    <n v="1260000000"/>
    <n v="1360000000"/>
    <n v="1430000000"/>
    <n v="1440000000"/>
    <n v="1480000000"/>
    <n v="1510000000"/>
    <n v="1500000000"/>
    <n v="1460000000"/>
    <n v="1380000000"/>
    <n v="1300000000"/>
    <n v="1200000000"/>
    <n v="1100000000"/>
    <n v="997000000"/>
    <n v="895000000"/>
    <n v="787000000"/>
    <s v="Summer"/>
    <s v="Weekday"/>
    <s v="Commercial"/>
    <s v="Cooling"/>
  </r>
  <r>
    <x v="8"/>
    <n v="2019"/>
    <n v="20"/>
    <s v="China +"/>
    <x v="8"/>
    <n v="336000000"/>
    <n v="314000000"/>
    <n v="305000000"/>
    <n v="304000000"/>
    <n v="311000000"/>
    <n v="333000000"/>
    <n v="380000000"/>
    <n v="457000000"/>
    <n v="563000000"/>
    <n v="643000000"/>
    <n v="699000000"/>
    <n v="733000000"/>
    <n v="738000000"/>
    <n v="764000000"/>
    <n v="780000000"/>
    <n v="776000000"/>
    <n v="751000000"/>
    <n v="707000000"/>
    <n v="659000000"/>
    <n v="601000000"/>
    <n v="547000000"/>
    <n v="494000000"/>
    <n v="441000000"/>
    <n v="382000000"/>
    <s v="Fall"/>
    <s v="Weekday"/>
    <s v="Commercial"/>
    <s v="Cooling"/>
  </r>
  <r>
    <x v="8"/>
    <n v="2019"/>
    <n v="20"/>
    <s v="China +"/>
    <x v="9"/>
    <n v="79700000"/>
    <n v="74900000"/>
    <n v="72900000"/>
    <n v="72100000"/>
    <n v="72500000"/>
    <n v="75500000"/>
    <n v="84600000"/>
    <n v="102000000"/>
    <n v="128000000"/>
    <n v="148000000"/>
    <n v="162000000"/>
    <n v="171000000"/>
    <n v="171000000"/>
    <n v="178000000"/>
    <n v="183000000"/>
    <n v="182000000"/>
    <n v="175000000"/>
    <n v="163000000"/>
    <n v="151000000"/>
    <n v="136000000"/>
    <n v="123000000"/>
    <n v="113000000"/>
    <n v="102000000"/>
    <n v="89600000"/>
    <s v="Fall"/>
    <s v="Weekday"/>
    <s v="Commercial"/>
    <s v="Cooling"/>
  </r>
  <r>
    <x v="8"/>
    <n v="2019"/>
    <n v="20"/>
    <s v="China +"/>
    <x v="10"/>
    <n v="21700000"/>
    <n v="20400000"/>
    <n v="19900000"/>
    <n v="19600000"/>
    <n v="19600000"/>
    <n v="20300000"/>
    <n v="22700000"/>
    <n v="27300000"/>
    <n v="34000000"/>
    <n v="38500000"/>
    <n v="41000000"/>
    <n v="42000000"/>
    <n v="40900000"/>
    <n v="42100000"/>
    <n v="43200000"/>
    <n v="43100000"/>
    <n v="42000000"/>
    <n v="39800000"/>
    <n v="37700000"/>
    <n v="35000000"/>
    <n v="32700000"/>
    <n v="30400000"/>
    <n v="27700000"/>
    <n v="24400000"/>
    <s v="Winter"/>
    <s v="Weekday"/>
    <s v="Commercial"/>
    <s v="Cooling"/>
  </r>
  <r>
    <x v="8"/>
    <n v="2019"/>
    <n v="20"/>
    <s v="China +"/>
    <x v="11"/>
    <n v="1748230"/>
    <n v="1648250"/>
    <n v="1606559"/>
    <n v="1583166"/>
    <n v="1578370"/>
    <n v="1628140"/>
    <n v="1805613"/>
    <n v="2155429"/>
    <n v="2669343"/>
    <n v="3000409"/>
    <n v="3182554"/>
    <n v="3242147"/>
    <n v="3143977"/>
    <n v="3230487"/>
    <n v="3313842"/>
    <n v="3310339"/>
    <n v="3230363"/>
    <n v="3063261"/>
    <n v="2915603"/>
    <n v="2720764"/>
    <n v="2562914"/>
    <n v="2404017"/>
    <n v="2213970"/>
    <n v="1955776"/>
    <s v="Winter"/>
    <s v="Weekday"/>
    <s v="Commercial"/>
    <s v="Cooling"/>
  </r>
  <r>
    <x v="9"/>
    <n v="2019"/>
    <n v="20"/>
    <s v="China +"/>
    <x v="0"/>
    <n v="129464"/>
    <n v="126703"/>
    <n v="125552"/>
    <n v="124906"/>
    <n v="124774"/>
    <n v="126150"/>
    <n v="131053"/>
    <n v="140770"/>
    <n v="155044"/>
    <n v="164265"/>
    <n v="169250"/>
    <n v="170911"/>
    <n v="172675"/>
    <n v="173349"/>
    <n v="173619"/>
    <n v="173387"/>
    <n v="170880"/>
    <n v="165972"/>
    <n v="161879"/>
    <n v="156544"/>
    <n v="152106"/>
    <n v="147634"/>
    <n v="142328"/>
    <n v="135196"/>
    <s v="Winter"/>
    <s v="Weekend"/>
    <s v="Commercial"/>
    <s v="Cooling"/>
  </r>
  <r>
    <x v="9"/>
    <n v="2019"/>
    <n v="20"/>
    <s v="China +"/>
    <x v="1"/>
    <n v="269418"/>
    <n v="263609"/>
    <n v="261193"/>
    <n v="259873"/>
    <n v="259669"/>
    <n v="262675"/>
    <n v="273088"/>
    <n v="293511"/>
    <n v="323719"/>
    <n v="344536"/>
    <n v="357387"/>
    <n v="363238"/>
    <n v="368404"/>
    <n v="370682"/>
    <n v="371508"/>
    <n v="370760"/>
    <n v="364671"/>
    <n v="352970"/>
    <n v="342065"/>
    <n v="328485"/>
    <n v="317610"/>
    <n v="307779"/>
    <n v="296527"/>
    <n v="281480"/>
    <s v="Winter"/>
    <s v="Weekend"/>
    <s v="Commercial"/>
    <s v="Cooling"/>
  </r>
  <r>
    <x v="9"/>
    <n v="2019"/>
    <n v="20"/>
    <s v="China +"/>
    <x v="2"/>
    <n v="2279280"/>
    <n v="2229148"/>
    <n v="2208425"/>
    <n v="2197656"/>
    <n v="2197091"/>
    <n v="2225528"/>
    <n v="2322095"/>
    <n v="2510795"/>
    <n v="2788357"/>
    <n v="2985170"/>
    <n v="3114786"/>
    <n v="3181611"/>
    <n v="3236774"/>
    <n v="3262478"/>
    <n v="3271574"/>
    <n v="3263138"/>
    <n v="3205309"/>
    <n v="3095055"/>
    <n v="2985618"/>
    <n v="2849860"/>
    <n v="2736860"/>
    <n v="2631078"/>
    <n v="2519684"/>
    <n v="2384060"/>
    <s v="Spring"/>
    <s v="Weekend"/>
    <s v="Commercial"/>
    <s v="Cooling"/>
  </r>
  <r>
    <x v="9"/>
    <n v="2019"/>
    <n v="20"/>
    <s v="China +"/>
    <x v="3"/>
    <n v="26800000"/>
    <n v="26100000"/>
    <n v="25800000"/>
    <n v="25800000"/>
    <n v="25900000"/>
    <n v="26400000"/>
    <n v="27700000"/>
    <n v="30100000"/>
    <n v="33500000"/>
    <n v="36100000"/>
    <n v="38300000"/>
    <n v="40400000"/>
    <n v="42400000"/>
    <n v="43700000"/>
    <n v="44200000"/>
    <n v="43800000"/>
    <n v="42100000"/>
    <n v="39400000"/>
    <n v="36800000"/>
    <n v="34600000"/>
    <n v="32900000"/>
    <n v="31400000"/>
    <n v="29900000"/>
    <n v="28200000"/>
    <s v="Spring"/>
    <s v="Weekend"/>
    <s v="Commercial"/>
    <s v="Cooling"/>
  </r>
  <r>
    <x v="9"/>
    <n v="2019"/>
    <n v="20"/>
    <s v="China +"/>
    <x v="4"/>
    <n v="123000000"/>
    <n v="118000000"/>
    <n v="117000000"/>
    <n v="117000000"/>
    <n v="119000000"/>
    <n v="125000000"/>
    <n v="139000000"/>
    <n v="160000000"/>
    <n v="188000000"/>
    <n v="213000000"/>
    <n v="234000000"/>
    <n v="251000000"/>
    <n v="264000000"/>
    <n v="272000000"/>
    <n v="275000000"/>
    <n v="272000000"/>
    <n v="263000000"/>
    <n v="247000000"/>
    <n v="228000000"/>
    <n v="206000000"/>
    <n v="186000000"/>
    <n v="166000000"/>
    <n v="148000000"/>
    <n v="133000000"/>
    <s v="Spring"/>
    <s v="Weekend"/>
    <s v="Commercial"/>
    <s v="Cooling"/>
  </r>
  <r>
    <x v="9"/>
    <n v="2019"/>
    <n v="20"/>
    <s v="China +"/>
    <x v="5"/>
    <n v="236000000"/>
    <n v="225000000"/>
    <n v="221000000"/>
    <n v="223000000"/>
    <n v="231000000"/>
    <n v="246000000"/>
    <n v="270000000"/>
    <n v="305000000"/>
    <n v="348000000"/>
    <n v="386000000"/>
    <n v="417000000"/>
    <n v="440000000"/>
    <n v="458000000"/>
    <n v="469000000"/>
    <n v="473000000"/>
    <n v="469000000"/>
    <n v="456000000"/>
    <n v="434000000"/>
    <n v="408000000"/>
    <n v="376000000"/>
    <n v="344000000"/>
    <n v="313000000"/>
    <n v="283000000"/>
    <n v="257000000"/>
    <s v="Summer"/>
    <s v="Weekend"/>
    <s v="Commercial"/>
    <s v="Cooling"/>
  </r>
  <r>
    <x v="9"/>
    <n v="2019"/>
    <n v="20"/>
    <s v="China +"/>
    <x v="6"/>
    <n v="367000000"/>
    <n v="352000000"/>
    <n v="346000000"/>
    <n v="349000000"/>
    <n v="360000000"/>
    <n v="380000000"/>
    <n v="413000000"/>
    <n v="458000000"/>
    <n v="512000000"/>
    <n v="559000000"/>
    <n v="597000000"/>
    <n v="626000000"/>
    <n v="648000000"/>
    <n v="661000000"/>
    <n v="665000000"/>
    <n v="661000000"/>
    <n v="645000000"/>
    <n v="618000000"/>
    <n v="586000000"/>
    <n v="547000000"/>
    <n v="508000000"/>
    <n v="468000000"/>
    <n v="430000000"/>
    <n v="395000000"/>
    <s v="Summer"/>
    <s v="Weekend"/>
    <s v="Commercial"/>
    <s v="Cooling"/>
  </r>
  <r>
    <x v="9"/>
    <n v="2019"/>
    <n v="20"/>
    <s v="China +"/>
    <x v="7"/>
    <n v="343000000"/>
    <n v="328000000"/>
    <n v="323000000"/>
    <n v="326000000"/>
    <n v="336000000"/>
    <n v="356000000"/>
    <n v="387000000"/>
    <n v="431000000"/>
    <n v="485000000"/>
    <n v="531000000"/>
    <n v="569000000"/>
    <n v="598000000"/>
    <n v="620000000"/>
    <n v="633000000"/>
    <n v="637000000"/>
    <n v="633000000"/>
    <n v="617000000"/>
    <n v="590000000"/>
    <n v="558000000"/>
    <n v="520000000"/>
    <n v="480000000"/>
    <n v="441000000"/>
    <n v="404000000"/>
    <n v="369000000"/>
    <s v="Summer"/>
    <s v="Weekend"/>
    <s v="Commercial"/>
    <s v="Cooling"/>
  </r>
  <r>
    <x v="9"/>
    <n v="2019"/>
    <n v="20"/>
    <s v="China +"/>
    <x v="8"/>
    <n v="168000000"/>
    <n v="161000000"/>
    <n v="158000000"/>
    <n v="159000000"/>
    <n v="163000000"/>
    <n v="172000000"/>
    <n v="188000000"/>
    <n v="212000000"/>
    <n v="241000000"/>
    <n v="267000000"/>
    <n v="288000000"/>
    <n v="305000000"/>
    <n v="318000000"/>
    <n v="326000000"/>
    <n v="329000000"/>
    <n v="326000000"/>
    <n v="316000000"/>
    <n v="300000000"/>
    <n v="281000000"/>
    <n v="260000000"/>
    <n v="238000000"/>
    <n v="218000000"/>
    <n v="199000000"/>
    <n v="181000000"/>
    <s v="Fall"/>
    <s v="Weekend"/>
    <s v="Commercial"/>
    <s v="Cooling"/>
  </r>
  <r>
    <x v="9"/>
    <n v="2019"/>
    <n v="20"/>
    <s v="China +"/>
    <x v="9"/>
    <n v="41300000"/>
    <n v="40100000"/>
    <n v="39700000"/>
    <n v="39600000"/>
    <n v="39900000"/>
    <n v="40800000"/>
    <n v="43100000"/>
    <n v="47400000"/>
    <n v="53900000"/>
    <n v="59900000"/>
    <n v="65400000"/>
    <n v="69700000"/>
    <n v="73200000"/>
    <n v="75300000"/>
    <n v="76100000"/>
    <n v="75300000"/>
    <n v="72700000"/>
    <n v="68200000"/>
    <n v="63200000"/>
    <n v="57600000"/>
    <n v="53000000"/>
    <n v="49400000"/>
    <n v="46500000"/>
    <n v="43500000"/>
    <s v="Fall"/>
    <s v="Weekend"/>
    <s v="Commercial"/>
    <s v="Cooling"/>
  </r>
  <r>
    <x v="9"/>
    <n v="2019"/>
    <n v="20"/>
    <s v="China +"/>
    <x v="10"/>
    <n v="11600000"/>
    <n v="11300000"/>
    <n v="11200000"/>
    <n v="11200000"/>
    <n v="11200000"/>
    <n v="11400000"/>
    <n v="11900000"/>
    <n v="13000000"/>
    <n v="14500000"/>
    <n v="15500000"/>
    <n v="16200000"/>
    <n v="16600000"/>
    <n v="16900000"/>
    <n v="17100000"/>
    <n v="17200000"/>
    <n v="17100000"/>
    <n v="16700000"/>
    <n v="16100000"/>
    <n v="15600000"/>
    <n v="14800000"/>
    <n v="14200000"/>
    <n v="13600000"/>
    <n v="12900000"/>
    <n v="12200000"/>
    <s v="Winter"/>
    <s v="Weekend"/>
    <s v="Commercial"/>
    <s v="Cooling"/>
  </r>
  <r>
    <x v="9"/>
    <n v="2019"/>
    <n v="20"/>
    <s v="China +"/>
    <x v="11"/>
    <n v="945908"/>
    <n v="925637"/>
    <n v="917196"/>
    <n v="912510"/>
    <n v="911647"/>
    <n v="921867"/>
    <n v="958098"/>
    <n v="1029389"/>
    <n v="1133999"/>
    <n v="1202551"/>
    <n v="1244283"/>
    <n v="1264290"/>
    <n v="1282919"/>
    <n v="1291139"/>
    <n v="1294083"/>
    <n v="1291414"/>
    <n v="1269803"/>
    <n v="1228209"/>
    <n v="1190439"/>
    <n v="1146147"/>
    <n v="1112532"/>
    <n v="1079529"/>
    <n v="1040463"/>
    <n v="987951"/>
    <s v="Winter"/>
    <s v="Weekend"/>
    <s v="Commercial"/>
    <s v="Cooling"/>
  </r>
  <r>
    <x v="10"/>
    <n v="2019"/>
    <n v="20"/>
    <s v="China +"/>
    <x v="0"/>
    <n v="221000000"/>
    <n v="202000000"/>
    <n v="182000000"/>
    <n v="190000000"/>
    <n v="199000000"/>
    <n v="203000000"/>
    <n v="295000000"/>
    <n v="626000000"/>
    <n v="666000000"/>
    <n v="480000000"/>
    <n v="401000000"/>
    <n v="353000000"/>
    <n v="312000000"/>
    <n v="293000000"/>
    <n v="274000000"/>
    <n v="264000000"/>
    <n v="259000000"/>
    <n v="263000000"/>
    <n v="304000000"/>
    <n v="342000000"/>
    <n v="364000000"/>
    <n v="393000000"/>
    <n v="394000000"/>
    <n v="181000000"/>
    <s v="Winter"/>
    <s v="Weekday"/>
    <s v="Commercial"/>
    <s v="Heating"/>
  </r>
  <r>
    <x v="10"/>
    <n v="2019"/>
    <n v="20"/>
    <s v="China +"/>
    <x v="1"/>
    <n v="181000000"/>
    <n v="166000000"/>
    <n v="149000000"/>
    <n v="154000000"/>
    <n v="164000000"/>
    <n v="165000000"/>
    <n v="249000000"/>
    <n v="533000000"/>
    <n v="556000000"/>
    <n v="392000000"/>
    <n v="322000000"/>
    <n v="280000000"/>
    <n v="245000000"/>
    <n v="228000000"/>
    <n v="213000000"/>
    <n v="204000000"/>
    <n v="199000000"/>
    <n v="197000000"/>
    <n v="229000000"/>
    <n v="266000000"/>
    <n v="290000000"/>
    <n v="319000000"/>
    <n v="318000000"/>
    <n v="156000000"/>
    <s v="Winter"/>
    <s v="Weekday"/>
    <s v="Commercial"/>
    <s v="Heating"/>
  </r>
  <r>
    <x v="10"/>
    <n v="2019"/>
    <n v="20"/>
    <s v="China +"/>
    <x v="2"/>
    <n v="135000000"/>
    <n v="120000000"/>
    <n v="115000000"/>
    <n v="119000000"/>
    <n v="121000000"/>
    <n v="169000000"/>
    <n v="296000000"/>
    <n v="417000000"/>
    <n v="347000000"/>
    <n v="257000000"/>
    <n v="212000000"/>
    <n v="180000000"/>
    <n v="160000000"/>
    <n v="147000000"/>
    <n v="137000000"/>
    <n v="128000000"/>
    <n v="120000000"/>
    <n v="125000000"/>
    <n v="144000000"/>
    <n v="172000000"/>
    <n v="202000000"/>
    <n v="178000000"/>
    <n v="156000000"/>
    <n v="131000000"/>
    <s v="Spring"/>
    <s v="Weekday"/>
    <s v="Commercial"/>
    <s v="Heating"/>
  </r>
  <r>
    <x v="10"/>
    <n v="2019"/>
    <n v="20"/>
    <s v="China +"/>
    <x v="3"/>
    <n v="68500000"/>
    <n v="61200000"/>
    <n v="62100000"/>
    <n v="63100000"/>
    <n v="61500000"/>
    <n v="103000000"/>
    <n v="190000000"/>
    <n v="159000000"/>
    <n v="107000000"/>
    <n v="83500000"/>
    <n v="69100000"/>
    <n v="56800000"/>
    <n v="51200000"/>
    <n v="46900000"/>
    <n v="43600000"/>
    <n v="40300000"/>
    <n v="36400000"/>
    <n v="40000000"/>
    <n v="45600000"/>
    <n v="54500000"/>
    <n v="70100000"/>
    <n v="53000000"/>
    <n v="48400000"/>
    <n v="48400000"/>
    <s v="Spring"/>
    <s v="Weekday"/>
    <s v="Commercial"/>
    <s v="Heating"/>
  </r>
  <r>
    <x v="10"/>
    <n v="2019"/>
    <n v="20"/>
    <s v="China +"/>
    <x v="4"/>
    <n v="11500000"/>
    <n v="10800000"/>
    <n v="11000000"/>
    <n v="11200000"/>
    <n v="10800000"/>
    <n v="17000000"/>
    <n v="42700000"/>
    <n v="33500000"/>
    <n v="21900000"/>
    <n v="17200000"/>
    <n v="14500000"/>
    <n v="12200000"/>
    <n v="11100000"/>
    <n v="10300000"/>
    <n v="9653035"/>
    <n v="8959085"/>
    <n v="8187129"/>
    <n v="8727635"/>
    <n v="9834550"/>
    <n v="11500000"/>
    <n v="15300000"/>
    <n v="13500000"/>
    <n v="10400000"/>
    <n v="11100000"/>
    <s v="Spring"/>
    <s v="Weekday"/>
    <s v="Commercial"/>
    <s v="Heating"/>
  </r>
  <r>
    <x v="10"/>
    <n v="2019"/>
    <n v="20"/>
    <s v="China +"/>
    <x v="5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s v="Summer"/>
    <s v="Weekday"/>
    <s v="Commercial"/>
    <s v="Heating"/>
  </r>
  <r>
    <x v="10"/>
    <n v="2019"/>
    <n v="20"/>
    <s v="China +"/>
    <x v="6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s v="Summer"/>
    <s v="Weekday"/>
    <s v="Commercial"/>
    <s v="Heating"/>
  </r>
  <r>
    <x v="10"/>
    <n v="2019"/>
    <n v="20"/>
    <s v="China +"/>
    <x v="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s v="Summer"/>
    <s v="Weekday"/>
    <s v="Commercial"/>
    <s v="Heating"/>
  </r>
  <r>
    <x v="10"/>
    <n v="2019"/>
    <n v="20"/>
    <s v="China +"/>
    <x v="8"/>
    <n v="19700000"/>
    <n v="19100000"/>
    <n v="19500000"/>
    <n v="19900000"/>
    <n v="19200000"/>
    <n v="29200000"/>
    <n v="29400000"/>
    <n v="25900000"/>
    <n v="16600000"/>
    <n v="12300000"/>
    <n v="9804806"/>
    <n v="8051819"/>
    <n v="7235626"/>
    <n v="6607815"/>
    <n v="6138650"/>
    <n v="5703118"/>
    <n v="5373388"/>
    <n v="5734862"/>
    <n v="6948868"/>
    <n v="8605936"/>
    <n v="11600000"/>
    <n v="10900000"/>
    <n v="13500000"/>
    <n v="14300000"/>
    <s v="Fall"/>
    <s v="Weekday"/>
    <s v="Commercial"/>
    <s v="Heating"/>
  </r>
  <r>
    <x v="10"/>
    <n v="2019"/>
    <n v="20"/>
    <s v="China +"/>
    <x v="9"/>
    <n v="57900000"/>
    <n v="52100000"/>
    <n v="52800000"/>
    <n v="53600000"/>
    <n v="52100000"/>
    <n v="86800000"/>
    <n v="149000000"/>
    <n v="135000000"/>
    <n v="92600000"/>
    <n v="70600000"/>
    <n v="56800000"/>
    <n v="46000000"/>
    <n v="41300000"/>
    <n v="37600000"/>
    <n v="35000000"/>
    <n v="32700000"/>
    <n v="30600000"/>
    <n v="35500000"/>
    <n v="44100000"/>
    <n v="52800000"/>
    <n v="64700000"/>
    <n v="47900000"/>
    <n v="41700000"/>
    <n v="43800000"/>
    <s v="Fall"/>
    <s v="Weekday"/>
    <s v="Commercial"/>
    <s v="Heating"/>
  </r>
  <r>
    <x v="10"/>
    <n v="2019"/>
    <n v="20"/>
    <s v="China +"/>
    <x v="10"/>
    <n v="126000000"/>
    <n v="116000000"/>
    <n v="103000000"/>
    <n v="105000000"/>
    <n v="107000000"/>
    <n v="114000000"/>
    <n v="118000000"/>
    <n v="376000000"/>
    <n v="333000000"/>
    <n v="232000000"/>
    <n v="186000000"/>
    <n v="159000000"/>
    <n v="138000000"/>
    <n v="128000000"/>
    <n v="120000000"/>
    <n v="116000000"/>
    <n v="115000000"/>
    <n v="121000000"/>
    <n v="147000000"/>
    <n v="169000000"/>
    <n v="185000000"/>
    <n v="198000000"/>
    <n v="194000000"/>
    <n v="118000000"/>
    <s v="Winter"/>
    <s v="Weekday"/>
    <s v="Commercial"/>
    <s v="Heating"/>
  </r>
  <r>
    <x v="10"/>
    <n v="2019"/>
    <n v="20"/>
    <s v="China +"/>
    <x v="11"/>
    <n v="197000000"/>
    <n v="179000000"/>
    <n v="160000000"/>
    <n v="164000000"/>
    <n v="173000000"/>
    <n v="174000000"/>
    <n v="197000000"/>
    <n v="571000000"/>
    <n v="586000000"/>
    <n v="420000000"/>
    <n v="346000000"/>
    <n v="302000000"/>
    <n v="265000000"/>
    <n v="249000000"/>
    <n v="235000000"/>
    <n v="227000000"/>
    <n v="226000000"/>
    <n v="234000000"/>
    <n v="273000000"/>
    <n v="306000000"/>
    <n v="325000000"/>
    <n v="352000000"/>
    <n v="350000000"/>
    <n v="169000000"/>
    <s v="Winter"/>
    <s v="Weekday"/>
    <s v="Commercial"/>
    <s v="Heating"/>
  </r>
  <r>
    <x v="11"/>
    <n v="2019"/>
    <n v="20"/>
    <s v="China +"/>
    <x v="0"/>
    <n v="67100000"/>
    <n v="66000000"/>
    <n v="59300000"/>
    <n v="63300000"/>
    <n v="65200000"/>
    <n v="68800000"/>
    <n v="80300000"/>
    <n v="155000000"/>
    <n v="198000000"/>
    <n v="163000000"/>
    <n v="139000000"/>
    <n v="124000000"/>
    <n v="112000000"/>
    <n v="104000000"/>
    <n v="98400000"/>
    <n v="101000000"/>
    <n v="100000000"/>
    <n v="108000000"/>
    <n v="125000000"/>
    <n v="86600000"/>
    <n v="87300000"/>
    <n v="94600000"/>
    <n v="96600000"/>
    <n v="81200000"/>
    <s v="Winter"/>
    <s v="Weekend"/>
    <s v="Commercial"/>
    <s v="Heating"/>
  </r>
  <r>
    <x v="11"/>
    <n v="2019"/>
    <n v="20"/>
    <s v="China +"/>
    <x v="1"/>
    <n v="57100000"/>
    <n v="52800000"/>
    <n v="47500000"/>
    <n v="49700000"/>
    <n v="52700000"/>
    <n v="54400000"/>
    <n v="66200000"/>
    <n v="136000000"/>
    <n v="172000000"/>
    <n v="135000000"/>
    <n v="114000000"/>
    <n v="99600000"/>
    <n v="90100000"/>
    <n v="82500000"/>
    <n v="77700000"/>
    <n v="79300000"/>
    <n v="77800000"/>
    <n v="82000000"/>
    <n v="96400000"/>
    <n v="66200000"/>
    <n v="68600000"/>
    <n v="74700000"/>
    <n v="77000000"/>
    <n v="63100000"/>
    <s v="Winter"/>
    <s v="Weekend"/>
    <s v="Commercial"/>
    <s v="Heating"/>
  </r>
  <r>
    <x v="11"/>
    <n v="2019"/>
    <n v="20"/>
    <s v="China +"/>
    <x v="2"/>
    <n v="41500000"/>
    <n v="36700000"/>
    <n v="35300000"/>
    <n v="36400000"/>
    <n v="37500000"/>
    <n v="42700000"/>
    <n v="72700000"/>
    <n v="109000000"/>
    <n v="110000000"/>
    <n v="87700000"/>
    <n v="73700000"/>
    <n v="64800000"/>
    <n v="58400000"/>
    <n v="54100000"/>
    <n v="52600000"/>
    <n v="51300000"/>
    <n v="50400000"/>
    <n v="54500000"/>
    <n v="54700000"/>
    <n v="46200000"/>
    <n v="50800000"/>
    <n v="53200000"/>
    <n v="48200000"/>
    <n v="45100000"/>
    <s v="Spring"/>
    <s v="Weekend"/>
    <s v="Commercial"/>
    <s v="Heating"/>
  </r>
  <r>
    <x v="11"/>
    <n v="2019"/>
    <n v="20"/>
    <s v="China +"/>
    <x v="3"/>
    <n v="18300000"/>
    <n v="16400000"/>
    <n v="16600000"/>
    <n v="16900000"/>
    <n v="16900000"/>
    <n v="20000000"/>
    <n v="40200000"/>
    <n v="42700000"/>
    <n v="34800000"/>
    <n v="29400000"/>
    <n v="25300000"/>
    <n v="22500000"/>
    <n v="20500000"/>
    <n v="19300000"/>
    <n v="19300000"/>
    <n v="17400000"/>
    <n v="17400000"/>
    <n v="19300000"/>
    <n v="17200000"/>
    <n v="18600000"/>
    <n v="21600000"/>
    <n v="22000000"/>
    <n v="18800000"/>
    <n v="19800000"/>
    <s v="Spring"/>
    <s v="Weekend"/>
    <s v="Commercial"/>
    <s v="Heating"/>
  </r>
  <r>
    <x v="11"/>
    <n v="2019"/>
    <n v="20"/>
    <s v="China +"/>
    <x v="4"/>
    <n v="4504500"/>
    <n v="4245247"/>
    <n v="4320999"/>
    <n v="4393211"/>
    <n v="4349707"/>
    <n v="4913871"/>
    <n v="7607855"/>
    <n v="7792532"/>
    <n v="6351653"/>
    <n v="5398964"/>
    <n v="4707610"/>
    <n v="4261300"/>
    <n v="3917455"/>
    <n v="3697094"/>
    <n v="3637926"/>
    <n v="3209188"/>
    <n v="3185704"/>
    <n v="3467756"/>
    <n v="3511457"/>
    <n v="3816907"/>
    <n v="4563842"/>
    <n v="4646906"/>
    <n v="4361812"/>
    <n v="4597259"/>
    <s v="Spring"/>
    <s v="Weekend"/>
    <s v="Commercial"/>
    <s v="Heating"/>
  </r>
  <r>
    <x v="11"/>
    <n v="2019"/>
    <n v="20"/>
    <s v="China +"/>
    <x v="5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s v="Summer"/>
    <s v="Weekend"/>
    <s v="Commercial"/>
    <s v="Heating"/>
  </r>
  <r>
    <x v="11"/>
    <n v="2019"/>
    <n v="20"/>
    <s v="China +"/>
    <x v="6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s v="Summer"/>
    <s v="Weekend"/>
    <s v="Commercial"/>
    <s v="Heating"/>
  </r>
  <r>
    <x v="11"/>
    <n v="2019"/>
    <n v="20"/>
    <s v="China +"/>
    <x v="7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s v="Summer"/>
    <s v="Weekend"/>
    <s v="Commercial"/>
    <s v="Heating"/>
  </r>
  <r>
    <x v="11"/>
    <n v="2019"/>
    <n v="20"/>
    <s v="China +"/>
    <x v="8"/>
    <n v="4509530"/>
    <n v="4390663"/>
    <n v="4487247"/>
    <n v="4578738"/>
    <n v="4530064"/>
    <n v="4961106"/>
    <n v="7113485"/>
    <n v="7991176"/>
    <n v="6297097"/>
    <n v="5136819"/>
    <n v="4333247"/>
    <n v="3843667"/>
    <n v="3502266"/>
    <n v="3287363"/>
    <n v="3216849"/>
    <n v="2753150"/>
    <n v="2780827"/>
    <n v="3094858"/>
    <n v="3267302"/>
    <n v="3683424"/>
    <n v="4434166"/>
    <n v="4485716"/>
    <n v="4426097"/>
    <n v="4636404"/>
    <s v="Fall"/>
    <s v="Weekend"/>
    <s v="Commercial"/>
    <s v="Heating"/>
  </r>
  <r>
    <x v="11"/>
    <n v="2019"/>
    <n v="20"/>
    <s v="China +"/>
    <x v="9"/>
    <n v="15600000"/>
    <n v="14000000"/>
    <n v="14200000"/>
    <n v="14400000"/>
    <n v="14300000"/>
    <n v="16800000"/>
    <n v="33000000"/>
    <n v="36600000"/>
    <n v="30100000"/>
    <n v="24600000"/>
    <n v="20700000"/>
    <n v="18400000"/>
    <n v="16700000"/>
    <n v="15700000"/>
    <n v="15800000"/>
    <n v="14400000"/>
    <n v="14600000"/>
    <n v="17000000"/>
    <n v="15500000"/>
    <n v="16900000"/>
    <n v="19200000"/>
    <n v="19200000"/>
    <n v="16300000"/>
    <n v="17100000"/>
    <s v="Fall"/>
    <s v="Weekend"/>
    <s v="Commercial"/>
    <s v="Heating"/>
  </r>
  <r>
    <x v="11"/>
    <n v="2019"/>
    <n v="20"/>
    <s v="China +"/>
    <x v="10"/>
    <n v="38700000"/>
    <n v="35400000"/>
    <n v="32000000"/>
    <n v="32800000"/>
    <n v="33700000"/>
    <n v="35500000"/>
    <n v="52600000"/>
    <n v="88400000"/>
    <n v="91600000"/>
    <n v="75500000"/>
    <n v="64200000"/>
    <n v="56400000"/>
    <n v="51100000"/>
    <n v="47100000"/>
    <n v="45300000"/>
    <n v="45500000"/>
    <n v="45900000"/>
    <n v="51400000"/>
    <n v="56700000"/>
    <n v="47400000"/>
    <n v="49000000"/>
    <n v="51900000"/>
    <n v="50000000"/>
    <n v="42300000"/>
    <s v="Winter"/>
    <s v="Weekend"/>
    <s v="Commercial"/>
    <s v="Heating"/>
  </r>
  <r>
    <x v="11"/>
    <n v="2019"/>
    <n v="20"/>
    <s v="China +"/>
    <x v="11"/>
    <n v="58900000"/>
    <n v="54100000"/>
    <n v="48400000"/>
    <n v="50300000"/>
    <n v="53000000"/>
    <n v="54600000"/>
    <n v="66200000"/>
    <n v="140000000"/>
    <n v="175000000"/>
    <n v="141000000"/>
    <n v="120000000"/>
    <n v="107000000"/>
    <n v="97400000"/>
    <n v="90500000"/>
    <n v="86400000"/>
    <n v="89800000"/>
    <n v="90500000"/>
    <n v="99400000"/>
    <n v="116000000"/>
    <n v="76500000"/>
    <n v="77800000"/>
    <n v="83600000"/>
    <n v="85800000"/>
    <n v="70000000"/>
    <s v="Winter"/>
    <s v="Weekend"/>
    <s v="Commercial"/>
    <s v="Heating"/>
  </r>
  <r>
    <x v="12"/>
    <n v="2019"/>
    <n v="20"/>
    <s v="China +"/>
    <x v="0"/>
    <n v="17000000"/>
    <n v="12900000"/>
    <n v="11400000"/>
    <n v="11400000"/>
    <n v="13300000"/>
    <n v="19900000"/>
    <n v="32800000"/>
    <n v="48900000"/>
    <n v="51500000"/>
    <n v="44300000"/>
    <n v="38100000"/>
    <n v="33100000"/>
    <n v="31200000"/>
    <n v="31400000"/>
    <n v="30100000"/>
    <n v="28900000"/>
    <n v="24700000"/>
    <n v="24600000"/>
    <n v="35600000"/>
    <n v="35300000"/>
    <n v="30800000"/>
    <n v="37200000"/>
    <n v="35600000"/>
    <n v="24000000"/>
    <s v="Winter"/>
    <s v="Weekday"/>
    <s v="Commercial"/>
    <s v="Appliances"/>
  </r>
  <r>
    <x v="12"/>
    <n v="2019"/>
    <n v="20"/>
    <s v="China +"/>
    <x v="1"/>
    <n v="15900000"/>
    <n v="12100000"/>
    <n v="10700000"/>
    <n v="10700000"/>
    <n v="12400000"/>
    <n v="18600000"/>
    <n v="30600000"/>
    <n v="45700000"/>
    <n v="48100000"/>
    <n v="41300000"/>
    <n v="35500000"/>
    <n v="30900000"/>
    <n v="29200000"/>
    <n v="29300000"/>
    <n v="28100000"/>
    <n v="27000000"/>
    <n v="23000000"/>
    <n v="23000000"/>
    <n v="33300000"/>
    <n v="33000000"/>
    <n v="28700000"/>
    <n v="34700000"/>
    <n v="33300000"/>
    <n v="22400000"/>
    <s v="Winter"/>
    <s v="Weekday"/>
    <s v="Commercial"/>
    <s v="Appliances"/>
  </r>
  <r>
    <x v="12"/>
    <n v="2019"/>
    <n v="20"/>
    <s v="China +"/>
    <x v="2"/>
    <n v="14500000"/>
    <n v="11000000"/>
    <n v="9710607"/>
    <n v="9688289"/>
    <n v="11300000"/>
    <n v="16900000"/>
    <n v="27800000"/>
    <n v="41500000"/>
    <n v="43700000"/>
    <n v="37600000"/>
    <n v="32300000"/>
    <n v="28100000"/>
    <n v="26500000"/>
    <n v="26600000"/>
    <n v="25600000"/>
    <n v="24600000"/>
    <n v="21000000"/>
    <n v="20900000"/>
    <n v="30300000"/>
    <n v="30000000"/>
    <n v="26100000"/>
    <n v="31600000"/>
    <n v="30200000"/>
    <n v="20400000"/>
    <s v="Spring"/>
    <s v="Weekday"/>
    <s v="Commercial"/>
    <s v="Appliances"/>
  </r>
  <r>
    <x v="12"/>
    <n v="2019"/>
    <n v="20"/>
    <s v="China +"/>
    <x v="3"/>
    <n v="12500000"/>
    <n v="9449205"/>
    <n v="8371056"/>
    <n v="8351817"/>
    <n v="9736495"/>
    <n v="14600000"/>
    <n v="24000000"/>
    <n v="35800000"/>
    <n v="37700000"/>
    <n v="32400000"/>
    <n v="27900000"/>
    <n v="24300000"/>
    <n v="22900000"/>
    <n v="23000000"/>
    <n v="22000000"/>
    <n v="21200000"/>
    <n v="18100000"/>
    <n v="18000000"/>
    <n v="26100000"/>
    <n v="25900000"/>
    <n v="22500000"/>
    <n v="27200000"/>
    <n v="26100000"/>
    <n v="17500000"/>
    <s v="Spring"/>
    <s v="Weekday"/>
    <s v="Commercial"/>
    <s v="Appliances"/>
  </r>
  <r>
    <x v="12"/>
    <n v="2019"/>
    <n v="20"/>
    <s v="China +"/>
    <x v="4"/>
    <n v="11500000"/>
    <n v="8688029"/>
    <n v="7696730"/>
    <n v="7679040"/>
    <n v="8952177"/>
    <n v="13400000"/>
    <n v="22100000"/>
    <n v="32900000"/>
    <n v="34700000"/>
    <n v="29800000"/>
    <n v="25600000"/>
    <n v="22300000"/>
    <n v="21000000"/>
    <n v="21100000"/>
    <n v="20300000"/>
    <n v="19500000"/>
    <n v="16600000"/>
    <n v="16600000"/>
    <n v="24000000"/>
    <n v="23800000"/>
    <n v="20700000"/>
    <n v="25000000"/>
    <n v="24000000"/>
    <n v="16100000"/>
    <s v="Spring"/>
    <s v="Weekday"/>
    <s v="Commercial"/>
    <s v="Appliances"/>
  </r>
  <r>
    <x v="12"/>
    <n v="2019"/>
    <n v="20"/>
    <s v="China +"/>
    <x v="5"/>
    <n v="11300000"/>
    <n v="8545089"/>
    <n v="7570099"/>
    <n v="7552700"/>
    <n v="8804890"/>
    <n v="13200000"/>
    <n v="21700000"/>
    <n v="32400000"/>
    <n v="34100000"/>
    <n v="29300000"/>
    <n v="25200000"/>
    <n v="21900000"/>
    <n v="20700000"/>
    <n v="20800000"/>
    <n v="19900000"/>
    <n v="19200000"/>
    <n v="16300000"/>
    <n v="16300000"/>
    <n v="23600000"/>
    <n v="23400000"/>
    <n v="20400000"/>
    <n v="24600000"/>
    <n v="23600000"/>
    <n v="15900000"/>
    <s v="Summer"/>
    <s v="Weekday"/>
    <s v="Commercial"/>
    <s v="Appliances"/>
  </r>
  <r>
    <x v="12"/>
    <n v="2019"/>
    <n v="20"/>
    <s v="China +"/>
    <x v="6"/>
    <n v="11200000"/>
    <n v="8516010"/>
    <n v="7544338"/>
    <n v="7526999"/>
    <n v="8774927"/>
    <n v="13100000"/>
    <n v="21600000"/>
    <n v="32300000"/>
    <n v="34000000"/>
    <n v="29200000"/>
    <n v="25100000"/>
    <n v="21900000"/>
    <n v="20600000"/>
    <n v="20700000"/>
    <n v="19900000"/>
    <n v="19100000"/>
    <n v="16300000"/>
    <n v="16200000"/>
    <n v="23500000"/>
    <n v="23300000"/>
    <n v="20300000"/>
    <n v="24600000"/>
    <n v="23500000"/>
    <n v="15800000"/>
    <s v="Summer"/>
    <s v="Weekday"/>
    <s v="Commercial"/>
    <s v="Appliances"/>
  </r>
  <r>
    <x v="12"/>
    <n v="2019"/>
    <n v="20"/>
    <s v="China +"/>
    <x v="7"/>
    <n v="11200000"/>
    <n v="8524347"/>
    <n v="7551724"/>
    <n v="7534367"/>
    <n v="8783518"/>
    <n v="13200000"/>
    <n v="21600000"/>
    <n v="32300000"/>
    <n v="34000000"/>
    <n v="29200000"/>
    <n v="25100000"/>
    <n v="21900000"/>
    <n v="20600000"/>
    <n v="20700000"/>
    <n v="19900000"/>
    <n v="19100000"/>
    <n v="16300000"/>
    <n v="16300000"/>
    <n v="23500000"/>
    <n v="23300000"/>
    <n v="20300000"/>
    <n v="24600000"/>
    <n v="23500000"/>
    <n v="15800000"/>
    <s v="Summer"/>
    <s v="Weekday"/>
    <s v="Commercial"/>
    <s v="Appliances"/>
  </r>
  <r>
    <x v="12"/>
    <n v="2019"/>
    <n v="20"/>
    <s v="China +"/>
    <x v="8"/>
    <n v="11400000"/>
    <n v="8681311"/>
    <n v="7690779"/>
    <n v="7673103"/>
    <n v="8945254"/>
    <n v="13400000"/>
    <n v="22000000"/>
    <n v="32900000"/>
    <n v="34600000"/>
    <n v="29800000"/>
    <n v="25600000"/>
    <n v="22300000"/>
    <n v="21000000"/>
    <n v="21100000"/>
    <n v="20200000"/>
    <n v="19500000"/>
    <n v="16600000"/>
    <n v="16600000"/>
    <n v="24000000"/>
    <n v="23800000"/>
    <n v="20700000"/>
    <n v="25000000"/>
    <n v="24000000"/>
    <n v="16100000"/>
    <s v="Fall"/>
    <s v="Weekday"/>
    <s v="Commercial"/>
    <s v="Appliances"/>
  </r>
  <r>
    <x v="12"/>
    <n v="2019"/>
    <n v="20"/>
    <s v="China +"/>
    <x v="9"/>
    <n v="12300000"/>
    <n v="9304903"/>
    <n v="8243220"/>
    <n v="8224274"/>
    <n v="9587806"/>
    <n v="14400000"/>
    <n v="23600000"/>
    <n v="35300000"/>
    <n v="37100000"/>
    <n v="31900000"/>
    <n v="27400000"/>
    <n v="23900000"/>
    <n v="22500000"/>
    <n v="22600000"/>
    <n v="21700000"/>
    <n v="20900000"/>
    <n v="17800000"/>
    <n v="17700000"/>
    <n v="25700000"/>
    <n v="25500000"/>
    <n v="22200000"/>
    <n v="26800000"/>
    <n v="25700000"/>
    <n v="17300000"/>
    <s v="Fall"/>
    <s v="Weekday"/>
    <s v="Commercial"/>
    <s v="Appliances"/>
  </r>
  <r>
    <x v="12"/>
    <n v="2019"/>
    <n v="20"/>
    <s v="China +"/>
    <x v="10"/>
    <n v="14100000"/>
    <n v="10700000"/>
    <n v="9474081"/>
    <n v="9452307"/>
    <n v="11000000"/>
    <n v="16500000"/>
    <n v="27100000"/>
    <n v="40500000"/>
    <n v="42700000"/>
    <n v="36700000"/>
    <n v="31500000"/>
    <n v="27500000"/>
    <n v="25900000"/>
    <n v="26000000"/>
    <n v="24900000"/>
    <n v="24000000"/>
    <n v="20500000"/>
    <n v="20400000"/>
    <n v="29500000"/>
    <n v="29300000"/>
    <n v="25500000"/>
    <n v="30800000"/>
    <n v="29500000"/>
    <n v="19900000"/>
    <s v="Winter"/>
    <s v="Weekday"/>
    <s v="Commercial"/>
    <s v="Appliances"/>
  </r>
  <r>
    <x v="12"/>
    <n v="2019"/>
    <n v="20"/>
    <s v="China +"/>
    <x v="11"/>
    <n v="16300000"/>
    <n v="12300000"/>
    <n v="10900000"/>
    <n v="10900000"/>
    <n v="12700000"/>
    <n v="19000000"/>
    <n v="31300000"/>
    <n v="46800000"/>
    <n v="49200000"/>
    <n v="42300000"/>
    <n v="36400000"/>
    <n v="31700000"/>
    <n v="29900000"/>
    <n v="30000000"/>
    <n v="28800000"/>
    <n v="27700000"/>
    <n v="23600000"/>
    <n v="23500000"/>
    <n v="34100000"/>
    <n v="33800000"/>
    <n v="29400000"/>
    <n v="35600000"/>
    <n v="34100000"/>
    <n v="22900000"/>
    <s v="Winter"/>
    <s v="Weekday"/>
    <s v="Commercial"/>
    <s v="Appliances"/>
  </r>
  <r>
    <x v="13"/>
    <n v="2019"/>
    <n v="20"/>
    <s v="China +"/>
    <x v="0"/>
    <n v="9275227"/>
    <n v="6768905"/>
    <n v="5995559"/>
    <n v="5990188"/>
    <n v="6945460"/>
    <n v="8615240"/>
    <n v="11400000"/>
    <n v="17600000"/>
    <n v="26400000"/>
    <n v="25700000"/>
    <n v="20600000"/>
    <n v="17300000"/>
    <n v="14000000"/>
    <n v="12600000"/>
    <n v="12400000"/>
    <n v="12200000"/>
    <n v="10300000"/>
    <n v="10000000"/>
    <n v="11500000"/>
    <n v="13900000"/>
    <n v="15000000"/>
    <n v="15600000"/>
    <n v="19100000"/>
    <n v="15900000"/>
    <s v="Winter"/>
    <s v="Weekend"/>
    <s v="Commercial"/>
    <s v="Appliances"/>
  </r>
  <r>
    <x v="13"/>
    <n v="2019"/>
    <n v="20"/>
    <s v="China +"/>
    <x v="1"/>
    <n v="8661345"/>
    <n v="6320905"/>
    <n v="5598743"/>
    <n v="5593728"/>
    <n v="6485774"/>
    <n v="8045041"/>
    <n v="10700000"/>
    <n v="16500000"/>
    <n v="24700000"/>
    <n v="24000000"/>
    <n v="19300000"/>
    <n v="16100000"/>
    <n v="13000000"/>
    <n v="11800000"/>
    <n v="11500000"/>
    <n v="11400000"/>
    <n v="9609257"/>
    <n v="9375654"/>
    <n v="10700000"/>
    <n v="13000000"/>
    <n v="14000000"/>
    <n v="14600000"/>
    <n v="17900000"/>
    <n v="14900000"/>
    <s v="Winter"/>
    <s v="Weekend"/>
    <s v="Commercial"/>
    <s v="Appliances"/>
  </r>
  <r>
    <x v="13"/>
    <n v="2019"/>
    <n v="20"/>
    <s v="China +"/>
    <x v="2"/>
    <n v="7877278"/>
    <n v="5748706"/>
    <n v="5091917"/>
    <n v="5087356"/>
    <n v="5898650"/>
    <n v="7316764"/>
    <n v="9717290"/>
    <n v="15000000"/>
    <n v="22500000"/>
    <n v="21800000"/>
    <n v="17500000"/>
    <n v="14700000"/>
    <n v="11900000"/>
    <n v="10700000"/>
    <n v="10500000"/>
    <n v="10400000"/>
    <n v="8739381"/>
    <n v="8526924"/>
    <n v="9740258"/>
    <n v="11800000"/>
    <n v="12700000"/>
    <n v="13300000"/>
    <n v="16200000"/>
    <n v="13500000"/>
    <s v="Spring"/>
    <s v="Weekend"/>
    <s v="Commercial"/>
    <s v="Appliances"/>
  </r>
  <r>
    <x v="13"/>
    <n v="2019"/>
    <n v="20"/>
    <s v="China +"/>
    <x v="3"/>
    <n v="6790630"/>
    <n v="4955688"/>
    <n v="4389501"/>
    <n v="4385569"/>
    <n v="5084948"/>
    <n v="6307437"/>
    <n v="8376817"/>
    <n v="12900000"/>
    <n v="19400000"/>
    <n v="18800000"/>
    <n v="15100000"/>
    <n v="12600000"/>
    <n v="10200000"/>
    <n v="9229640"/>
    <n v="9049440"/>
    <n v="8924656"/>
    <n v="7533808"/>
    <n v="7350659"/>
    <n v="8396616"/>
    <n v="10200000"/>
    <n v="11000000"/>
    <n v="11400000"/>
    <n v="14000000"/>
    <n v="11600000"/>
    <s v="Spring"/>
    <s v="Weekend"/>
    <s v="Commercial"/>
    <s v="Appliances"/>
  </r>
  <r>
    <x v="13"/>
    <n v="2019"/>
    <n v="20"/>
    <s v="China +"/>
    <x v="4"/>
    <n v="6243614"/>
    <n v="4556485"/>
    <n v="4035907"/>
    <n v="4032292"/>
    <n v="4675333"/>
    <n v="5799344"/>
    <n v="7702027"/>
    <n v="11900000"/>
    <n v="17800000"/>
    <n v="17300000"/>
    <n v="13900000"/>
    <n v="11600000"/>
    <n v="9393084"/>
    <n v="8486152"/>
    <n v="8320468"/>
    <n v="8205735"/>
    <n v="6926925"/>
    <n v="6758530"/>
    <n v="7720232"/>
    <n v="9366025"/>
    <n v="10100000"/>
    <n v="10500000"/>
    <n v="12900000"/>
    <n v="10700000"/>
    <s v="Spring"/>
    <s v="Weekend"/>
    <s v="Commercial"/>
    <s v="Appliances"/>
  </r>
  <r>
    <x v="13"/>
    <n v="2019"/>
    <n v="20"/>
    <s v="China +"/>
    <x v="5"/>
    <n v="6140890"/>
    <n v="4481519"/>
    <n v="3969506"/>
    <n v="3965951"/>
    <n v="4598412"/>
    <n v="5703930"/>
    <n v="7575309"/>
    <n v="11700000"/>
    <n v="17500000"/>
    <n v="17000000"/>
    <n v="13700000"/>
    <n v="11400000"/>
    <n v="9238544"/>
    <n v="8346533"/>
    <n v="8183574"/>
    <n v="8070730"/>
    <n v="6812960"/>
    <n v="6647335"/>
    <n v="7593214"/>
    <n v="9211930"/>
    <n v="9909773"/>
    <n v="10300000"/>
    <n v="12700000"/>
    <n v="10500000"/>
    <s v="Summer"/>
    <s v="Weekend"/>
    <s v="Commercial"/>
    <s v="Appliances"/>
  </r>
  <r>
    <x v="13"/>
    <n v="2019"/>
    <n v="20"/>
    <s v="China +"/>
    <x v="6"/>
    <n v="6119993"/>
    <n v="4466269"/>
    <n v="3955998"/>
    <n v="3952455"/>
    <n v="4582763"/>
    <n v="5684520"/>
    <n v="7549530"/>
    <n v="11600000"/>
    <n v="17400000"/>
    <n v="17000000"/>
    <n v="13600000"/>
    <n v="11400000"/>
    <n v="9207105"/>
    <n v="8318130"/>
    <n v="8155727"/>
    <n v="8043265"/>
    <n v="6789776"/>
    <n v="6624714"/>
    <n v="7567374"/>
    <n v="9180582"/>
    <n v="9876050"/>
    <n v="10300000"/>
    <n v="12600000"/>
    <n v="10500000"/>
    <s v="Summer"/>
    <s v="Weekend"/>
    <s v="Commercial"/>
    <s v="Appliances"/>
  </r>
  <r>
    <x v="13"/>
    <n v="2019"/>
    <n v="20"/>
    <s v="China +"/>
    <x v="7"/>
    <n v="6125985"/>
    <n v="4470641"/>
    <n v="3959871"/>
    <n v="3956324"/>
    <n v="4587250"/>
    <n v="5690085"/>
    <n v="7556921"/>
    <n v="11600000"/>
    <n v="17500000"/>
    <n v="17000000"/>
    <n v="13600000"/>
    <n v="11400000"/>
    <n v="9216119"/>
    <n v="8326272"/>
    <n v="8163710"/>
    <n v="8051139"/>
    <n v="6796422"/>
    <n v="6631200"/>
    <n v="7574782"/>
    <n v="9189570"/>
    <n v="9885718"/>
    <n v="10300000"/>
    <n v="12600000"/>
    <n v="10500000"/>
    <s v="Summer"/>
    <s v="Weekend"/>
    <s v="Commercial"/>
    <s v="Appliances"/>
  </r>
  <r>
    <x v="13"/>
    <n v="2019"/>
    <n v="20"/>
    <s v="China +"/>
    <x v="8"/>
    <n v="6238786"/>
    <n v="4552962"/>
    <n v="4032786"/>
    <n v="4029174"/>
    <n v="4671718"/>
    <n v="5794861"/>
    <n v="7696072"/>
    <n v="11900000"/>
    <n v="17800000"/>
    <n v="17300000"/>
    <n v="13900000"/>
    <n v="11600000"/>
    <n v="9385821"/>
    <n v="8479590"/>
    <n v="8314035"/>
    <n v="8199390"/>
    <n v="6921570"/>
    <n v="6753305"/>
    <n v="7714262"/>
    <n v="9358783"/>
    <n v="10100000"/>
    <n v="10500000"/>
    <n v="12900000"/>
    <n v="10700000"/>
    <s v="Fall"/>
    <s v="Weekend"/>
    <s v="Commercial"/>
    <s v="Appliances"/>
  </r>
  <r>
    <x v="13"/>
    <n v="2019"/>
    <n v="20"/>
    <s v="China +"/>
    <x v="9"/>
    <n v="6686928"/>
    <n v="4880008"/>
    <n v="4322468"/>
    <n v="4318596"/>
    <n v="5007294"/>
    <n v="6211114"/>
    <n v="8248892"/>
    <n v="12700000"/>
    <n v="19100000"/>
    <n v="18500000"/>
    <n v="14900000"/>
    <n v="12400000"/>
    <n v="10100000"/>
    <n v="9088692"/>
    <n v="8911244"/>
    <n v="8788365"/>
    <n v="7418756"/>
    <n v="7238405"/>
    <n v="8268389"/>
    <n v="10000000"/>
    <n v="10800000"/>
    <n v="11300000"/>
    <n v="13800000"/>
    <n v="11500000"/>
    <s v="Fall"/>
    <s v="Weekend"/>
    <s v="Commercial"/>
    <s v="Appliances"/>
  </r>
  <r>
    <x v="13"/>
    <n v="2019"/>
    <n v="20"/>
    <s v="China +"/>
    <x v="10"/>
    <n v="7685407"/>
    <n v="5608682"/>
    <n v="4967891"/>
    <n v="4963441"/>
    <n v="5754974"/>
    <n v="7138546"/>
    <n v="9480601"/>
    <n v="14600000"/>
    <n v="21900000"/>
    <n v="21300000"/>
    <n v="17100000"/>
    <n v="14300000"/>
    <n v="11600000"/>
    <n v="10400000"/>
    <n v="10200000"/>
    <n v="10100000"/>
    <n v="8526511"/>
    <n v="8319230"/>
    <n v="9503010"/>
    <n v="11500000"/>
    <n v="12400000"/>
    <n v="12900000"/>
    <n v="15900000"/>
    <n v="13200000"/>
    <s v="Winter"/>
    <s v="Weekend"/>
    <s v="Commercial"/>
    <s v="Appliances"/>
  </r>
  <r>
    <x v="13"/>
    <n v="2019"/>
    <n v="20"/>
    <s v="China +"/>
    <x v="11"/>
    <n v="8869653"/>
    <n v="6472925"/>
    <n v="5733394"/>
    <n v="5728258"/>
    <n v="6641759"/>
    <n v="8238526"/>
    <n v="10900000"/>
    <n v="16900000"/>
    <n v="25300000"/>
    <n v="24600000"/>
    <n v="19700000"/>
    <n v="16500000"/>
    <n v="13300000"/>
    <n v="12100000"/>
    <n v="11800000"/>
    <n v="11700000"/>
    <n v="9840363"/>
    <n v="9601141"/>
    <n v="11000000"/>
    <n v="13300000"/>
    <n v="14300000"/>
    <n v="14900000"/>
    <n v="18300000"/>
    <n v="15200000"/>
    <s v="Winter"/>
    <s v="Weekend"/>
    <s v="Commercial"/>
    <s v="Appliances"/>
  </r>
  <r>
    <x v="14"/>
    <n v="2019"/>
    <n v="20"/>
    <s v="China +"/>
    <x v="0"/>
    <n v="8720000000"/>
    <n v="8710000000"/>
    <n v="8710000000"/>
    <n v="8710000000"/>
    <n v="8730000000"/>
    <n v="8780000000"/>
    <n v="8860000000"/>
    <n v="8920000000"/>
    <n v="8950000000"/>
    <n v="8940000000"/>
    <n v="8910000000"/>
    <n v="8890000000"/>
    <n v="8870000000"/>
    <n v="8860000000"/>
    <n v="8870000000"/>
    <n v="8930000000"/>
    <n v="9000000000"/>
    <n v="9010000000"/>
    <n v="8970000000"/>
    <n v="8930000000"/>
    <n v="8880000000"/>
    <n v="8820000000"/>
    <n v="8770000000"/>
    <n v="8730000000"/>
    <s v="Winter"/>
    <s v="Weekday"/>
    <s v="Industry"/>
    <s v="Industry"/>
  </r>
  <r>
    <x v="14"/>
    <n v="2019"/>
    <n v="20"/>
    <s v="China +"/>
    <x v="1"/>
    <n v="8720000000"/>
    <n v="8710000000"/>
    <n v="8710000000"/>
    <n v="8710000000"/>
    <n v="8730000000"/>
    <n v="8780000000"/>
    <n v="8860000000"/>
    <n v="8930000000"/>
    <n v="8950000000"/>
    <n v="8940000000"/>
    <n v="8920000000"/>
    <n v="8890000000"/>
    <n v="8870000000"/>
    <n v="8860000000"/>
    <n v="8870000000"/>
    <n v="8930000000"/>
    <n v="9000000000"/>
    <n v="9010000000"/>
    <n v="8980000000"/>
    <n v="8930000000"/>
    <n v="8880000000"/>
    <n v="8820000000"/>
    <n v="8770000000"/>
    <n v="8730000000"/>
    <s v="Winter"/>
    <s v="Weekday"/>
    <s v="Industry"/>
    <s v="Industry"/>
  </r>
  <r>
    <x v="14"/>
    <n v="2019"/>
    <n v="20"/>
    <s v="China +"/>
    <x v="2"/>
    <n v="8780000000"/>
    <n v="8770000000"/>
    <n v="8760000000"/>
    <n v="8760000000"/>
    <n v="8790000000"/>
    <n v="8830000000"/>
    <n v="8910000000"/>
    <n v="8980000000"/>
    <n v="9000000000"/>
    <n v="8990000000"/>
    <n v="8970000000"/>
    <n v="8950000000"/>
    <n v="8920000000"/>
    <n v="8910000000"/>
    <n v="8920000000"/>
    <n v="8980000000"/>
    <n v="9050000000"/>
    <n v="9070000000"/>
    <n v="9030000000"/>
    <n v="8990000000"/>
    <n v="8940000000"/>
    <n v="8880000000"/>
    <n v="8820000000"/>
    <n v="8780000000"/>
    <s v="Spring"/>
    <s v="Weekday"/>
    <s v="Industry"/>
    <s v="Industry"/>
  </r>
  <r>
    <x v="14"/>
    <n v="2019"/>
    <n v="20"/>
    <s v="China +"/>
    <x v="3"/>
    <n v="8410000000"/>
    <n v="8400000000"/>
    <n v="8400000000"/>
    <n v="8400000000"/>
    <n v="8420000000"/>
    <n v="8460000000"/>
    <n v="8540000000"/>
    <n v="8600000000"/>
    <n v="8620000000"/>
    <n v="8610000000"/>
    <n v="8590000000"/>
    <n v="8570000000"/>
    <n v="8550000000"/>
    <n v="8540000000"/>
    <n v="8550000000"/>
    <n v="8600000000"/>
    <n v="8660000000"/>
    <n v="8680000000"/>
    <n v="8640000000"/>
    <n v="8600000000"/>
    <n v="8560000000"/>
    <n v="8510000000"/>
    <n v="8450000000"/>
    <n v="8420000000"/>
    <s v="Spring"/>
    <s v="Weekday"/>
    <s v="Industry"/>
    <s v="Industry"/>
  </r>
  <r>
    <x v="14"/>
    <n v="2019"/>
    <n v="20"/>
    <s v="China +"/>
    <x v="4"/>
    <n v="8530000000"/>
    <n v="8520000000"/>
    <n v="8510000000"/>
    <n v="8520000000"/>
    <n v="8540000000"/>
    <n v="8580000000"/>
    <n v="8660000000"/>
    <n v="8720000000"/>
    <n v="8750000000"/>
    <n v="8740000000"/>
    <n v="8710000000"/>
    <n v="8690000000"/>
    <n v="8670000000"/>
    <n v="8660000000"/>
    <n v="8670000000"/>
    <n v="8730000000"/>
    <n v="8790000000"/>
    <n v="8810000000"/>
    <n v="8770000000"/>
    <n v="8730000000"/>
    <n v="8680000000"/>
    <n v="8630000000"/>
    <n v="8570000000"/>
    <n v="8530000000"/>
    <s v="Spring"/>
    <s v="Weekday"/>
    <s v="Industry"/>
    <s v="Industry"/>
  </r>
  <r>
    <x v="14"/>
    <n v="2019"/>
    <n v="20"/>
    <s v="China +"/>
    <x v="5"/>
    <n v="8700000000"/>
    <n v="8690000000"/>
    <n v="8680000000"/>
    <n v="8680000000"/>
    <n v="8700000000"/>
    <n v="8750000000"/>
    <n v="8830000000"/>
    <n v="8900000000"/>
    <n v="8930000000"/>
    <n v="8920000000"/>
    <n v="8890000000"/>
    <n v="8870000000"/>
    <n v="8850000000"/>
    <n v="8840000000"/>
    <n v="8850000000"/>
    <n v="8910000000"/>
    <n v="8980000000"/>
    <n v="8990000000"/>
    <n v="8950000000"/>
    <n v="8910000000"/>
    <n v="8860000000"/>
    <n v="8800000000"/>
    <n v="8740000000"/>
    <n v="8700000000"/>
    <s v="Summer"/>
    <s v="Weekday"/>
    <s v="Industry"/>
    <s v="Industry"/>
  </r>
  <r>
    <x v="14"/>
    <n v="2019"/>
    <n v="20"/>
    <s v="China +"/>
    <x v="6"/>
    <n v="8110000000"/>
    <n v="8100000000"/>
    <n v="8100000000"/>
    <n v="8100000000"/>
    <n v="8120000000"/>
    <n v="8170000000"/>
    <n v="8240000000"/>
    <n v="8310000000"/>
    <n v="8330000000"/>
    <n v="8320000000"/>
    <n v="8300000000"/>
    <n v="8280000000"/>
    <n v="8260000000"/>
    <n v="8250000000"/>
    <n v="8250000000"/>
    <n v="8310000000"/>
    <n v="8370000000"/>
    <n v="8390000000"/>
    <n v="8350000000"/>
    <n v="8310000000"/>
    <n v="8270000000"/>
    <n v="8210000000"/>
    <n v="8160000000"/>
    <n v="8120000000"/>
    <s v="Summer"/>
    <s v="Weekday"/>
    <s v="Industry"/>
    <s v="Industry"/>
  </r>
  <r>
    <x v="14"/>
    <n v="2019"/>
    <n v="20"/>
    <s v="China +"/>
    <x v="7"/>
    <n v="8610000000"/>
    <n v="8600000000"/>
    <n v="8590000000"/>
    <n v="8600000000"/>
    <n v="8620000000"/>
    <n v="8670000000"/>
    <n v="8750000000"/>
    <n v="8820000000"/>
    <n v="8850000000"/>
    <n v="8840000000"/>
    <n v="8810000000"/>
    <n v="8790000000"/>
    <n v="8760000000"/>
    <n v="8750000000"/>
    <n v="8760000000"/>
    <n v="8830000000"/>
    <n v="8900000000"/>
    <n v="8910000000"/>
    <n v="8870000000"/>
    <n v="8830000000"/>
    <n v="8780000000"/>
    <n v="8720000000"/>
    <n v="8660000000"/>
    <n v="8620000000"/>
    <s v="Summer"/>
    <s v="Weekday"/>
    <s v="Industry"/>
    <s v="Industry"/>
  </r>
  <r>
    <x v="14"/>
    <n v="2019"/>
    <n v="20"/>
    <s v="China +"/>
    <x v="8"/>
    <n v="8690000000"/>
    <n v="8680000000"/>
    <n v="8680000000"/>
    <n v="8680000000"/>
    <n v="8700000000"/>
    <n v="8750000000"/>
    <n v="8830000000"/>
    <n v="8900000000"/>
    <n v="8920000000"/>
    <n v="8910000000"/>
    <n v="8890000000"/>
    <n v="8860000000"/>
    <n v="8840000000"/>
    <n v="8830000000"/>
    <n v="8840000000"/>
    <n v="8900000000"/>
    <n v="8970000000"/>
    <n v="8990000000"/>
    <n v="8950000000"/>
    <n v="8900000000"/>
    <n v="8860000000"/>
    <n v="8800000000"/>
    <n v="8740000000"/>
    <n v="8700000000"/>
    <s v="Fall"/>
    <s v="Weekday"/>
    <s v="Industry"/>
    <s v="Industry"/>
  </r>
  <r>
    <x v="14"/>
    <n v="2019"/>
    <n v="20"/>
    <s v="China +"/>
    <x v="9"/>
    <n v="8640000000"/>
    <n v="8630000000"/>
    <n v="8620000000"/>
    <n v="8630000000"/>
    <n v="8650000000"/>
    <n v="8690000000"/>
    <n v="8770000000"/>
    <n v="8840000000"/>
    <n v="8860000000"/>
    <n v="8850000000"/>
    <n v="8830000000"/>
    <n v="8810000000"/>
    <n v="8780000000"/>
    <n v="8770000000"/>
    <n v="8780000000"/>
    <n v="8840000000"/>
    <n v="8910000000"/>
    <n v="8930000000"/>
    <n v="8890000000"/>
    <n v="8840000000"/>
    <n v="8800000000"/>
    <n v="8740000000"/>
    <n v="8680000000"/>
    <n v="8650000000"/>
    <s v="Fall"/>
    <s v="Weekday"/>
    <s v="Industry"/>
    <s v="Industry"/>
  </r>
  <r>
    <x v="14"/>
    <n v="2019"/>
    <n v="20"/>
    <s v="China +"/>
    <x v="10"/>
    <n v="8780000000"/>
    <n v="8770000000"/>
    <n v="8760000000"/>
    <n v="8760000000"/>
    <n v="8780000000"/>
    <n v="8830000000"/>
    <n v="8910000000"/>
    <n v="8980000000"/>
    <n v="9000000000"/>
    <n v="8990000000"/>
    <n v="8970000000"/>
    <n v="8950000000"/>
    <n v="8920000000"/>
    <n v="8910000000"/>
    <n v="8920000000"/>
    <n v="8980000000"/>
    <n v="9050000000"/>
    <n v="9070000000"/>
    <n v="9030000000"/>
    <n v="8990000000"/>
    <n v="8940000000"/>
    <n v="8880000000"/>
    <n v="8820000000"/>
    <n v="8780000000"/>
    <s v="Winter"/>
    <s v="Weekday"/>
    <s v="Industry"/>
    <s v="Industry"/>
  </r>
  <r>
    <x v="14"/>
    <n v="2019"/>
    <n v="20"/>
    <s v="China +"/>
    <x v="11"/>
    <n v="8200000000"/>
    <n v="8190000000"/>
    <n v="8190000000"/>
    <n v="8190000000"/>
    <n v="8210000000"/>
    <n v="8250000000"/>
    <n v="8320000000"/>
    <n v="8380000000"/>
    <n v="8400000000"/>
    <n v="8390000000"/>
    <n v="8370000000"/>
    <n v="8350000000"/>
    <n v="8330000000"/>
    <n v="8320000000"/>
    <n v="8330000000"/>
    <n v="8390000000"/>
    <n v="8450000000"/>
    <n v="8460000000"/>
    <n v="8430000000"/>
    <n v="8390000000"/>
    <n v="8350000000"/>
    <n v="8290000000"/>
    <n v="8240000000"/>
    <n v="8210000000"/>
    <s v="Winter"/>
    <s v="Weekday"/>
    <s v="Industry"/>
    <s v="Industry"/>
  </r>
  <r>
    <x v="15"/>
    <n v="2019"/>
    <n v="20"/>
    <s v="China +"/>
    <x v="0"/>
    <n v="4530000000"/>
    <n v="4520000000"/>
    <n v="4530000000"/>
    <n v="4530000000"/>
    <n v="4560000000"/>
    <n v="4600000000"/>
    <n v="4610000000"/>
    <n v="4610000000"/>
    <n v="4600000000"/>
    <n v="4590000000"/>
    <n v="4580000000"/>
    <n v="4580000000"/>
    <n v="4570000000"/>
    <n v="4570000000"/>
    <n v="4590000000"/>
    <n v="4630000000"/>
    <n v="4670000000"/>
    <n v="4680000000"/>
    <n v="4660000000"/>
    <n v="4640000000"/>
    <n v="4620000000"/>
    <n v="4590000000"/>
    <n v="4560000000"/>
    <n v="4540000000"/>
    <s v="Winter"/>
    <s v="Weekend"/>
    <s v="Industry"/>
    <s v="Industry"/>
  </r>
  <r>
    <x v="15"/>
    <n v="2019"/>
    <n v="20"/>
    <s v="China +"/>
    <x v="1"/>
    <n v="4530000000"/>
    <n v="4520000000"/>
    <n v="4520000000"/>
    <n v="4530000000"/>
    <n v="4560000000"/>
    <n v="4600000000"/>
    <n v="4610000000"/>
    <n v="4610000000"/>
    <n v="4610000000"/>
    <n v="4590000000"/>
    <n v="4580000000"/>
    <n v="4580000000"/>
    <n v="4570000000"/>
    <n v="4580000000"/>
    <n v="4590000000"/>
    <n v="4630000000"/>
    <n v="4670000000"/>
    <n v="4680000000"/>
    <n v="4670000000"/>
    <n v="4650000000"/>
    <n v="4620000000"/>
    <n v="4590000000"/>
    <n v="4560000000"/>
    <n v="4540000000"/>
    <s v="Winter"/>
    <s v="Weekend"/>
    <s v="Industry"/>
    <s v="Industry"/>
  </r>
  <r>
    <x v="15"/>
    <n v="2019"/>
    <n v="20"/>
    <s v="China +"/>
    <x v="2"/>
    <n v="4550000000"/>
    <n v="4550000000"/>
    <n v="4550000000"/>
    <n v="4560000000"/>
    <n v="4590000000"/>
    <n v="4630000000"/>
    <n v="4640000000"/>
    <n v="4640000000"/>
    <n v="4630000000"/>
    <n v="4620000000"/>
    <n v="4610000000"/>
    <n v="4600000000"/>
    <n v="4600000000"/>
    <n v="4600000000"/>
    <n v="4620000000"/>
    <n v="4660000000"/>
    <n v="4700000000"/>
    <n v="4710000000"/>
    <n v="4690000000"/>
    <n v="4670000000"/>
    <n v="4650000000"/>
    <n v="4620000000"/>
    <n v="4580000000"/>
    <n v="4570000000"/>
    <s v="Spring"/>
    <s v="Weekend"/>
    <s v="Industry"/>
    <s v="Industry"/>
  </r>
  <r>
    <x v="15"/>
    <n v="2019"/>
    <n v="20"/>
    <s v="China +"/>
    <x v="3"/>
    <n v="4370000000"/>
    <n v="4370000000"/>
    <n v="4370000000"/>
    <n v="4370000000"/>
    <n v="4400000000"/>
    <n v="4430000000"/>
    <n v="4450000000"/>
    <n v="4450000000"/>
    <n v="4440000000"/>
    <n v="4430000000"/>
    <n v="4420000000"/>
    <n v="4410000000"/>
    <n v="4410000000"/>
    <n v="4410000000"/>
    <n v="4420000000"/>
    <n v="4460000000"/>
    <n v="4500000000"/>
    <n v="4510000000"/>
    <n v="4490000000"/>
    <n v="4470000000"/>
    <n v="4450000000"/>
    <n v="4420000000"/>
    <n v="4390000000"/>
    <n v="4380000000"/>
    <s v="Spring"/>
    <s v="Weekend"/>
    <s v="Industry"/>
    <s v="Industry"/>
  </r>
  <r>
    <x v="15"/>
    <n v="2019"/>
    <n v="20"/>
    <s v="China +"/>
    <x v="4"/>
    <n v="4430000000"/>
    <n v="4420000000"/>
    <n v="4420000000"/>
    <n v="4430000000"/>
    <n v="4460000000"/>
    <n v="4500000000"/>
    <n v="4510000000"/>
    <n v="4510000000"/>
    <n v="4500000000"/>
    <n v="4490000000"/>
    <n v="4480000000"/>
    <n v="4470000000"/>
    <n v="4470000000"/>
    <n v="4470000000"/>
    <n v="4490000000"/>
    <n v="4520000000"/>
    <n v="4570000000"/>
    <n v="4570000000"/>
    <n v="4560000000"/>
    <n v="4540000000"/>
    <n v="4520000000"/>
    <n v="4490000000"/>
    <n v="4450000000"/>
    <n v="4440000000"/>
    <s v="Spring"/>
    <s v="Weekend"/>
    <s v="Industry"/>
    <s v="Industry"/>
  </r>
  <r>
    <x v="15"/>
    <n v="2019"/>
    <n v="20"/>
    <s v="China +"/>
    <x v="5"/>
    <n v="4510000000"/>
    <n v="4510000000"/>
    <n v="4510000000"/>
    <n v="4520000000"/>
    <n v="4550000000"/>
    <n v="4590000000"/>
    <n v="4600000000"/>
    <n v="4600000000"/>
    <n v="4590000000"/>
    <n v="4580000000"/>
    <n v="4570000000"/>
    <n v="4560000000"/>
    <n v="4560000000"/>
    <n v="4560000000"/>
    <n v="4580000000"/>
    <n v="4620000000"/>
    <n v="4660000000"/>
    <n v="4670000000"/>
    <n v="4650000000"/>
    <n v="4630000000"/>
    <n v="4610000000"/>
    <n v="4580000000"/>
    <n v="4540000000"/>
    <n v="4520000000"/>
    <s v="Summer"/>
    <s v="Weekend"/>
    <s v="Industry"/>
    <s v="Industry"/>
  </r>
  <r>
    <x v="15"/>
    <n v="2019"/>
    <n v="20"/>
    <s v="China +"/>
    <x v="6"/>
    <n v="4210000000"/>
    <n v="4210000000"/>
    <n v="4210000000"/>
    <n v="4220000000"/>
    <n v="4250000000"/>
    <n v="4280000000"/>
    <n v="4290000000"/>
    <n v="4290000000"/>
    <n v="4280000000"/>
    <n v="4270000000"/>
    <n v="4260000000"/>
    <n v="4260000000"/>
    <n v="4250000000"/>
    <n v="4260000000"/>
    <n v="4270000000"/>
    <n v="4310000000"/>
    <n v="4350000000"/>
    <n v="4360000000"/>
    <n v="4340000000"/>
    <n v="4320000000"/>
    <n v="4300000000"/>
    <n v="4270000000"/>
    <n v="4240000000"/>
    <n v="4220000000"/>
    <s v="Summer"/>
    <s v="Weekend"/>
    <s v="Industry"/>
    <s v="Industry"/>
  </r>
  <r>
    <x v="15"/>
    <n v="2019"/>
    <n v="20"/>
    <s v="China +"/>
    <x v="7"/>
    <n v="4470000000"/>
    <n v="4470000000"/>
    <n v="4470000000"/>
    <n v="4470000000"/>
    <n v="4500000000"/>
    <n v="4540000000"/>
    <n v="4560000000"/>
    <n v="4560000000"/>
    <n v="4550000000"/>
    <n v="4540000000"/>
    <n v="4530000000"/>
    <n v="4520000000"/>
    <n v="4520000000"/>
    <n v="4520000000"/>
    <n v="4530000000"/>
    <n v="4570000000"/>
    <n v="4620000000"/>
    <n v="4630000000"/>
    <n v="4610000000"/>
    <n v="4590000000"/>
    <n v="4570000000"/>
    <n v="4530000000"/>
    <n v="4500000000"/>
    <n v="4480000000"/>
    <s v="Summer"/>
    <s v="Weekend"/>
    <s v="Industry"/>
    <s v="Industry"/>
  </r>
  <r>
    <x v="15"/>
    <n v="2019"/>
    <n v="20"/>
    <s v="China +"/>
    <x v="8"/>
    <n v="4510000000"/>
    <n v="4510000000"/>
    <n v="4510000000"/>
    <n v="4520000000"/>
    <n v="4550000000"/>
    <n v="4580000000"/>
    <n v="4600000000"/>
    <n v="4600000000"/>
    <n v="4590000000"/>
    <n v="4580000000"/>
    <n v="4570000000"/>
    <n v="4560000000"/>
    <n v="4560000000"/>
    <n v="4560000000"/>
    <n v="4570000000"/>
    <n v="4610000000"/>
    <n v="4660000000"/>
    <n v="4670000000"/>
    <n v="4650000000"/>
    <n v="4630000000"/>
    <n v="4610000000"/>
    <n v="4570000000"/>
    <n v="4540000000"/>
    <n v="4520000000"/>
    <s v="Fall"/>
    <s v="Weekend"/>
    <s v="Industry"/>
    <s v="Industry"/>
  </r>
  <r>
    <x v="15"/>
    <n v="2019"/>
    <n v="20"/>
    <s v="China +"/>
    <x v="9"/>
    <n v="4480000000"/>
    <n v="4480000000"/>
    <n v="4480000000"/>
    <n v="4490000000"/>
    <n v="4520000000"/>
    <n v="4550000000"/>
    <n v="4570000000"/>
    <n v="4570000000"/>
    <n v="4560000000"/>
    <n v="4550000000"/>
    <n v="4540000000"/>
    <n v="4530000000"/>
    <n v="4530000000"/>
    <n v="4530000000"/>
    <n v="4540000000"/>
    <n v="4580000000"/>
    <n v="4630000000"/>
    <n v="4630000000"/>
    <n v="4620000000"/>
    <n v="4600000000"/>
    <n v="4580000000"/>
    <n v="4540000000"/>
    <n v="4510000000"/>
    <n v="4490000000"/>
    <s v="Fall"/>
    <s v="Weekend"/>
    <s v="Industry"/>
    <s v="Industry"/>
  </r>
  <r>
    <x v="15"/>
    <n v="2019"/>
    <n v="20"/>
    <s v="China +"/>
    <x v="10"/>
    <n v="4550000000"/>
    <n v="4550000000"/>
    <n v="4550000000"/>
    <n v="4560000000"/>
    <n v="4590000000"/>
    <n v="4630000000"/>
    <n v="4640000000"/>
    <n v="4640000000"/>
    <n v="4630000000"/>
    <n v="4620000000"/>
    <n v="4610000000"/>
    <n v="4600000000"/>
    <n v="4600000000"/>
    <n v="4600000000"/>
    <n v="4620000000"/>
    <n v="4660000000"/>
    <n v="4700000000"/>
    <n v="4710000000"/>
    <n v="4690000000"/>
    <n v="4670000000"/>
    <n v="4650000000"/>
    <n v="4620000000"/>
    <n v="4580000000"/>
    <n v="4570000000"/>
    <s v="Winter"/>
    <s v="Weekend"/>
    <s v="Industry"/>
    <s v="Industry"/>
  </r>
  <r>
    <x v="15"/>
    <n v="2019"/>
    <n v="20"/>
    <s v="China +"/>
    <x v="11"/>
    <n v="4260000000"/>
    <n v="4260000000"/>
    <n v="4260000000"/>
    <n v="4260000000"/>
    <n v="4290000000"/>
    <n v="4320000000"/>
    <n v="4330000000"/>
    <n v="4340000000"/>
    <n v="4330000000"/>
    <n v="4320000000"/>
    <n v="4310000000"/>
    <n v="4300000000"/>
    <n v="4300000000"/>
    <n v="4300000000"/>
    <n v="4310000000"/>
    <n v="4350000000"/>
    <n v="4390000000"/>
    <n v="4390000000"/>
    <n v="4380000000"/>
    <n v="4360000000"/>
    <n v="4340000000"/>
    <n v="4310000000"/>
    <n v="4280000000"/>
    <n v="4270000000"/>
    <s v="Winter"/>
    <s v="Weekend"/>
    <s v="Industry"/>
    <s v="Industry"/>
  </r>
  <r>
    <x v="16"/>
    <n v="2019"/>
    <n v="20"/>
    <s v="China +"/>
    <x v="0"/>
    <n v="1790000000"/>
    <n v="1450000000"/>
    <n v="1270000000"/>
    <n v="1170000000"/>
    <n v="1200000000"/>
    <n v="1590000000"/>
    <n v="2130000000"/>
    <n v="2390000000"/>
    <n v="2340000000"/>
    <n v="2180000000"/>
    <n v="2120000000"/>
    <n v="2070000000"/>
    <n v="2050000000"/>
    <n v="2090000000"/>
    <n v="2120000000"/>
    <n v="2200000000"/>
    <n v="2660000000"/>
    <n v="3200000000"/>
    <n v="3370000000"/>
    <n v="3470000000"/>
    <n v="3560000000"/>
    <n v="3430000000"/>
    <n v="2660000000"/>
    <n v="2130000000"/>
    <s v="Winter"/>
    <s v="Weekday"/>
    <s v="Residential"/>
    <s v="Total"/>
  </r>
  <r>
    <x v="16"/>
    <n v="2019"/>
    <n v="20"/>
    <s v="China +"/>
    <x v="1"/>
    <n v="1690000000"/>
    <n v="1350000000"/>
    <n v="1160000000"/>
    <n v="1060000000"/>
    <n v="1090000000"/>
    <n v="1460000000"/>
    <n v="1980000000"/>
    <n v="2170000000"/>
    <n v="2210000000"/>
    <n v="2080000000"/>
    <n v="2020000000"/>
    <n v="1990000000"/>
    <n v="1980000000"/>
    <n v="2030000000"/>
    <n v="2060000000"/>
    <n v="2140000000"/>
    <n v="2460000000"/>
    <n v="3090000000"/>
    <n v="3240000000"/>
    <n v="3330000000"/>
    <n v="3410000000"/>
    <n v="3290000000"/>
    <n v="2540000000"/>
    <n v="2020000000"/>
    <s v="Winter"/>
    <s v="Weekday"/>
    <s v="Residential"/>
    <s v="Total"/>
  </r>
  <r>
    <x v="16"/>
    <n v="2019"/>
    <n v="20"/>
    <s v="China +"/>
    <x v="2"/>
    <n v="1540000000"/>
    <n v="1200000000"/>
    <n v="1020000000"/>
    <n v="912000000"/>
    <n v="943000000"/>
    <n v="1280000000"/>
    <n v="1760000000"/>
    <n v="1950000000"/>
    <n v="2060000000"/>
    <n v="1980000000"/>
    <n v="1940000000"/>
    <n v="1910000000"/>
    <n v="1910000000"/>
    <n v="1950000000"/>
    <n v="1990000000"/>
    <n v="2070000000"/>
    <n v="2320000000"/>
    <n v="2950000000"/>
    <n v="3110000000"/>
    <n v="3170000000"/>
    <n v="3230000000"/>
    <n v="3110000000"/>
    <n v="2380000000"/>
    <n v="1870000000"/>
    <s v="Spring"/>
    <s v="Weekday"/>
    <s v="Residential"/>
    <s v="Total"/>
  </r>
  <r>
    <x v="16"/>
    <n v="2019"/>
    <n v="20"/>
    <s v="China +"/>
    <x v="3"/>
    <n v="1440000000"/>
    <n v="1090000000"/>
    <n v="908000000"/>
    <n v="809000000"/>
    <n v="850000000"/>
    <n v="1140000000"/>
    <n v="1450000000"/>
    <n v="1770000000"/>
    <n v="1900000000"/>
    <n v="1890000000"/>
    <n v="1880000000"/>
    <n v="1890000000"/>
    <n v="1950000000"/>
    <n v="2040000000"/>
    <n v="2100000000"/>
    <n v="2170000000"/>
    <n v="2400000000"/>
    <n v="2750000000"/>
    <n v="3080000000"/>
    <n v="3090000000"/>
    <n v="3120000000"/>
    <n v="3020000000"/>
    <n v="2310000000"/>
    <n v="1790000000"/>
    <s v="Spring"/>
    <s v="Weekday"/>
    <s v="Residential"/>
    <s v="Total"/>
  </r>
  <r>
    <x v="16"/>
    <n v="2019"/>
    <n v="20"/>
    <s v="China +"/>
    <x v="4"/>
    <n v="1640000000"/>
    <n v="1250000000"/>
    <n v="1060000000"/>
    <n v="971000000"/>
    <n v="1040000000"/>
    <n v="1340000000"/>
    <n v="1660000000"/>
    <n v="2050000000"/>
    <n v="2220000000"/>
    <n v="2290000000"/>
    <n v="2360000000"/>
    <n v="2520000000"/>
    <n v="2700000000"/>
    <n v="2840000000"/>
    <n v="2950000000"/>
    <n v="3100000000"/>
    <n v="3370000000"/>
    <n v="3670000000"/>
    <n v="4030000000"/>
    <n v="3950000000"/>
    <n v="3830000000"/>
    <n v="3560000000"/>
    <n v="2700000000"/>
    <n v="2060000000"/>
    <s v="Spring"/>
    <s v="Weekday"/>
    <s v="Residential"/>
    <s v="Total"/>
  </r>
  <r>
    <x v="16"/>
    <n v="2019"/>
    <n v="20"/>
    <s v="China +"/>
    <x v="5"/>
    <n v="2350000000"/>
    <n v="1910000000"/>
    <n v="1690000000"/>
    <n v="1630000000"/>
    <n v="1740000000"/>
    <n v="2010000000"/>
    <n v="2250000000"/>
    <n v="2520000000"/>
    <n v="2620000000"/>
    <n v="2650000000"/>
    <n v="2720000000"/>
    <n v="2920000000"/>
    <n v="3120000000"/>
    <n v="3280000000"/>
    <n v="3410000000"/>
    <n v="3600000000"/>
    <n v="3920000000"/>
    <n v="4270000000"/>
    <n v="4630000000"/>
    <n v="4710000000"/>
    <n v="4630000000"/>
    <n v="4370000000"/>
    <n v="3500000000"/>
    <n v="2830000000"/>
    <s v="Summer"/>
    <s v="Weekday"/>
    <s v="Residential"/>
    <s v="Total"/>
  </r>
  <r>
    <x v="16"/>
    <n v="2019"/>
    <n v="20"/>
    <s v="China +"/>
    <x v="6"/>
    <n v="3130000000"/>
    <n v="2670000000"/>
    <n v="2460000000"/>
    <n v="2400000000"/>
    <n v="2510000000"/>
    <n v="2770000000"/>
    <n v="2890000000"/>
    <n v="3010000000"/>
    <n v="3030000000"/>
    <n v="3010000000"/>
    <n v="3080000000"/>
    <n v="3330000000"/>
    <n v="3580000000"/>
    <n v="3750000000"/>
    <n v="3900000000"/>
    <n v="4140000000"/>
    <n v="4500000000"/>
    <n v="4900000000"/>
    <n v="5380000000"/>
    <n v="5450000000"/>
    <n v="5420000000"/>
    <n v="5190000000"/>
    <n v="4330000000"/>
    <n v="3640000000"/>
    <s v="Summer"/>
    <s v="Weekday"/>
    <s v="Residential"/>
    <s v="Total"/>
  </r>
  <r>
    <x v="16"/>
    <n v="2019"/>
    <n v="20"/>
    <s v="China +"/>
    <x v="7"/>
    <n v="2980000000"/>
    <n v="2520000000"/>
    <n v="2310000000"/>
    <n v="2240000000"/>
    <n v="2360000000"/>
    <n v="2640000000"/>
    <n v="2800000000"/>
    <n v="2930000000"/>
    <n v="2970000000"/>
    <n v="2960000000"/>
    <n v="3040000000"/>
    <n v="3290000000"/>
    <n v="3530000000"/>
    <n v="3700000000"/>
    <n v="3850000000"/>
    <n v="4080000000"/>
    <n v="4440000000"/>
    <n v="4870000000"/>
    <n v="5330000000"/>
    <n v="5360000000"/>
    <n v="5310000000"/>
    <n v="5060000000"/>
    <n v="4180000000"/>
    <n v="3490000000"/>
    <s v="Summer"/>
    <s v="Weekday"/>
    <s v="Residential"/>
    <s v="Total"/>
  </r>
  <r>
    <x v="16"/>
    <n v="2019"/>
    <n v="20"/>
    <s v="China +"/>
    <x v="8"/>
    <n v="1980000000"/>
    <n v="1570000000"/>
    <n v="1370000000"/>
    <n v="1290000000"/>
    <n v="1380000000"/>
    <n v="1680000000"/>
    <n v="2020000000"/>
    <n v="2240000000"/>
    <n v="2360000000"/>
    <n v="2390000000"/>
    <n v="2440000000"/>
    <n v="2590000000"/>
    <n v="2760000000"/>
    <n v="2900000000"/>
    <n v="3000000000"/>
    <n v="3160000000"/>
    <n v="3450000000"/>
    <n v="3920000000"/>
    <n v="4200000000"/>
    <n v="4190000000"/>
    <n v="4130000000"/>
    <n v="3900000000"/>
    <n v="3070000000"/>
    <n v="2430000000"/>
    <s v="Fall"/>
    <s v="Weekday"/>
    <s v="Residential"/>
    <s v="Total"/>
  </r>
  <r>
    <x v="16"/>
    <n v="2019"/>
    <n v="20"/>
    <s v="China +"/>
    <x v="9"/>
    <n v="1470000000"/>
    <n v="1120000000"/>
    <n v="934000000"/>
    <n v="836000000"/>
    <n v="880000000"/>
    <n v="1160000000"/>
    <n v="1640000000"/>
    <n v="1810000000"/>
    <n v="1940000000"/>
    <n v="1950000000"/>
    <n v="1960000000"/>
    <n v="1990000000"/>
    <n v="2060000000"/>
    <n v="2150000000"/>
    <n v="2210000000"/>
    <n v="2300000000"/>
    <n v="2570000000"/>
    <n v="3170000000"/>
    <n v="3250000000"/>
    <n v="3230000000"/>
    <n v="3220000000"/>
    <n v="3080000000"/>
    <n v="2350000000"/>
    <n v="1830000000"/>
    <s v="Fall"/>
    <s v="Weekday"/>
    <s v="Residential"/>
    <s v="Total"/>
  </r>
  <r>
    <x v="16"/>
    <n v="2019"/>
    <n v="20"/>
    <s v="China +"/>
    <x v="10"/>
    <n v="1530000000"/>
    <n v="1190000000"/>
    <n v="1000000000"/>
    <n v="900000000"/>
    <n v="936000000"/>
    <n v="1270000000"/>
    <n v="1790000000"/>
    <n v="2020000000"/>
    <n v="2060000000"/>
    <n v="2000000000"/>
    <n v="1960000000"/>
    <n v="1950000000"/>
    <n v="1960000000"/>
    <n v="2020000000"/>
    <n v="2060000000"/>
    <n v="2140000000"/>
    <n v="2500000000"/>
    <n v="3080000000"/>
    <n v="3210000000"/>
    <n v="3260000000"/>
    <n v="3310000000"/>
    <n v="3170000000"/>
    <n v="2410000000"/>
    <n v="1870000000"/>
    <s v="Winter"/>
    <s v="Weekday"/>
    <s v="Residential"/>
    <s v="Total"/>
  </r>
  <r>
    <x v="16"/>
    <n v="2019"/>
    <n v="20"/>
    <s v="China +"/>
    <x v="11"/>
    <n v="1730000000"/>
    <n v="1390000000"/>
    <n v="1210000000"/>
    <n v="1100000000"/>
    <n v="1140000000"/>
    <n v="1520000000"/>
    <n v="2050000000"/>
    <n v="2340000000"/>
    <n v="2260000000"/>
    <n v="2120000000"/>
    <n v="2060000000"/>
    <n v="2010000000"/>
    <n v="2010000000"/>
    <n v="2060000000"/>
    <n v="2100000000"/>
    <n v="2170000000"/>
    <n v="2660000000"/>
    <n v="3140000000"/>
    <n v="3310000000"/>
    <n v="3400000000"/>
    <n v="3480000000"/>
    <n v="3360000000"/>
    <n v="2590000000"/>
    <n v="2070000000"/>
    <s v="Winter"/>
    <s v="Weekday"/>
    <s v="Residential"/>
    <s v="Total"/>
  </r>
  <r>
    <x v="17"/>
    <n v="2019"/>
    <n v="20"/>
    <s v="China +"/>
    <x v="0"/>
    <n v="942000000"/>
    <n v="794000000"/>
    <n v="687000000"/>
    <n v="615000000"/>
    <n v="614000000"/>
    <n v="674000000"/>
    <n v="867000000"/>
    <n v="1070000000"/>
    <n v="1200000000"/>
    <n v="1450000000"/>
    <n v="1710000000"/>
    <n v="1790000000"/>
    <n v="1680000000"/>
    <n v="1550000000"/>
    <n v="1600000000"/>
    <n v="1600000000"/>
    <n v="1740000000"/>
    <n v="1900000000"/>
    <n v="1970000000"/>
    <n v="1950000000"/>
    <n v="1910000000"/>
    <n v="1760000000"/>
    <n v="1450000000"/>
    <n v="1150000000"/>
    <s v="Winter"/>
    <s v="Weekend"/>
    <s v="Residential"/>
    <s v="Total"/>
  </r>
  <r>
    <x v="17"/>
    <n v="2019"/>
    <n v="20"/>
    <s v="China +"/>
    <x v="1"/>
    <n v="883000000"/>
    <n v="736000000"/>
    <n v="629000000"/>
    <n v="557000000"/>
    <n v="557000000"/>
    <n v="616000000"/>
    <n v="804000000"/>
    <n v="952000000"/>
    <n v="1130000000"/>
    <n v="1380000000"/>
    <n v="1640000000"/>
    <n v="1730000000"/>
    <n v="1620000000"/>
    <n v="1500000000"/>
    <n v="1560000000"/>
    <n v="1550000000"/>
    <n v="1620000000"/>
    <n v="1830000000"/>
    <n v="1890000000"/>
    <n v="1870000000"/>
    <n v="1840000000"/>
    <n v="1690000000"/>
    <n v="1380000000"/>
    <n v="1090000000"/>
    <s v="Winter"/>
    <s v="Weekend"/>
    <s v="Residential"/>
    <s v="Total"/>
  </r>
  <r>
    <x v="17"/>
    <n v="2019"/>
    <n v="20"/>
    <s v="China +"/>
    <x v="2"/>
    <n v="799000000"/>
    <n v="653000000"/>
    <n v="547000000"/>
    <n v="475000000"/>
    <n v="476000000"/>
    <n v="532000000"/>
    <n v="706000000"/>
    <n v="840000000"/>
    <n v="1050000000"/>
    <n v="1300000000"/>
    <n v="1570000000"/>
    <n v="1680000000"/>
    <n v="1570000000"/>
    <n v="1450000000"/>
    <n v="1510000000"/>
    <n v="1500000000"/>
    <n v="1530000000"/>
    <n v="1750000000"/>
    <n v="1810000000"/>
    <n v="1780000000"/>
    <n v="1730000000"/>
    <n v="1580000000"/>
    <n v="1290000000"/>
    <n v="1010000000"/>
    <s v="Spring"/>
    <s v="Weekend"/>
    <s v="Residential"/>
    <s v="Total"/>
  </r>
  <r>
    <x v="17"/>
    <n v="2019"/>
    <n v="20"/>
    <s v="China +"/>
    <x v="3"/>
    <n v="738000000"/>
    <n v="587000000"/>
    <n v="479000000"/>
    <n v="410000000"/>
    <n v="417000000"/>
    <n v="472000000"/>
    <n v="587000000"/>
    <n v="764000000"/>
    <n v="970000000"/>
    <n v="1220000000"/>
    <n v="1500000000"/>
    <n v="1670000000"/>
    <n v="1600000000"/>
    <n v="1500000000"/>
    <n v="1570000000"/>
    <n v="1560000000"/>
    <n v="1560000000"/>
    <n v="1620000000"/>
    <n v="1780000000"/>
    <n v="1730000000"/>
    <n v="1670000000"/>
    <n v="1520000000"/>
    <n v="1230000000"/>
    <n v="954000000"/>
    <s v="Spring"/>
    <s v="Weekend"/>
    <s v="Residential"/>
    <s v="Total"/>
  </r>
  <r>
    <x v="17"/>
    <n v="2019"/>
    <n v="20"/>
    <s v="China +"/>
    <x v="4"/>
    <n v="816000000"/>
    <n v="653000000"/>
    <n v="543000000"/>
    <n v="479000000"/>
    <n v="501000000"/>
    <n v="579000000"/>
    <n v="732000000"/>
    <n v="989000000"/>
    <n v="1250000000"/>
    <n v="1530000000"/>
    <n v="1860000000"/>
    <n v="2110000000"/>
    <n v="2100000000"/>
    <n v="2030000000"/>
    <n v="2110000000"/>
    <n v="2090000000"/>
    <n v="2070000000"/>
    <n v="2070000000"/>
    <n v="2230000000"/>
    <n v="2110000000"/>
    <n v="1970000000"/>
    <n v="1750000000"/>
    <n v="1400000000"/>
    <n v="1060000000"/>
    <s v="Spring"/>
    <s v="Weekend"/>
    <s v="Residential"/>
    <s v="Total"/>
  </r>
  <r>
    <x v="17"/>
    <n v="2019"/>
    <n v="20"/>
    <s v="China +"/>
    <x v="5"/>
    <n v="1140000000"/>
    <n v="955000000"/>
    <n v="839000000"/>
    <n v="785000000"/>
    <n v="835000000"/>
    <n v="929000000"/>
    <n v="1100000000"/>
    <n v="1350000000"/>
    <n v="1590000000"/>
    <n v="1840000000"/>
    <n v="2150000000"/>
    <n v="2420000000"/>
    <n v="2420000000"/>
    <n v="2350000000"/>
    <n v="2430000000"/>
    <n v="2410000000"/>
    <n v="2390000000"/>
    <n v="2390000000"/>
    <n v="2540000000"/>
    <n v="2490000000"/>
    <n v="2350000000"/>
    <n v="2120000000"/>
    <n v="1760000000"/>
    <n v="1420000000"/>
    <s v="Summer"/>
    <s v="Weekend"/>
    <s v="Residential"/>
    <s v="Total"/>
  </r>
  <r>
    <x v="17"/>
    <n v="2019"/>
    <n v="20"/>
    <s v="China +"/>
    <x v="6"/>
    <n v="1510000000"/>
    <n v="1320000000"/>
    <n v="1200000000"/>
    <n v="1150000000"/>
    <n v="1210000000"/>
    <n v="1320000000"/>
    <n v="1490000000"/>
    <n v="1730000000"/>
    <n v="1940000000"/>
    <n v="2150000000"/>
    <n v="2450000000"/>
    <n v="2730000000"/>
    <n v="2750000000"/>
    <n v="2690000000"/>
    <n v="2760000000"/>
    <n v="2740000000"/>
    <n v="2730000000"/>
    <n v="2740000000"/>
    <n v="2930000000"/>
    <n v="2860000000"/>
    <n v="2730000000"/>
    <n v="2500000000"/>
    <n v="2140000000"/>
    <n v="1790000000"/>
    <s v="Summer"/>
    <s v="Weekend"/>
    <s v="Residential"/>
    <s v="Total"/>
  </r>
  <r>
    <x v="17"/>
    <n v="2019"/>
    <n v="20"/>
    <s v="China +"/>
    <x v="7"/>
    <n v="1440000000"/>
    <n v="1250000000"/>
    <n v="1130000000"/>
    <n v="1080000000"/>
    <n v="1140000000"/>
    <n v="1250000000"/>
    <n v="1430000000"/>
    <n v="1670000000"/>
    <n v="1880000000"/>
    <n v="2110000000"/>
    <n v="2410000000"/>
    <n v="2690000000"/>
    <n v="2710000000"/>
    <n v="2650000000"/>
    <n v="2730000000"/>
    <n v="2700000000"/>
    <n v="2690000000"/>
    <n v="2720000000"/>
    <n v="2900000000"/>
    <n v="2810000000"/>
    <n v="2670000000"/>
    <n v="2440000000"/>
    <n v="2080000000"/>
    <n v="1720000000"/>
    <s v="Summer"/>
    <s v="Weekend"/>
    <s v="Residential"/>
    <s v="Total"/>
  </r>
  <r>
    <x v="17"/>
    <n v="2019"/>
    <n v="20"/>
    <s v="China +"/>
    <x v="8"/>
    <n v="975000000"/>
    <n v="802000000"/>
    <n v="689000000"/>
    <n v="629000000"/>
    <n v="663000000"/>
    <n v="753000000"/>
    <n v="933000000"/>
    <n v="1140000000"/>
    <n v="1370000000"/>
    <n v="1630000000"/>
    <n v="1940000000"/>
    <n v="2180000000"/>
    <n v="2160000000"/>
    <n v="2090000000"/>
    <n v="2160000000"/>
    <n v="2140000000"/>
    <n v="2130000000"/>
    <n v="2220000000"/>
    <n v="2330000000"/>
    <n v="2240000000"/>
    <n v="2120000000"/>
    <n v="1910000000"/>
    <n v="1570000000"/>
    <n v="1230000000"/>
    <s v="Fall"/>
    <s v="Weekend"/>
    <s v="Residential"/>
    <s v="Total"/>
  </r>
  <r>
    <x v="17"/>
    <n v="2019"/>
    <n v="20"/>
    <s v="China +"/>
    <x v="9"/>
    <n v="751000000"/>
    <n v="599000000"/>
    <n v="491000000"/>
    <n v="422000000"/>
    <n v="431000000"/>
    <n v="486000000"/>
    <n v="668000000"/>
    <n v="796000000"/>
    <n v="1000000000"/>
    <n v="1270000000"/>
    <n v="1560000000"/>
    <n v="1740000000"/>
    <n v="1680000000"/>
    <n v="1580000000"/>
    <n v="1650000000"/>
    <n v="1630000000"/>
    <n v="1660000000"/>
    <n v="1850000000"/>
    <n v="1870000000"/>
    <n v="1790000000"/>
    <n v="1710000000"/>
    <n v="1550000000"/>
    <n v="1260000000"/>
    <n v="971000000"/>
    <s v="Fall"/>
    <s v="Weekend"/>
    <s v="Residential"/>
    <s v="Total"/>
  </r>
  <r>
    <x v="17"/>
    <n v="2019"/>
    <n v="20"/>
    <s v="China +"/>
    <x v="10"/>
    <n v="794000000"/>
    <n v="645000000"/>
    <n v="538000000"/>
    <n v="467000000"/>
    <n v="470000000"/>
    <n v="529000000"/>
    <n v="720000000"/>
    <n v="887000000"/>
    <n v="1060000000"/>
    <n v="1310000000"/>
    <n v="1590000000"/>
    <n v="1700000000"/>
    <n v="1610000000"/>
    <n v="1490000000"/>
    <n v="1550000000"/>
    <n v="1540000000"/>
    <n v="1630000000"/>
    <n v="1820000000"/>
    <n v="1860000000"/>
    <n v="1820000000"/>
    <n v="1770000000"/>
    <n v="1610000000"/>
    <n v="1300000000"/>
    <n v="1010000000"/>
    <s v="Winter"/>
    <s v="Weekend"/>
    <s v="Residential"/>
    <s v="Total"/>
  </r>
  <r>
    <x v="17"/>
    <n v="2019"/>
    <n v="20"/>
    <s v="China +"/>
    <x v="11"/>
    <n v="907000000"/>
    <n v="760000000"/>
    <n v="653000000"/>
    <n v="581000000"/>
    <n v="580000000"/>
    <n v="641000000"/>
    <n v="832000000"/>
    <n v="1050000000"/>
    <n v="1160000000"/>
    <n v="1410000000"/>
    <n v="1670000000"/>
    <n v="1760000000"/>
    <n v="1640000000"/>
    <n v="1520000000"/>
    <n v="1580000000"/>
    <n v="1570000000"/>
    <n v="1740000000"/>
    <n v="1870000000"/>
    <n v="1930000000"/>
    <n v="1910000000"/>
    <n v="1870000000"/>
    <n v="1730000000"/>
    <n v="1410000000"/>
    <n v="1120000000"/>
    <s v="Winter"/>
    <s v="Weekend"/>
    <s v="Residential"/>
    <s v="Total"/>
  </r>
  <r>
    <x v="18"/>
    <n v="2019"/>
    <n v="20"/>
    <s v="China +"/>
    <x v="0"/>
    <n v="601000000"/>
    <n v="571000000"/>
    <n v="547000000"/>
    <n v="584000000"/>
    <n v="635000000"/>
    <n v="739000000"/>
    <n v="1150000000"/>
    <n v="1870000000"/>
    <n v="2170000000"/>
    <n v="2030000000"/>
    <n v="1940000000"/>
    <n v="1890000000"/>
    <n v="1830000000"/>
    <n v="1810000000"/>
    <n v="1790000000"/>
    <n v="1780000000"/>
    <n v="1700000000"/>
    <n v="1580000000"/>
    <n v="1560000000"/>
    <n v="1410000000"/>
    <n v="1220000000"/>
    <n v="1040000000"/>
    <n v="916000000"/>
    <n v="628000000"/>
    <s v="Winter"/>
    <s v="Weekday"/>
    <s v="Commercial"/>
    <s v="Total"/>
  </r>
  <r>
    <x v="18"/>
    <n v="2019"/>
    <n v="20"/>
    <s v="China +"/>
    <x v="1"/>
    <n v="559000000"/>
    <n v="533000000"/>
    <n v="512000000"/>
    <n v="546000000"/>
    <n v="596000000"/>
    <n v="697000000"/>
    <n v="1100000000"/>
    <n v="1770000000"/>
    <n v="2040000000"/>
    <n v="1930000000"/>
    <n v="1850000000"/>
    <n v="1800000000"/>
    <n v="1750000000"/>
    <n v="1730000000"/>
    <n v="1720000000"/>
    <n v="1710000000"/>
    <n v="1630000000"/>
    <n v="1500000000"/>
    <n v="1480000000"/>
    <n v="1330000000"/>
    <n v="1140000000"/>
    <n v="965000000"/>
    <n v="837000000"/>
    <n v="600000000"/>
    <s v="Winter"/>
    <s v="Weekday"/>
    <s v="Commercial"/>
    <s v="Total"/>
  </r>
  <r>
    <x v="18"/>
    <n v="2019"/>
    <n v="20"/>
    <s v="China +"/>
    <x v="2"/>
    <n v="513000000"/>
    <n v="488000000"/>
    <n v="480000000"/>
    <n v="512000000"/>
    <n v="554000000"/>
    <n v="700000000"/>
    <n v="1140000000"/>
    <n v="1640000000"/>
    <n v="1830000000"/>
    <n v="1790000000"/>
    <n v="1730000000"/>
    <n v="1690000000"/>
    <n v="1660000000"/>
    <n v="1650000000"/>
    <n v="1630000000"/>
    <n v="1630000000"/>
    <n v="1550000000"/>
    <n v="1430000000"/>
    <n v="1390000000"/>
    <n v="1230000000"/>
    <n v="1050000000"/>
    <n v="823000000"/>
    <n v="675000000"/>
    <n v="575000000"/>
    <s v="Spring"/>
    <s v="Weekday"/>
    <s v="Commercial"/>
    <s v="Total"/>
  </r>
  <r>
    <x v="18"/>
    <n v="2019"/>
    <n v="20"/>
    <s v="China +"/>
    <x v="3"/>
    <n v="490000000"/>
    <n v="470000000"/>
    <n v="466000000"/>
    <n v="495000000"/>
    <n v="533000000"/>
    <n v="672000000"/>
    <n v="1070000000"/>
    <n v="1430000000"/>
    <n v="1640000000"/>
    <n v="1680000000"/>
    <n v="1670000000"/>
    <n v="1650000000"/>
    <n v="1630000000"/>
    <n v="1630000000"/>
    <n v="1630000000"/>
    <n v="1630000000"/>
    <n v="1550000000"/>
    <n v="1420000000"/>
    <n v="1360000000"/>
    <n v="1180000000"/>
    <n v="983000000"/>
    <n v="756000000"/>
    <n v="620000000"/>
    <n v="541000000"/>
    <s v="Spring"/>
    <s v="Weekday"/>
    <s v="Commercial"/>
    <s v="Total"/>
  </r>
  <r>
    <x v="18"/>
    <n v="2019"/>
    <n v="20"/>
    <s v="China +"/>
    <x v="4"/>
    <n v="627000000"/>
    <n v="600000000"/>
    <n v="591000000"/>
    <n v="617000000"/>
    <n v="660000000"/>
    <n v="777000000"/>
    <n v="1150000000"/>
    <n v="1580000000"/>
    <n v="1910000000"/>
    <n v="2030000000"/>
    <n v="2070000000"/>
    <n v="2100000000"/>
    <n v="2090000000"/>
    <n v="2110000000"/>
    <n v="2120000000"/>
    <n v="2120000000"/>
    <n v="2030000000"/>
    <n v="1860000000"/>
    <n v="1760000000"/>
    <n v="1520000000"/>
    <n v="1270000000"/>
    <n v="1020000000"/>
    <n v="845000000"/>
    <n v="726000000"/>
    <s v="Spring"/>
    <s v="Weekday"/>
    <s v="Commercial"/>
    <s v="Total"/>
  </r>
  <r>
    <x v="18"/>
    <n v="2019"/>
    <n v="20"/>
    <s v="China +"/>
    <x v="5"/>
    <n v="854000000"/>
    <n v="811000000"/>
    <n v="795000000"/>
    <n v="823000000"/>
    <n v="876000000"/>
    <n v="1010000000"/>
    <n v="1380000000"/>
    <n v="1860000000"/>
    <n v="2250000000"/>
    <n v="2420000000"/>
    <n v="2490000000"/>
    <n v="2530000000"/>
    <n v="2530000000"/>
    <n v="2560000000"/>
    <n v="2580000000"/>
    <n v="2580000000"/>
    <n v="2480000000"/>
    <n v="2290000000"/>
    <n v="2170000000"/>
    <n v="1900000000"/>
    <n v="1620000000"/>
    <n v="1340000000"/>
    <n v="1140000000"/>
    <n v="982000000"/>
    <s v="Summer"/>
    <s v="Weekday"/>
    <s v="Commercial"/>
    <s v="Total"/>
  </r>
  <r>
    <x v="18"/>
    <n v="2019"/>
    <n v="20"/>
    <s v="China +"/>
    <x v="6"/>
    <n v="1120000000"/>
    <n v="1070000000"/>
    <n v="1050000000"/>
    <n v="1080000000"/>
    <n v="1140000000"/>
    <n v="1280000000"/>
    <n v="1680000000"/>
    <n v="2190000000"/>
    <n v="2630000000"/>
    <n v="2830000000"/>
    <n v="2920000000"/>
    <n v="2980000000"/>
    <n v="2970000000"/>
    <n v="3010000000"/>
    <n v="3040000000"/>
    <n v="3030000000"/>
    <n v="2920000000"/>
    <n v="2730000000"/>
    <n v="2580000000"/>
    <n v="2290000000"/>
    <n v="1990000000"/>
    <n v="1690000000"/>
    <n v="1460000000"/>
    <n v="1270000000"/>
    <s v="Summer"/>
    <s v="Weekday"/>
    <s v="Commercial"/>
    <s v="Total"/>
  </r>
  <r>
    <x v="18"/>
    <n v="2019"/>
    <n v="20"/>
    <s v="China +"/>
    <x v="7"/>
    <n v="1070000000"/>
    <n v="1020000000"/>
    <n v="1000000000"/>
    <n v="1030000000"/>
    <n v="1090000000"/>
    <n v="1230000000"/>
    <n v="1630000000"/>
    <n v="2140000000"/>
    <n v="2570000000"/>
    <n v="2770000000"/>
    <n v="2860000000"/>
    <n v="2910000000"/>
    <n v="2910000000"/>
    <n v="2950000000"/>
    <n v="2980000000"/>
    <n v="2970000000"/>
    <n v="2860000000"/>
    <n v="2660000000"/>
    <n v="2520000000"/>
    <n v="2240000000"/>
    <n v="1930000000"/>
    <n v="1630000000"/>
    <n v="1400000000"/>
    <n v="1220000000"/>
    <s v="Summer"/>
    <s v="Weekday"/>
    <s v="Commercial"/>
    <s v="Total"/>
  </r>
  <r>
    <x v="18"/>
    <n v="2019"/>
    <n v="20"/>
    <s v="China +"/>
    <x v="8"/>
    <n v="727000000"/>
    <n v="694000000"/>
    <n v="682000000"/>
    <n v="710000000"/>
    <n v="756000000"/>
    <n v="884000000"/>
    <n v="1240000000"/>
    <n v="1690000000"/>
    <n v="2040000000"/>
    <n v="2160000000"/>
    <n v="2210000000"/>
    <n v="2240000000"/>
    <n v="2220000000"/>
    <n v="2250000000"/>
    <n v="2270000000"/>
    <n v="2260000000"/>
    <n v="2170000000"/>
    <n v="2000000000"/>
    <n v="1890000000"/>
    <n v="1650000000"/>
    <n v="1400000000"/>
    <n v="1140000000"/>
    <n v="959000000"/>
    <n v="830000000"/>
    <s v="Fall"/>
    <s v="Weekday"/>
    <s v="Commercial"/>
    <s v="Total"/>
  </r>
  <r>
    <x v="18"/>
    <n v="2019"/>
    <n v="20"/>
    <s v="China +"/>
    <x v="9"/>
    <n v="510000000"/>
    <n v="490000000"/>
    <n v="485000000"/>
    <n v="514000000"/>
    <n v="553000000"/>
    <n v="688000000"/>
    <n v="1070000000"/>
    <n v="1450000000"/>
    <n v="1690000000"/>
    <n v="1740000000"/>
    <n v="1730000000"/>
    <n v="1720000000"/>
    <n v="1700000000"/>
    <n v="1710000000"/>
    <n v="1710000000"/>
    <n v="1710000000"/>
    <n v="1630000000"/>
    <n v="1490000000"/>
    <n v="1430000000"/>
    <n v="1240000000"/>
    <n v="1030000000"/>
    <n v="796000000"/>
    <n v="653000000"/>
    <n v="571000000"/>
    <s v="Fall"/>
    <s v="Weekday"/>
    <s v="Commercial"/>
    <s v="Total"/>
  </r>
  <r>
    <x v="18"/>
    <n v="2019"/>
    <n v="20"/>
    <s v="China +"/>
    <x v="10"/>
    <n v="524000000"/>
    <n v="502000000"/>
    <n v="485000000"/>
    <n v="515000000"/>
    <n v="559000000"/>
    <n v="665000000"/>
    <n v="989000000"/>
    <n v="1640000000"/>
    <n v="1850000000"/>
    <n v="1810000000"/>
    <n v="1760000000"/>
    <n v="1720000000"/>
    <n v="1680000000"/>
    <n v="1680000000"/>
    <n v="1670000000"/>
    <n v="1660000000"/>
    <n v="1590000000"/>
    <n v="1470000000"/>
    <n v="1430000000"/>
    <n v="1270000000"/>
    <n v="1070000000"/>
    <n v="871000000"/>
    <n v="736000000"/>
    <n v="584000000"/>
    <s v="Winter"/>
    <s v="Weekday"/>
    <s v="Commercial"/>
    <s v="Total"/>
  </r>
  <r>
    <x v="18"/>
    <n v="2019"/>
    <n v="20"/>
    <s v="China +"/>
    <x v="11"/>
    <n v="578000000"/>
    <n v="549000000"/>
    <n v="526000000"/>
    <n v="560000000"/>
    <n v="610000000"/>
    <n v="711000000"/>
    <n v="1050000000"/>
    <n v="1820000000"/>
    <n v="2090000000"/>
    <n v="1970000000"/>
    <n v="1890000000"/>
    <n v="1840000000"/>
    <n v="1790000000"/>
    <n v="1770000000"/>
    <n v="1750000000"/>
    <n v="1750000000"/>
    <n v="1670000000"/>
    <n v="1550000000"/>
    <n v="1540000000"/>
    <n v="1380000000"/>
    <n v="1190000000"/>
    <n v="1000000000"/>
    <n v="873000000"/>
    <n v="617000000"/>
    <s v="Winter"/>
    <s v="Weekday"/>
    <s v="Commercial"/>
    <s v="Total"/>
  </r>
  <r>
    <x v="19"/>
    <n v="2019"/>
    <n v="20"/>
    <s v="China +"/>
    <x v="0"/>
    <n v="259000000"/>
    <n v="235000000"/>
    <n v="225000000"/>
    <n v="232000000"/>
    <n v="238000000"/>
    <n v="262000000"/>
    <n v="302000000"/>
    <n v="444000000"/>
    <n v="532000000"/>
    <n v="523000000"/>
    <n v="492000000"/>
    <n v="476000000"/>
    <n v="462000000"/>
    <n v="431000000"/>
    <n v="407000000"/>
    <n v="394000000"/>
    <n v="376000000"/>
    <n v="384000000"/>
    <n v="401000000"/>
    <n v="357000000"/>
    <n v="344000000"/>
    <n v="331000000"/>
    <n v="317000000"/>
    <n v="279000000"/>
    <s v="Winter"/>
    <s v="Weekend"/>
    <s v="Commercial"/>
    <s v="Total"/>
  </r>
  <r>
    <x v="19"/>
    <n v="2019"/>
    <n v="20"/>
    <s v="China +"/>
    <x v="1"/>
    <n v="248000000"/>
    <n v="221000000"/>
    <n v="212000000"/>
    <n v="217000000"/>
    <n v="225000000"/>
    <n v="246000000"/>
    <n v="286000000"/>
    <n v="421000000"/>
    <n v="503000000"/>
    <n v="492000000"/>
    <n v="463000000"/>
    <n v="449000000"/>
    <n v="437000000"/>
    <n v="407000000"/>
    <n v="385000000"/>
    <n v="370000000"/>
    <n v="352000000"/>
    <n v="357000000"/>
    <n v="371000000"/>
    <n v="334000000"/>
    <n v="323000000"/>
    <n v="310000000"/>
    <n v="295000000"/>
    <n v="259000000"/>
    <s v="Winter"/>
    <s v="Weekend"/>
    <s v="Commercial"/>
    <s v="Total"/>
  </r>
  <r>
    <x v="19"/>
    <n v="2019"/>
    <n v="20"/>
    <s v="China +"/>
    <x v="2"/>
    <n v="233000000"/>
    <n v="205000000"/>
    <n v="201000000"/>
    <n v="205000000"/>
    <n v="210000000"/>
    <n v="235000000"/>
    <n v="292000000"/>
    <n v="394000000"/>
    <n v="440000000"/>
    <n v="442000000"/>
    <n v="422000000"/>
    <n v="414000000"/>
    <n v="405000000"/>
    <n v="379000000"/>
    <n v="360000000"/>
    <n v="342000000"/>
    <n v="325000000"/>
    <n v="330000000"/>
    <n v="330000000"/>
    <n v="314000000"/>
    <n v="305000000"/>
    <n v="288000000"/>
    <n v="266000000"/>
    <n v="241000000"/>
    <s v="Spring"/>
    <s v="Weekend"/>
    <s v="Commercial"/>
    <s v="Total"/>
  </r>
  <r>
    <x v="19"/>
    <n v="2019"/>
    <n v="20"/>
    <s v="China +"/>
    <x v="3"/>
    <n v="232000000"/>
    <n v="207000000"/>
    <n v="204000000"/>
    <n v="208000000"/>
    <n v="212000000"/>
    <n v="234000000"/>
    <n v="283000000"/>
    <n v="352000000"/>
    <n v="390000000"/>
    <n v="412000000"/>
    <n v="405000000"/>
    <n v="405000000"/>
    <n v="403000000"/>
    <n v="381000000"/>
    <n v="365000000"/>
    <n v="346000000"/>
    <n v="328000000"/>
    <n v="328000000"/>
    <n v="323000000"/>
    <n v="315000000"/>
    <n v="303000000"/>
    <n v="283000000"/>
    <n v="261000000"/>
    <n v="239000000"/>
    <s v="Spring"/>
    <s v="Weekend"/>
    <s v="Commercial"/>
    <s v="Total"/>
  </r>
  <r>
    <x v="19"/>
    <n v="2019"/>
    <n v="20"/>
    <s v="China +"/>
    <x v="4"/>
    <n v="314000000"/>
    <n v="287000000"/>
    <n v="282000000"/>
    <n v="285000000"/>
    <n v="291000000"/>
    <n v="317000000"/>
    <n v="360000000"/>
    <n v="445000000"/>
    <n v="513000000"/>
    <n v="562000000"/>
    <n v="578000000"/>
    <n v="594000000"/>
    <n v="606000000"/>
    <n v="592000000"/>
    <n v="578000000"/>
    <n v="558000000"/>
    <n v="533000000"/>
    <n v="518000000"/>
    <n v="499000000"/>
    <n v="471000000"/>
    <n v="437000000"/>
    <n v="398000000"/>
    <n v="363000000"/>
    <n v="327000000"/>
    <s v="Spring"/>
    <s v="Weekend"/>
    <s v="Commercial"/>
    <s v="Total"/>
  </r>
  <r>
    <x v="19"/>
    <n v="2019"/>
    <n v="20"/>
    <s v="China +"/>
    <x v="5"/>
    <n v="424000000"/>
    <n v="390000000"/>
    <n v="383000000"/>
    <n v="388000000"/>
    <n v="400000000"/>
    <n v="433000000"/>
    <n v="484000000"/>
    <n v="582000000"/>
    <n v="667000000"/>
    <n v="730000000"/>
    <n v="756000000"/>
    <n v="780000000"/>
    <n v="797000000"/>
    <n v="786000000"/>
    <n v="773000000"/>
    <n v="753000000"/>
    <n v="724000000"/>
    <n v="703000000"/>
    <n v="676000000"/>
    <n v="637000000"/>
    <n v="592000000"/>
    <n v="541000000"/>
    <n v="495000000"/>
    <n v="447000000"/>
    <s v="Summer"/>
    <s v="Weekend"/>
    <s v="Commercial"/>
    <s v="Total"/>
  </r>
  <r>
    <x v="19"/>
    <n v="2019"/>
    <n v="20"/>
    <s v="China +"/>
    <x v="6"/>
    <n v="554000000"/>
    <n v="516000000"/>
    <n v="508000000"/>
    <n v="513000000"/>
    <n v="528000000"/>
    <n v="568000000"/>
    <n v="626000000"/>
    <n v="734000000"/>
    <n v="831000000"/>
    <n v="903000000"/>
    <n v="936000000"/>
    <n v="965000000"/>
    <n v="986000000"/>
    <n v="977000000"/>
    <n v="964000000"/>
    <n v="944000000"/>
    <n v="912000000"/>
    <n v="886000000"/>
    <n v="854000000"/>
    <n v="808000000"/>
    <n v="755000000"/>
    <n v="696000000"/>
    <n v="641000000"/>
    <n v="584000000"/>
    <s v="Summer"/>
    <s v="Weekend"/>
    <s v="Commercial"/>
    <s v="Total"/>
  </r>
  <r>
    <x v="19"/>
    <n v="2019"/>
    <n v="20"/>
    <s v="China +"/>
    <x v="7"/>
    <n v="530000000"/>
    <n v="493000000"/>
    <n v="485000000"/>
    <n v="491000000"/>
    <n v="505000000"/>
    <n v="543000000"/>
    <n v="601000000"/>
    <n v="709000000"/>
    <n v="805000000"/>
    <n v="876000000"/>
    <n v="909000000"/>
    <n v="938000000"/>
    <n v="959000000"/>
    <n v="950000000"/>
    <n v="938000000"/>
    <n v="917000000"/>
    <n v="885000000"/>
    <n v="859000000"/>
    <n v="827000000"/>
    <n v="781000000"/>
    <n v="728000000"/>
    <n v="670000000"/>
    <n v="615000000"/>
    <n v="559000000"/>
    <s v="Summer"/>
    <s v="Weekend"/>
    <s v="Commercial"/>
    <s v="Total"/>
  </r>
  <r>
    <x v="19"/>
    <n v="2019"/>
    <n v="20"/>
    <s v="China +"/>
    <x v="8"/>
    <n v="359000000"/>
    <n v="330000000"/>
    <n v="325000000"/>
    <n v="328000000"/>
    <n v="336000000"/>
    <n v="365000000"/>
    <n v="410000000"/>
    <n v="498000000"/>
    <n v="569000000"/>
    <n v="618000000"/>
    <n v="634000000"/>
    <n v="650000000"/>
    <n v="662000000"/>
    <n v="647000000"/>
    <n v="633000000"/>
    <n v="614000000"/>
    <n v="588000000"/>
    <n v="573000000"/>
    <n v="554000000"/>
    <n v="525000000"/>
    <n v="491000000"/>
    <n v="451000000"/>
    <n v="415000000"/>
    <n v="376000000"/>
    <s v="Fall"/>
    <s v="Weekend"/>
    <s v="Commercial"/>
    <s v="Total"/>
  </r>
  <r>
    <x v="19"/>
    <n v="2019"/>
    <n v="20"/>
    <s v="China +"/>
    <x v="9"/>
    <n v="245000000"/>
    <n v="220000000"/>
    <n v="217000000"/>
    <n v="220000000"/>
    <n v="224000000"/>
    <n v="247000000"/>
    <n v="292000000"/>
    <n v="365000000"/>
    <n v="408000000"/>
    <n v="434000000"/>
    <n v="430000000"/>
    <n v="432000000"/>
    <n v="433000000"/>
    <n v="411000000"/>
    <n v="395000000"/>
    <n v="377000000"/>
    <n v="358000000"/>
    <n v="357000000"/>
    <n v="350000000"/>
    <n v="338000000"/>
    <n v="322000000"/>
    <n v="299000000"/>
    <n v="276000000"/>
    <n v="252000000"/>
    <s v="Fall"/>
    <s v="Weekend"/>
    <s v="Commercial"/>
    <s v="Total"/>
  </r>
  <r>
    <x v="19"/>
    <n v="2019"/>
    <n v="20"/>
    <s v="China +"/>
    <x v="10"/>
    <n v="240000000"/>
    <n v="214000000"/>
    <n v="207000000"/>
    <n v="211000000"/>
    <n v="216000000"/>
    <n v="238000000"/>
    <n v="283000000"/>
    <n v="386000000"/>
    <n v="435000000"/>
    <n v="445000000"/>
    <n v="428000000"/>
    <n v="421000000"/>
    <n v="414000000"/>
    <n v="388000000"/>
    <n v="368000000"/>
    <n v="352000000"/>
    <n v="336000000"/>
    <n v="341000000"/>
    <n v="346000000"/>
    <n v="329000000"/>
    <n v="316000000"/>
    <n v="299000000"/>
    <n v="279000000"/>
    <n v="249000000"/>
    <s v="Winter"/>
    <s v="Weekend"/>
    <s v="Commercial"/>
    <s v="Total"/>
  </r>
  <r>
    <x v="19"/>
    <n v="2019"/>
    <n v="20"/>
    <s v="China +"/>
    <x v="11"/>
    <n v="252000000"/>
    <n v="224000000"/>
    <n v="215000000"/>
    <n v="220000000"/>
    <n v="227000000"/>
    <n v="248000000"/>
    <n v="288000000"/>
    <n v="429000000"/>
    <n v="510000000"/>
    <n v="501000000"/>
    <n v="474000000"/>
    <n v="460000000"/>
    <n v="448000000"/>
    <n v="418000000"/>
    <n v="396000000"/>
    <n v="384000000"/>
    <n v="367000000"/>
    <n v="377000000"/>
    <n v="393000000"/>
    <n v="347000000"/>
    <n v="335000000"/>
    <n v="321000000"/>
    <n v="306000000"/>
    <n v="268000000"/>
    <s v="Winter"/>
    <s v="Weekend"/>
    <s v="Commercial"/>
    <s v="Total"/>
  </r>
  <r>
    <x v="20"/>
    <n v="2019"/>
    <n v="20"/>
    <s v="China +"/>
    <x v="0"/>
    <n v="12200000000"/>
    <n v="11800000000"/>
    <n v="11600000000"/>
    <n v="11500000000"/>
    <n v="11600000000"/>
    <n v="12200000000"/>
    <n v="13400000000"/>
    <n v="15100000000"/>
    <n v="15900000000"/>
    <n v="15300000000"/>
    <n v="14800000000"/>
    <n v="14700000000"/>
    <n v="14700000000"/>
    <n v="14700000000"/>
    <n v="14600000000"/>
    <n v="14900000000"/>
    <n v="15700000000"/>
    <n v="16400000000"/>
    <n v="16500000000"/>
    <n v="16000000000"/>
    <n v="15500000000"/>
    <n v="14900000000"/>
    <n v="13700000000"/>
    <n v="12700000000"/>
    <s v="Winter"/>
    <s v="Weekday"/>
    <s v="All Sectors"/>
    <s v="Total"/>
  </r>
  <r>
    <x v="20"/>
    <n v="2019"/>
    <n v="20"/>
    <s v="China +"/>
    <x v="1"/>
    <n v="12100000000"/>
    <n v="11700000000"/>
    <n v="11500000000"/>
    <n v="11400000000"/>
    <n v="11500000000"/>
    <n v="12000000000"/>
    <n v="13200000000"/>
    <n v="14800000000"/>
    <n v="15600000000"/>
    <n v="15100000000"/>
    <n v="14600000000"/>
    <n v="14500000000"/>
    <n v="14500000000"/>
    <n v="14500000000"/>
    <n v="14500000000"/>
    <n v="14700000000"/>
    <n v="15400000000"/>
    <n v="16200000000"/>
    <n v="16200000000"/>
    <n v="15800000000"/>
    <n v="15300000000"/>
    <n v="14700000000"/>
    <n v="13500000000"/>
    <n v="12600000000"/>
    <s v="Winter"/>
    <s v="Weekday"/>
    <s v="All Sectors"/>
    <s v="Total"/>
  </r>
  <r>
    <x v="20"/>
    <n v="2019"/>
    <n v="20"/>
    <s v="China +"/>
    <x v="2"/>
    <n v="11900000000"/>
    <n v="11500000000"/>
    <n v="11300000000"/>
    <n v="11300000000"/>
    <n v="11300000000"/>
    <n v="11900000000"/>
    <n v="13100000000"/>
    <n v="14500000000"/>
    <n v="15300000000"/>
    <n v="14900000000"/>
    <n v="14500000000"/>
    <n v="14400000000"/>
    <n v="14400000000"/>
    <n v="14400000000"/>
    <n v="14400000000"/>
    <n v="14600000000"/>
    <n v="15200000000"/>
    <n v="16000000000"/>
    <n v="16100000000"/>
    <n v="15600000000"/>
    <n v="15000000000"/>
    <n v="14400000000"/>
    <n v="13200000000"/>
    <n v="12500000000"/>
    <s v="Spring"/>
    <s v="Weekday"/>
    <s v="All Sectors"/>
    <s v="Total"/>
  </r>
  <r>
    <x v="20"/>
    <n v="2019"/>
    <n v="20"/>
    <s v="China +"/>
    <x v="3"/>
    <n v="11400000000"/>
    <n v="11000000000"/>
    <n v="10800000000"/>
    <n v="10800000000"/>
    <n v="10900000000"/>
    <n v="11400000000"/>
    <n v="12300000000"/>
    <n v="13700000000"/>
    <n v="14500000000"/>
    <n v="14300000000"/>
    <n v="14000000000"/>
    <n v="13900000000"/>
    <n v="14000000000"/>
    <n v="14100000000"/>
    <n v="14100000000"/>
    <n v="14300000000"/>
    <n v="14900000000"/>
    <n v="15400000000"/>
    <n v="15600000000"/>
    <n v="15100000000"/>
    <n v="14500000000"/>
    <n v="13800000000"/>
    <n v="12700000000"/>
    <n v="12000000000"/>
    <s v="Spring"/>
    <s v="Weekday"/>
    <s v="All Sectors"/>
    <s v="Total"/>
  </r>
  <r>
    <x v="20"/>
    <n v="2019"/>
    <n v="20"/>
    <s v="China +"/>
    <x v="4"/>
    <n v="11900000000"/>
    <n v="11400000000"/>
    <n v="11200000000"/>
    <n v="11200000000"/>
    <n v="11300000000"/>
    <n v="11800000000"/>
    <n v="12700000000"/>
    <n v="14300000000"/>
    <n v="15200000000"/>
    <n v="15200000000"/>
    <n v="15000000000"/>
    <n v="15100000000"/>
    <n v="15300000000"/>
    <n v="15500000000"/>
    <n v="15600000000"/>
    <n v="15900000000"/>
    <n v="16500000000"/>
    <n v="16900000000"/>
    <n v="17100000000"/>
    <n v="16400000000"/>
    <n v="15600000000"/>
    <n v="14800000000"/>
    <n v="13500000000"/>
    <n v="12500000000"/>
    <s v="Spring"/>
    <s v="Weekday"/>
    <s v="All Sectors"/>
    <s v="Total"/>
  </r>
  <r>
    <x v="20"/>
    <n v="2019"/>
    <n v="20"/>
    <s v="China +"/>
    <x v="5"/>
    <n v="13000000000"/>
    <n v="12500000000"/>
    <n v="12200000000"/>
    <n v="12200000000"/>
    <n v="12400000000"/>
    <n v="12900000000"/>
    <n v="13700000000"/>
    <n v="15200000000"/>
    <n v="16200000000"/>
    <n v="16100000000"/>
    <n v="15900000000"/>
    <n v="16100000000"/>
    <n v="16400000000"/>
    <n v="16600000000"/>
    <n v="16700000000"/>
    <n v="17000000000"/>
    <n v="17600000000"/>
    <n v="18100000000"/>
    <n v="18300000000"/>
    <n v="17700000000"/>
    <n v="16900000000"/>
    <n v="16100000000"/>
    <n v="14700000000"/>
    <n v="13700000000"/>
    <s v="Summer"/>
    <s v="Weekday"/>
    <s v="All Sectors"/>
    <s v="Total"/>
  </r>
  <r>
    <x v="20"/>
    <n v="2019"/>
    <n v="20"/>
    <s v="China +"/>
    <x v="6"/>
    <n v="13400000000"/>
    <n v="12900000000"/>
    <n v="12700000000"/>
    <n v="12600000000"/>
    <n v="12800000000"/>
    <n v="13300000000"/>
    <n v="14100000000"/>
    <n v="15400000000"/>
    <n v="16300000000"/>
    <n v="16300000000"/>
    <n v="16100000000"/>
    <n v="16400000000"/>
    <n v="16700000000"/>
    <n v="16900000000"/>
    <n v="17000000000"/>
    <n v="17400000000"/>
    <n v="18100000000"/>
    <n v="18600000000"/>
    <n v="18800000000"/>
    <n v="18200000000"/>
    <n v="17500000000"/>
    <n v="16600000000"/>
    <n v="15300000000"/>
    <n v="14200000000"/>
    <s v="Summer"/>
    <s v="Weekday"/>
    <s v="All Sectors"/>
    <s v="Total"/>
  </r>
  <r>
    <x v="20"/>
    <n v="2019"/>
    <n v="20"/>
    <s v="China +"/>
    <x v="7"/>
    <n v="13700000000"/>
    <n v="13200000000"/>
    <n v="13000000000"/>
    <n v="12900000000"/>
    <n v="13100000000"/>
    <n v="13600000000"/>
    <n v="14500000000"/>
    <n v="15800000000"/>
    <n v="16800000000"/>
    <n v="16700000000"/>
    <n v="16500000000"/>
    <n v="16800000000"/>
    <n v="17100000000"/>
    <n v="17300000000"/>
    <n v="17400000000"/>
    <n v="17800000000"/>
    <n v="18500000000"/>
    <n v="19000000000"/>
    <n v="19200000000"/>
    <n v="18600000000"/>
    <n v="17800000000"/>
    <n v="17000000000"/>
    <n v="15600000000"/>
    <n v="14500000000"/>
    <s v="Summer"/>
    <s v="Weekday"/>
    <s v="All Sectors"/>
    <s v="Total"/>
  </r>
  <r>
    <x v="20"/>
    <n v="2019"/>
    <n v="20"/>
    <s v="China +"/>
    <x v="8"/>
    <n v="12500000000"/>
    <n v="12000000000"/>
    <n v="11800000000"/>
    <n v="11700000000"/>
    <n v="11900000000"/>
    <n v="12400000000"/>
    <n v="13400000000"/>
    <n v="14700000000"/>
    <n v="15700000000"/>
    <n v="15600000000"/>
    <n v="15400000000"/>
    <n v="15500000000"/>
    <n v="15700000000"/>
    <n v="15900000000"/>
    <n v="15900000000"/>
    <n v="16300000000"/>
    <n v="16900000000"/>
    <n v="17500000000"/>
    <n v="17600000000"/>
    <n v="16900000000"/>
    <n v="16200000000"/>
    <n v="15400000000"/>
    <n v="14100000000"/>
    <n v="13200000000"/>
    <s v="Fall"/>
    <s v="Weekday"/>
    <s v="All Sectors"/>
    <s v="Total"/>
  </r>
  <r>
    <x v="20"/>
    <n v="2019"/>
    <n v="20"/>
    <s v="China +"/>
    <x v="9"/>
    <n v="11700000000"/>
    <n v="11300000000"/>
    <n v="11100000000"/>
    <n v="11000000000"/>
    <n v="11100000000"/>
    <n v="11700000000"/>
    <n v="12800000000"/>
    <n v="14000000000"/>
    <n v="14900000000"/>
    <n v="14700000000"/>
    <n v="14300000000"/>
    <n v="14400000000"/>
    <n v="14500000000"/>
    <n v="14500000000"/>
    <n v="14500000000"/>
    <n v="14800000000"/>
    <n v="15400000000"/>
    <n v="16200000000"/>
    <n v="16100000000"/>
    <n v="15500000000"/>
    <n v="14900000000"/>
    <n v="14200000000"/>
    <n v="13100000000"/>
    <n v="12300000000"/>
    <s v="Fall"/>
    <s v="Weekday"/>
    <s v="All Sectors"/>
    <s v="Total"/>
  </r>
  <r>
    <x v="20"/>
    <n v="2019"/>
    <n v="20"/>
    <s v="China +"/>
    <x v="10"/>
    <n v="11900000000"/>
    <n v="11500000000"/>
    <n v="11300000000"/>
    <n v="11300000000"/>
    <n v="11300000000"/>
    <n v="11900000000"/>
    <n v="13000000000"/>
    <n v="14600000000"/>
    <n v="15300000000"/>
    <n v="15000000000"/>
    <n v="14500000000"/>
    <n v="14500000000"/>
    <n v="14500000000"/>
    <n v="14500000000"/>
    <n v="14500000000"/>
    <n v="14800000000"/>
    <n v="15400000000"/>
    <n v="16200000000"/>
    <n v="16200000000"/>
    <n v="15700000000"/>
    <n v="15100000000"/>
    <n v="14500000000"/>
    <n v="13300000000"/>
    <n v="12500000000"/>
    <s v="Winter"/>
    <s v="Weekday"/>
    <s v="All Sectors"/>
    <s v="Total"/>
  </r>
  <r>
    <x v="20"/>
    <n v="2019"/>
    <n v="20"/>
    <s v="China +"/>
    <x v="11"/>
    <n v="11600000000"/>
    <n v="11200000000"/>
    <n v="11000000000"/>
    <n v="10900000000"/>
    <n v="11000000000"/>
    <n v="11600000000"/>
    <n v="12700000000"/>
    <n v="14500000000"/>
    <n v="15200000000"/>
    <n v="14700000000"/>
    <n v="14200000000"/>
    <n v="14100000000"/>
    <n v="14100000000"/>
    <n v="14100000000"/>
    <n v="14000000000"/>
    <n v="14300000000"/>
    <n v="15100000000"/>
    <n v="15800000000"/>
    <n v="15800000000"/>
    <n v="15400000000"/>
    <n v="14800000000"/>
    <n v="14200000000"/>
    <n v="13100000000"/>
    <n v="12100000000"/>
    <s v="Winter"/>
    <s v="Weekday"/>
    <s v="All Sectors"/>
    <s v="Total"/>
  </r>
  <r>
    <x v="21"/>
    <n v="2019"/>
    <n v="20"/>
    <s v="China +"/>
    <x v="0"/>
    <n v="6350000000"/>
    <n v="6130000000"/>
    <n v="6000000000"/>
    <n v="5950000000"/>
    <n v="5980000000"/>
    <n v="6100000000"/>
    <n v="6390000000"/>
    <n v="6780000000"/>
    <n v="7090000000"/>
    <n v="7420000000"/>
    <n v="7690000000"/>
    <n v="7820000000"/>
    <n v="7700000000"/>
    <n v="7550000000"/>
    <n v="7580000000"/>
    <n v="7560000000"/>
    <n v="7720000000"/>
    <n v="7910000000"/>
    <n v="7960000000"/>
    <n v="7830000000"/>
    <n v="7700000000"/>
    <n v="7440000000"/>
    <n v="7050000000"/>
    <n v="6620000000"/>
    <s v="Winter"/>
    <s v="Weekend"/>
    <s v="All Sectors"/>
    <s v="Total"/>
  </r>
  <r>
    <x v="21"/>
    <n v="2019"/>
    <n v="20"/>
    <s v="China +"/>
    <x v="1"/>
    <n v="6280000000"/>
    <n v="6060000000"/>
    <n v="5930000000"/>
    <n v="5870000000"/>
    <n v="5900000000"/>
    <n v="6030000000"/>
    <n v="6310000000"/>
    <n v="6640000000"/>
    <n v="6990000000"/>
    <n v="7320000000"/>
    <n v="7600000000"/>
    <n v="7720000000"/>
    <n v="7610000000"/>
    <n v="7480000000"/>
    <n v="7500000000"/>
    <n v="7490000000"/>
    <n v="7580000000"/>
    <n v="7810000000"/>
    <n v="7850000000"/>
    <n v="7730000000"/>
    <n v="7600000000"/>
    <n v="7340000000"/>
    <n v="6960000000"/>
    <n v="6540000000"/>
    <s v="Winter"/>
    <s v="Weekend"/>
    <s v="All Sectors"/>
    <s v="Total"/>
  </r>
  <r>
    <x v="21"/>
    <n v="2019"/>
    <n v="20"/>
    <s v="China +"/>
    <x v="2"/>
    <n v="6210000000"/>
    <n v="5990000000"/>
    <n v="5860000000"/>
    <n v="5800000000"/>
    <n v="5830000000"/>
    <n v="5960000000"/>
    <n v="6240000000"/>
    <n v="6520000000"/>
    <n v="6870000000"/>
    <n v="7220000000"/>
    <n v="7510000000"/>
    <n v="7660000000"/>
    <n v="7550000000"/>
    <n v="7430000000"/>
    <n v="7460000000"/>
    <n v="7440000000"/>
    <n v="7490000000"/>
    <n v="7720000000"/>
    <n v="7760000000"/>
    <n v="7640000000"/>
    <n v="7500000000"/>
    <n v="7230000000"/>
    <n v="6860000000"/>
    <n v="6460000000"/>
    <s v="Spring"/>
    <s v="Weekend"/>
    <s v="All Sectors"/>
    <s v="Total"/>
  </r>
  <r>
    <x v="21"/>
    <n v="2019"/>
    <n v="20"/>
    <s v="China +"/>
    <x v="3"/>
    <n v="5950000000"/>
    <n v="5730000000"/>
    <n v="5610000000"/>
    <n v="5550000000"/>
    <n v="5590000000"/>
    <n v="5700000000"/>
    <n v="5910000000"/>
    <n v="6210000000"/>
    <n v="6540000000"/>
    <n v="6910000000"/>
    <n v="7230000000"/>
    <n v="7450000000"/>
    <n v="7390000000"/>
    <n v="7290000000"/>
    <n v="7330000000"/>
    <n v="7300000000"/>
    <n v="7320000000"/>
    <n v="7380000000"/>
    <n v="7510000000"/>
    <n v="7390000000"/>
    <n v="7230000000"/>
    <n v="6970000000"/>
    <n v="6610000000"/>
    <n v="6210000000"/>
    <s v="Spring"/>
    <s v="Weekend"/>
    <s v="All Sectors"/>
    <s v="Total"/>
  </r>
  <r>
    <x v="21"/>
    <n v="2019"/>
    <n v="20"/>
    <s v="China +"/>
    <x v="4"/>
    <n v="6170000000"/>
    <n v="5940000000"/>
    <n v="5810000000"/>
    <n v="5760000000"/>
    <n v="5810000000"/>
    <n v="5950000000"/>
    <n v="6200000000"/>
    <n v="6590000000"/>
    <n v="7000000000"/>
    <n v="7430000000"/>
    <n v="7820000000"/>
    <n v="8140000000"/>
    <n v="8150000000"/>
    <n v="8090000000"/>
    <n v="8140000000"/>
    <n v="8100000000"/>
    <n v="8100000000"/>
    <n v="8090000000"/>
    <n v="8200000000"/>
    <n v="7990000000"/>
    <n v="7730000000"/>
    <n v="7370000000"/>
    <n v="6930000000"/>
    <n v="6470000000"/>
    <s v="Spring"/>
    <s v="Weekend"/>
    <s v="All Sectors"/>
    <s v="Total"/>
  </r>
  <r>
    <x v="21"/>
    <n v="2019"/>
    <n v="20"/>
    <s v="China +"/>
    <x v="5"/>
    <n v="6690000000"/>
    <n v="6430000000"/>
    <n v="6290000000"/>
    <n v="6250000000"/>
    <n v="6340000000"/>
    <n v="6510000000"/>
    <n v="6780000000"/>
    <n v="7180000000"/>
    <n v="7590000000"/>
    <n v="7990000000"/>
    <n v="8370000000"/>
    <n v="8720000000"/>
    <n v="8740000000"/>
    <n v="8690000000"/>
    <n v="8740000000"/>
    <n v="8700000000"/>
    <n v="8700000000"/>
    <n v="8690000000"/>
    <n v="8780000000"/>
    <n v="8620000000"/>
    <n v="8350000000"/>
    <n v="7970000000"/>
    <n v="7510000000"/>
    <n v="7020000000"/>
    <s v="Summer"/>
    <s v="Weekend"/>
    <s v="All Sectors"/>
    <s v="Total"/>
  </r>
  <r>
    <x v="21"/>
    <n v="2019"/>
    <n v="20"/>
    <s v="China +"/>
    <x v="6"/>
    <n v="6890000000"/>
    <n v="6610000000"/>
    <n v="6480000000"/>
    <n v="6440000000"/>
    <n v="6540000000"/>
    <n v="6730000000"/>
    <n v="7000000000"/>
    <n v="7400000000"/>
    <n v="7790000000"/>
    <n v="8170000000"/>
    <n v="8540000000"/>
    <n v="8900000000"/>
    <n v="8950000000"/>
    <n v="8900000000"/>
    <n v="8950000000"/>
    <n v="8910000000"/>
    <n v="8900000000"/>
    <n v="8900000000"/>
    <n v="9030000000"/>
    <n v="8850000000"/>
    <n v="8580000000"/>
    <n v="8200000000"/>
    <n v="7730000000"/>
    <n v="7230000000"/>
    <s v="Summer"/>
    <s v="Weekend"/>
    <s v="All Sectors"/>
    <s v="Total"/>
  </r>
  <r>
    <x v="21"/>
    <n v="2019"/>
    <n v="20"/>
    <s v="China +"/>
    <x v="7"/>
    <n v="7050000000"/>
    <n v="6780000000"/>
    <n v="6640000000"/>
    <n v="6600000000"/>
    <n v="6700000000"/>
    <n v="6900000000"/>
    <n v="7180000000"/>
    <n v="7570000000"/>
    <n v="7970000000"/>
    <n v="8360000000"/>
    <n v="8740000000"/>
    <n v="9110000000"/>
    <n v="9150000000"/>
    <n v="9110000000"/>
    <n v="9160000000"/>
    <n v="9120000000"/>
    <n v="9120000000"/>
    <n v="9130000000"/>
    <n v="9250000000"/>
    <n v="9050000000"/>
    <n v="8770000000"/>
    <n v="8380000000"/>
    <n v="7900000000"/>
    <n v="7400000000"/>
    <s v="Summer"/>
    <s v="Weekend"/>
    <s v="All Sectors"/>
    <s v="Total"/>
  </r>
  <r>
    <x v="21"/>
    <n v="2019"/>
    <n v="20"/>
    <s v="China +"/>
    <x v="8"/>
    <n v="6460000000"/>
    <n v="6220000000"/>
    <n v="6090000000"/>
    <n v="6040000000"/>
    <n v="6100000000"/>
    <n v="6270000000"/>
    <n v="6540000000"/>
    <n v="6880000000"/>
    <n v="7270000000"/>
    <n v="7670000000"/>
    <n v="8040000000"/>
    <n v="8350000000"/>
    <n v="8350000000"/>
    <n v="8290000000"/>
    <n v="8330000000"/>
    <n v="8300000000"/>
    <n v="8300000000"/>
    <n v="8390000000"/>
    <n v="8450000000"/>
    <n v="8270000000"/>
    <n v="8030000000"/>
    <n v="7680000000"/>
    <n v="7240000000"/>
    <n v="6780000000"/>
    <s v="Fall"/>
    <s v="Weekend"/>
    <s v="All Sectors"/>
    <s v="Total"/>
  </r>
  <r>
    <x v="21"/>
    <n v="2019"/>
    <n v="20"/>
    <s v="China +"/>
    <x v="9"/>
    <n v="6100000000"/>
    <n v="5880000000"/>
    <n v="5750000000"/>
    <n v="5700000000"/>
    <n v="5730000000"/>
    <n v="5850000000"/>
    <n v="6130000000"/>
    <n v="6380000000"/>
    <n v="6720000000"/>
    <n v="7100000000"/>
    <n v="7440000000"/>
    <n v="7670000000"/>
    <n v="7620000000"/>
    <n v="7520000000"/>
    <n v="7560000000"/>
    <n v="7530000000"/>
    <n v="7570000000"/>
    <n v="7780000000"/>
    <n v="7760000000"/>
    <n v="7610000000"/>
    <n v="7430000000"/>
    <n v="7140000000"/>
    <n v="6770000000"/>
    <n v="6360000000"/>
    <s v="Fall"/>
    <s v="Weekend"/>
    <s v="All Sectors"/>
    <s v="Total"/>
  </r>
  <r>
    <x v="21"/>
    <n v="2019"/>
    <n v="20"/>
    <s v="China +"/>
    <x v="10"/>
    <n v="6210000000"/>
    <n v="5990000000"/>
    <n v="5860000000"/>
    <n v="5800000000"/>
    <n v="5840000000"/>
    <n v="5960000000"/>
    <n v="6250000000"/>
    <n v="6570000000"/>
    <n v="6880000000"/>
    <n v="7230000000"/>
    <n v="7530000000"/>
    <n v="7700000000"/>
    <n v="7600000000"/>
    <n v="7480000000"/>
    <n v="7510000000"/>
    <n v="7490000000"/>
    <n v="7600000000"/>
    <n v="7800000000"/>
    <n v="7820000000"/>
    <n v="7700000000"/>
    <n v="7550000000"/>
    <n v="7270000000"/>
    <n v="6890000000"/>
    <n v="6470000000"/>
    <s v="Winter"/>
    <s v="Weekend"/>
    <s v="All Sectors"/>
    <s v="Total"/>
  </r>
  <r>
    <x v="21"/>
    <n v="2019"/>
    <n v="20"/>
    <s v="China +"/>
    <x v="11"/>
    <n v="6040000000"/>
    <n v="5820000000"/>
    <n v="5690000000"/>
    <n v="5630000000"/>
    <n v="5660000000"/>
    <n v="5780000000"/>
    <n v="6060000000"/>
    <n v="6460000000"/>
    <n v="6750000000"/>
    <n v="7080000000"/>
    <n v="7360000000"/>
    <n v="7490000000"/>
    <n v="7370000000"/>
    <n v="7240000000"/>
    <n v="7260000000"/>
    <n v="7240000000"/>
    <n v="7430000000"/>
    <n v="7580000000"/>
    <n v="7630000000"/>
    <n v="7500000000"/>
    <n v="7370000000"/>
    <n v="7110000000"/>
    <n v="6730000000"/>
    <n v="6300000000"/>
    <s v="Winter"/>
    <s v="Weekend"/>
    <s v="All Sectors"/>
    <s v="Total"/>
  </r>
  <r>
    <x v="22"/>
    <n v="2019"/>
    <n v="20"/>
    <s v="China +"/>
    <x v="0"/>
    <n v="158000000"/>
    <n v="140000000"/>
    <n v="135000000"/>
    <n v="139000000"/>
    <n v="135000000"/>
    <n v="171000000"/>
    <n v="329000000"/>
    <n v="882000000"/>
    <n v="1250000000"/>
    <n v="1060000000"/>
    <n v="781000000"/>
    <n v="790000000"/>
    <n v="849000000"/>
    <n v="835000000"/>
    <n v="789000000"/>
    <n v="896000000"/>
    <n v="1170000000"/>
    <n v="1420000000"/>
    <n v="1370000000"/>
    <n v="1080000000"/>
    <n v="779000000"/>
    <n v="576000000"/>
    <n v="406000000"/>
    <n v="279000000"/>
    <s v="Winter"/>
    <s v="Weekday"/>
    <s v="Transportation"/>
    <s v="Transportation"/>
  </r>
  <r>
    <x v="22"/>
    <n v="2019"/>
    <n v="20"/>
    <s v="China +"/>
    <x v="1"/>
    <n v="155000000"/>
    <n v="137000000"/>
    <n v="132000000"/>
    <n v="136000000"/>
    <n v="132000000"/>
    <n v="168000000"/>
    <n v="324000000"/>
    <n v="873000000"/>
    <n v="1250000000"/>
    <n v="1060000000"/>
    <n v="774000000"/>
    <n v="783000000"/>
    <n v="843000000"/>
    <n v="829000000"/>
    <n v="783000000"/>
    <n v="888000000"/>
    <n v="1170000000"/>
    <n v="1410000000"/>
    <n v="1360000000"/>
    <n v="1070000000"/>
    <n v="772000000"/>
    <n v="570000000"/>
    <n v="400000000"/>
    <n v="275000000"/>
    <s v="Winter"/>
    <s v="Weekday"/>
    <s v="Transportation"/>
    <s v="Transportation"/>
  </r>
  <r>
    <x v="22"/>
    <n v="2019"/>
    <n v="20"/>
    <s v="China +"/>
    <x v="2"/>
    <n v="152000000"/>
    <n v="134000000"/>
    <n v="129000000"/>
    <n v="133000000"/>
    <n v="129000000"/>
    <n v="165000000"/>
    <n v="320000000"/>
    <n v="865000000"/>
    <n v="1240000000"/>
    <n v="1050000000"/>
    <n v="768000000"/>
    <n v="777000000"/>
    <n v="836000000"/>
    <n v="822000000"/>
    <n v="776000000"/>
    <n v="881000000"/>
    <n v="1160000000"/>
    <n v="1410000000"/>
    <n v="1350000000"/>
    <n v="1060000000"/>
    <n v="766000000"/>
    <n v="564000000"/>
    <n v="393000000"/>
    <n v="271000000"/>
    <s v="Spring"/>
    <s v="Weekday"/>
    <s v="Transportation"/>
    <s v="Transportation"/>
  </r>
  <r>
    <x v="22"/>
    <n v="2019"/>
    <n v="20"/>
    <s v="China +"/>
    <x v="3"/>
    <n v="149000000"/>
    <n v="131000000"/>
    <n v="126000000"/>
    <n v="130000000"/>
    <n v="126000000"/>
    <n v="162000000"/>
    <n v="316000000"/>
    <n v="856000000"/>
    <n v="1230000000"/>
    <n v="1040000000"/>
    <n v="761000000"/>
    <n v="770000000"/>
    <n v="830000000"/>
    <n v="816000000"/>
    <n v="770000000"/>
    <n v="873000000"/>
    <n v="1150000000"/>
    <n v="1400000000"/>
    <n v="1350000000"/>
    <n v="1060000000"/>
    <n v="759000000"/>
    <n v="557000000"/>
    <n v="387000000"/>
    <n v="266000000"/>
    <s v="Spring"/>
    <s v="Weekday"/>
    <s v="Transportation"/>
    <s v="Transportation"/>
  </r>
  <r>
    <x v="22"/>
    <n v="2019"/>
    <n v="20"/>
    <s v="China +"/>
    <x v="4"/>
    <n v="146000000"/>
    <n v="128000000"/>
    <n v="123000000"/>
    <n v="127000000"/>
    <n v="122000000"/>
    <n v="159000000"/>
    <n v="311000000"/>
    <n v="847000000"/>
    <n v="1220000000"/>
    <n v="1030000000"/>
    <n v="754000000"/>
    <n v="764000000"/>
    <n v="823000000"/>
    <n v="809000000"/>
    <n v="763000000"/>
    <n v="865000000"/>
    <n v="1140000000"/>
    <n v="1390000000"/>
    <n v="1340000000"/>
    <n v="1050000000"/>
    <n v="753000000"/>
    <n v="550000000"/>
    <n v="380000000"/>
    <n v="262000000"/>
    <s v="Spring"/>
    <s v="Weekday"/>
    <s v="Transportation"/>
    <s v="Transportation"/>
  </r>
  <r>
    <x v="22"/>
    <n v="2019"/>
    <n v="20"/>
    <s v="China +"/>
    <x v="5"/>
    <n v="143000000"/>
    <n v="124000000"/>
    <n v="120000000"/>
    <n v="124000000"/>
    <n v="119000000"/>
    <n v="156000000"/>
    <n v="306000000"/>
    <n v="838000000"/>
    <n v="1210000000"/>
    <n v="1020000000"/>
    <n v="748000000"/>
    <n v="757000000"/>
    <n v="816000000"/>
    <n v="802000000"/>
    <n v="756000000"/>
    <n v="856000000"/>
    <n v="1130000000"/>
    <n v="1380000000"/>
    <n v="1330000000"/>
    <n v="1040000000"/>
    <n v="746000000"/>
    <n v="543000000"/>
    <n v="373000000"/>
    <n v="257000000"/>
    <s v="Summer"/>
    <s v="Weekday"/>
    <s v="Transportation"/>
    <s v="Transportation"/>
  </r>
  <r>
    <x v="22"/>
    <n v="2019"/>
    <n v="20"/>
    <s v="China +"/>
    <x v="6"/>
    <n v="140000000"/>
    <n v="122000000"/>
    <n v="117000000"/>
    <n v="121000000"/>
    <n v="117000000"/>
    <n v="153000000"/>
    <n v="303000000"/>
    <n v="831000000"/>
    <n v="1200000000"/>
    <n v="1020000000"/>
    <n v="742000000"/>
    <n v="751000000"/>
    <n v="811000000"/>
    <n v="797000000"/>
    <n v="751000000"/>
    <n v="850000000"/>
    <n v="1120000000"/>
    <n v="1370000000"/>
    <n v="1320000000"/>
    <n v="1040000000"/>
    <n v="740000000"/>
    <n v="538000000"/>
    <n v="368000000"/>
    <n v="254000000"/>
    <s v="Summer"/>
    <s v="Weekday"/>
    <s v="Transportation"/>
    <s v="Transportation"/>
  </r>
  <r>
    <x v="22"/>
    <n v="2019"/>
    <n v="20"/>
    <s v="China +"/>
    <x v="7"/>
    <n v="144000000"/>
    <n v="125000000"/>
    <n v="120000000"/>
    <n v="125000000"/>
    <n v="120000000"/>
    <n v="157000000"/>
    <n v="308000000"/>
    <n v="840000000"/>
    <n v="1210000000"/>
    <n v="1030000000"/>
    <n v="750000000"/>
    <n v="759000000"/>
    <n v="818000000"/>
    <n v="804000000"/>
    <n v="758000000"/>
    <n v="859000000"/>
    <n v="1130000000"/>
    <n v="1380000000"/>
    <n v="1330000000"/>
    <n v="1050000000"/>
    <n v="748000000"/>
    <n v="545000000"/>
    <n v="375000000"/>
    <n v="258000000"/>
    <s v="Summer"/>
    <s v="Weekday"/>
    <s v="Transportation"/>
    <s v="Transportation"/>
  </r>
  <r>
    <x v="22"/>
    <n v="2019"/>
    <n v="20"/>
    <s v="China +"/>
    <x v="8"/>
    <n v="148000000"/>
    <n v="130000000"/>
    <n v="125000000"/>
    <n v="129000000"/>
    <n v="125000000"/>
    <n v="161000000"/>
    <n v="314000000"/>
    <n v="853000000"/>
    <n v="1230000000"/>
    <n v="1040000000"/>
    <n v="759000000"/>
    <n v="768000000"/>
    <n v="828000000"/>
    <n v="814000000"/>
    <n v="768000000"/>
    <n v="870000000"/>
    <n v="1150000000"/>
    <n v="1390000000"/>
    <n v="1340000000"/>
    <n v="1060000000"/>
    <n v="757000000"/>
    <n v="555000000"/>
    <n v="385000000"/>
    <n v="265000000"/>
    <s v="Fall"/>
    <s v="Weekday"/>
    <s v="Transportation"/>
    <s v="Transportation"/>
  </r>
  <r>
    <x v="22"/>
    <n v="2019"/>
    <n v="20"/>
    <s v="China +"/>
    <x v="9"/>
    <n v="154000000"/>
    <n v="135000000"/>
    <n v="130000000"/>
    <n v="135000000"/>
    <n v="130000000"/>
    <n v="167000000"/>
    <n v="322000000"/>
    <n v="869000000"/>
    <n v="1240000000"/>
    <n v="1050000000"/>
    <n v="771000000"/>
    <n v="780000000"/>
    <n v="840000000"/>
    <n v="826000000"/>
    <n v="780000000"/>
    <n v="885000000"/>
    <n v="1160000000"/>
    <n v="1410000000"/>
    <n v="1360000000"/>
    <n v="1070000000"/>
    <n v="769000000"/>
    <n v="567000000"/>
    <n v="396000000"/>
    <n v="273000000"/>
    <s v="Fall"/>
    <s v="Weekday"/>
    <s v="Transportation"/>
    <s v="Transportation"/>
  </r>
  <r>
    <x v="22"/>
    <n v="2019"/>
    <n v="20"/>
    <s v="China +"/>
    <x v="10"/>
    <n v="155000000"/>
    <n v="137000000"/>
    <n v="132000000"/>
    <n v="136000000"/>
    <n v="131000000"/>
    <n v="168000000"/>
    <n v="324000000"/>
    <n v="873000000"/>
    <n v="1240000000"/>
    <n v="1050000000"/>
    <n v="774000000"/>
    <n v="783000000"/>
    <n v="842000000"/>
    <n v="828000000"/>
    <n v="782000000"/>
    <n v="888000000"/>
    <n v="1170000000"/>
    <n v="1410000000"/>
    <n v="1360000000"/>
    <n v="1070000000"/>
    <n v="772000000"/>
    <n v="569000000"/>
    <n v="399000000"/>
    <n v="275000000"/>
    <s v="Winter"/>
    <s v="Weekday"/>
    <s v="Transportation"/>
    <s v="Transportation"/>
  </r>
  <r>
    <x v="22"/>
    <n v="2019"/>
    <n v="20"/>
    <s v="China +"/>
    <x v="11"/>
    <n v="157000000"/>
    <n v="138000000"/>
    <n v="134000000"/>
    <n v="138000000"/>
    <n v="133000000"/>
    <n v="170000000"/>
    <n v="326000000"/>
    <n v="878000000"/>
    <n v="1250000000"/>
    <n v="1060000000"/>
    <n v="778000000"/>
    <n v="787000000"/>
    <n v="846000000"/>
    <n v="832000000"/>
    <n v="786000000"/>
    <n v="892000000"/>
    <n v="1170000000"/>
    <n v="1420000000"/>
    <n v="1370000000"/>
    <n v="1070000000"/>
    <n v="776000000"/>
    <n v="573000000"/>
    <n v="403000000"/>
    <n v="277000000"/>
    <s v="Winter"/>
    <s v="Weekday"/>
    <s v="Transportation"/>
    <s v="Transportation"/>
  </r>
  <r>
    <x v="23"/>
    <n v="2019"/>
    <n v="20"/>
    <s v="China +"/>
    <x v="0"/>
    <n v="122000000"/>
    <n v="86700000"/>
    <n v="77100000"/>
    <n v="77100000"/>
    <n v="73900000"/>
    <n v="78700000"/>
    <n v="110000000"/>
    <n v="153000000"/>
    <n v="234000000"/>
    <n v="323000000"/>
    <n v="367000000"/>
    <n v="417000000"/>
    <n v="425000000"/>
    <n v="438000000"/>
    <n v="419000000"/>
    <n v="390000000"/>
    <n v="390000000"/>
    <n v="392000000"/>
    <n v="381000000"/>
    <n v="344000000"/>
    <n v="294000000"/>
    <n v="238000000"/>
    <n v="219000000"/>
    <n v="148000000"/>
    <s v="Winter"/>
    <s v="Weekend"/>
    <s v="Transportation"/>
    <s v="Transportation"/>
  </r>
  <r>
    <x v="23"/>
    <n v="2019"/>
    <n v="20"/>
    <s v="China +"/>
    <x v="1"/>
    <n v="120000000"/>
    <n v="85200000"/>
    <n v="75500000"/>
    <n v="75500000"/>
    <n v="72300000"/>
    <n v="77100000"/>
    <n v="108000000"/>
    <n v="150000000"/>
    <n v="231000000"/>
    <n v="320000000"/>
    <n v="364000000"/>
    <n v="414000000"/>
    <n v="422000000"/>
    <n v="435000000"/>
    <n v="416000000"/>
    <n v="387000000"/>
    <n v="387000000"/>
    <n v="389000000"/>
    <n v="378000000"/>
    <n v="341000000"/>
    <n v="291000000"/>
    <n v="235000000"/>
    <n v="215000000"/>
    <n v="146000000"/>
    <s v="Winter"/>
    <s v="Weekend"/>
    <s v="Transportation"/>
    <s v="Transportation"/>
  </r>
  <r>
    <x v="23"/>
    <n v="2019"/>
    <n v="20"/>
    <s v="China +"/>
    <x v="2"/>
    <n v="119000000"/>
    <n v="83600000"/>
    <n v="74000000"/>
    <n v="74000000"/>
    <n v="70800000"/>
    <n v="75600000"/>
    <n v="106000000"/>
    <n v="148000000"/>
    <n v="228000000"/>
    <n v="317000000"/>
    <n v="361000000"/>
    <n v="410000000"/>
    <n v="419000000"/>
    <n v="432000000"/>
    <n v="413000000"/>
    <n v="384000000"/>
    <n v="384000000"/>
    <n v="385000000"/>
    <n v="374000000"/>
    <n v="337000000"/>
    <n v="287000000"/>
    <n v="231000000"/>
    <n v="212000000"/>
    <n v="144000000"/>
    <s v="Spring"/>
    <s v="Weekend"/>
    <s v="Transportation"/>
    <s v="Transportation"/>
  </r>
  <r>
    <x v="23"/>
    <n v="2019"/>
    <n v="20"/>
    <s v="China +"/>
    <x v="3"/>
    <n v="117000000"/>
    <n v="82000000"/>
    <n v="72400000"/>
    <n v="72400000"/>
    <n v="69200000"/>
    <n v="74000000"/>
    <n v="105000000"/>
    <n v="145000000"/>
    <n v="226000000"/>
    <n v="314000000"/>
    <n v="357000000"/>
    <n v="407000000"/>
    <n v="416000000"/>
    <n v="430000000"/>
    <n v="410000000"/>
    <n v="381000000"/>
    <n v="380000000"/>
    <n v="382000000"/>
    <n v="371000000"/>
    <n v="334000000"/>
    <n v="284000000"/>
    <n v="228000000"/>
    <n v="209000000"/>
    <n v="142000000"/>
    <s v="Spring"/>
    <s v="Weekend"/>
    <s v="Transportation"/>
    <s v="Transportation"/>
  </r>
  <r>
    <x v="23"/>
    <n v="2019"/>
    <n v="20"/>
    <s v="China +"/>
    <x v="4"/>
    <n v="116000000"/>
    <n v="80300000"/>
    <n v="70700000"/>
    <n v="70700000"/>
    <n v="67500000"/>
    <n v="72300000"/>
    <n v="103000000"/>
    <n v="143000000"/>
    <n v="223000000"/>
    <n v="310000000"/>
    <n v="354000000"/>
    <n v="404000000"/>
    <n v="413000000"/>
    <n v="427000000"/>
    <n v="407000000"/>
    <n v="378000000"/>
    <n v="377000000"/>
    <n v="378000000"/>
    <n v="367000000"/>
    <n v="330000000"/>
    <n v="280000000"/>
    <n v="224000000"/>
    <n v="205000000"/>
    <n v="139000000"/>
    <s v="Spring"/>
    <s v="Weekend"/>
    <s v="Transportation"/>
    <s v="Transportation"/>
  </r>
  <r>
    <x v="23"/>
    <n v="2019"/>
    <n v="20"/>
    <s v="China +"/>
    <x v="5"/>
    <n v="114000000"/>
    <n v="78700000"/>
    <n v="69000000"/>
    <n v="69000000"/>
    <n v="65800000"/>
    <n v="70600000"/>
    <n v="100000000"/>
    <n v="140000000"/>
    <n v="220000000"/>
    <n v="307000000"/>
    <n v="351000000"/>
    <n v="400000000"/>
    <n v="410000000"/>
    <n v="424000000"/>
    <n v="404000000"/>
    <n v="375000000"/>
    <n v="373000000"/>
    <n v="375000000"/>
    <n v="364000000"/>
    <n v="327000000"/>
    <n v="277000000"/>
    <n v="221000000"/>
    <n v="201000000"/>
    <n v="137000000"/>
    <s v="Summer"/>
    <s v="Weekend"/>
    <s v="Transportation"/>
    <s v="Transportation"/>
  </r>
  <r>
    <x v="23"/>
    <n v="2019"/>
    <n v="20"/>
    <s v="China +"/>
    <x v="6"/>
    <n v="113000000"/>
    <n v="77400000"/>
    <n v="67800000"/>
    <n v="67800000"/>
    <n v="64600000"/>
    <n v="69400000"/>
    <n v="98900000"/>
    <n v="138000000"/>
    <n v="217000000"/>
    <n v="305000000"/>
    <n v="348000000"/>
    <n v="398000000"/>
    <n v="407000000"/>
    <n v="421000000"/>
    <n v="402000000"/>
    <n v="373000000"/>
    <n v="370000000"/>
    <n v="372000000"/>
    <n v="361000000"/>
    <n v="324000000"/>
    <n v="274000000"/>
    <n v="218000000"/>
    <n v="199000000"/>
    <n v="135000000"/>
    <s v="Summer"/>
    <s v="Weekend"/>
    <s v="Transportation"/>
    <s v="Transportation"/>
  </r>
  <r>
    <x v="23"/>
    <n v="2019"/>
    <n v="20"/>
    <s v="China +"/>
    <x v="7"/>
    <n v="114000000"/>
    <n v="79200000"/>
    <n v="69500000"/>
    <n v="69500000"/>
    <n v="66300000"/>
    <n v="71100000"/>
    <n v="101000000"/>
    <n v="141000000"/>
    <n v="221000000"/>
    <n v="308000000"/>
    <n v="352000000"/>
    <n v="401000000"/>
    <n v="411000000"/>
    <n v="424000000"/>
    <n v="405000000"/>
    <n v="376000000"/>
    <n v="374000000"/>
    <n v="376000000"/>
    <n v="365000000"/>
    <n v="328000000"/>
    <n v="278000000"/>
    <n v="222000000"/>
    <n v="202000000"/>
    <n v="138000000"/>
    <s v="Summer"/>
    <s v="Weekend"/>
    <s v="Transportation"/>
    <s v="Transportation"/>
  </r>
  <r>
    <x v="23"/>
    <n v="2019"/>
    <n v="20"/>
    <s v="China +"/>
    <x v="8"/>
    <n v="117000000"/>
    <n v="81500000"/>
    <n v="71800000"/>
    <n v="71800000"/>
    <n v="68600000"/>
    <n v="73400000"/>
    <n v="104000000"/>
    <n v="144000000"/>
    <n v="225000000"/>
    <n v="312000000"/>
    <n v="356000000"/>
    <n v="406000000"/>
    <n v="415000000"/>
    <n v="429000000"/>
    <n v="409000000"/>
    <n v="380000000"/>
    <n v="379000000"/>
    <n v="381000000"/>
    <n v="370000000"/>
    <n v="333000000"/>
    <n v="283000000"/>
    <n v="227000000"/>
    <n v="207000000"/>
    <n v="141000000"/>
    <s v="Fall"/>
    <s v="Weekend"/>
    <s v="Transportation"/>
    <s v="Transportation"/>
  </r>
  <r>
    <x v="23"/>
    <n v="2019"/>
    <n v="20"/>
    <s v="China +"/>
    <x v="9"/>
    <n v="120000000"/>
    <n v="84400000"/>
    <n v="74700000"/>
    <n v="74700000"/>
    <n v="71500000"/>
    <n v="76400000"/>
    <n v="107000000"/>
    <n v="149000000"/>
    <n v="230000000"/>
    <n v="318000000"/>
    <n v="362000000"/>
    <n v="412000000"/>
    <n v="421000000"/>
    <n v="434000000"/>
    <n v="415000000"/>
    <n v="386000000"/>
    <n v="385000000"/>
    <n v="387000000"/>
    <n v="376000000"/>
    <n v="339000000"/>
    <n v="289000000"/>
    <n v="233000000"/>
    <n v="214000000"/>
    <n v="145000000"/>
    <s v="Fall"/>
    <s v="Weekend"/>
    <s v="Transportation"/>
    <s v="Transportation"/>
  </r>
  <r>
    <x v="23"/>
    <n v="2019"/>
    <n v="20"/>
    <s v="China +"/>
    <x v="10"/>
    <n v="120000000"/>
    <n v="85100000"/>
    <n v="75400000"/>
    <n v="75400000"/>
    <n v="72200000"/>
    <n v="77000000"/>
    <n v="108000000"/>
    <n v="150000000"/>
    <n v="231000000"/>
    <n v="319000000"/>
    <n v="364000000"/>
    <n v="413000000"/>
    <n v="422000000"/>
    <n v="435000000"/>
    <n v="416000000"/>
    <n v="387000000"/>
    <n v="387000000"/>
    <n v="389000000"/>
    <n v="377000000"/>
    <n v="340000000"/>
    <n v="291000000"/>
    <n v="234000000"/>
    <n v="215000000"/>
    <n v="146000000"/>
    <s v="Winter"/>
    <s v="Weekend"/>
    <s v="Transportation"/>
    <s v="Transportation"/>
  </r>
  <r>
    <x v="23"/>
    <n v="2019"/>
    <n v="20"/>
    <s v="China +"/>
    <x v="11"/>
    <n v="121000000"/>
    <n v="86000000"/>
    <n v="76300000"/>
    <n v="76300000"/>
    <n v="73100000"/>
    <n v="77900000"/>
    <n v="109000000"/>
    <n v="151000000"/>
    <n v="233000000"/>
    <n v="321000000"/>
    <n v="365000000"/>
    <n v="415000000"/>
    <n v="424000000"/>
    <n v="437000000"/>
    <n v="417000000"/>
    <n v="389000000"/>
    <n v="389000000"/>
    <n v="390000000"/>
    <n v="379000000"/>
    <n v="342000000"/>
    <n v="292000000"/>
    <n v="236000000"/>
    <n v="217000000"/>
    <n v="147000000"/>
    <s v="Winter"/>
    <s v="Weekend"/>
    <s v="Transportation"/>
    <s v="Transporta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03306-012C-481B-A66C-72CC2554CEED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33">
    <pivotField axis="axisPage" multipleItemSelectionAllowed="1" showAll="0">
      <items count="25">
        <item h="1" x="14"/>
        <item h="1" x="15"/>
        <item h="1" x="0"/>
        <item h="1" x="1"/>
        <item h="1" x="2"/>
        <item h="1" x="3"/>
        <item h="1" x="4"/>
        <item h="1" x="5"/>
        <item h="1" x="16"/>
        <item h="1" x="17"/>
        <item h="1" x="6"/>
        <item h="1" x="7"/>
        <item x="8"/>
        <item x="9"/>
        <item x="10"/>
        <item x="11"/>
        <item x="18"/>
        <item x="19"/>
        <item x="12"/>
        <item x="13"/>
        <item h="1" x="20"/>
        <item h="1" x="21"/>
        <item h="1" x="22"/>
        <item h="1" x="23"/>
        <item t="default"/>
      </items>
    </pivotField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dataField="1"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Sum of h9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totalenergy/data/monthly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cenace.gob.mx/Paginas/SIM/PronosticosHorasCriticas.aspx" TargetMode="External"/><Relationship Id="rId1" Type="http://schemas.openxmlformats.org/officeDocument/2006/relationships/hyperlink" Target="https://data.nrel.gov/submissions/126" TargetMode="External"/><Relationship Id="rId6" Type="http://schemas.openxmlformats.org/officeDocument/2006/relationships/hyperlink" Target="https://data.mendeley.com/datasets/pmd2dchk44/1" TargetMode="External"/><Relationship Id="rId5" Type="http://schemas.openxmlformats.org/officeDocument/2006/relationships/hyperlink" Target="https://obtrenmx.org/" TargetMode="External"/><Relationship Id="rId4" Type="http://schemas.openxmlformats.org/officeDocument/2006/relationships/hyperlink" Target="https://www.cenace.gob.mx/APSIM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sheetPr codeName="Sheet1"/>
  <dimension ref="A1:I75"/>
  <sheetViews>
    <sheetView workbookViewId="0">
      <selection activeCell="G69" sqref="G69"/>
    </sheetView>
  </sheetViews>
  <sheetFormatPr defaultRowHeight="14.4" x14ac:dyDescent="0.3"/>
  <cols>
    <col min="2" max="2" width="50.109375" customWidth="1"/>
  </cols>
  <sheetData>
    <row r="1" spans="1:9" x14ac:dyDescent="0.3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2" spans="1:9" x14ac:dyDescent="0.3">
      <c r="A2" s="39"/>
      <c r="B2" s="39"/>
      <c r="C2" s="39"/>
      <c r="D2" s="39"/>
      <c r="E2" s="39"/>
      <c r="F2" s="39"/>
      <c r="G2" s="39"/>
      <c r="H2" s="39"/>
      <c r="I2" s="39"/>
    </row>
    <row r="3" spans="1:9" x14ac:dyDescent="0.3">
      <c r="A3" s="39" t="s">
        <v>1</v>
      </c>
      <c r="B3" s="40" t="s">
        <v>2</v>
      </c>
      <c r="C3" s="39"/>
      <c r="D3" s="39"/>
      <c r="E3" s="39"/>
      <c r="F3" s="39"/>
      <c r="G3" s="39"/>
      <c r="H3" s="38" t="s">
        <v>3</v>
      </c>
      <c r="I3" s="39"/>
    </row>
    <row r="4" spans="1:9" x14ac:dyDescent="0.3">
      <c r="A4" s="39"/>
      <c r="B4" s="39" t="s">
        <v>4</v>
      </c>
      <c r="C4" s="39"/>
      <c r="D4" s="39"/>
      <c r="E4" s="39"/>
      <c r="F4" s="39"/>
      <c r="G4" s="39"/>
      <c r="H4" s="39"/>
      <c r="I4" s="39"/>
    </row>
    <row r="5" spans="1:9" x14ac:dyDescent="0.3">
      <c r="A5" s="39"/>
      <c r="B5" s="41">
        <v>2018</v>
      </c>
      <c r="C5" s="39"/>
      <c r="D5" s="39"/>
      <c r="E5" s="39"/>
      <c r="F5" s="39"/>
      <c r="G5" s="39"/>
      <c r="H5" s="39" t="s">
        <v>1</v>
      </c>
      <c r="I5" s="40" t="s">
        <v>5</v>
      </c>
    </row>
    <row r="6" spans="1:9" x14ac:dyDescent="0.3">
      <c r="A6" s="39"/>
      <c r="B6" s="39" t="s">
        <v>6</v>
      </c>
      <c r="C6" s="39"/>
      <c r="D6" s="39"/>
      <c r="E6" s="39"/>
      <c r="F6" s="39"/>
      <c r="G6" s="39"/>
      <c r="H6" s="39"/>
      <c r="I6" s="39" t="s">
        <v>7</v>
      </c>
    </row>
    <row r="7" spans="1:9" x14ac:dyDescent="0.3">
      <c r="A7" s="39"/>
      <c r="B7" s="3" t="s">
        <v>8</v>
      </c>
      <c r="C7" s="39"/>
      <c r="D7" s="39"/>
      <c r="E7" s="39"/>
      <c r="F7" s="39"/>
      <c r="G7" s="39"/>
      <c r="H7" s="39"/>
      <c r="I7" s="39" t="s">
        <v>9</v>
      </c>
    </row>
    <row r="8" spans="1:9" x14ac:dyDescent="0.3">
      <c r="A8" s="39"/>
      <c r="B8" s="39" t="s">
        <v>10</v>
      </c>
      <c r="C8" s="39"/>
      <c r="D8" s="39"/>
      <c r="E8" s="39"/>
      <c r="F8" s="39"/>
      <c r="G8" s="39"/>
      <c r="H8" s="39"/>
      <c r="I8" s="3" t="s">
        <v>11</v>
      </c>
    </row>
    <row r="9" spans="1:9" x14ac:dyDescent="0.3">
      <c r="A9" s="39"/>
      <c r="B9" s="39"/>
      <c r="C9" s="39"/>
      <c r="D9" s="39"/>
      <c r="E9" s="39"/>
      <c r="F9" s="39"/>
      <c r="G9" s="39"/>
      <c r="H9" s="39"/>
      <c r="I9" s="39" t="s">
        <v>12</v>
      </c>
    </row>
    <row r="10" spans="1:9" x14ac:dyDescent="0.3">
      <c r="A10" s="39"/>
      <c r="B10" s="40" t="s">
        <v>13</v>
      </c>
      <c r="C10" s="39"/>
      <c r="D10" s="39"/>
      <c r="E10" s="39"/>
      <c r="F10" s="39"/>
      <c r="G10" s="39"/>
      <c r="H10" s="39"/>
      <c r="I10" s="39"/>
    </row>
    <row r="11" spans="1:9" x14ac:dyDescent="0.3">
      <c r="A11" s="39"/>
      <c r="B11" s="39" t="s">
        <v>14</v>
      </c>
      <c r="C11" s="39"/>
      <c r="D11" s="39"/>
      <c r="E11" s="39"/>
      <c r="F11" s="39"/>
      <c r="G11" s="39"/>
      <c r="H11" s="39"/>
      <c r="I11" s="40" t="s">
        <v>5</v>
      </c>
    </row>
    <row r="12" spans="1:9" x14ac:dyDescent="0.3">
      <c r="A12" s="39"/>
      <c r="B12" s="41">
        <v>2023</v>
      </c>
      <c r="C12" s="39"/>
      <c r="D12" s="39"/>
      <c r="E12" s="39"/>
      <c r="F12" s="39"/>
      <c r="G12" s="39"/>
      <c r="H12" s="39"/>
      <c r="I12" s="39" t="s">
        <v>7</v>
      </c>
    </row>
    <row r="13" spans="1:9" x14ac:dyDescent="0.3">
      <c r="A13" s="39"/>
      <c r="B13" s="39" t="s">
        <v>15</v>
      </c>
      <c r="C13" s="39"/>
      <c r="D13" s="39"/>
      <c r="E13" s="39"/>
      <c r="F13" s="39"/>
      <c r="G13" s="39"/>
      <c r="H13" s="39"/>
      <c r="I13" s="39" t="s">
        <v>9</v>
      </c>
    </row>
    <row r="14" spans="1:9" x14ac:dyDescent="0.3">
      <c r="A14" s="39"/>
      <c r="B14" s="3" t="s">
        <v>16</v>
      </c>
      <c r="C14" s="39"/>
      <c r="D14" s="39"/>
      <c r="E14" s="39"/>
      <c r="F14" s="39"/>
      <c r="G14" s="39"/>
      <c r="H14" s="39"/>
      <c r="I14" s="3" t="s">
        <v>17</v>
      </c>
    </row>
    <row r="15" spans="1:9" x14ac:dyDescent="0.3">
      <c r="A15" s="39"/>
      <c r="B15" s="39" t="s">
        <v>18</v>
      </c>
      <c r="C15" s="39"/>
      <c r="D15" s="39"/>
      <c r="E15" s="39"/>
      <c r="F15" s="39"/>
      <c r="G15" s="39"/>
      <c r="H15" s="39"/>
      <c r="I15" s="39" t="s">
        <v>19</v>
      </c>
    </row>
    <row r="16" spans="1:9" x14ac:dyDescent="0.3">
      <c r="A16" s="39"/>
      <c r="B16" s="39"/>
      <c r="C16" s="39"/>
      <c r="D16" s="39"/>
      <c r="E16" s="39"/>
      <c r="F16" s="39"/>
      <c r="G16" s="39"/>
      <c r="H16" s="39"/>
      <c r="I16" s="3" t="s">
        <v>20</v>
      </c>
    </row>
    <row r="17" spans="1:9" x14ac:dyDescent="0.3">
      <c r="A17" s="39"/>
      <c r="B17" s="40" t="s">
        <v>2</v>
      </c>
      <c r="C17" s="39"/>
      <c r="D17" s="39"/>
      <c r="E17" s="39"/>
      <c r="F17" s="39"/>
      <c r="G17" s="39"/>
      <c r="H17" s="39"/>
      <c r="I17" s="42"/>
    </row>
    <row r="18" spans="1:9" x14ac:dyDescent="0.3">
      <c r="A18" s="39"/>
      <c r="B18" s="39" t="s">
        <v>21</v>
      </c>
      <c r="C18" s="39"/>
      <c r="D18" s="39"/>
      <c r="E18" s="39"/>
      <c r="F18" s="39"/>
      <c r="G18" s="39"/>
      <c r="H18" s="38"/>
      <c r="I18" s="39"/>
    </row>
    <row r="19" spans="1:9" x14ac:dyDescent="0.3">
      <c r="A19" s="39"/>
      <c r="B19" s="41" t="s">
        <v>22</v>
      </c>
      <c r="C19" s="39"/>
      <c r="D19" s="39"/>
      <c r="E19" s="39"/>
      <c r="F19" s="39"/>
      <c r="G19" s="39"/>
      <c r="H19" s="39"/>
      <c r="I19" s="39"/>
    </row>
    <row r="20" spans="1:9" x14ac:dyDescent="0.3">
      <c r="A20" s="39"/>
      <c r="B20" s="3" t="s">
        <v>23</v>
      </c>
      <c r="C20" s="39"/>
      <c r="D20" s="39"/>
      <c r="E20" s="39"/>
      <c r="F20" s="39"/>
      <c r="G20" s="39"/>
      <c r="H20" s="39"/>
      <c r="I20" s="39"/>
    </row>
    <row r="21" spans="1:9" x14ac:dyDescent="0.3">
      <c r="A21" s="39"/>
      <c r="B21" s="39"/>
      <c r="C21" s="39"/>
      <c r="D21" s="39"/>
      <c r="E21" s="39"/>
      <c r="F21" s="39"/>
      <c r="G21" s="39"/>
      <c r="H21" s="39"/>
      <c r="I21" s="39"/>
    </row>
    <row r="22" spans="1:9" x14ac:dyDescent="0.3">
      <c r="A22" s="39"/>
      <c r="B22" s="42"/>
      <c r="C22" s="39"/>
      <c r="D22" s="39"/>
      <c r="E22" s="39"/>
      <c r="F22" s="39"/>
      <c r="G22" s="39"/>
      <c r="H22" s="39"/>
      <c r="I22" s="39"/>
    </row>
    <row r="23" spans="1:9" x14ac:dyDescent="0.3">
      <c r="A23" s="38" t="s">
        <v>24</v>
      </c>
      <c r="B23" s="39"/>
      <c r="C23" s="39"/>
      <c r="D23" s="39"/>
      <c r="E23" s="39"/>
      <c r="F23" s="39"/>
      <c r="G23" s="39"/>
      <c r="H23" s="39"/>
      <c r="I23" s="39"/>
    </row>
    <row r="24" spans="1:9" x14ac:dyDescent="0.3">
      <c r="A24" s="39" t="s">
        <v>25</v>
      </c>
      <c r="B24" s="39"/>
      <c r="C24" s="39"/>
      <c r="D24" s="39"/>
      <c r="E24" s="39"/>
      <c r="F24" s="39"/>
      <c r="G24" s="39"/>
      <c r="H24" s="39"/>
      <c r="I24" s="39"/>
    </row>
    <row r="25" spans="1:9" x14ac:dyDescent="0.3">
      <c r="A25" s="39" t="s">
        <v>26</v>
      </c>
      <c r="B25" s="39"/>
      <c r="C25" s="39"/>
      <c r="D25" s="39"/>
      <c r="E25" s="39"/>
      <c r="F25" s="39"/>
      <c r="G25" s="39"/>
      <c r="H25" s="39"/>
      <c r="I25" s="39"/>
    </row>
    <row r="26" spans="1:9" x14ac:dyDescent="0.3">
      <c r="A26" s="39"/>
      <c r="B26" s="39"/>
      <c r="C26" s="39"/>
      <c r="D26" s="39"/>
      <c r="E26" s="39"/>
      <c r="F26" s="39"/>
      <c r="G26" s="39"/>
      <c r="H26" s="39"/>
      <c r="I26" s="39"/>
    </row>
    <row r="27" spans="1:9" x14ac:dyDescent="0.3">
      <c r="A27" s="39" t="s">
        <v>27</v>
      </c>
      <c r="B27" s="39"/>
      <c r="C27" s="39"/>
      <c r="D27" s="39"/>
      <c r="E27" s="39"/>
      <c r="F27" s="39"/>
      <c r="G27" s="39"/>
      <c r="H27" s="39"/>
      <c r="I27" s="39"/>
    </row>
    <row r="28" spans="1:9" x14ac:dyDescent="0.3">
      <c r="A28" s="39" t="s">
        <v>28</v>
      </c>
      <c r="B28" s="39"/>
      <c r="C28" s="39"/>
      <c r="D28" s="39"/>
      <c r="E28" s="39"/>
      <c r="F28" s="39"/>
      <c r="G28" s="39"/>
      <c r="H28" s="39"/>
      <c r="I28" s="39"/>
    </row>
    <row r="29" spans="1:9" x14ac:dyDescent="0.3">
      <c r="A29" s="39" t="s">
        <v>29</v>
      </c>
      <c r="B29" s="39"/>
      <c r="C29" s="39"/>
      <c r="D29" s="39"/>
      <c r="E29" s="39"/>
      <c r="F29" s="39"/>
      <c r="G29" s="39"/>
      <c r="H29" s="39"/>
      <c r="I29" s="39"/>
    </row>
    <row r="30" spans="1:9" x14ac:dyDescent="0.3">
      <c r="A30" s="39" t="s">
        <v>30</v>
      </c>
      <c r="B30" s="39"/>
      <c r="C30" s="39"/>
      <c r="D30" s="39"/>
      <c r="E30" s="39"/>
      <c r="F30" s="39"/>
      <c r="G30" s="39"/>
      <c r="H30" s="39"/>
      <c r="I30" s="39"/>
    </row>
    <row r="31" spans="1:9" x14ac:dyDescent="0.3">
      <c r="A31" s="39" t="s">
        <v>31</v>
      </c>
      <c r="B31" s="39"/>
      <c r="C31" s="39"/>
      <c r="D31" s="39"/>
      <c r="E31" s="39"/>
      <c r="F31" s="39"/>
      <c r="G31" s="39"/>
      <c r="H31" s="39"/>
      <c r="I31" s="39"/>
    </row>
    <row r="32" spans="1:9" x14ac:dyDescent="0.3">
      <c r="A32" s="39" t="s">
        <v>32</v>
      </c>
      <c r="B32" s="39"/>
      <c r="C32" s="39"/>
      <c r="D32" s="39"/>
      <c r="E32" s="39"/>
      <c r="F32" s="39"/>
      <c r="G32" s="39"/>
      <c r="H32" s="39"/>
      <c r="I32" s="39"/>
    </row>
    <row r="33" spans="1:9" x14ac:dyDescent="0.3">
      <c r="A33" s="39" t="s">
        <v>33</v>
      </c>
      <c r="B33" s="39"/>
      <c r="C33" s="39"/>
      <c r="D33" s="39"/>
      <c r="E33" s="39"/>
      <c r="F33" s="39"/>
      <c r="G33" s="39"/>
      <c r="H33" s="39"/>
      <c r="I33" s="39"/>
    </row>
    <row r="34" spans="1:9" x14ac:dyDescent="0.3">
      <c r="A34" s="39"/>
      <c r="B34" s="39"/>
      <c r="C34" s="39"/>
      <c r="D34" s="39"/>
      <c r="E34" s="39"/>
      <c r="F34" s="39"/>
      <c r="G34" s="39"/>
      <c r="H34" s="39"/>
      <c r="I34" s="39"/>
    </row>
    <row r="35" spans="1:9" x14ac:dyDescent="0.3">
      <c r="A35" s="39" t="s">
        <v>34</v>
      </c>
      <c r="B35" s="39"/>
      <c r="C35" s="39"/>
      <c r="D35" s="39"/>
      <c r="E35" s="39"/>
      <c r="F35" s="39"/>
      <c r="G35" s="39"/>
      <c r="H35" s="39"/>
      <c r="I35" s="39"/>
    </row>
    <row r="36" spans="1:9" x14ac:dyDescent="0.3">
      <c r="A36" s="39" t="s">
        <v>35</v>
      </c>
      <c r="B36" s="39"/>
      <c r="C36" s="39"/>
      <c r="D36" s="39"/>
      <c r="E36" s="39"/>
      <c r="F36" s="39"/>
      <c r="G36" s="39"/>
      <c r="H36" s="39"/>
      <c r="I36" s="39"/>
    </row>
    <row r="37" spans="1:9" x14ac:dyDescent="0.3">
      <c r="A37" s="39"/>
      <c r="B37" s="39"/>
      <c r="C37" s="39"/>
      <c r="D37" s="39"/>
      <c r="E37" s="39"/>
      <c r="F37" s="39"/>
      <c r="G37" s="39"/>
      <c r="H37" s="39"/>
      <c r="I37" s="39"/>
    </row>
    <row r="38" spans="1:9" x14ac:dyDescent="0.3">
      <c r="A38" s="39" t="s">
        <v>36</v>
      </c>
      <c r="B38" s="39"/>
      <c r="C38" s="39"/>
      <c r="D38" s="39"/>
      <c r="E38" s="39"/>
      <c r="F38" s="39"/>
      <c r="G38" s="39"/>
      <c r="H38" s="39"/>
      <c r="I38" s="39"/>
    </row>
    <row r="39" spans="1:9" x14ac:dyDescent="0.3">
      <c r="A39" s="39" t="s">
        <v>37</v>
      </c>
      <c r="B39" s="39"/>
      <c r="C39" s="39"/>
      <c r="D39" s="39"/>
      <c r="E39" s="39"/>
      <c r="F39" s="39"/>
      <c r="G39" s="39"/>
      <c r="H39" s="39"/>
      <c r="I39" s="39"/>
    </row>
    <row r="40" spans="1:9" x14ac:dyDescent="0.3">
      <c r="A40" s="39" t="s">
        <v>38</v>
      </c>
      <c r="B40" s="39"/>
      <c r="C40" s="39"/>
      <c r="D40" s="39"/>
      <c r="E40" s="39"/>
      <c r="F40" s="39"/>
      <c r="G40" s="39"/>
      <c r="H40" s="39"/>
      <c r="I40" s="39"/>
    </row>
    <row r="41" spans="1:9" x14ac:dyDescent="0.3">
      <c r="A41" s="39" t="s">
        <v>39</v>
      </c>
      <c r="B41" s="39"/>
      <c r="C41" s="39"/>
      <c r="D41" s="39"/>
      <c r="E41" s="39"/>
      <c r="F41" s="39"/>
      <c r="G41" s="39"/>
      <c r="H41" s="39"/>
      <c r="I41" s="39"/>
    </row>
    <row r="42" spans="1:9" x14ac:dyDescent="0.3">
      <c r="A42" s="39" t="s">
        <v>40</v>
      </c>
      <c r="B42" s="39"/>
      <c r="C42" s="39"/>
      <c r="D42" s="39"/>
      <c r="E42" s="39"/>
      <c r="F42" s="39"/>
      <c r="G42" s="39"/>
      <c r="H42" s="39"/>
      <c r="I42" s="39"/>
    </row>
    <row r="43" spans="1:9" x14ac:dyDescent="0.3">
      <c r="A43" s="39"/>
      <c r="B43" s="39"/>
      <c r="C43" s="39"/>
      <c r="D43" s="39"/>
      <c r="E43" s="39"/>
      <c r="F43" s="39"/>
      <c r="G43" s="39"/>
      <c r="H43" s="39"/>
      <c r="I43" s="39"/>
    </row>
    <row r="44" spans="1:9" x14ac:dyDescent="0.3">
      <c r="A44" s="39" t="s">
        <v>25</v>
      </c>
      <c r="B44" s="39"/>
      <c r="C44" s="39"/>
      <c r="D44" s="39"/>
      <c r="E44" s="39"/>
      <c r="F44" s="39"/>
      <c r="G44" s="39"/>
      <c r="H44" s="39"/>
      <c r="I44" s="39"/>
    </row>
    <row r="45" spans="1:9" x14ac:dyDescent="0.3">
      <c r="A45" s="39" t="s">
        <v>26</v>
      </c>
      <c r="B45" s="39"/>
      <c r="C45" s="39"/>
      <c r="D45" s="39"/>
      <c r="E45" s="39"/>
      <c r="F45" s="39"/>
      <c r="G45" s="39"/>
      <c r="H45" s="39"/>
      <c r="I45" s="39"/>
    </row>
    <row r="46" spans="1:9" x14ac:dyDescent="0.3">
      <c r="A46" s="39"/>
      <c r="B46" s="39"/>
      <c r="C46" s="39"/>
      <c r="D46" s="39"/>
      <c r="E46" s="39"/>
      <c r="F46" s="39"/>
      <c r="G46" s="39"/>
      <c r="H46" s="39"/>
      <c r="I46" s="39"/>
    </row>
    <row r="47" spans="1:9" x14ac:dyDescent="0.3">
      <c r="A47" s="39" t="s">
        <v>41</v>
      </c>
      <c r="B47" s="39"/>
      <c r="C47" s="39"/>
      <c r="D47" s="39"/>
      <c r="E47" s="39"/>
      <c r="F47" s="39"/>
      <c r="G47" s="39"/>
      <c r="H47" s="39"/>
      <c r="I47" s="39"/>
    </row>
    <row r="48" spans="1:9" x14ac:dyDescent="0.3">
      <c r="A48" s="39" t="s">
        <v>42</v>
      </c>
      <c r="B48" s="39"/>
      <c r="C48" s="39"/>
      <c r="D48" s="39"/>
      <c r="E48" s="39"/>
      <c r="F48" s="39"/>
      <c r="G48" s="39"/>
      <c r="H48" s="39"/>
      <c r="I48" s="39"/>
    </row>
    <row r="49" spans="1:9" x14ac:dyDescent="0.3">
      <c r="A49" s="39" t="s">
        <v>43</v>
      </c>
      <c r="B49" s="39"/>
      <c r="C49" s="39"/>
      <c r="D49" s="39"/>
      <c r="E49" s="39"/>
      <c r="F49" s="39"/>
      <c r="G49" s="39"/>
      <c r="H49" s="39"/>
      <c r="I49" s="39"/>
    </row>
    <row r="50" spans="1:9" x14ac:dyDescent="0.3">
      <c r="A50" s="39"/>
      <c r="B50" s="39"/>
      <c r="C50" s="39"/>
      <c r="D50" s="39"/>
      <c r="E50" s="39"/>
      <c r="F50" s="39"/>
      <c r="G50" s="39"/>
      <c r="H50" s="39"/>
      <c r="I50" s="39"/>
    </row>
    <row r="51" spans="1:9" x14ac:dyDescent="0.3">
      <c r="A51" s="39" t="s">
        <v>44</v>
      </c>
      <c r="B51" s="39"/>
      <c r="C51" s="39"/>
      <c r="D51" s="39"/>
      <c r="E51" s="39"/>
      <c r="F51" s="39"/>
      <c r="G51" s="39"/>
      <c r="H51" s="39"/>
      <c r="I51" s="39"/>
    </row>
    <row r="52" spans="1:9" x14ac:dyDescent="0.3">
      <c r="A52" s="39" t="s">
        <v>45</v>
      </c>
      <c r="B52" s="39"/>
      <c r="C52" s="39"/>
      <c r="D52" s="39"/>
      <c r="E52" s="39"/>
      <c r="F52" s="39"/>
      <c r="G52" s="39"/>
      <c r="H52" s="39"/>
      <c r="I52" s="39"/>
    </row>
    <row r="53" spans="1:9" x14ac:dyDescent="0.3">
      <c r="A53" s="39"/>
      <c r="B53" s="39"/>
      <c r="C53" s="39"/>
      <c r="D53" s="39"/>
      <c r="E53" s="39"/>
      <c r="F53" s="39"/>
      <c r="G53" s="39"/>
      <c r="H53" s="39"/>
      <c r="I53" s="39"/>
    </row>
    <row r="54" spans="1:9" x14ac:dyDescent="0.3">
      <c r="A54" s="39" t="s">
        <v>25</v>
      </c>
      <c r="B54" s="39"/>
      <c r="C54" s="39"/>
      <c r="D54" s="39"/>
      <c r="E54" s="39"/>
      <c r="F54" s="39"/>
      <c r="G54" s="39"/>
      <c r="H54" s="39"/>
      <c r="I54" s="39"/>
    </row>
    <row r="55" spans="1:9" x14ac:dyDescent="0.3">
      <c r="A55" s="39" t="s">
        <v>26</v>
      </c>
      <c r="B55" s="39"/>
      <c r="C55" s="39"/>
      <c r="D55" s="39"/>
      <c r="E55" s="39"/>
      <c r="F55" s="39"/>
      <c r="G55" s="39"/>
      <c r="H55" s="39"/>
      <c r="I55" s="39"/>
    </row>
    <row r="56" spans="1:9" x14ac:dyDescent="0.3">
      <c r="A56" s="39"/>
      <c r="B56" s="39"/>
      <c r="C56" s="39"/>
      <c r="D56" s="39"/>
      <c r="E56" s="39"/>
      <c r="F56" s="39"/>
      <c r="G56" s="39"/>
      <c r="H56" s="39"/>
      <c r="I56" s="39"/>
    </row>
    <row r="57" spans="1:9" x14ac:dyDescent="0.3">
      <c r="A57" s="39" t="s">
        <v>41</v>
      </c>
      <c r="B57" s="39"/>
      <c r="C57" s="39"/>
      <c r="D57" s="39"/>
      <c r="E57" s="39"/>
      <c r="F57" s="39"/>
      <c r="G57" s="39"/>
      <c r="H57" s="39"/>
      <c r="I57" s="39"/>
    </row>
    <row r="58" spans="1:9" x14ac:dyDescent="0.3">
      <c r="A58" s="39" t="s">
        <v>42</v>
      </c>
      <c r="B58" s="39"/>
      <c r="C58" s="39"/>
      <c r="D58" s="39"/>
      <c r="E58" s="39"/>
      <c r="F58" s="39"/>
      <c r="G58" s="39"/>
      <c r="H58" s="39"/>
      <c r="I58" s="39"/>
    </row>
    <row r="59" spans="1:9" x14ac:dyDescent="0.3">
      <c r="A59" s="39" t="s">
        <v>43</v>
      </c>
      <c r="B59" s="39"/>
      <c r="C59" s="39"/>
      <c r="D59" s="39"/>
      <c r="E59" s="39"/>
      <c r="F59" s="39"/>
      <c r="G59" s="39"/>
      <c r="H59" s="39"/>
      <c r="I59" s="39"/>
    </row>
    <row r="60" spans="1:9" x14ac:dyDescent="0.3">
      <c r="A60" s="39" t="s">
        <v>44</v>
      </c>
      <c r="B60" s="39"/>
      <c r="C60" s="39"/>
      <c r="D60" s="39"/>
      <c r="E60" s="39"/>
      <c r="F60" s="39"/>
      <c r="G60" s="39"/>
      <c r="H60" s="39"/>
      <c r="I60" s="39"/>
    </row>
    <row r="61" spans="1:9" x14ac:dyDescent="0.3">
      <c r="A61" s="39" t="s">
        <v>45</v>
      </c>
      <c r="B61" s="39"/>
      <c r="C61" s="39"/>
      <c r="D61" s="39"/>
      <c r="E61" s="39"/>
      <c r="F61" s="39"/>
      <c r="G61" s="39"/>
      <c r="H61" s="39"/>
      <c r="I61" s="39"/>
    </row>
    <row r="62" spans="1:9" x14ac:dyDescent="0.3">
      <c r="A62" s="39"/>
      <c r="B62" s="39"/>
      <c r="C62" s="39"/>
      <c r="D62" s="39"/>
      <c r="E62" s="39"/>
      <c r="F62" s="39"/>
      <c r="G62" s="39"/>
      <c r="H62" s="39"/>
      <c r="I62" s="39"/>
    </row>
    <row r="63" spans="1:9" x14ac:dyDescent="0.3">
      <c r="A63" s="39" t="s">
        <v>34</v>
      </c>
      <c r="B63" s="39"/>
      <c r="C63" s="39"/>
      <c r="D63" s="39"/>
      <c r="E63" s="39"/>
      <c r="F63" s="39"/>
      <c r="G63" s="39"/>
      <c r="H63" s="39"/>
      <c r="I63" s="39"/>
    </row>
    <row r="64" spans="1:9" x14ac:dyDescent="0.3">
      <c r="A64" s="39" t="s">
        <v>46</v>
      </c>
      <c r="B64" s="39"/>
      <c r="C64" s="39"/>
      <c r="D64" s="39"/>
      <c r="E64" s="39"/>
      <c r="F64" s="39"/>
      <c r="G64" s="39"/>
      <c r="H64" s="39"/>
      <c r="I64" s="39"/>
    </row>
    <row r="67" spans="1:2" x14ac:dyDescent="0.3">
      <c r="B67" t="s">
        <v>47</v>
      </c>
    </row>
    <row r="68" spans="1:2" x14ac:dyDescent="0.3">
      <c r="A68" t="s">
        <v>48</v>
      </c>
      <c r="B68" s="12">
        <v>2</v>
      </c>
    </row>
    <row r="69" spans="1:2" x14ac:dyDescent="0.3">
      <c r="A69" t="s">
        <v>49</v>
      </c>
      <c r="B69" s="12">
        <v>5</v>
      </c>
    </row>
    <row r="70" spans="1:2" x14ac:dyDescent="0.3">
      <c r="A70" t="s">
        <v>50</v>
      </c>
      <c r="B70" s="12">
        <f>SUM(B68:B69)</f>
        <v>7</v>
      </c>
    </row>
    <row r="72" spans="1:2" x14ac:dyDescent="0.3">
      <c r="A72" s="43" t="s">
        <v>51</v>
      </c>
      <c r="B72" s="43" t="s">
        <v>52</v>
      </c>
    </row>
    <row r="73" spans="1:2" x14ac:dyDescent="0.3">
      <c r="A73" s="44">
        <v>0.19</v>
      </c>
      <c r="B73" s="44">
        <v>0.81</v>
      </c>
    </row>
    <row r="74" spans="1:2" x14ac:dyDescent="0.3">
      <c r="A74" s="44">
        <v>0.19</v>
      </c>
      <c r="B74" s="44">
        <v>0.81</v>
      </c>
    </row>
    <row r="75" spans="1:2" x14ac:dyDescent="0.3">
      <c r="A75" s="39"/>
      <c r="B75" s="39"/>
    </row>
  </sheetData>
  <hyperlinks>
    <hyperlink ref="B7" r:id="rId1" xr:uid="{3B34165D-85CE-4D9E-B9D6-953448AF9A33}"/>
    <hyperlink ref="I8" r:id="rId2" xr:uid="{B024401C-C7C6-40D4-8672-F7771BC5260F}"/>
    <hyperlink ref="B14" r:id="rId3" xr:uid="{8CC9089F-707A-4C6D-A9BE-53AEDC7176CD}"/>
    <hyperlink ref="I14" r:id="rId4" xr:uid="{BE09A841-42B5-4E66-99A6-7410D00CB1CB}"/>
    <hyperlink ref="I16" r:id="rId5" display="https://obtrenmx.org/" xr:uid="{46116971-41EB-429D-A729-E967529EFF79}"/>
    <hyperlink ref="B20" r:id="rId6" xr:uid="{E0A76BF3-2DA1-4C24-9E94-59227DB688C7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9887-7FB8-4222-A5C2-356585F8C46D}">
  <dimension ref="A1:B16"/>
  <sheetViews>
    <sheetView workbookViewId="0">
      <selection activeCell="B16" sqref="B16"/>
    </sheetView>
  </sheetViews>
  <sheetFormatPr defaultRowHeight="14.4" x14ac:dyDescent="0.3"/>
  <cols>
    <col min="1" max="1" width="12.44140625" bestFit="1" customWidth="1"/>
    <col min="2" max="2" width="16.44140625" bestFit="1" customWidth="1"/>
  </cols>
  <sheetData>
    <row r="1" spans="1:2" x14ac:dyDescent="0.3">
      <c r="A1" s="36" t="s">
        <v>53</v>
      </c>
      <c r="B1" t="s">
        <v>54</v>
      </c>
    </row>
    <row r="3" spans="1:2" x14ac:dyDescent="0.3">
      <c r="A3" s="36" t="s">
        <v>55</v>
      </c>
      <c r="B3" t="s">
        <v>56</v>
      </c>
    </row>
    <row r="4" spans="1:2" x14ac:dyDescent="0.3">
      <c r="A4" s="2">
        <v>1</v>
      </c>
      <c r="B4">
        <v>3644419482</v>
      </c>
    </row>
    <row r="5" spans="1:2" x14ac:dyDescent="0.3">
      <c r="A5" s="2">
        <v>2</v>
      </c>
      <c r="B5">
        <v>3344886095</v>
      </c>
    </row>
    <row r="6" spans="1:2" x14ac:dyDescent="0.3">
      <c r="A6" s="2">
        <v>3</v>
      </c>
      <c r="B6">
        <v>2802555286</v>
      </c>
    </row>
    <row r="7" spans="1:2" x14ac:dyDescent="0.3">
      <c r="A7" s="2">
        <v>4</v>
      </c>
      <c r="B7">
        <v>2341700000</v>
      </c>
    </row>
    <row r="8" spans="1:2" x14ac:dyDescent="0.3">
      <c r="A8" s="2">
        <v>5</v>
      </c>
      <c r="B8">
        <v>3131751653</v>
      </c>
    </row>
    <row r="9" spans="1:2" x14ac:dyDescent="0.3">
      <c r="A9" s="2">
        <v>6</v>
      </c>
      <c r="B9">
        <v>4128820248</v>
      </c>
    </row>
    <row r="10" spans="1:2" x14ac:dyDescent="0.3">
      <c r="A10" s="2">
        <v>7</v>
      </c>
      <c r="B10">
        <v>5206847849</v>
      </c>
    </row>
    <row r="11" spans="1:2" x14ac:dyDescent="0.3">
      <c r="A11" s="2">
        <v>8</v>
      </c>
      <c r="B11">
        <v>5034742693</v>
      </c>
    </row>
    <row r="12" spans="1:2" x14ac:dyDescent="0.3">
      <c r="A12" s="2">
        <v>9</v>
      </c>
      <c r="B12">
        <v>3488297097</v>
      </c>
    </row>
    <row r="13" spans="1:2" x14ac:dyDescent="0.3">
      <c r="A13" s="2">
        <v>10</v>
      </c>
      <c r="B13">
        <v>2458800000</v>
      </c>
    </row>
    <row r="14" spans="1:2" x14ac:dyDescent="0.3">
      <c r="A14" s="2">
        <v>11</v>
      </c>
      <c r="B14">
        <v>2822700000</v>
      </c>
    </row>
    <row r="15" spans="1:2" x14ac:dyDescent="0.3">
      <c r="A15" s="2">
        <v>12</v>
      </c>
      <c r="B15">
        <v>3439303342</v>
      </c>
    </row>
    <row r="16" spans="1:2" x14ac:dyDescent="0.3">
      <c r="A16" s="2" t="s">
        <v>57</v>
      </c>
      <c r="B16">
        <v>41844823745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0058-43D6-4757-A82C-F4E11CFA513B}">
  <dimension ref="A1:AG296"/>
  <sheetViews>
    <sheetView tabSelected="1" topLeftCell="A257" workbookViewId="0">
      <selection activeCell="K278" sqref="K278"/>
    </sheetView>
  </sheetViews>
  <sheetFormatPr defaultRowHeight="14.4" x14ac:dyDescent="0.3"/>
  <cols>
    <col min="1" max="1" width="36.109375" bestFit="1" customWidth="1"/>
    <col min="6" max="29" width="14.5546875" bestFit="1" customWidth="1"/>
    <col min="30" max="30" width="7.5546875" bestFit="1" customWidth="1"/>
    <col min="31" max="31" width="11.88671875" bestFit="1" customWidth="1"/>
    <col min="32" max="33" width="13.44140625" bestFit="1" customWidth="1"/>
  </cols>
  <sheetData>
    <row r="1" spans="1:33" x14ac:dyDescent="0.3">
      <c r="A1" s="48" t="s">
        <v>58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9" t="s">
        <v>59</v>
      </c>
      <c r="AE1" s="49"/>
      <c r="AF1" s="49"/>
      <c r="AG1" s="49"/>
    </row>
    <row r="2" spans="1:33" x14ac:dyDescent="0.3">
      <c r="A2" s="13" t="s">
        <v>53</v>
      </c>
      <c r="B2" s="14" t="s">
        <v>60</v>
      </c>
      <c r="C2" s="14" t="s">
        <v>61</v>
      </c>
      <c r="D2" s="14" t="s">
        <v>62</v>
      </c>
      <c r="E2" s="14" t="s">
        <v>63</v>
      </c>
      <c r="F2" s="14" t="s">
        <v>64</v>
      </c>
      <c r="G2" s="14" t="s">
        <v>65</v>
      </c>
      <c r="H2" s="14" t="s">
        <v>66</v>
      </c>
      <c r="I2" s="14" t="s">
        <v>67</v>
      </c>
      <c r="J2" s="14" t="s">
        <v>68</v>
      </c>
      <c r="K2" s="14" t="s">
        <v>69</v>
      </c>
      <c r="L2" s="14" t="s">
        <v>70</v>
      </c>
      <c r="M2" s="14" t="s">
        <v>71</v>
      </c>
      <c r="N2" s="14" t="s">
        <v>72</v>
      </c>
      <c r="O2" s="14" t="s">
        <v>73</v>
      </c>
      <c r="P2" s="14" t="s">
        <v>74</v>
      </c>
      <c r="Q2" s="14" t="s">
        <v>75</v>
      </c>
      <c r="R2" s="14" t="s">
        <v>76</v>
      </c>
      <c r="S2" s="14" t="s">
        <v>77</v>
      </c>
      <c r="T2" s="14" t="s">
        <v>78</v>
      </c>
      <c r="U2" s="14" t="s">
        <v>79</v>
      </c>
      <c r="V2" s="14" t="s">
        <v>80</v>
      </c>
      <c r="W2" s="14" t="s">
        <v>81</v>
      </c>
      <c r="X2" s="14" t="s">
        <v>82</v>
      </c>
      <c r="Y2" s="14" t="s">
        <v>83</v>
      </c>
      <c r="Z2" s="14" t="s">
        <v>84</v>
      </c>
      <c r="AA2" s="14" t="s">
        <v>85</v>
      </c>
      <c r="AB2" s="14" t="s">
        <v>86</v>
      </c>
      <c r="AC2" s="15" t="s">
        <v>87</v>
      </c>
      <c r="AD2" t="s">
        <v>88</v>
      </c>
      <c r="AE2" t="s">
        <v>89</v>
      </c>
      <c r="AF2" t="s">
        <v>90</v>
      </c>
      <c r="AG2" t="s">
        <v>91</v>
      </c>
    </row>
    <row r="3" spans="1:33" x14ac:dyDescent="0.3">
      <c r="A3" s="45" t="s">
        <v>92</v>
      </c>
      <c r="B3" s="45">
        <v>2019</v>
      </c>
      <c r="C3" s="45">
        <v>3</v>
      </c>
      <c r="D3" s="45" t="s">
        <v>93</v>
      </c>
      <c r="E3" s="45">
        <v>1</v>
      </c>
      <c r="F3" s="46">
        <v>297235</v>
      </c>
      <c r="G3" s="46">
        <v>215977</v>
      </c>
      <c r="H3" s="46">
        <v>192095</v>
      </c>
      <c r="I3" s="46">
        <v>216924</v>
      </c>
      <c r="J3" s="46">
        <v>292622</v>
      </c>
      <c r="K3" s="46">
        <v>411259</v>
      </c>
      <c r="L3" s="46">
        <v>521714</v>
      </c>
      <c r="M3" s="46">
        <v>640741</v>
      </c>
      <c r="N3" s="46">
        <v>817725</v>
      </c>
      <c r="O3" s="46">
        <v>1081544</v>
      </c>
      <c r="P3" s="46">
        <v>1544113</v>
      </c>
      <c r="Q3" s="46">
        <v>2373507</v>
      </c>
      <c r="R3" s="46">
        <v>3274609</v>
      </c>
      <c r="S3" s="46">
        <v>3857826</v>
      </c>
      <c r="T3" s="46">
        <v>4201111</v>
      </c>
      <c r="U3" s="46">
        <v>4399980</v>
      </c>
      <c r="V3" s="46">
        <v>4206632</v>
      </c>
      <c r="W3" s="46">
        <v>3627806</v>
      </c>
      <c r="X3" s="46">
        <v>2930211</v>
      </c>
      <c r="Y3" s="46">
        <v>2234029</v>
      </c>
      <c r="Z3" s="46">
        <v>1580521</v>
      </c>
      <c r="AA3" s="46">
        <v>1064353</v>
      </c>
      <c r="AB3" s="46">
        <v>677984</v>
      </c>
      <c r="AC3" s="46">
        <v>448604</v>
      </c>
      <c r="AD3" t="str">
        <f>IF(AND(E3&gt;=3,E3&lt;=5),"Spring",IF(AND(E3&gt;=6,E3&lt;=8),"Summer",IF(AND(E3&gt;=9,E3&lt;=10),"Fall","Winter")))</f>
        <v>Winter</v>
      </c>
      <c r="AE3" t="str">
        <f>INDEX('Category Mapping'!$B$2:$B$25,MATCH('Source Data'!A3,'Category Mapping'!$A$2:$A$25,0))</f>
        <v>Weekday</v>
      </c>
      <c r="AF3" t="str">
        <f>INDEX('Category Mapping'!$C$2:$C$25,MATCH('Source Data'!A3,'Category Mapping'!$A$2:$A$25,0))</f>
        <v>Residential</v>
      </c>
      <c r="AG3" t="str">
        <f>INDEX('Category Mapping'!$D$2:$D$25,MATCH('Source Data'!A3,'Category Mapping'!$A$2:$A$25,0))</f>
        <v>Cooling</v>
      </c>
    </row>
    <row r="4" spans="1:33" x14ac:dyDescent="0.3">
      <c r="A4" s="39" t="s">
        <v>92</v>
      </c>
      <c r="B4" s="39">
        <v>2019</v>
      </c>
      <c r="C4" s="39">
        <v>3</v>
      </c>
      <c r="D4" s="39" t="s">
        <v>93</v>
      </c>
      <c r="E4" s="39">
        <v>2</v>
      </c>
      <c r="F4" s="47">
        <v>445010</v>
      </c>
      <c r="G4" s="47">
        <v>346547</v>
      </c>
      <c r="H4" s="47">
        <v>317629</v>
      </c>
      <c r="I4" s="47">
        <v>348067</v>
      </c>
      <c r="J4" s="47">
        <v>438103</v>
      </c>
      <c r="K4" s="47">
        <v>584946</v>
      </c>
      <c r="L4" s="47">
        <v>733644</v>
      </c>
      <c r="M4" s="47">
        <v>841912</v>
      </c>
      <c r="N4" s="47">
        <v>1058560</v>
      </c>
      <c r="O4" s="47">
        <v>1395286</v>
      </c>
      <c r="P4" s="47">
        <v>1996647</v>
      </c>
      <c r="Q4" s="47">
        <v>2978823</v>
      </c>
      <c r="R4" s="47">
        <v>3873366</v>
      </c>
      <c r="S4" s="47">
        <v>4412848</v>
      </c>
      <c r="T4" s="47">
        <v>4756987</v>
      </c>
      <c r="U4" s="47">
        <v>5033001</v>
      </c>
      <c r="V4" s="47">
        <v>4975810</v>
      </c>
      <c r="W4" s="47">
        <v>4553007</v>
      </c>
      <c r="X4" s="47">
        <v>3788969</v>
      </c>
      <c r="Y4" s="47">
        <v>2882090</v>
      </c>
      <c r="Z4" s="47">
        <v>2046015</v>
      </c>
      <c r="AA4" s="47">
        <v>1398524</v>
      </c>
      <c r="AB4" s="47">
        <v>953393</v>
      </c>
      <c r="AC4" s="47">
        <v>638063</v>
      </c>
      <c r="AD4" t="str">
        <f t="shared" ref="AD4:AD67" si="0">IF(AND(E4&gt;=3,E4&lt;=5),"Spring",IF(AND(E4&gt;=6,E4&lt;=8),"Summer",IF(AND(E4&gt;=9,E4&lt;=10),"Fall","Winter")))</f>
        <v>Winter</v>
      </c>
      <c r="AE4" t="str">
        <f>INDEX('Category Mapping'!$B$2:$B$25,MATCH('Source Data'!A4,'Category Mapping'!$A$2:$A$25,0))</f>
        <v>Weekday</v>
      </c>
      <c r="AF4" t="str">
        <f>INDEX('Category Mapping'!$C$2:$C$25,MATCH('Source Data'!A4,'Category Mapping'!$A$2:$A$25,0))</f>
        <v>Residential</v>
      </c>
      <c r="AG4" t="str">
        <f>INDEX('Category Mapping'!$D$2:$D$25,MATCH('Source Data'!A4,'Category Mapping'!$A$2:$A$25,0))</f>
        <v>Cooling</v>
      </c>
    </row>
    <row r="5" spans="1:33" x14ac:dyDescent="0.3">
      <c r="A5" s="45" t="s">
        <v>92</v>
      </c>
      <c r="B5" s="45">
        <v>2019</v>
      </c>
      <c r="C5" s="45">
        <v>3</v>
      </c>
      <c r="D5" s="45" t="s">
        <v>93</v>
      </c>
      <c r="E5" s="45">
        <v>3</v>
      </c>
      <c r="F5" s="46">
        <v>973628</v>
      </c>
      <c r="G5" s="46">
        <v>774974</v>
      </c>
      <c r="H5" s="46">
        <v>720664</v>
      </c>
      <c r="I5" s="46">
        <v>778374</v>
      </c>
      <c r="J5" s="46">
        <v>958517</v>
      </c>
      <c r="K5" s="46">
        <v>1220127</v>
      </c>
      <c r="L5" s="46">
        <v>1429568</v>
      </c>
      <c r="M5" s="46">
        <v>1659914</v>
      </c>
      <c r="N5" s="46">
        <v>2088819</v>
      </c>
      <c r="O5" s="46">
        <v>2686019</v>
      </c>
      <c r="P5" s="46">
        <v>3704179</v>
      </c>
      <c r="Q5" s="46">
        <v>5219125</v>
      </c>
      <c r="R5" s="46">
        <v>6565219</v>
      </c>
      <c r="S5" s="46">
        <v>7357147</v>
      </c>
      <c r="T5" s="46">
        <v>7890942</v>
      </c>
      <c r="U5" s="46">
        <v>8391072</v>
      </c>
      <c r="V5" s="46">
        <v>8433820</v>
      </c>
      <c r="W5" s="46">
        <v>7977214</v>
      </c>
      <c r="X5" s="46">
        <v>7029294</v>
      </c>
      <c r="Y5" s="46">
        <v>5548218</v>
      </c>
      <c r="Z5" s="46">
        <v>4037329</v>
      </c>
      <c r="AA5" s="46">
        <v>2757331</v>
      </c>
      <c r="AB5" s="46">
        <v>1857769</v>
      </c>
      <c r="AC5" s="46">
        <v>1330923</v>
      </c>
      <c r="AD5" t="str">
        <f t="shared" si="0"/>
        <v>Spring</v>
      </c>
      <c r="AE5" t="str">
        <f>INDEX('Category Mapping'!$B$2:$B$25,MATCH('Source Data'!A5,'Category Mapping'!$A$2:$A$25,0))</f>
        <v>Weekday</v>
      </c>
      <c r="AF5" t="str">
        <f>INDEX('Category Mapping'!$C$2:$C$25,MATCH('Source Data'!A5,'Category Mapping'!$A$2:$A$25,0))</f>
        <v>Residential</v>
      </c>
      <c r="AG5" t="str">
        <f>INDEX('Category Mapping'!$D$2:$D$25,MATCH('Source Data'!A5,'Category Mapping'!$A$2:$A$25,0))</f>
        <v>Cooling</v>
      </c>
    </row>
    <row r="6" spans="1:33" x14ac:dyDescent="0.3">
      <c r="A6" s="39" t="s">
        <v>92</v>
      </c>
      <c r="B6" s="39">
        <v>2019</v>
      </c>
      <c r="C6" s="39">
        <v>3</v>
      </c>
      <c r="D6" s="39" t="s">
        <v>93</v>
      </c>
      <c r="E6" s="39">
        <v>4</v>
      </c>
      <c r="F6" s="47">
        <v>2127434</v>
      </c>
      <c r="G6" s="47">
        <v>1731629</v>
      </c>
      <c r="H6" s="47">
        <v>1624547</v>
      </c>
      <c r="I6" s="47">
        <v>1739224</v>
      </c>
      <c r="J6" s="47">
        <v>2094415</v>
      </c>
      <c r="K6" s="47">
        <v>2568006</v>
      </c>
      <c r="L6" s="47">
        <v>2981361</v>
      </c>
      <c r="M6" s="47">
        <v>3324563</v>
      </c>
      <c r="N6" s="47">
        <v>3935264</v>
      </c>
      <c r="O6" s="47">
        <v>4846495</v>
      </c>
      <c r="P6" s="47">
        <v>6380863</v>
      </c>
      <c r="Q6" s="47">
        <v>8675352</v>
      </c>
      <c r="R6" s="47">
        <v>10700000</v>
      </c>
      <c r="S6" s="47">
        <v>11900000</v>
      </c>
      <c r="T6" s="47">
        <v>12700000</v>
      </c>
      <c r="U6" s="47">
        <v>13500000</v>
      </c>
      <c r="V6" s="47">
        <v>13700000</v>
      </c>
      <c r="W6" s="47">
        <v>13300000</v>
      </c>
      <c r="X6" s="47">
        <v>12100000</v>
      </c>
      <c r="Y6" s="47">
        <v>10000000</v>
      </c>
      <c r="Z6" s="47">
        <v>7606189</v>
      </c>
      <c r="AA6" s="47">
        <v>5522527</v>
      </c>
      <c r="AB6" s="47">
        <v>3874374</v>
      </c>
      <c r="AC6" s="47">
        <v>2801197</v>
      </c>
      <c r="AD6" t="str">
        <f t="shared" si="0"/>
        <v>Spring</v>
      </c>
      <c r="AE6" t="str">
        <f>INDEX('Category Mapping'!$B$2:$B$25,MATCH('Source Data'!A6,'Category Mapping'!$A$2:$A$25,0))</f>
        <v>Weekday</v>
      </c>
      <c r="AF6" t="str">
        <f>INDEX('Category Mapping'!$C$2:$C$25,MATCH('Source Data'!A6,'Category Mapping'!$A$2:$A$25,0))</f>
        <v>Residential</v>
      </c>
      <c r="AG6" t="str">
        <f>INDEX('Category Mapping'!$D$2:$D$25,MATCH('Source Data'!A6,'Category Mapping'!$A$2:$A$25,0))</f>
        <v>Cooling</v>
      </c>
    </row>
    <row r="7" spans="1:33" x14ac:dyDescent="0.3">
      <c r="A7" s="45" t="s">
        <v>92</v>
      </c>
      <c r="B7" s="45">
        <v>2019</v>
      </c>
      <c r="C7" s="45">
        <v>3</v>
      </c>
      <c r="D7" s="45" t="s">
        <v>93</v>
      </c>
      <c r="E7" s="45">
        <v>5</v>
      </c>
      <c r="F7" s="46">
        <v>3539755</v>
      </c>
      <c r="G7" s="46">
        <v>3061268</v>
      </c>
      <c r="H7" s="46">
        <v>2925658</v>
      </c>
      <c r="I7" s="46">
        <v>3074695</v>
      </c>
      <c r="J7" s="46">
        <v>3484815</v>
      </c>
      <c r="K7" s="46">
        <v>4077843</v>
      </c>
      <c r="L7" s="46">
        <v>4534234</v>
      </c>
      <c r="M7" s="46">
        <v>4695486</v>
      </c>
      <c r="N7" s="46">
        <v>5151005</v>
      </c>
      <c r="O7" s="46">
        <v>5856330</v>
      </c>
      <c r="P7" s="46">
        <v>7239026</v>
      </c>
      <c r="Q7" s="46">
        <v>9491340</v>
      </c>
      <c r="R7" s="46">
        <v>11500000</v>
      </c>
      <c r="S7" s="46">
        <v>12600000</v>
      </c>
      <c r="T7" s="46">
        <v>13400000</v>
      </c>
      <c r="U7" s="46">
        <v>14300000</v>
      </c>
      <c r="V7" s="46">
        <v>14700000</v>
      </c>
      <c r="W7" s="46">
        <v>14500000</v>
      </c>
      <c r="X7" s="46">
        <v>13700000</v>
      </c>
      <c r="Y7" s="46">
        <v>12100000</v>
      </c>
      <c r="Z7" s="46">
        <v>9956007</v>
      </c>
      <c r="AA7" s="46">
        <v>7799806</v>
      </c>
      <c r="AB7" s="46">
        <v>5892380</v>
      </c>
      <c r="AC7" s="46">
        <v>4448138</v>
      </c>
      <c r="AD7" t="str">
        <f t="shared" si="0"/>
        <v>Spring</v>
      </c>
      <c r="AE7" t="str">
        <f>INDEX('Category Mapping'!$B$2:$B$25,MATCH('Source Data'!A7,'Category Mapping'!$A$2:$A$25,0))</f>
        <v>Weekday</v>
      </c>
      <c r="AF7" t="str">
        <f>INDEX('Category Mapping'!$C$2:$C$25,MATCH('Source Data'!A7,'Category Mapping'!$A$2:$A$25,0))</f>
        <v>Residential</v>
      </c>
      <c r="AG7" t="str">
        <f>INDEX('Category Mapping'!$D$2:$D$25,MATCH('Source Data'!A7,'Category Mapping'!$A$2:$A$25,0))</f>
        <v>Cooling</v>
      </c>
    </row>
    <row r="8" spans="1:33" x14ac:dyDescent="0.3">
      <c r="A8" s="39" t="s">
        <v>92</v>
      </c>
      <c r="B8" s="39">
        <v>2019</v>
      </c>
      <c r="C8" s="39">
        <v>3</v>
      </c>
      <c r="D8" s="39" t="s">
        <v>93</v>
      </c>
      <c r="E8" s="39">
        <v>6</v>
      </c>
      <c r="F8" s="47">
        <v>4392643</v>
      </c>
      <c r="G8" s="47">
        <v>3868408</v>
      </c>
      <c r="H8" s="47">
        <v>3701412</v>
      </c>
      <c r="I8" s="47">
        <v>3885375</v>
      </c>
      <c r="J8" s="47">
        <v>4324465</v>
      </c>
      <c r="K8" s="47">
        <v>4849092</v>
      </c>
      <c r="L8" s="47">
        <v>5068487</v>
      </c>
      <c r="M8" s="47">
        <v>4962979</v>
      </c>
      <c r="N8" s="47">
        <v>5190879</v>
      </c>
      <c r="O8" s="47">
        <v>5670306</v>
      </c>
      <c r="P8" s="47">
        <v>6822479</v>
      </c>
      <c r="Q8" s="47">
        <v>8802688</v>
      </c>
      <c r="R8" s="47">
        <v>10500000</v>
      </c>
      <c r="S8" s="47">
        <v>11500000</v>
      </c>
      <c r="T8" s="47">
        <v>12200000</v>
      </c>
      <c r="U8" s="47">
        <v>13100000</v>
      </c>
      <c r="V8" s="47">
        <v>13500000</v>
      </c>
      <c r="W8" s="47">
        <v>13500000</v>
      </c>
      <c r="X8" s="47">
        <v>12900000</v>
      </c>
      <c r="Y8" s="47">
        <v>11700000</v>
      </c>
      <c r="Z8" s="47">
        <v>10000000</v>
      </c>
      <c r="AA8" s="47">
        <v>8244146</v>
      </c>
      <c r="AB8" s="47">
        <v>6586658</v>
      </c>
      <c r="AC8" s="47">
        <v>5289422</v>
      </c>
      <c r="AD8" t="str">
        <f t="shared" si="0"/>
        <v>Summer</v>
      </c>
      <c r="AE8" t="str">
        <f>INDEX('Category Mapping'!$B$2:$B$25,MATCH('Source Data'!A8,'Category Mapping'!$A$2:$A$25,0))</f>
        <v>Weekday</v>
      </c>
      <c r="AF8" t="str">
        <f>INDEX('Category Mapping'!$C$2:$C$25,MATCH('Source Data'!A8,'Category Mapping'!$A$2:$A$25,0))</f>
        <v>Residential</v>
      </c>
      <c r="AG8" t="str">
        <f>INDEX('Category Mapping'!$D$2:$D$25,MATCH('Source Data'!A8,'Category Mapping'!$A$2:$A$25,0))</f>
        <v>Cooling</v>
      </c>
    </row>
    <row r="9" spans="1:33" x14ac:dyDescent="0.3">
      <c r="A9" s="45" t="s">
        <v>92</v>
      </c>
      <c r="B9" s="45">
        <v>2019</v>
      </c>
      <c r="C9" s="45">
        <v>3</v>
      </c>
      <c r="D9" s="45" t="s">
        <v>93</v>
      </c>
      <c r="E9" s="45">
        <v>7</v>
      </c>
      <c r="F9" s="46">
        <v>4774775</v>
      </c>
      <c r="G9" s="46">
        <v>4276473</v>
      </c>
      <c r="H9" s="46">
        <v>4116400</v>
      </c>
      <c r="I9" s="46">
        <v>4295230</v>
      </c>
      <c r="J9" s="46">
        <v>4700666</v>
      </c>
      <c r="K9" s="46">
        <v>5161769</v>
      </c>
      <c r="L9" s="46">
        <v>5294096</v>
      </c>
      <c r="M9" s="46">
        <v>5054550</v>
      </c>
      <c r="N9" s="46">
        <v>5155255</v>
      </c>
      <c r="O9" s="46">
        <v>5523447</v>
      </c>
      <c r="P9" s="46">
        <v>6609618</v>
      </c>
      <c r="Q9" s="46">
        <v>8519837</v>
      </c>
      <c r="R9" s="46">
        <v>10200000</v>
      </c>
      <c r="S9" s="46">
        <v>11100000</v>
      </c>
      <c r="T9" s="46">
        <v>11800000</v>
      </c>
      <c r="U9" s="46">
        <v>12700000</v>
      </c>
      <c r="V9" s="46">
        <v>13100000</v>
      </c>
      <c r="W9" s="46">
        <v>13000000</v>
      </c>
      <c r="X9" s="46">
        <v>12500000</v>
      </c>
      <c r="Y9" s="46">
        <v>11400000</v>
      </c>
      <c r="Z9" s="46">
        <v>9964223</v>
      </c>
      <c r="AA9" s="46">
        <v>8396257</v>
      </c>
      <c r="AB9" s="46">
        <v>6879846</v>
      </c>
      <c r="AC9" s="46">
        <v>5630492</v>
      </c>
      <c r="AD9" t="str">
        <f t="shared" si="0"/>
        <v>Summer</v>
      </c>
      <c r="AE9" t="str">
        <f>INDEX('Category Mapping'!$B$2:$B$25,MATCH('Source Data'!A9,'Category Mapping'!$A$2:$A$25,0))</f>
        <v>Weekday</v>
      </c>
      <c r="AF9" t="str">
        <f>INDEX('Category Mapping'!$C$2:$C$25,MATCH('Source Data'!A9,'Category Mapping'!$A$2:$A$25,0))</f>
        <v>Residential</v>
      </c>
      <c r="AG9" t="str">
        <f>INDEX('Category Mapping'!$D$2:$D$25,MATCH('Source Data'!A9,'Category Mapping'!$A$2:$A$25,0))</f>
        <v>Cooling</v>
      </c>
    </row>
    <row r="10" spans="1:33" x14ac:dyDescent="0.3">
      <c r="A10" s="39" t="s">
        <v>92</v>
      </c>
      <c r="B10" s="39">
        <v>2019</v>
      </c>
      <c r="C10" s="39">
        <v>3</v>
      </c>
      <c r="D10" s="39" t="s">
        <v>93</v>
      </c>
      <c r="E10" s="39">
        <v>8</v>
      </c>
      <c r="F10" s="47">
        <v>4413787</v>
      </c>
      <c r="G10" s="47">
        <v>3934235</v>
      </c>
      <c r="H10" s="47">
        <v>3782551</v>
      </c>
      <c r="I10" s="47">
        <v>3951491</v>
      </c>
      <c r="J10" s="47">
        <v>4345281</v>
      </c>
      <c r="K10" s="47">
        <v>4821944</v>
      </c>
      <c r="L10" s="47">
        <v>4995566</v>
      </c>
      <c r="M10" s="47">
        <v>4857231</v>
      </c>
      <c r="N10" s="47">
        <v>5047920</v>
      </c>
      <c r="O10" s="47">
        <v>5490485</v>
      </c>
      <c r="P10" s="47">
        <v>6649056</v>
      </c>
      <c r="Q10" s="47">
        <v>8632058</v>
      </c>
      <c r="R10" s="47">
        <v>10400000</v>
      </c>
      <c r="S10" s="47">
        <v>11300000</v>
      </c>
      <c r="T10" s="47">
        <v>12100000</v>
      </c>
      <c r="U10" s="47">
        <v>12900000</v>
      </c>
      <c r="V10" s="47">
        <v>13300000</v>
      </c>
      <c r="W10" s="47">
        <v>13200000</v>
      </c>
      <c r="X10" s="47">
        <v>12600000</v>
      </c>
      <c r="Y10" s="47">
        <v>11300000</v>
      </c>
      <c r="Z10" s="47">
        <v>9756763</v>
      </c>
      <c r="AA10" s="47">
        <v>8068485</v>
      </c>
      <c r="AB10" s="47">
        <v>6491894</v>
      </c>
      <c r="AC10" s="47">
        <v>5259808</v>
      </c>
      <c r="AD10" t="str">
        <f t="shared" si="0"/>
        <v>Summer</v>
      </c>
      <c r="AE10" t="str">
        <f>INDEX('Category Mapping'!$B$2:$B$25,MATCH('Source Data'!A10,'Category Mapping'!$A$2:$A$25,0))</f>
        <v>Weekday</v>
      </c>
      <c r="AF10" t="str">
        <f>INDEX('Category Mapping'!$C$2:$C$25,MATCH('Source Data'!A10,'Category Mapping'!$A$2:$A$25,0))</f>
        <v>Residential</v>
      </c>
      <c r="AG10" t="str">
        <f>INDEX('Category Mapping'!$D$2:$D$25,MATCH('Source Data'!A10,'Category Mapping'!$A$2:$A$25,0))</f>
        <v>Cooling</v>
      </c>
    </row>
    <row r="11" spans="1:33" x14ac:dyDescent="0.3">
      <c r="A11" s="45" t="s">
        <v>92</v>
      </c>
      <c r="B11" s="45">
        <v>2019</v>
      </c>
      <c r="C11" s="45">
        <v>3</v>
      </c>
      <c r="D11" s="45" t="s">
        <v>93</v>
      </c>
      <c r="E11" s="45">
        <v>9</v>
      </c>
      <c r="F11" s="46">
        <v>3581765</v>
      </c>
      <c r="G11" s="46">
        <v>3195126</v>
      </c>
      <c r="H11" s="46">
        <v>3071571</v>
      </c>
      <c r="I11" s="46">
        <v>3209140</v>
      </c>
      <c r="J11" s="46">
        <v>3526173</v>
      </c>
      <c r="K11" s="46">
        <v>3923516</v>
      </c>
      <c r="L11" s="46">
        <v>4056470</v>
      </c>
      <c r="M11" s="46">
        <v>3948261</v>
      </c>
      <c r="N11" s="46">
        <v>4119243</v>
      </c>
      <c r="O11" s="46">
        <v>4527900</v>
      </c>
      <c r="P11" s="46">
        <v>5529613</v>
      </c>
      <c r="Q11" s="46">
        <v>7234027</v>
      </c>
      <c r="R11" s="46">
        <v>8727007</v>
      </c>
      <c r="S11" s="46">
        <v>9568934</v>
      </c>
      <c r="T11" s="46">
        <v>10200000</v>
      </c>
      <c r="U11" s="46">
        <v>10900000</v>
      </c>
      <c r="V11" s="46">
        <v>11200000</v>
      </c>
      <c r="W11" s="46">
        <v>11100000</v>
      </c>
      <c r="X11" s="46">
        <v>10500000</v>
      </c>
      <c r="Y11" s="46">
        <v>9352791</v>
      </c>
      <c r="Z11" s="46">
        <v>7961789</v>
      </c>
      <c r="AA11" s="46">
        <v>6558570</v>
      </c>
      <c r="AB11" s="46">
        <v>5271510</v>
      </c>
      <c r="AC11" s="46">
        <v>4279797</v>
      </c>
      <c r="AD11" t="str">
        <f t="shared" si="0"/>
        <v>Fall</v>
      </c>
      <c r="AE11" t="str">
        <f>INDEX('Category Mapping'!$B$2:$B$25,MATCH('Source Data'!A11,'Category Mapping'!$A$2:$A$25,0))</f>
        <v>Weekday</v>
      </c>
      <c r="AF11" t="str">
        <f>INDEX('Category Mapping'!$C$2:$C$25,MATCH('Source Data'!A11,'Category Mapping'!$A$2:$A$25,0))</f>
        <v>Residential</v>
      </c>
      <c r="AG11" t="str">
        <f>INDEX('Category Mapping'!$D$2:$D$25,MATCH('Source Data'!A11,'Category Mapping'!$A$2:$A$25,0))</f>
        <v>Cooling</v>
      </c>
    </row>
    <row r="12" spans="1:33" x14ac:dyDescent="0.3">
      <c r="A12" s="39" t="s">
        <v>92</v>
      </c>
      <c r="B12" s="39">
        <v>2019</v>
      </c>
      <c r="C12" s="39">
        <v>3</v>
      </c>
      <c r="D12" s="39" t="s">
        <v>93</v>
      </c>
      <c r="E12" s="39">
        <v>10</v>
      </c>
      <c r="F12" s="47">
        <v>2140364</v>
      </c>
      <c r="G12" s="47">
        <v>1825491</v>
      </c>
      <c r="H12" s="47">
        <v>1733188</v>
      </c>
      <c r="I12" s="47">
        <v>1833498</v>
      </c>
      <c r="J12" s="47">
        <v>2107143</v>
      </c>
      <c r="K12" s="47">
        <v>2445803</v>
      </c>
      <c r="L12" s="47">
        <v>2636924</v>
      </c>
      <c r="M12" s="47">
        <v>2681117</v>
      </c>
      <c r="N12" s="47">
        <v>2936138</v>
      </c>
      <c r="O12" s="47">
        <v>3377885</v>
      </c>
      <c r="P12" s="47">
        <v>4330062</v>
      </c>
      <c r="Q12" s="47">
        <v>5881621</v>
      </c>
      <c r="R12" s="47">
        <v>7250151</v>
      </c>
      <c r="S12" s="47">
        <v>8039681</v>
      </c>
      <c r="T12" s="47">
        <v>8594724</v>
      </c>
      <c r="U12" s="47">
        <v>9169525</v>
      </c>
      <c r="V12" s="47">
        <v>9313698</v>
      </c>
      <c r="W12" s="47">
        <v>8989812</v>
      </c>
      <c r="X12" s="47">
        <v>8217012</v>
      </c>
      <c r="Y12" s="47">
        <v>6977331</v>
      </c>
      <c r="Z12" s="47">
        <v>5675049</v>
      </c>
      <c r="AA12" s="47">
        <v>4453681</v>
      </c>
      <c r="AB12" s="47">
        <v>3426765</v>
      </c>
      <c r="AC12" s="47">
        <v>2667898</v>
      </c>
      <c r="AD12" t="str">
        <f t="shared" si="0"/>
        <v>Fall</v>
      </c>
      <c r="AE12" t="str">
        <f>INDEX('Category Mapping'!$B$2:$B$25,MATCH('Source Data'!A12,'Category Mapping'!$A$2:$A$25,0))</f>
        <v>Weekday</v>
      </c>
      <c r="AF12" t="str">
        <f>INDEX('Category Mapping'!$C$2:$C$25,MATCH('Source Data'!A12,'Category Mapping'!$A$2:$A$25,0))</f>
        <v>Residential</v>
      </c>
      <c r="AG12" t="str">
        <f>INDEX('Category Mapping'!$D$2:$D$25,MATCH('Source Data'!A12,'Category Mapping'!$A$2:$A$25,0))</f>
        <v>Cooling</v>
      </c>
    </row>
    <row r="13" spans="1:33" x14ac:dyDescent="0.3">
      <c r="A13" s="45" t="s">
        <v>92</v>
      </c>
      <c r="B13" s="45">
        <v>2019</v>
      </c>
      <c r="C13" s="45">
        <v>3</v>
      </c>
      <c r="D13" s="45" t="s">
        <v>93</v>
      </c>
      <c r="E13" s="45">
        <v>11</v>
      </c>
      <c r="F13" s="46">
        <v>839224</v>
      </c>
      <c r="G13" s="46">
        <v>700923</v>
      </c>
      <c r="H13" s="46">
        <v>658545</v>
      </c>
      <c r="I13" s="46">
        <v>703997</v>
      </c>
      <c r="J13" s="46">
        <v>826199</v>
      </c>
      <c r="K13" s="46">
        <v>1008084</v>
      </c>
      <c r="L13" s="46">
        <v>1171396</v>
      </c>
      <c r="M13" s="46">
        <v>1275839</v>
      </c>
      <c r="N13" s="46">
        <v>1493450</v>
      </c>
      <c r="O13" s="46">
        <v>1857810</v>
      </c>
      <c r="P13" s="46">
        <v>2545438</v>
      </c>
      <c r="Q13" s="46">
        <v>3777382</v>
      </c>
      <c r="R13" s="46">
        <v>4912516</v>
      </c>
      <c r="S13" s="46">
        <v>5594227</v>
      </c>
      <c r="T13" s="46">
        <v>6028992</v>
      </c>
      <c r="U13" s="46">
        <v>6380403</v>
      </c>
      <c r="V13" s="46">
        <v>6310723</v>
      </c>
      <c r="W13" s="46">
        <v>5773570</v>
      </c>
      <c r="X13" s="46">
        <v>4830390</v>
      </c>
      <c r="Y13" s="46">
        <v>3837476</v>
      </c>
      <c r="Z13" s="46">
        <v>2886582</v>
      </c>
      <c r="AA13" s="46">
        <v>2119332</v>
      </c>
      <c r="AB13" s="46">
        <v>1522267</v>
      </c>
      <c r="AC13" s="46">
        <v>1099625</v>
      </c>
      <c r="AD13" t="str">
        <f t="shared" si="0"/>
        <v>Winter</v>
      </c>
      <c r="AE13" t="str">
        <f>INDEX('Category Mapping'!$B$2:$B$25,MATCH('Source Data'!A13,'Category Mapping'!$A$2:$A$25,0))</f>
        <v>Weekday</v>
      </c>
      <c r="AF13" t="str">
        <f>INDEX('Category Mapping'!$C$2:$C$25,MATCH('Source Data'!A13,'Category Mapping'!$A$2:$A$25,0))</f>
        <v>Residential</v>
      </c>
      <c r="AG13" t="str">
        <f>INDEX('Category Mapping'!$D$2:$D$25,MATCH('Source Data'!A13,'Category Mapping'!$A$2:$A$25,0))</f>
        <v>Cooling</v>
      </c>
    </row>
    <row r="14" spans="1:33" x14ac:dyDescent="0.3">
      <c r="A14" s="39" t="s">
        <v>92</v>
      </c>
      <c r="B14" s="39">
        <v>2019</v>
      </c>
      <c r="C14" s="39">
        <v>3</v>
      </c>
      <c r="D14" s="39" t="s">
        <v>93</v>
      </c>
      <c r="E14" s="39">
        <v>12</v>
      </c>
      <c r="F14" s="47">
        <v>456666</v>
      </c>
      <c r="G14" s="47">
        <v>358304</v>
      </c>
      <c r="H14" s="47">
        <v>328026</v>
      </c>
      <c r="I14" s="47">
        <v>359876</v>
      </c>
      <c r="J14" s="47">
        <v>449578</v>
      </c>
      <c r="K14" s="47">
        <v>574277</v>
      </c>
      <c r="L14" s="47">
        <v>687779</v>
      </c>
      <c r="M14" s="47">
        <v>791918</v>
      </c>
      <c r="N14" s="47">
        <v>966917</v>
      </c>
      <c r="O14" s="47">
        <v>1239267</v>
      </c>
      <c r="P14" s="47">
        <v>1741929</v>
      </c>
      <c r="Q14" s="47">
        <v>2683936</v>
      </c>
      <c r="R14" s="47">
        <v>3660106</v>
      </c>
      <c r="S14" s="47">
        <v>4269033</v>
      </c>
      <c r="T14" s="47">
        <v>4635586</v>
      </c>
      <c r="U14" s="47">
        <v>4868975</v>
      </c>
      <c r="V14" s="47">
        <v>4701851</v>
      </c>
      <c r="W14" s="47">
        <v>4102284</v>
      </c>
      <c r="X14" s="47">
        <v>3305600</v>
      </c>
      <c r="Y14" s="47">
        <v>2559820</v>
      </c>
      <c r="Z14" s="47">
        <v>1868884</v>
      </c>
      <c r="AA14" s="47">
        <v>1315477</v>
      </c>
      <c r="AB14" s="47">
        <v>893791</v>
      </c>
      <c r="AC14" s="47">
        <v>626425</v>
      </c>
      <c r="AD14" t="str">
        <f t="shared" si="0"/>
        <v>Winter</v>
      </c>
      <c r="AE14" t="str">
        <f>INDEX('Category Mapping'!$B$2:$B$25,MATCH('Source Data'!A14,'Category Mapping'!$A$2:$A$25,0))</f>
        <v>Weekday</v>
      </c>
      <c r="AF14" t="str">
        <f>INDEX('Category Mapping'!$C$2:$C$25,MATCH('Source Data'!A14,'Category Mapping'!$A$2:$A$25,0))</f>
        <v>Residential</v>
      </c>
      <c r="AG14" t="str">
        <f>INDEX('Category Mapping'!$D$2:$D$25,MATCH('Source Data'!A14,'Category Mapping'!$A$2:$A$25,0))</f>
        <v>Cooling</v>
      </c>
    </row>
    <row r="15" spans="1:33" x14ac:dyDescent="0.3">
      <c r="A15" s="45" t="s">
        <v>94</v>
      </c>
      <c r="B15" s="45">
        <v>2019</v>
      </c>
      <c r="C15" s="45">
        <v>3</v>
      </c>
      <c r="D15" s="45" t="s">
        <v>93</v>
      </c>
      <c r="E15" s="45">
        <v>1</v>
      </c>
      <c r="F15" s="46">
        <v>127520</v>
      </c>
      <c r="G15" s="46">
        <v>93551</v>
      </c>
      <c r="H15" s="46">
        <v>83988</v>
      </c>
      <c r="I15" s="46">
        <v>94974</v>
      </c>
      <c r="J15" s="46">
        <v>131019</v>
      </c>
      <c r="K15" s="46">
        <v>196675</v>
      </c>
      <c r="L15" s="46">
        <v>293190</v>
      </c>
      <c r="M15" s="46">
        <v>446011</v>
      </c>
      <c r="N15" s="46">
        <v>630022</v>
      </c>
      <c r="O15" s="46">
        <v>840096</v>
      </c>
      <c r="P15" s="46">
        <v>1132611</v>
      </c>
      <c r="Q15" s="46">
        <v>1610440</v>
      </c>
      <c r="R15" s="46">
        <v>2134094</v>
      </c>
      <c r="S15" s="46">
        <v>2460312</v>
      </c>
      <c r="T15" s="46">
        <v>2560410</v>
      </c>
      <c r="U15" s="46">
        <v>2447331</v>
      </c>
      <c r="V15" s="46">
        <v>2159841</v>
      </c>
      <c r="W15" s="46">
        <v>1766607</v>
      </c>
      <c r="X15" s="46">
        <v>1364411</v>
      </c>
      <c r="Y15" s="46">
        <v>1003537</v>
      </c>
      <c r="Z15" s="46">
        <v>686772</v>
      </c>
      <c r="AA15" s="46">
        <v>453383</v>
      </c>
      <c r="AB15" s="46">
        <v>287518</v>
      </c>
      <c r="AC15" s="46">
        <v>190940</v>
      </c>
      <c r="AD15" t="str">
        <f t="shared" si="0"/>
        <v>Winter</v>
      </c>
      <c r="AE15" t="str">
        <f>INDEX('Category Mapping'!$B$2:$B$25,MATCH('Source Data'!A15,'Category Mapping'!$A$2:$A$25,0))</f>
        <v>Weekend</v>
      </c>
      <c r="AF15" t="str">
        <f>INDEX('Category Mapping'!$C$2:$C$25,MATCH('Source Data'!A15,'Category Mapping'!$A$2:$A$25,0))</f>
        <v>Residential</v>
      </c>
      <c r="AG15" t="str">
        <f>INDEX('Category Mapping'!$D$2:$D$25,MATCH('Source Data'!A15,'Category Mapping'!$A$2:$A$25,0))</f>
        <v>Cooling</v>
      </c>
    </row>
    <row r="16" spans="1:33" x14ac:dyDescent="0.3">
      <c r="A16" s="39" t="s">
        <v>94</v>
      </c>
      <c r="B16" s="39">
        <v>2019</v>
      </c>
      <c r="C16" s="39">
        <v>3</v>
      </c>
      <c r="D16" s="39" t="s">
        <v>93</v>
      </c>
      <c r="E16" s="39">
        <v>2</v>
      </c>
      <c r="F16" s="47">
        <v>191865</v>
      </c>
      <c r="G16" s="47">
        <v>150852</v>
      </c>
      <c r="H16" s="47">
        <v>139563</v>
      </c>
      <c r="I16" s="47">
        <v>153146</v>
      </c>
      <c r="J16" s="47">
        <v>197129</v>
      </c>
      <c r="K16" s="47">
        <v>281122</v>
      </c>
      <c r="L16" s="47">
        <v>414332</v>
      </c>
      <c r="M16" s="47">
        <v>588948</v>
      </c>
      <c r="N16" s="47">
        <v>819617</v>
      </c>
      <c r="O16" s="47">
        <v>1089168</v>
      </c>
      <c r="P16" s="47">
        <v>1471804</v>
      </c>
      <c r="Q16" s="47">
        <v>2031169</v>
      </c>
      <c r="R16" s="47">
        <v>2536821</v>
      </c>
      <c r="S16" s="47">
        <v>2828222</v>
      </c>
      <c r="T16" s="47">
        <v>2913563</v>
      </c>
      <c r="U16" s="47">
        <v>2813300</v>
      </c>
      <c r="V16" s="47">
        <v>2567427</v>
      </c>
      <c r="W16" s="47">
        <v>2228134</v>
      </c>
      <c r="X16" s="47">
        <v>1773024</v>
      </c>
      <c r="Y16" s="47">
        <v>1301066</v>
      </c>
      <c r="Z16" s="47">
        <v>893446</v>
      </c>
      <c r="AA16" s="47">
        <v>598683</v>
      </c>
      <c r="AB16" s="47">
        <v>406316</v>
      </c>
      <c r="AC16" s="47">
        <v>272926</v>
      </c>
      <c r="AD16" t="str">
        <f t="shared" si="0"/>
        <v>Winter</v>
      </c>
      <c r="AE16" t="str">
        <f>INDEX('Category Mapping'!$B$2:$B$25,MATCH('Source Data'!A16,'Category Mapping'!$A$2:$A$25,0))</f>
        <v>Weekend</v>
      </c>
      <c r="AF16" t="str">
        <f>INDEX('Category Mapping'!$C$2:$C$25,MATCH('Source Data'!A16,'Category Mapping'!$A$2:$A$25,0))</f>
        <v>Residential</v>
      </c>
      <c r="AG16" t="str">
        <f>INDEX('Category Mapping'!$D$2:$D$25,MATCH('Source Data'!A16,'Category Mapping'!$A$2:$A$25,0))</f>
        <v>Cooling</v>
      </c>
    </row>
    <row r="17" spans="1:33" x14ac:dyDescent="0.3">
      <c r="A17" s="45" t="s">
        <v>94</v>
      </c>
      <c r="B17" s="45">
        <v>2019</v>
      </c>
      <c r="C17" s="45">
        <v>3</v>
      </c>
      <c r="D17" s="45" t="s">
        <v>93</v>
      </c>
      <c r="E17" s="45">
        <v>3</v>
      </c>
      <c r="F17" s="46">
        <v>421966</v>
      </c>
      <c r="G17" s="46">
        <v>339106</v>
      </c>
      <c r="H17" s="46">
        <v>318303</v>
      </c>
      <c r="I17" s="46">
        <v>344262</v>
      </c>
      <c r="J17" s="46">
        <v>433542</v>
      </c>
      <c r="K17" s="46">
        <v>589445</v>
      </c>
      <c r="L17" s="46">
        <v>811571</v>
      </c>
      <c r="M17" s="46">
        <v>1167225</v>
      </c>
      <c r="N17" s="46">
        <v>1625755</v>
      </c>
      <c r="O17" s="46">
        <v>2107656</v>
      </c>
      <c r="P17" s="46">
        <v>2744728</v>
      </c>
      <c r="Q17" s="46">
        <v>3577319</v>
      </c>
      <c r="R17" s="46">
        <v>4322243</v>
      </c>
      <c r="S17" s="46">
        <v>4739830</v>
      </c>
      <c r="T17" s="46">
        <v>4858252</v>
      </c>
      <c r="U17" s="46">
        <v>4714822</v>
      </c>
      <c r="V17" s="46">
        <v>4374390</v>
      </c>
      <c r="W17" s="46">
        <v>3924217</v>
      </c>
      <c r="X17" s="46">
        <v>3306465</v>
      </c>
      <c r="Y17" s="46">
        <v>2517701</v>
      </c>
      <c r="Z17" s="46">
        <v>1772199</v>
      </c>
      <c r="AA17" s="46">
        <v>1186519</v>
      </c>
      <c r="AB17" s="46">
        <v>795870</v>
      </c>
      <c r="AC17" s="46">
        <v>572259</v>
      </c>
      <c r="AD17" t="str">
        <f t="shared" si="0"/>
        <v>Spring</v>
      </c>
      <c r="AE17" t="str">
        <f>INDEX('Category Mapping'!$B$2:$B$25,MATCH('Source Data'!A17,'Category Mapping'!$A$2:$A$25,0))</f>
        <v>Weekend</v>
      </c>
      <c r="AF17" t="str">
        <f>INDEX('Category Mapping'!$C$2:$C$25,MATCH('Source Data'!A17,'Category Mapping'!$A$2:$A$25,0))</f>
        <v>Residential</v>
      </c>
      <c r="AG17" t="str">
        <f>INDEX('Category Mapping'!$D$2:$D$25,MATCH('Source Data'!A17,'Category Mapping'!$A$2:$A$25,0))</f>
        <v>Cooling</v>
      </c>
    </row>
    <row r="18" spans="1:33" x14ac:dyDescent="0.3">
      <c r="A18" s="39" t="s">
        <v>94</v>
      </c>
      <c r="B18" s="39">
        <v>2019</v>
      </c>
      <c r="C18" s="39">
        <v>3</v>
      </c>
      <c r="D18" s="39" t="s">
        <v>93</v>
      </c>
      <c r="E18" s="39">
        <v>4</v>
      </c>
      <c r="F18" s="47">
        <v>928553</v>
      </c>
      <c r="G18" s="47">
        <v>763079</v>
      </c>
      <c r="H18" s="47">
        <v>722614</v>
      </c>
      <c r="I18" s="47">
        <v>774680</v>
      </c>
      <c r="J18" s="47">
        <v>954028</v>
      </c>
      <c r="K18" s="47">
        <v>1249397</v>
      </c>
      <c r="L18" s="47">
        <v>1704522</v>
      </c>
      <c r="M18" s="47">
        <v>2354344</v>
      </c>
      <c r="N18" s="47">
        <v>3084568</v>
      </c>
      <c r="O18" s="47">
        <v>3829875</v>
      </c>
      <c r="P18" s="47">
        <v>4761603</v>
      </c>
      <c r="Q18" s="47">
        <v>5988436</v>
      </c>
      <c r="R18" s="47">
        <v>7093853</v>
      </c>
      <c r="S18" s="47">
        <v>7699730</v>
      </c>
      <c r="T18" s="47">
        <v>7867029</v>
      </c>
      <c r="U18" s="47">
        <v>7659105</v>
      </c>
      <c r="V18" s="47">
        <v>7179439</v>
      </c>
      <c r="W18" s="47">
        <v>6569144</v>
      </c>
      <c r="X18" s="47">
        <v>5736114</v>
      </c>
      <c r="Y18" s="47">
        <v>4574979</v>
      </c>
      <c r="Z18" s="47">
        <v>3362418</v>
      </c>
      <c r="AA18" s="47">
        <v>2393259</v>
      </c>
      <c r="AB18" s="47">
        <v>1671546</v>
      </c>
      <c r="AC18" s="47">
        <v>1212969</v>
      </c>
      <c r="AD18" t="str">
        <f t="shared" si="0"/>
        <v>Spring</v>
      </c>
      <c r="AE18" t="str">
        <f>INDEX('Category Mapping'!$B$2:$B$25,MATCH('Source Data'!A18,'Category Mapping'!$A$2:$A$25,0))</f>
        <v>Weekend</v>
      </c>
      <c r="AF18" t="str">
        <f>INDEX('Category Mapping'!$C$2:$C$25,MATCH('Source Data'!A18,'Category Mapping'!$A$2:$A$25,0))</f>
        <v>Residential</v>
      </c>
      <c r="AG18" t="str">
        <f>INDEX('Category Mapping'!$D$2:$D$25,MATCH('Source Data'!A18,'Category Mapping'!$A$2:$A$25,0))</f>
        <v>Cooling</v>
      </c>
    </row>
    <row r="19" spans="1:33" x14ac:dyDescent="0.3">
      <c r="A19" s="45" t="s">
        <v>94</v>
      </c>
      <c r="B19" s="45">
        <v>2019</v>
      </c>
      <c r="C19" s="45">
        <v>3</v>
      </c>
      <c r="D19" s="45" t="s">
        <v>93</v>
      </c>
      <c r="E19" s="45">
        <v>5</v>
      </c>
      <c r="F19" s="46">
        <v>1564533</v>
      </c>
      <c r="G19" s="46">
        <v>1366084</v>
      </c>
      <c r="H19" s="46">
        <v>1317829</v>
      </c>
      <c r="I19" s="46">
        <v>1386853</v>
      </c>
      <c r="J19" s="46">
        <v>1607456</v>
      </c>
      <c r="K19" s="46">
        <v>2009075</v>
      </c>
      <c r="L19" s="46">
        <v>2625144</v>
      </c>
      <c r="M19" s="46">
        <v>3367263</v>
      </c>
      <c r="N19" s="46">
        <v>4088592</v>
      </c>
      <c r="O19" s="46">
        <v>4686445</v>
      </c>
      <c r="P19" s="46">
        <v>5470350</v>
      </c>
      <c r="Q19" s="46">
        <v>6634604</v>
      </c>
      <c r="R19" s="46">
        <v>7697332</v>
      </c>
      <c r="S19" s="46">
        <v>8265018</v>
      </c>
      <c r="T19" s="46">
        <v>8416006</v>
      </c>
      <c r="U19" s="46">
        <v>8221412</v>
      </c>
      <c r="V19" s="46">
        <v>7790198</v>
      </c>
      <c r="W19" s="46">
        <v>7277971</v>
      </c>
      <c r="X19" s="46">
        <v>6589913</v>
      </c>
      <c r="Y19" s="46">
        <v>5598196</v>
      </c>
      <c r="Z19" s="46">
        <v>4456880</v>
      </c>
      <c r="AA19" s="46">
        <v>3422921</v>
      </c>
      <c r="AB19" s="46">
        <v>2574358</v>
      </c>
      <c r="AC19" s="46">
        <v>1950497</v>
      </c>
      <c r="AD19" t="str">
        <f t="shared" si="0"/>
        <v>Spring</v>
      </c>
      <c r="AE19" t="str">
        <f>INDEX('Category Mapping'!$B$2:$B$25,MATCH('Source Data'!A19,'Category Mapping'!$A$2:$A$25,0))</f>
        <v>Weekend</v>
      </c>
      <c r="AF19" t="str">
        <f>INDEX('Category Mapping'!$C$2:$C$25,MATCH('Source Data'!A19,'Category Mapping'!$A$2:$A$25,0))</f>
        <v>Residential</v>
      </c>
      <c r="AG19" t="str">
        <f>INDEX('Category Mapping'!$D$2:$D$25,MATCH('Source Data'!A19,'Category Mapping'!$A$2:$A$25,0))</f>
        <v>Cooling</v>
      </c>
    </row>
    <row r="20" spans="1:33" x14ac:dyDescent="0.3">
      <c r="A20" s="39" t="s">
        <v>94</v>
      </c>
      <c r="B20" s="39">
        <v>2019</v>
      </c>
      <c r="C20" s="39">
        <v>3</v>
      </c>
      <c r="D20" s="39" t="s">
        <v>93</v>
      </c>
      <c r="E20" s="39">
        <v>6</v>
      </c>
      <c r="F20" s="47">
        <v>1959913</v>
      </c>
      <c r="G20" s="47">
        <v>1742639</v>
      </c>
      <c r="H20" s="47">
        <v>1683070</v>
      </c>
      <c r="I20" s="47">
        <v>1769133</v>
      </c>
      <c r="J20" s="47">
        <v>2013683</v>
      </c>
      <c r="K20" s="47">
        <v>2411712</v>
      </c>
      <c r="L20" s="47">
        <v>2962284</v>
      </c>
      <c r="M20" s="47">
        <v>3592843</v>
      </c>
      <c r="N20" s="47">
        <v>4159315</v>
      </c>
      <c r="O20" s="47">
        <v>4580614</v>
      </c>
      <c r="P20" s="47">
        <v>5204468</v>
      </c>
      <c r="Q20" s="47">
        <v>6211579</v>
      </c>
      <c r="R20" s="47">
        <v>7137625</v>
      </c>
      <c r="S20" s="47">
        <v>7624938</v>
      </c>
      <c r="T20" s="47">
        <v>7751135</v>
      </c>
      <c r="U20" s="47">
        <v>7584708</v>
      </c>
      <c r="V20" s="47">
        <v>7223739</v>
      </c>
      <c r="W20" s="47">
        <v>6813925</v>
      </c>
      <c r="X20" s="47">
        <v>6269616</v>
      </c>
      <c r="Y20" s="47">
        <v>5471775</v>
      </c>
      <c r="Z20" s="47">
        <v>4533975</v>
      </c>
      <c r="AA20" s="47">
        <v>3652230</v>
      </c>
      <c r="AB20" s="47">
        <v>2904977</v>
      </c>
      <c r="AC20" s="47">
        <v>2341394</v>
      </c>
      <c r="AD20" t="str">
        <f t="shared" si="0"/>
        <v>Summer</v>
      </c>
      <c r="AE20" t="str">
        <f>INDEX('Category Mapping'!$B$2:$B$25,MATCH('Source Data'!A20,'Category Mapping'!$A$2:$A$25,0))</f>
        <v>Weekend</v>
      </c>
      <c r="AF20" t="str">
        <f>INDEX('Category Mapping'!$C$2:$C$25,MATCH('Source Data'!A20,'Category Mapping'!$A$2:$A$25,0))</f>
        <v>Residential</v>
      </c>
      <c r="AG20" t="str">
        <f>INDEX('Category Mapping'!$D$2:$D$25,MATCH('Source Data'!A20,'Category Mapping'!$A$2:$A$25,0))</f>
        <v>Cooling</v>
      </c>
    </row>
    <row r="21" spans="1:33" x14ac:dyDescent="0.3">
      <c r="A21" s="45" t="s">
        <v>94</v>
      </c>
      <c r="B21" s="45">
        <v>2019</v>
      </c>
      <c r="C21" s="45">
        <v>3</v>
      </c>
      <c r="D21" s="45" t="s">
        <v>93</v>
      </c>
      <c r="E21" s="45">
        <v>7</v>
      </c>
      <c r="F21" s="46">
        <v>2139300</v>
      </c>
      <c r="G21" s="46">
        <v>1934501</v>
      </c>
      <c r="H21" s="46">
        <v>1879578</v>
      </c>
      <c r="I21" s="46">
        <v>1963912</v>
      </c>
      <c r="J21" s="46">
        <v>2197992</v>
      </c>
      <c r="K21" s="46">
        <v>2577932</v>
      </c>
      <c r="L21" s="46">
        <v>3107049</v>
      </c>
      <c r="M21" s="46">
        <v>3674398</v>
      </c>
      <c r="N21" s="46">
        <v>4148003</v>
      </c>
      <c r="O21" s="46">
        <v>4480592</v>
      </c>
      <c r="P21" s="46">
        <v>5063122</v>
      </c>
      <c r="Q21" s="46">
        <v>6037066</v>
      </c>
      <c r="R21" s="46">
        <v>6933445</v>
      </c>
      <c r="S21" s="46">
        <v>7404594</v>
      </c>
      <c r="T21" s="46">
        <v>7526549</v>
      </c>
      <c r="U21" s="46">
        <v>7365527</v>
      </c>
      <c r="V21" s="46">
        <v>7017097</v>
      </c>
      <c r="W21" s="46">
        <v>6622489</v>
      </c>
      <c r="X21" s="46">
        <v>6099342</v>
      </c>
      <c r="Y21" s="46">
        <v>5352293</v>
      </c>
      <c r="Z21" s="46">
        <v>4521643</v>
      </c>
      <c r="AA21" s="46">
        <v>3735133</v>
      </c>
      <c r="AB21" s="46">
        <v>3046941</v>
      </c>
      <c r="AC21" s="46">
        <v>2502767</v>
      </c>
      <c r="AD21" t="str">
        <f t="shared" si="0"/>
        <v>Summer</v>
      </c>
      <c r="AE21" t="str">
        <f>INDEX('Category Mapping'!$B$2:$B$25,MATCH('Source Data'!A21,'Category Mapping'!$A$2:$A$25,0))</f>
        <v>Weekend</v>
      </c>
      <c r="AF21" t="str">
        <f>INDEX('Category Mapping'!$C$2:$C$25,MATCH('Source Data'!A21,'Category Mapping'!$A$2:$A$25,0))</f>
        <v>Residential</v>
      </c>
      <c r="AG21" t="str">
        <f>INDEX('Category Mapping'!$D$2:$D$25,MATCH('Source Data'!A21,'Category Mapping'!$A$2:$A$25,0))</f>
        <v>Cooling</v>
      </c>
    </row>
    <row r="22" spans="1:33" x14ac:dyDescent="0.3">
      <c r="A22" s="39" t="s">
        <v>94</v>
      </c>
      <c r="B22" s="39">
        <v>2019</v>
      </c>
      <c r="C22" s="39">
        <v>3</v>
      </c>
      <c r="D22" s="39" t="s">
        <v>93</v>
      </c>
      <c r="E22" s="39">
        <v>8</v>
      </c>
      <c r="F22" s="47">
        <v>1970787</v>
      </c>
      <c r="G22" s="47">
        <v>1773589</v>
      </c>
      <c r="H22" s="47">
        <v>1721222</v>
      </c>
      <c r="I22" s="47">
        <v>1800553</v>
      </c>
      <c r="J22" s="47">
        <v>2024855</v>
      </c>
      <c r="K22" s="47">
        <v>2399962</v>
      </c>
      <c r="L22" s="47">
        <v>2921799</v>
      </c>
      <c r="M22" s="47">
        <v>3518859</v>
      </c>
      <c r="N22" s="47">
        <v>4047724</v>
      </c>
      <c r="O22" s="47">
        <v>4438593</v>
      </c>
      <c r="P22" s="47">
        <v>5075881</v>
      </c>
      <c r="Q22" s="47">
        <v>6095628</v>
      </c>
      <c r="R22" s="47">
        <v>7031518</v>
      </c>
      <c r="S22" s="47">
        <v>7526094</v>
      </c>
      <c r="T22" s="47">
        <v>7655696</v>
      </c>
      <c r="U22" s="47">
        <v>7486385</v>
      </c>
      <c r="V22" s="47">
        <v>7116351</v>
      </c>
      <c r="W22" s="47">
        <v>6686730</v>
      </c>
      <c r="X22" s="47">
        <v>6114713</v>
      </c>
      <c r="Y22" s="47">
        <v>5302124</v>
      </c>
      <c r="Z22" s="47">
        <v>4412331</v>
      </c>
      <c r="AA22" s="47">
        <v>3577023</v>
      </c>
      <c r="AB22" s="47">
        <v>2865275</v>
      </c>
      <c r="AC22" s="47">
        <v>2329987</v>
      </c>
      <c r="AD22" t="str">
        <f t="shared" si="0"/>
        <v>Summer</v>
      </c>
      <c r="AE22" t="str">
        <f>INDEX('Category Mapping'!$B$2:$B$25,MATCH('Source Data'!A22,'Category Mapping'!$A$2:$A$25,0))</f>
        <v>Weekend</v>
      </c>
      <c r="AF22" t="str">
        <f>INDEX('Category Mapping'!$C$2:$C$25,MATCH('Source Data'!A22,'Category Mapping'!$A$2:$A$25,0))</f>
        <v>Residential</v>
      </c>
      <c r="AG22" t="str">
        <f>INDEX('Category Mapping'!$D$2:$D$25,MATCH('Source Data'!A22,'Category Mapping'!$A$2:$A$25,0))</f>
        <v>Cooling</v>
      </c>
    </row>
    <row r="23" spans="1:33" x14ac:dyDescent="0.3">
      <c r="A23" s="45" t="s">
        <v>94</v>
      </c>
      <c r="B23" s="45">
        <v>2019</v>
      </c>
      <c r="C23" s="45">
        <v>3</v>
      </c>
      <c r="D23" s="45" t="s">
        <v>93</v>
      </c>
      <c r="E23" s="45">
        <v>9</v>
      </c>
      <c r="F23" s="46">
        <v>1597218</v>
      </c>
      <c r="G23" s="46">
        <v>1438532</v>
      </c>
      <c r="H23" s="46">
        <v>1395891</v>
      </c>
      <c r="I23" s="46">
        <v>1460402</v>
      </c>
      <c r="J23" s="46">
        <v>1641038</v>
      </c>
      <c r="K23" s="46">
        <v>1950278</v>
      </c>
      <c r="L23" s="46">
        <v>2369478</v>
      </c>
      <c r="M23" s="46">
        <v>2856655</v>
      </c>
      <c r="N23" s="46">
        <v>3298789</v>
      </c>
      <c r="O23" s="46">
        <v>3655697</v>
      </c>
      <c r="P23" s="46">
        <v>4215849</v>
      </c>
      <c r="Q23" s="46">
        <v>5101794</v>
      </c>
      <c r="R23" s="46">
        <v>5911643</v>
      </c>
      <c r="S23" s="46">
        <v>6343074</v>
      </c>
      <c r="T23" s="46">
        <v>6457152</v>
      </c>
      <c r="U23" s="46">
        <v>6309607</v>
      </c>
      <c r="V23" s="46">
        <v>5982965</v>
      </c>
      <c r="W23" s="46">
        <v>5596522</v>
      </c>
      <c r="X23" s="46">
        <v>5078666</v>
      </c>
      <c r="Y23" s="46">
        <v>4366915</v>
      </c>
      <c r="Z23" s="46">
        <v>3595934</v>
      </c>
      <c r="AA23" s="46">
        <v>2903873</v>
      </c>
      <c r="AB23" s="46">
        <v>2323639</v>
      </c>
      <c r="AC23" s="46">
        <v>1893414</v>
      </c>
      <c r="AD23" t="str">
        <f t="shared" si="0"/>
        <v>Fall</v>
      </c>
      <c r="AE23" t="str">
        <f>INDEX('Category Mapping'!$B$2:$B$25,MATCH('Source Data'!A23,'Category Mapping'!$A$2:$A$25,0))</f>
        <v>Weekend</v>
      </c>
      <c r="AF23" t="str">
        <f>INDEX('Category Mapping'!$C$2:$C$25,MATCH('Source Data'!A23,'Category Mapping'!$A$2:$A$25,0))</f>
        <v>Residential</v>
      </c>
      <c r="AG23" t="str">
        <f>INDEX('Category Mapping'!$D$2:$D$25,MATCH('Source Data'!A23,'Category Mapping'!$A$2:$A$25,0))</f>
        <v>Cooling</v>
      </c>
    </row>
    <row r="24" spans="1:33" x14ac:dyDescent="0.3">
      <c r="A24" s="39" t="s">
        <v>94</v>
      </c>
      <c r="B24" s="39">
        <v>2019</v>
      </c>
      <c r="C24" s="39">
        <v>3</v>
      </c>
      <c r="D24" s="39" t="s">
        <v>93</v>
      </c>
      <c r="E24" s="39">
        <v>10</v>
      </c>
      <c r="F24" s="47">
        <v>944108</v>
      </c>
      <c r="G24" s="47">
        <v>812977</v>
      </c>
      <c r="H24" s="47">
        <v>779119</v>
      </c>
      <c r="I24" s="47">
        <v>825337</v>
      </c>
      <c r="J24" s="47">
        <v>970010</v>
      </c>
      <c r="K24" s="47">
        <v>1202568</v>
      </c>
      <c r="L24" s="47">
        <v>1523594</v>
      </c>
      <c r="M24" s="47">
        <v>1918823</v>
      </c>
      <c r="N24" s="47">
        <v>2325845</v>
      </c>
      <c r="O24" s="47">
        <v>2697649</v>
      </c>
      <c r="P24" s="47">
        <v>3265514</v>
      </c>
      <c r="Q24" s="47">
        <v>4103053</v>
      </c>
      <c r="R24" s="47">
        <v>4857996</v>
      </c>
      <c r="S24" s="47">
        <v>5271597</v>
      </c>
      <c r="T24" s="47">
        <v>5385589</v>
      </c>
      <c r="U24" s="47">
        <v>5243783</v>
      </c>
      <c r="V24" s="47">
        <v>4916606</v>
      </c>
      <c r="W24" s="47">
        <v>4500932</v>
      </c>
      <c r="X24" s="47">
        <v>3933836</v>
      </c>
      <c r="Y24" s="47">
        <v>3222478</v>
      </c>
      <c r="Z24" s="47">
        <v>2535350</v>
      </c>
      <c r="AA24" s="47">
        <v>1950540</v>
      </c>
      <c r="AB24" s="47">
        <v>1494119</v>
      </c>
      <c r="AC24" s="47">
        <v>1167505</v>
      </c>
      <c r="AD24" t="str">
        <f t="shared" si="0"/>
        <v>Fall</v>
      </c>
      <c r="AE24" t="str">
        <f>INDEX('Category Mapping'!$B$2:$B$25,MATCH('Source Data'!A24,'Category Mapping'!$A$2:$A$25,0))</f>
        <v>Weekend</v>
      </c>
      <c r="AF24" t="str">
        <f>INDEX('Category Mapping'!$C$2:$C$25,MATCH('Source Data'!A24,'Category Mapping'!$A$2:$A$25,0))</f>
        <v>Residential</v>
      </c>
      <c r="AG24" t="str">
        <f>INDEX('Category Mapping'!$D$2:$D$25,MATCH('Source Data'!A24,'Category Mapping'!$A$2:$A$25,0))</f>
        <v>Cooling</v>
      </c>
    </row>
    <row r="25" spans="1:33" x14ac:dyDescent="0.3">
      <c r="A25" s="45" t="s">
        <v>94</v>
      </c>
      <c r="B25" s="45">
        <v>2019</v>
      </c>
      <c r="C25" s="45">
        <v>3</v>
      </c>
      <c r="D25" s="45" t="s">
        <v>93</v>
      </c>
      <c r="E25" s="45">
        <v>11</v>
      </c>
      <c r="F25" s="46">
        <v>364647</v>
      </c>
      <c r="G25" s="46">
        <v>307488</v>
      </c>
      <c r="H25" s="46">
        <v>291611</v>
      </c>
      <c r="I25" s="46">
        <v>312163</v>
      </c>
      <c r="J25" s="46">
        <v>374651</v>
      </c>
      <c r="K25" s="46">
        <v>488253</v>
      </c>
      <c r="L25" s="46">
        <v>666708</v>
      </c>
      <c r="M25" s="46">
        <v>899445</v>
      </c>
      <c r="N25" s="46">
        <v>1165346</v>
      </c>
      <c r="O25" s="46">
        <v>1461510</v>
      </c>
      <c r="P25" s="46">
        <v>1890949</v>
      </c>
      <c r="Q25" s="46">
        <v>2595738</v>
      </c>
      <c r="R25" s="46">
        <v>3242455</v>
      </c>
      <c r="S25" s="46">
        <v>3613295</v>
      </c>
      <c r="T25" s="46">
        <v>3721396</v>
      </c>
      <c r="U25" s="46">
        <v>3594230</v>
      </c>
      <c r="V25" s="46">
        <v>3281574</v>
      </c>
      <c r="W25" s="46">
        <v>2847451</v>
      </c>
      <c r="X25" s="46">
        <v>2277952</v>
      </c>
      <c r="Y25" s="46">
        <v>1745848</v>
      </c>
      <c r="Z25" s="46">
        <v>1270317</v>
      </c>
      <c r="AA25" s="46">
        <v>914312</v>
      </c>
      <c r="AB25" s="46">
        <v>653810</v>
      </c>
      <c r="AC25" s="46">
        <v>474017</v>
      </c>
      <c r="AD25" t="str">
        <f t="shared" si="0"/>
        <v>Winter</v>
      </c>
      <c r="AE25" t="str">
        <f>INDEX('Category Mapping'!$B$2:$B$25,MATCH('Source Data'!A25,'Category Mapping'!$A$2:$A$25,0))</f>
        <v>Weekend</v>
      </c>
      <c r="AF25" t="str">
        <f>INDEX('Category Mapping'!$C$2:$C$25,MATCH('Source Data'!A25,'Category Mapping'!$A$2:$A$25,0))</f>
        <v>Residential</v>
      </c>
      <c r="AG25" t="str">
        <f>INDEX('Category Mapping'!$D$2:$D$25,MATCH('Source Data'!A25,'Category Mapping'!$A$2:$A$25,0))</f>
        <v>Cooling</v>
      </c>
    </row>
    <row r="26" spans="1:33" x14ac:dyDescent="0.3">
      <c r="A26" s="39" t="s">
        <v>94</v>
      </c>
      <c r="B26" s="39">
        <v>2019</v>
      </c>
      <c r="C26" s="39">
        <v>3</v>
      </c>
      <c r="D26" s="39" t="s">
        <v>93</v>
      </c>
      <c r="E26" s="39">
        <v>12</v>
      </c>
      <c r="F26" s="47">
        <v>196938</v>
      </c>
      <c r="G26" s="47">
        <v>156008</v>
      </c>
      <c r="H26" s="47">
        <v>144166</v>
      </c>
      <c r="I26" s="47">
        <v>158380</v>
      </c>
      <c r="J26" s="47">
        <v>202341</v>
      </c>
      <c r="K26" s="47">
        <v>276062</v>
      </c>
      <c r="L26" s="47">
        <v>388524</v>
      </c>
      <c r="M26" s="47">
        <v>554111</v>
      </c>
      <c r="N26" s="47">
        <v>748844</v>
      </c>
      <c r="O26" s="47">
        <v>967616</v>
      </c>
      <c r="P26" s="47">
        <v>1284356</v>
      </c>
      <c r="Q26" s="47">
        <v>1830543</v>
      </c>
      <c r="R26" s="47">
        <v>2397736</v>
      </c>
      <c r="S26" s="47">
        <v>2736721</v>
      </c>
      <c r="T26" s="47">
        <v>2839903</v>
      </c>
      <c r="U26" s="47">
        <v>2722281</v>
      </c>
      <c r="V26" s="47">
        <v>2426664</v>
      </c>
      <c r="W26" s="47">
        <v>2008053</v>
      </c>
      <c r="X26" s="47">
        <v>1547213</v>
      </c>
      <c r="Y26" s="47">
        <v>1155867</v>
      </c>
      <c r="Z26" s="47">
        <v>816297</v>
      </c>
      <c r="AA26" s="47">
        <v>563270</v>
      </c>
      <c r="AB26" s="47">
        <v>381008</v>
      </c>
      <c r="AC26" s="47">
        <v>268013</v>
      </c>
      <c r="AD26" t="str">
        <f t="shared" si="0"/>
        <v>Winter</v>
      </c>
      <c r="AE26" t="str">
        <f>INDEX('Category Mapping'!$B$2:$B$25,MATCH('Source Data'!A26,'Category Mapping'!$A$2:$A$25,0))</f>
        <v>Weekend</v>
      </c>
      <c r="AF26" t="str">
        <f>INDEX('Category Mapping'!$C$2:$C$25,MATCH('Source Data'!A26,'Category Mapping'!$A$2:$A$25,0))</f>
        <v>Residential</v>
      </c>
      <c r="AG26" t="str">
        <f>INDEX('Category Mapping'!$D$2:$D$25,MATCH('Source Data'!A26,'Category Mapping'!$A$2:$A$25,0))</f>
        <v>Cooling</v>
      </c>
    </row>
    <row r="27" spans="1:33" x14ac:dyDescent="0.3">
      <c r="A27" s="45" t="s">
        <v>95</v>
      </c>
      <c r="B27" s="45">
        <v>2019</v>
      </c>
      <c r="C27" s="45">
        <v>3</v>
      </c>
      <c r="D27" s="45" t="s">
        <v>93</v>
      </c>
      <c r="E27" s="45">
        <v>1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t="str">
        <f t="shared" si="0"/>
        <v>Winter</v>
      </c>
      <c r="AE27" t="str">
        <f>INDEX('Category Mapping'!$B$2:$B$25,MATCH('Source Data'!A27,'Category Mapping'!$A$2:$A$25,0))</f>
        <v>Weekday</v>
      </c>
      <c r="AF27" t="str">
        <f>INDEX('Category Mapping'!$C$2:$C$25,MATCH('Source Data'!A27,'Category Mapping'!$A$2:$A$25,0))</f>
        <v>Residential</v>
      </c>
      <c r="AG27" t="str">
        <f>INDEX('Category Mapping'!$D$2:$D$25,MATCH('Source Data'!A27,'Category Mapping'!$A$2:$A$25,0))</f>
        <v>Heating</v>
      </c>
    </row>
    <row r="28" spans="1:33" x14ac:dyDescent="0.3">
      <c r="A28" s="39" t="s">
        <v>95</v>
      </c>
      <c r="B28" s="39">
        <v>2019</v>
      </c>
      <c r="C28" s="39">
        <v>3</v>
      </c>
      <c r="D28" s="39" t="s">
        <v>93</v>
      </c>
      <c r="E28" s="39">
        <v>2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t="str">
        <f t="shared" si="0"/>
        <v>Winter</v>
      </c>
      <c r="AE28" t="str">
        <f>INDEX('Category Mapping'!$B$2:$B$25,MATCH('Source Data'!A28,'Category Mapping'!$A$2:$A$25,0))</f>
        <v>Weekday</v>
      </c>
      <c r="AF28" t="str">
        <f>INDEX('Category Mapping'!$C$2:$C$25,MATCH('Source Data'!A28,'Category Mapping'!$A$2:$A$25,0))</f>
        <v>Residential</v>
      </c>
      <c r="AG28" t="str">
        <f>INDEX('Category Mapping'!$D$2:$D$25,MATCH('Source Data'!A28,'Category Mapping'!$A$2:$A$25,0))</f>
        <v>Heating</v>
      </c>
    </row>
    <row r="29" spans="1:33" x14ac:dyDescent="0.3">
      <c r="A29" s="45" t="s">
        <v>95</v>
      </c>
      <c r="B29" s="45">
        <v>2019</v>
      </c>
      <c r="C29" s="45">
        <v>3</v>
      </c>
      <c r="D29" s="45" t="s">
        <v>93</v>
      </c>
      <c r="E29" s="45">
        <v>3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6">
        <v>0</v>
      </c>
      <c r="AB29" s="46">
        <v>0</v>
      </c>
      <c r="AC29" s="46">
        <v>0</v>
      </c>
      <c r="AD29" t="str">
        <f t="shared" si="0"/>
        <v>Spring</v>
      </c>
      <c r="AE29" t="str">
        <f>INDEX('Category Mapping'!$B$2:$B$25,MATCH('Source Data'!A29,'Category Mapping'!$A$2:$A$25,0))</f>
        <v>Weekday</v>
      </c>
      <c r="AF29" t="str">
        <f>INDEX('Category Mapping'!$C$2:$C$25,MATCH('Source Data'!A29,'Category Mapping'!$A$2:$A$25,0))</f>
        <v>Residential</v>
      </c>
      <c r="AG29" t="str">
        <f>INDEX('Category Mapping'!$D$2:$D$25,MATCH('Source Data'!A29,'Category Mapping'!$A$2:$A$25,0))</f>
        <v>Heating</v>
      </c>
    </row>
    <row r="30" spans="1:33" x14ac:dyDescent="0.3">
      <c r="A30" s="39" t="s">
        <v>95</v>
      </c>
      <c r="B30" s="39">
        <v>2019</v>
      </c>
      <c r="C30" s="39">
        <v>3</v>
      </c>
      <c r="D30" s="39" t="s">
        <v>93</v>
      </c>
      <c r="E30" s="39">
        <v>4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t="str">
        <f t="shared" si="0"/>
        <v>Spring</v>
      </c>
      <c r="AE30" t="str">
        <f>INDEX('Category Mapping'!$B$2:$B$25,MATCH('Source Data'!A30,'Category Mapping'!$A$2:$A$25,0))</f>
        <v>Weekday</v>
      </c>
      <c r="AF30" t="str">
        <f>INDEX('Category Mapping'!$C$2:$C$25,MATCH('Source Data'!A30,'Category Mapping'!$A$2:$A$25,0))</f>
        <v>Residential</v>
      </c>
      <c r="AG30" t="str">
        <f>INDEX('Category Mapping'!$D$2:$D$25,MATCH('Source Data'!A30,'Category Mapping'!$A$2:$A$25,0))</f>
        <v>Heating</v>
      </c>
    </row>
    <row r="31" spans="1:33" x14ac:dyDescent="0.3">
      <c r="A31" s="45" t="s">
        <v>95</v>
      </c>
      <c r="B31" s="45">
        <v>2019</v>
      </c>
      <c r="C31" s="45">
        <v>3</v>
      </c>
      <c r="D31" s="45" t="s">
        <v>93</v>
      </c>
      <c r="E31" s="45">
        <v>5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t="str">
        <f t="shared" si="0"/>
        <v>Spring</v>
      </c>
      <c r="AE31" t="str">
        <f>INDEX('Category Mapping'!$B$2:$B$25,MATCH('Source Data'!A31,'Category Mapping'!$A$2:$A$25,0))</f>
        <v>Weekday</v>
      </c>
      <c r="AF31" t="str">
        <f>INDEX('Category Mapping'!$C$2:$C$25,MATCH('Source Data'!A31,'Category Mapping'!$A$2:$A$25,0))</f>
        <v>Residential</v>
      </c>
      <c r="AG31" t="str">
        <f>INDEX('Category Mapping'!$D$2:$D$25,MATCH('Source Data'!A31,'Category Mapping'!$A$2:$A$25,0))</f>
        <v>Heating</v>
      </c>
    </row>
    <row r="32" spans="1:33" x14ac:dyDescent="0.3">
      <c r="A32" s="39" t="s">
        <v>95</v>
      </c>
      <c r="B32" s="39">
        <v>2019</v>
      </c>
      <c r="C32" s="39">
        <v>3</v>
      </c>
      <c r="D32" s="39" t="s">
        <v>93</v>
      </c>
      <c r="E32" s="39">
        <v>6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t="str">
        <f t="shared" si="0"/>
        <v>Summer</v>
      </c>
      <c r="AE32" t="str">
        <f>INDEX('Category Mapping'!$B$2:$B$25,MATCH('Source Data'!A32,'Category Mapping'!$A$2:$A$25,0))</f>
        <v>Weekday</v>
      </c>
      <c r="AF32" t="str">
        <f>INDEX('Category Mapping'!$C$2:$C$25,MATCH('Source Data'!A32,'Category Mapping'!$A$2:$A$25,0))</f>
        <v>Residential</v>
      </c>
      <c r="AG32" t="str">
        <f>INDEX('Category Mapping'!$D$2:$D$25,MATCH('Source Data'!A32,'Category Mapping'!$A$2:$A$25,0))</f>
        <v>Heating</v>
      </c>
    </row>
    <row r="33" spans="1:33" x14ac:dyDescent="0.3">
      <c r="A33" s="45" t="s">
        <v>95</v>
      </c>
      <c r="B33" s="45">
        <v>2019</v>
      </c>
      <c r="C33" s="45">
        <v>3</v>
      </c>
      <c r="D33" s="45" t="s">
        <v>93</v>
      </c>
      <c r="E33" s="45">
        <v>7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t="str">
        <f t="shared" si="0"/>
        <v>Summer</v>
      </c>
      <c r="AE33" t="str">
        <f>INDEX('Category Mapping'!$B$2:$B$25,MATCH('Source Data'!A33,'Category Mapping'!$A$2:$A$25,0))</f>
        <v>Weekday</v>
      </c>
      <c r="AF33" t="str">
        <f>INDEX('Category Mapping'!$C$2:$C$25,MATCH('Source Data'!A33,'Category Mapping'!$A$2:$A$25,0))</f>
        <v>Residential</v>
      </c>
      <c r="AG33" t="str">
        <f>INDEX('Category Mapping'!$D$2:$D$25,MATCH('Source Data'!A33,'Category Mapping'!$A$2:$A$25,0))</f>
        <v>Heating</v>
      </c>
    </row>
    <row r="34" spans="1:33" x14ac:dyDescent="0.3">
      <c r="A34" s="39" t="s">
        <v>95</v>
      </c>
      <c r="B34" s="39">
        <v>2019</v>
      </c>
      <c r="C34" s="39">
        <v>3</v>
      </c>
      <c r="D34" s="39" t="s">
        <v>93</v>
      </c>
      <c r="E34" s="39">
        <v>8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t="str">
        <f t="shared" si="0"/>
        <v>Summer</v>
      </c>
      <c r="AE34" t="str">
        <f>INDEX('Category Mapping'!$B$2:$B$25,MATCH('Source Data'!A34,'Category Mapping'!$A$2:$A$25,0))</f>
        <v>Weekday</v>
      </c>
      <c r="AF34" t="str">
        <f>INDEX('Category Mapping'!$C$2:$C$25,MATCH('Source Data'!A34,'Category Mapping'!$A$2:$A$25,0))</f>
        <v>Residential</v>
      </c>
      <c r="AG34" t="str">
        <f>INDEX('Category Mapping'!$D$2:$D$25,MATCH('Source Data'!A34,'Category Mapping'!$A$2:$A$25,0))</f>
        <v>Heating</v>
      </c>
    </row>
    <row r="35" spans="1:33" x14ac:dyDescent="0.3">
      <c r="A35" s="45" t="s">
        <v>95</v>
      </c>
      <c r="B35" s="45">
        <v>2019</v>
      </c>
      <c r="C35" s="45">
        <v>3</v>
      </c>
      <c r="D35" s="45" t="s">
        <v>93</v>
      </c>
      <c r="E35" s="45">
        <v>9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46">
        <v>0</v>
      </c>
      <c r="Y35" s="46">
        <v>0</v>
      </c>
      <c r="Z35" s="46">
        <v>0</v>
      </c>
      <c r="AA35" s="46">
        <v>0</v>
      </c>
      <c r="AB35" s="46">
        <v>0</v>
      </c>
      <c r="AC35" s="46">
        <v>0</v>
      </c>
      <c r="AD35" t="str">
        <f t="shared" si="0"/>
        <v>Fall</v>
      </c>
      <c r="AE35" t="str">
        <f>INDEX('Category Mapping'!$B$2:$B$25,MATCH('Source Data'!A35,'Category Mapping'!$A$2:$A$25,0))</f>
        <v>Weekday</v>
      </c>
      <c r="AF35" t="str">
        <f>INDEX('Category Mapping'!$C$2:$C$25,MATCH('Source Data'!A35,'Category Mapping'!$A$2:$A$25,0))</f>
        <v>Residential</v>
      </c>
      <c r="AG35" t="str">
        <f>INDEX('Category Mapping'!$D$2:$D$25,MATCH('Source Data'!A35,'Category Mapping'!$A$2:$A$25,0))</f>
        <v>Heating</v>
      </c>
    </row>
    <row r="36" spans="1:33" x14ac:dyDescent="0.3">
      <c r="A36" s="39" t="s">
        <v>95</v>
      </c>
      <c r="B36" s="39">
        <v>2019</v>
      </c>
      <c r="C36" s="39">
        <v>3</v>
      </c>
      <c r="D36" s="39" t="s">
        <v>93</v>
      </c>
      <c r="E36" s="39">
        <v>10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t="str">
        <f t="shared" si="0"/>
        <v>Fall</v>
      </c>
      <c r="AE36" t="str">
        <f>INDEX('Category Mapping'!$B$2:$B$25,MATCH('Source Data'!A36,'Category Mapping'!$A$2:$A$25,0))</f>
        <v>Weekday</v>
      </c>
      <c r="AF36" t="str">
        <f>INDEX('Category Mapping'!$C$2:$C$25,MATCH('Source Data'!A36,'Category Mapping'!$A$2:$A$25,0))</f>
        <v>Residential</v>
      </c>
      <c r="AG36" t="str">
        <f>INDEX('Category Mapping'!$D$2:$D$25,MATCH('Source Data'!A36,'Category Mapping'!$A$2:$A$25,0))</f>
        <v>Heating</v>
      </c>
    </row>
    <row r="37" spans="1:33" x14ac:dyDescent="0.3">
      <c r="A37" s="45" t="s">
        <v>95</v>
      </c>
      <c r="B37" s="45">
        <v>2019</v>
      </c>
      <c r="C37" s="45">
        <v>3</v>
      </c>
      <c r="D37" s="45" t="s">
        <v>93</v>
      </c>
      <c r="E37" s="45">
        <v>11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t="str">
        <f t="shared" si="0"/>
        <v>Winter</v>
      </c>
      <c r="AE37" t="str">
        <f>INDEX('Category Mapping'!$B$2:$B$25,MATCH('Source Data'!A37,'Category Mapping'!$A$2:$A$25,0))</f>
        <v>Weekday</v>
      </c>
      <c r="AF37" t="str">
        <f>INDEX('Category Mapping'!$C$2:$C$25,MATCH('Source Data'!A37,'Category Mapping'!$A$2:$A$25,0))</f>
        <v>Residential</v>
      </c>
      <c r="AG37" t="str">
        <f>INDEX('Category Mapping'!$D$2:$D$25,MATCH('Source Data'!A37,'Category Mapping'!$A$2:$A$25,0))</f>
        <v>Heating</v>
      </c>
    </row>
    <row r="38" spans="1:33" x14ac:dyDescent="0.3">
      <c r="A38" s="39" t="s">
        <v>95</v>
      </c>
      <c r="B38" s="39">
        <v>2019</v>
      </c>
      <c r="C38" s="39">
        <v>3</v>
      </c>
      <c r="D38" s="39" t="s">
        <v>93</v>
      </c>
      <c r="E38" s="39">
        <v>12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t="str">
        <f t="shared" si="0"/>
        <v>Winter</v>
      </c>
      <c r="AE38" t="str">
        <f>INDEX('Category Mapping'!$B$2:$B$25,MATCH('Source Data'!A38,'Category Mapping'!$A$2:$A$25,0))</f>
        <v>Weekday</v>
      </c>
      <c r="AF38" t="str">
        <f>INDEX('Category Mapping'!$C$2:$C$25,MATCH('Source Data'!A38,'Category Mapping'!$A$2:$A$25,0))</f>
        <v>Residential</v>
      </c>
      <c r="AG38" t="str">
        <f>INDEX('Category Mapping'!$D$2:$D$25,MATCH('Source Data'!A38,'Category Mapping'!$A$2:$A$25,0))</f>
        <v>Heating</v>
      </c>
    </row>
    <row r="39" spans="1:33" x14ac:dyDescent="0.3">
      <c r="A39" s="45" t="s">
        <v>96</v>
      </c>
      <c r="B39" s="45">
        <v>2019</v>
      </c>
      <c r="C39" s="45">
        <v>3</v>
      </c>
      <c r="D39" s="45" t="s">
        <v>93</v>
      </c>
      <c r="E39" s="45">
        <v>1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t="str">
        <f t="shared" si="0"/>
        <v>Winter</v>
      </c>
      <c r="AE39" t="str">
        <f>INDEX('Category Mapping'!$B$2:$B$25,MATCH('Source Data'!A39,'Category Mapping'!$A$2:$A$25,0))</f>
        <v>Weekend</v>
      </c>
      <c r="AF39" t="str">
        <f>INDEX('Category Mapping'!$C$2:$C$25,MATCH('Source Data'!A39,'Category Mapping'!$A$2:$A$25,0))</f>
        <v>Residential</v>
      </c>
      <c r="AG39" t="str">
        <f>INDEX('Category Mapping'!$D$2:$D$25,MATCH('Source Data'!A39,'Category Mapping'!$A$2:$A$25,0))</f>
        <v>Heating</v>
      </c>
    </row>
    <row r="40" spans="1:33" x14ac:dyDescent="0.3">
      <c r="A40" s="39" t="s">
        <v>96</v>
      </c>
      <c r="B40" s="39">
        <v>2019</v>
      </c>
      <c r="C40" s="39">
        <v>3</v>
      </c>
      <c r="D40" s="39" t="s">
        <v>93</v>
      </c>
      <c r="E40" s="39">
        <v>2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t="str">
        <f t="shared" si="0"/>
        <v>Winter</v>
      </c>
      <c r="AE40" t="str">
        <f>INDEX('Category Mapping'!$B$2:$B$25,MATCH('Source Data'!A40,'Category Mapping'!$A$2:$A$25,0))</f>
        <v>Weekend</v>
      </c>
      <c r="AF40" t="str">
        <f>INDEX('Category Mapping'!$C$2:$C$25,MATCH('Source Data'!A40,'Category Mapping'!$A$2:$A$25,0))</f>
        <v>Residential</v>
      </c>
      <c r="AG40" t="str">
        <f>INDEX('Category Mapping'!$D$2:$D$25,MATCH('Source Data'!A40,'Category Mapping'!$A$2:$A$25,0))</f>
        <v>Heating</v>
      </c>
    </row>
    <row r="41" spans="1:33" x14ac:dyDescent="0.3">
      <c r="A41" s="45" t="s">
        <v>96</v>
      </c>
      <c r="B41" s="45">
        <v>2019</v>
      </c>
      <c r="C41" s="45">
        <v>3</v>
      </c>
      <c r="D41" s="45" t="s">
        <v>93</v>
      </c>
      <c r="E41" s="45">
        <v>3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t="str">
        <f t="shared" si="0"/>
        <v>Spring</v>
      </c>
      <c r="AE41" t="str">
        <f>INDEX('Category Mapping'!$B$2:$B$25,MATCH('Source Data'!A41,'Category Mapping'!$A$2:$A$25,0))</f>
        <v>Weekend</v>
      </c>
      <c r="AF41" t="str">
        <f>INDEX('Category Mapping'!$C$2:$C$25,MATCH('Source Data'!A41,'Category Mapping'!$A$2:$A$25,0))</f>
        <v>Residential</v>
      </c>
      <c r="AG41" t="str">
        <f>INDEX('Category Mapping'!$D$2:$D$25,MATCH('Source Data'!A41,'Category Mapping'!$A$2:$A$25,0))</f>
        <v>Heating</v>
      </c>
    </row>
    <row r="42" spans="1:33" x14ac:dyDescent="0.3">
      <c r="A42" s="39" t="s">
        <v>96</v>
      </c>
      <c r="B42" s="39">
        <v>2019</v>
      </c>
      <c r="C42" s="39">
        <v>3</v>
      </c>
      <c r="D42" s="39" t="s">
        <v>93</v>
      </c>
      <c r="E42" s="39">
        <v>4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t="str">
        <f t="shared" si="0"/>
        <v>Spring</v>
      </c>
      <c r="AE42" t="str">
        <f>INDEX('Category Mapping'!$B$2:$B$25,MATCH('Source Data'!A42,'Category Mapping'!$A$2:$A$25,0))</f>
        <v>Weekend</v>
      </c>
      <c r="AF42" t="str">
        <f>INDEX('Category Mapping'!$C$2:$C$25,MATCH('Source Data'!A42,'Category Mapping'!$A$2:$A$25,0))</f>
        <v>Residential</v>
      </c>
      <c r="AG42" t="str">
        <f>INDEX('Category Mapping'!$D$2:$D$25,MATCH('Source Data'!A42,'Category Mapping'!$A$2:$A$25,0))</f>
        <v>Heating</v>
      </c>
    </row>
    <row r="43" spans="1:33" x14ac:dyDescent="0.3">
      <c r="A43" s="45" t="s">
        <v>96</v>
      </c>
      <c r="B43" s="45">
        <v>2019</v>
      </c>
      <c r="C43" s="45">
        <v>3</v>
      </c>
      <c r="D43" s="45" t="s">
        <v>93</v>
      </c>
      <c r="E43" s="45">
        <v>5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t="str">
        <f t="shared" si="0"/>
        <v>Spring</v>
      </c>
      <c r="AE43" t="str">
        <f>INDEX('Category Mapping'!$B$2:$B$25,MATCH('Source Data'!A43,'Category Mapping'!$A$2:$A$25,0))</f>
        <v>Weekend</v>
      </c>
      <c r="AF43" t="str">
        <f>INDEX('Category Mapping'!$C$2:$C$25,MATCH('Source Data'!A43,'Category Mapping'!$A$2:$A$25,0))</f>
        <v>Residential</v>
      </c>
      <c r="AG43" t="str">
        <f>INDEX('Category Mapping'!$D$2:$D$25,MATCH('Source Data'!A43,'Category Mapping'!$A$2:$A$25,0))</f>
        <v>Heating</v>
      </c>
    </row>
    <row r="44" spans="1:33" x14ac:dyDescent="0.3">
      <c r="A44" s="39" t="s">
        <v>96</v>
      </c>
      <c r="B44" s="39">
        <v>2019</v>
      </c>
      <c r="C44" s="39">
        <v>3</v>
      </c>
      <c r="D44" s="39" t="s">
        <v>93</v>
      </c>
      <c r="E44" s="39">
        <v>6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t="str">
        <f t="shared" si="0"/>
        <v>Summer</v>
      </c>
      <c r="AE44" t="str">
        <f>INDEX('Category Mapping'!$B$2:$B$25,MATCH('Source Data'!A44,'Category Mapping'!$A$2:$A$25,0))</f>
        <v>Weekend</v>
      </c>
      <c r="AF44" t="str">
        <f>INDEX('Category Mapping'!$C$2:$C$25,MATCH('Source Data'!A44,'Category Mapping'!$A$2:$A$25,0))</f>
        <v>Residential</v>
      </c>
      <c r="AG44" t="str">
        <f>INDEX('Category Mapping'!$D$2:$D$25,MATCH('Source Data'!A44,'Category Mapping'!$A$2:$A$25,0))</f>
        <v>Heating</v>
      </c>
    </row>
    <row r="45" spans="1:33" x14ac:dyDescent="0.3">
      <c r="A45" s="45" t="s">
        <v>96</v>
      </c>
      <c r="B45" s="45">
        <v>2019</v>
      </c>
      <c r="C45" s="45">
        <v>3</v>
      </c>
      <c r="D45" s="45" t="s">
        <v>93</v>
      </c>
      <c r="E45" s="45">
        <v>7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t="str">
        <f t="shared" si="0"/>
        <v>Summer</v>
      </c>
      <c r="AE45" t="str">
        <f>INDEX('Category Mapping'!$B$2:$B$25,MATCH('Source Data'!A45,'Category Mapping'!$A$2:$A$25,0))</f>
        <v>Weekend</v>
      </c>
      <c r="AF45" t="str">
        <f>INDEX('Category Mapping'!$C$2:$C$25,MATCH('Source Data'!A45,'Category Mapping'!$A$2:$A$25,0))</f>
        <v>Residential</v>
      </c>
      <c r="AG45" t="str">
        <f>INDEX('Category Mapping'!$D$2:$D$25,MATCH('Source Data'!A45,'Category Mapping'!$A$2:$A$25,0))</f>
        <v>Heating</v>
      </c>
    </row>
    <row r="46" spans="1:33" x14ac:dyDescent="0.3">
      <c r="A46" s="39" t="s">
        <v>96</v>
      </c>
      <c r="B46" s="39">
        <v>2019</v>
      </c>
      <c r="C46" s="39">
        <v>3</v>
      </c>
      <c r="D46" s="39" t="s">
        <v>93</v>
      </c>
      <c r="E46" s="39">
        <v>8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t="str">
        <f t="shared" si="0"/>
        <v>Summer</v>
      </c>
      <c r="AE46" t="str">
        <f>INDEX('Category Mapping'!$B$2:$B$25,MATCH('Source Data'!A46,'Category Mapping'!$A$2:$A$25,0))</f>
        <v>Weekend</v>
      </c>
      <c r="AF46" t="str">
        <f>INDEX('Category Mapping'!$C$2:$C$25,MATCH('Source Data'!A46,'Category Mapping'!$A$2:$A$25,0))</f>
        <v>Residential</v>
      </c>
      <c r="AG46" t="str">
        <f>INDEX('Category Mapping'!$D$2:$D$25,MATCH('Source Data'!A46,'Category Mapping'!$A$2:$A$25,0))</f>
        <v>Heating</v>
      </c>
    </row>
    <row r="47" spans="1:33" x14ac:dyDescent="0.3">
      <c r="A47" s="45" t="s">
        <v>96</v>
      </c>
      <c r="B47" s="45">
        <v>2019</v>
      </c>
      <c r="C47" s="45">
        <v>3</v>
      </c>
      <c r="D47" s="45" t="s">
        <v>93</v>
      </c>
      <c r="E47" s="45">
        <v>9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P47" s="46">
        <v>0</v>
      </c>
      <c r="Q47" s="46">
        <v>0</v>
      </c>
      <c r="R47" s="46">
        <v>0</v>
      </c>
      <c r="S47" s="46">
        <v>0</v>
      </c>
      <c r="T47" s="46">
        <v>0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t="str">
        <f t="shared" si="0"/>
        <v>Fall</v>
      </c>
      <c r="AE47" t="str">
        <f>INDEX('Category Mapping'!$B$2:$B$25,MATCH('Source Data'!A47,'Category Mapping'!$A$2:$A$25,0))</f>
        <v>Weekend</v>
      </c>
      <c r="AF47" t="str">
        <f>INDEX('Category Mapping'!$C$2:$C$25,MATCH('Source Data'!A47,'Category Mapping'!$A$2:$A$25,0))</f>
        <v>Residential</v>
      </c>
      <c r="AG47" t="str">
        <f>INDEX('Category Mapping'!$D$2:$D$25,MATCH('Source Data'!A47,'Category Mapping'!$A$2:$A$25,0))</f>
        <v>Heating</v>
      </c>
    </row>
    <row r="48" spans="1:33" x14ac:dyDescent="0.3">
      <c r="A48" s="39" t="s">
        <v>96</v>
      </c>
      <c r="B48" s="39">
        <v>2019</v>
      </c>
      <c r="C48" s="39">
        <v>3</v>
      </c>
      <c r="D48" s="39" t="s">
        <v>93</v>
      </c>
      <c r="E48" s="39">
        <v>10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t="str">
        <f t="shared" si="0"/>
        <v>Fall</v>
      </c>
      <c r="AE48" t="str">
        <f>INDEX('Category Mapping'!$B$2:$B$25,MATCH('Source Data'!A48,'Category Mapping'!$A$2:$A$25,0))</f>
        <v>Weekend</v>
      </c>
      <c r="AF48" t="str">
        <f>INDEX('Category Mapping'!$C$2:$C$25,MATCH('Source Data'!A48,'Category Mapping'!$A$2:$A$25,0))</f>
        <v>Residential</v>
      </c>
      <c r="AG48" t="str">
        <f>INDEX('Category Mapping'!$D$2:$D$25,MATCH('Source Data'!A48,'Category Mapping'!$A$2:$A$25,0))</f>
        <v>Heating</v>
      </c>
    </row>
    <row r="49" spans="1:33" x14ac:dyDescent="0.3">
      <c r="A49" s="45" t="s">
        <v>96</v>
      </c>
      <c r="B49" s="45">
        <v>2019</v>
      </c>
      <c r="C49" s="45">
        <v>3</v>
      </c>
      <c r="D49" s="45" t="s">
        <v>93</v>
      </c>
      <c r="E49" s="45">
        <v>11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t="str">
        <f t="shared" si="0"/>
        <v>Winter</v>
      </c>
      <c r="AE49" t="str">
        <f>INDEX('Category Mapping'!$B$2:$B$25,MATCH('Source Data'!A49,'Category Mapping'!$A$2:$A$25,0))</f>
        <v>Weekend</v>
      </c>
      <c r="AF49" t="str">
        <f>INDEX('Category Mapping'!$C$2:$C$25,MATCH('Source Data'!A49,'Category Mapping'!$A$2:$A$25,0))</f>
        <v>Residential</v>
      </c>
      <c r="AG49" t="str">
        <f>INDEX('Category Mapping'!$D$2:$D$25,MATCH('Source Data'!A49,'Category Mapping'!$A$2:$A$25,0))</f>
        <v>Heating</v>
      </c>
    </row>
    <row r="50" spans="1:33" x14ac:dyDescent="0.3">
      <c r="A50" s="39" t="s">
        <v>96</v>
      </c>
      <c r="B50" s="39">
        <v>2019</v>
      </c>
      <c r="C50" s="39">
        <v>3</v>
      </c>
      <c r="D50" s="39" t="s">
        <v>93</v>
      </c>
      <c r="E50" s="39">
        <v>12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0</v>
      </c>
      <c r="V50" s="47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t="str">
        <f t="shared" si="0"/>
        <v>Winter</v>
      </c>
      <c r="AE50" t="str">
        <f>INDEX('Category Mapping'!$B$2:$B$25,MATCH('Source Data'!A50,'Category Mapping'!$A$2:$A$25,0))</f>
        <v>Weekend</v>
      </c>
      <c r="AF50" t="str">
        <f>INDEX('Category Mapping'!$C$2:$C$25,MATCH('Source Data'!A50,'Category Mapping'!$A$2:$A$25,0))</f>
        <v>Residential</v>
      </c>
      <c r="AG50" t="str">
        <f>INDEX('Category Mapping'!$D$2:$D$25,MATCH('Source Data'!A50,'Category Mapping'!$A$2:$A$25,0))</f>
        <v>Heating</v>
      </c>
    </row>
    <row r="51" spans="1:33" x14ac:dyDescent="0.3">
      <c r="A51" s="45" t="s">
        <v>97</v>
      </c>
      <c r="B51" s="45">
        <v>2019</v>
      </c>
      <c r="C51" s="45">
        <v>3</v>
      </c>
      <c r="D51" s="45" t="s">
        <v>93</v>
      </c>
      <c r="E51" s="45">
        <v>1</v>
      </c>
      <c r="F51" s="46">
        <v>18200000</v>
      </c>
      <c r="G51" s="46">
        <v>16800000</v>
      </c>
      <c r="H51" s="46">
        <v>16600000</v>
      </c>
      <c r="I51" s="46">
        <v>17000000</v>
      </c>
      <c r="J51" s="46">
        <v>21800000</v>
      </c>
      <c r="K51" s="46">
        <v>37600000</v>
      </c>
      <c r="L51" s="46">
        <v>54900000</v>
      </c>
      <c r="M51" s="46">
        <v>24300000</v>
      </c>
      <c r="N51" s="46">
        <v>16700000</v>
      </c>
      <c r="O51" s="46">
        <v>16000000</v>
      </c>
      <c r="P51" s="46">
        <v>16300000</v>
      </c>
      <c r="Q51" s="46">
        <v>17900000</v>
      </c>
      <c r="R51" s="46">
        <v>18800000</v>
      </c>
      <c r="S51" s="46">
        <v>19100000</v>
      </c>
      <c r="T51" s="46">
        <v>19600000</v>
      </c>
      <c r="U51" s="46">
        <v>21200000</v>
      </c>
      <c r="V51" s="46">
        <v>33000000</v>
      </c>
      <c r="W51" s="46">
        <v>84000000</v>
      </c>
      <c r="X51" s="46">
        <v>92000000</v>
      </c>
      <c r="Y51" s="46">
        <v>99000000</v>
      </c>
      <c r="Z51" s="46">
        <v>101000000</v>
      </c>
      <c r="AA51" s="46">
        <v>82300000</v>
      </c>
      <c r="AB51" s="46">
        <v>48900000</v>
      </c>
      <c r="AC51" s="46">
        <v>25700000</v>
      </c>
      <c r="AD51" t="str">
        <f t="shared" si="0"/>
        <v>Winter</v>
      </c>
      <c r="AE51" t="str">
        <f>INDEX('Category Mapping'!$B$2:$B$25,MATCH('Source Data'!A51,'Category Mapping'!$A$2:$A$25,0))</f>
        <v>Weekday</v>
      </c>
      <c r="AF51" t="str">
        <f>INDEX('Category Mapping'!$C$2:$C$25,MATCH('Source Data'!A51,'Category Mapping'!$A$2:$A$25,0))</f>
        <v>Residential</v>
      </c>
      <c r="AG51" t="str">
        <f>INDEX('Category Mapping'!$D$2:$D$25,MATCH('Source Data'!A51,'Category Mapping'!$A$2:$A$25,0))</f>
        <v>Lighting</v>
      </c>
    </row>
    <row r="52" spans="1:33" x14ac:dyDescent="0.3">
      <c r="A52" s="39" t="s">
        <v>97</v>
      </c>
      <c r="B52" s="39">
        <v>2019</v>
      </c>
      <c r="C52" s="39">
        <v>3</v>
      </c>
      <c r="D52" s="39" t="s">
        <v>93</v>
      </c>
      <c r="E52" s="39">
        <v>2</v>
      </c>
      <c r="F52" s="47">
        <v>17700000</v>
      </c>
      <c r="G52" s="47">
        <v>16300000</v>
      </c>
      <c r="H52" s="47">
        <v>16100000</v>
      </c>
      <c r="I52" s="47">
        <v>16500000</v>
      </c>
      <c r="J52" s="47">
        <v>21200000</v>
      </c>
      <c r="K52" s="47">
        <v>36400000</v>
      </c>
      <c r="L52" s="47">
        <v>53200000</v>
      </c>
      <c r="M52" s="47">
        <v>20200000</v>
      </c>
      <c r="N52" s="47">
        <v>16200000</v>
      </c>
      <c r="O52" s="47">
        <v>15600000</v>
      </c>
      <c r="P52" s="47">
        <v>15800000</v>
      </c>
      <c r="Q52" s="47">
        <v>17300000</v>
      </c>
      <c r="R52" s="47">
        <v>18300000</v>
      </c>
      <c r="S52" s="47">
        <v>18500000</v>
      </c>
      <c r="T52" s="47">
        <v>19000000</v>
      </c>
      <c r="U52" s="47">
        <v>20500000</v>
      </c>
      <c r="V52" s="47">
        <v>27300000</v>
      </c>
      <c r="W52" s="47">
        <v>81500000</v>
      </c>
      <c r="X52" s="47">
        <v>89200000</v>
      </c>
      <c r="Y52" s="47">
        <v>96000000</v>
      </c>
      <c r="Z52" s="47">
        <v>97500000</v>
      </c>
      <c r="AA52" s="47">
        <v>79800000</v>
      </c>
      <c r="AB52" s="47">
        <v>47400000</v>
      </c>
      <c r="AC52" s="47">
        <v>24900000</v>
      </c>
      <c r="AD52" t="str">
        <f t="shared" si="0"/>
        <v>Winter</v>
      </c>
      <c r="AE52" t="str">
        <f>INDEX('Category Mapping'!$B$2:$B$25,MATCH('Source Data'!A52,'Category Mapping'!$A$2:$A$25,0))</f>
        <v>Weekday</v>
      </c>
      <c r="AF52" t="str">
        <f>INDEX('Category Mapping'!$C$2:$C$25,MATCH('Source Data'!A52,'Category Mapping'!$A$2:$A$25,0))</f>
        <v>Residential</v>
      </c>
      <c r="AG52" t="str">
        <f>INDEX('Category Mapping'!$D$2:$D$25,MATCH('Source Data'!A52,'Category Mapping'!$A$2:$A$25,0))</f>
        <v>Lighting</v>
      </c>
    </row>
    <row r="53" spans="1:33" x14ac:dyDescent="0.3">
      <c r="A53" s="45" t="s">
        <v>97</v>
      </c>
      <c r="B53" s="45">
        <v>2019</v>
      </c>
      <c r="C53" s="45">
        <v>3</v>
      </c>
      <c r="D53" s="45" t="s">
        <v>93</v>
      </c>
      <c r="E53" s="45">
        <v>3</v>
      </c>
      <c r="F53" s="46">
        <v>17200000</v>
      </c>
      <c r="G53" s="46">
        <v>15800000</v>
      </c>
      <c r="H53" s="46">
        <v>15700000</v>
      </c>
      <c r="I53" s="46">
        <v>16000000</v>
      </c>
      <c r="J53" s="46">
        <v>20600000</v>
      </c>
      <c r="K53" s="46">
        <v>35500000</v>
      </c>
      <c r="L53" s="46">
        <v>47000000</v>
      </c>
      <c r="M53" s="46">
        <v>16700000</v>
      </c>
      <c r="N53" s="46">
        <v>15700000</v>
      </c>
      <c r="O53" s="46">
        <v>15100000</v>
      </c>
      <c r="P53" s="46">
        <v>15400000</v>
      </c>
      <c r="Q53" s="46">
        <v>16900000</v>
      </c>
      <c r="R53" s="46">
        <v>17800000</v>
      </c>
      <c r="S53" s="46">
        <v>18000000</v>
      </c>
      <c r="T53" s="46">
        <v>18500000</v>
      </c>
      <c r="U53" s="46">
        <v>20000000</v>
      </c>
      <c r="V53" s="46">
        <v>22700000</v>
      </c>
      <c r="W53" s="46">
        <v>71900000</v>
      </c>
      <c r="X53" s="46">
        <v>86800000</v>
      </c>
      <c r="Y53" s="46">
        <v>93400000</v>
      </c>
      <c r="Z53" s="46">
        <v>94900000</v>
      </c>
      <c r="AA53" s="46">
        <v>77700000</v>
      </c>
      <c r="AB53" s="46">
        <v>46100000</v>
      </c>
      <c r="AC53" s="46">
        <v>24300000</v>
      </c>
      <c r="AD53" t="str">
        <f t="shared" si="0"/>
        <v>Spring</v>
      </c>
      <c r="AE53" t="str">
        <f>INDEX('Category Mapping'!$B$2:$B$25,MATCH('Source Data'!A53,'Category Mapping'!$A$2:$A$25,0))</f>
        <v>Weekday</v>
      </c>
      <c r="AF53" t="str">
        <f>INDEX('Category Mapping'!$C$2:$C$25,MATCH('Source Data'!A53,'Category Mapping'!$A$2:$A$25,0))</f>
        <v>Residential</v>
      </c>
      <c r="AG53" t="str">
        <f>INDEX('Category Mapping'!$D$2:$D$25,MATCH('Source Data'!A53,'Category Mapping'!$A$2:$A$25,0))</f>
        <v>Lighting</v>
      </c>
    </row>
    <row r="54" spans="1:33" x14ac:dyDescent="0.3">
      <c r="A54" s="39" t="s">
        <v>97</v>
      </c>
      <c r="B54" s="39">
        <v>2019</v>
      </c>
      <c r="C54" s="39">
        <v>3</v>
      </c>
      <c r="D54" s="39" t="s">
        <v>93</v>
      </c>
      <c r="E54" s="39">
        <v>4</v>
      </c>
      <c r="F54" s="47">
        <v>17200000</v>
      </c>
      <c r="G54" s="47">
        <v>15900000</v>
      </c>
      <c r="H54" s="47">
        <v>15700000</v>
      </c>
      <c r="I54" s="47">
        <v>16100000</v>
      </c>
      <c r="J54" s="47">
        <v>20700000</v>
      </c>
      <c r="K54" s="47">
        <v>35500000</v>
      </c>
      <c r="L54" s="47">
        <v>31300000</v>
      </c>
      <c r="M54" s="47">
        <v>16100000</v>
      </c>
      <c r="N54" s="47">
        <v>15800000</v>
      </c>
      <c r="O54" s="47">
        <v>15200000</v>
      </c>
      <c r="P54" s="47">
        <v>15400000</v>
      </c>
      <c r="Q54" s="47">
        <v>16900000</v>
      </c>
      <c r="R54" s="47">
        <v>17800000</v>
      </c>
      <c r="S54" s="47">
        <v>18100000</v>
      </c>
      <c r="T54" s="47">
        <v>18500000</v>
      </c>
      <c r="U54" s="47">
        <v>20000000</v>
      </c>
      <c r="V54" s="47">
        <v>21800000</v>
      </c>
      <c r="W54" s="47">
        <v>47800000</v>
      </c>
      <c r="X54" s="47">
        <v>87000000</v>
      </c>
      <c r="Y54" s="47">
        <v>93600000</v>
      </c>
      <c r="Z54" s="47">
        <v>95100000</v>
      </c>
      <c r="AA54" s="47">
        <v>77800000</v>
      </c>
      <c r="AB54" s="47">
        <v>46300000</v>
      </c>
      <c r="AC54" s="47">
        <v>24300000</v>
      </c>
      <c r="AD54" t="str">
        <f t="shared" si="0"/>
        <v>Spring</v>
      </c>
      <c r="AE54" t="str">
        <f>INDEX('Category Mapping'!$B$2:$B$25,MATCH('Source Data'!A54,'Category Mapping'!$A$2:$A$25,0))</f>
        <v>Weekday</v>
      </c>
      <c r="AF54" t="str">
        <f>INDEX('Category Mapping'!$C$2:$C$25,MATCH('Source Data'!A54,'Category Mapping'!$A$2:$A$25,0))</f>
        <v>Residential</v>
      </c>
      <c r="AG54" t="str">
        <f>INDEX('Category Mapping'!$D$2:$D$25,MATCH('Source Data'!A54,'Category Mapping'!$A$2:$A$25,0))</f>
        <v>Lighting</v>
      </c>
    </row>
    <row r="55" spans="1:33" x14ac:dyDescent="0.3">
      <c r="A55" s="45" t="s">
        <v>97</v>
      </c>
      <c r="B55" s="45">
        <v>2019</v>
      </c>
      <c r="C55" s="45">
        <v>3</v>
      </c>
      <c r="D55" s="45" t="s">
        <v>93</v>
      </c>
      <c r="E55" s="45">
        <v>5</v>
      </c>
      <c r="F55" s="46">
        <v>16900000</v>
      </c>
      <c r="G55" s="46">
        <v>15600000</v>
      </c>
      <c r="H55" s="46">
        <v>15400000</v>
      </c>
      <c r="I55" s="46">
        <v>15800000</v>
      </c>
      <c r="J55" s="46">
        <v>20300000</v>
      </c>
      <c r="K55" s="46">
        <v>34900000</v>
      </c>
      <c r="L55" s="46">
        <v>24300000</v>
      </c>
      <c r="M55" s="46">
        <v>15800000</v>
      </c>
      <c r="N55" s="46">
        <v>15500000</v>
      </c>
      <c r="O55" s="46">
        <v>14900000</v>
      </c>
      <c r="P55" s="46">
        <v>15100000</v>
      </c>
      <c r="Q55" s="46">
        <v>16600000</v>
      </c>
      <c r="R55" s="46">
        <v>17500000</v>
      </c>
      <c r="S55" s="46">
        <v>17700000</v>
      </c>
      <c r="T55" s="46">
        <v>18200000</v>
      </c>
      <c r="U55" s="46">
        <v>19700000</v>
      </c>
      <c r="V55" s="46">
        <v>21400000</v>
      </c>
      <c r="W55" s="46">
        <v>37200000</v>
      </c>
      <c r="X55" s="46">
        <v>85300000</v>
      </c>
      <c r="Y55" s="46">
        <v>91800000</v>
      </c>
      <c r="Z55" s="46">
        <v>93300000</v>
      </c>
      <c r="AA55" s="46">
        <v>76400000</v>
      </c>
      <c r="AB55" s="46">
        <v>45400000</v>
      </c>
      <c r="AC55" s="46">
        <v>23900000</v>
      </c>
      <c r="AD55" t="str">
        <f t="shared" si="0"/>
        <v>Spring</v>
      </c>
      <c r="AE55" t="str">
        <f>INDEX('Category Mapping'!$B$2:$B$25,MATCH('Source Data'!A55,'Category Mapping'!$A$2:$A$25,0))</f>
        <v>Weekday</v>
      </c>
      <c r="AF55" t="str">
        <f>INDEX('Category Mapping'!$C$2:$C$25,MATCH('Source Data'!A55,'Category Mapping'!$A$2:$A$25,0))</f>
        <v>Residential</v>
      </c>
      <c r="AG55" t="str">
        <f>INDEX('Category Mapping'!$D$2:$D$25,MATCH('Source Data'!A55,'Category Mapping'!$A$2:$A$25,0))</f>
        <v>Lighting</v>
      </c>
    </row>
    <row r="56" spans="1:33" x14ac:dyDescent="0.3">
      <c r="A56" s="39" t="s">
        <v>97</v>
      </c>
      <c r="B56" s="39">
        <v>2019</v>
      </c>
      <c r="C56" s="39">
        <v>3</v>
      </c>
      <c r="D56" s="39" t="s">
        <v>93</v>
      </c>
      <c r="E56" s="39">
        <v>6</v>
      </c>
      <c r="F56" s="47">
        <v>16700000</v>
      </c>
      <c r="G56" s="47">
        <v>15400000</v>
      </c>
      <c r="H56" s="47">
        <v>15200000</v>
      </c>
      <c r="I56" s="47">
        <v>15600000</v>
      </c>
      <c r="J56" s="47">
        <v>20000000</v>
      </c>
      <c r="K56" s="47">
        <v>34400000</v>
      </c>
      <c r="L56" s="47">
        <v>21800000</v>
      </c>
      <c r="M56" s="47">
        <v>15600000</v>
      </c>
      <c r="N56" s="47">
        <v>15300000</v>
      </c>
      <c r="O56" s="47">
        <v>14700000</v>
      </c>
      <c r="P56" s="47">
        <v>14900000</v>
      </c>
      <c r="Q56" s="47">
        <v>16400000</v>
      </c>
      <c r="R56" s="47">
        <v>17200000</v>
      </c>
      <c r="S56" s="47">
        <v>17500000</v>
      </c>
      <c r="T56" s="47">
        <v>17900000</v>
      </c>
      <c r="U56" s="47">
        <v>19400000</v>
      </c>
      <c r="V56" s="47">
        <v>21100000</v>
      </c>
      <c r="W56" s="47">
        <v>33300000</v>
      </c>
      <c r="X56" s="47">
        <v>84200000</v>
      </c>
      <c r="Y56" s="47">
        <v>90600000</v>
      </c>
      <c r="Z56" s="47">
        <v>92100000</v>
      </c>
      <c r="AA56" s="47">
        <v>75400000</v>
      </c>
      <c r="AB56" s="47">
        <v>44800000</v>
      </c>
      <c r="AC56" s="47">
        <v>23600000</v>
      </c>
      <c r="AD56" t="str">
        <f t="shared" si="0"/>
        <v>Summer</v>
      </c>
      <c r="AE56" t="str">
        <f>INDEX('Category Mapping'!$B$2:$B$25,MATCH('Source Data'!A56,'Category Mapping'!$A$2:$A$25,0))</f>
        <v>Weekday</v>
      </c>
      <c r="AF56" t="str">
        <f>INDEX('Category Mapping'!$C$2:$C$25,MATCH('Source Data'!A56,'Category Mapping'!$A$2:$A$25,0))</f>
        <v>Residential</v>
      </c>
      <c r="AG56" t="str">
        <f>INDEX('Category Mapping'!$D$2:$D$25,MATCH('Source Data'!A56,'Category Mapping'!$A$2:$A$25,0))</f>
        <v>Lighting</v>
      </c>
    </row>
    <row r="57" spans="1:33" x14ac:dyDescent="0.3">
      <c r="A57" s="45" t="s">
        <v>97</v>
      </c>
      <c r="B57" s="45">
        <v>2019</v>
      </c>
      <c r="C57" s="45">
        <v>3</v>
      </c>
      <c r="D57" s="45" t="s">
        <v>93</v>
      </c>
      <c r="E57" s="45">
        <v>7</v>
      </c>
      <c r="F57" s="46">
        <v>16700000</v>
      </c>
      <c r="G57" s="46">
        <v>15400000</v>
      </c>
      <c r="H57" s="46">
        <v>15300000</v>
      </c>
      <c r="I57" s="46">
        <v>15600000</v>
      </c>
      <c r="J57" s="46">
        <v>20100000</v>
      </c>
      <c r="K57" s="46">
        <v>34600000</v>
      </c>
      <c r="L57" s="46">
        <v>22500000</v>
      </c>
      <c r="M57" s="46">
        <v>15700000</v>
      </c>
      <c r="N57" s="46">
        <v>15300000</v>
      </c>
      <c r="O57" s="46">
        <v>14800000</v>
      </c>
      <c r="P57" s="46">
        <v>15000000</v>
      </c>
      <c r="Q57" s="46">
        <v>16400000</v>
      </c>
      <c r="R57" s="46">
        <v>17300000</v>
      </c>
      <c r="S57" s="46">
        <v>17600000</v>
      </c>
      <c r="T57" s="46">
        <v>18000000</v>
      </c>
      <c r="U57" s="46">
        <v>19500000</v>
      </c>
      <c r="V57" s="46">
        <v>21200000</v>
      </c>
      <c r="W57" s="46">
        <v>34400000</v>
      </c>
      <c r="X57" s="46">
        <v>84600000</v>
      </c>
      <c r="Y57" s="46">
        <v>91000000</v>
      </c>
      <c r="Z57" s="46">
        <v>92500000</v>
      </c>
      <c r="AA57" s="46">
        <v>75700000</v>
      </c>
      <c r="AB57" s="46">
        <v>45000000</v>
      </c>
      <c r="AC57" s="46">
        <v>23700000</v>
      </c>
      <c r="AD57" t="str">
        <f t="shared" si="0"/>
        <v>Summer</v>
      </c>
      <c r="AE57" t="str">
        <f>INDEX('Category Mapping'!$B$2:$B$25,MATCH('Source Data'!A57,'Category Mapping'!$A$2:$A$25,0))</f>
        <v>Weekday</v>
      </c>
      <c r="AF57" t="str">
        <f>INDEX('Category Mapping'!$C$2:$C$25,MATCH('Source Data'!A57,'Category Mapping'!$A$2:$A$25,0))</f>
        <v>Residential</v>
      </c>
      <c r="AG57" t="str">
        <f>INDEX('Category Mapping'!$D$2:$D$25,MATCH('Source Data'!A57,'Category Mapping'!$A$2:$A$25,0))</f>
        <v>Lighting</v>
      </c>
    </row>
    <row r="58" spans="1:33" x14ac:dyDescent="0.3">
      <c r="A58" s="39" t="s">
        <v>97</v>
      </c>
      <c r="B58" s="39">
        <v>2019</v>
      </c>
      <c r="C58" s="39">
        <v>3</v>
      </c>
      <c r="D58" s="39" t="s">
        <v>93</v>
      </c>
      <c r="E58" s="39">
        <v>8</v>
      </c>
      <c r="F58" s="47">
        <v>17000000</v>
      </c>
      <c r="G58" s="47">
        <v>15700000</v>
      </c>
      <c r="H58" s="47">
        <v>15600000</v>
      </c>
      <c r="I58" s="47">
        <v>15900000</v>
      </c>
      <c r="J58" s="47">
        <v>20500000</v>
      </c>
      <c r="K58" s="47">
        <v>35200000</v>
      </c>
      <c r="L58" s="47">
        <v>26800000</v>
      </c>
      <c r="M58" s="47">
        <v>15900000</v>
      </c>
      <c r="N58" s="47">
        <v>15600000</v>
      </c>
      <c r="O58" s="47">
        <v>15000000</v>
      </c>
      <c r="P58" s="47">
        <v>15300000</v>
      </c>
      <c r="Q58" s="47">
        <v>16700000</v>
      </c>
      <c r="R58" s="47">
        <v>17600000</v>
      </c>
      <c r="S58" s="47">
        <v>17900000</v>
      </c>
      <c r="T58" s="47">
        <v>18300000</v>
      </c>
      <c r="U58" s="47">
        <v>19800000</v>
      </c>
      <c r="V58" s="47">
        <v>21600000</v>
      </c>
      <c r="W58" s="47">
        <v>41000000</v>
      </c>
      <c r="X58" s="47">
        <v>86100000</v>
      </c>
      <c r="Y58" s="47">
        <v>92700000</v>
      </c>
      <c r="Z58" s="47">
        <v>94100000</v>
      </c>
      <c r="AA58" s="47">
        <v>77100000</v>
      </c>
      <c r="AB58" s="47">
        <v>45800000</v>
      </c>
      <c r="AC58" s="47">
        <v>24100000</v>
      </c>
      <c r="AD58" t="str">
        <f t="shared" si="0"/>
        <v>Summer</v>
      </c>
      <c r="AE58" t="str">
        <f>INDEX('Category Mapping'!$B$2:$B$25,MATCH('Source Data'!A58,'Category Mapping'!$A$2:$A$25,0))</f>
        <v>Weekday</v>
      </c>
      <c r="AF58" t="str">
        <f>INDEX('Category Mapping'!$C$2:$C$25,MATCH('Source Data'!A58,'Category Mapping'!$A$2:$A$25,0))</f>
        <v>Residential</v>
      </c>
      <c r="AG58" t="str">
        <f>INDEX('Category Mapping'!$D$2:$D$25,MATCH('Source Data'!A58,'Category Mapping'!$A$2:$A$25,0))</f>
        <v>Lighting</v>
      </c>
    </row>
    <row r="59" spans="1:33" x14ac:dyDescent="0.3">
      <c r="A59" s="45" t="s">
        <v>97</v>
      </c>
      <c r="B59" s="45">
        <v>2019</v>
      </c>
      <c r="C59" s="45">
        <v>3</v>
      </c>
      <c r="D59" s="45" t="s">
        <v>93</v>
      </c>
      <c r="E59" s="45">
        <v>9</v>
      </c>
      <c r="F59" s="46">
        <v>17300000</v>
      </c>
      <c r="G59" s="46">
        <v>15900000</v>
      </c>
      <c r="H59" s="46">
        <v>15800000</v>
      </c>
      <c r="I59" s="46">
        <v>16100000</v>
      </c>
      <c r="J59" s="46">
        <v>20800000</v>
      </c>
      <c r="K59" s="46">
        <v>35700000</v>
      </c>
      <c r="L59" s="46">
        <v>36600000</v>
      </c>
      <c r="M59" s="46">
        <v>16200000</v>
      </c>
      <c r="N59" s="46">
        <v>15800000</v>
      </c>
      <c r="O59" s="46">
        <v>15200000</v>
      </c>
      <c r="P59" s="46">
        <v>15500000</v>
      </c>
      <c r="Q59" s="46">
        <v>17000000</v>
      </c>
      <c r="R59" s="46">
        <v>17900000</v>
      </c>
      <c r="S59" s="46">
        <v>18100000</v>
      </c>
      <c r="T59" s="46">
        <v>18600000</v>
      </c>
      <c r="U59" s="46">
        <v>20100000</v>
      </c>
      <c r="V59" s="46">
        <v>21900000</v>
      </c>
      <c r="W59" s="46">
        <v>56000000</v>
      </c>
      <c r="X59" s="46">
        <v>87400000</v>
      </c>
      <c r="Y59" s="46">
        <v>94000000</v>
      </c>
      <c r="Z59" s="46">
        <v>95500000</v>
      </c>
      <c r="AA59" s="46">
        <v>78200000</v>
      </c>
      <c r="AB59" s="46">
        <v>46500000</v>
      </c>
      <c r="AC59" s="46">
        <v>24400000</v>
      </c>
      <c r="AD59" t="str">
        <f t="shared" si="0"/>
        <v>Fall</v>
      </c>
      <c r="AE59" t="str">
        <f>INDEX('Category Mapping'!$B$2:$B$25,MATCH('Source Data'!A59,'Category Mapping'!$A$2:$A$25,0))</f>
        <v>Weekday</v>
      </c>
      <c r="AF59" t="str">
        <f>INDEX('Category Mapping'!$C$2:$C$25,MATCH('Source Data'!A59,'Category Mapping'!$A$2:$A$25,0))</f>
        <v>Residential</v>
      </c>
      <c r="AG59" t="str">
        <f>INDEX('Category Mapping'!$D$2:$D$25,MATCH('Source Data'!A59,'Category Mapping'!$A$2:$A$25,0))</f>
        <v>Lighting</v>
      </c>
    </row>
    <row r="60" spans="1:33" x14ac:dyDescent="0.3">
      <c r="A60" s="39" t="s">
        <v>97</v>
      </c>
      <c r="B60" s="39">
        <v>2019</v>
      </c>
      <c r="C60" s="39">
        <v>3</v>
      </c>
      <c r="D60" s="39" t="s">
        <v>93</v>
      </c>
      <c r="E60" s="39">
        <v>10</v>
      </c>
      <c r="F60" s="47">
        <v>17300000</v>
      </c>
      <c r="G60" s="47">
        <v>15900000</v>
      </c>
      <c r="H60" s="47">
        <v>15700000</v>
      </c>
      <c r="I60" s="47">
        <v>16100000</v>
      </c>
      <c r="J60" s="47">
        <v>20700000</v>
      </c>
      <c r="K60" s="47">
        <v>35600000</v>
      </c>
      <c r="L60" s="47">
        <v>52000000</v>
      </c>
      <c r="M60" s="47">
        <v>17900000</v>
      </c>
      <c r="N60" s="47">
        <v>15800000</v>
      </c>
      <c r="O60" s="47">
        <v>15200000</v>
      </c>
      <c r="P60" s="47">
        <v>15400000</v>
      </c>
      <c r="Q60" s="47">
        <v>16900000</v>
      </c>
      <c r="R60" s="47">
        <v>17800000</v>
      </c>
      <c r="S60" s="47">
        <v>18100000</v>
      </c>
      <c r="T60" s="47">
        <v>18600000</v>
      </c>
      <c r="U60" s="47">
        <v>20100000</v>
      </c>
      <c r="V60" s="47">
        <v>24300000</v>
      </c>
      <c r="W60" s="47">
        <v>79600000</v>
      </c>
      <c r="X60" s="47">
        <v>87100000</v>
      </c>
      <c r="Y60" s="47">
        <v>93800000</v>
      </c>
      <c r="Z60" s="47">
        <v>95300000</v>
      </c>
      <c r="AA60" s="47">
        <v>78000000</v>
      </c>
      <c r="AB60" s="47">
        <v>46300000</v>
      </c>
      <c r="AC60" s="47">
        <v>24400000</v>
      </c>
      <c r="AD60" t="str">
        <f t="shared" si="0"/>
        <v>Fall</v>
      </c>
      <c r="AE60" t="str">
        <f>INDEX('Category Mapping'!$B$2:$B$25,MATCH('Source Data'!A60,'Category Mapping'!$A$2:$A$25,0))</f>
        <v>Weekday</v>
      </c>
      <c r="AF60" t="str">
        <f>INDEX('Category Mapping'!$C$2:$C$25,MATCH('Source Data'!A60,'Category Mapping'!$A$2:$A$25,0))</f>
        <v>Residential</v>
      </c>
      <c r="AG60" t="str">
        <f>INDEX('Category Mapping'!$D$2:$D$25,MATCH('Source Data'!A60,'Category Mapping'!$A$2:$A$25,0))</f>
        <v>Lighting</v>
      </c>
    </row>
    <row r="61" spans="1:33" x14ac:dyDescent="0.3">
      <c r="A61" s="45" t="s">
        <v>97</v>
      </c>
      <c r="B61" s="45">
        <v>2019</v>
      </c>
      <c r="C61" s="45">
        <v>3</v>
      </c>
      <c r="D61" s="45" t="s">
        <v>93</v>
      </c>
      <c r="E61" s="45">
        <v>11</v>
      </c>
      <c r="F61" s="46">
        <v>17900000</v>
      </c>
      <c r="G61" s="46">
        <v>16500000</v>
      </c>
      <c r="H61" s="46">
        <v>16400000</v>
      </c>
      <c r="I61" s="46">
        <v>16700000</v>
      </c>
      <c r="J61" s="46">
        <v>21500000</v>
      </c>
      <c r="K61" s="46">
        <v>37000000</v>
      </c>
      <c r="L61" s="46">
        <v>54000000</v>
      </c>
      <c r="M61" s="46">
        <v>22000000</v>
      </c>
      <c r="N61" s="46">
        <v>16400000</v>
      </c>
      <c r="O61" s="46">
        <v>15800000</v>
      </c>
      <c r="P61" s="46">
        <v>16000000</v>
      </c>
      <c r="Q61" s="46">
        <v>17600000</v>
      </c>
      <c r="R61" s="46">
        <v>18500000</v>
      </c>
      <c r="S61" s="46">
        <v>18800000</v>
      </c>
      <c r="T61" s="46">
        <v>19300000</v>
      </c>
      <c r="U61" s="46">
        <v>20900000</v>
      </c>
      <c r="V61" s="46">
        <v>29800000</v>
      </c>
      <c r="W61" s="46">
        <v>82700000</v>
      </c>
      <c r="X61" s="46">
        <v>90500000</v>
      </c>
      <c r="Y61" s="46">
        <v>97500000</v>
      </c>
      <c r="Z61" s="46">
        <v>99000000</v>
      </c>
      <c r="AA61" s="46">
        <v>81000000</v>
      </c>
      <c r="AB61" s="46">
        <v>48200000</v>
      </c>
      <c r="AC61" s="46">
        <v>25300000</v>
      </c>
      <c r="AD61" t="str">
        <f t="shared" si="0"/>
        <v>Winter</v>
      </c>
      <c r="AE61" t="str">
        <f>INDEX('Category Mapping'!$B$2:$B$25,MATCH('Source Data'!A61,'Category Mapping'!$A$2:$A$25,0))</f>
        <v>Weekday</v>
      </c>
      <c r="AF61" t="str">
        <f>INDEX('Category Mapping'!$C$2:$C$25,MATCH('Source Data'!A61,'Category Mapping'!$A$2:$A$25,0))</f>
        <v>Residential</v>
      </c>
      <c r="AG61" t="str">
        <f>INDEX('Category Mapping'!$D$2:$D$25,MATCH('Source Data'!A61,'Category Mapping'!$A$2:$A$25,0))</f>
        <v>Lighting</v>
      </c>
    </row>
    <row r="62" spans="1:33" x14ac:dyDescent="0.3">
      <c r="A62" s="39" t="s">
        <v>97</v>
      </c>
      <c r="B62" s="39">
        <v>2019</v>
      </c>
      <c r="C62" s="39">
        <v>3</v>
      </c>
      <c r="D62" s="39" t="s">
        <v>93</v>
      </c>
      <c r="E62" s="39">
        <v>12</v>
      </c>
      <c r="F62" s="47">
        <v>18300000</v>
      </c>
      <c r="G62" s="47">
        <v>16900000</v>
      </c>
      <c r="H62" s="47">
        <v>16700000</v>
      </c>
      <c r="I62" s="47">
        <v>17100000</v>
      </c>
      <c r="J62" s="47">
        <v>22000000</v>
      </c>
      <c r="K62" s="47">
        <v>37800000</v>
      </c>
      <c r="L62" s="47">
        <v>55300000</v>
      </c>
      <c r="M62" s="47">
        <v>25500000</v>
      </c>
      <c r="N62" s="47">
        <v>16800000</v>
      </c>
      <c r="O62" s="47">
        <v>16100000</v>
      </c>
      <c r="P62" s="47">
        <v>16400000</v>
      </c>
      <c r="Q62" s="47">
        <v>18000000</v>
      </c>
      <c r="R62" s="47">
        <v>19000000</v>
      </c>
      <c r="S62" s="47">
        <v>19200000</v>
      </c>
      <c r="T62" s="47">
        <v>19700000</v>
      </c>
      <c r="U62" s="47">
        <v>21300000</v>
      </c>
      <c r="V62" s="47">
        <v>34600000</v>
      </c>
      <c r="W62" s="47">
        <v>84500000</v>
      </c>
      <c r="X62" s="47">
        <v>92600000</v>
      </c>
      <c r="Y62" s="47">
        <v>99600000</v>
      </c>
      <c r="Z62" s="47">
        <v>101000000</v>
      </c>
      <c r="AA62" s="47">
        <v>82900000</v>
      </c>
      <c r="AB62" s="47">
        <v>49200000</v>
      </c>
      <c r="AC62" s="47">
        <v>25900000</v>
      </c>
      <c r="AD62" t="str">
        <f t="shared" si="0"/>
        <v>Winter</v>
      </c>
      <c r="AE62" t="str">
        <f>INDEX('Category Mapping'!$B$2:$B$25,MATCH('Source Data'!A62,'Category Mapping'!$A$2:$A$25,0))</f>
        <v>Weekday</v>
      </c>
      <c r="AF62" t="str">
        <f>INDEX('Category Mapping'!$C$2:$C$25,MATCH('Source Data'!A62,'Category Mapping'!$A$2:$A$25,0))</f>
        <v>Residential</v>
      </c>
      <c r="AG62" t="str">
        <f>INDEX('Category Mapping'!$D$2:$D$25,MATCH('Source Data'!A62,'Category Mapping'!$A$2:$A$25,0))</f>
        <v>Lighting</v>
      </c>
    </row>
    <row r="63" spans="1:33" x14ac:dyDescent="0.3">
      <c r="A63" s="45" t="s">
        <v>98</v>
      </c>
      <c r="B63" s="45">
        <v>2019</v>
      </c>
      <c r="C63" s="45">
        <v>3</v>
      </c>
      <c r="D63" s="45" t="s">
        <v>93</v>
      </c>
      <c r="E63" s="45">
        <v>1</v>
      </c>
      <c r="F63" s="46">
        <v>10800000</v>
      </c>
      <c r="G63" s="46">
        <v>9359413</v>
      </c>
      <c r="H63" s="46">
        <v>9039509</v>
      </c>
      <c r="I63" s="46">
        <v>9031880</v>
      </c>
      <c r="J63" s="46">
        <v>9506920</v>
      </c>
      <c r="K63" s="46">
        <v>12300000</v>
      </c>
      <c r="L63" s="46">
        <v>21300000</v>
      </c>
      <c r="M63" s="46">
        <v>14100000</v>
      </c>
      <c r="N63" s="46">
        <v>12000000</v>
      </c>
      <c r="O63" s="46">
        <v>12400000</v>
      </c>
      <c r="P63" s="46">
        <v>12500000</v>
      </c>
      <c r="Q63" s="46">
        <v>13300000</v>
      </c>
      <c r="R63" s="46">
        <v>13700000</v>
      </c>
      <c r="S63" s="46">
        <v>13700000</v>
      </c>
      <c r="T63" s="46">
        <v>13600000</v>
      </c>
      <c r="U63" s="46">
        <v>13600000</v>
      </c>
      <c r="V63" s="46">
        <v>20000000</v>
      </c>
      <c r="W63" s="46">
        <v>48900000</v>
      </c>
      <c r="X63" s="46">
        <v>51700000</v>
      </c>
      <c r="Y63" s="46">
        <v>54100000</v>
      </c>
      <c r="Z63" s="46">
        <v>53800000</v>
      </c>
      <c r="AA63" s="46">
        <v>44500000</v>
      </c>
      <c r="AB63" s="46">
        <v>28700000</v>
      </c>
      <c r="AC63" s="46">
        <v>16100000</v>
      </c>
      <c r="AD63" t="str">
        <f t="shared" si="0"/>
        <v>Winter</v>
      </c>
      <c r="AE63" t="str">
        <f>INDEX('Category Mapping'!$B$2:$B$25,MATCH('Source Data'!A63,'Category Mapping'!$A$2:$A$25,0))</f>
        <v>Weekend</v>
      </c>
      <c r="AF63" t="str">
        <f>INDEX('Category Mapping'!$C$2:$C$25,MATCH('Source Data'!A63,'Category Mapping'!$A$2:$A$25,0))</f>
        <v>Residential</v>
      </c>
      <c r="AG63" t="str">
        <f>INDEX('Category Mapping'!$D$2:$D$25,MATCH('Source Data'!A63,'Category Mapping'!$A$2:$A$25,0))</f>
        <v>Lighting</v>
      </c>
    </row>
    <row r="64" spans="1:33" x14ac:dyDescent="0.3">
      <c r="A64" s="39" t="s">
        <v>98</v>
      </c>
      <c r="B64" s="39">
        <v>2019</v>
      </c>
      <c r="C64" s="39">
        <v>3</v>
      </c>
      <c r="D64" s="39" t="s">
        <v>93</v>
      </c>
      <c r="E64" s="39">
        <v>2</v>
      </c>
      <c r="F64" s="47">
        <v>10500000</v>
      </c>
      <c r="G64" s="47">
        <v>9081323</v>
      </c>
      <c r="H64" s="47">
        <v>8770925</v>
      </c>
      <c r="I64" s="47">
        <v>8763522</v>
      </c>
      <c r="J64" s="47">
        <v>9224447</v>
      </c>
      <c r="K64" s="47">
        <v>12000000</v>
      </c>
      <c r="L64" s="47">
        <v>20600000</v>
      </c>
      <c r="M64" s="47">
        <v>11700000</v>
      </c>
      <c r="N64" s="47">
        <v>11600000</v>
      </c>
      <c r="O64" s="47">
        <v>12100000</v>
      </c>
      <c r="P64" s="47">
        <v>12100000</v>
      </c>
      <c r="Q64" s="47">
        <v>12900000</v>
      </c>
      <c r="R64" s="47">
        <v>13300000</v>
      </c>
      <c r="S64" s="47">
        <v>13300000</v>
      </c>
      <c r="T64" s="47">
        <v>13200000</v>
      </c>
      <c r="U64" s="47">
        <v>13200000</v>
      </c>
      <c r="V64" s="47">
        <v>16600000</v>
      </c>
      <c r="W64" s="47">
        <v>47500000</v>
      </c>
      <c r="X64" s="47">
        <v>50100000</v>
      </c>
      <c r="Y64" s="47">
        <v>52500000</v>
      </c>
      <c r="Z64" s="47">
        <v>52200000</v>
      </c>
      <c r="AA64" s="47">
        <v>43200000</v>
      </c>
      <c r="AB64" s="47">
        <v>27900000</v>
      </c>
      <c r="AC64" s="47">
        <v>15600000</v>
      </c>
      <c r="AD64" t="str">
        <f t="shared" si="0"/>
        <v>Winter</v>
      </c>
      <c r="AE64" t="str">
        <f>INDEX('Category Mapping'!$B$2:$B$25,MATCH('Source Data'!A64,'Category Mapping'!$A$2:$A$25,0))</f>
        <v>Weekend</v>
      </c>
      <c r="AF64" t="str">
        <f>INDEX('Category Mapping'!$C$2:$C$25,MATCH('Source Data'!A64,'Category Mapping'!$A$2:$A$25,0))</f>
        <v>Residential</v>
      </c>
      <c r="AG64" t="str">
        <f>INDEX('Category Mapping'!$D$2:$D$25,MATCH('Source Data'!A64,'Category Mapping'!$A$2:$A$25,0))</f>
        <v>Lighting</v>
      </c>
    </row>
    <row r="65" spans="1:33" x14ac:dyDescent="0.3">
      <c r="A65" s="45" t="s">
        <v>98</v>
      </c>
      <c r="B65" s="45">
        <v>2019</v>
      </c>
      <c r="C65" s="45">
        <v>3</v>
      </c>
      <c r="D65" s="45" t="s">
        <v>93</v>
      </c>
      <c r="E65" s="45">
        <v>3</v>
      </c>
      <c r="F65" s="46">
        <v>10200000</v>
      </c>
      <c r="G65" s="46">
        <v>8823990</v>
      </c>
      <c r="H65" s="46">
        <v>8522387</v>
      </c>
      <c r="I65" s="46">
        <v>8515194</v>
      </c>
      <c r="J65" s="46">
        <v>8963058</v>
      </c>
      <c r="K65" s="46">
        <v>11600000</v>
      </c>
      <c r="L65" s="46">
        <v>18200000</v>
      </c>
      <c r="M65" s="46">
        <v>9666967</v>
      </c>
      <c r="N65" s="46">
        <v>11300000</v>
      </c>
      <c r="O65" s="46">
        <v>11700000</v>
      </c>
      <c r="P65" s="46">
        <v>11800000</v>
      </c>
      <c r="Q65" s="46">
        <v>12500000</v>
      </c>
      <c r="R65" s="46">
        <v>13000000</v>
      </c>
      <c r="S65" s="46">
        <v>12900000</v>
      </c>
      <c r="T65" s="46">
        <v>12800000</v>
      </c>
      <c r="U65" s="46">
        <v>12800000</v>
      </c>
      <c r="V65" s="46">
        <v>13700000</v>
      </c>
      <c r="W65" s="46">
        <v>41900000</v>
      </c>
      <c r="X65" s="46">
        <v>48700000</v>
      </c>
      <c r="Y65" s="46">
        <v>51000000</v>
      </c>
      <c r="Z65" s="46">
        <v>50800000</v>
      </c>
      <c r="AA65" s="46">
        <v>42000000</v>
      </c>
      <c r="AB65" s="46">
        <v>27100000</v>
      </c>
      <c r="AC65" s="46">
        <v>15100000</v>
      </c>
      <c r="AD65" t="str">
        <f t="shared" si="0"/>
        <v>Spring</v>
      </c>
      <c r="AE65" t="str">
        <f>INDEX('Category Mapping'!$B$2:$B$25,MATCH('Source Data'!A65,'Category Mapping'!$A$2:$A$25,0))</f>
        <v>Weekend</v>
      </c>
      <c r="AF65" t="str">
        <f>INDEX('Category Mapping'!$C$2:$C$25,MATCH('Source Data'!A65,'Category Mapping'!$A$2:$A$25,0))</f>
        <v>Residential</v>
      </c>
      <c r="AG65" t="str">
        <f>INDEX('Category Mapping'!$D$2:$D$25,MATCH('Source Data'!A65,'Category Mapping'!$A$2:$A$25,0))</f>
        <v>Lighting</v>
      </c>
    </row>
    <row r="66" spans="1:33" x14ac:dyDescent="0.3">
      <c r="A66" s="39" t="s">
        <v>98</v>
      </c>
      <c r="B66" s="39">
        <v>2019</v>
      </c>
      <c r="C66" s="39">
        <v>3</v>
      </c>
      <c r="D66" s="39" t="s">
        <v>93</v>
      </c>
      <c r="E66" s="39">
        <v>4</v>
      </c>
      <c r="F66" s="47">
        <v>10200000</v>
      </c>
      <c r="G66" s="47">
        <v>8799580</v>
      </c>
      <c r="H66" s="47">
        <v>8498812</v>
      </c>
      <c r="I66" s="47">
        <v>8491638</v>
      </c>
      <c r="J66" s="47">
        <v>8938265</v>
      </c>
      <c r="K66" s="47">
        <v>11600000</v>
      </c>
      <c r="L66" s="47">
        <v>12000000</v>
      </c>
      <c r="M66" s="47">
        <v>9253171</v>
      </c>
      <c r="N66" s="47">
        <v>11300000</v>
      </c>
      <c r="O66" s="47">
        <v>11700000</v>
      </c>
      <c r="P66" s="47">
        <v>11800000</v>
      </c>
      <c r="Q66" s="47">
        <v>12500000</v>
      </c>
      <c r="R66" s="47">
        <v>12900000</v>
      </c>
      <c r="S66" s="47">
        <v>12900000</v>
      </c>
      <c r="T66" s="47">
        <v>12800000</v>
      </c>
      <c r="U66" s="47">
        <v>12800000</v>
      </c>
      <c r="V66" s="47">
        <v>13100000</v>
      </c>
      <c r="W66" s="47">
        <v>27700000</v>
      </c>
      <c r="X66" s="47">
        <v>48600000</v>
      </c>
      <c r="Y66" s="47">
        <v>50900000</v>
      </c>
      <c r="Z66" s="47">
        <v>50600000</v>
      </c>
      <c r="AA66" s="47">
        <v>41900000</v>
      </c>
      <c r="AB66" s="47">
        <v>27000000</v>
      </c>
      <c r="AC66" s="47">
        <v>15100000</v>
      </c>
      <c r="AD66" t="str">
        <f t="shared" si="0"/>
        <v>Spring</v>
      </c>
      <c r="AE66" t="str">
        <f>INDEX('Category Mapping'!$B$2:$B$25,MATCH('Source Data'!A66,'Category Mapping'!$A$2:$A$25,0))</f>
        <v>Weekend</v>
      </c>
      <c r="AF66" t="str">
        <f>INDEX('Category Mapping'!$C$2:$C$25,MATCH('Source Data'!A66,'Category Mapping'!$A$2:$A$25,0))</f>
        <v>Residential</v>
      </c>
      <c r="AG66" t="str">
        <f>INDEX('Category Mapping'!$D$2:$D$25,MATCH('Source Data'!A66,'Category Mapping'!$A$2:$A$25,0))</f>
        <v>Lighting</v>
      </c>
    </row>
    <row r="67" spans="1:33" x14ac:dyDescent="0.3">
      <c r="A67" s="45" t="s">
        <v>98</v>
      </c>
      <c r="B67" s="45">
        <v>2019</v>
      </c>
      <c r="C67" s="45">
        <v>3</v>
      </c>
      <c r="D67" s="45" t="s">
        <v>93</v>
      </c>
      <c r="E67" s="45">
        <v>5</v>
      </c>
      <c r="F67" s="46">
        <v>9970108</v>
      </c>
      <c r="G67" s="46">
        <v>8614111</v>
      </c>
      <c r="H67" s="46">
        <v>8319683</v>
      </c>
      <c r="I67" s="46">
        <v>8312659</v>
      </c>
      <c r="J67" s="46">
        <v>8749872</v>
      </c>
      <c r="K67" s="46">
        <v>11300000</v>
      </c>
      <c r="L67" s="46">
        <v>9350494</v>
      </c>
      <c r="M67" s="46">
        <v>9058140</v>
      </c>
      <c r="N67" s="46">
        <v>11100000</v>
      </c>
      <c r="O67" s="46">
        <v>11500000</v>
      </c>
      <c r="P67" s="46">
        <v>11500000</v>
      </c>
      <c r="Q67" s="46">
        <v>12200000</v>
      </c>
      <c r="R67" s="46">
        <v>12600000</v>
      </c>
      <c r="S67" s="46">
        <v>12600000</v>
      </c>
      <c r="T67" s="46">
        <v>12500000</v>
      </c>
      <c r="U67" s="46">
        <v>12500000</v>
      </c>
      <c r="V67" s="46">
        <v>12900000</v>
      </c>
      <c r="W67" s="46">
        <v>21500000</v>
      </c>
      <c r="X67" s="46">
        <v>47600000</v>
      </c>
      <c r="Y67" s="46">
        <v>49800000</v>
      </c>
      <c r="Z67" s="46">
        <v>49600000</v>
      </c>
      <c r="AA67" s="46">
        <v>41000000</v>
      </c>
      <c r="AB67" s="46">
        <v>26400000</v>
      </c>
      <c r="AC67" s="46">
        <v>14800000</v>
      </c>
      <c r="AD67" t="str">
        <f t="shared" si="0"/>
        <v>Spring</v>
      </c>
      <c r="AE67" t="str">
        <f>INDEX('Category Mapping'!$B$2:$B$25,MATCH('Source Data'!A67,'Category Mapping'!$A$2:$A$25,0))</f>
        <v>Weekend</v>
      </c>
      <c r="AF67" t="str">
        <f>INDEX('Category Mapping'!$C$2:$C$25,MATCH('Source Data'!A67,'Category Mapping'!$A$2:$A$25,0))</f>
        <v>Residential</v>
      </c>
      <c r="AG67" t="str">
        <f>INDEX('Category Mapping'!$D$2:$D$25,MATCH('Source Data'!A67,'Category Mapping'!$A$2:$A$25,0))</f>
        <v>Lighting</v>
      </c>
    </row>
    <row r="68" spans="1:33" x14ac:dyDescent="0.3">
      <c r="A68" s="39" t="s">
        <v>98</v>
      </c>
      <c r="B68" s="39">
        <v>2019</v>
      </c>
      <c r="C68" s="39">
        <v>3</v>
      </c>
      <c r="D68" s="39" t="s">
        <v>93</v>
      </c>
      <c r="E68" s="39">
        <v>6</v>
      </c>
      <c r="F68" s="47">
        <v>9831164</v>
      </c>
      <c r="G68" s="47">
        <v>8494063</v>
      </c>
      <c r="H68" s="47">
        <v>8203739</v>
      </c>
      <c r="I68" s="47">
        <v>8196814</v>
      </c>
      <c r="J68" s="47">
        <v>8627933</v>
      </c>
      <c r="K68" s="47">
        <v>11200000</v>
      </c>
      <c r="L68" s="47">
        <v>8352998</v>
      </c>
      <c r="M68" s="47">
        <v>8931905</v>
      </c>
      <c r="N68" s="47">
        <v>10900000</v>
      </c>
      <c r="O68" s="47">
        <v>11300000</v>
      </c>
      <c r="P68" s="47">
        <v>11400000</v>
      </c>
      <c r="Q68" s="47">
        <v>12100000</v>
      </c>
      <c r="R68" s="47">
        <v>12500000</v>
      </c>
      <c r="S68" s="47">
        <v>12500000</v>
      </c>
      <c r="T68" s="47">
        <v>12300000</v>
      </c>
      <c r="U68" s="47">
        <v>12400000</v>
      </c>
      <c r="V68" s="47">
        <v>12700000</v>
      </c>
      <c r="W68" s="47">
        <v>19200000</v>
      </c>
      <c r="X68" s="47">
        <v>46900000</v>
      </c>
      <c r="Y68" s="47">
        <v>49100000</v>
      </c>
      <c r="Z68" s="47">
        <v>48900000</v>
      </c>
      <c r="AA68" s="47">
        <v>40400000</v>
      </c>
      <c r="AB68" s="47">
        <v>26100000</v>
      </c>
      <c r="AC68" s="47">
        <v>14600000</v>
      </c>
      <c r="AD68" t="str">
        <f t="shared" ref="AD68:AD131" si="1">IF(AND(E68&gt;=3,E68&lt;=5),"Spring",IF(AND(E68&gt;=6,E68&lt;=8),"Summer",IF(AND(E68&gt;=9,E68&lt;=10),"Fall","Winter")))</f>
        <v>Summer</v>
      </c>
      <c r="AE68" t="str">
        <f>INDEX('Category Mapping'!$B$2:$B$25,MATCH('Source Data'!A68,'Category Mapping'!$A$2:$A$25,0))</f>
        <v>Weekend</v>
      </c>
      <c r="AF68" t="str">
        <f>INDEX('Category Mapping'!$C$2:$C$25,MATCH('Source Data'!A68,'Category Mapping'!$A$2:$A$25,0))</f>
        <v>Residential</v>
      </c>
      <c r="AG68" t="str">
        <f>INDEX('Category Mapping'!$D$2:$D$25,MATCH('Source Data'!A68,'Category Mapping'!$A$2:$A$25,0))</f>
        <v>Lighting</v>
      </c>
    </row>
    <row r="69" spans="1:33" x14ac:dyDescent="0.3">
      <c r="A69" s="45" t="s">
        <v>98</v>
      </c>
      <c r="B69" s="45">
        <v>2019</v>
      </c>
      <c r="C69" s="45">
        <v>3</v>
      </c>
      <c r="D69" s="45" t="s">
        <v>93</v>
      </c>
      <c r="E69" s="45">
        <v>7</v>
      </c>
      <c r="F69" s="46">
        <v>9876479</v>
      </c>
      <c r="G69" s="46">
        <v>8533216</v>
      </c>
      <c r="H69" s="46">
        <v>8241553</v>
      </c>
      <c r="I69" s="46">
        <v>8234596</v>
      </c>
      <c r="J69" s="46">
        <v>8667703</v>
      </c>
      <c r="K69" s="46">
        <v>11200000</v>
      </c>
      <c r="L69" s="46">
        <v>8646572</v>
      </c>
      <c r="M69" s="46">
        <v>8973076</v>
      </c>
      <c r="N69" s="46">
        <v>10900000</v>
      </c>
      <c r="O69" s="46">
        <v>11300000</v>
      </c>
      <c r="P69" s="46">
        <v>11400000</v>
      </c>
      <c r="Q69" s="46">
        <v>12100000</v>
      </c>
      <c r="R69" s="46">
        <v>12500000</v>
      </c>
      <c r="S69" s="46">
        <v>12500000</v>
      </c>
      <c r="T69" s="46">
        <v>12400000</v>
      </c>
      <c r="U69" s="46">
        <v>12400000</v>
      </c>
      <c r="V69" s="46">
        <v>12700000</v>
      </c>
      <c r="W69" s="46">
        <v>19900000</v>
      </c>
      <c r="X69" s="46">
        <v>47100000</v>
      </c>
      <c r="Y69" s="46">
        <v>49400000</v>
      </c>
      <c r="Z69" s="46">
        <v>49100000</v>
      </c>
      <c r="AA69" s="46">
        <v>40600000</v>
      </c>
      <c r="AB69" s="46">
        <v>26200000</v>
      </c>
      <c r="AC69" s="46">
        <v>14600000</v>
      </c>
      <c r="AD69" t="str">
        <f t="shared" si="1"/>
        <v>Summer</v>
      </c>
      <c r="AE69" t="str">
        <f>INDEX('Category Mapping'!$B$2:$B$25,MATCH('Source Data'!A69,'Category Mapping'!$A$2:$A$25,0))</f>
        <v>Weekend</v>
      </c>
      <c r="AF69" t="str">
        <f>INDEX('Category Mapping'!$C$2:$C$25,MATCH('Source Data'!A69,'Category Mapping'!$A$2:$A$25,0))</f>
        <v>Residential</v>
      </c>
      <c r="AG69" t="str">
        <f>INDEX('Category Mapping'!$D$2:$D$25,MATCH('Source Data'!A69,'Category Mapping'!$A$2:$A$25,0))</f>
        <v>Lighting</v>
      </c>
    </row>
    <row r="70" spans="1:33" x14ac:dyDescent="0.3">
      <c r="A70" s="39" t="s">
        <v>98</v>
      </c>
      <c r="B70" s="39">
        <v>2019</v>
      </c>
      <c r="C70" s="39">
        <v>3</v>
      </c>
      <c r="D70" s="39" t="s">
        <v>93</v>
      </c>
      <c r="E70" s="39">
        <v>8</v>
      </c>
      <c r="F70" s="47">
        <v>10100000</v>
      </c>
      <c r="G70" s="47">
        <v>8699870</v>
      </c>
      <c r="H70" s="47">
        <v>8402510</v>
      </c>
      <c r="I70" s="47">
        <v>8395417</v>
      </c>
      <c r="J70" s="47">
        <v>8836983</v>
      </c>
      <c r="K70" s="47">
        <v>11500000</v>
      </c>
      <c r="L70" s="47">
        <v>10300000</v>
      </c>
      <c r="M70" s="47">
        <v>9148320</v>
      </c>
      <c r="N70" s="47">
        <v>11200000</v>
      </c>
      <c r="O70" s="47">
        <v>11600000</v>
      </c>
      <c r="P70" s="47">
        <v>11600000</v>
      </c>
      <c r="Q70" s="47">
        <v>12300000</v>
      </c>
      <c r="R70" s="47">
        <v>12800000</v>
      </c>
      <c r="S70" s="47">
        <v>12800000</v>
      </c>
      <c r="T70" s="47">
        <v>12600000</v>
      </c>
      <c r="U70" s="47">
        <v>12700000</v>
      </c>
      <c r="V70" s="47">
        <v>13000000</v>
      </c>
      <c r="W70" s="47">
        <v>23700000</v>
      </c>
      <c r="X70" s="47">
        <v>48000000</v>
      </c>
      <c r="Y70" s="47">
        <v>50300000</v>
      </c>
      <c r="Z70" s="47">
        <v>50000000</v>
      </c>
      <c r="AA70" s="47">
        <v>41400000</v>
      </c>
      <c r="AB70" s="47">
        <v>26700000</v>
      </c>
      <c r="AC70" s="47">
        <v>14900000</v>
      </c>
      <c r="AD70" t="str">
        <f t="shared" si="1"/>
        <v>Summer</v>
      </c>
      <c r="AE70" t="str">
        <f>INDEX('Category Mapping'!$B$2:$B$25,MATCH('Source Data'!A70,'Category Mapping'!$A$2:$A$25,0))</f>
        <v>Weekend</v>
      </c>
      <c r="AF70" t="str">
        <f>INDEX('Category Mapping'!$C$2:$C$25,MATCH('Source Data'!A70,'Category Mapping'!$A$2:$A$25,0))</f>
        <v>Residential</v>
      </c>
      <c r="AG70" t="str">
        <f>INDEX('Category Mapping'!$D$2:$D$25,MATCH('Source Data'!A70,'Category Mapping'!$A$2:$A$25,0))</f>
        <v>Lighting</v>
      </c>
    </row>
    <row r="71" spans="1:33" x14ac:dyDescent="0.3">
      <c r="A71" s="45" t="s">
        <v>98</v>
      </c>
      <c r="B71" s="45">
        <v>2019</v>
      </c>
      <c r="C71" s="45">
        <v>3</v>
      </c>
      <c r="D71" s="45" t="s">
        <v>93</v>
      </c>
      <c r="E71" s="45">
        <v>9</v>
      </c>
      <c r="F71" s="46">
        <v>10200000</v>
      </c>
      <c r="G71" s="46">
        <v>8855634</v>
      </c>
      <c r="H71" s="46">
        <v>8552950</v>
      </c>
      <c r="I71" s="46">
        <v>8545731</v>
      </c>
      <c r="J71" s="46">
        <v>8995202</v>
      </c>
      <c r="K71" s="46">
        <v>11700000</v>
      </c>
      <c r="L71" s="46">
        <v>14100000</v>
      </c>
      <c r="M71" s="46">
        <v>9312114</v>
      </c>
      <c r="N71" s="46">
        <v>11400000</v>
      </c>
      <c r="O71" s="46">
        <v>11800000</v>
      </c>
      <c r="P71" s="46">
        <v>11800000</v>
      </c>
      <c r="Q71" s="46">
        <v>12600000</v>
      </c>
      <c r="R71" s="46">
        <v>13000000</v>
      </c>
      <c r="S71" s="46">
        <v>13000000</v>
      </c>
      <c r="T71" s="46">
        <v>12800000</v>
      </c>
      <c r="U71" s="46">
        <v>12900000</v>
      </c>
      <c r="V71" s="46">
        <v>13200000</v>
      </c>
      <c r="W71" s="46">
        <v>32500000</v>
      </c>
      <c r="X71" s="46">
        <v>48900000</v>
      </c>
      <c r="Y71" s="46">
        <v>51200000</v>
      </c>
      <c r="Z71" s="46">
        <v>50900000</v>
      </c>
      <c r="AA71" s="46">
        <v>42100000</v>
      </c>
      <c r="AB71" s="46">
        <v>27200000</v>
      </c>
      <c r="AC71" s="46">
        <v>15200000</v>
      </c>
      <c r="AD71" t="str">
        <f t="shared" si="1"/>
        <v>Fall</v>
      </c>
      <c r="AE71" t="str">
        <f>INDEX('Category Mapping'!$B$2:$B$25,MATCH('Source Data'!A71,'Category Mapping'!$A$2:$A$25,0))</f>
        <v>Weekend</v>
      </c>
      <c r="AF71" t="str">
        <f>INDEX('Category Mapping'!$C$2:$C$25,MATCH('Source Data'!A71,'Category Mapping'!$A$2:$A$25,0))</f>
        <v>Residential</v>
      </c>
      <c r="AG71" t="str">
        <f>INDEX('Category Mapping'!$D$2:$D$25,MATCH('Source Data'!A71,'Category Mapping'!$A$2:$A$25,0))</f>
        <v>Lighting</v>
      </c>
    </row>
    <row r="72" spans="1:33" x14ac:dyDescent="0.3">
      <c r="A72" s="39" t="s">
        <v>98</v>
      </c>
      <c r="B72" s="39">
        <v>2019</v>
      </c>
      <c r="C72" s="39">
        <v>3</v>
      </c>
      <c r="D72" s="39" t="s">
        <v>93</v>
      </c>
      <c r="E72" s="39">
        <v>10</v>
      </c>
      <c r="F72" s="47">
        <v>10300000</v>
      </c>
      <c r="G72" s="47">
        <v>8874230</v>
      </c>
      <c r="H72" s="47">
        <v>8570910</v>
      </c>
      <c r="I72" s="47">
        <v>8563675</v>
      </c>
      <c r="J72" s="47">
        <v>9014089</v>
      </c>
      <c r="K72" s="47">
        <v>11700000</v>
      </c>
      <c r="L72" s="47">
        <v>20200000</v>
      </c>
      <c r="M72" s="47">
        <v>10400000</v>
      </c>
      <c r="N72" s="47">
        <v>11400000</v>
      </c>
      <c r="O72" s="47">
        <v>11800000</v>
      </c>
      <c r="P72" s="47">
        <v>11900000</v>
      </c>
      <c r="Q72" s="47">
        <v>12600000</v>
      </c>
      <c r="R72" s="47">
        <v>13000000</v>
      </c>
      <c r="S72" s="47">
        <v>13000000</v>
      </c>
      <c r="T72" s="47">
        <v>12900000</v>
      </c>
      <c r="U72" s="47">
        <v>12900000</v>
      </c>
      <c r="V72" s="47">
        <v>14700000</v>
      </c>
      <c r="W72" s="47">
        <v>46400000</v>
      </c>
      <c r="X72" s="47">
        <v>49000000</v>
      </c>
      <c r="Y72" s="47">
        <v>51300000</v>
      </c>
      <c r="Z72" s="47">
        <v>51100000</v>
      </c>
      <c r="AA72" s="47">
        <v>42200000</v>
      </c>
      <c r="AB72" s="47">
        <v>27200000</v>
      </c>
      <c r="AC72" s="47">
        <v>15200000</v>
      </c>
      <c r="AD72" t="str">
        <f t="shared" si="1"/>
        <v>Fall</v>
      </c>
      <c r="AE72" t="str">
        <f>INDEX('Category Mapping'!$B$2:$B$25,MATCH('Source Data'!A72,'Category Mapping'!$A$2:$A$25,0))</f>
        <v>Weekend</v>
      </c>
      <c r="AF72" t="str">
        <f>INDEX('Category Mapping'!$C$2:$C$25,MATCH('Source Data'!A72,'Category Mapping'!$A$2:$A$25,0))</f>
        <v>Residential</v>
      </c>
      <c r="AG72" t="str">
        <f>INDEX('Category Mapping'!$D$2:$D$25,MATCH('Source Data'!A72,'Category Mapping'!$A$2:$A$25,0))</f>
        <v>Lighting</v>
      </c>
    </row>
    <row r="73" spans="1:33" x14ac:dyDescent="0.3">
      <c r="A73" s="45" t="s">
        <v>98</v>
      </c>
      <c r="B73" s="45">
        <v>2019</v>
      </c>
      <c r="C73" s="45">
        <v>3</v>
      </c>
      <c r="D73" s="45" t="s">
        <v>93</v>
      </c>
      <c r="E73" s="45">
        <v>11</v>
      </c>
      <c r="F73" s="46">
        <v>10700000</v>
      </c>
      <c r="G73" s="46">
        <v>9215874</v>
      </c>
      <c r="H73" s="46">
        <v>8900877</v>
      </c>
      <c r="I73" s="46">
        <v>8893363</v>
      </c>
      <c r="J73" s="46">
        <v>9361119</v>
      </c>
      <c r="K73" s="46">
        <v>12100000</v>
      </c>
      <c r="L73" s="46">
        <v>20900000</v>
      </c>
      <c r="M73" s="46">
        <v>12700000</v>
      </c>
      <c r="N73" s="46">
        <v>11800000</v>
      </c>
      <c r="O73" s="46">
        <v>12300000</v>
      </c>
      <c r="P73" s="46">
        <v>12300000</v>
      </c>
      <c r="Q73" s="46">
        <v>13100000</v>
      </c>
      <c r="R73" s="46">
        <v>13500000</v>
      </c>
      <c r="S73" s="46">
        <v>13500000</v>
      </c>
      <c r="T73" s="46">
        <v>13400000</v>
      </c>
      <c r="U73" s="46">
        <v>13400000</v>
      </c>
      <c r="V73" s="46">
        <v>18000000</v>
      </c>
      <c r="W73" s="46">
        <v>48200000</v>
      </c>
      <c r="X73" s="46">
        <v>50900000</v>
      </c>
      <c r="Y73" s="46">
        <v>53300000</v>
      </c>
      <c r="Z73" s="46">
        <v>53000000</v>
      </c>
      <c r="AA73" s="46">
        <v>43800000</v>
      </c>
      <c r="AB73" s="46">
        <v>28300000</v>
      </c>
      <c r="AC73" s="46">
        <v>15800000</v>
      </c>
      <c r="AD73" t="str">
        <f t="shared" si="1"/>
        <v>Winter</v>
      </c>
      <c r="AE73" t="str">
        <f>INDEX('Category Mapping'!$B$2:$B$25,MATCH('Source Data'!A73,'Category Mapping'!$A$2:$A$25,0))</f>
        <v>Weekend</v>
      </c>
      <c r="AF73" t="str">
        <f>INDEX('Category Mapping'!$C$2:$C$25,MATCH('Source Data'!A73,'Category Mapping'!$A$2:$A$25,0))</f>
        <v>Residential</v>
      </c>
      <c r="AG73" t="str">
        <f>INDEX('Category Mapping'!$D$2:$D$25,MATCH('Source Data'!A73,'Category Mapping'!$A$2:$A$25,0))</f>
        <v>Lighting</v>
      </c>
    </row>
    <row r="74" spans="1:33" x14ac:dyDescent="0.3">
      <c r="A74" s="39" t="s">
        <v>98</v>
      </c>
      <c r="B74" s="39">
        <v>2019</v>
      </c>
      <c r="C74" s="39">
        <v>3</v>
      </c>
      <c r="D74" s="39" t="s">
        <v>93</v>
      </c>
      <c r="E74" s="39">
        <v>12</v>
      </c>
      <c r="F74" s="47">
        <v>10900000</v>
      </c>
      <c r="G74" s="47">
        <v>9418451</v>
      </c>
      <c r="H74" s="47">
        <v>9096530</v>
      </c>
      <c r="I74" s="47">
        <v>9088851</v>
      </c>
      <c r="J74" s="47">
        <v>9566888</v>
      </c>
      <c r="K74" s="47">
        <v>12400000</v>
      </c>
      <c r="L74" s="47">
        <v>21400000</v>
      </c>
      <c r="M74" s="47">
        <v>14700000</v>
      </c>
      <c r="N74" s="47">
        <v>12100000</v>
      </c>
      <c r="O74" s="47">
        <v>12500000</v>
      </c>
      <c r="P74" s="47">
        <v>12600000</v>
      </c>
      <c r="Q74" s="47">
        <v>13400000</v>
      </c>
      <c r="R74" s="47">
        <v>13800000</v>
      </c>
      <c r="S74" s="47">
        <v>13800000</v>
      </c>
      <c r="T74" s="47">
        <v>13700000</v>
      </c>
      <c r="U74" s="47">
        <v>13700000</v>
      </c>
      <c r="V74" s="47">
        <v>21000000</v>
      </c>
      <c r="W74" s="47">
        <v>49200000</v>
      </c>
      <c r="X74" s="47">
        <v>52000000</v>
      </c>
      <c r="Y74" s="47">
        <v>54500000</v>
      </c>
      <c r="Z74" s="47">
        <v>54200000</v>
      </c>
      <c r="AA74" s="47">
        <v>44800000</v>
      </c>
      <c r="AB74" s="47">
        <v>28900000</v>
      </c>
      <c r="AC74" s="47">
        <v>16200000</v>
      </c>
      <c r="AD74" t="str">
        <f t="shared" si="1"/>
        <v>Winter</v>
      </c>
      <c r="AE74" t="str">
        <f>INDEX('Category Mapping'!$B$2:$B$25,MATCH('Source Data'!A74,'Category Mapping'!$A$2:$A$25,0))</f>
        <v>Weekend</v>
      </c>
      <c r="AF74" t="str">
        <f>INDEX('Category Mapping'!$C$2:$C$25,MATCH('Source Data'!A74,'Category Mapping'!$A$2:$A$25,0))</f>
        <v>Residential</v>
      </c>
      <c r="AG74" t="str">
        <f>INDEX('Category Mapping'!$D$2:$D$25,MATCH('Source Data'!A74,'Category Mapping'!$A$2:$A$25,0))</f>
        <v>Lighting</v>
      </c>
    </row>
    <row r="75" spans="1:33" x14ac:dyDescent="0.3">
      <c r="A75" s="45" t="s">
        <v>99</v>
      </c>
      <c r="B75" s="45">
        <v>2019</v>
      </c>
      <c r="C75" s="45">
        <v>3</v>
      </c>
      <c r="D75" s="45" t="s">
        <v>93</v>
      </c>
      <c r="E75" s="45">
        <v>1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v>0</v>
      </c>
      <c r="O75" s="46">
        <v>0</v>
      </c>
      <c r="P75" s="46">
        <v>0</v>
      </c>
      <c r="Q75" s="46">
        <v>0</v>
      </c>
      <c r="R75" s="46">
        <v>0</v>
      </c>
      <c r="S75" s="46">
        <v>0</v>
      </c>
      <c r="T75" s="46">
        <v>0</v>
      </c>
      <c r="U75" s="46">
        <v>0</v>
      </c>
      <c r="V75" s="46">
        <v>0</v>
      </c>
      <c r="W75" s="46">
        <v>0</v>
      </c>
      <c r="X75" s="46">
        <v>0</v>
      </c>
      <c r="Y75" s="46">
        <v>0</v>
      </c>
      <c r="Z75" s="46">
        <v>0</v>
      </c>
      <c r="AA75" s="46">
        <v>0</v>
      </c>
      <c r="AB75" s="46">
        <v>0</v>
      </c>
      <c r="AC75" s="46">
        <v>0</v>
      </c>
      <c r="AD75" t="str">
        <f t="shared" si="1"/>
        <v>Winter</v>
      </c>
      <c r="AE75" t="str">
        <f>INDEX('Category Mapping'!$B$2:$B$25,MATCH('Source Data'!A75,'Category Mapping'!$A$2:$A$25,0))</f>
        <v>Weekday</v>
      </c>
      <c r="AF75" t="str">
        <f>INDEX('Category Mapping'!$C$2:$C$25,MATCH('Source Data'!A75,'Category Mapping'!$A$2:$A$25,0))</f>
        <v>Residential</v>
      </c>
      <c r="AG75" t="str">
        <f>INDEX('Category Mapping'!$D$2:$D$25,MATCH('Source Data'!A75,'Category Mapping'!$A$2:$A$25,0))</f>
        <v>Appliances</v>
      </c>
    </row>
    <row r="76" spans="1:33" x14ac:dyDescent="0.3">
      <c r="A76" s="39" t="s">
        <v>99</v>
      </c>
      <c r="B76" s="39">
        <v>2019</v>
      </c>
      <c r="C76" s="39">
        <v>3</v>
      </c>
      <c r="D76" s="39" t="s">
        <v>93</v>
      </c>
      <c r="E76" s="39">
        <v>2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t="str">
        <f t="shared" si="1"/>
        <v>Winter</v>
      </c>
      <c r="AE76" t="str">
        <f>INDEX('Category Mapping'!$B$2:$B$25,MATCH('Source Data'!A76,'Category Mapping'!$A$2:$A$25,0))</f>
        <v>Weekday</v>
      </c>
      <c r="AF76" t="str">
        <f>INDEX('Category Mapping'!$C$2:$C$25,MATCH('Source Data'!A76,'Category Mapping'!$A$2:$A$25,0))</f>
        <v>Residential</v>
      </c>
      <c r="AG76" t="str">
        <f>INDEX('Category Mapping'!$D$2:$D$25,MATCH('Source Data'!A76,'Category Mapping'!$A$2:$A$25,0))</f>
        <v>Appliances</v>
      </c>
    </row>
    <row r="77" spans="1:33" x14ac:dyDescent="0.3">
      <c r="A77" s="45" t="s">
        <v>99</v>
      </c>
      <c r="B77" s="45">
        <v>2019</v>
      </c>
      <c r="C77" s="45">
        <v>3</v>
      </c>
      <c r="D77" s="45" t="s">
        <v>93</v>
      </c>
      <c r="E77" s="45">
        <v>3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46">
        <v>0</v>
      </c>
      <c r="R77" s="46">
        <v>0</v>
      </c>
      <c r="S77" s="46">
        <v>0</v>
      </c>
      <c r="T77" s="46">
        <v>0</v>
      </c>
      <c r="U77" s="46">
        <v>0</v>
      </c>
      <c r="V77" s="46">
        <v>0</v>
      </c>
      <c r="W77" s="46">
        <v>0</v>
      </c>
      <c r="X77" s="46">
        <v>0</v>
      </c>
      <c r="Y77" s="46">
        <v>0</v>
      </c>
      <c r="Z77" s="46">
        <v>0</v>
      </c>
      <c r="AA77" s="46">
        <v>0</v>
      </c>
      <c r="AB77" s="46">
        <v>0</v>
      </c>
      <c r="AC77" s="46">
        <v>0</v>
      </c>
      <c r="AD77" t="str">
        <f t="shared" si="1"/>
        <v>Spring</v>
      </c>
      <c r="AE77" t="str">
        <f>INDEX('Category Mapping'!$B$2:$B$25,MATCH('Source Data'!A77,'Category Mapping'!$A$2:$A$25,0))</f>
        <v>Weekday</v>
      </c>
      <c r="AF77" t="str">
        <f>INDEX('Category Mapping'!$C$2:$C$25,MATCH('Source Data'!A77,'Category Mapping'!$A$2:$A$25,0))</f>
        <v>Residential</v>
      </c>
      <c r="AG77" t="str">
        <f>INDEX('Category Mapping'!$D$2:$D$25,MATCH('Source Data'!A77,'Category Mapping'!$A$2:$A$25,0))</f>
        <v>Appliances</v>
      </c>
    </row>
    <row r="78" spans="1:33" x14ac:dyDescent="0.3">
      <c r="A78" s="39" t="s">
        <v>99</v>
      </c>
      <c r="B78" s="39">
        <v>2019</v>
      </c>
      <c r="C78" s="39">
        <v>3</v>
      </c>
      <c r="D78" s="39" t="s">
        <v>93</v>
      </c>
      <c r="E78" s="39">
        <v>4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t="str">
        <f t="shared" si="1"/>
        <v>Spring</v>
      </c>
      <c r="AE78" t="str">
        <f>INDEX('Category Mapping'!$B$2:$B$25,MATCH('Source Data'!A78,'Category Mapping'!$A$2:$A$25,0))</f>
        <v>Weekday</v>
      </c>
      <c r="AF78" t="str">
        <f>INDEX('Category Mapping'!$C$2:$C$25,MATCH('Source Data'!A78,'Category Mapping'!$A$2:$A$25,0))</f>
        <v>Residential</v>
      </c>
      <c r="AG78" t="str">
        <f>INDEX('Category Mapping'!$D$2:$D$25,MATCH('Source Data'!A78,'Category Mapping'!$A$2:$A$25,0))</f>
        <v>Appliances</v>
      </c>
    </row>
    <row r="79" spans="1:33" x14ac:dyDescent="0.3">
      <c r="A79" s="45" t="s">
        <v>99</v>
      </c>
      <c r="B79" s="45">
        <v>2019</v>
      </c>
      <c r="C79" s="45">
        <v>3</v>
      </c>
      <c r="D79" s="45" t="s">
        <v>93</v>
      </c>
      <c r="E79" s="45">
        <v>5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v>0</v>
      </c>
      <c r="O79" s="46">
        <v>0</v>
      </c>
      <c r="P79" s="46">
        <v>0</v>
      </c>
      <c r="Q79" s="46">
        <v>0</v>
      </c>
      <c r="R79" s="46">
        <v>0</v>
      </c>
      <c r="S79" s="46">
        <v>0</v>
      </c>
      <c r="T79" s="46">
        <v>0</v>
      </c>
      <c r="U79" s="46">
        <v>0</v>
      </c>
      <c r="V79" s="46">
        <v>0</v>
      </c>
      <c r="W79" s="46">
        <v>0</v>
      </c>
      <c r="X79" s="46">
        <v>0</v>
      </c>
      <c r="Y79" s="46">
        <v>0</v>
      </c>
      <c r="Z79" s="46">
        <v>0</v>
      </c>
      <c r="AA79" s="46">
        <v>0</v>
      </c>
      <c r="AB79" s="46">
        <v>0</v>
      </c>
      <c r="AC79" s="46">
        <v>0</v>
      </c>
      <c r="AD79" t="str">
        <f t="shared" si="1"/>
        <v>Spring</v>
      </c>
      <c r="AE79" t="str">
        <f>INDEX('Category Mapping'!$B$2:$B$25,MATCH('Source Data'!A79,'Category Mapping'!$A$2:$A$25,0))</f>
        <v>Weekday</v>
      </c>
      <c r="AF79" t="str">
        <f>INDEX('Category Mapping'!$C$2:$C$25,MATCH('Source Data'!A79,'Category Mapping'!$A$2:$A$25,0))</f>
        <v>Residential</v>
      </c>
      <c r="AG79" t="str">
        <f>INDEX('Category Mapping'!$D$2:$D$25,MATCH('Source Data'!A79,'Category Mapping'!$A$2:$A$25,0))</f>
        <v>Appliances</v>
      </c>
    </row>
    <row r="80" spans="1:33" x14ac:dyDescent="0.3">
      <c r="A80" s="39" t="s">
        <v>99</v>
      </c>
      <c r="B80" s="39">
        <v>2019</v>
      </c>
      <c r="C80" s="39">
        <v>3</v>
      </c>
      <c r="D80" s="39" t="s">
        <v>93</v>
      </c>
      <c r="E80" s="39">
        <v>6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v>0</v>
      </c>
      <c r="O80" s="47">
        <v>0</v>
      </c>
      <c r="P80" s="47">
        <v>0</v>
      </c>
      <c r="Q80" s="47">
        <v>0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t="str">
        <f t="shared" si="1"/>
        <v>Summer</v>
      </c>
      <c r="AE80" t="str">
        <f>INDEX('Category Mapping'!$B$2:$B$25,MATCH('Source Data'!A80,'Category Mapping'!$A$2:$A$25,0))</f>
        <v>Weekday</v>
      </c>
      <c r="AF80" t="str">
        <f>INDEX('Category Mapping'!$C$2:$C$25,MATCH('Source Data'!A80,'Category Mapping'!$A$2:$A$25,0))</f>
        <v>Residential</v>
      </c>
      <c r="AG80" t="str">
        <f>INDEX('Category Mapping'!$D$2:$D$25,MATCH('Source Data'!A80,'Category Mapping'!$A$2:$A$25,0))</f>
        <v>Appliances</v>
      </c>
    </row>
    <row r="81" spans="1:33" x14ac:dyDescent="0.3">
      <c r="A81" s="45" t="s">
        <v>99</v>
      </c>
      <c r="B81" s="45">
        <v>2019</v>
      </c>
      <c r="C81" s="45">
        <v>3</v>
      </c>
      <c r="D81" s="45" t="s">
        <v>93</v>
      </c>
      <c r="E81" s="45">
        <v>7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v>0</v>
      </c>
      <c r="O81" s="46">
        <v>0</v>
      </c>
      <c r="P81" s="46">
        <v>0</v>
      </c>
      <c r="Q81" s="46">
        <v>0</v>
      </c>
      <c r="R81" s="46">
        <v>0</v>
      </c>
      <c r="S81" s="46">
        <v>0</v>
      </c>
      <c r="T81" s="46">
        <v>0</v>
      </c>
      <c r="U81" s="46">
        <v>0</v>
      </c>
      <c r="V81" s="46">
        <v>0</v>
      </c>
      <c r="W81" s="46">
        <v>0</v>
      </c>
      <c r="X81" s="46">
        <v>0</v>
      </c>
      <c r="Y81" s="46">
        <v>0</v>
      </c>
      <c r="Z81" s="46">
        <v>0</v>
      </c>
      <c r="AA81" s="46">
        <v>0</v>
      </c>
      <c r="AB81" s="46">
        <v>0</v>
      </c>
      <c r="AC81" s="46">
        <v>0</v>
      </c>
      <c r="AD81" t="str">
        <f t="shared" si="1"/>
        <v>Summer</v>
      </c>
      <c r="AE81" t="str">
        <f>INDEX('Category Mapping'!$B$2:$B$25,MATCH('Source Data'!A81,'Category Mapping'!$A$2:$A$25,0))</f>
        <v>Weekday</v>
      </c>
      <c r="AF81" t="str">
        <f>INDEX('Category Mapping'!$C$2:$C$25,MATCH('Source Data'!A81,'Category Mapping'!$A$2:$A$25,0))</f>
        <v>Residential</v>
      </c>
      <c r="AG81" t="str">
        <f>INDEX('Category Mapping'!$D$2:$D$25,MATCH('Source Data'!A81,'Category Mapping'!$A$2:$A$25,0))</f>
        <v>Appliances</v>
      </c>
    </row>
    <row r="82" spans="1:33" x14ac:dyDescent="0.3">
      <c r="A82" s="39" t="s">
        <v>99</v>
      </c>
      <c r="B82" s="39">
        <v>2019</v>
      </c>
      <c r="C82" s="39">
        <v>3</v>
      </c>
      <c r="D82" s="39" t="s">
        <v>93</v>
      </c>
      <c r="E82" s="39">
        <v>8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t="str">
        <f t="shared" si="1"/>
        <v>Summer</v>
      </c>
      <c r="AE82" t="str">
        <f>INDEX('Category Mapping'!$B$2:$B$25,MATCH('Source Data'!A82,'Category Mapping'!$A$2:$A$25,0))</f>
        <v>Weekday</v>
      </c>
      <c r="AF82" t="str">
        <f>INDEX('Category Mapping'!$C$2:$C$25,MATCH('Source Data'!A82,'Category Mapping'!$A$2:$A$25,0))</f>
        <v>Residential</v>
      </c>
      <c r="AG82" t="str">
        <f>INDEX('Category Mapping'!$D$2:$D$25,MATCH('Source Data'!A82,'Category Mapping'!$A$2:$A$25,0))</f>
        <v>Appliances</v>
      </c>
    </row>
    <row r="83" spans="1:33" x14ac:dyDescent="0.3">
      <c r="A83" s="45" t="s">
        <v>99</v>
      </c>
      <c r="B83" s="45">
        <v>2019</v>
      </c>
      <c r="C83" s="45">
        <v>3</v>
      </c>
      <c r="D83" s="45" t="s">
        <v>93</v>
      </c>
      <c r="E83" s="45">
        <v>9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v>0</v>
      </c>
      <c r="O83" s="46">
        <v>0</v>
      </c>
      <c r="P83" s="46">
        <v>0</v>
      </c>
      <c r="Q83" s="46">
        <v>0</v>
      </c>
      <c r="R83" s="46">
        <v>0</v>
      </c>
      <c r="S83" s="46">
        <v>0</v>
      </c>
      <c r="T83" s="46">
        <v>0</v>
      </c>
      <c r="U83" s="46">
        <v>0</v>
      </c>
      <c r="V83" s="46">
        <v>0</v>
      </c>
      <c r="W83" s="46">
        <v>0</v>
      </c>
      <c r="X83" s="46">
        <v>0</v>
      </c>
      <c r="Y83" s="46">
        <v>0</v>
      </c>
      <c r="Z83" s="46">
        <v>0</v>
      </c>
      <c r="AA83" s="46">
        <v>0</v>
      </c>
      <c r="AB83" s="46">
        <v>0</v>
      </c>
      <c r="AC83" s="46">
        <v>0</v>
      </c>
      <c r="AD83" t="str">
        <f t="shared" si="1"/>
        <v>Fall</v>
      </c>
      <c r="AE83" t="str">
        <f>INDEX('Category Mapping'!$B$2:$B$25,MATCH('Source Data'!A83,'Category Mapping'!$A$2:$A$25,0))</f>
        <v>Weekday</v>
      </c>
      <c r="AF83" t="str">
        <f>INDEX('Category Mapping'!$C$2:$C$25,MATCH('Source Data'!A83,'Category Mapping'!$A$2:$A$25,0))</f>
        <v>Residential</v>
      </c>
      <c r="AG83" t="str">
        <f>INDEX('Category Mapping'!$D$2:$D$25,MATCH('Source Data'!A83,'Category Mapping'!$A$2:$A$25,0))</f>
        <v>Appliances</v>
      </c>
    </row>
    <row r="84" spans="1:33" x14ac:dyDescent="0.3">
      <c r="A84" s="39" t="s">
        <v>99</v>
      </c>
      <c r="B84" s="39">
        <v>2019</v>
      </c>
      <c r="C84" s="39">
        <v>3</v>
      </c>
      <c r="D84" s="39" t="s">
        <v>93</v>
      </c>
      <c r="E84" s="39">
        <v>10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t="str">
        <f t="shared" si="1"/>
        <v>Fall</v>
      </c>
      <c r="AE84" t="str">
        <f>INDEX('Category Mapping'!$B$2:$B$25,MATCH('Source Data'!A84,'Category Mapping'!$A$2:$A$25,0))</f>
        <v>Weekday</v>
      </c>
      <c r="AF84" t="str">
        <f>INDEX('Category Mapping'!$C$2:$C$25,MATCH('Source Data'!A84,'Category Mapping'!$A$2:$A$25,0))</f>
        <v>Residential</v>
      </c>
      <c r="AG84" t="str">
        <f>INDEX('Category Mapping'!$D$2:$D$25,MATCH('Source Data'!A84,'Category Mapping'!$A$2:$A$25,0))</f>
        <v>Appliances</v>
      </c>
    </row>
    <row r="85" spans="1:33" x14ac:dyDescent="0.3">
      <c r="A85" s="45" t="s">
        <v>99</v>
      </c>
      <c r="B85" s="45">
        <v>2019</v>
      </c>
      <c r="C85" s="45">
        <v>3</v>
      </c>
      <c r="D85" s="45" t="s">
        <v>93</v>
      </c>
      <c r="E85" s="45">
        <v>11</v>
      </c>
      <c r="F85" s="46">
        <v>0</v>
      </c>
      <c r="G85" s="46">
        <v>0</v>
      </c>
      <c r="H85" s="46">
        <v>0</v>
      </c>
      <c r="I85" s="46">
        <v>0</v>
      </c>
      <c r="J85" s="46">
        <v>0</v>
      </c>
      <c r="K85" s="46">
        <v>0</v>
      </c>
      <c r="L85" s="46">
        <v>0</v>
      </c>
      <c r="M85" s="46">
        <v>0</v>
      </c>
      <c r="N85" s="46">
        <v>0</v>
      </c>
      <c r="O85" s="46">
        <v>0</v>
      </c>
      <c r="P85" s="46">
        <v>0</v>
      </c>
      <c r="Q85" s="46">
        <v>0</v>
      </c>
      <c r="R85" s="46">
        <v>0</v>
      </c>
      <c r="S85" s="46">
        <v>0</v>
      </c>
      <c r="T85" s="46">
        <v>0</v>
      </c>
      <c r="U85" s="46">
        <v>0</v>
      </c>
      <c r="V85" s="46">
        <v>0</v>
      </c>
      <c r="W85" s="46">
        <v>0</v>
      </c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t="str">
        <f t="shared" si="1"/>
        <v>Winter</v>
      </c>
      <c r="AE85" t="str">
        <f>INDEX('Category Mapping'!$B$2:$B$25,MATCH('Source Data'!A85,'Category Mapping'!$A$2:$A$25,0))</f>
        <v>Weekday</v>
      </c>
      <c r="AF85" t="str">
        <f>INDEX('Category Mapping'!$C$2:$C$25,MATCH('Source Data'!A85,'Category Mapping'!$A$2:$A$25,0))</f>
        <v>Residential</v>
      </c>
      <c r="AG85" t="str">
        <f>INDEX('Category Mapping'!$D$2:$D$25,MATCH('Source Data'!A85,'Category Mapping'!$A$2:$A$25,0))</f>
        <v>Appliances</v>
      </c>
    </row>
    <row r="86" spans="1:33" x14ac:dyDescent="0.3">
      <c r="A86" s="39" t="s">
        <v>99</v>
      </c>
      <c r="B86" s="39">
        <v>2019</v>
      </c>
      <c r="C86" s="39">
        <v>3</v>
      </c>
      <c r="D86" s="39" t="s">
        <v>93</v>
      </c>
      <c r="E86" s="39">
        <v>12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47">
        <v>0</v>
      </c>
      <c r="S86" s="47">
        <v>0</v>
      </c>
      <c r="T86" s="47">
        <v>0</v>
      </c>
      <c r="U86" s="47">
        <v>0</v>
      </c>
      <c r="V86" s="47">
        <v>0</v>
      </c>
      <c r="W86" s="47">
        <v>0</v>
      </c>
      <c r="X86" s="47">
        <v>0</v>
      </c>
      <c r="Y86" s="47">
        <v>0</v>
      </c>
      <c r="Z86" s="47">
        <v>0</v>
      </c>
      <c r="AA86" s="47">
        <v>0</v>
      </c>
      <c r="AB86" s="47">
        <v>0</v>
      </c>
      <c r="AC86" s="47">
        <v>0</v>
      </c>
      <c r="AD86" t="str">
        <f t="shared" si="1"/>
        <v>Winter</v>
      </c>
      <c r="AE86" t="str">
        <f>INDEX('Category Mapping'!$B$2:$B$25,MATCH('Source Data'!A86,'Category Mapping'!$A$2:$A$25,0))</f>
        <v>Weekday</v>
      </c>
      <c r="AF86" t="str">
        <f>INDEX('Category Mapping'!$C$2:$C$25,MATCH('Source Data'!A86,'Category Mapping'!$A$2:$A$25,0))</f>
        <v>Residential</v>
      </c>
      <c r="AG86" t="str">
        <f>INDEX('Category Mapping'!$D$2:$D$25,MATCH('Source Data'!A86,'Category Mapping'!$A$2:$A$25,0))</f>
        <v>Appliances</v>
      </c>
    </row>
    <row r="87" spans="1:33" x14ac:dyDescent="0.3">
      <c r="A87" s="45" t="s">
        <v>100</v>
      </c>
      <c r="B87" s="45">
        <v>2019</v>
      </c>
      <c r="C87" s="45">
        <v>3</v>
      </c>
      <c r="D87" s="45" t="s">
        <v>93</v>
      </c>
      <c r="E87" s="45">
        <v>1</v>
      </c>
      <c r="F87" s="46">
        <v>0</v>
      </c>
      <c r="G87" s="46">
        <v>0</v>
      </c>
      <c r="H87" s="46">
        <v>0</v>
      </c>
      <c r="I87" s="46">
        <v>0</v>
      </c>
      <c r="J87" s="46">
        <v>0</v>
      </c>
      <c r="K87" s="46">
        <v>0</v>
      </c>
      <c r="L87" s="46">
        <v>0</v>
      </c>
      <c r="M87" s="46">
        <v>0</v>
      </c>
      <c r="N87" s="46">
        <v>0</v>
      </c>
      <c r="O87" s="46">
        <v>0</v>
      </c>
      <c r="P87" s="46">
        <v>0</v>
      </c>
      <c r="Q87" s="46">
        <v>0</v>
      </c>
      <c r="R87" s="46">
        <v>0</v>
      </c>
      <c r="S87" s="46">
        <v>0</v>
      </c>
      <c r="T87" s="46">
        <v>0</v>
      </c>
      <c r="U87" s="46">
        <v>0</v>
      </c>
      <c r="V87" s="46">
        <v>0</v>
      </c>
      <c r="W87" s="46">
        <v>0</v>
      </c>
      <c r="X87" s="46">
        <v>0</v>
      </c>
      <c r="Y87" s="46">
        <v>0</v>
      </c>
      <c r="Z87" s="46">
        <v>0</v>
      </c>
      <c r="AA87" s="46">
        <v>0</v>
      </c>
      <c r="AB87" s="46">
        <v>0</v>
      </c>
      <c r="AC87" s="46">
        <v>0</v>
      </c>
      <c r="AD87" t="str">
        <f t="shared" si="1"/>
        <v>Winter</v>
      </c>
      <c r="AE87" t="str">
        <f>INDEX('Category Mapping'!$B$2:$B$25,MATCH('Source Data'!A87,'Category Mapping'!$A$2:$A$25,0))</f>
        <v>Weekend</v>
      </c>
      <c r="AF87" t="str">
        <f>INDEX('Category Mapping'!$C$2:$C$25,MATCH('Source Data'!A87,'Category Mapping'!$A$2:$A$25,0))</f>
        <v>Residential</v>
      </c>
      <c r="AG87" t="str">
        <f>INDEX('Category Mapping'!$D$2:$D$25,MATCH('Source Data'!A87,'Category Mapping'!$A$2:$A$25,0))</f>
        <v>Appliances</v>
      </c>
    </row>
    <row r="88" spans="1:33" x14ac:dyDescent="0.3">
      <c r="A88" s="39" t="s">
        <v>100</v>
      </c>
      <c r="B88" s="39">
        <v>2019</v>
      </c>
      <c r="C88" s="39">
        <v>3</v>
      </c>
      <c r="D88" s="39" t="s">
        <v>93</v>
      </c>
      <c r="E88" s="39">
        <v>2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47">
        <v>0</v>
      </c>
      <c r="V88" s="47">
        <v>0</v>
      </c>
      <c r="W88" s="47">
        <v>0</v>
      </c>
      <c r="X88" s="47">
        <v>0</v>
      </c>
      <c r="Y88" s="47">
        <v>0</v>
      </c>
      <c r="Z88" s="47">
        <v>0</v>
      </c>
      <c r="AA88" s="47">
        <v>0</v>
      </c>
      <c r="AB88" s="47">
        <v>0</v>
      </c>
      <c r="AC88" s="47">
        <v>0</v>
      </c>
      <c r="AD88" t="str">
        <f t="shared" si="1"/>
        <v>Winter</v>
      </c>
      <c r="AE88" t="str">
        <f>INDEX('Category Mapping'!$B$2:$B$25,MATCH('Source Data'!A88,'Category Mapping'!$A$2:$A$25,0))</f>
        <v>Weekend</v>
      </c>
      <c r="AF88" t="str">
        <f>INDEX('Category Mapping'!$C$2:$C$25,MATCH('Source Data'!A88,'Category Mapping'!$A$2:$A$25,0))</f>
        <v>Residential</v>
      </c>
      <c r="AG88" t="str">
        <f>INDEX('Category Mapping'!$D$2:$D$25,MATCH('Source Data'!A88,'Category Mapping'!$A$2:$A$25,0))</f>
        <v>Appliances</v>
      </c>
    </row>
    <row r="89" spans="1:33" x14ac:dyDescent="0.3">
      <c r="A89" s="45" t="s">
        <v>100</v>
      </c>
      <c r="B89" s="45">
        <v>2019</v>
      </c>
      <c r="C89" s="45">
        <v>3</v>
      </c>
      <c r="D89" s="45" t="s">
        <v>93</v>
      </c>
      <c r="E89" s="45">
        <v>3</v>
      </c>
      <c r="F89" s="46">
        <v>0</v>
      </c>
      <c r="G89" s="46">
        <v>0</v>
      </c>
      <c r="H89" s="46">
        <v>0</v>
      </c>
      <c r="I89" s="46">
        <v>0</v>
      </c>
      <c r="J89" s="46">
        <v>0</v>
      </c>
      <c r="K89" s="46">
        <v>0</v>
      </c>
      <c r="L89" s="46">
        <v>0</v>
      </c>
      <c r="M89" s="46">
        <v>0</v>
      </c>
      <c r="N89" s="46">
        <v>0</v>
      </c>
      <c r="O89" s="46">
        <v>0</v>
      </c>
      <c r="P89" s="46">
        <v>0</v>
      </c>
      <c r="Q89" s="46">
        <v>0</v>
      </c>
      <c r="R89" s="46">
        <v>0</v>
      </c>
      <c r="S89" s="46">
        <v>0</v>
      </c>
      <c r="T89" s="46">
        <v>0</v>
      </c>
      <c r="U89" s="46">
        <v>0</v>
      </c>
      <c r="V89" s="46">
        <v>0</v>
      </c>
      <c r="W89" s="46">
        <v>0</v>
      </c>
      <c r="X89" s="46">
        <v>0</v>
      </c>
      <c r="Y89" s="46">
        <v>0</v>
      </c>
      <c r="Z89" s="46">
        <v>0</v>
      </c>
      <c r="AA89" s="46">
        <v>0</v>
      </c>
      <c r="AB89" s="46">
        <v>0</v>
      </c>
      <c r="AC89" s="46">
        <v>0</v>
      </c>
      <c r="AD89" t="str">
        <f t="shared" si="1"/>
        <v>Spring</v>
      </c>
      <c r="AE89" t="str">
        <f>INDEX('Category Mapping'!$B$2:$B$25,MATCH('Source Data'!A89,'Category Mapping'!$A$2:$A$25,0))</f>
        <v>Weekend</v>
      </c>
      <c r="AF89" t="str">
        <f>INDEX('Category Mapping'!$C$2:$C$25,MATCH('Source Data'!A89,'Category Mapping'!$A$2:$A$25,0))</f>
        <v>Residential</v>
      </c>
      <c r="AG89" t="str">
        <f>INDEX('Category Mapping'!$D$2:$D$25,MATCH('Source Data'!A89,'Category Mapping'!$A$2:$A$25,0))</f>
        <v>Appliances</v>
      </c>
    </row>
    <row r="90" spans="1:33" x14ac:dyDescent="0.3">
      <c r="A90" s="39" t="s">
        <v>100</v>
      </c>
      <c r="B90" s="39">
        <v>2019</v>
      </c>
      <c r="C90" s="39">
        <v>3</v>
      </c>
      <c r="D90" s="39" t="s">
        <v>93</v>
      </c>
      <c r="E90" s="39">
        <v>4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v>0</v>
      </c>
      <c r="Q90" s="47">
        <v>0</v>
      </c>
      <c r="R90" s="47">
        <v>0</v>
      </c>
      <c r="S90" s="47">
        <v>0</v>
      </c>
      <c r="T90" s="47">
        <v>0</v>
      </c>
      <c r="U90" s="47">
        <v>0</v>
      </c>
      <c r="V90" s="47">
        <v>0</v>
      </c>
      <c r="W90" s="47">
        <v>0</v>
      </c>
      <c r="X90" s="47">
        <v>0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t="str">
        <f t="shared" si="1"/>
        <v>Spring</v>
      </c>
      <c r="AE90" t="str">
        <f>INDEX('Category Mapping'!$B$2:$B$25,MATCH('Source Data'!A90,'Category Mapping'!$A$2:$A$25,0))</f>
        <v>Weekend</v>
      </c>
      <c r="AF90" t="str">
        <f>INDEX('Category Mapping'!$C$2:$C$25,MATCH('Source Data'!A90,'Category Mapping'!$A$2:$A$25,0))</f>
        <v>Residential</v>
      </c>
      <c r="AG90" t="str">
        <f>INDEX('Category Mapping'!$D$2:$D$25,MATCH('Source Data'!A90,'Category Mapping'!$A$2:$A$25,0))</f>
        <v>Appliances</v>
      </c>
    </row>
    <row r="91" spans="1:33" x14ac:dyDescent="0.3">
      <c r="A91" s="45" t="s">
        <v>100</v>
      </c>
      <c r="B91" s="45">
        <v>2019</v>
      </c>
      <c r="C91" s="45">
        <v>3</v>
      </c>
      <c r="D91" s="45" t="s">
        <v>93</v>
      </c>
      <c r="E91" s="45">
        <v>5</v>
      </c>
      <c r="F91" s="46">
        <v>0</v>
      </c>
      <c r="G91" s="46">
        <v>0</v>
      </c>
      <c r="H91" s="46">
        <v>0</v>
      </c>
      <c r="I91" s="46">
        <v>0</v>
      </c>
      <c r="J91" s="46">
        <v>0</v>
      </c>
      <c r="K91" s="46">
        <v>0</v>
      </c>
      <c r="L91" s="46">
        <v>0</v>
      </c>
      <c r="M91" s="46">
        <v>0</v>
      </c>
      <c r="N91" s="46">
        <v>0</v>
      </c>
      <c r="O91" s="46">
        <v>0</v>
      </c>
      <c r="P91" s="46">
        <v>0</v>
      </c>
      <c r="Q91" s="46">
        <v>0</v>
      </c>
      <c r="R91" s="46">
        <v>0</v>
      </c>
      <c r="S91" s="46">
        <v>0</v>
      </c>
      <c r="T91" s="46">
        <v>0</v>
      </c>
      <c r="U91" s="46">
        <v>0</v>
      </c>
      <c r="V91" s="46">
        <v>0</v>
      </c>
      <c r="W91" s="46">
        <v>0</v>
      </c>
      <c r="X91" s="46">
        <v>0</v>
      </c>
      <c r="Y91" s="46">
        <v>0</v>
      </c>
      <c r="Z91" s="46">
        <v>0</v>
      </c>
      <c r="AA91" s="46">
        <v>0</v>
      </c>
      <c r="AB91" s="46">
        <v>0</v>
      </c>
      <c r="AC91" s="46">
        <v>0</v>
      </c>
      <c r="AD91" t="str">
        <f t="shared" si="1"/>
        <v>Spring</v>
      </c>
      <c r="AE91" t="str">
        <f>INDEX('Category Mapping'!$B$2:$B$25,MATCH('Source Data'!A91,'Category Mapping'!$A$2:$A$25,0))</f>
        <v>Weekend</v>
      </c>
      <c r="AF91" t="str">
        <f>INDEX('Category Mapping'!$C$2:$C$25,MATCH('Source Data'!A91,'Category Mapping'!$A$2:$A$25,0))</f>
        <v>Residential</v>
      </c>
      <c r="AG91" t="str">
        <f>INDEX('Category Mapping'!$D$2:$D$25,MATCH('Source Data'!A91,'Category Mapping'!$A$2:$A$25,0))</f>
        <v>Appliances</v>
      </c>
    </row>
    <row r="92" spans="1:33" x14ac:dyDescent="0.3">
      <c r="A92" s="39" t="s">
        <v>100</v>
      </c>
      <c r="B92" s="39">
        <v>2019</v>
      </c>
      <c r="C92" s="39">
        <v>3</v>
      </c>
      <c r="D92" s="39" t="s">
        <v>93</v>
      </c>
      <c r="E92" s="39">
        <v>6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v>0</v>
      </c>
      <c r="Q92" s="47">
        <v>0</v>
      </c>
      <c r="R92" s="47">
        <v>0</v>
      </c>
      <c r="S92" s="47">
        <v>0</v>
      </c>
      <c r="T92" s="47">
        <v>0</v>
      </c>
      <c r="U92" s="47">
        <v>0</v>
      </c>
      <c r="V92" s="47">
        <v>0</v>
      </c>
      <c r="W92" s="47">
        <v>0</v>
      </c>
      <c r="X92" s="47">
        <v>0</v>
      </c>
      <c r="Y92" s="47">
        <v>0</v>
      </c>
      <c r="Z92" s="47">
        <v>0</v>
      </c>
      <c r="AA92" s="47">
        <v>0</v>
      </c>
      <c r="AB92" s="47">
        <v>0</v>
      </c>
      <c r="AC92" s="47">
        <v>0</v>
      </c>
      <c r="AD92" t="str">
        <f t="shared" si="1"/>
        <v>Summer</v>
      </c>
      <c r="AE92" t="str">
        <f>INDEX('Category Mapping'!$B$2:$B$25,MATCH('Source Data'!A92,'Category Mapping'!$A$2:$A$25,0))</f>
        <v>Weekend</v>
      </c>
      <c r="AF92" t="str">
        <f>INDEX('Category Mapping'!$C$2:$C$25,MATCH('Source Data'!A92,'Category Mapping'!$A$2:$A$25,0))</f>
        <v>Residential</v>
      </c>
      <c r="AG92" t="str">
        <f>INDEX('Category Mapping'!$D$2:$D$25,MATCH('Source Data'!A92,'Category Mapping'!$A$2:$A$25,0))</f>
        <v>Appliances</v>
      </c>
    </row>
    <row r="93" spans="1:33" x14ac:dyDescent="0.3">
      <c r="A93" s="45" t="s">
        <v>100</v>
      </c>
      <c r="B93" s="45">
        <v>2019</v>
      </c>
      <c r="C93" s="45">
        <v>3</v>
      </c>
      <c r="D93" s="45" t="s">
        <v>93</v>
      </c>
      <c r="E93" s="45">
        <v>7</v>
      </c>
      <c r="F93" s="46">
        <v>0</v>
      </c>
      <c r="G93" s="46">
        <v>0</v>
      </c>
      <c r="H93" s="46">
        <v>0</v>
      </c>
      <c r="I93" s="46">
        <v>0</v>
      </c>
      <c r="J93" s="46">
        <v>0</v>
      </c>
      <c r="K93" s="46">
        <v>0</v>
      </c>
      <c r="L93" s="46">
        <v>0</v>
      </c>
      <c r="M93" s="46">
        <v>0</v>
      </c>
      <c r="N93" s="46">
        <v>0</v>
      </c>
      <c r="O93" s="46">
        <v>0</v>
      </c>
      <c r="P93" s="46">
        <v>0</v>
      </c>
      <c r="Q93" s="46">
        <v>0</v>
      </c>
      <c r="R93" s="46">
        <v>0</v>
      </c>
      <c r="S93" s="46">
        <v>0</v>
      </c>
      <c r="T93" s="46">
        <v>0</v>
      </c>
      <c r="U93" s="46">
        <v>0</v>
      </c>
      <c r="V93" s="46">
        <v>0</v>
      </c>
      <c r="W93" s="46">
        <v>0</v>
      </c>
      <c r="X93" s="46">
        <v>0</v>
      </c>
      <c r="Y93" s="46">
        <v>0</v>
      </c>
      <c r="Z93" s="46">
        <v>0</v>
      </c>
      <c r="AA93" s="46">
        <v>0</v>
      </c>
      <c r="AB93" s="46">
        <v>0</v>
      </c>
      <c r="AC93" s="46">
        <v>0</v>
      </c>
      <c r="AD93" t="str">
        <f t="shared" si="1"/>
        <v>Summer</v>
      </c>
      <c r="AE93" t="str">
        <f>INDEX('Category Mapping'!$B$2:$B$25,MATCH('Source Data'!A93,'Category Mapping'!$A$2:$A$25,0))</f>
        <v>Weekend</v>
      </c>
      <c r="AF93" t="str">
        <f>INDEX('Category Mapping'!$C$2:$C$25,MATCH('Source Data'!A93,'Category Mapping'!$A$2:$A$25,0))</f>
        <v>Residential</v>
      </c>
      <c r="AG93" t="str">
        <f>INDEX('Category Mapping'!$D$2:$D$25,MATCH('Source Data'!A93,'Category Mapping'!$A$2:$A$25,0))</f>
        <v>Appliances</v>
      </c>
    </row>
    <row r="94" spans="1:33" x14ac:dyDescent="0.3">
      <c r="A94" s="39" t="s">
        <v>100</v>
      </c>
      <c r="B94" s="39">
        <v>2019</v>
      </c>
      <c r="C94" s="39">
        <v>3</v>
      </c>
      <c r="D94" s="39" t="s">
        <v>93</v>
      </c>
      <c r="E94" s="39">
        <v>8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>
        <v>0</v>
      </c>
      <c r="X94" s="47">
        <v>0</v>
      </c>
      <c r="Y94" s="47">
        <v>0</v>
      </c>
      <c r="Z94" s="47">
        <v>0</v>
      </c>
      <c r="AA94" s="47">
        <v>0</v>
      </c>
      <c r="AB94" s="47">
        <v>0</v>
      </c>
      <c r="AC94" s="47">
        <v>0</v>
      </c>
      <c r="AD94" t="str">
        <f t="shared" si="1"/>
        <v>Summer</v>
      </c>
      <c r="AE94" t="str">
        <f>INDEX('Category Mapping'!$B$2:$B$25,MATCH('Source Data'!A94,'Category Mapping'!$A$2:$A$25,0))</f>
        <v>Weekend</v>
      </c>
      <c r="AF94" t="str">
        <f>INDEX('Category Mapping'!$C$2:$C$25,MATCH('Source Data'!A94,'Category Mapping'!$A$2:$A$25,0))</f>
        <v>Residential</v>
      </c>
      <c r="AG94" t="str">
        <f>INDEX('Category Mapping'!$D$2:$D$25,MATCH('Source Data'!A94,'Category Mapping'!$A$2:$A$25,0))</f>
        <v>Appliances</v>
      </c>
    </row>
    <row r="95" spans="1:33" x14ac:dyDescent="0.3">
      <c r="A95" s="45" t="s">
        <v>100</v>
      </c>
      <c r="B95" s="45">
        <v>2019</v>
      </c>
      <c r="C95" s="45">
        <v>3</v>
      </c>
      <c r="D95" s="45" t="s">
        <v>93</v>
      </c>
      <c r="E95" s="45">
        <v>9</v>
      </c>
      <c r="F95" s="46">
        <v>0</v>
      </c>
      <c r="G95" s="46">
        <v>0</v>
      </c>
      <c r="H95" s="46">
        <v>0</v>
      </c>
      <c r="I95" s="46">
        <v>0</v>
      </c>
      <c r="J95" s="46">
        <v>0</v>
      </c>
      <c r="K95" s="46">
        <v>0</v>
      </c>
      <c r="L95" s="46">
        <v>0</v>
      </c>
      <c r="M95" s="46">
        <v>0</v>
      </c>
      <c r="N95" s="46">
        <v>0</v>
      </c>
      <c r="O95" s="46">
        <v>0</v>
      </c>
      <c r="P95" s="46">
        <v>0</v>
      </c>
      <c r="Q95" s="46">
        <v>0</v>
      </c>
      <c r="R95" s="46">
        <v>0</v>
      </c>
      <c r="S95" s="46">
        <v>0</v>
      </c>
      <c r="T95" s="46">
        <v>0</v>
      </c>
      <c r="U95" s="46">
        <v>0</v>
      </c>
      <c r="V95" s="46">
        <v>0</v>
      </c>
      <c r="W95" s="46">
        <v>0</v>
      </c>
      <c r="X95" s="46">
        <v>0</v>
      </c>
      <c r="Y95" s="46">
        <v>0</v>
      </c>
      <c r="Z95" s="46">
        <v>0</v>
      </c>
      <c r="AA95" s="46">
        <v>0</v>
      </c>
      <c r="AB95" s="46">
        <v>0</v>
      </c>
      <c r="AC95" s="46">
        <v>0</v>
      </c>
      <c r="AD95" t="str">
        <f t="shared" si="1"/>
        <v>Fall</v>
      </c>
      <c r="AE95" t="str">
        <f>INDEX('Category Mapping'!$B$2:$B$25,MATCH('Source Data'!A95,'Category Mapping'!$A$2:$A$25,0))</f>
        <v>Weekend</v>
      </c>
      <c r="AF95" t="str">
        <f>INDEX('Category Mapping'!$C$2:$C$25,MATCH('Source Data'!A95,'Category Mapping'!$A$2:$A$25,0))</f>
        <v>Residential</v>
      </c>
      <c r="AG95" t="str">
        <f>INDEX('Category Mapping'!$D$2:$D$25,MATCH('Source Data'!A95,'Category Mapping'!$A$2:$A$25,0))</f>
        <v>Appliances</v>
      </c>
    </row>
    <row r="96" spans="1:33" x14ac:dyDescent="0.3">
      <c r="A96" s="39" t="s">
        <v>100</v>
      </c>
      <c r="B96" s="39">
        <v>2019</v>
      </c>
      <c r="C96" s="39">
        <v>3</v>
      </c>
      <c r="D96" s="39" t="s">
        <v>93</v>
      </c>
      <c r="E96" s="39">
        <v>10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t="str">
        <f t="shared" si="1"/>
        <v>Fall</v>
      </c>
      <c r="AE96" t="str">
        <f>INDEX('Category Mapping'!$B$2:$B$25,MATCH('Source Data'!A96,'Category Mapping'!$A$2:$A$25,0))</f>
        <v>Weekend</v>
      </c>
      <c r="AF96" t="str">
        <f>INDEX('Category Mapping'!$C$2:$C$25,MATCH('Source Data'!A96,'Category Mapping'!$A$2:$A$25,0))</f>
        <v>Residential</v>
      </c>
      <c r="AG96" t="str">
        <f>INDEX('Category Mapping'!$D$2:$D$25,MATCH('Source Data'!A96,'Category Mapping'!$A$2:$A$25,0))</f>
        <v>Appliances</v>
      </c>
    </row>
    <row r="97" spans="1:33" x14ac:dyDescent="0.3">
      <c r="A97" s="45" t="s">
        <v>100</v>
      </c>
      <c r="B97" s="45">
        <v>2019</v>
      </c>
      <c r="C97" s="45">
        <v>3</v>
      </c>
      <c r="D97" s="45" t="s">
        <v>93</v>
      </c>
      <c r="E97" s="45">
        <v>11</v>
      </c>
      <c r="F97" s="46">
        <v>0</v>
      </c>
      <c r="G97" s="46">
        <v>0</v>
      </c>
      <c r="H97" s="46">
        <v>0</v>
      </c>
      <c r="I97" s="46">
        <v>0</v>
      </c>
      <c r="J97" s="46">
        <v>0</v>
      </c>
      <c r="K97" s="46">
        <v>0</v>
      </c>
      <c r="L97" s="46">
        <v>0</v>
      </c>
      <c r="M97" s="46">
        <v>0</v>
      </c>
      <c r="N97" s="46">
        <v>0</v>
      </c>
      <c r="O97" s="46">
        <v>0</v>
      </c>
      <c r="P97" s="46">
        <v>0</v>
      </c>
      <c r="Q97" s="46">
        <v>0</v>
      </c>
      <c r="R97" s="46">
        <v>0</v>
      </c>
      <c r="S97" s="46">
        <v>0</v>
      </c>
      <c r="T97" s="46">
        <v>0</v>
      </c>
      <c r="U97" s="46">
        <v>0</v>
      </c>
      <c r="V97" s="46">
        <v>0</v>
      </c>
      <c r="W97" s="46">
        <v>0</v>
      </c>
      <c r="X97" s="46">
        <v>0</v>
      </c>
      <c r="Y97" s="46">
        <v>0</v>
      </c>
      <c r="Z97" s="46">
        <v>0</v>
      </c>
      <c r="AA97" s="46">
        <v>0</v>
      </c>
      <c r="AB97" s="46">
        <v>0</v>
      </c>
      <c r="AC97" s="46">
        <v>0</v>
      </c>
      <c r="AD97" t="str">
        <f t="shared" si="1"/>
        <v>Winter</v>
      </c>
      <c r="AE97" t="str">
        <f>INDEX('Category Mapping'!$B$2:$B$25,MATCH('Source Data'!A97,'Category Mapping'!$A$2:$A$25,0))</f>
        <v>Weekend</v>
      </c>
      <c r="AF97" t="str">
        <f>INDEX('Category Mapping'!$C$2:$C$25,MATCH('Source Data'!A97,'Category Mapping'!$A$2:$A$25,0))</f>
        <v>Residential</v>
      </c>
      <c r="AG97" t="str">
        <f>INDEX('Category Mapping'!$D$2:$D$25,MATCH('Source Data'!A97,'Category Mapping'!$A$2:$A$25,0))</f>
        <v>Appliances</v>
      </c>
    </row>
    <row r="98" spans="1:33" x14ac:dyDescent="0.3">
      <c r="A98" s="39" t="s">
        <v>100</v>
      </c>
      <c r="B98" s="39">
        <v>2019</v>
      </c>
      <c r="C98" s="39">
        <v>3</v>
      </c>
      <c r="D98" s="39" t="s">
        <v>93</v>
      </c>
      <c r="E98" s="39">
        <v>12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47">
        <v>0</v>
      </c>
      <c r="U98" s="47">
        <v>0</v>
      </c>
      <c r="V98" s="47">
        <v>0</v>
      </c>
      <c r="W98" s="47">
        <v>0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t="str">
        <f t="shared" si="1"/>
        <v>Winter</v>
      </c>
      <c r="AE98" t="str">
        <f>INDEX('Category Mapping'!$B$2:$B$25,MATCH('Source Data'!A98,'Category Mapping'!$A$2:$A$25,0))</f>
        <v>Weekend</v>
      </c>
      <c r="AF98" t="str">
        <f>INDEX('Category Mapping'!$C$2:$C$25,MATCH('Source Data'!A98,'Category Mapping'!$A$2:$A$25,0))</f>
        <v>Residential</v>
      </c>
      <c r="AG98" t="str">
        <f>INDEX('Category Mapping'!$D$2:$D$25,MATCH('Source Data'!A98,'Category Mapping'!$A$2:$A$25,0))</f>
        <v>Appliances</v>
      </c>
    </row>
    <row r="99" spans="1:33" x14ac:dyDescent="0.3">
      <c r="A99" s="45" t="s">
        <v>101</v>
      </c>
      <c r="B99" s="45">
        <v>2019</v>
      </c>
      <c r="C99" s="45">
        <v>3</v>
      </c>
      <c r="D99" s="45" t="s">
        <v>93</v>
      </c>
      <c r="E99" s="45">
        <v>1</v>
      </c>
      <c r="F99" s="46">
        <v>3052099</v>
      </c>
      <c r="G99" s="46">
        <v>2858376</v>
      </c>
      <c r="H99" s="46">
        <v>2780507</v>
      </c>
      <c r="I99" s="46">
        <v>2748020</v>
      </c>
      <c r="J99" s="46">
        <v>2764084</v>
      </c>
      <c r="K99" s="46">
        <v>2894638</v>
      </c>
      <c r="L99" s="46">
        <v>3268772</v>
      </c>
      <c r="M99" s="46">
        <v>3992996</v>
      </c>
      <c r="N99" s="46">
        <v>5060147</v>
      </c>
      <c r="O99" s="46">
        <v>5902660</v>
      </c>
      <c r="P99" s="46">
        <v>6561207</v>
      </c>
      <c r="Q99" s="46">
        <v>7079426</v>
      </c>
      <c r="R99" s="46">
        <v>7328148</v>
      </c>
      <c r="S99" s="46">
        <v>7750692</v>
      </c>
      <c r="T99" s="46">
        <v>7986858</v>
      </c>
      <c r="U99" s="46">
        <v>7886090</v>
      </c>
      <c r="V99" s="46">
        <v>7474624</v>
      </c>
      <c r="W99" s="46">
        <v>6776107</v>
      </c>
      <c r="X99" s="46">
        <v>6108564</v>
      </c>
      <c r="Y99" s="46">
        <v>5428494</v>
      </c>
      <c r="Z99" s="46">
        <v>4879686</v>
      </c>
      <c r="AA99" s="46">
        <v>4414503</v>
      </c>
      <c r="AB99" s="46">
        <v>3961182</v>
      </c>
      <c r="AC99" s="46">
        <v>3450180</v>
      </c>
      <c r="AD99" t="str">
        <f t="shared" si="1"/>
        <v>Winter</v>
      </c>
      <c r="AE99" t="str">
        <f>INDEX('Category Mapping'!$B$2:$B$25,MATCH('Source Data'!A99,'Category Mapping'!$A$2:$A$25,0))</f>
        <v>Weekday</v>
      </c>
      <c r="AF99" t="str">
        <f>INDEX('Category Mapping'!$C$2:$C$25,MATCH('Source Data'!A99,'Category Mapping'!$A$2:$A$25,0))</f>
        <v>Commercial</v>
      </c>
      <c r="AG99" t="str">
        <f>INDEX('Category Mapping'!$D$2:$D$25,MATCH('Source Data'!A99,'Category Mapping'!$A$2:$A$25,0))</f>
        <v>Cooling</v>
      </c>
    </row>
    <row r="100" spans="1:33" x14ac:dyDescent="0.3">
      <c r="A100" s="39" t="s">
        <v>101</v>
      </c>
      <c r="B100" s="39">
        <v>2019</v>
      </c>
      <c r="C100" s="39">
        <v>3</v>
      </c>
      <c r="D100" s="39" t="s">
        <v>93</v>
      </c>
      <c r="E100" s="39">
        <v>2</v>
      </c>
      <c r="F100" s="47">
        <v>3557219</v>
      </c>
      <c r="G100" s="47">
        <v>3323371</v>
      </c>
      <c r="H100" s="47">
        <v>3230703</v>
      </c>
      <c r="I100" s="47">
        <v>3197718</v>
      </c>
      <c r="J100" s="47">
        <v>3229281</v>
      </c>
      <c r="K100" s="47">
        <v>3407301</v>
      </c>
      <c r="L100" s="47">
        <v>3890217</v>
      </c>
      <c r="M100" s="47">
        <v>4778152</v>
      </c>
      <c r="N100" s="47">
        <v>6112806</v>
      </c>
      <c r="O100" s="47">
        <v>7253136</v>
      </c>
      <c r="P100" s="47">
        <v>8244694</v>
      </c>
      <c r="Q100" s="47">
        <v>9037791</v>
      </c>
      <c r="R100" s="47">
        <v>9376568</v>
      </c>
      <c r="S100" s="47">
        <v>9875451</v>
      </c>
      <c r="T100" s="47">
        <v>10100000</v>
      </c>
      <c r="U100" s="47">
        <v>10000000</v>
      </c>
      <c r="V100" s="47">
        <v>9543348</v>
      </c>
      <c r="W100" s="47">
        <v>8692427</v>
      </c>
      <c r="X100" s="47">
        <v>7729308</v>
      </c>
      <c r="Y100" s="47">
        <v>6713243</v>
      </c>
      <c r="Z100" s="47">
        <v>5907329</v>
      </c>
      <c r="AA100" s="47">
        <v>5258085</v>
      </c>
      <c r="AB100" s="47">
        <v>4678607</v>
      </c>
      <c r="AC100" s="47">
        <v>4039850</v>
      </c>
      <c r="AD100" t="str">
        <f t="shared" si="1"/>
        <v>Winter</v>
      </c>
      <c r="AE100" t="str">
        <f>INDEX('Category Mapping'!$B$2:$B$25,MATCH('Source Data'!A100,'Category Mapping'!$A$2:$A$25,0))</f>
        <v>Weekday</v>
      </c>
      <c r="AF100" t="str">
        <f>INDEX('Category Mapping'!$C$2:$C$25,MATCH('Source Data'!A100,'Category Mapping'!$A$2:$A$25,0))</f>
        <v>Commercial</v>
      </c>
      <c r="AG100" t="str">
        <f>INDEX('Category Mapping'!$D$2:$D$25,MATCH('Source Data'!A100,'Category Mapping'!$A$2:$A$25,0))</f>
        <v>Cooling</v>
      </c>
    </row>
    <row r="101" spans="1:33" x14ac:dyDescent="0.3">
      <c r="A101" s="45" t="s">
        <v>101</v>
      </c>
      <c r="B101" s="45">
        <v>2019</v>
      </c>
      <c r="C101" s="45">
        <v>3</v>
      </c>
      <c r="D101" s="45" t="s">
        <v>93</v>
      </c>
      <c r="E101" s="45">
        <v>3</v>
      </c>
      <c r="F101" s="46">
        <v>6115293</v>
      </c>
      <c r="G101" s="46">
        <v>5690543</v>
      </c>
      <c r="H101" s="46">
        <v>5527683</v>
      </c>
      <c r="I101" s="46">
        <v>5481448</v>
      </c>
      <c r="J101" s="46">
        <v>5569583</v>
      </c>
      <c r="K101" s="46">
        <v>5920476</v>
      </c>
      <c r="L101" s="46">
        <v>6788136</v>
      </c>
      <c r="M101" s="46">
        <v>8450134</v>
      </c>
      <c r="N101" s="46">
        <v>11000000</v>
      </c>
      <c r="O101" s="46">
        <v>13200000</v>
      </c>
      <c r="P101" s="46">
        <v>15100000</v>
      </c>
      <c r="Q101" s="46">
        <v>16500000</v>
      </c>
      <c r="R101" s="46">
        <v>17200000</v>
      </c>
      <c r="S101" s="46">
        <v>18000000</v>
      </c>
      <c r="T101" s="46">
        <v>18500000</v>
      </c>
      <c r="U101" s="46">
        <v>18300000</v>
      </c>
      <c r="V101" s="46">
        <v>17400000</v>
      </c>
      <c r="W101" s="46">
        <v>16000000</v>
      </c>
      <c r="X101" s="46">
        <v>14300000</v>
      </c>
      <c r="Y101" s="46">
        <v>12300000</v>
      </c>
      <c r="Z101" s="46">
        <v>10600000</v>
      </c>
      <c r="AA101" s="46">
        <v>9248775</v>
      </c>
      <c r="AB101" s="46">
        <v>8100067</v>
      </c>
      <c r="AC101" s="46">
        <v>6973078</v>
      </c>
      <c r="AD101" t="str">
        <f t="shared" si="1"/>
        <v>Spring</v>
      </c>
      <c r="AE101" t="str">
        <f>INDEX('Category Mapping'!$B$2:$B$25,MATCH('Source Data'!A101,'Category Mapping'!$A$2:$A$25,0))</f>
        <v>Weekday</v>
      </c>
      <c r="AF101" t="str">
        <f>INDEX('Category Mapping'!$C$2:$C$25,MATCH('Source Data'!A101,'Category Mapping'!$A$2:$A$25,0))</f>
        <v>Commercial</v>
      </c>
      <c r="AG101" t="str">
        <f>INDEX('Category Mapping'!$D$2:$D$25,MATCH('Source Data'!A101,'Category Mapping'!$A$2:$A$25,0))</f>
        <v>Cooling</v>
      </c>
    </row>
    <row r="102" spans="1:33" x14ac:dyDescent="0.3">
      <c r="A102" s="39" t="s">
        <v>101</v>
      </c>
      <c r="B102" s="39">
        <v>2019</v>
      </c>
      <c r="C102" s="39">
        <v>3</v>
      </c>
      <c r="D102" s="39" t="s">
        <v>93</v>
      </c>
      <c r="E102" s="39">
        <v>4</v>
      </c>
      <c r="F102" s="47">
        <v>10400000</v>
      </c>
      <c r="G102" s="47">
        <v>9656583</v>
      </c>
      <c r="H102" s="47">
        <v>9370699</v>
      </c>
      <c r="I102" s="47">
        <v>9316544</v>
      </c>
      <c r="J102" s="47">
        <v>9536644</v>
      </c>
      <c r="K102" s="47">
        <v>10200000</v>
      </c>
      <c r="L102" s="47">
        <v>11900000</v>
      </c>
      <c r="M102" s="47">
        <v>14900000</v>
      </c>
      <c r="N102" s="47">
        <v>19200000</v>
      </c>
      <c r="O102" s="47">
        <v>23200000</v>
      </c>
      <c r="P102" s="47">
        <v>26600000</v>
      </c>
      <c r="Q102" s="47">
        <v>29000000</v>
      </c>
      <c r="R102" s="47">
        <v>30100000</v>
      </c>
      <c r="S102" s="47">
        <v>31500000</v>
      </c>
      <c r="T102" s="47">
        <v>32300000</v>
      </c>
      <c r="U102" s="47">
        <v>31900000</v>
      </c>
      <c r="V102" s="47">
        <v>30500000</v>
      </c>
      <c r="W102" s="47">
        <v>28100000</v>
      </c>
      <c r="X102" s="47">
        <v>25200000</v>
      </c>
      <c r="Y102" s="47">
        <v>21800000</v>
      </c>
      <c r="Z102" s="47">
        <v>18700000</v>
      </c>
      <c r="AA102" s="47">
        <v>16200000</v>
      </c>
      <c r="AB102" s="47">
        <v>14000000</v>
      </c>
      <c r="AC102" s="47">
        <v>11900000</v>
      </c>
      <c r="AD102" t="str">
        <f t="shared" si="1"/>
        <v>Spring</v>
      </c>
      <c r="AE102" t="str">
        <f>INDEX('Category Mapping'!$B$2:$B$25,MATCH('Source Data'!A102,'Category Mapping'!$A$2:$A$25,0))</f>
        <v>Weekday</v>
      </c>
      <c r="AF102" t="str">
        <f>INDEX('Category Mapping'!$C$2:$C$25,MATCH('Source Data'!A102,'Category Mapping'!$A$2:$A$25,0))</f>
        <v>Commercial</v>
      </c>
      <c r="AG102" t="str">
        <f>INDEX('Category Mapping'!$D$2:$D$25,MATCH('Source Data'!A102,'Category Mapping'!$A$2:$A$25,0))</f>
        <v>Cooling</v>
      </c>
    </row>
    <row r="103" spans="1:33" x14ac:dyDescent="0.3">
      <c r="A103" s="45" t="s">
        <v>101</v>
      </c>
      <c r="B103" s="45">
        <v>2019</v>
      </c>
      <c r="C103" s="45">
        <v>3</v>
      </c>
      <c r="D103" s="45" t="s">
        <v>93</v>
      </c>
      <c r="E103" s="45">
        <v>5</v>
      </c>
      <c r="F103" s="46">
        <v>12900000</v>
      </c>
      <c r="G103" s="46">
        <v>11900000</v>
      </c>
      <c r="H103" s="46">
        <v>11600000</v>
      </c>
      <c r="I103" s="46">
        <v>11500000</v>
      </c>
      <c r="J103" s="46">
        <v>11800000</v>
      </c>
      <c r="K103" s="46">
        <v>12800000</v>
      </c>
      <c r="L103" s="46">
        <v>15000000</v>
      </c>
      <c r="M103" s="46">
        <v>18600000</v>
      </c>
      <c r="N103" s="46">
        <v>23800000</v>
      </c>
      <c r="O103" s="46">
        <v>28200000</v>
      </c>
      <c r="P103" s="46">
        <v>31800000</v>
      </c>
      <c r="Q103" s="46">
        <v>34200000</v>
      </c>
      <c r="R103" s="46">
        <v>35200000</v>
      </c>
      <c r="S103" s="46">
        <v>36800000</v>
      </c>
      <c r="T103" s="46">
        <v>37600000</v>
      </c>
      <c r="U103" s="46">
        <v>37200000</v>
      </c>
      <c r="V103" s="46">
        <v>35800000</v>
      </c>
      <c r="W103" s="46">
        <v>33200000</v>
      </c>
      <c r="X103" s="46">
        <v>30200000</v>
      </c>
      <c r="Y103" s="46">
        <v>26500000</v>
      </c>
      <c r="Z103" s="46">
        <v>23100000</v>
      </c>
      <c r="AA103" s="46">
        <v>20100000</v>
      </c>
      <c r="AB103" s="46">
        <v>17400000</v>
      </c>
      <c r="AC103" s="46">
        <v>14800000</v>
      </c>
      <c r="AD103" t="str">
        <f t="shared" si="1"/>
        <v>Spring</v>
      </c>
      <c r="AE103" t="str">
        <f>INDEX('Category Mapping'!$B$2:$B$25,MATCH('Source Data'!A103,'Category Mapping'!$A$2:$A$25,0))</f>
        <v>Weekday</v>
      </c>
      <c r="AF103" t="str">
        <f>INDEX('Category Mapping'!$C$2:$C$25,MATCH('Source Data'!A103,'Category Mapping'!$A$2:$A$25,0))</f>
        <v>Commercial</v>
      </c>
      <c r="AG103" t="str">
        <f>INDEX('Category Mapping'!$D$2:$D$25,MATCH('Source Data'!A103,'Category Mapping'!$A$2:$A$25,0))</f>
        <v>Cooling</v>
      </c>
    </row>
    <row r="104" spans="1:33" x14ac:dyDescent="0.3">
      <c r="A104" s="39" t="s">
        <v>101</v>
      </c>
      <c r="B104" s="39">
        <v>2019</v>
      </c>
      <c r="C104" s="39">
        <v>3</v>
      </c>
      <c r="D104" s="39" t="s">
        <v>93</v>
      </c>
      <c r="E104" s="39">
        <v>6</v>
      </c>
      <c r="F104" s="47">
        <v>13400000</v>
      </c>
      <c r="G104" s="47">
        <v>12400000</v>
      </c>
      <c r="H104" s="47">
        <v>12100000</v>
      </c>
      <c r="I104" s="47">
        <v>12000000</v>
      </c>
      <c r="J104" s="47">
        <v>12400000</v>
      </c>
      <c r="K104" s="47">
        <v>13400000</v>
      </c>
      <c r="L104" s="47">
        <v>15500000</v>
      </c>
      <c r="M104" s="47">
        <v>19000000</v>
      </c>
      <c r="N104" s="47">
        <v>23900000</v>
      </c>
      <c r="O104" s="47">
        <v>27900000</v>
      </c>
      <c r="P104" s="47">
        <v>31200000</v>
      </c>
      <c r="Q104" s="47">
        <v>33300000</v>
      </c>
      <c r="R104" s="47">
        <v>34100000</v>
      </c>
      <c r="S104" s="47">
        <v>35500000</v>
      </c>
      <c r="T104" s="47">
        <v>36200000</v>
      </c>
      <c r="U104" s="47">
        <v>35900000</v>
      </c>
      <c r="V104" s="47">
        <v>34600000</v>
      </c>
      <c r="W104" s="47">
        <v>32300000</v>
      </c>
      <c r="X104" s="47">
        <v>29600000</v>
      </c>
      <c r="Y104" s="47">
        <v>26300000</v>
      </c>
      <c r="Z104" s="47">
        <v>23200000</v>
      </c>
      <c r="AA104" s="47">
        <v>20500000</v>
      </c>
      <c r="AB104" s="47">
        <v>17900000</v>
      </c>
      <c r="AC104" s="47">
        <v>15300000</v>
      </c>
      <c r="AD104" t="str">
        <f t="shared" si="1"/>
        <v>Summer</v>
      </c>
      <c r="AE104" t="str">
        <f>INDEX('Category Mapping'!$B$2:$B$25,MATCH('Source Data'!A104,'Category Mapping'!$A$2:$A$25,0))</f>
        <v>Weekday</v>
      </c>
      <c r="AF104" t="str">
        <f>INDEX('Category Mapping'!$C$2:$C$25,MATCH('Source Data'!A104,'Category Mapping'!$A$2:$A$25,0))</f>
        <v>Commercial</v>
      </c>
      <c r="AG104" t="str">
        <f>INDEX('Category Mapping'!$D$2:$D$25,MATCH('Source Data'!A104,'Category Mapping'!$A$2:$A$25,0))</f>
        <v>Cooling</v>
      </c>
    </row>
    <row r="105" spans="1:33" x14ac:dyDescent="0.3">
      <c r="A105" s="45" t="s">
        <v>101</v>
      </c>
      <c r="B105" s="45">
        <v>2019</v>
      </c>
      <c r="C105" s="45">
        <v>3</v>
      </c>
      <c r="D105" s="45" t="s">
        <v>93</v>
      </c>
      <c r="E105" s="45">
        <v>7</v>
      </c>
      <c r="F105" s="46">
        <v>13900000</v>
      </c>
      <c r="G105" s="46">
        <v>12900000</v>
      </c>
      <c r="H105" s="46">
        <v>12500000</v>
      </c>
      <c r="I105" s="46">
        <v>12500000</v>
      </c>
      <c r="J105" s="46">
        <v>12800000</v>
      </c>
      <c r="K105" s="46">
        <v>13700000</v>
      </c>
      <c r="L105" s="46">
        <v>15800000</v>
      </c>
      <c r="M105" s="46">
        <v>19200000</v>
      </c>
      <c r="N105" s="46">
        <v>23900000</v>
      </c>
      <c r="O105" s="46">
        <v>27800000</v>
      </c>
      <c r="P105" s="46">
        <v>30800000</v>
      </c>
      <c r="Q105" s="46">
        <v>32800000</v>
      </c>
      <c r="R105" s="46">
        <v>33400000</v>
      </c>
      <c r="S105" s="46">
        <v>34700000</v>
      </c>
      <c r="T105" s="46">
        <v>35500000</v>
      </c>
      <c r="U105" s="46">
        <v>35200000</v>
      </c>
      <c r="V105" s="46">
        <v>34000000</v>
      </c>
      <c r="W105" s="46">
        <v>31700000</v>
      </c>
      <c r="X105" s="46">
        <v>29200000</v>
      </c>
      <c r="Y105" s="46">
        <v>26100000</v>
      </c>
      <c r="Z105" s="46">
        <v>23300000</v>
      </c>
      <c r="AA105" s="46">
        <v>20700000</v>
      </c>
      <c r="AB105" s="46">
        <v>18300000</v>
      </c>
      <c r="AC105" s="46">
        <v>15700000</v>
      </c>
      <c r="AD105" t="str">
        <f t="shared" si="1"/>
        <v>Summer</v>
      </c>
      <c r="AE105" t="str">
        <f>INDEX('Category Mapping'!$B$2:$B$25,MATCH('Source Data'!A105,'Category Mapping'!$A$2:$A$25,0))</f>
        <v>Weekday</v>
      </c>
      <c r="AF105" t="str">
        <f>INDEX('Category Mapping'!$C$2:$C$25,MATCH('Source Data'!A105,'Category Mapping'!$A$2:$A$25,0))</f>
        <v>Commercial</v>
      </c>
      <c r="AG105" t="str">
        <f>INDEX('Category Mapping'!$D$2:$D$25,MATCH('Source Data'!A105,'Category Mapping'!$A$2:$A$25,0))</f>
        <v>Cooling</v>
      </c>
    </row>
    <row r="106" spans="1:33" x14ac:dyDescent="0.3">
      <c r="A106" s="39" t="s">
        <v>101</v>
      </c>
      <c r="B106" s="39">
        <v>2019</v>
      </c>
      <c r="C106" s="39">
        <v>3</v>
      </c>
      <c r="D106" s="39" t="s">
        <v>93</v>
      </c>
      <c r="E106" s="39">
        <v>8</v>
      </c>
      <c r="F106" s="47">
        <v>13400000</v>
      </c>
      <c r="G106" s="47">
        <v>12500000</v>
      </c>
      <c r="H106" s="47">
        <v>12100000</v>
      </c>
      <c r="I106" s="47">
        <v>12100000</v>
      </c>
      <c r="J106" s="47">
        <v>12400000</v>
      </c>
      <c r="K106" s="47">
        <v>13300000</v>
      </c>
      <c r="L106" s="47">
        <v>15300000</v>
      </c>
      <c r="M106" s="47">
        <v>18800000</v>
      </c>
      <c r="N106" s="47">
        <v>23500000</v>
      </c>
      <c r="O106" s="47">
        <v>27400000</v>
      </c>
      <c r="P106" s="47">
        <v>30500000</v>
      </c>
      <c r="Q106" s="47">
        <v>32600000</v>
      </c>
      <c r="R106" s="47">
        <v>33300000</v>
      </c>
      <c r="S106" s="47">
        <v>34700000</v>
      </c>
      <c r="T106" s="47">
        <v>35400000</v>
      </c>
      <c r="U106" s="47">
        <v>35100000</v>
      </c>
      <c r="V106" s="47">
        <v>33900000</v>
      </c>
      <c r="W106" s="47">
        <v>31500000</v>
      </c>
      <c r="X106" s="47">
        <v>28900000</v>
      </c>
      <c r="Y106" s="47">
        <v>25700000</v>
      </c>
      <c r="Z106" s="47">
        <v>22800000</v>
      </c>
      <c r="AA106" s="47">
        <v>20200000</v>
      </c>
      <c r="AB106" s="47">
        <v>17800000</v>
      </c>
      <c r="AC106" s="47">
        <v>15300000</v>
      </c>
      <c r="AD106" t="str">
        <f t="shared" si="1"/>
        <v>Summer</v>
      </c>
      <c r="AE106" t="str">
        <f>INDEX('Category Mapping'!$B$2:$B$25,MATCH('Source Data'!A106,'Category Mapping'!$A$2:$A$25,0))</f>
        <v>Weekday</v>
      </c>
      <c r="AF106" t="str">
        <f>INDEX('Category Mapping'!$C$2:$C$25,MATCH('Source Data'!A106,'Category Mapping'!$A$2:$A$25,0))</f>
        <v>Commercial</v>
      </c>
      <c r="AG106" t="str">
        <f>INDEX('Category Mapping'!$D$2:$D$25,MATCH('Source Data'!A106,'Category Mapping'!$A$2:$A$25,0))</f>
        <v>Cooling</v>
      </c>
    </row>
    <row r="107" spans="1:33" x14ac:dyDescent="0.3">
      <c r="A107" s="45" t="s">
        <v>101</v>
      </c>
      <c r="B107" s="45">
        <v>2019</v>
      </c>
      <c r="C107" s="45">
        <v>3</v>
      </c>
      <c r="D107" s="45" t="s">
        <v>93</v>
      </c>
      <c r="E107" s="45">
        <v>9</v>
      </c>
      <c r="F107" s="46">
        <v>11200000</v>
      </c>
      <c r="G107" s="46">
        <v>10400000</v>
      </c>
      <c r="H107" s="46">
        <v>10100000</v>
      </c>
      <c r="I107" s="46">
        <v>10100000</v>
      </c>
      <c r="J107" s="46">
        <v>10300000</v>
      </c>
      <c r="K107" s="46">
        <v>11100000</v>
      </c>
      <c r="L107" s="46">
        <v>12700000</v>
      </c>
      <c r="M107" s="46">
        <v>15500000</v>
      </c>
      <c r="N107" s="46">
        <v>19400000</v>
      </c>
      <c r="O107" s="46">
        <v>22700000</v>
      </c>
      <c r="P107" s="46">
        <v>25300000</v>
      </c>
      <c r="Q107" s="46">
        <v>27000000</v>
      </c>
      <c r="R107" s="46">
        <v>27600000</v>
      </c>
      <c r="S107" s="46">
        <v>28700000</v>
      </c>
      <c r="T107" s="46">
        <v>29400000</v>
      </c>
      <c r="U107" s="46">
        <v>29100000</v>
      </c>
      <c r="V107" s="46">
        <v>28000000</v>
      </c>
      <c r="W107" s="46">
        <v>26100000</v>
      </c>
      <c r="X107" s="46">
        <v>23900000</v>
      </c>
      <c r="Y107" s="46">
        <v>21200000</v>
      </c>
      <c r="Z107" s="46">
        <v>18900000</v>
      </c>
      <c r="AA107" s="46">
        <v>16800000</v>
      </c>
      <c r="AB107" s="46">
        <v>14800000</v>
      </c>
      <c r="AC107" s="46">
        <v>12700000</v>
      </c>
      <c r="AD107" t="str">
        <f t="shared" si="1"/>
        <v>Fall</v>
      </c>
      <c r="AE107" t="str">
        <f>INDEX('Category Mapping'!$B$2:$B$25,MATCH('Source Data'!A107,'Category Mapping'!$A$2:$A$25,0))</f>
        <v>Weekday</v>
      </c>
      <c r="AF107" t="str">
        <f>INDEX('Category Mapping'!$C$2:$C$25,MATCH('Source Data'!A107,'Category Mapping'!$A$2:$A$25,0))</f>
        <v>Commercial</v>
      </c>
      <c r="AG107" t="str">
        <f>INDEX('Category Mapping'!$D$2:$D$25,MATCH('Source Data'!A107,'Category Mapping'!$A$2:$A$25,0))</f>
        <v>Cooling</v>
      </c>
    </row>
    <row r="108" spans="1:33" x14ac:dyDescent="0.3">
      <c r="A108" s="39" t="s">
        <v>101</v>
      </c>
      <c r="B108" s="39">
        <v>2019</v>
      </c>
      <c r="C108" s="39">
        <v>3</v>
      </c>
      <c r="D108" s="39" t="s">
        <v>93</v>
      </c>
      <c r="E108" s="39">
        <v>10</v>
      </c>
      <c r="F108" s="47">
        <v>8261717</v>
      </c>
      <c r="G108" s="47">
        <v>7678706</v>
      </c>
      <c r="H108" s="47">
        <v>7455931</v>
      </c>
      <c r="I108" s="47">
        <v>7414861</v>
      </c>
      <c r="J108" s="47">
        <v>7573118</v>
      </c>
      <c r="K108" s="47">
        <v>8081836</v>
      </c>
      <c r="L108" s="47">
        <v>9271993</v>
      </c>
      <c r="M108" s="47">
        <v>11400000</v>
      </c>
      <c r="N108" s="47">
        <v>14400000</v>
      </c>
      <c r="O108" s="47">
        <v>16900000</v>
      </c>
      <c r="P108" s="47">
        <v>19000000</v>
      </c>
      <c r="Q108" s="47">
        <v>20500000</v>
      </c>
      <c r="R108" s="47">
        <v>21100000</v>
      </c>
      <c r="S108" s="47">
        <v>22000000</v>
      </c>
      <c r="T108" s="47">
        <v>22500000</v>
      </c>
      <c r="U108" s="47">
        <v>22300000</v>
      </c>
      <c r="V108" s="47">
        <v>21400000</v>
      </c>
      <c r="W108" s="47">
        <v>19800000</v>
      </c>
      <c r="X108" s="47">
        <v>17900000</v>
      </c>
      <c r="Y108" s="47">
        <v>15800000</v>
      </c>
      <c r="Z108" s="47">
        <v>14000000</v>
      </c>
      <c r="AA108" s="47">
        <v>12400000</v>
      </c>
      <c r="AB108" s="47">
        <v>10900000</v>
      </c>
      <c r="AC108" s="47">
        <v>9410050</v>
      </c>
      <c r="AD108" t="str">
        <f t="shared" si="1"/>
        <v>Fall</v>
      </c>
      <c r="AE108" t="str">
        <f>INDEX('Category Mapping'!$B$2:$B$25,MATCH('Source Data'!A108,'Category Mapping'!$A$2:$A$25,0))</f>
        <v>Weekday</v>
      </c>
      <c r="AF108" t="str">
        <f>INDEX('Category Mapping'!$C$2:$C$25,MATCH('Source Data'!A108,'Category Mapping'!$A$2:$A$25,0))</f>
        <v>Commercial</v>
      </c>
      <c r="AG108" t="str">
        <f>INDEX('Category Mapping'!$D$2:$D$25,MATCH('Source Data'!A108,'Category Mapping'!$A$2:$A$25,0))</f>
        <v>Cooling</v>
      </c>
    </row>
    <row r="109" spans="1:33" x14ac:dyDescent="0.3">
      <c r="A109" s="45" t="s">
        <v>101</v>
      </c>
      <c r="B109" s="45">
        <v>2019</v>
      </c>
      <c r="C109" s="45">
        <v>3</v>
      </c>
      <c r="D109" s="45" t="s">
        <v>93</v>
      </c>
      <c r="E109" s="45">
        <v>11</v>
      </c>
      <c r="F109" s="46">
        <v>4876348</v>
      </c>
      <c r="G109" s="46">
        <v>4558526</v>
      </c>
      <c r="H109" s="46">
        <v>4432076</v>
      </c>
      <c r="I109" s="46">
        <v>4390038</v>
      </c>
      <c r="J109" s="46">
        <v>4436616</v>
      </c>
      <c r="K109" s="46">
        <v>4679419</v>
      </c>
      <c r="L109" s="46">
        <v>5333421</v>
      </c>
      <c r="M109" s="46">
        <v>6534257</v>
      </c>
      <c r="N109" s="46">
        <v>8291067</v>
      </c>
      <c r="O109" s="46">
        <v>9749892</v>
      </c>
      <c r="P109" s="46">
        <v>11000000</v>
      </c>
      <c r="Q109" s="46">
        <v>12000000</v>
      </c>
      <c r="R109" s="46">
        <v>12400000</v>
      </c>
      <c r="S109" s="46">
        <v>13100000</v>
      </c>
      <c r="T109" s="46">
        <v>13400000</v>
      </c>
      <c r="U109" s="46">
        <v>13300000</v>
      </c>
      <c r="V109" s="46">
        <v>12600000</v>
      </c>
      <c r="W109" s="46">
        <v>11500000</v>
      </c>
      <c r="X109" s="46">
        <v>10300000</v>
      </c>
      <c r="Y109" s="46">
        <v>9025953</v>
      </c>
      <c r="Z109" s="46">
        <v>8015545</v>
      </c>
      <c r="AA109" s="46">
        <v>7177799</v>
      </c>
      <c r="AB109" s="46">
        <v>6390570</v>
      </c>
      <c r="AC109" s="46">
        <v>5527602</v>
      </c>
      <c r="AD109" t="str">
        <f t="shared" si="1"/>
        <v>Winter</v>
      </c>
      <c r="AE109" t="str">
        <f>INDEX('Category Mapping'!$B$2:$B$25,MATCH('Source Data'!A109,'Category Mapping'!$A$2:$A$25,0))</f>
        <v>Weekday</v>
      </c>
      <c r="AF109" t="str">
        <f>INDEX('Category Mapping'!$C$2:$C$25,MATCH('Source Data'!A109,'Category Mapping'!$A$2:$A$25,0))</f>
        <v>Commercial</v>
      </c>
      <c r="AG109" t="str">
        <f>INDEX('Category Mapping'!$D$2:$D$25,MATCH('Source Data'!A109,'Category Mapping'!$A$2:$A$25,0))</f>
        <v>Cooling</v>
      </c>
    </row>
    <row r="110" spans="1:33" x14ac:dyDescent="0.3">
      <c r="A110" s="39" t="s">
        <v>101</v>
      </c>
      <c r="B110" s="39">
        <v>2019</v>
      </c>
      <c r="C110" s="39">
        <v>3</v>
      </c>
      <c r="D110" s="39" t="s">
        <v>93</v>
      </c>
      <c r="E110" s="39">
        <v>12</v>
      </c>
      <c r="F110" s="47">
        <v>3499869</v>
      </c>
      <c r="G110" s="47">
        <v>3275544</v>
      </c>
      <c r="H110" s="47">
        <v>3185426</v>
      </c>
      <c r="I110" s="47">
        <v>3150840</v>
      </c>
      <c r="J110" s="47">
        <v>3174410</v>
      </c>
      <c r="K110" s="47">
        <v>3327801</v>
      </c>
      <c r="L110" s="47">
        <v>3763747</v>
      </c>
      <c r="M110" s="47">
        <v>4595180</v>
      </c>
      <c r="N110" s="47">
        <v>5816860</v>
      </c>
      <c r="O110" s="47">
        <v>6787444</v>
      </c>
      <c r="P110" s="47">
        <v>7560162</v>
      </c>
      <c r="Q110" s="47">
        <v>8205309</v>
      </c>
      <c r="R110" s="47">
        <v>8511566</v>
      </c>
      <c r="S110" s="47">
        <v>8992174</v>
      </c>
      <c r="T110" s="47">
        <v>9260266</v>
      </c>
      <c r="U110" s="47">
        <v>9145174</v>
      </c>
      <c r="V110" s="47">
        <v>8677086</v>
      </c>
      <c r="W110" s="47">
        <v>7862556</v>
      </c>
      <c r="X110" s="47">
        <v>7048671</v>
      </c>
      <c r="Y110" s="47">
        <v>6251633</v>
      </c>
      <c r="Z110" s="47">
        <v>5612937</v>
      </c>
      <c r="AA110" s="47">
        <v>5071486</v>
      </c>
      <c r="AB110" s="47">
        <v>4546177</v>
      </c>
      <c r="AC110" s="47">
        <v>3955568</v>
      </c>
      <c r="AD110" t="str">
        <f t="shared" si="1"/>
        <v>Winter</v>
      </c>
      <c r="AE110" t="str">
        <f>INDEX('Category Mapping'!$B$2:$B$25,MATCH('Source Data'!A110,'Category Mapping'!$A$2:$A$25,0))</f>
        <v>Weekday</v>
      </c>
      <c r="AF110" t="str">
        <f>INDEX('Category Mapping'!$C$2:$C$25,MATCH('Source Data'!A110,'Category Mapping'!$A$2:$A$25,0))</f>
        <v>Commercial</v>
      </c>
      <c r="AG110" t="str">
        <f>INDEX('Category Mapping'!$D$2:$D$25,MATCH('Source Data'!A110,'Category Mapping'!$A$2:$A$25,0))</f>
        <v>Cooling</v>
      </c>
    </row>
    <row r="111" spans="1:33" x14ac:dyDescent="0.3">
      <c r="A111" s="45" t="s">
        <v>102</v>
      </c>
      <c r="B111" s="45">
        <v>2019</v>
      </c>
      <c r="C111" s="45">
        <v>3</v>
      </c>
      <c r="D111" s="45" t="s">
        <v>93</v>
      </c>
      <c r="E111" s="45">
        <v>1</v>
      </c>
      <c r="F111" s="46">
        <v>1560449</v>
      </c>
      <c r="G111" s="46">
        <v>1514293</v>
      </c>
      <c r="H111" s="46">
        <v>1496725</v>
      </c>
      <c r="I111" s="46">
        <v>1493332</v>
      </c>
      <c r="J111" s="46">
        <v>1505742</v>
      </c>
      <c r="K111" s="46">
        <v>1548367</v>
      </c>
      <c r="L111" s="46">
        <v>1647938</v>
      </c>
      <c r="M111" s="46">
        <v>1836466</v>
      </c>
      <c r="N111" s="46">
        <v>2115056</v>
      </c>
      <c r="O111" s="46">
        <v>2384733</v>
      </c>
      <c r="P111" s="46">
        <v>2650643</v>
      </c>
      <c r="Q111" s="46">
        <v>2920310</v>
      </c>
      <c r="R111" s="46">
        <v>3186640</v>
      </c>
      <c r="S111" s="46">
        <v>3356960</v>
      </c>
      <c r="T111" s="46">
        <v>3415699</v>
      </c>
      <c r="U111" s="46">
        <v>3357399</v>
      </c>
      <c r="V111" s="46">
        <v>3165696</v>
      </c>
      <c r="W111" s="46">
        <v>2862696</v>
      </c>
      <c r="X111" s="46">
        <v>2564665</v>
      </c>
      <c r="Y111" s="46">
        <v>2294668</v>
      </c>
      <c r="Z111" s="46">
        <v>2080778</v>
      </c>
      <c r="AA111" s="46">
        <v>1916529</v>
      </c>
      <c r="AB111" s="46">
        <v>1779458</v>
      </c>
      <c r="AC111" s="46">
        <v>1653890</v>
      </c>
      <c r="AD111" t="str">
        <f t="shared" si="1"/>
        <v>Winter</v>
      </c>
      <c r="AE111" t="str">
        <f>INDEX('Category Mapping'!$B$2:$B$25,MATCH('Source Data'!A111,'Category Mapping'!$A$2:$A$25,0))</f>
        <v>Weekend</v>
      </c>
      <c r="AF111" t="str">
        <f>INDEX('Category Mapping'!$C$2:$C$25,MATCH('Source Data'!A111,'Category Mapping'!$A$2:$A$25,0))</f>
        <v>Commercial</v>
      </c>
      <c r="AG111" t="str">
        <f>INDEX('Category Mapping'!$D$2:$D$25,MATCH('Source Data'!A111,'Category Mapping'!$A$2:$A$25,0))</f>
        <v>Cooling</v>
      </c>
    </row>
    <row r="112" spans="1:33" x14ac:dyDescent="0.3">
      <c r="A112" s="39" t="s">
        <v>102</v>
      </c>
      <c r="B112" s="39">
        <v>2019</v>
      </c>
      <c r="C112" s="39">
        <v>3</v>
      </c>
      <c r="D112" s="39" t="s">
        <v>93</v>
      </c>
      <c r="E112" s="39">
        <v>2</v>
      </c>
      <c r="F112" s="47">
        <v>1783670</v>
      </c>
      <c r="G112" s="47">
        <v>1724867</v>
      </c>
      <c r="H112" s="47">
        <v>1703068</v>
      </c>
      <c r="I112" s="47">
        <v>1701521</v>
      </c>
      <c r="J112" s="47">
        <v>1722740</v>
      </c>
      <c r="K112" s="47">
        <v>1786584</v>
      </c>
      <c r="L112" s="47">
        <v>1929207</v>
      </c>
      <c r="M112" s="47">
        <v>2174473</v>
      </c>
      <c r="N112" s="47">
        <v>2551403</v>
      </c>
      <c r="O112" s="47">
        <v>2952658</v>
      </c>
      <c r="P112" s="47">
        <v>3383547</v>
      </c>
      <c r="Q112" s="47">
        <v>3797061</v>
      </c>
      <c r="R112" s="47">
        <v>4124663</v>
      </c>
      <c r="S112" s="47">
        <v>4324257</v>
      </c>
      <c r="T112" s="47">
        <v>4392580</v>
      </c>
      <c r="U112" s="47">
        <v>4324747</v>
      </c>
      <c r="V112" s="47">
        <v>4101337</v>
      </c>
      <c r="W112" s="47">
        <v>3732894</v>
      </c>
      <c r="X112" s="47">
        <v>3287790</v>
      </c>
      <c r="Y112" s="47">
        <v>2852348</v>
      </c>
      <c r="Z112" s="47">
        <v>2513226</v>
      </c>
      <c r="AA112" s="47">
        <v>2263643</v>
      </c>
      <c r="AB112" s="47">
        <v>2075687</v>
      </c>
      <c r="AC112" s="47">
        <v>1904109</v>
      </c>
      <c r="AD112" t="str">
        <f t="shared" si="1"/>
        <v>Winter</v>
      </c>
      <c r="AE112" t="str">
        <f>INDEX('Category Mapping'!$B$2:$B$25,MATCH('Source Data'!A112,'Category Mapping'!$A$2:$A$25,0))</f>
        <v>Weekend</v>
      </c>
      <c r="AF112" t="str">
        <f>INDEX('Category Mapping'!$C$2:$C$25,MATCH('Source Data'!A112,'Category Mapping'!$A$2:$A$25,0))</f>
        <v>Commercial</v>
      </c>
      <c r="AG112" t="str">
        <f>INDEX('Category Mapping'!$D$2:$D$25,MATCH('Source Data'!A112,'Category Mapping'!$A$2:$A$25,0))</f>
        <v>Cooling</v>
      </c>
    </row>
    <row r="113" spans="1:33" x14ac:dyDescent="0.3">
      <c r="A113" s="45" t="s">
        <v>102</v>
      </c>
      <c r="B113" s="45">
        <v>2019</v>
      </c>
      <c r="C113" s="45">
        <v>3</v>
      </c>
      <c r="D113" s="45" t="s">
        <v>93</v>
      </c>
      <c r="E113" s="45">
        <v>3</v>
      </c>
      <c r="F113" s="46">
        <v>3019218</v>
      </c>
      <c r="G113" s="46">
        <v>2903739</v>
      </c>
      <c r="H113" s="46">
        <v>2863415</v>
      </c>
      <c r="I113" s="46">
        <v>2865623</v>
      </c>
      <c r="J113" s="46">
        <v>2919741</v>
      </c>
      <c r="K113" s="46">
        <v>3053866</v>
      </c>
      <c r="L113" s="46">
        <v>3321750</v>
      </c>
      <c r="M113" s="46">
        <v>3823036</v>
      </c>
      <c r="N113" s="46">
        <v>4591203</v>
      </c>
      <c r="O113" s="46">
        <v>5420865</v>
      </c>
      <c r="P113" s="46">
        <v>6290967</v>
      </c>
      <c r="Q113" s="46">
        <v>7020576</v>
      </c>
      <c r="R113" s="46">
        <v>7584195</v>
      </c>
      <c r="S113" s="46">
        <v>7927102</v>
      </c>
      <c r="T113" s="46">
        <v>8044300</v>
      </c>
      <c r="U113" s="46">
        <v>7927901</v>
      </c>
      <c r="V113" s="46">
        <v>7546112</v>
      </c>
      <c r="W113" s="46">
        <v>6915814</v>
      </c>
      <c r="X113" s="46">
        <v>6134630</v>
      </c>
      <c r="Y113" s="46">
        <v>5257093</v>
      </c>
      <c r="Z113" s="46">
        <v>4528874</v>
      </c>
      <c r="AA113" s="46">
        <v>3968619</v>
      </c>
      <c r="AB113" s="46">
        <v>3560900</v>
      </c>
      <c r="AC113" s="46">
        <v>3245743</v>
      </c>
      <c r="AD113" t="str">
        <f t="shared" si="1"/>
        <v>Spring</v>
      </c>
      <c r="AE113" t="str">
        <f>INDEX('Category Mapping'!$B$2:$B$25,MATCH('Source Data'!A113,'Category Mapping'!$A$2:$A$25,0))</f>
        <v>Weekend</v>
      </c>
      <c r="AF113" t="str">
        <f>INDEX('Category Mapping'!$C$2:$C$25,MATCH('Source Data'!A113,'Category Mapping'!$A$2:$A$25,0))</f>
        <v>Commercial</v>
      </c>
      <c r="AG113" t="str">
        <f>INDEX('Category Mapping'!$D$2:$D$25,MATCH('Source Data'!A113,'Category Mapping'!$A$2:$A$25,0))</f>
        <v>Cooling</v>
      </c>
    </row>
    <row r="114" spans="1:33" x14ac:dyDescent="0.3">
      <c r="A114" s="39" t="s">
        <v>102</v>
      </c>
      <c r="B114" s="39">
        <v>2019</v>
      </c>
      <c r="C114" s="39">
        <v>3</v>
      </c>
      <c r="D114" s="39" t="s">
        <v>93</v>
      </c>
      <c r="E114" s="39">
        <v>4</v>
      </c>
      <c r="F114" s="47">
        <v>5089569</v>
      </c>
      <c r="G114" s="47">
        <v>4863452</v>
      </c>
      <c r="H114" s="47">
        <v>4787601</v>
      </c>
      <c r="I114" s="47">
        <v>4802454</v>
      </c>
      <c r="J114" s="47">
        <v>4930375</v>
      </c>
      <c r="K114" s="47">
        <v>5208711</v>
      </c>
      <c r="L114" s="47">
        <v>5764899</v>
      </c>
      <c r="M114" s="47">
        <v>6731986</v>
      </c>
      <c r="N114" s="47">
        <v>8122178</v>
      </c>
      <c r="O114" s="47">
        <v>9647090</v>
      </c>
      <c r="P114" s="47">
        <v>11200000</v>
      </c>
      <c r="Q114" s="47">
        <v>12400000</v>
      </c>
      <c r="R114" s="47">
        <v>13300000</v>
      </c>
      <c r="S114" s="47">
        <v>13900000</v>
      </c>
      <c r="T114" s="47">
        <v>14100000</v>
      </c>
      <c r="U114" s="47">
        <v>13900000</v>
      </c>
      <c r="V114" s="47">
        <v>13300000</v>
      </c>
      <c r="W114" s="47">
        <v>12200000</v>
      </c>
      <c r="X114" s="47">
        <v>10900000</v>
      </c>
      <c r="Y114" s="47">
        <v>9385005</v>
      </c>
      <c r="Z114" s="47">
        <v>8022431</v>
      </c>
      <c r="AA114" s="47">
        <v>6964964</v>
      </c>
      <c r="AB114" s="47">
        <v>6147615</v>
      </c>
      <c r="AC114" s="47">
        <v>5515775</v>
      </c>
      <c r="AD114" t="str">
        <f t="shared" si="1"/>
        <v>Spring</v>
      </c>
      <c r="AE114" t="str">
        <f>INDEX('Category Mapping'!$B$2:$B$25,MATCH('Source Data'!A114,'Category Mapping'!$A$2:$A$25,0))</f>
        <v>Weekend</v>
      </c>
      <c r="AF114" t="str">
        <f>INDEX('Category Mapping'!$C$2:$C$25,MATCH('Source Data'!A114,'Category Mapping'!$A$2:$A$25,0))</f>
        <v>Commercial</v>
      </c>
      <c r="AG114" t="str">
        <f>INDEX('Category Mapping'!$D$2:$D$25,MATCH('Source Data'!A114,'Category Mapping'!$A$2:$A$25,0))</f>
        <v>Cooling</v>
      </c>
    </row>
    <row r="115" spans="1:33" x14ac:dyDescent="0.3">
      <c r="A115" s="45" t="s">
        <v>102</v>
      </c>
      <c r="B115" s="45">
        <v>2019</v>
      </c>
      <c r="C115" s="45">
        <v>3</v>
      </c>
      <c r="D115" s="45" t="s">
        <v>93</v>
      </c>
      <c r="E115" s="45">
        <v>5</v>
      </c>
      <c r="F115" s="46">
        <v>6261205</v>
      </c>
      <c r="G115" s="46">
        <v>5975154</v>
      </c>
      <c r="H115" s="46">
        <v>5877925</v>
      </c>
      <c r="I115" s="46">
        <v>5906101</v>
      </c>
      <c r="J115" s="46">
        <v>6080987</v>
      </c>
      <c r="K115" s="46">
        <v>6484323</v>
      </c>
      <c r="L115" s="46">
        <v>7263117</v>
      </c>
      <c r="M115" s="46">
        <v>8479593</v>
      </c>
      <c r="N115" s="46">
        <v>10100000</v>
      </c>
      <c r="O115" s="46">
        <v>11800000</v>
      </c>
      <c r="P115" s="46">
        <v>13300000</v>
      </c>
      <c r="Q115" s="46">
        <v>14600000</v>
      </c>
      <c r="R115" s="46">
        <v>15500000</v>
      </c>
      <c r="S115" s="46">
        <v>16100000</v>
      </c>
      <c r="T115" s="46">
        <v>16300000</v>
      </c>
      <c r="U115" s="46">
        <v>16100000</v>
      </c>
      <c r="V115" s="46">
        <v>15400000</v>
      </c>
      <c r="W115" s="46">
        <v>14400000</v>
      </c>
      <c r="X115" s="46">
        <v>13100000</v>
      </c>
      <c r="Y115" s="46">
        <v>11500000</v>
      </c>
      <c r="Z115" s="46">
        <v>10000000</v>
      </c>
      <c r="AA115" s="46">
        <v>8743339</v>
      </c>
      <c r="AB115" s="46">
        <v>7696374</v>
      </c>
      <c r="AC115" s="46">
        <v>6831938</v>
      </c>
      <c r="AD115" t="str">
        <f t="shared" si="1"/>
        <v>Spring</v>
      </c>
      <c r="AE115" t="str">
        <f>INDEX('Category Mapping'!$B$2:$B$25,MATCH('Source Data'!A115,'Category Mapping'!$A$2:$A$25,0))</f>
        <v>Weekend</v>
      </c>
      <c r="AF115" t="str">
        <f>INDEX('Category Mapping'!$C$2:$C$25,MATCH('Source Data'!A115,'Category Mapping'!$A$2:$A$25,0))</f>
        <v>Commercial</v>
      </c>
      <c r="AG115" t="str">
        <f>INDEX('Category Mapping'!$D$2:$D$25,MATCH('Source Data'!A115,'Category Mapping'!$A$2:$A$25,0))</f>
        <v>Cooling</v>
      </c>
    </row>
    <row r="116" spans="1:33" x14ac:dyDescent="0.3">
      <c r="A116" s="39" t="s">
        <v>102</v>
      </c>
      <c r="B116" s="39">
        <v>2019</v>
      </c>
      <c r="C116" s="39">
        <v>3</v>
      </c>
      <c r="D116" s="39" t="s">
        <v>93</v>
      </c>
      <c r="E116" s="39">
        <v>6</v>
      </c>
      <c r="F116" s="47">
        <v>6550967</v>
      </c>
      <c r="G116" s="47">
        <v>6242354</v>
      </c>
      <c r="H116" s="47">
        <v>6131413</v>
      </c>
      <c r="I116" s="47">
        <v>6174221</v>
      </c>
      <c r="J116" s="47">
        <v>6373149</v>
      </c>
      <c r="K116" s="47">
        <v>6785526</v>
      </c>
      <c r="L116" s="47">
        <v>7530324</v>
      </c>
      <c r="M116" s="47">
        <v>8676219</v>
      </c>
      <c r="N116" s="47">
        <v>10200000</v>
      </c>
      <c r="O116" s="47">
        <v>11700000</v>
      </c>
      <c r="P116" s="47">
        <v>13000000</v>
      </c>
      <c r="Q116" s="47">
        <v>14100000</v>
      </c>
      <c r="R116" s="47">
        <v>14900000</v>
      </c>
      <c r="S116" s="47">
        <v>15400000</v>
      </c>
      <c r="T116" s="47">
        <v>15600000</v>
      </c>
      <c r="U116" s="47">
        <v>15400000</v>
      </c>
      <c r="V116" s="47">
        <v>14900000</v>
      </c>
      <c r="W116" s="47">
        <v>13900000</v>
      </c>
      <c r="X116" s="47">
        <v>12800000</v>
      </c>
      <c r="Y116" s="47">
        <v>11400000</v>
      </c>
      <c r="Z116" s="47">
        <v>10100000</v>
      </c>
      <c r="AA116" s="47">
        <v>8936453</v>
      </c>
      <c r="AB116" s="47">
        <v>7957811</v>
      </c>
      <c r="AC116" s="47">
        <v>7128512</v>
      </c>
      <c r="AD116" t="str">
        <f t="shared" si="1"/>
        <v>Summer</v>
      </c>
      <c r="AE116" t="str">
        <f>INDEX('Category Mapping'!$B$2:$B$25,MATCH('Source Data'!A116,'Category Mapping'!$A$2:$A$25,0))</f>
        <v>Weekend</v>
      </c>
      <c r="AF116" t="str">
        <f>INDEX('Category Mapping'!$C$2:$C$25,MATCH('Source Data'!A116,'Category Mapping'!$A$2:$A$25,0))</f>
        <v>Commercial</v>
      </c>
      <c r="AG116" t="str">
        <f>INDEX('Category Mapping'!$D$2:$D$25,MATCH('Source Data'!A116,'Category Mapping'!$A$2:$A$25,0))</f>
        <v>Cooling</v>
      </c>
    </row>
    <row r="117" spans="1:33" x14ac:dyDescent="0.3">
      <c r="A117" s="45" t="s">
        <v>102</v>
      </c>
      <c r="B117" s="45">
        <v>2019</v>
      </c>
      <c r="C117" s="45">
        <v>3</v>
      </c>
      <c r="D117" s="45" t="s">
        <v>93</v>
      </c>
      <c r="E117" s="45">
        <v>7</v>
      </c>
      <c r="F117" s="46">
        <v>6819776</v>
      </c>
      <c r="G117" s="46">
        <v>6524102</v>
      </c>
      <c r="H117" s="46">
        <v>6416161</v>
      </c>
      <c r="I117" s="46">
        <v>6453155</v>
      </c>
      <c r="J117" s="46">
        <v>6634616</v>
      </c>
      <c r="K117" s="46">
        <v>7020469</v>
      </c>
      <c r="L117" s="46">
        <v>7734368</v>
      </c>
      <c r="M117" s="46">
        <v>8811546</v>
      </c>
      <c r="N117" s="46">
        <v>10200000</v>
      </c>
      <c r="O117" s="46">
        <v>11600000</v>
      </c>
      <c r="P117" s="46">
        <v>12800000</v>
      </c>
      <c r="Q117" s="46">
        <v>13800000</v>
      </c>
      <c r="R117" s="46">
        <v>14600000</v>
      </c>
      <c r="S117" s="46">
        <v>15000000</v>
      </c>
      <c r="T117" s="46">
        <v>15200000</v>
      </c>
      <c r="U117" s="46">
        <v>15000000</v>
      </c>
      <c r="V117" s="46">
        <v>14500000</v>
      </c>
      <c r="W117" s="46">
        <v>13600000</v>
      </c>
      <c r="X117" s="46">
        <v>12500000</v>
      </c>
      <c r="Y117" s="46">
        <v>11300000</v>
      </c>
      <c r="Z117" s="46">
        <v>10100000</v>
      </c>
      <c r="AA117" s="46">
        <v>9082526</v>
      </c>
      <c r="AB117" s="46">
        <v>8179508</v>
      </c>
      <c r="AC117" s="46">
        <v>7377618</v>
      </c>
      <c r="AD117" t="str">
        <f t="shared" si="1"/>
        <v>Summer</v>
      </c>
      <c r="AE117" t="str">
        <f>INDEX('Category Mapping'!$B$2:$B$25,MATCH('Source Data'!A117,'Category Mapping'!$A$2:$A$25,0))</f>
        <v>Weekend</v>
      </c>
      <c r="AF117" t="str">
        <f>INDEX('Category Mapping'!$C$2:$C$25,MATCH('Source Data'!A117,'Category Mapping'!$A$2:$A$25,0))</f>
        <v>Commercial</v>
      </c>
      <c r="AG117" t="str">
        <f>INDEX('Category Mapping'!$D$2:$D$25,MATCH('Source Data'!A117,'Category Mapping'!$A$2:$A$25,0))</f>
        <v>Cooling</v>
      </c>
    </row>
    <row r="118" spans="1:33" x14ac:dyDescent="0.3">
      <c r="A118" s="39" t="s">
        <v>102</v>
      </c>
      <c r="B118" s="39">
        <v>2019</v>
      </c>
      <c r="C118" s="39">
        <v>3</v>
      </c>
      <c r="D118" s="39" t="s">
        <v>93</v>
      </c>
      <c r="E118" s="39">
        <v>8</v>
      </c>
      <c r="F118" s="47">
        <v>6606283</v>
      </c>
      <c r="G118" s="47">
        <v>6320708</v>
      </c>
      <c r="H118" s="47">
        <v>6217235</v>
      </c>
      <c r="I118" s="47">
        <v>6250795</v>
      </c>
      <c r="J118" s="47">
        <v>6423820</v>
      </c>
      <c r="K118" s="47">
        <v>6801691</v>
      </c>
      <c r="L118" s="47">
        <v>7499479</v>
      </c>
      <c r="M118" s="47">
        <v>8583918</v>
      </c>
      <c r="N118" s="47">
        <v>10000000</v>
      </c>
      <c r="O118" s="47">
        <v>11400000</v>
      </c>
      <c r="P118" s="47">
        <v>12700000</v>
      </c>
      <c r="Q118" s="47">
        <v>13800000</v>
      </c>
      <c r="R118" s="47">
        <v>14600000</v>
      </c>
      <c r="S118" s="47">
        <v>15000000</v>
      </c>
      <c r="T118" s="47">
        <v>15200000</v>
      </c>
      <c r="U118" s="47">
        <v>15000000</v>
      </c>
      <c r="V118" s="47">
        <v>14500000</v>
      </c>
      <c r="W118" s="47">
        <v>13600000</v>
      </c>
      <c r="X118" s="47">
        <v>12400000</v>
      </c>
      <c r="Y118" s="47">
        <v>11100000</v>
      </c>
      <c r="Z118" s="47">
        <v>9909695</v>
      </c>
      <c r="AA118" s="47">
        <v>8850952</v>
      </c>
      <c r="AB118" s="47">
        <v>7938137</v>
      </c>
      <c r="AC118" s="47">
        <v>7153640</v>
      </c>
      <c r="AD118" t="str">
        <f t="shared" si="1"/>
        <v>Summer</v>
      </c>
      <c r="AE118" t="str">
        <f>INDEX('Category Mapping'!$B$2:$B$25,MATCH('Source Data'!A118,'Category Mapping'!$A$2:$A$25,0))</f>
        <v>Weekend</v>
      </c>
      <c r="AF118" t="str">
        <f>INDEX('Category Mapping'!$C$2:$C$25,MATCH('Source Data'!A118,'Category Mapping'!$A$2:$A$25,0))</f>
        <v>Commercial</v>
      </c>
      <c r="AG118" t="str">
        <f>INDEX('Category Mapping'!$D$2:$D$25,MATCH('Source Data'!A118,'Category Mapping'!$A$2:$A$25,0))</f>
        <v>Cooling</v>
      </c>
    </row>
    <row r="119" spans="1:33" x14ac:dyDescent="0.3">
      <c r="A119" s="45" t="s">
        <v>102</v>
      </c>
      <c r="B119" s="45">
        <v>2019</v>
      </c>
      <c r="C119" s="45">
        <v>3</v>
      </c>
      <c r="D119" s="45" t="s">
        <v>93</v>
      </c>
      <c r="E119" s="45">
        <v>9</v>
      </c>
      <c r="F119" s="46">
        <v>5528281</v>
      </c>
      <c r="G119" s="46">
        <v>5299296</v>
      </c>
      <c r="H119" s="46">
        <v>5215374</v>
      </c>
      <c r="I119" s="46">
        <v>5239416</v>
      </c>
      <c r="J119" s="46">
        <v>5372005</v>
      </c>
      <c r="K119" s="46">
        <v>5672727</v>
      </c>
      <c r="L119" s="46">
        <v>6225579</v>
      </c>
      <c r="M119" s="46">
        <v>7098490</v>
      </c>
      <c r="N119" s="46">
        <v>8271516</v>
      </c>
      <c r="O119" s="46">
        <v>9418011</v>
      </c>
      <c r="P119" s="46">
        <v>10500000</v>
      </c>
      <c r="Q119" s="46">
        <v>11400000</v>
      </c>
      <c r="R119" s="46">
        <v>12000000</v>
      </c>
      <c r="S119" s="46">
        <v>12400000</v>
      </c>
      <c r="T119" s="46">
        <v>12600000</v>
      </c>
      <c r="U119" s="46">
        <v>12400000</v>
      </c>
      <c r="V119" s="46">
        <v>12000000</v>
      </c>
      <c r="W119" s="46">
        <v>11200000</v>
      </c>
      <c r="X119" s="46">
        <v>10300000</v>
      </c>
      <c r="Y119" s="46">
        <v>9160729</v>
      </c>
      <c r="Z119" s="46">
        <v>8173597</v>
      </c>
      <c r="AA119" s="46">
        <v>7327199</v>
      </c>
      <c r="AB119" s="46">
        <v>6601280</v>
      </c>
      <c r="AC119" s="46">
        <v>5974164</v>
      </c>
      <c r="AD119" t="str">
        <f t="shared" si="1"/>
        <v>Fall</v>
      </c>
      <c r="AE119" t="str">
        <f>INDEX('Category Mapping'!$B$2:$B$25,MATCH('Source Data'!A119,'Category Mapping'!$A$2:$A$25,0))</f>
        <v>Weekend</v>
      </c>
      <c r="AF119" t="str">
        <f>INDEX('Category Mapping'!$C$2:$C$25,MATCH('Source Data'!A119,'Category Mapping'!$A$2:$A$25,0))</f>
        <v>Commercial</v>
      </c>
      <c r="AG119" t="str">
        <f>INDEX('Category Mapping'!$D$2:$D$25,MATCH('Source Data'!A119,'Category Mapping'!$A$2:$A$25,0))</f>
        <v>Cooling</v>
      </c>
    </row>
    <row r="120" spans="1:33" x14ac:dyDescent="0.3">
      <c r="A120" s="39" t="s">
        <v>102</v>
      </c>
      <c r="B120" s="39">
        <v>2019</v>
      </c>
      <c r="C120" s="39">
        <v>3</v>
      </c>
      <c r="D120" s="39" t="s">
        <v>93</v>
      </c>
      <c r="E120" s="39">
        <v>10</v>
      </c>
      <c r="F120" s="47">
        <v>4096613</v>
      </c>
      <c r="G120" s="47">
        <v>3925641</v>
      </c>
      <c r="H120" s="47">
        <v>3865480</v>
      </c>
      <c r="I120" s="47">
        <v>3877677</v>
      </c>
      <c r="J120" s="47">
        <v>3971435</v>
      </c>
      <c r="K120" s="47">
        <v>4176177</v>
      </c>
      <c r="L120" s="47">
        <v>4565252</v>
      </c>
      <c r="M120" s="47">
        <v>5201178</v>
      </c>
      <c r="N120" s="47">
        <v>6092611</v>
      </c>
      <c r="O120" s="47">
        <v>6982665</v>
      </c>
      <c r="P120" s="47">
        <v>7884440</v>
      </c>
      <c r="Q120" s="47">
        <v>8640749</v>
      </c>
      <c r="R120" s="47">
        <v>9223532</v>
      </c>
      <c r="S120" s="47">
        <v>9574237</v>
      </c>
      <c r="T120" s="47">
        <v>9693894</v>
      </c>
      <c r="U120" s="47">
        <v>9575243</v>
      </c>
      <c r="V120" s="47">
        <v>9175610</v>
      </c>
      <c r="W120" s="47">
        <v>8508919</v>
      </c>
      <c r="X120" s="47">
        <v>7687711</v>
      </c>
      <c r="Y120" s="47">
        <v>6776582</v>
      </c>
      <c r="Z120" s="47">
        <v>6014178</v>
      </c>
      <c r="AA120" s="47">
        <v>5384375</v>
      </c>
      <c r="AB120" s="47">
        <v>4866190</v>
      </c>
      <c r="AC120" s="47">
        <v>4417629</v>
      </c>
      <c r="AD120" t="str">
        <f t="shared" si="1"/>
        <v>Fall</v>
      </c>
      <c r="AE120" t="str">
        <f>INDEX('Category Mapping'!$B$2:$B$25,MATCH('Source Data'!A120,'Category Mapping'!$A$2:$A$25,0))</f>
        <v>Weekend</v>
      </c>
      <c r="AF120" t="str">
        <f>INDEX('Category Mapping'!$C$2:$C$25,MATCH('Source Data'!A120,'Category Mapping'!$A$2:$A$25,0))</f>
        <v>Commercial</v>
      </c>
      <c r="AG120" t="str">
        <f>INDEX('Category Mapping'!$D$2:$D$25,MATCH('Source Data'!A120,'Category Mapping'!$A$2:$A$25,0))</f>
        <v>Cooling</v>
      </c>
    </row>
    <row r="121" spans="1:33" x14ac:dyDescent="0.3">
      <c r="A121" s="45" t="s">
        <v>102</v>
      </c>
      <c r="B121" s="45">
        <v>2019</v>
      </c>
      <c r="C121" s="45">
        <v>3</v>
      </c>
      <c r="D121" s="45" t="s">
        <v>93</v>
      </c>
      <c r="E121" s="45">
        <v>11</v>
      </c>
      <c r="F121" s="46">
        <v>2450696</v>
      </c>
      <c r="G121" s="46">
        <v>2369488</v>
      </c>
      <c r="H121" s="46">
        <v>2339041</v>
      </c>
      <c r="I121" s="46">
        <v>2338189</v>
      </c>
      <c r="J121" s="46">
        <v>2369008</v>
      </c>
      <c r="K121" s="46">
        <v>2456887</v>
      </c>
      <c r="L121" s="46">
        <v>2651701</v>
      </c>
      <c r="M121" s="46">
        <v>2986216</v>
      </c>
      <c r="N121" s="46">
        <v>3473270</v>
      </c>
      <c r="O121" s="46">
        <v>3972086</v>
      </c>
      <c r="P121" s="46">
        <v>4486810</v>
      </c>
      <c r="Q121" s="46">
        <v>5013663</v>
      </c>
      <c r="R121" s="46">
        <v>5438031</v>
      </c>
      <c r="S121" s="46">
        <v>5694807</v>
      </c>
      <c r="T121" s="46">
        <v>5782378</v>
      </c>
      <c r="U121" s="46">
        <v>5695463</v>
      </c>
      <c r="V121" s="46">
        <v>5406758</v>
      </c>
      <c r="W121" s="46">
        <v>4927635</v>
      </c>
      <c r="X121" s="46">
        <v>4358429</v>
      </c>
      <c r="Y121" s="46">
        <v>3837601</v>
      </c>
      <c r="Z121" s="46">
        <v>3422086</v>
      </c>
      <c r="AA121" s="46">
        <v>3105765</v>
      </c>
      <c r="AB121" s="46">
        <v>2848085</v>
      </c>
      <c r="AC121" s="46">
        <v>2614452</v>
      </c>
      <c r="AD121" t="str">
        <f t="shared" si="1"/>
        <v>Winter</v>
      </c>
      <c r="AE121" t="str">
        <f>INDEX('Category Mapping'!$B$2:$B$25,MATCH('Source Data'!A121,'Category Mapping'!$A$2:$A$25,0))</f>
        <v>Weekend</v>
      </c>
      <c r="AF121" t="str">
        <f>INDEX('Category Mapping'!$C$2:$C$25,MATCH('Source Data'!A121,'Category Mapping'!$A$2:$A$25,0))</f>
        <v>Commercial</v>
      </c>
      <c r="AG121" t="str">
        <f>INDEX('Category Mapping'!$D$2:$D$25,MATCH('Source Data'!A121,'Category Mapping'!$A$2:$A$25,0))</f>
        <v>Cooling</v>
      </c>
    </row>
    <row r="122" spans="1:33" x14ac:dyDescent="0.3">
      <c r="A122" s="39" t="s">
        <v>102</v>
      </c>
      <c r="B122" s="39">
        <v>2019</v>
      </c>
      <c r="C122" s="39">
        <v>3</v>
      </c>
      <c r="D122" s="39" t="s">
        <v>93</v>
      </c>
      <c r="E122" s="39">
        <v>12</v>
      </c>
      <c r="F122" s="47">
        <v>1781765</v>
      </c>
      <c r="G122" s="47">
        <v>1726850</v>
      </c>
      <c r="H122" s="47">
        <v>1705910</v>
      </c>
      <c r="I122" s="47">
        <v>1703303</v>
      </c>
      <c r="J122" s="47">
        <v>1720311</v>
      </c>
      <c r="K122" s="47">
        <v>1771516</v>
      </c>
      <c r="L122" s="47">
        <v>1890827</v>
      </c>
      <c r="M122" s="47">
        <v>2110000</v>
      </c>
      <c r="N122" s="47">
        <v>2431892</v>
      </c>
      <c r="O122" s="47">
        <v>2745329</v>
      </c>
      <c r="P122" s="47">
        <v>3060206</v>
      </c>
      <c r="Q122" s="47">
        <v>3396867</v>
      </c>
      <c r="R122" s="47">
        <v>3710316</v>
      </c>
      <c r="S122" s="47">
        <v>3903413</v>
      </c>
      <c r="T122" s="47">
        <v>3970089</v>
      </c>
      <c r="U122" s="47">
        <v>3903906</v>
      </c>
      <c r="V122" s="47">
        <v>3686790</v>
      </c>
      <c r="W122" s="47">
        <v>3332147</v>
      </c>
      <c r="X122" s="47">
        <v>2963625</v>
      </c>
      <c r="Y122" s="47">
        <v>2644156</v>
      </c>
      <c r="Z122" s="47">
        <v>2393387</v>
      </c>
      <c r="AA122" s="47">
        <v>2199937</v>
      </c>
      <c r="AB122" s="47">
        <v>2038567</v>
      </c>
      <c r="AC122" s="47">
        <v>1890052</v>
      </c>
      <c r="AD122" t="str">
        <f t="shared" si="1"/>
        <v>Winter</v>
      </c>
      <c r="AE122" t="str">
        <f>INDEX('Category Mapping'!$B$2:$B$25,MATCH('Source Data'!A122,'Category Mapping'!$A$2:$A$25,0))</f>
        <v>Weekend</v>
      </c>
      <c r="AF122" t="str">
        <f>INDEX('Category Mapping'!$C$2:$C$25,MATCH('Source Data'!A122,'Category Mapping'!$A$2:$A$25,0))</f>
        <v>Commercial</v>
      </c>
      <c r="AG122" t="str">
        <f>INDEX('Category Mapping'!$D$2:$D$25,MATCH('Source Data'!A122,'Category Mapping'!$A$2:$A$25,0))</f>
        <v>Cooling</v>
      </c>
    </row>
    <row r="123" spans="1:33" x14ac:dyDescent="0.3">
      <c r="A123" s="45" t="s">
        <v>103</v>
      </c>
      <c r="B123" s="45">
        <v>2019</v>
      </c>
      <c r="C123" s="45">
        <v>3</v>
      </c>
      <c r="D123" s="45" t="s">
        <v>93</v>
      </c>
      <c r="E123" s="45">
        <v>1</v>
      </c>
      <c r="F123" s="46">
        <v>4727468</v>
      </c>
      <c r="G123" s="46">
        <v>4314194</v>
      </c>
      <c r="H123" s="46">
        <v>3895355</v>
      </c>
      <c r="I123" s="46">
        <v>4058087</v>
      </c>
      <c r="J123" s="46">
        <v>4265312</v>
      </c>
      <c r="K123" s="46">
        <v>4340604</v>
      </c>
      <c r="L123" s="46">
        <v>6307580</v>
      </c>
      <c r="M123" s="46">
        <v>13400000</v>
      </c>
      <c r="N123" s="46">
        <v>14200000</v>
      </c>
      <c r="O123" s="46">
        <v>10300000</v>
      </c>
      <c r="P123" s="46">
        <v>8588184</v>
      </c>
      <c r="Q123" s="46">
        <v>7552858</v>
      </c>
      <c r="R123" s="46">
        <v>6683159</v>
      </c>
      <c r="S123" s="46">
        <v>6266982</v>
      </c>
      <c r="T123" s="46">
        <v>5872667</v>
      </c>
      <c r="U123" s="46">
        <v>5648055</v>
      </c>
      <c r="V123" s="46">
        <v>5535403</v>
      </c>
      <c r="W123" s="46">
        <v>5630097</v>
      </c>
      <c r="X123" s="46">
        <v>6504277</v>
      </c>
      <c r="Y123" s="46">
        <v>7314252</v>
      </c>
      <c r="Z123" s="46">
        <v>7782411</v>
      </c>
      <c r="AA123" s="46">
        <v>8407885</v>
      </c>
      <c r="AB123" s="46">
        <v>8420674</v>
      </c>
      <c r="AC123" s="46">
        <v>3867113</v>
      </c>
      <c r="AD123" t="str">
        <f t="shared" si="1"/>
        <v>Winter</v>
      </c>
      <c r="AE123" t="str">
        <f>INDEX('Category Mapping'!$B$2:$B$25,MATCH('Source Data'!A123,'Category Mapping'!$A$2:$A$25,0))</f>
        <v>Weekday</v>
      </c>
      <c r="AF123" t="str">
        <f>INDEX('Category Mapping'!$C$2:$C$25,MATCH('Source Data'!A123,'Category Mapping'!$A$2:$A$25,0))</f>
        <v>Commercial</v>
      </c>
      <c r="AG123" t="str">
        <f>INDEX('Category Mapping'!$D$2:$D$25,MATCH('Source Data'!A123,'Category Mapping'!$A$2:$A$25,0))</f>
        <v>Heating</v>
      </c>
    </row>
    <row r="124" spans="1:33" x14ac:dyDescent="0.3">
      <c r="A124" s="39" t="s">
        <v>103</v>
      </c>
      <c r="B124" s="39">
        <v>2019</v>
      </c>
      <c r="C124" s="39">
        <v>3</v>
      </c>
      <c r="D124" s="39" t="s">
        <v>93</v>
      </c>
      <c r="E124" s="39">
        <v>2</v>
      </c>
      <c r="F124" s="47">
        <v>2973872</v>
      </c>
      <c r="G124" s="47">
        <v>2719983</v>
      </c>
      <c r="H124" s="47">
        <v>2443678</v>
      </c>
      <c r="I124" s="47">
        <v>2530194</v>
      </c>
      <c r="J124" s="47">
        <v>2683030</v>
      </c>
      <c r="K124" s="47">
        <v>2710805</v>
      </c>
      <c r="L124" s="47">
        <v>4090656</v>
      </c>
      <c r="M124" s="47">
        <v>8739681</v>
      </c>
      <c r="N124" s="47">
        <v>9114909</v>
      </c>
      <c r="O124" s="47">
        <v>6428435</v>
      </c>
      <c r="P124" s="47">
        <v>5285687</v>
      </c>
      <c r="Q124" s="47">
        <v>4599560</v>
      </c>
      <c r="R124" s="47">
        <v>4027122</v>
      </c>
      <c r="S124" s="47">
        <v>3747153</v>
      </c>
      <c r="T124" s="47">
        <v>3503010</v>
      </c>
      <c r="U124" s="47">
        <v>3350731</v>
      </c>
      <c r="V124" s="47">
        <v>3262121</v>
      </c>
      <c r="W124" s="47">
        <v>3238922</v>
      </c>
      <c r="X124" s="47">
        <v>3764563</v>
      </c>
      <c r="Y124" s="47">
        <v>4371394</v>
      </c>
      <c r="Z124" s="47">
        <v>4764309</v>
      </c>
      <c r="AA124" s="47">
        <v>5235127</v>
      </c>
      <c r="AB124" s="47">
        <v>5224793</v>
      </c>
      <c r="AC124" s="47">
        <v>2564632</v>
      </c>
      <c r="AD124" t="str">
        <f t="shared" si="1"/>
        <v>Winter</v>
      </c>
      <c r="AE124" t="str">
        <f>INDEX('Category Mapping'!$B$2:$B$25,MATCH('Source Data'!A124,'Category Mapping'!$A$2:$A$25,0))</f>
        <v>Weekday</v>
      </c>
      <c r="AF124" t="str">
        <f>INDEX('Category Mapping'!$C$2:$C$25,MATCH('Source Data'!A124,'Category Mapping'!$A$2:$A$25,0))</f>
        <v>Commercial</v>
      </c>
      <c r="AG124" t="str">
        <f>INDEX('Category Mapping'!$D$2:$D$25,MATCH('Source Data'!A124,'Category Mapping'!$A$2:$A$25,0))</f>
        <v>Heating</v>
      </c>
    </row>
    <row r="125" spans="1:33" x14ac:dyDescent="0.3">
      <c r="A125" s="45" t="s">
        <v>103</v>
      </c>
      <c r="B125" s="45">
        <v>2019</v>
      </c>
      <c r="C125" s="45">
        <v>3</v>
      </c>
      <c r="D125" s="45" t="s">
        <v>93</v>
      </c>
      <c r="E125" s="45">
        <v>3</v>
      </c>
      <c r="F125" s="46">
        <v>1813629</v>
      </c>
      <c r="G125" s="46">
        <v>1614889</v>
      </c>
      <c r="H125" s="46">
        <v>1553538</v>
      </c>
      <c r="I125" s="46">
        <v>1601696</v>
      </c>
      <c r="J125" s="46">
        <v>1627633</v>
      </c>
      <c r="K125" s="46">
        <v>2272893</v>
      </c>
      <c r="L125" s="46">
        <v>3983306</v>
      </c>
      <c r="M125" s="46">
        <v>5610794</v>
      </c>
      <c r="N125" s="46">
        <v>4663337</v>
      </c>
      <c r="O125" s="46">
        <v>3452667</v>
      </c>
      <c r="P125" s="46">
        <v>2845894</v>
      </c>
      <c r="Q125" s="46">
        <v>2415465</v>
      </c>
      <c r="R125" s="46">
        <v>2146743</v>
      </c>
      <c r="S125" s="46">
        <v>1973637</v>
      </c>
      <c r="T125" s="46">
        <v>1837618</v>
      </c>
      <c r="U125" s="46">
        <v>1722910</v>
      </c>
      <c r="V125" s="46">
        <v>1617763</v>
      </c>
      <c r="W125" s="46">
        <v>1682840</v>
      </c>
      <c r="X125" s="46">
        <v>1943601</v>
      </c>
      <c r="Y125" s="46">
        <v>2312219</v>
      </c>
      <c r="Z125" s="46">
        <v>2712223</v>
      </c>
      <c r="AA125" s="46">
        <v>2390743</v>
      </c>
      <c r="AB125" s="46">
        <v>2104802</v>
      </c>
      <c r="AC125" s="46">
        <v>1762103</v>
      </c>
      <c r="AD125" t="str">
        <f t="shared" si="1"/>
        <v>Spring</v>
      </c>
      <c r="AE125" t="str">
        <f>INDEX('Category Mapping'!$B$2:$B$25,MATCH('Source Data'!A125,'Category Mapping'!$A$2:$A$25,0))</f>
        <v>Weekday</v>
      </c>
      <c r="AF125" t="str">
        <f>INDEX('Category Mapping'!$C$2:$C$25,MATCH('Source Data'!A125,'Category Mapping'!$A$2:$A$25,0))</f>
        <v>Commercial</v>
      </c>
      <c r="AG125" t="str">
        <f>INDEX('Category Mapping'!$D$2:$D$25,MATCH('Source Data'!A125,'Category Mapping'!$A$2:$A$25,0))</f>
        <v>Heating</v>
      </c>
    </row>
    <row r="126" spans="1:33" x14ac:dyDescent="0.3">
      <c r="A126" s="39" t="s">
        <v>103</v>
      </c>
      <c r="B126" s="39">
        <v>2019</v>
      </c>
      <c r="C126" s="39">
        <v>3</v>
      </c>
      <c r="D126" s="39" t="s">
        <v>93</v>
      </c>
      <c r="E126" s="39">
        <v>4</v>
      </c>
      <c r="F126" s="47">
        <v>830799</v>
      </c>
      <c r="G126" s="47">
        <v>742284</v>
      </c>
      <c r="H126" s="47">
        <v>753331</v>
      </c>
      <c r="I126" s="47">
        <v>765745</v>
      </c>
      <c r="J126" s="47">
        <v>746337</v>
      </c>
      <c r="K126" s="47">
        <v>1244762</v>
      </c>
      <c r="L126" s="47">
        <v>2302359</v>
      </c>
      <c r="M126" s="47">
        <v>1932770</v>
      </c>
      <c r="N126" s="47">
        <v>1293830</v>
      </c>
      <c r="O126" s="47">
        <v>1013018</v>
      </c>
      <c r="P126" s="47">
        <v>838298</v>
      </c>
      <c r="Q126" s="47">
        <v>689268</v>
      </c>
      <c r="R126" s="47">
        <v>621364</v>
      </c>
      <c r="S126" s="47">
        <v>569146</v>
      </c>
      <c r="T126" s="47">
        <v>528805</v>
      </c>
      <c r="U126" s="47">
        <v>488071</v>
      </c>
      <c r="V126" s="47">
        <v>441763</v>
      </c>
      <c r="W126" s="47">
        <v>484477</v>
      </c>
      <c r="X126" s="47">
        <v>552866</v>
      </c>
      <c r="Y126" s="47">
        <v>660374</v>
      </c>
      <c r="Z126" s="47">
        <v>849742</v>
      </c>
      <c r="AA126" s="47">
        <v>642942</v>
      </c>
      <c r="AB126" s="47">
        <v>587489</v>
      </c>
      <c r="AC126" s="47">
        <v>587489</v>
      </c>
      <c r="AD126" t="str">
        <f t="shared" si="1"/>
        <v>Spring</v>
      </c>
      <c r="AE126" t="str">
        <f>INDEX('Category Mapping'!$B$2:$B$25,MATCH('Source Data'!A126,'Category Mapping'!$A$2:$A$25,0))</f>
        <v>Weekday</v>
      </c>
      <c r="AF126" t="str">
        <f>INDEX('Category Mapping'!$C$2:$C$25,MATCH('Source Data'!A126,'Category Mapping'!$A$2:$A$25,0))</f>
        <v>Commercial</v>
      </c>
      <c r="AG126" t="str">
        <f>INDEX('Category Mapping'!$D$2:$D$25,MATCH('Source Data'!A126,'Category Mapping'!$A$2:$A$25,0))</f>
        <v>Heating</v>
      </c>
    </row>
    <row r="127" spans="1:33" x14ac:dyDescent="0.3">
      <c r="A127" s="45" t="s">
        <v>103</v>
      </c>
      <c r="B127" s="45">
        <v>2019</v>
      </c>
      <c r="C127" s="45">
        <v>3</v>
      </c>
      <c r="D127" s="45" t="s">
        <v>93</v>
      </c>
      <c r="E127" s="45">
        <v>5</v>
      </c>
      <c r="F127" s="46">
        <v>640840</v>
      </c>
      <c r="G127" s="46">
        <v>602398</v>
      </c>
      <c r="H127" s="46">
        <v>612516</v>
      </c>
      <c r="I127" s="46">
        <v>622296</v>
      </c>
      <c r="J127" s="46">
        <v>602240</v>
      </c>
      <c r="K127" s="46">
        <v>949870</v>
      </c>
      <c r="L127" s="46">
        <v>2379043</v>
      </c>
      <c r="M127" s="46">
        <v>1867239</v>
      </c>
      <c r="N127" s="46">
        <v>1219511</v>
      </c>
      <c r="O127" s="46">
        <v>960716</v>
      </c>
      <c r="P127" s="46">
        <v>809130</v>
      </c>
      <c r="Q127" s="46">
        <v>678863</v>
      </c>
      <c r="R127" s="46">
        <v>618522</v>
      </c>
      <c r="S127" s="46">
        <v>574005</v>
      </c>
      <c r="T127" s="46">
        <v>537872</v>
      </c>
      <c r="U127" s="46">
        <v>499205</v>
      </c>
      <c r="V127" s="46">
        <v>456191</v>
      </c>
      <c r="W127" s="46">
        <v>486309</v>
      </c>
      <c r="X127" s="46">
        <v>547987</v>
      </c>
      <c r="Y127" s="46">
        <v>640881</v>
      </c>
      <c r="Z127" s="46">
        <v>849941</v>
      </c>
      <c r="AA127" s="46">
        <v>753892</v>
      </c>
      <c r="AB127" s="46">
        <v>580895</v>
      </c>
      <c r="AC127" s="46">
        <v>616228</v>
      </c>
      <c r="AD127" t="str">
        <f t="shared" si="1"/>
        <v>Spring</v>
      </c>
      <c r="AE127" t="str">
        <f>INDEX('Category Mapping'!$B$2:$B$25,MATCH('Source Data'!A127,'Category Mapping'!$A$2:$A$25,0))</f>
        <v>Weekday</v>
      </c>
      <c r="AF127" t="str">
        <f>INDEX('Category Mapping'!$C$2:$C$25,MATCH('Source Data'!A127,'Category Mapping'!$A$2:$A$25,0))</f>
        <v>Commercial</v>
      </c>
      <c r="AG127" t="str">
        <f>INDEX('Category Mapping'!$D$2:$D$25,MATCH('Source Data'!A127,'Category Mapping'!$A$2:$A$25,0))</f>
        <v>Heating</v>
      </c>
    </row>
    <row r="128" spans="1:33" x14ac:dyDescent="0.3">
      <c r="A128" s="39" t="s">
        <v>103</v>
      </c>
      <c r="B128" s="39">
        <v>2019</v>
      </c>
      <c r="C128" s="39">
        <v>3</v>
      </c>
      <c r="D128" s="39" t="s">
        <v>93</v>
      </c>
      <c r="E128" s="39">
        <v>6</v>
      </c>
      <c r="F128" s="47">
        <v>798412</v>
      </c>
      <c r="G128" s="47">
        <v>797764</v>
      </c>
      <c r="H128" s="47">
        <v>820243</v>
      </c>
      <c r="I128" s="47">
        <v>840761</v>
      </c>
      <c r="J128" s="47">
        <v>813957</v>
      </c>
      <c r="K128" s="47">
        <v>1184619</v>
      </c>
      <c r="L128" s="47">
        <v>1710759</v>
      </c>
      <c r="M128" s="47">
        <v>1374387</v>
      </c>
      <c r="N128" s="47">
        <v>914420</v>
      </c>
      <c r="O128" s="47">
        <v>727781</v>
      </c>
      <c r="P128" s="47">
        <v>625569</v>
      </c>
      <c r="Q128" s="47">
        <v>544351</v>
      </c>
      <c r="R128" s="47">
        <v>498240</v>
      </c>
      <c r="S128" s="47">
        <v>459668</v>
      </c>
      <c r="T128" s="47">
        <v>425825</v>
      </c>
      <c r="U128" s="47">
        <v>391310</v>
      </c>
      <c r="V128" s="47">
        <v>364595</v>
      </c>
      <c r="W128" s="47">
        <v>371988</v>
      </c>
      <c r="X128" s="47">
        <v>434315</v>
      </c>
      <c r="Y128" s="47">
        <v>506423</v>
      </c>
      <c r="Z128" s="47">
        <v>690279</v>
      </c>
      <c r="AA128" s="47">
        <v>726752</v>
      </c>
      <c r="AB128" s="47">
        <v>701747</v>
      </c>
      <c r="AC128" s="47">
        <v>751043</v>
      </c>
      <c r="AD128" t="str">
        <f t="shared" si="1"/>
        <v>Summer</v>
      </c>
      <c r="AE128" t="str">
        <f>INDEX('Category Mapping'!$B$2:$B$25,MATCH('Source Data'!A128,'Category Mapping'!$A$2:$A$25,0))</f>
        <v>Weekday</v>
      </c>
      <c r="AF128" t="str">
        <f>INDEX('Category Mapping'!$C$2:$C$25,MATCH('Source Data'!A128,'Category Mapping'!$A$2:$A$25,0))</f>
        <v>Commercial</v>
      </c>
      <c r="AG128" t="str">
        <f>INDEX('Category Mapping'!$D$2:$D$25,MATCH('Source Data'!A128,'Category Mapping'!$A$2:$A$25,0))</f>
        <v>Heating</v>
      </c>
    </row>
    <row r="129" spans="1:33" x14ac:dyDescent="0.3">
      <c r="A129" s="45" t="s">
        <v>103</v>
      </c>
      <c r="B129" s="45">
        <v>2019</v>
      </c>
      <c r="C129" s="45">
        <v>3</v>
      </c>
      <c r="D129" s="45" t="s">
        <v>93</v>
      </c>
      <c r="E129" s="45">
        <v>7</v>
      </c>
      <c r="F129" s="46">
        <v>1401135</v>
      </c>
      <c r="G129" s="46">
        <v>1439281</v>
      </c>
      <c r="H129" s="46">
        <v>1494062</v>
      </c>
      <c r="I129" s="46">
        <v>1545234</v>
      </c>
      <c r="J129" s="46">
        <v>1500446</v>
      </c>
      <c r="K129" s="46">
        <v>2158337</v>
      </c>
      <c r="L129" s="46">
        <v>1850339</v>
      </c>
      <c r="M129" s="46">
        <v>2108806</v>
      </c>
      <c r="N129" s="46">
        <v>1363247</v>
      </c>
      <c r="O129" s="46">
        <v>1072861</v>
      </c>
      <c r="P129" s="46">
        <v>918132</v>
      </c>
      <c r="Q129" s="46">
        <v>806196</v>
      </c>
      <c r="R129" s="46">
        <v>724089</v>
      </c>
      <c r="S129" s="46">
        <v>652618</v>
      </c>
      <c r="T129" s="46">
        <v>590603</v>
      </c>
      <c r="U129" s="46">
        <v>533226</v>
      </c>
      <c r="V129" s="46">
        <v>495406</v>
      </c>
      <c r="W129" s="46">
        <v>492866</v>
      </c>
      <c r="X129" s="46">
        <v>586527</v>
      </c>
      <c r="Y129" s="46">
        <v>697712</v>
      </c>
      <c r="Z129" s="46">
        <v>975462</v>
      </c>
      <c r="AA129" s="46">
        <v>1118670</v>
      </c>
      <c r="AB129" s="46">
        <v>1194857</v>
      </c>
      <c r="AC129" s="46">
        <v>1292976</v>
      </c>
      <c r="AD129" t="str">
        <f t="shared" si="1"/>
        <v>Summer</v>
      </c>
      <c r="AE129" t="str">
        <f>INDEX('Category Mapping'!$B$2:$B$25,MATCH('Source Data'!A129,'Category Mapping'!$A$2:$A$25,0))</f>
        <v>Weekday</v>
      </c>
      <c r="AF129" t="str">
        <f>INDEX('Category Mapping'!$C$2:$C$25,MATCH('Source Data'!A129,'Category Mapping'!$A$2:$A$25,0))</f>
        <v>Commercial</v>
      </c>
      <c r="AG129" t="str">
        <f>INDEX('Category Mapping'!$D$2:$D$25,MATCH('Source Data'!A129,'Category Mapping'!$A$2:$A$25,0))</f>
        <v>Heating</v>
      </c>
    </row>
    <row r="130" spans="1:33" x14ac:dyDescent="0.3">
      <c r="A130" s="39" t="s">
        <v>103</v>
      </c>
      <c r="B130" s="39">
        <v>2019</v>
      </c>
      <c r="C130" s="39">
        <v>3</v>
      </c>
      <c r="D130" s="39" t="s">
        <v>93</v>
      </c>
      <c r="E130" s="39">
        <v>8</v>
      </c>
      <c r="F130" s="47">
        <v>1445630</v>
      </c>
      <c r="G130" s="47">
        <v>1477167</v>
      </c>
      <c r="H130" s="47">
        <v>1528365</v>
      </c>
      <c r="I130" s="47">
        <v>1575608</v>
      </c>
      <c r="J130" s="47">
        <v>1527302</v>
      </c>
      <c r="K130" s="47">
        <v>2192192</v>
      </c>
      <c r="L130" s="47">
        <v>2106123</v>
      </c>
      <c r="M130" s="47">
        <v>2586470</v>
      </c>
      <c r="N130" s="47">
        <v>1556701</v>
      </c>
      <c r="O130" s="47">
        <v>1169599</v>
      </c>
      <c r="P130" s="47">
        <v>976028</v>
      </c>
      <c r="Q130" s="47">
        <v>846015</v>
      </c>
      <c r="R130" s="47">
        <v>757388</v>
      </c>
      <c r="S130" s="47">
        <v>682152</v>
      </c>
      <c r="T130" s="47">
        <v>619581</v>
      </c>
      <c r="U130" s="47">
        <v>561524</v>
      </c>
      <c r="V130" s="47">
        <v>524423</v>
      </c>
      <c r="W130" s="47">
        <v>524143</v>
      </c>
      <c r="X130" s="47">
        <v>635844</v>
      </c>
      <c r="Y130" s="47">
        <v>778016</v>
      </c>
      <c r="Z130" s="47">
        <v>1089220</v>
      </c>
      <c r="AA130" s="47">
        <v>1230761</v>
      </c>
      <c r="AB130" s="47">
        <v>1266541</v>
      </c>
      <c r="AC130" s="47">
        <v>1359718</v>
      </c>
      <c r="AD130" t="str">
        <f t="shared" si="1"/>
        <v>Summer</v>
      </c>
      <c r="AE130" t="str">
        <f>INDEX('Category Mapping'!$B$2:$B$25,MATCH('Source Data'!A130,'Category Mapping'!$A$2:$A$25,0))</f>
        <v>Weekday</v>
      </c>
      <c r="AF130" t="str">
        <f>INDEX('Category Mapping'!$C$2:$C$25,MATCH('Source Data'!A130,'Category Mapping'!$A$2:$A$25,0))</f>
        <v>Commercial</v>
      </c>
      <c r="AG130" t="str">
        <f>INDEX('Category Mapping'!$D$2:$D$25,MATCH('Source Data'!A130,'Category Mapping'!$A$2:$A$25,0))</f>
        <v>Heating</v>
      </c>
    </row>
    <row r="131" spans="1:33" x14ac:dyDescent="0.3">
      <c r="A131" s="45" t="s">
        <v>103</v>
      </c>
      <c r="B131" s="45">
        <v>2019</v>
      </c>
      <c r="C131" s="45">
        <v>3</v>
      </c>
      <c r="D131" s="45" t="s">
        <v>93</v>
      </c>
      <c r="E131" s="45">
        <v>9</v>
      </c>
      <c r="F131" s="46">
        <v>1960072</v>
      </c>
      <c r="G131" s="46">
        <v>1907370</v>
      </c>
      <c r="H131" s="46">
        <v>1947337</v>
      </c>
      <c r="I131" s="46">
        <v>1984755</v>
      </c>
      <c r="J131" s="46">
        <v>1917788</v>
      </c>
      <c r="K131" s="46">
        <v>2907830</v>
      </c>
      <c r="L131" s="46">
        <v>2927854</v>
      </c>
      <c r="M131" s="46">
        <v>2586838</v>
      </c>
      <c r="N131" s="46">
        <v>1654422</v>
      </c>
      <c r="O131" s="46">
        <v>1225776</v>
      </c>
      <c r="P131" s="46">
        <v>977691</v>
      </c>
      <c r="Q131" s="46">
        <v>802891</v>
      </c>
      <c r="R131" s="46">
        <v>721504</v>
      </c>
      <c r="S131" s="46">
        <v>658901</v>
      </c>
      <c r="T131" s="46">
        <v>612118</v>
      </c>
      <c r="U131" s="46">
        <v>568689</v>
      </c>
      <c r="V131" s="46">
        <v>535810</v>
      </c>
      <c r="W131" s="46">
        <v>571854</v>
      </c>
      <c r="X131" s="46">
        <v>692910</v>
      </c>
      <c r="Y131" s="46">
        <v>858145</v>
      </c>
      <c r="Z131" s="46">
        <v>1153774</v>
      </c>
      <c r="AA131" s="46">
        <v>1083481</v>
      </c>
      <c r="AB131" s="46">
        <v>1347080</v>
      </c>
      <c r="AC131" s="46">
        <v>1425698</v>
      </c>
      <c r="AD131" t="str">
        <f t="shared" si="1"/>
        <v>Fall</v>
      </c>
      <c r="AE131" t="str">
        <f>INDEX('Category Mapping'!$B$2:$B$25,MATCH('Source Data'!A131,'Category Mapping'!$A$2:$A$25,0))</f>
        <v>Weekday</v>
      </c>
      <c r="AF131" t="str">
        <f>INDEX('Category Mapping'!$C$2:$C$25,MATCH('Source Data'!A131,'Category Mapping'!$A$2:$A$25,0))</f>
        <v>Commercial</v>
      </c>
      <c r="AG131" t="str">
        <f>INDEX('Category Mapping'!$D$2:$D$25,MATCH('Source Data'!A131,'Category Mapping'!$A$2:$A$25,0))</f>
        <v>Heating</v>
      </c>
    </row>
    <row r="132" spans="1:33" x14ac:dyDescent="0.3">
      <c r="A132" s="39" t="s">
        <v>103</v>
      </c>
      <c r="B132" s="39">
        <v>2019</v>
      </c>
      <c r="C132" s="39">
        <v>3</v>
      </c>
      <c r="D132" s="39" t="s">
        <v>93</v>
      </c>
      <c r="E132" s="39">
        <v>10</v>
      </c>
      <c r="F132" s="47">
        <v>2331966</v>
      </c>
      <c r="G132" s="47">
        <v>2099995</v>
      </c>
      <c r="H132" s="47">
        <v>2127741</v>
      </c>
      <c r="I132" s="47">
        <v>2160203</v>
      </c>
      <c r="J132" s="47">
        <v>2096843</v>
      </c>
      <c r="K132" s="47">
        <v>3494428</v>
      </c>
      <c r="L132" s="47">
        <v>6017210</v>
      </c>
      <c r="M132" s="47">
        <v>5419463</v>
      </c>
      <c r="N132" s="47">
        <v>3731159</v>
      </c>
      <c r="O132" s="47">
        <v>2843663</v>
      </c>
      <c r="P132" s="47">
        <v>2286186</v>
      </c>
      <c r="Q132" s="47">
        <v>1851184</v>
      </c>
      <c r="R132" s="47">
        <v>1663397</v>
      </c>
      <c r="S132" s="47">
        <v>1514576</v>
      </c>
      <c r="T132" s="47">
        <v>1409808</v>
      </c>
      <c r="U132" s="47">
        <v>1317417</v>
      </c>
      <c r="V132" s="47">
        <v>1231608</v>
      </c>
      <c r="W132" s="47">
        <v>1429892</v>
      </c>
      <c r="X132" s="47">
        <v>1774660</v>
      </c>
      <c r="Y132" s="47">
        <v>2127612</v>
      </c>
      <c r="Z132" s="47">
        <v>2607171</v>
      </c>
      <c r="AA132" s="47">
        <v>1928864</v>
      </c>
      <c r="AB132" s="47">
        <v>1678296</v>
      </c>
      <c r="AC132" s="47">
        <v>1763947</v>
      </c>
      <c r="AD132" t="str">
        <f t="shared" ref="AD132:AD195" si="2">IF(AND(E132&gt;=3,E132&lt;=5),"Spring",IF(AND(E132&gt;=6,E132&lt;=8),"Summer",IF(AND(E132&gt;=9,E132&lt;=10),"Fall","Winter")))</f>
        <v>Fall</v>
      </c>
      <c r="AE132" t="str">
        <f>INDEX('Category Mapping'!$B$2:$B$25,MATCH('Source Data'!A132,'Category Mapping'!$A$2:$A$25,0))</f>
        <v>Weekday</v>
      </c>
      <c r="AF132" t="str">
        <f>INDEX('Category Mapping'!$C$2:$C$25,MATCH('Source Data'!A132,'Category Mapping'!$A$2:$A$25,0))</f>
        <v>Commercial</v>
      </c>
      <c r="AG132" t="str">
        <f>INDEX('Category Mapping'!$D$2:$D$25,MATCH('Source Data'!A132,'Category Mapping'!$A$2:$A$25,0))</f>
        <v>Heating</v>
      </c>
    </row>
    <row r="133" spans="1:33" x14ac:dyDescent="0.3">
      <c r="A133" s="45" t="s">
        <v>103</v>
      </c>
      <c r="B133" s="45">
        <v>2019</v>
      </c>
      <c r="C133" s="45">
        <v>3</v>
      </c>
      <c r="D133" s="45" t="s">
        <v>93</v>
      </c>
      <c r="E133" s="45">
        <v>11</v>
      </c>
      <c r="F133" s="46">
        <v>3246765</v>
      </c>
      <c r="G133" s="46">
        <v>2985437</v>
      </c>
      <c r="H133" s="46">
        <v>2654187</v>
      </c>
      <c r="I133" s="46">
        <v>2704831</v>
      </c>
      <c r="J133" s="46">
        <v>2776070</v>
      </c>
      <c r="K133" s="46">
        <v>2936928</v>
      </c>
      <c r="L133" s="46">
        <v>3058713</v>
      </c>
      <c r="M133" s="46">
        <v>9727820</v>
      </c>
      <c r="N133" s="46">
        <v>8615644</v>
      </c>
      <c r="O133" s="46">
        <v>5995327</v>
      </c>
      <c r="P133" s="46">
        <v>4818414</v>
      </c>
      <c r="Q133" s="46">
        <v>4117366</v>
      </c>
      <c r="R133" s="46">
        <v>3554726</v>
      </c>
      <c r="S133" s="46">
        <v>3311506</v>
      </c>
      <c r="T133" s="46">
        <v>3093836</v>
      </c>
      <c r="U133" s="46">
        <v>2986045</v>
      </c>
      <c r="V133" s="46">
        <v>2967687</v>
      </c>
      <c r="W133" s="46">
        <v>3116866</v>
      </c>
      <c r="X133" s="46">
        <v>3792151</v>
      </c>
      <c r="Y133" s="46">
        <v>4378569</v>
      </c>
      <c r="Z133" s="46">
        <v>4790524</v>
      </c>
      <c r="AA133" s="46">
        <v>5104036</v>
      </c>
      <c r="AB133" s="46">
        <v>5000533</v>
      </c>
      <c r="AC133" s="46">
        <v>3039723</v>
      </c>
      <c r="AD133" t="str">
        <f t="shared" si="2"/>
        <v>Winter</v>
      </c>
      <c r="AE133" t="str">
        <f>INDEX('Category Mapping'!$B$2:$B$25,MATCH('Source Data'!A133,'Category Mapping'!$A$2:$A$25,0))</f>
        <v>Weekday</v>
      </c>
      <c r="AF133" t="str">
        <f>INDEX('Category Mapping'!$C$2:$C$25,MATCH('Source Data'!A133,'Category Mapping'!$A$2:$A$25,0))</f>
        <v>Commercial</v>
      </c>
      <c r="AG133" t="str">
        <f>INDEX('Category Mapping'!$D$2:$D$25,MATCH('Source Data'!A133,'Category Mapping'!$A$2:$A$25,0))</f>
        <v>Heating</v>
      </c>
    </row>
    <row r="134" spans="1:33" x14ac:dyDescent="0.3">
      <c r="A134" s="39" t="s">
        <v>103</v>
      </c>
      <c r="B134" s="39">
        <v>2019</v>
      </c>
      <c r="C134" s="39">
        <v>3</v>
      </c>
      <c r="D134" s="39" t="s">
        <v>93</v>
      </c>
      <c r="E134" s="39">
        <v>12</v>
      </c>
      <c r="F134" s="47">
        <v>4333422</v>
      </c>
      <c r="G134" s="47">
        <v>3939099</v>
      </c>
      <c r="H134" s="47">
        <v>3523413</v>
      </c>
      <c r="I134" s="47">
        <v>3622220</v>
      </c>
      <c r="J134" s="47">
        <v>3817577</v>
      </c>
      <c r="K134" s="47">
        <v>3832050</v>
      </c>
      <c r="L134" s="47">
        <v>4342263</v>
      </c>
      <c r="M134" s="47">
        <v>12600000</v>
      </c>
      <c r="N134" s="47">
        <v>12900000</v>
      </c>
      <c r="O134" s="47">
        <v>9249107</v>
      </c>
      <c r="P134" s="47">
        <v>7636112</v>
      </c>
      <c r="Q134" s="47">
        <v>6663580</v>
      </c>
      <c r="R134" s="47">
        <v>5851683</v>
      </c>
      <c r="S134" s="47">
        <v>5494894</v>
      </c>
      <c r="T134" s="47">
        <v>5170131</v>
      </c>
      <c r="U134" s="47">
        <v>5004314</v>
      </c>
      <c r="V134" s="47">
        <v>4982372</v>
      </c>
      <c r="W134" s="47">
        <v>5163142</v>
      </c>
      <c r="X134" s="47">
        <v>6009560</v>
      </c>
      <c r="Y134" s="47">
        <v>6738621</v>
      </c>
      <c r="Z134" s="47">
        <v>7169702</v>
      </c>
      <c r="AA134" s="47">
        <v>7769889</v>
      </c>
      <c r="AB134" s="47">
        <v>7716300</v>
      </c>
      <c r="AC134" s="47">
        <v>3734055</v>
      </c>
      <c r="AD134" t="str">
        <f t="shared" si="2"/>
        <v>Winter</v>
      </c>
      <c r="AE134" t="str">
        <f>INDEX('Category Mapping'!$B$2:$B$25,MATCH('Source Data'!A134,'Category Mapping'!$A$2:$A$25,0))</f>
        <v>Weekday</v>
      </c>
      <c r="AF134" t="str">
        <f>INDEX('Category Mapping'!$C$2:$C$25,MATCH('Source Data'!A134,'Category Mapping'!$A$2:$A$25,0))</f>
        <v>Commercial</v>
      </c>
      <c r="AG134" t="str">
        <f>INDEX('Category Mapping'!$D$2:$D$25,MATCH('Source Data'!A134,'Category Mapping'!$A$2:$A$25,0))</f>
        <v>Heating</v>
      </c>
    </row>
    <row r="135" spans="1:33" x14ac:dyDescent="0.3">
      <c r="A135" s="45" t="s">
        <v>104</v>
      </c>
      <c r="B135" s="45">
        <v>2019</v>
      </c>
      <c r="C135" s="45">
        <v>3</v>
      </c>
      <c r="D135" s="45" t="s">
        <v>93</v>
      </c>
      <c r="E135" s="45">
        <v>1</v>
      </c>
      <c r="F135" s="46">
        <v>1435542</v>
      </c>
      <c r="G135" s="46">
        <v>1411087</v>
      </c>
      <c r="H135" s="46">
        <v>1269612</v>
      </c>
      <c r="I135" s="46">
        <v>1354114</v>
      </c>
      <c r="J135" s="46">
        <v>1396037</v>
      </c>
      <c r="K135" s="46">
        <v>1472403</v>
      </c>
      <c r="L135" s="46">
        <v>1717912</v>
      </c>
      <c r="M135" s="46">
        <v>3325187</v>
      </c>
      <c r="N135" s="46">
        <v>4236301</v>
      </c>
      <c r="O135" s="46">
        <v>3493041</v>
      </c>
      <c r="P135" s="46">
        <v>2972744</v>
      </c>
      <c r="Q135" s="46">
        <v>2655562</v>
      </c>
      <c r="R135" s="46">
        <v>2399928</v>
      </c>
      <c r="S135" s="46">
        <v>2231171</v>
      </c>
      <c r="T135" s="46">
        <v>2104798</v>
      </c>
      <c r="U135" s="46">
        <v>2170216</v>
      </c>
      <c r="V135" s="46">
        <v>2144531</v>
      </c>
      <c r="W135" s="46">
        <v>2311599</v>
      </c>
      <c r="X135" s="46">
        <v>2663768</v>
      </c>
      <c r="Y135" s="46">
        <v>1852947</v>
      </c>
      <c r="Z135" s="46">
        <v>1866933</v>
      </c>
      <c r="AA135" s="46">
        <v>2024576</v>
      </c>
      <c r="AB135" s="46">
        <v>2067535</v>
      </c>
      <c r="AC135" s="46">
        <v>1738248</v>
      </c>
      <c r="AD135" t="str">
        <f t="shared" si="2"/>
        <v>Winter</v>
      </c>
      <c r="AE135" t="str">
        <f>INDEX('Category Mapping'!$B$2:$B$25,MATCH('Source Data'!A135,'Category Mapping'!$A$2:$A$25,0))</f>
        <v>Weekend</v>
      </c>
      <c r="AF135" t="str">
        <f>INDEX('Category Mapping'!$C$2:$C$25,MATCH('Source Data'!A135,'Category Mapping'!$A$2:$A$25,0))</f>
        <v>Commercial</v>
      </c>
      <c r="AG135" t="str">
        <f>INDEX('Category Mapping'!$D$2:$D$25,MATCH('Source Data'!A135,'Category Mapping'!$A$2:$A$25,0))</f>
        <v>Heating</v>
      </c>
    </row>
    <row r="136" spans="1:33" x14ac:dyDescent="0.3">
      <c r="A136" s="39" t="s">
        <v>104</v>
      </c>
      <c r="B136" s="39">
        <v>2019</v>
      </c>
      <c r="C136" s="39">
        <v>3</v>
      </c>
      <c r="D136" s="39" t="s">
        <v>93</v>
      </c>
      <c r="E136" s="39">
        <v>2</v>
      </c>
      <c r="F136" s="47">
        <v>936699</v>
      </c>
      <c r="G136" s="47">
        <v>866010</v>
      </c>
      <c r="H136" s="47">
        <v>780149</v>
      </c>
      <c r="I136" s="47">
        <v>814894</v>
      </c>
      <c r="J136" s="47">
        <v>864250</v>
      </c>
      <c r="K136" s="47">
        <v>893409</v>
      </c>
      <c r="L136" s="47">
        <v>1086165</v>
      </c>
      <c r="M136" s="47">
        <v>2228298</v>
      </c>
      <c r="N136" s="47">
        <v>2816243</v>
      </c>
      <c r="O136" s="47">
        <v>2223102</v>
      </c>
      <c r="P136" s="47">
        <v>1866984</v>
      </c>
      <c r="Q136" s="47">
        <v>1635007</v>
      </c>
      <c r="R136" s="47">
        <v>1478057</v>
      </c>
      <c r="S136" s="47">
        <v>1353098</v>
      </c>
      <c r="T136" s="47">
        <v>1275176</v>
      </c>
      <c r="U136" s="47">
        <v>1301249</v>
      </c>
      <c r="V136" s="47">
        <v>1277058</v>
      </c>
      <c r="W136" s="47">
        <v>1345500</v>
      </c>
      <c r="X136" s="47">
        <v>1582019</v>
      </c>
      <c r="Y136" s="47">
        <v>1086109</v>
      </c>
      <c r="Z136" s="47">
        <v>1126180</v>
      </c>
      <c r="AA136" s="47">
        <v>1225603</v>
      </c>
      <c r="AB136" s="47">
        <v>1264127</v>
      </c>
      <c r="AC136" s="47">
        <v>1035384</v>
      </c>
      <c r="AD136" t="str">
        <f t="shared" si="2"/>
        <v>Winter</v>
      </c>
      <c r="AE136" t="str">
        <f>INDEX('Category Mapping'!$B$2:$B$25,MATCH('Source Data'!A136,'Category Mapping'!$A$2:$A$25,0))</f>
        <v>Weekend</v>
      </c>
      <c r="AF136" t="str">
        <f>INDEX('Category Mapping'!$C$2:$C$25,MATCH('Source Data'!A136,'Category Mapping'!$A$2:$A$25,0))</f>
        <v>Commercial</v>
      </c>
      <c r="AG136" t="str">
        <f>INDEX('Category Mapping'!$D$2:$D$25,MATCH('Source Data'!A136,'Category Mapping'!$A$2:$A$25,0))</f>
        <v>Heating</v>
      </c>
    </row>
    <row r="137" spans="1:33" x14ac:dyDescent="0.3">
      <c r="A137" s="45" t="s">
        <v>104</v>
      </c>
      <c r="B137" s="45">
        <v>2019</v>
      </c>
      <c r="C137" s="45">
        <v>3</v>
      </c>
      <c r="D137" s="45" t="s">
        <v>93</v>
      </c>
      <c r="E137" s="45">
        <v>3</v>
      </c>
      <c r="F137" s="46">
        <v>558677</v>
      </c>
      <c r="G137" s="46">
        <v>493640</v>
      </c>
      <c r="H137" s="46">
        <v>474462</v>
      </c>
      <c r="I137" s="46">
        <v>489838</v>
      </c>
      <c r="J137" s="46">
        <v>505147</v>
      </c>
      <c r="K137" s="46">
        <v>574156</v>
      </c>
      <c r="L137" s="46">
        <v>978781</v>
      </c>
      <c r="M137" s="46">
        <v>1468456</v>
      </c>
      <c r="N137" s="46">
        <v>1485021</v>
      </c>
      <c r="O137" s="46">
        <v>1179866</v>
      </c>
      <c r="P137" s="46">
        <v>991444</v>
      </c>
      <c r="Q137" s="46">
        <v>871860</v>
      </c>
      <c r="R137" s="46">
        <v>786113</v>
      </c>
      <c r="S137" s="46">
        <v>728190</v>
      </c>
      <c r="T137" s="46">
        <v>707271</v>
      </c>
      <c r="U137" s="46">
        <v>690124</v>
      </c>
      <c r="V137" s="46">
        <v>677485</v>
      </c>
      <c r="W137" s="46">
        <v>733439</v>
      </c>
      <c r="X137" s="46">
        <v>736468</v>
      </c>
      <c r="Y137" s="46">
        <v>621729</v>
      </c>
      <c r="Z137" s="46">
        <v>683114</v>
      </c>
      <c r="AA137" s="46">
        <v>715955</v>
      </c>
      <c r="AB137" s="46">
        <v>648793</v>
      </c>
      <c r="AC137" s="46">
        <v>607159</v>
      </c>
      <c r="AD137" t="str">
        <f t="shared" si="2"/>
        <v>Spring</v>
      </c>
      <c r="AE137" t="str">
        <f>INDEX('Category Mapping'!$B$2:$B$25,MATCH('Source Data'!A137,'Category Mapping'!$A$2:$A$25,0))</f>
        <v>Weekend</v>
      </c>
      <c r="AF137" t="str">
        <f>INDEX('Category Mapping'!$C$2:$C$25,MATCH('Source Data'!A137,'Category Mapping'!$A$2:$A$25,0))</f>
        <v>Commercial</v>
      </c>
      <c r="AG137" t="str">
        <f>INDEX('Category Mapping'!$D$2:$D$25,MATCH('Source Data'!A137,'Category Mapping'!$A$2:$A$25,0))</f>
        <v>Heating</v>
      </c>
    </row>
    <row r="138" spans="1:33" x14ac:dyDescent="0.3">
      <c r="A138" s="39" t="s">
        <v>104</v>
      </c>
      <c r="B138" s="39">
        <v>2019</v>
      </c>
      <c r="C138" s="39">
        <v>3</v>
      </c>
      <c r="D138" s="39" t="s">
        <v>93</v>
      </c>
      <c r="E138" s="39">
        <v>4</v>
      </c>
      <c r="F138" s="47">
        <v>221580</v>
      </c>
      <c r="G138" s="47">
        <v>198330</v>
      </c>
      <c r="H138" s="47">
        <v>201477</v>
      </c>
      <c r="I138" s="47">
        <v>204965</v>
      </c>
      <c r="J138" s="47">
        <v>204511</v>
      </c>
      <c r="K138" s="47">
        <v>242807</v>
      </c>
      <c r="L138" s="47">
        <v>486856</v>
      </c>
      <c r="M138" s="47">
        <v>518231</v>
      </c>
      <c r="N138" s="47">
        <v>422015</v>
      </c>
      <c r="O138" s="47">
        <v>356210</v>
      </c>
      <c r="P138" s="47">
        <v>306355</v>
      </c>
      <c r="Q138" s="47">
        <v>272667</v>
      </c>
      <c r="R138" s="47">
        <v>248621</v>
      </c>
      <c r="S138" s="47">
        <v>233774</v>
      </c>
      <c r="T138" s="47">
        <v>234031</v>
      </c>
      <c r="U138" s="47">
        <v>211113</v>
      </c>
      <c r="V138" s="47">
        <v>210566</v>
      </c>
      <c r="W138" s="47">
        <v>233629</v>
      </c>
      <c r="X138" s="47">
        <v>208086</v>
      </c>
      <c r="Y138" s="47">
        <v>225469</v>
      </c>
      <c r="Z138" s="47">
        <v>262410</v>
      </c>
      <c r="AA138" s="47">
        <v>266481</v>
      </c>
      <c r="AB138" s="47">
        <v>227858</v>
      </c>
      <c r="AC138" s="47">
        <v>239781</v>
      </c>
      <c r="AD138" t="str">
        <f t="shared" si="2"/>
        <v>Spring</v>
      </c>
      <c r="AE138" t="str">
        <f>INDEX('Category Mapping'!$B$2:$B$25,MATCH('Source Data'!A138,'Category Mapping'!$A$2:$A$25,0))</f>
        <v>Weekend</v>
      </c>
      <c r="AF138" t="str">
        <f>INDEX('Category Mapping'!$C$2:$C$25,MATCH('Source Data'!A138,'Category Mapping'!$A$2:$A$25,0))</f>
        <v>Commercial</v>
      </c>
      <c r="AG138" t="str">
        <f>INDEX('Category Mapping'!$D$2:$D$25,MATCH('Source Data'!A138,'Category Mapping'!$A$2:$A$25,0))</f>
        <v>Heating</v>
      </c>
    </row>
    <row r="139" spans="1:33" x14ac:dyDescent="0.3">
      <c r="A139" s="45" t="s">
        <v>104</v>
      </c>
      <c r="B139" s="45">
        <v>2019</v>
      </c>
      <c r="C139" s="45">
        <v>3</v>
      </c>
      <c r="D139" s="45" t="s">
        <v>93</v>
      </c>
      <c r="E139" s="45">
        <v>5</v>
      </c>
      <c r="F139" s="46">
        <v>250993</v>
      </c>
      <c r="G139" s="46">
        <v>236548</v>
      </c>
      <c r="H139" s="46">
        <v>240768</v>
      </c>
      <c r="I139" s="46">
        <v>244792</v>
      </c>
      <c r="J139" s="46">
        <v>242368</v>
      </c>
      <c r="K139" s="46">
        <v>273804</v>
      </c>
      <c r="L139" s="46">
        <v>423914</v>
      </c>
      <c r="M139" s="46">
        <v>434204</v>
      </c>
      <c r="N139" s="46">
        <v>353918</v>
      </c>
      <c r="O139" s="46">
        <v>300833</v>
      </c>
      <c r="P139" s="46">
        <v>262311</v>
      </c>
      <c r="Q139" s="46">
        <v>237442</v>
      </c>
      <c r="R139" s="46">
        <v>218283</v>
      </c>
      <c r="S139" s="46">
        <v>206004</v>
      </c>
      <c r="T139" s="46">
        <v>202707</v>
      </c>
      <c r="U139" s="46">
        <v>178818</v>
      </c>
      <c r="V139" s="46">
        <v>177509</v>
      </c>
      <c r="W139" s="46">
        <v>193225</v>
      </c>
      <c r="X139" s="46">
        <v>195660</v>
      </c>
      <c r="Y139" s="46">
        <v>212680</v>
      </c>
      <c r="Z139" s="46">
        <v>254300</v>
      </c>
      <c r="AA139" s="46">
        <v>258928</v>
      </c>
      <c r="AB139" s="46">
        <v>243042</v>
      </c>
      <c r="AC139" s="46">
        <v>256162</v>
      </c>
      <c r="AD139" t="str">
        <f t="shared" si="2"/>
        <v>Spring</v>
      </c>
      <c r="AE139" t="str">
        <f>INDEX('Category Mapping'!$B$2:$B$25,MATCH('Source Data'!A139,'Category Mapping'!$A$2:$A$25,0))</f>
        <v>Weekend</v>
      </c>
      <c r="AF139" t="str">
        <f>INDEX('Category Mapping'!$C$2:$C$25,MATCH('Source Data'!A139,'Category Mapping'!$A$2:$A$25,0))</f>
        <v>Commercial</v>
      </c>
      <c r="AG139" t="str">
        <f>INDEX('Category Mapping'!$D$2:$D$25,MATCH('Source Data'!A139,'Category Mapping'!$A$2:$A$25,0))</f>
        <v>Heating</v>
      </c>
    </row>
    <row r="140" spans="1:33" x14ac:dyDescent="0.3">
      <c r="A140" s="39" t="s">
        <v>104</v>
      </c>
      <c r="B140" s="39">
        <v>2019</v>
      </c>
      <c r="C140" s="39">
        <v>3</v>
      </c>
      <c r="D140" s="39" t="s">
        <v>93</v>
      </c>
      <c r="E140" s="39">
        <v>6</v>
      </c>
      <c r="F140" s="47">
        <v>260896</v>
      </c>
      <c r="G140" s="47">
        <v>259596</v>
      </c>
      <c r="H140" s="47">
        <v>266658</v>
      </c>
      <c r="I140" s="47">
        <v>273077</v>
      </c>
      <c r="J140" s="47">
        <v>270466</v>
      </c>
      <c r="K140" s="47">
        <v>289944</v>
      </c>
      <c r="L140" s="47">
        <v>332483</v>
      </c>
      <c r="M140" s="47">
        <v>359501</v>
      </c>
      <c r="N140" s="47">
        <v>293548</v>
      </c>
      <c r="O140" s="47">
        <v>248796</v>
      </c>
      <c r="P140" s="47">
        <v>218396</v>
      </c>
      <c r="Q140" s="47">
        <v>199606</v>
      </c>
      <c r="R140" s="47">
        <v>185104</v>
      </c>
      <c r="S140" s="47">
        <v>174950</v>
      </c>
      <c r="T140" s="47">
        <v>168798</v>
      </c>
      <c r="U140" s="47">
        <v>144711</v>
      </c>
      <c r="V140" s="47">
        <v>142938</v>
      </c>
      <c r="W140" s="47">
        <v>153453</v>
      </c>
      <c r="X140" s="47">
        <v>170495</v>
      </c>
      <c r="Y140" s="47">
        <v>185433</v>
      </c>
      <c r="Z140" s="47">
        <v>228884</v>
      </c>
      <c r="AA140" s="47">
        <v>238998</v>
      </c>
      <c r="AB140" s="47">
        <v>248883</v>
      </c>
      <c r="AC140" s="47">
        <v>262831</v>
      </c>
      <c r="AD140" t="str">
        <f t="shared" si="2"/>
        <v>Summer</v>
      </c>
      <c r="AE140" t="str">
        <f>INDEX('Category Mapping'!$B$2:$B$25,MATCH('Source Data'!A140,'Category Mapping'!$A$2:$A$25,0))</f>
        <v>Weekend</v>
      </c>
      <c r="AF140" t="str">
        <f>INDEX('Category Mapping'!$C$2:$C$25,MATCH('Source Data'!A140,'Category Mapping'!$A$2:$A$25,0))</f>
        <v>Commercial</v>
      </c>
      <c r="AG140" t="str">
        <f>INDEX('Category Mapping'!$D$2:$D$25,MATCH('Source Data'!A140,'Category Mapping'!$A$2:$A$25,0))</f>
        <v>Heating</v>
      </c>
    </row>
    <row r="141" spans="1:33" x14ac:dyDescent="0.3">
      <c r="A141" s="45" t="s">
        <v>104</v>
      </c>
      <c r="B141" s="45">
        <v>2019</v>
      </c>
      <c r="C141" s="45">
        <v>3</v>
      </c>
      <c r="D141" s="45" t="s">
        <v>93</v>
      </c>
      <c r="E141" s="45">
        <v>7</v>
      </c>
      <c r="F141" s="46">
        <v>422995</v>
      </c>
      <c r="G141" s="46">
        <v>435925</v>
      </c>
      <c r="H141" s="46">
        <v>453040</v>
      </c>
      <c r="I141" s="46">
        <v>468887</v>
      </c>
      <c r="J141" s="46">
        <v>467541</v>
      </c>
      <c r="K141" s="46">
        <v>491509</v>
      </c>
      <c r="L141" s="46">
        <v>477784</v>
      </c>
      <c r="M141" s="46">
        <v>539906</v>
      </c>
      <c r="N141" s="46">
        <v>436583</v>
      </c>
      <c r="O141" s="46">
        <v>363375</v>
      </c>
      <c r="P141" s="46">
        <v>316536</v>
      </c>
      <c r="Q141" s="46">
        <v>287637</v>
      </c>
      <c r="R141" s="46">
        <v>265663</v>
      </c>
      <c r="S141" s="46">
        <v>248998</v>
      </c>
      <c r="T141" s="46">
        <v>235825</v>
      </c>
      <c r="U141" s="46">
        <v>198341</v>
      </c>
      <c r="V141" s="46">
        <v>195350</v>
      </c>
      <c r="W141" s="46">
        <v>210269</v>
      </c>
      <c r="X141" s="46">
        <v>249266</v>
      </c>
      <c r="Y141" s="46">
        <v>274086</v>
      </c>
      <c r="Z141" s="46">
        <v>349788</v>
      </c>
      <c r="AA141" s="46">
        <v>378054</v>
      </c>
      <c r="AB141" s="46">
        <v>414530</v>
      </c>
      <c r="AC141" s="46">
        <v>441239</v>
      </c>
      <c r="AD141" t="str">
        <f t="shared" si="2"/>
        <v>Summer</v>
      </c>
      <c r="AE141" t="str">
        <f>INDEX('Category Mapping'!$B$2:$B$25,MATCH('Source Data'!A141,'Category Mapping'!$A$2:$A$25,0))</f>
        <v>Weekend</v>
      </c>
      <c r="AF141" t="str">
        <f>INDEX('Category Mapping'!$C$2:$C$25,MATCH('Source Data'!A141,'Category Mapping'!$A$2:$A$25,0))</f>
        <v>Commercial</v>
      </c>
      <c r="AG141" t="str">
        <f>INDEX('Category Mapping'!$D$2:$D$25,MATCH('Source Data'!A141,'Category Mapping'!$A$2:$A$25,0))</f>
        <v>Heating</v>
      </c>
    </row>
    <row r="142" spans="1:33" x14ac:dyDescent="0.3">
      <c r="A142" s="39" t="s">
        <v>104</v>
      </c>
      <c r="B142" s="39">
        <v>2019</v>
      </c>
      <c r="C142" s="39">
        <v>3</v>
      </c>
      <c r="D142" s="39" t="s">
        <v>93</v>
      </c>
      <c r="E142" s="39">
        <v>8</v>
      </c>
      <c r="F142" s="47">
        <v>445825</v>
      </c>
      <c r="G142" s="47">
        <v>455442</v>
      </c>
      <c r="H142" s="47">
        <v>471761</v>
      </c>
      <c r="I142" s="47">
        <v>486773</v>
      </c>
      <c r="J142" s="47">
        <v>484338</v>
      </c>
      <c r="K142" s="47">
        <v>512692</v>
      </c>
      <c r="L142" s="47">
        <v>536008</v>
      </c>
      <c r="M142" s="47">
        <v>604876</v>
      </c>
      <c r="N142" s="47">
        <v>485540</v>
      </c>
      <c r="O142" s="47">
        <v>400404</v>
      </c>
      <c r="P142" s="47">
        <v>344428</v>
      </c>
      <c r="Q142" s="47">
        <v>309677</v>
      </c>
      <c r="R142" s="47">
        <v>284027</v>
      </c>
      <c r="S142" s="47">
        <v>265824</v>
      </c>
      <c r="T142" s="47">
        <v>252721</v>
      </c>
      <c r="U142" s="47">
        <v>213661</v>
      </c>
      <c r="V142" s="47">
        <v>211559</v>
      </c>
      <c r="W142" s="47">
        <v>228819</v>
      </c>
      <c r="X142" s="47">
        <v>270441</v>
      </c>
      <c r="Y142" s="47">
        <v>302697</v>
      </c>
      <c r="Z142" s="47">
        <v>384086</v>
      </c>
      <c r="AA142" s="47">
        <v>406975</v>
      </c>
      <c r="AB142" s="47">
        <v>439348</v>
      </c>
      <c r="AC142" s="47">
        <v>464742</v>
      </c>
      <c r="AD142" t="str">
        <f t="shared" si="2"/>
        <v>Summer</v>
      </c>
      <c r="AE142" t="str">
        <f>INDEX('Category Mapping'!$B$2:$B$25,MATCH('Source Data'!A142,'Category Mapping'!$A$2:$A$25,0))</f>
        <v>Weekend</v>
      </c>
      <c r="AF142" t="str">
        <f>INDEX('Category Mapping'!$C$2:$C$25,MATCH('Source Data'!A142,'Category Mapping'!$A$2:$A$25,0))</f>
        <v>Commercial</v>
      </c>
      <c r="AG142" t="str">
        <f>INDEX('Category Mapping'!$D$2:$D$25,MATCH('Source Data'!A142,'Category Mapping'!$A$2:$A$25,0))</f>
        <v>Heating</v>
      </c>
    </row>
    <row r="143" spans="1:33" x14ac:dyDescent="0.3">
      <c r="A143" s="45" t="s">
        <v>104</v>
      </c>
      <c r="B143" s="45">
        <v>2019</v>
      </c>
      <c r="C143" s="45">
        <v>3</v>
      </c>
      <c r="D143" s="45" t="s">
        <v>93</v>
      </c>
      <c r="E143" s="45">
        <v>9</v>
      </c>
      <c r="F143" s="46">
        <v>449670</v>
      </c>
      <c r="G143" s="46">
        <v>437817</v>
      </c>
      <c r="H143" s="46">
        <v>447448</v>
      </c>
      <c r="I143" s="46">
        <v>456571</v>
      </c>
      <c r="J143" s="46">
        <v>451717</v>
      </c>
      <c r="K143" s="46">
        <v>494699</v>
      </c>
      <c r="L143" s="46">
        <v>709324</v>
      </c>
      <c r="M143" s="46">
        <v>796844</v>
      </c>
      <c r="N143" s="46">
        <v>627918</v>
      </c>
      <c r="O143" s="46">
        <v>512220</v>
      </c>
      <c r="P143" s="46">
        <v>432092</v>
      </c>
      <c r="Q143" s="46">
        <v>383273</v>
      </c>
      <c r="R143" s="46">
        <v>349230</v>
      </c>
      <c r="S143" s="46">
        <v>327801</v>
      </c>
      <c r="T143" s="46">
        <v>320770</v>
      </c>
      <c r="U143" s="46">
        <v>274532</v>
      </c>
      <c r="V143" s="46">
        <v>277292</v>
      </c>
      <c r="W143" s="46">
        <v>308605</v>
      </c>
      <c r="X143" s="46">
        <v>325800</v>
      </c>
      <c r="Y143" s="46">
        <v>367294</v>
      </c>
      <c r="Z143" s="46">
        <v>442155</v>
      </c>
      <c r="AA143" s="46">
        <v>447295</v>
      </c>
      <c r="AB143" s="46">
        <v>441350</v>
      </c>
      <c r="AC143" s="46">
        <v>462321</v>
      </c>
      <c r="AD143" t="str">
        <f t="shared" si="2"/>
        <v>Fall</v>
      </c>
      <c r="AE143" t="str">
        <f>INDEX('Category Mapping'!$B$2:$B$25,MATCH('Source Data'!A143,'Category Mapping'!$A$2:$A$25,0))</f>
        <v>Weekend</v>
      </c>
      <c r="AF143" t="str">
        <f>INDEX('Category Mapping'!$C$2:$C$25,MATCH('Source Data'!A143,'Category Mapping'!$A$2:$A$25,0))</f>
        <v>Commercial</v>
      </c>
      <c r="AG143" t="str">
        <f>INDEX('Category Mapping'!$D$2:$D$25,MATCH('Source Data'!A143,'Category Mapping'!$A$2:$A$25,0))</f>
        <v>Heating</v>
      </c>
    </row>
    <row r="144" spans="1:33" x14ac:dyDescent="0.3">
      <c r="A144" s="39" t="s">
        <v>104</v>
      </c>
      <c r="B144" s="39">
        <v>2019</v>
      </c>
      <c r="C144" s="39">
        <v>3</v>
      </c>
      <c r="D144" s="39" t="s">
        <v>93</v>
      </c>
      <c r="E144" s="39">
        <v>10</v>
      </c>
      <c r="F144" s="47">
        <v>627522</v>
      </c>
      <c r="G144" s="47">
        <v>564008</v>
      </c>
      <c r="H144" s="47">
        <v>571448</v>
      </c>
      <c r="I144" s="47">
        <v>579968</v>
      </c>
      <c r="J144" s="47">
        <v>576180</v>
      </c>
      <c r="K144" s="47">
        <v>676304</v>
      </c>
      <c r="L144" s="47">
        <v>1327613</v>
      </c>
      <c r="M144" s="47">
        <v>1472563</v>
      </c>
      <c r="N144" s="47">
        <v>1211500</v>
      </c>
      <c r="O144" s="47">
        <v>990954</v>
      </c>
      <c r="P144" s="47">
        <v>835571</v>
      </c>
      <c r="Q144" s="47">
        <v>741474</v>
      </c>
      <c r="R144" s="47">
        <v>672626</v>
      </c>
      <c r="S144" s="47">
        <v>631766</v>
      </c>
      <c r="T144" s="47">
        <v>635469</v>
      </c>
      <c r="U144" s="47">
        <v>578029</v>
      </c>
      <c r="V144" s="47">
        <v>589626</v>
      </c>
      <c r="W144" s="47">
        <v>683599</v>
      </c>
      <c r="X144" s="47">
        <v>626304</v>
      </c>
      <c r="Y144" s="47">
        <v>681429</v>
      </c>
      <c r="Z144" s="47">
        <v>772711</v>
      </c>
      <c r="AA144" s="47">
        <v>771547</v>
      </c>
      <c r="AB144" s="47">
        <v>658090</v>
      </c>
      <c r="AC144" s="47">
        <v>689670</v>
      </c>
      <c r="AD144" t="str">
        <f t="shared" si="2"/>
        <v>Fall</v>
      </c>
      <c r="AE144" t="str">
        <f>INDEX('Category Mapping'!$B$2:$B$25,MATCH('Source Data'!A144,'Category Mapping'!$A$2:$A$25,0))</f>
        <v>Weekend</v>
      </c>
      <c r="AF144" t="str">
        <f>INDEX('Category Mapping'!$C$2:$C$25,MATCH('Source Data'!A144,'Category Mapping'!$A$2:$A$25,0))</f>
        <v>Commercial</v>
      </c>
      <c r="AG144" t="str">
        <f>INDEX('Category Mapping'!$D$2:$D$25,MATCH('Source Data'!A144,'Category Mapping'!$A$2:$A$25,0))</f>
        <v>Heating</v>
      </c>
    </row>
    <row r="145" spans="1:33" x14ac:dyDescent="0.3">
      <c r="A145" s="45" t="s">
        <v>104</v>
      </c>
      <c r="B145" s="45">
        <v>2019</v>
      </c>
      <c r="C145" s="45">
        <v>3</v>
      </c>
      <c r="D145" s="45" t="s">
        <v>93</v>
      </c>
      <c r="E145" s="45">
        <v>11</v>
      </c>
      <c r="F145" s="46">
        <v>1001081</v>
      </c>
      <c r="G145" s="46">
        <v>914660</v>
      </c>
      <c r="H145" s="46">
        <v>827265</v>
      </c>
      <c r="I145" s="46">
        <v>846619</v>
      </c>
      <c r="J145" s="46">
        <v>870443</v>
      </c>
      <c r="K145" s="46">
        <v>917407</v>
      </c>
      <c r="L145" s="46">
        <v>1358079</v>
      </c>
      <c r="M145" s="46">
        <v>2283590</v>
      </c>
      <c r="N145" s="46">
        <v>2366907</v>
      </c>
      <c r="O145" s="46">
        <v>1950701</v>
      </c>
      <c r="P145" s="46">
        <v>1658526</v>
      </c>
      <c r="Q145" s="46">
        <v>1456342</v>
      </c>
      <c r="R145" s="46">
        <v>1320349</v>
      </c>
      <c r="S145" s="46">
        <v>1215712</v>
      </c>
      <c r="T145" s="46">
        <v>1170429</v>
      </c>
      <c r="U145" s="46">
        <v>1176122</v>
      </c>
      <c r="V145" s="46">
        <v>1185320</v>
      </c>
      <c r="W145" s="46">
        <v>1328610</v>
      </c>
      <c r="X145" s="46">
        <v>1465025</v>
      </c>
      <c r="Y145" s="46">
        <v>1225956</v>
      </c>
      <c r="Z145" s="46">
        <v>1265683</v>
      </c>
      <c r="AA145" s="46">
        <v>1340608</v>
      </c>
      <c r="AB145" s="46">
        <v>1291249</v>
      </c>
      <c r="AC145" s="46">
        <v>1093901</v>
      </c>
      <c r="AD145" t="str">
        <f t="shared" si="2"/>
        <v>Winter</v>
      </c>
      <c r="AE145" t="str">
        <f>INDEX('Category Mapping'!$B$2:$B$25,MATCH('Source Data'!A145,'Category Mapping'!$A$2:$A$25,0))</f>
        <v>Weekend</v>
      </c>
      <c r="AF145" t="str">
        <f>INDEX('Category Mapping'!$C$2:$C$25,MATCH('Source Data'!A145,'Category Mapping'!$A$2:$A$25,0))</f>
        <v>Commercial</v>
      </c>
      <c r="AG145" t="str">
        <f>INDEX('Category Mapping'!$D$2:$D$25,MATCH('Source Data'!A145,'Category Mapping'!$A$2:$A$25,0))</f>
        <v>Heating</v>
      </c>
    </row>
    <row r="146" spans="1:33" x14ac:dyDescent="0.3">
      <c r="A146" s="39" t="s">
        <v>104</v>
      </c>
      <c r="B146" s="39">
        <v>2019</v>
      </c>
      <c r="C146" s="39">
        <v>3</v>
      </c>
      <c r="D146" s="39" t="s">
        <v>93</v>
      </c>
      <c r="E146" s="39">
        <v>12</v>
      </c>
      <c r="F146" s="47">
        <v>1298744</v>
      </c>
      <c r="G146" s="47">
        <v>1193255</v>
      </c>
      <c r="H146" s="47">
        <v>1065925</v>
      </c>
      <c r="I146" s="47">
        <v>1107785</v>
      </c>
      <c r="J146" s="47">
        <v>1168478</v>
      </c>
      <c r="K146" s="47">
        <v>1202946</v>
      </c>
      <c r="L146" s="47">
        <v>1458334</v>
      </c>
      <c r="M146" s="47">
        <v>3094626</v>
      </c>
      <c r="N146" s="47">
        <v>3863848</v>
      </c>
      <c r="O146" s="47">
        <v>3118943</v>
      </c>
      <c r="P146" s="47">
        <v>2653429</v>
      </c>
      <c r="Q146" s="47">
        <v>2349419</v>
      </c>
      <c r="R146" s="47">
        <v>2147769</v>
      </c>
      <c r="S146" s="47">
        <v>1995365</v>
      </c>
      <c r="T146" s="47">
        <v>1905400</v>
      </c>
      <c r="U146" s="47">
        <v>1979380</v>
      </c>
      <c r="V146" s="47">
        <v>1994560</v>
      </c>
      <c r="W146" s="47">
        <v>2190307</v>
      </c>
      <c r="X146" s="47">
        <v>2546695</v>
      </c>
      <c r="Y146" s="47">
        <v>1685649</v>
      </c>
      <c r="Z146" s="47">
        <v>1715609</v>
      </c>
      <c r="AA146" s="47">
        <v>1841844</v>
      </c>
      <c r="AB146" s="47">
        <v>1891141</v>
      </c>
      <c r="AC146" s="47">
        <v>1543028</v>
      </c>
      <c r="AD146" t="str">
        <f t="shared" si="2"/>
        <v>Winter</v>
      </c>
      <c r="AE146" t="str">
        <f>INDEX('Category Mapping'!$B$2:$B$25,MATCH('Source Data'!A146,'Category Mapping'!$A$2:$A$25,0))</f>
        <v>Weekend</v>
      </c>
      <c r="AF146" t="str">
        <f>INDEX('Category Mapping'!$C$2:$C$25,MATCH('Source Data'!A146,'Category Mapping'!$A$2:$A$25,0))</f>
        <v>Commercial</v>
      </c>
      <c r="AG146" t="str">
        <f>INDEX('Category Mapping'!$D$2:$D$25,MATCH('Source Data'!A146,'Category Mapping'!$A$2:$A$25,0))</f>
        <v>Heating</v>
      </c>
    </row>
    <row r="147" spans="1:33" x14ac:dyDescent="0.3">
      <c r="A147" s="45" t="s">
        <v>105</v>
      </c>
      <c r="B147" s="45">
        <v>2019</v>
      </c>
      <c r="C147" s="45">
        <v>3</v>
      </c>
      <c r="D147" s="45" t="s">
        <v>93</v>
      </c>
      <c r="E147" s="45">
        <v>1</v>
      </c>
      <c r="F147" s="46">
        <v>0</v>
      </c>
      <c r="G147" s="46">
        <v>0</v>
      </c>
      <c r="H147" s="46">
        <v>0</v>
      </c>
      <c r="I147" s="46">
        <v>0</v>
      </c>
      <c r="J147" s="46">
        <v>0</v>
      </c>
      <c r="K147" s="46">
        <v>0</v>
      </c>
      <c r="L147" s="46">
        <v>0</v>
      </c>
      <c r="M147" s="46">
        <v>0</v>
      </c>
      <c r="N147" s="46">
        <v>0</v>
      </c>
      <c r="O147" s="46">
        <v>0</v>
      </c>
      <c r="P147" s="46">
        <v>0</v>
      </c>
      <c r="Q147" s="46">
        <v>0</v>
      </c>
      <c r="R147" s="46">
        <v>0</v>
      </c>
      <c r="S147" s="46">
        <v>0</v>
      </c>
      <c r="T147" s="46">
        <v>0</v>
      </c>
      <c r="U147" s="46">
        <v>0</v>
      </c>
      <c r="V147" s="46">
        <v>0</v>
      </c>
      <c r="W147" s="46">
        <v>0</v>
      </c>
      <c r="X147" s="46">
        <v>0</v>
      </c>
      <c r="Y147" s="46">
        <v>0</v>
      </c>
      <c r="Z147" s="46">
        <v>0</v>
      </c>
      <c r="AA147" s="46">
        <v>0</v>
      </c>
      <c r="AB147" s="46">
        <v>0</v>
      </c>
      <c r="AC147" s="46">
        <v>0</v>
      </c>
      <c r="AD147" t="str">
        <f t="shared" si="2"/>
        <v>Winter</v>
      </c>
      <c r="AE147" t="str">
        <f>INDEX('Category Mapping'!$B$2:$B$25,MATCH('Source Data'!A147,'Category Mapping'!$A$2:$A$25,0))</f>
        <v>Weekday</v>
      </c>
      <c r="AF147" t="str">
        <f>INDEX('Category Mapping'!$C$2:$C$25,MATCH('Source Data'!A147,'Category Mapping'!$A$2:$A$25,0))</f>
        <v>Commercial</v>
      </c>
      <c r="AG147" t="str">
        <f>INDEX('Category Mapping'!$D$2:$D$25,MATCH('Source Data'!A147,'Category Mapping'!$A$2:$A$25,0))</f>
        <v>Appliances</v>
      </c>
    </row>
    <row r="148" spans="1:33" x14ac:dyDescent="0.3">
      <c r="A148" s="39" t="s">
        <v>105</v>
      </c>
      <c r="B148" s="39">
        <v>2019</v>
      </c>
      <c r="C148" s="39">
        <v>3</v>
      </c>
      <c r="D148" s="39" t="s">
        <v>93</v>
      </c>
      <c r="E148" s="39">
        <v>2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47">
        <v>0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0</v>
      </c>
      <c r="V148" s="47">
        <v>0</v>
      </c>
      <c r="W148" s="47">
        <v>0</v>
      </c>
      <c r="X148" s="47">
        <v>0</v>
      </c>
      <c r="Y148" s="47">
        <v>0</v>
      </c>
      <c r="Z148" s="47">
        <v>0</v>
      </c>
      <c r="AA148" s="47">
        <v>0</v>
      </c>
      <c r="AB148" s="47">
        <v>0</v>
      </c>
      <c r="AC148" s="47">
        <v>0</v>
      </c>
      <c r="AD148" t="str">
        <f t="shared" si="2"/>
        <v>Winter</v>
      </c>
      <c r="AE148" t="str">
        <f>INDEX('Category Mapping'!$B$2:$B$25,MATCH('Source Data'!A148,'Category Mapping'!$A$2:$A$25,0))</f>
        <v>Weekday</v>
      </c>
      <c r="AF148" t="str">
        <f>INDEX('Category Mapping'!$C$2:$C$25,MATCH('Source Data'!A148,'Category Mapping'!$A$2:$A$25,0))</f>
        <v>Commercial</v>
      </c>
      <c r="AG148" t="str">
        <f>INDEX('Category Mapping'!$D$2:$D$25,MATCH('Source Data'!A148,'Category Mapping'!$A$2:$A$25,0))</f>
        <v>Appliances</v>
      </c>
    </row>
    <row r="149" spans="1:33" x14ac:dyDescent="0.3">
      <c r="A149" s="45" t="s">
        <v>105</v>
      </c>
      <c r="B149" s="45">
        <v>2019</v>
      </c>
      <c r="C149" s="45">
        <v>3</v>
      </c>
      <c r="D149" s="45" t="s">
        <v>93</v>
      </c>
      <c r="E149" s="45">
        <v>3</v>
      </c>
      <c r="F149" s="46">
        <v>0</v>
      </c>
      <c r="G149" s="46">
        <v>0</v>
      </c>
      <c r="H149" s="46">
        <v>0</v>
      </c>
      <c r="I149" s="46">
        <v>0</v>
      </c>
      <c r="J149" s="46">
        <v>0</v>
      </c>
      <c r="K149" s="46">
        <v>0</v>
      </c>
      <c r="L149" s="46">
        <v>0</v>
      </c>
      <c r="M149" s="46">
        <v>0</v>
      </c>
      <c r="N149" s="46">
        <v>0</v>
      </c>
      <c r="O149" s="46">
        <v>0</v>
      </c>
      <c r="P149" s="46">
        <v>0</v>
      </c>
      <c r="Q149" s="46">
        <v>0</v>
      </c>
      <c r="R149" s="46">
        <v>0</v>
      </c>
      <c r="S149" s="46">
        <v>0</v>
      </c>
      <c r="T149" s="46">
        <v>0</v>
      </c>
      <c r="U149" s="46">
        <v>0</v>
      </c>
      <c r="V149" s="46">
        <v>0</v>
      </c>
      <c r="W149" s="46">
        <v>0</v>
      </c>
      <c r="X149" s="46">
        <v>0</v>
      </c>
      <c r="Y149" s="46">
        <v>0</v>
      </c>
      <c r="Z149" s="46">
        <v>0</v>
      </c>
      <c r="AA149" s="46">
        <v>0</v>
      </c>
      <c r="AB149" s="46">
        <v>0</v>
      </c>
      <c r="AC149" s="46">
        <v>0</v>
      </c>
      <c r="AD149" t="str">
        <f t="shared" si="2"/>
        <v>Spring</v>
      </c>
      <c r="AE149" t="str">
        <f>INDEX('Category Mapping'!$B$2:$B$25,MATCH('Source Data'!A149,'Category Mapping'!$A$2:$A$25,0))</f>
        <v>Weekday</v>
      </c>
      <c r="AF149" t="str">
        <f>INDEX('Category Mapping'!$C$2:$C$25,MATCH('Source Data'!A149,'Category Mapping'!$A$2:$A$25,0))</f>
        <v>Commercial</v>
      </c>
      <c r="AG149" t="str">
        <f>INDEX('Category Mapping'!$D$2:$D$25,MATCH('Source Data'!A149,'Category Mapping'!$A$2:$A$25,0))</f>
        <v>Appliances</v>
      </c>
    </row>
    <row r="150" spans="1:33" x14ac:dyDescent="0.3">
      <c r="A150" s="39" t="s">
        <v>105</v>
      </c>
      <c r="B150" s="39">
        <v>2019</v>
      </c>
      <c r="C150" s="39">
        <v>3</v>
      </c>
      <c r="D150" s="39" t="s">
        <v>93</v>
      </c>
      <c r="E150" s="39">
        <v>4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t="str">
        <f t="shared" si="2"/>
        <v>Spring</v>
      </c>
      <c r="AE150" t="str">
        <f>INDEX('Category Mapping'!$B$2:$B$25,MATCH('Source Data'!A150,'Category Mapping'!$A$2:$A$25,0))</f>
        <v>Weekday</v>
      </c>
      <c r="AF150" t="str">
        <f>INDEX('Category Mapping'!$C$2:$C$25,MATCH('Source Data'!A150,'Category Mapping'!$A$2:$A$25,0))</f>
        <v>Commercial</v>
      </c>
      <c r="AG150" t="str">
        <f>INDEX('Category Mapping'!$D$2:$D$25,MATCH('Source Data'!A150,'Category Mapping'!$A$2:$A$25,0))</f>
        <v>Appliances</v>
      </c>
    </row>
    <row r="151" spans="1:33" x14ac:dyDescent="0.3">
      <c r="A151" s="45" t="s">
        <v>105</v>
      </c>
      <c r="B151" s="45">
        <v>2019</v>
      </c>
      <c r="C151" s="45">
        <v>3</v>
      </c>
      <c r="D151" s="45" t="s">
        <v>93</v>
      </c>
      <c r="E151" s="45">
        <v>5</v>
      </c>
      <c r="F151" s="46">
        <v>0</v>
      </c>
      <c r="G151" s="46">
        <v>0</v>
      </c>
      <c r="H151" s="46">
        <v>0</v>
      </c>
      <c r="I151" s="46">
        <v>0</v>
      </c>
      <c r="J151" s="46">
        <v>0</v>
      </c>
      <c r="K151" s="46">
        <v>0</v>
      </c>
      <c r="L151" s="46">
        <v>0</v>
      </c>
      <c r="M151" s="46">
        <v>0</v>
      </c>
      <c r="N151" s="46">
        <v>0</v>
      </c>
      <c r="O151" s="46">
        <v>0</v>
      </c>
      <c r="P151" s="46">
        <v>0</v>
      </c>
      <c r="Q151" s="46">
        <v>0</v>
      </c>
      <c r="R151" s="46">
        <v>0</v>
      </c>
      <c r="S151" s="46">
        <v>0</v>
      </c>
      <c r="T151" s="46">
        <v>0</v>
      </c>
      <c r="U151" s="46">
        <v>0</v>
      </c>
      <c r="V151" s="46">
        <v>0</v>
      </c>
      <c r="W151" s="46">
        <v>0</v>
      </c>
      <c r="X151" s="46">
        <v>0</v>
      </c>
      <c r="Y151" s="46">
        <v>0</v>
      </c>
      <c r="Z151" s="46">
        <v>0</v>
      </c>
      <c r="AA151" s="46">
        <v>0</v>
      </c>
      <c r="AB151" s="46">
        <v>0</v>
      </c>
      <c r="AC151" s="46">
        <v>0</v>
      </c>
      <c r="AD151" t="str">
        <f t="shared" si="2"/>
        <v>Spring</v>
      </c>
      <c r="AE151" t="str">
        <f>INDEX('Category Mapping'!$B$2:$B$25,MATCH('Source Data'!A151,'Category Mapping'!$A$2:$A$25,0))</f>
        <v>Weekday</v>
      </c>
      <c r="AF151" t="str">
        <f>INDEX('Category Mapping'!$C$2:$C$25,MATCH('Source Data'!A151,'Category Mapping'!$A$2:$A$25,0))</f>
        <v>Commercial</v>
      </c>
      <c r="AG151" t="str">
        <f>INDEX('Category Mapping'!$D$2:$D$25,MATCH('Source Data'!A151,'Category Mapping'!$A$2:$A$25,0))</f>
        <v>Appliances</v>
      </c>
    </row>
    <row r="152" spans="1:33" x14ac:dyDescent="0.3">
      <c r="A152" s="39" t="s">
        <v>105</v>
      </c>
      <c r="B152" s="39">
        <v>2019</v>
      </c>
      <c r="C152" s="39">
        <v>3</v>
      </c>
      <c r="D152" s="39" t="s">
        <v>93</v>
      </c>
      <c r="E152" s="39">
        <v>6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t="str">
        <f t="shared" si="2"/>
        <v>Summer</v>
      </c>
      <c r="AE152" t="str">
        <f>INDEX('Category Mapping'!$B$2:$B$25,MATCH('Source Data'!A152,'Category Mapping'!$A$2:$A$25,0))</f>
        <v>Weekday</v>
      </c>
      <c r="AF152" t="str">
        <f>INDEX('Category Mapping'!$C$2:$C$25,MATCH('Source Data'!A152,'Category Mapping'!$A$2:$A$25,0))</f>
        <v>Commercial</v>
      </c>
      <c r="AG152" t="str">
        <f>INDEX('Category Mapping'!$D$2:$D$25,MATCH('Source Data'!A152,'Category Mapping'!$A$2:$A$25,0))</f>
        <v>Appliances</v>
      </c>
    </row>
    <row r="153" spans="1:33" x14ac:dyDescent="0.3">
      <c r="A153" s="45" t="s">
        <v>105</v>
      </c>
      <c r="B153" s="45">
        <v>2019</v>
      </c>
      <c r="C153" s="45">
        <v>3</v>
      </c>
      <c r="D153" s="45" t="s">
        <v>93</v>
      </c>
      <c r="E153" s="45">
        <v>7</v>
      </c>
      <c r="F153" s="46">
        <v>0</v>
      </c>
      <c r="G153" s="46">
        <v>0</v>
      </c>
      <c r="H153" s="46">
        <v>0</v>
      </c>
      <c r="I153" s="46">
        <v>0</v>
      </c>
      <c r="J153" s="46">
        <v>0</v>
      </c>
      <c r="K153" s="46">
        <v>0</v>
      </c>
      <c r="L153" s="46">
        <v>0</v>
      </c>
      <c r="M153" s="46">
        <v>0</v>
      </c>
      <c r="N153" s="46">
        <v>0</v>
      </c>
      <c r="O153" s="46">
        <v>0</v>
      </c>
      <c r="P153" s="46">
        <v>0</v>
      </c>
      <c r="Q153" s="46">
        <v>0</v>
      </c>
      <c r="R153" s="46">
        <v>0</v>
      </c>
      <c r="S153" s="46">
        <v>0</v>
      </c>
      <c r="T153" s="46">
        <v>0</v>
      </c>
      <c r="U153" s="46">
        <v>0</v>
      </c>
      <c r="V153" s="46">
        <v>0</v>
      </c>
      <c r="W153" s="46">
        <v>0</v>
      </c>
      <c r="X153" s="46">
        <v>0</v>
      </c>
      <c r="Y153" s="46">
        <v>0</v>
      </c>
      <c r="Z153" s="46">
        <v>0</v>
      </c>
      <c r="AA153" s="46">
        <v>0</v>
      </c>
      <c r="AB153" s="46">
        <v>0</v>
      </c>
      <c r="AC153" s="46">
        <v>0</v>
      </c>
      <c r="AD153" t="str">
        <f t="shared" si="2"/>
        <v>Summer</v>
      </c>
      <c r="AE153" t="str">
        <f>INDEX('Category Mapping'!$B$2:$B$25,MATCH('Source Data'!A153,'Category Mapping'!$A$2:$A$25,0))</f>
        <v>Weekday</v>
      </c>
      <c r="AF153" t="str">
        <f>INDEX('Category Mapping'!$C$2:$C$25,MATCH('Source Data'!A153,'Category Mapping'!$A$2:$A$25,0))</f>
        <v>Commercial</v>
      </c>
      <c r="AG153" t="str">
        <f>INDEX('Category Mapping'!$D$2:$D$25,MATCH('Source Data'!A153,'Category Mapping'!$A$2:$A$25,0))</f>
        <v>Appliances</v>
      </c>
    </row>
    <row r="154" spans="1:33" x14ac:dyDescent="0.3">
      <c r="A154" s="39" t="s">
        <v>105</v>
      </c>
      <c r="B154" s="39">
        <v>2019</v>
      </c>
      <c r="C154" s="39">
        <v>3</v>
      </c>
      <c r="D154" s="39" t="s">
        <v>93</v>
      </c>
      <c r="E154" s="39">
        <v>8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t="str">
        <f t="shared" si="2"/>
        <v>Summer</v>
      </c>
      <c r="AE154" t="str">
        <f>INDEX('Category Mapping'!$B$2:$B$25,MATCH('Source Data'!A154,'Category Mapping'!$A$2:$A$25,0))</f>
        <v>Weekday</v>
      </c>
      <c r="AF154" t="str">
        <f>INDEX('Category Mapping'!$C$2:$C$25,MATCH('Source Data'!A154,'Category Mapping'!$A$2:$A$25,0))</f>
        <v>Commercial</v>
      </c>
      <c r="AG154" t="str">
        <f>INDEX('Category Mapping'!$D$2:$D$25,MATCH('Source Data'!A154,'Category Mapping'!$A$2:$A$25,0))</f>
        <v>Appliances</v>
      </c>
    </row>
    <row r="155" spans="1:33" x14ac:dyDescent="0.3">
      <c r="A155" s="45" t="s">
        <v>105</v>
      </c>
      <c r="B155" s="45">
        <v>2019</v>
      </c>
      <c r="C155" s="45">
        <v>3</v>
      </c>
      <c r="D155" s="45" t="s">
        <v>93</v>
      </c>
      <c r="E155" s="45">
        <v>9</v>
      </c>
      <c r="F155" s="46">
        <v>0</v>
      </c>
      <c r="G155" s="46">
        <v>0</v>
      </c>
      <c r="H155" s="46">
        <v>0</v>
      </c>
      <c r="I155" s="46">
        <v>0</v>
      </c>
      <c r="J155" s="46">
        <v>0</v>
      </c>
      <c r="K155" s="46">
        <v>0</v>
      </c>
      <c r="L155" s="46">
        <v>0</v>
      </c>
      <c r="M155" s="46">
        <v>0</v>
      </c>
      <c r="N155" s="46">
        <v>0</v>
      </c>
      <c r="O155" s="46">
        <v>0</v>
      </c>
      <c r="P155" s="46">
        <v>0</v>
      </c>
      <c r="Q155" s="46">
        <v>0</v>
      </c>
      <c r="R155" s="46">
        <v>0</v>
      </c>
      <c r="S155" s="46">
        <v>0</v>
      </c>
      <c r="T155" s="46">
        <v>0</v>
      </c>
      <c r="U155" s="46">
        <v>0</v>
      </c>
      <c r="V155" s="46">
        <v>0</v>
      </c>
      <c r="W155" s="46">
        <v>0</v>
      </c>
      <c r="X155" s="46">
        <v>0</v>
      </c>
      <c r="Y155" s="46">
        <v>0</v>
      </c>
      <c r="Z155" s="46">
        <v>0</v>
      </c>
      <c r="AA155" s="46">
        <v>0</v>
      </c>
      <c r="AB155" s="46">
        <v>0</v>
      </c>
      <c r="AC155" s="46">
        <v>0</v>
      </c>
      <c r="AD155" t="str">
        <f t="shared" si="2"/>
        <v>Fall</v>
      </c>
      <c r="AE155" t="str">
        <f>INDEX('Category Mapping'!$B$2:$B$25,MATCH('Source Data'!A155,'Category Mapping'!$A$2:$A$25,0))</f>
        <v>Weekday</v>
      </c>
      <c r="AF155" t="str">
        <f>INDEX('Category Mapping'!$C$2:$C$25,MATCH('Source Data'!A155,'Category Mapping'!$A$2:$A$25,0))</f>
        <v>Commercial</v>
      </c>
      <c r="AG155" t="str">
        <f>INDEX('Category Mapping'!$D$2:$D$25,MATCH('Source Data'!A155,'Category Mapping'!$A$2:$A$25,0))</f>
        <v>Appliances</v>
      </c>
    </row>
    <row r="156" spans="1:33" x14ac:dyDescent="0.3">
      <c r="A156" s="39" t="s">
        <v>105</v>
      </c>
      <c r="B156" s="39">
        <v>2019</v>
      </c>
      <c r="C156" s="39">
        <v>3</v>
      </c>
      <c r="D156" s="39" t="s">
        <v>93</v>
      </c>
      <c r="E156" s="39">
        <v>10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t="str">
        <f t="shared" si="2"/>
        <v>Fall</v>
      </c>
      <c r="AE156" t="str">
        <f>INDEX('Category Mapping'!$B$2:$B$25,MATCH('Source Data'!A156,'Category Mapping'!$A$2:$A$25,0))</f>
        <v>Weekday</v>
      </c>
      <c r="AF156" t="str">
        <f>INDEX('Category Mapping'!$C$2:$C$25,MATCH('Source Data'!A156,'Category Mapping'!$A$2:$A$25,0))</f>
        <v>Commercial</v>
      </c>
      <c r="AG156" t="str">
        <f>INDEX('Category Mapping'!$D$2:$D$25,MATCH('Source Data'!A156,'Category Mapping'!$A$2:$A$25,0))</f>
        <v>Appliances</v>
      </c>
    </row>
    <row r="157" spans="1:33" x14ac:dyDescent="0.3">
      <c r="A157" s="45" t="s">
        <v>105</v>
      </c>
      <c r="B157" s="45">
        <v>2019</v>
      </c>
      <c r="C157" s="45">
        <v>3</v>
      </c>
      <c r="D157" s="45" t="s">
        <v>93</v>
      </c>
      <c r="E157" s="45">
        <v>11</v>
      </c>
      <c r="F157" s="46">
        <v>0</v>
      </c>
      <c r="G157" s="46">
        <v>0</v>
      </c>
      <c r="H157" s="46">
        <v>0</v>
      </c>
      <c r="I157" s="46">
        <v>0</v>
      </c>
      <c r="J157" s="46">
        <v>0</v>
      </c>
      <c r="K157" s="46">
        <v>0</v>
      </c>
      <c r="L157" s="46">
        <v>0</v>
      </c>
      <c r="M157" s="46">
        <v>0</v>
      </c>
      <c r="N157" s="46">
        <v>0</v>
      </c>
      <c r="O157" s="46">
        <v>0</v>
      </c>
      <c r="P157" s="46">
        <v>0</v>
      </c>
      <c r="Q157" s="46">
        <v>0</v>
      </c>
      <c r="R157" s="46">
        <v>0</v>
      </c>
      <c r="S157" s="46">
        <v>0</v>
      </c>
      <c r="T157" s="46">
        <v>0</v>
      </c>
      <c r="U157" s="46">
        <v>0</v>
      </c>
      <c r="V157" s="46">
        <v>0</v>
      </c>
      <c r="W157" s="46">
        <v>0</v>
      </c>
      <c r="X157" s="46">
        <v>0</v>
      </c>
      <c r="Y157" s="46">
        <v>0</v>
      </c>
      <c r="Z157" s="46">
        <v>0</v>
      </c>
      <c r="AA157" s="46">
        <v>0</v>
      </c>
      <c r="AB157" s="46">
        <v>0</v>
      </c>
      <c r="AC157" s="46">
        <v>0</v>
      </c>
      <c r="AD157" t="str">
        <f t="shared" si="2"/>
        <v>Winter</v>
      </c>
      <c r="AE157" t="str">
        <f>INDEX('Category Mapping'!$B$2:$B$25,MATCH('Source Data'!A157,'Category Mapping'!$A$2:$A$25,0))</f>
        <v>Weekday</v>
      </c>
      <c r="AF157" t="str">
        <f>INDEX('Category Mapping'!$C$2:$C$25,MATCH('Source Data'!A157,'Category Mapping'!$A$2:$A$25,0))</f>
        <v>Commercial</v>
      </c>
      <c r="AG157" t="str">
        <f>INDEX('Category Mapping'!$D$2:$D$25,MATCH('Source Data'!A157,'Category Mapping'!$A$2:$A$25,0))</f>
        <v>Appliances</v>
      </c>
    </row>
    <row r="158" spans="1:33" x14ac:dyDescent="0.3">
      <c r="A158" s="39" t="s">
        <v>105</v>
      </c>
      <c r="B158" s="39">
        <v>2019</v>
      </c>
      <c r="C158" s="39">
        <v>3</v>
      </c>
      <c r="D158" s="39" t="s">
        <v>93</v>
      </c>
      <c r="E158" s="39">
        <v>12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t="str">
        <f t="shared" si="2"/>
        <v>Winter</v>
      </c>
      <c r="AE158" t="str">
        <f>INDEX('Category Mapping'!$B$2:$B$25,MATCH('Source Data'!A158,'Category Mapping'!$A$2:$A$25,0))</f>
        <v>Weekday</v>
      </c>
      <c r="AF158" t="str">
        <f>INDEX('Category Mapping'!$C$2:$C$25,MATCH('Source Data'!A158,'Category Mapping'!$A$2:$A$25,0))</f>
        <v>Commercial</v>
      </c>
      <c r="AG158" t="str">
        <f>INDEX('Category Mapping'!$D$2:$D$25,MATCH('Source Data'!A158,'Category Mapping'!$A$2:$A$25,0))</f>
        <v>Appliances</v>
      </c>
    </row>
    <row r="159" spans="1:33" x14ac:dyDescent="0.3">
      <c r="A159" s="45" t="s">
        <v>106</v>
      </c>
      <c r="B159" s="45">
        <v>2019</v>
      </c>
      <c r="C159" s="45">
        <v>3</v>
      </c>
      <c r="D159" s="45" t="s">
        <v>93</v>
      </c>
      <c r="E159" s="45">
        <v>1</v>
      </c>
      <c r="F159" s="46">
        <v>0</v>
      </c>
      <c r="G159" s="46">
        <v>0</v>
      </c>
      <c r="H159" s="46">
        <v>0</v>
      </c>
      <c r="I159" s="46">
        <v>0</v>
      </c>
      <c r="J159" s="46">
        <v>0</v>
      </c>
      <c r="K159" s="46">
        <v>0</v>
      </c>
      <c r="L159" s="46">
        <v>0</v>
      </c>
      <c r="M159" s="46">
        <v>0</v>
      </c>
      <c r="N159" s="46">
        <v>0</v>
      </c>
      <c r="O159" s="46">
        <v>0</v>
      </c>
      <c r="P159" s="46">
        <v>0</v>
      </c>
      <c r="Q159" s="46">
        <v>0</v>
      </c>
      <c r="R159" s="46">
        <v>0</v>
      </c>
      <c r="S159" s="46">
        <v>0</v>
      </c>
      <c r="T159" s="46">
        <v>0</v>
      </c>
      <c r="U159" s="46">
        <v>0</v>
      </c>
      <c r="V159" s="46">
        <v>0</v>
      </c>
      <c r="W159" s="46">
        <v>0</v>
      </c>
      <c r="X159" s="46">
        <v>0</v>
      </c>
      <c r="Y159" s="46">
        <v>0</v>
      </c>
      <c r="Z159" s="46">
        <v>0</v>
      </c>
      <c r="AA159" s="46">
        <v>0</v>
      </c>
      <c r="AB159" s="46">
        <v>0</v>
      </c>
      <c r="AC159" s="46">
        <v>0</v>
      </c>
      <c r="AD159" t="str">
        <f t="shared" si="2"/>
        <v>Winter</v>
      </c>
      <c r="AE159" t="str">
        <f>INDEX('Category Mapping'!$B$2:$B$25,MATCH('Source Data'!A159,'Category Mapping'!$A$2:$A$25,0))</f>
        <v>Weekend</v>
      </c>
      <c r="AF159" t="str">
        <f>INDEX('Category Mapping'!$C$2:$C$25,MATCH('Source Data'!A159,'Category Mapping'!$A$2:$A$25,0))</f>
        <v>Commercial</v>
      </c>
      <c r="AG159" t="str">
        <f>INDEX('Category Mapping'!$D$2:$D$25,MATCH('Source Data'!A159,'Category Mapping'!$A$2:$A$25,0))</f>
        <v>Appliances</v>
      </c>
    </row>
    <row r="160" spans="1:33" x14ac:dyDescent="0.3">
      <c r="A160" s="39" t="s">
        <v>106</v>
      </c>
      <c r="B160" s="39">
        <v>2019</v>
      </c>
      <c r="C160" s="39">
        <v>3</v>
      </c>
      <c r="D160" s="39" t="s">
        <v>93</v>
      </c>
      <c r="E160" s="39">
        <v>2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0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t="str">
        <f t="shared" si="2"/>
        <v>Winter</v>
      </c>
      <c r="AE160" t="str">
        <f>INDEX('Category Mapping'!$B$2:$B$25,MATCH('Source Data'!A160,'Category Mapping'!$A$2:$A$25,0))</f>
        <v>Weekend</v>
      </c>
      <c r="AF160" t="str">
        <f>INDEX('Category Mapping'!$C$2:$C$25,MATCH('Source Data'!A160,'Category Mapping'!$A$2:$A$25,0))</f>
        <v>Commercial</v>
      </c>
      <c r="AG160" t="str">
        <f>INDEX('Category Mapping'!$D$2:$D$25,MATCH('Source Data'!A160,'Category Mapping'!$A$2:$A$25,0))</f>
        <v>Appliances</v>
      </c>
    </row>
    <row r="161" spans="1:33" x14ac:dyDescent="0.3">
      <c r="A161" s="45" t="s">
        <v>106</v>
      </c>
      <c r="B161" s="45">
        <v>2019</v>
      </c>
      <c r="C161" s="45">
        <v>3</v>
      </c>
      <c r="D161" s="45" t="s">
        <v>93</v>
      </c>
      <c r="E161" s="45">
        <v>3</v>
      </c>
      <c r="F161" s="46">
        <v>0</v>
      </c>
      <c r="G161" s="46">
        <v>0</v>
      </c>
      <c r="H161" s="46">
        <v>0</v>
      </c>
      <c r="I161" s="46">
        <v>0</v>
      </c>
      <c r="J161" s="46">
        <v>0</v>
      </c>
      <c r="K161" s="46">
        <v>0</v>
      </c>
      <c r="L161" s="46">
        <v>0</v>
      </c>
      <c r="M161" s="46">
        <v>0</v>
      </c>
      <c r="N161" s="46">
        <v>0</v>
      </c>
      <c r="O161" s="46">
        <v>0</v>
      </c>
      <c r="P161" s="46">
        <v>0</v>
      </c>
      <c r="Q161" s="46">
        <v>0</v>
      </c>
      <c r="R161" s="46">
        <v>0</v>
      </c>
      <c r="S161" s="46">
        <v>0</v>
      </c>
      <c r="T161" s="46">
        <v>0</v>
      </c>
      <c r="U161" s="46">
        <v>0</v>
      </c>
      <c r="V161" s="46">
        <v>0</v>
      </c>
      <c r="W161" s="46">
        <v>0</v>
      </c>
      <c r="X161" s="46">
        <v>0</v>
      </c>
      <c r="Y161" s="46">
        <v>0</v>
      </c>
      <c r="Z161" s="46">
        <v>0</v>
      </c>
      <c r="AA161" s="46">
        <v>0</v>
      </c>
      <c r="AB161" s="46">
        <v>0</v>
      </c>
      <c r="AC161" s="46">
        <v>0</v>
      </c>
      <c r="AD161" t="str">
        <f t="shared" si="2"/>
        <v>Spring</v>
      </c>
      <c r="AE161" t="str">
        <f>INDEX('Category Mapping'!$B$2:$B$25,MATCH('Source Data'!A161,'Category Mapping'!$A$2:$A$25,0))</f>
        <v>Weekend</v>
      </c>
      <c r="AF161" t="str">
        <f>INDEX('Category Mapping'!$C$2:$C$25,MATCH('Source Data'!A161,'Category Mapping'!$A$2:$A$25,0))</f>
        <v>Commercial</v>
      </c>
      <c r="AG161" t="str">
        <f>INDEX('Category Mapping'!$D$2:$D$25,MATCH('Source Data'!A161,'Category Mapping'!$A$2:$A$25,0))</f>
        <v>Appliances</v>
      </c>
    </row>
    <row r="162" spans="1:33" x14ac:dyDescent="0.3">
      <c r="A162" s="39" t="s">
        <v>106</v>
      </c>
      <c r="B162" s="39">
        <v>2019</v>
      </c>
      <c r="C162" s="39">
        <v>3</v>
      </c>
      <c r="D162" s="39" t="s">
        <v>93</v>
      </c>
      <c r="E162" s="39">
        <v>4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t="str">
        <f t="shared" si="2"/>
        <v>Spring</v>
      </c>
      <c r="AE162" t="str">
        <f>INDEX('Category Mapping'!$B$2:$B$25,MATCH('Source Data'!A162,'Category Mapping'!$A$2:$A$25,0))</f>
        <v>Weekend</v>
      </c>
      <c r="AF162" t="str">
        <f>INDEX('Category Mapping'!$C$2:$C$25,MATCH('Source Data'!A162,'Category Mapping'!$A$2:$A$25,0))</f>
        <v>Commercial</v>
      </c>
      <c r="AG162" t="str">
        <f>INDEX('Category Mapping'!$D$2:$D$25,MATCH('Source Data'!A162,'Category Mapping'!$A$2:$A$25,0))</f>
        <v>Appliances</v>
      </c>
    </row>
    <row r="163" spans="1:33" x14ac:dyDescent="0.3">
      <c r="A163" s="45" t="s">
        <v>106</v>
      </c>
      <c r="B163" s="45">
        <v>2019</v>
      </c>
      <c r="C163" s="45">
        <v>3</v>
      </c>
      <c r="D163" s="45" t="s">
        <v>93</v>
      </c>
      <c r="E163" s="45">
        <v>5</v>
      </c>
      <c r="F163" s="46">
        <v>0</v>
      </c>
      <c r="G163" s="46">
        <v>0</v>
      </c>
      <c r="H163" s="46">
        <v>0</v>
      </c>
      <c r="I163" s="46">
        <v>0</v>
      </c>
      <c r="J163" s="46">
        <v>0</v>
      </c>
      <c r="K163" s="46">
        <v>0</v>
      </c>
      <c r="L163" s="46">
        <v>0</v>
      </c>
      <c r="M163" s="46">
        <v>0</v>
      </c>
      <c r="N163" s="46">
        <v>0</v>
      </c>
      <c r="O163" s="46">
        <v>0</v>
      </c>
      <c r="P163" s="46">
        <v>0</v>
      </c>
      <c r="Q163" s="46">
        <v>0</v>
      </c>
      <c r="R163" s="46">
        <v>0</v>
      </c>
      <c r="S163" s="46">
        <v>0</v>
      </c>
      <c r="T163" s="46">
        <v>0</v>
      </c>
      <c r="U163" s="46">
        <v>0</v>
      </c>
      <c r="V163" s="46">
        <v>0</v>
      </c>
      <c r="W163" s="46">
        <v>0</v>
      </c>
      <c r="X163" s="46">
        <v>0</v>
      </c>
      <c r="Y163" s="46">
        <v>0</v>
      </c>
      <c r="Z163" s="46">
        <v>0</v>
      </c>
      <c r="AA163" s="46">
        <v>0</v>
      </c>
      <c r="AB163" s="46">
        <v>0</v>
      </c>
      <c r="AC163" s="46">
        <v>0</v>
      </c>
      <c r="AD163" t="str">
        <f t="shared" si="2"/>
        <v>Spring</v>
      </c>
      <c r="AE163" t="str">
        <f>INDEX('Category Mapping'!$B$2:$B$25,MATCH('Source Data'!A163,'Category Mapping'!$A$2:$A$25,0))</f>
        <v>Weekend</v>
      </c>
      <c r="AF163" t="str">
        <f>INDEX('Category Mapping'!$C$2:$C$25,MATCH('Source Data'!A163,'Category Mapping'!$A$2:$A$25,0))</f>
        <v>Commercial</v>
      </c>
      <c r="AG163" t="str">
        <f>INDEX('Category Mapping'!$D$2:$D$25,MATCH('Source Data'!A163,'Category Mapping'!$A$2:$A$25,0))</f>
        <v>Appliances</v>
      </c>
    </row>
    <row r="164" spans="1:33" x14ac:dyDescent="0.3">
      <c r="A164" s="39" t="s">
        <v>106</v>
      </c>
      <c r="B164" s="39">
        <v>2019</v>
      </c>
      <c r="C164" s="39">
        <v>3</v>
      </c>
      <c r="D164" s="39" t="s">
        <v>93</v>
      </c>
      <c r="E164" s="39">
        <v>6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t="str">
        <f t="shared" si="2"/>
        <v>Summer</v>
      </c>
      <c r="AE164" t="str">
        <f>INDEX('Category Mapping'!$B$2:$B$25,MATCH('Source Data'!A164,'Category Mapping'!$A$2:$A$25,0))</f>
        <v>Weekend</v>
      </c>
      <c r="AF164" t="str">
        <f>INDEX('Category Mapping'!$C$2:$C$25,MATCH('Source Data'!A164,'Category Mapping'!$A$2:$A$25,0))</f>
        <v>Commercial</v>
      </c>
      <c r="AG164" t="str">
        <f>INDEX('Category Mapping'!$D$2:$D$25,MATCH('Source Data'!A164,'Category Mapping'!$A$2:$A$25,0))</f>
        <v>Appliances</v>
      </c>
    </row>
    <row r="165" spans="1:33" x14ac:dyDescent="0.3">
      <c r="A165" s="45" t="s">
        <v>106</v>
      </c>
      <c r="B165" s="45">
        <v>2019</v>
      </c>
      <c r="C165" s="45">
        <v>3</v>
      </c>
      <c r="D165" s="45" t="s">
        <v>93</v>
      </c>
      <c r="E165" s="45">
        <v>7</v>
      </c>
      <c r="F165" s="46">
        <v>0</v>
      </c>
      <c r="G165" s="46">
        <v>0</v>
      </c>
      <c r="H165" s="46">
        <v>0</v>
      </c>
      <c r="I165" s="46">
        <v>0</v>
      </c>
      <c r="J165" s="46">
        <v>0</v>
      </c>
      <c r="K165" s="46">
        <v>0</v>
      </c>
      <c r="L165" s="46">
        <v>0</v>
      </c>
      <c r="M165" s="46">
        <v>0</v>
      </c>
      <c r="N165" s="46">
        <v>0</v>
      </c>
      <c r="O165" s="46">
        <v>0</v>
      </c>
      <c r="P165" s="46">
        <v>0</v>
      </c>
      <c r="Q165" s="46">
        <v>0</v>
      </c>
      <c r="R165" s="46">
        <v>0</v>
      </c>
      <c r="S165" s="46">
        <v>0</v>
      </c>
      <c r="T165" s="46">
        <v>0</v>
      </c>
      <c r="U165" s="46">
        <v>0</v>
      </c>
      <c r="V165" s="46">
        <v>0</v>
      </c>
      <c r="W165" s="46">
        <v>0</v>
      </c>
      <c r="X165" s="46">
        <v>0</v>
      </c>
      <c r="Y165" s="46">
        <v>0</v>
      </c>
      <c r="Z165" s="46">
        <v>0</v>
      </c>
      <c r="AA165" s="46">
        <v>0</v>
      </c>
      <c r="AB165" s="46">
        <v>0</v>
      </c>
      <c r="AC165" s="46">
        <v>0</v>
      </c>
      <c r="AD165" t="str">
        <f t="shared" si="2"/>
        <v>Summer</v>
      </c>
      <c r="AE165" t="str">
        <f>INDEX('Category Mapping'!$B$2:$B$25,MATCH('Source Data'!A165,'Category Mapping'!$A$2:$A$25,0))</f>
        <v>Weekend</v>
      </c>
      <c r="AF165" t="str">
        <f>INDEX('Category Mapping'!$C$2:$C$25,MATCH('Source Data'!A165,'Category Mapping'!$A$2:$A$25,0))</f>
        <v>Commercial</v>
      </c>
      <c r="AG165" t="str">
        <f>INDEX('Category Mapping'!$D$2:$D$25,MATCH('Source Data'!A165,'Category Mapping'!$A$2:$A$25,0))</f>
        <v>Appliances</v>
      </c>
    </row>
    <row r="166" spans="1:33" x14ac:dyDescent="0.3">
      <c r="A166" s="39" t="s">
        <v>106</v>
      </c>
      <c r="B166" s="39">
        <v>2019</v>
      </c>
      <c r="C166" s="39">
        <v>3</v>
      </c>
      <c r="D166" s="39" t="s">
        <v>93</v>
      </c>
      <c r="E166" s="39">
        <v>8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t="str">
        <f t="shared" si="2"/>
        <v>Summer</v>
      </c>
      <c r="AE166" t="str">
        <f>INDEX('Category Mapping'!$B$2:$B$25,MATCH('Source Data'!A166,'Category Mapping'!$A$2:$A$25,0))</f>
        <v>Weekend</v>
      </c>
      <c r="AF166" t="str">
        <f>INDEX('Category Mapping'!$C$2:$C$25,MATCH('Source Data'!A166,'Category Mapping'!$A$2:$A$25,0))</f>
        <v>Commercial</v>
      </c>
      <c r="AG166" t="str">
        <f>INDEX('Category Mapping'!$D$2:$D$25,MATCH('Source Data'!A166,'Category Mapping'!$A$2:$A$25,0))</f>
        <v>Appliances</v>
      </c>
    </row>
    <row r="167" spans="1:33" x14ac:dyDescent="0.3">
      <c r="A167" s="45" t="s">
        <v>106</v>
      </c>
      <c r="B167" s="45">
        <v>2019</v>
      </c>
      <c r="C167" s="45">
        <v>3</v>
      </c>
      <c r="D167" s="45" t="s">
        <v>93</v>
      </c>
      <c r="E167" s="45">
        <v>9</v>
      </c>
      <c r="F167" s="46">
        <v>0</v>
      </c>
      <c r="G167" s="46">
        <v>0</v>
      </c>
      <c r="H167" s="46">
        <v>0</v>
      </c>
      <c r="I167" s="46">
        <v>0</v>
      </c>
      <c r="J167" s="46">
        <v>0</v>
      </c>
      <c r="K167" s="46">
        <v>0</v>
      </c>
      <c r="L167" s="46">
        <v>0</v>
      </c>
      <c r="M167" s="46">
        <v>0</v>
      </c>
      <c r="N167" s="46">
        <v>0</v>
      </c>
      <c r="O167" s="46">
        <v>0</v>
      </c>
      <c r="P167" s="46">
        <v>0</v>
      </c>
      <c r="Q167" s="46">
        <v>0</v>
      </c>
      <c r="R167" s="46">
        <v>0</v>
      </c>
      <c r="S167" s="46">
        <v>0</v>
      </c>
      <c r="T167" s="46">
        <v>0</v>
      </c>
      <c r="U167" s="46">
        <v>0</v>
      </c>
      <c r="V167" s="46">
        <v>0</v>
      </c>
      <c r="W167" s="46">
        <v>0</v>
      </c>
      <c r="X167" s="46">
        <v>0</v>
      </c>
      <c r="Y167" s="46">
        <v>0</v>
      </c>
      <c r="Z167" s="46">
        <v>0</v>
      </c>
      <c r="AA167" s="46">
        <v>0</v>
      </c>
      <c r="AB167" s="46">
        <v>0</v>
      </c>
      <c r="AC167" s="46">
        <v>0</v>
      </c>
      <c r="AD167" t="str">
        <f t="shared" si="2"/>
        <v>Fall</v>
      </c>
      <c r="AE167" t="str">
        <f>INDEX('Category Mapping'!$B$2:$B$25,MATCH('Source Data'!A167,'Category Mapping'!$A$2:$A$25,0))</f>
        <v>Weekend</v>
      </c>
      <c r="AF167" t="str">
        <f>INDEX('Category Mapping'!$C$2:$C$25,MATCH('Source Data'!A167,'Category Mapping'!$A$2:$A$25,0))</f>
        <v>Commercial</v>
      </c>
      <c r="AG167" t="str">
        <f>INDEX('Category Mapping'!$D$2:$D$25,MATCH('Source Data'!A167,'Category Mapping'!$A$2:$A$25,0))</f>
        <v>Appliances</v>
      </c>
    </row>
    <row r="168" spans="1:33" x14ac:dyDescent="0.3">
      <c r="A168" s="39" t="s">
        <v>106</v>
      </c>
      <c r="B168" s="39">
        <v>2019</v>
      </c>
      <c r="C168" s="39">
        <v>3</v>
      </c>
      <c r="D168" s="39" t="s">
        <v>93</v>
      </c>
      <c r="E168" s="39">
        <v>10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47">
        <v>0</v>
      </c>
      <c r="L168" s="47">
        <v>0</v>
      </c>
      <c r="M168" s="47">
        <v>0</v>
      </c>
      <c r="N168" s="47">
        <v>0</v>
      </c>
      <c r="O168" s="47">
        <v>0</v>
      </c>
      <c r="P168" s="47">
        <v>0</v>
      </c>
      <c r="Q168" s="47">
        <v>0</v>
      </c>
      <c r="R168" s="47">
        <v>0</v>
      </c>
      <c r="S168" s="47">
        <v>0</v>
      </c>
      <c r="T168" s="47">
        <v>0</v>
      </c>
      <c r="U168" s="47">
        <v>0</v>
      </c>
      <c r="V168" s="47">
        <v>0</v>
      </c>
      <c r="W168" s="47">
        <v>0</v>
      </c>
      <c r="X168" s="47">
        <v>0</v>
      </c>
      <c r="Y168" s="47">
        <v>0</v>
      </c>
      <c r="Z168" s="47">
        <v>0</v>
      </c>
      <c r="AA168" s="47">
        <v>0</v>
      </c>
      <c r="AB168" s="47">
        <v>0</v>
      </c>
      <c r="AC168" s="47">
        <v>0</v>
      </c>
      <c r="AD168" t="str">
        <f t="shared" si="2"/>
        <v>Fall</v>
      </c>
      <c r="AE168" t="str">
        <f>INDEX('Category Mapping'!$B$2:$B$25,MATCH('Source Data'!A168,'Category Mapping'!$A$2:$A$25,0))</f>
        <v>Weekend</v>
      </c>
      <c r="AF168" t="str">
        <f>INDEX('Category Mapping'!$C$2:$C$25,MATCH('Source Data'!A168,'Category Mapping'!$A$2:$A$25,0))</f>
        <v>Commercial</v>
      </c>
      <c r="AG168" t="str">
        <f>INDEX('Category Mapping'!$D$2:$D$25,MATCH('Source Data'!A168,'Category Mapping'!$A$2:$A$25,0))</f>
        <v>Appliances</v>
      </c>
    </row>
    <row r="169" spans="1:33" x14ac:dyDescent="0.3">
      <c r="A169" s="45" t="s">
        <v>106</v>
      </c>
      <c r="B169" s="45">
        <v>2019</v>
      </c>
      <c r="C169" s="45">
        <v>3</v>
      </c>
      <c r="D169" s="45" t="s">
        <v>93</v>
      </c>
      <c r="E169" s="45">
        <v>11</v>
      </c>
      <c r="F169" s="46">
        <v>0</v>
      </c>
      <c r="G169" s="46">
        <v>0</v>
      </c>
      <c r="H169" s="46">
        <v>0</v>
      </c>
      <c r="I169" s="46">
        <v>0</v>
      </c>
      <c r="J169" s="46">
        <v>0</v>
      </c>
      <c r="K169" s="46">
        <v>0</v>
      </c>
      <c r="L169" s="46">
        <v>0</v>
      </c>
      <c r="M169" s="46">
        <v>0</v>
      </c>
      <c r="N169" s="46">
        <v>0</v>
      </c>
      <c r="O169" s="46">
        <v>0</v>
      </c>
      <c r="P169" s="46">
        <v>0</v>
      </c>
      <c r="Q169" s="46">
        <v>0</v>
      </c>
      <c r="R169" s="46">
        <v>0</v>
      </c>
      <c r="S169" s="46">
        <v>0</v>
      </c>
      <c r="T169" s="46">
        <v>0</v>
      </c>
      <c r="U169" s="46">
        <v>0</v>
      </c>
      <c r="V169" s="46">
        <v>0</v>
      </c>
      <c r="W169" s="46">
        <v>0</v>
      </c>
      <c r="X169" s="46">
        <v>0</v>
      </c>
      <c r="Y169" s="46">
        <v>0</v>
      </c>
      <c r="Z169" s="46">
        <v>0</v>
      </c>
      <c r="AA169" s="46">
        <v>0</v>
      </c>
      <c r="AB169" s="46">
        <v>0</v>
      </c>
      <c r="AC169" s="46">
        <v>0</v>
      </c>
      <c r="AD169" t="str">
        <f t="shared" si="2"/>
        <v>Winter</v>
      </c>
      <c r="AE169" t="str">
        <f>INDEX('Category Mapping'!$B$2:$B$25,MATCH('Source Data'!A169,'Category Mapping'!$A$2:$A$25,0))</f>
        <v>Weekend</v>
      </c>
      <c r="AF169" t="str">
        <f>INDEX('Category Mapping'!$C$2:$C$25,MATCH('Source Data'!A169,'Category Mapping'!$A$2:$A$25,0))</f>
        <v>Commercial</v>
      </c>
      <c r="AG169" t="str">
        <f>INDEX('Category Mapping'!$D$2:$D$25,MATCH('Source Data'!A169,'Category Mapping'!$A$2:$A$25,0))</f>
        <v>Appliances</v>
      </c>
    </row>
    <row r="170" spans="1:33" x14ac:dyDescent="0.3">
      <c r="A170" s="39" t="s">
        <v>106</v>
      </c>
      <c r="B170" s="39">
        <v>2019</v>
      </c>
      <c r="C170" s="39">
        <v>3</v>
      </c>
      <c r="D170" s="39" t="s">
        <v>93</v>
      </c>
      <c r="E170" s="39">
        <v>12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0</v>
      </c>
      <c r="M170" s="47">
        <v>0</v>
      </c>
      <c r="N170" s="47">
        <v>0</v>
      </c>
      <c r="O170" s="47">
        <v>0</v>
      </c>
      <c r="P170" s="47">
        <v>0</v>
      </c>
      <c r="Q170" s="47">
        <v>0</v>
      </c>
      <c r="R170" s="47">
        <v>0</v>
      </c>
      <c r="S170" s="47">
        <v>0</v>
      </c>
      <c r="T170" s="47">
        <v>0</v>
      </c>
      <c r="U170" s="47">
        <v>0</v>
      </c>
      <c r="V170" s="47">
        <v>0</v>
      </c>
      <c r="W170" s="47">
        <v>0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t="str">
        <f t="shared" si="2"/>
        <v>Winter</v>
      </c>
      <c r="AE170" t="str">
        <f>INDEX('Category Mapping'!$B$2:$B$25,MATCH('Source Data'!A170,'Category Mapping'!$A$2:$A$25,0))</f>
        <v>Weekend</v>
      </c>
      <c r="AF170" t="str">
        <f>INDEX('Category Mapping'!$C$2:$C$25,MATCH('Source Data'!A170,'Category Mapping'!$A$2:$A$25,0))</f>
        <v>Commercial</v>
      </c>
      <c r="AG170" t="str">
        <f>INDEX('Category Mapping'!$D$2:$D$25,MATCH('Source Data'!A170,'Category Mapping'!$A$2:$A$25,0))</f>
        <v>Appliances</v>
      </c>
    </row>
    <row r="171" spans="1:33" x14ac:dyDescent="0.3">
      <c r="A171" s="16" t="s">
        <v>107</v>
      </c>
      <c r="B171" s="17">
        <v>2019</v>
      </c>
      <c r="C171" s="45">
        <v>3</v>
      </c>
      <c r="D171" s="17" t="s">
        <v>93</v>
      </c>
      <c r="E171" s="17">
        <v>1</v>
      </c>
      <c r="F171" s="31">
        <v>328000000</v>
      </c>
      <c r="G171" s="31">
        <v>328000000</v>
      </c>
      <c r="H171" s="31">
        <v>328000000</v>
      </c>
      <c r="I171" s="31">
        <v>328000000</v>
      </c>
      <c r="J171" s="31">
        <v>328000000</v>
      </c>
      <c r="K171" s="31">
        <v>330000000</v>
      </c>
      <c r="L171" s="31">
        <v>332000000</v>
      </c>
      <c r="M171" s="31">
        <v>334000000</v>
      </c>
      <c r="N171" s="31">
        <v>334000000</v>
      </c>
      <c r="O171" s="31">
        <v>334000000</v>
      </c>
      <c r="P171" s="31">
        <v>333000000</v>
      </c>
      <c r="Q171" s="31">
        <v>332000000</v>
      </c>
      <c r="R171" s="31">
        <v>332000000</v>
      </c>
      <c r="S171" s="31">
        <v>332000000</v>
      </c>
      <c r="T171" s="31">
        <v>332000000</v>
      </c>
      <c r="U171" s="31">
        <v>334000000</v>
      </c>
      <c r="V171" s="31">
        <v>335000000</v>
      </c>
      <c r="W171" s="31">
        <v>336000000</v>
      </c>
      <c r="X171" s="31">
        <v>335000000</v>
      </c>
      <c r="Y171" s="31">
        <v>334000000</v>
      </c>
      <c r="Z171" s="31">
        <v>332000000</v>
      </c>
      <c r="AA171" s="31">
        <v>331000000</v>
      </c>
      <c r="AB171" s="31">
        <v>329000000</v>
      </c>
      <c r="AC171" s="31">
        <v>328000000</v>
      </c>
      <c r="AD171" t="str">
        <f t="shared" si="2"/>
        <v>Winter</v>
      </c>
      <c r="AE171" t="str">
        <f>INDEX('Category Mapping'!$B$2:$B$25,MATCH('Source Data'!A171,'Category Mapping'!$A$2:$A$25,0))</f>
        <v>Weekday</v>
      </c>
      <c r="AF171" t="str">
        <f>INDEX('Category Mapping'!$C$2:$C$25,MATCH('Source Data'!A171,'Category Mapping'!$A$2:$A$25,0))</f>
        <v>Industry</v>
      </c>
      <c r="AG171" t="str">
        <f>INDEX('Category Mapping'!$D$2:$D$25,MATCH('Source Data'!A171,'Category Mapping'!$A$2:$A$25,0))</f>
        <v>Industry</v>
      </c>
    </row>
    <row r="172" spans="1:33" x14ac:dyDescent="0.3">
      <c r="A172" s="18" t="s">
        <v>107</v>
      </c>
      <c r="B172" s="19">
        <v>2019</v>
      </c>
      <c r="C172" s="39">
        <v>3</v>
      </c>
      <c r="D172" s="19" t="s">
        <v>93</v>
      </c>
      <c r="E172" s="19">
        <v>2</v>
      </c>
      <c r="F172" s="30">
        <v>328000000</v>
      </c>
      <c r="G172" s="30">
        <v>327000000</v>
      </c>
      <c r="H172" s="30">
        <v>327000000</v>
      </c>
      <c r="I172" s="30">
        <v>327000000</v>
      </c>
      <c r="J172" s="30">
        <v>328000000</v>
      </c>
      <c r="K172" s="30">
        <v>329000000</v>
      </c>
      <c r="L172" s="30">
        <v>331000000</v>
      </c>
      <c r="M172" s="30">
        <v>333000000</v>
      </c>
      <c r="N172" s="30">
        <v>334000000</v>
      </c>
      <c r="O172" s="30">
        <v>333000000</v>
      </c>
      <c r="P172" s="30">
        <v>333000000</v>
      </c>
      <c r="Q172" s="30">
        <v>332000000</v>
      </c>
      <c r="R172" s="30">
        <v>331000000</v>
      </c>
      <c r="S172" s="30">
        <v>331000000</v>
      </c>
      <c r="T172" s="30">
        <v>332000000</v>
      </c>
      <c r="U172" s="30">
        <v>333000000</v>
      </c>
      <c r="V172" s="30">
        <v>335000000</v>
      </c>
      <c r="W172" s="30">
        <v>335000000</v>
      </c>
      <c r="X172" s="30">
        <v>335000000</v>
      </c>
      <c r="Y172" s="30">
        <v>333000000</v>
      </c>
      <c r="Z172" s="30">
        <v>332000000</v>
      </c>
      <c r="AA172" s="30">
        <v>330000000</v>
      </c>
      <c r="AB172" s="30">
        <v>329000000</v>
      </c>
      <c r="AC172" s="30">
        <v>328000000</v>
      </c>
      <c r="AD172" t="str">
        <f t="shared" si="2"/>
        <v>Winter</v>
      </c>
      <c r="AE172" t="str">
        <f>INDEX('Category Mapping'!$B$2:$B$25,MATCH('Source Data'!A172,'Category Mapping'!$A$2:$A$25,0))</f>
        <v>Weekday</v>
      </c>
      <c r="AF172" t="str">
        <f>INDEX('Category Mapping'!$C$2:$C$25,MATCH('Source Data'!A172,'Category Mapping'!$A$2:$A$25,0))</f>
        <v>Industry</v>
      </c>
      <c r="AG172" t="str">
        <f>INDEX('Category Mapping'!$D$2:$D$25,MATCH('Source Data'!A172,'Category Mapping'!$A$2:$A$25,0))</f>
        <v>Industry</v>
      </c>
    </row>
    <row r="173" spans="1:33" x14ac:dyDescent="0.3">
      <c r="A173" s="16" t="s">
        <v>107</v>
      </c>
      <c r="B173" s="17">
        <v>2019</v>
      </c>
      <c r="C173" s="45">
        <v>3</v>
      </c>
      <c r="D173" s="17" t="s">
        <v>93</v>
      </c>
      <c r="E173" s="17">
        <v>3</v>
      </c>
      <c r="F173" s="31">
        <v>329000000</v>
      </c>
      <c r="G173" s="31">
        <v>329000000</v>
      </c>
      <c r="H173" s="31">
        <v>329000000</v>
      </c>
      <c r="I173" s="31">
        <v>329000000</v>
      </c>
      <c r="J173" s="31">
        <v>330000000</v>
      </c>
      <c r="K173" s="31">
        <v>331000000</v>
      </c>
      <c r="L173" s="31">
        <v>333000000</v>
      </c>
      <c r="M173" s="31">
        <v>335000000</v>
      </c>
      <c r="N173" s="31">
        <v>336000000</v>
      </c>
      <c r="O173" s="31">
        <v>335000000</v>
      </c>
      <c r="P173" s="31">
        <v>334000000</v>
      </c>
      <c r="Q173" s="31">
        <v>334000000</v>
      </c>
      <c r="R173" s="31">
        <v>333000000</v>
      </c>
      <c r="S173" s="31">
        <v>333000000</v>
      </c>
      <c r="T173" s="31">
        <v>333000000</v>
      </c>
      <c r="U173" s="31">
        <v>335000000</v>
      </c>
      <c r="V173" s="31">
        <v>337000000</v>
      </c>
      <c r="W173" s="31">
        <v>337000000</v>
      </c>
      <c r="X173" s="31">
        <v>336000000</v>
      </c>
      <c r="Y173" s="31">
        <v>335000000</v>
      </c>
      <c r="Z173" s="31">
        <v>334000000</v>
      </c>
      <c r="AA173" s="31">
        <v>332000000</v>
      </c>
      <c r="AB173" s="31">
        <v>331000000</v>
      </c>
      <c r="AC173" s="31">
        <v>330000000</v>
      </c>
      <c r="AD173" t="str">
        <f t="shared" si="2"/>
        <v>Spring</v>
      </c>
      <c r="AE173" t="str">
        <f>INDEX('Category Mapping'!$B$2:$B$25,MATCH('Source Data'!A173,'Category Mapping'!$A$2:$A$25,0))</f>
        <v>Weekday</v>
      </c>
      <c r="AF173" t="str">
        <f>INDEX('Category Mapping'!$C$2:$C$25,MATCH('Source Data'!A173,'Category Mapping'!$A$2:$A$25,0))</f>
        <v>Industry</v>
      </c>
      <c r="AG173" t="str">
        <f>INDEX('Category Mapping'!$D$2:$D$25,MATCH('Source Data'!A173,'Category Mapping'!$A$2:$A$25,0))</f>
        <v>Industry</v>
      </c>
    </row>
    <row r="174" spans="1:33" x14ac:dyDescent="0.3">
      <c r="A174" s="18" t="s">
        <v>107</v>
      </c>
      <c r="B174" s="19">
        <v>2019</v>
      </c>
      <c r="C174" s="39">
        <v>3</v>
      </c>
      <c r="D174" s="19" t="s">
        <v>93</v>
      </c>
      <c r="E174" s="19">
        <v>4</v>
      </c>
      <c r="F174" s="30">
        <v>322000000</v>
      </c>
      <c r="G174" s="30">
        <v>322000000</v>
      </c>
      <c r="H174" s="30">
        <v>322000000</v>
      </c>
      <c r="I174" s="30">
        <v>322000000</v>
      </c>
      <c r="J174" s="30">
        <v>322000000</v>
      </c>
      <c r="K174" s="30">
        <v>324000000</v>
      </c>
      <c r="L174" s="30">
        <v>325000000</v>
      </c>
      <c r="M174" s="30">
        <v>327000000</v>
      </c>
      <c r="N174" s="30">
        <v>328000000</v>
      </c>
      <c r="O174" s="30">
        <v>327000000</v>
      </c>
      <c r="P174" s="30">
        <v>327000000</v>
      </c>
      <c r="Q174" s="30">
        <v>326000000</v>
      </c>
      <c r="R174" s="30">
        <v>325000000</v>
      </c>
      <c r="S174" s="30">
        <v>325000000</v>
      </c>
      <c r="T174" s="30">
        <v>326000000</v>
      </c>
      <c r="U174" s="30">
        <v>327000000</v>
      </c>
      <c r="V174" s="30">
        <v>329000000</v>
      </c>
      <c r="W174" s="30">
        <v>329000000</v>
      </c>
      <c r="X174" s="30">
        <v>328000000</v>
      </c>
      <c r="Y174" s="30">
        <v>327000000</v>
      </c>
      <c r="Z174" s="30">
        <v>326000000</v>
      </c>
      <c r="AA174" s="30">
        <v>325000000</v>
      </c>
      <c r="AB174" s="30">
        <v>323000000</v>
      </c>
      <c r="AC174" s="30">
        <v>322000000</v>
      </c>
      <c r="AD174" t="str">
        <f t="shared" si="2"/>
        <v>Spring</v>
      </c>
      <c r="AE174" t="str">
        <f>INDEX('Category Mapping'!$B$2:$B$25,MATCH('Source Data'!A174,'Category Mapping'!$A$2:$A$25,0))</f>
        <v>Weekday</v>
      </c>
      <c r="AF174" t="str">
        <f>INDEX('Category Mapping'!$C$2:$C$25,MATCH('Source Data'!A174,'Category Mapping'!$A$2:$A$25,0))</f>
        <v>Industry</v>
      </c>
      <c r="AG174" t="str">
        <f>INDEX('Category Mapping'!$D$2:$D$25,MATCH('Source Data'!A174,'Category Mapping'!$A$2:$A$25,0))</f>
        <v>Industry</v>
      </c>
    </row>
    <row r="175" spans="1:33" x14ac:dyDescent="0.3">
      <c r="A175" s="16" t="s">
        <v>107</v>
      </c>
      <c r="B175" s="17">
        <v>2019</v>
      </c>
      <c r="C175" s="45">
        <v>3</v>
      </c>
      <c r="D175" s="17" t="s">
        <v>93</v>
      </c>
      <c r="E175" s="17">
        <v>5</v>
      </c>
      <c r="F175" s="31">
        <v>325000000</v>
      </c>
      <c r="G175" s="31">
        <v>324000000</v>
      </c>
      <c r="H175" s="31">
        <v>324000000</v>
      </c>
      <c r="I175" s="31">
        <v>324000000</v>
      </c>
      <c r="J175" s="31">
        <v>325000000</v>
      </c>
      <c r="K175" s="31">
        <v>326000000</v>
      </c>
      <c r="L175" s="31">
        <v>328000000</v>
      </c>
      <c r="M175" s="31">
        <v>330000000</v>
      </c>
      <c r="N175" s="31">
        <v>330000000</v>
      </c>
      <c r="O175" s="31">
        <v>330000000</v>
      </c>
      <c r="P175" s="31">
        <v>329000000</v>
      </c>
      <c r="Q175" s="31">
        <v>329000000</v>
      </c>
      <c r="R175" s="31">
        <v>328000000</v>
      </c>
      <c r="S175" s="31">
        <v>328000000</v>
      </c>
      <c r="T175" s="31">
        <v>328000000</v>
      </c>
      <c r="U175" s="31">
        <v>330000000</v>
      </c>
      <c r="V175" s="31">
        <v>332000000</v>
      </c>
      <c r="W175" s="31">
        <v>332000000</v>
      </c>
      <c r="X175" s="31">
        <v>331000000</v>
      </c>
      <c r="Y175" s="31">
        <v>330000000</v>
      </c>
      <c r="Z175" s="31">
        <v>329000000</v>
      </c>
      <c r="AA175" s="31">
        <v>327000000</v>
      </c>
      <c r="AB175" s="31">
        <v>326000000</v>
      </c>
      <c r="AC175" s="31">
        <v>325000000</v>
      </c>
      <c r="AD175" t="str">
        <f t="shared" si="2"/>
        <v>Spring</v>
      </c>
      <c r="AE175" t="str">
        <f>INDEX('Category Mapping'!$B$2:$B$25,MATCH('Source Data'!A175,'Category Mapping'!$A$2:$A$25,0))</f>
        <v>Weekday</v>
      </c>
      <c r="AF175" t="str">
        <f>INDEX('Category Mapping'!$C$2:$C$25,MATCH('Source Data'!A175,'Category Mapping'!$A$2:$A$25,0))</f>
        <v>Industry</v>
      </c>
      <c r="AG175" t="str">
        <f>INDEX('Category Mapping'!$D$2:$D$25,MATCH('Source Data'!A175,'Category Mapping'!$A$2:$A$25,0))</f>
        <v>Industry</v>
      </c>
    </row>
    <row r="176" spans="1:33" x14ac:dyDescent="0.3">
      <c r="A176" s="18" t="s">
        <v>107</v>
      </c>
      <c r="B176" s="19">
        <v>2019</v>
      </c>
      <c r="C176" s="39">
        <v>3</v>
      </c>
      <c r="D176" s="19" t="s">
        <v>93</v>
      </c>
      <c r="E176" s="19">
        <v>6</v>
      </c>
      <c r="F176" s="30">
        <v>328000000</v>
      </c>
      <c r="G176" s="30">
        <v>327000000</v>
      </c>
      <c r="H176" s="30">
        <v>327000000</v>
      </c>
      <c r="I176" s="30">
        <v>327000000</v>
      </c>
      <c r="J176" s="30">
        <v>328000000</v>
      </c>
      <c r="K176" s="30">
        <v>329000000</v>
      </c>
      <c r="L176" s="30">
        <v>331000000</v>
      </c>
      <c r="M176" s="30">
        <v>333000000</v>
      </c>
      <c r="N176" s="30">
        <v>334000000</v>
      </c>
      <c r="O176" s="30">
        <v>333000000</v>
      </c>
      <c r="P176" s="30">
        <v>333000000</v>
      </c>
      <c r="Q176" s="30">
        <v>332000000</v>
      </c>
      <c r="R176" s="30">
        <v>331000000</v>
      </c>
      <c r="S176" s="30">
        <v>331000000</v>
      </c>
      <c r="T176" s="30">
        <v>331000000</v>
      </c>
      <c r="U176" s="30">
        <v>333000000</v>
      </c>
      <c r="V176" s="30">
        <v>335000000</v>
      </c>
      <c r="W176" s="30">
        <v>335000000</v>
      </c>
      <c r="X176" s="30">
        <v>334000000</v>
      </c>
      <c r="Y176" s="30">
        <v>333000000</v>
      </c>
      <c r="Z176" s="30">
        <v>332000000</v>
      </c>
      <c r="AA176" s="30">
        <v>330000000</v>
      </c>
      <c r="AB176" s="30">
        <v>329000000</v>
      </c>
      <c r="AC176" s="30">
        <v>328000000</v>
      </c>
      <c r="AD176" t="str">
        <f t="shared" si="2"/>
        <v>Summer</v>
      </c>
      <c r="AE176" t="str">
        <f>INDEX('Category Mapping'!$B$2:$B$25,MATCH('Source Data'!A176,'Category Mapping'!$A$2:$A$25,0))</f>
        <v>Weekday</v>
      </c>
      <c r="AF176" t="str">
        <f>INDEX('Category Mapping'!$C$2:$C$25,MATCH('Source Data'!A176,'Category Mapping'!$A$2:$A$25,0))</f>
        <v>Industry</v>
      </c>
      <c r="AG176" t="str">
        <f>INDEX('Category Mapping'!$D$2:$D$25,MATCH('Source Data'!A176,'Category Mapping'!$A$2:$A$25,0))</f>
        <v>Industry</v>
      </c>
    </row>
    <row r="177" spans="1:33" x14ac:dyDescent="0.3">
      <c r="A177" s="16" t="s">
        <v>107</v>
      </c>
      <c r="B177" s="17">
        <v>2019</v>
      </c>
      <c r="C177" s="45">
        <v>3</v>
      </c>
      <c r="D177" s="17" t="s">
        <v>93</v>
      </c>
      <c r="E177" s="17">
        <v>7</v>
      </c>
      <c r="F177" s="31">
        <v>316000000</v>
      </c>
      <c r="G177" s="31">
        <v>316000000</v>
      </c>
      <c r="H177" s="31">
        <v>316000000</v>
      </c>
      <c r="I177" s="31">
        <v>316000000</v>
      </c>
      <c r="J177" s="31">
        <v>316000000</v>
      </c>
      <c r="K177" s="31">
        <v>317000000</v>
      </c>
      <c r="L177" s="31">
        <v>319000000</v>
      </c>
      <c r="M177" s="31">
        <v>321000000</v>
      </c>
      <c r="N177" s="31">
        <v>322000000</v>
      </c>
      <c r="O177" s="31">
        <v>321000000</v>
      </c>
      <c r="P177" s="31">
        <v>321000000</v>
      </c>
      <c r="Q177" s="31">
        <v>320000000</v>
      </c>
      <c r="R177" s="31">
        <v>319000000</v>
      </c>
      <c r="S177" s="31">
        <v>319000000</v>
      </c>
      <c r="T177" s="31">
        <v>320000000</v>
      </c>
      <c r="U177" s="31">
        <v>321000000</v>
      </c>
      <c r="V177" s="31">
        <v>323000000</v>
      </c>
      <c r="W177" s="31">
        <v>323000000</v>
      </c>
      <c r="X177" s="31">
        <v>322000000</v>
      </c>
      <c r="Y177" s="31">
        <v>321000000</v>
      </c>
      <c r="Z177" s="31">
        <v>320000000</v>
      </c>
      <c r="AA177" s="31">
        <v>319000000</v>
      </c>
      <c r="AB177" s="31">
        <v>317000000</v>
      </c>
      <c r="AC177" s="31">
        <v>316000000</v>
      </c>
      <c r="AD177" t="str">
        <f t="shared" si="2"/>
        <v>Summer</v>
      </c>
      <c r="AE177" t="str">
        <f>INDEX('Category Mapping'!$B$2:$B$25,MATCH('Source Data'!A177,'Category Mapping'!$A$2:$A$25,0))</f>
        <v>Weekday</v>
      </c>
      <c r="AF177" t="str">
        <f>INDEX('Category Mapping'!$C$2:$C$25,MATCH('Source Data'!A177,'Category Mapping'!$A$2:$A$25,0))</f>
        <v>Industry</v>
      </c>
      <c r="AG177" t="str">
        <f>INDEX('Category Mapping'!$D$2:$D$25,MATCH('Source Data'!A177,'Category Mapping'!$A$2:$A$25,0))</f>
        <v>Industry</v>
      </c>
    </row>
    <row r="178" spans="1:33" x14ac:dyDescent="0.3">
      <c r="A178" s="18" t="s">
        <v>107</v>
      </c>
      <c r="B178" s="19">
        <v>2019</v>
      </c>
      <c r="C178" s="39">
        <v>3</v>
      </c>
      <c r="D178" s="19" t="s">
        <v>93</v>
      </c>
      <c r="E178" s="19">
        <v>8</v>
      </c>
      <c r="F178" s="30">
        <v>326000000</v>
      </c>
      <c r="G178" s="30">
        <v>326000000</v>
      </c>
      <c r="H178" s="30">
        <v>326000000</v>
      </c>
      <c r="I178" s="30">
        <v>326000000</v>
      </c>
      <c r="J178" s="30">
        <v>326000000</v>
      </c>
      <c r="K178" s="30">
        <v>328000000</v>
      </c>
      <c r="L178" s="30">
        <v>330000000</v>
      </c>
      <c r="M178" s="30">
        <v>332000000</v>
      </c>
      <c r="N178" s="30">
        <v>332000000</v>
      </c>
      <c r="O178" s="30">
        <v>332000000</v>
      </c>
      <c r="P178" s="30">
        <v>331000000</v>
      </c>
      <c r="Q178" s="30">
        <v>331000000</v>
      </c>
      <c r="R178" s="30">
        <v>330000000</v>
      </c>
      <c r="S178" s="30">
        <v>330000000</v>
      </c>
      <c r="T178" s="30">
        <v>330000000</v>
      </c>
      <c r="U178" s="30">
        <v>332000000</v>
      </c>
      <c r="V178" s="30">
        <v>334000000</v>
      </c>
      <c r="W178" s="30">
        <v>334000000</v>
      </c>
      <c r="X178" s="30">
        <v>333000000</v>
      </c>
      <c r="Y178" s="30">
        <v>332000000</v>
      </c>
      <c r="Z178" s="30">
        <v>331000000</v>
      </c>
      <c r="AA178" s="30">
        <v>329000000</v>
      </c>
      <c r="AB178" s="30">
        <v>327000000</v>
      </c>
      <c r="AC178" s="30">
        <v>326000000</v>
      </c>
      <c r="AD178" t="str">
        <f t="shared" si="2"/>
        <v>Summer</v>
      </c>
      <c r="AE178" t="str">
        <f>INDEX('Category Mapping'!$B$2:$B$25,MATCH('Source Data'!A178,'Category Mapping'!$A$2:$A$25,0))</f>
        <v>Weekday</v>
      </c>
      <c r="AF178" t="str">
        <f>INDEX('Category Mapping'!$C$2:$C$25,MATCH('Source Data'!A178,'Category Mapping'!$A$2:$A$25,0))</f>
        <v>Industry</v>
      </c>
      <c r="AG178" t="str">
        <f>INDEX('Category Mapping'!$D$2:$D$25,MATCH('Source Data'!A178,'Category Mapping'!$A$2:$A$25,0))</f>
        <v>Industry</v>
      </c>
    </row>
    <row r="179" spans="1:33" x14ac:dyDescent="0.3">
      <c r="A179" s="16" t="s">
        <v>107</v>
      </c>
      <c r="B179" s="17">
        <v>2019</v>
      </c>
      <c r="C179" s="45">
        <v>3</v>
      </c>
      <c r="D179" s="17" t="s">
        <v>93</v>
      </c>
      <c r="E179" s="17">
        <v>9</v>
      </c>
      <c r="F179" s="31">
        <v>328000000</v>
      </c>
      <c r="G179" s="31">
        <v>328000000</v>
      </c>
      <c r="H179" s="31">
        <v>328000000</v>
      </c>
      <c r="I179" s="31">
        <v>328000000</v>
      </c>
      <c r="J179" s="31">
        <v>328000000</v>
      </c>
      <c r="K179" s="31">
        <v>330000000</v>
      </c>
      <c r="L179" s="31">
        <v>332000000</v>
      </c>
      <c r="M179" s="31">
        <v>334000000</v>
      </c>
      <c r="N179" s="31">
        <v>334000000</v>
      </c>
      <c r="O179" s="31">
        <v>334000000</v>
      </c>
      <c r="P179" s="31">
        <v>333000000</v>
      </c>
      <c r="Q179" s="31">
        <v>332000000</v>
      </c>
      <c r="R179" s="31">
        <v>332000000</v>
      </c>
      <c r="S179" s="31">
        <v>332000000</v>
      </c>
      <c r="T179" s="31">
        <v>332000000</v>
      </c>
      <c r="U179" s="31">
        <v>334000000</v>
      </c>
      <c r="V179" s="31">
        <v>335000000</v>
      </c>
      <c r="W179" s="31">
        <v>336000000</v>
      </c>
      <c r="X179" s="31">
        <v>335000000</v>
      </c>
      <c r="Y179" s="31">
        <v>334000000</v>
      </c>
      <c r="Z179" s="31">
        <v>332000000</v>
      </c>
      <c r="AA179" s="31">
        <v>331000000</v>
      </c>
      <c r="AB179" s="31">
        <v>329000000</v>
      </c>
      <c r="AC179" s="31">
        <v>328000000</v>
      </c>
      <c r="AD179" t="str">
        <f t="shared" si="2"/>
        <v>Fall</v>
      </c>
      <c r="AE179" t="str">
        <f>INDEX('Category Mapping'!$B$2:$B$25,MATCH('Source Data'!A179,'Category Mapping'!$A$2:$A$25,0))</f>
        <v>Weekday</v>
      </c>
      <c r="AF179" t="str">
        <f>INDEX('Category Mapping'!$C$2:$C$25,MATCH('Source Data'!A179,'Category Mapping'!$A$2:$A$25,0))</f>
        <v>Industry</v>
      </c>
      <c r="AG179" t="str">
        <f>INDEX('Category Mapping'!$D$2:$D$25,MATCH('Source Data'!A179,'Category Mapping'!$A$2:$A$25,0))</f>
        <v>Industry</v>
      </c>
    </row>
    <row r="180" spans="1:33" x14ac:dyDescent="0.3">
      <c r="A180" s="18" t="s">
        <v>107</v>
      </c>
      <c r="B180" s="19">
        <v>2019</v>
      </c>
      <c r="C180" s="39">
        <v>3</v>
      </c>
      <c r="D180" s="19" t="s">
        <v>93</v>
      </c>
      <c r="E180" s="19">
        <v>10</v>
      </c>
      <c r="F180" s="30">
        <v>327000000</v>
      </c>
      <c r="G180" s="30">
        <v>327000000</v>
      </c>
      <c r="H180" s="30">
        <v>327000000</v>
      </c>
      <c r="I180" s="30">
        <v>327000000</v>
      </c>
      <c r="J180" s="30">
        <v>327000000</v>
      </c>
      <c r="K180" s="30">
        <v>329000000</v>
      </c>
      <c r="L180" s="30">
        <v>331000000</v>
      </c>
      <c r="M180" s="30">
        <v>332000000</v>
      </c>
      <c r="N180" s="30">
        <v>333000000</v>
      </c>
      <c r="O180" s="30">
        <v>333000000</v>
      </c>
      <c r="P180" s="30">
        <v>332000000</v>
      </c>
      <c r="Q180" s="30">
        <v>331000000</v>
      </c>
      <c r="R180" s="30">
        <v>331000000</v>
      </c>
      <c r="S180" s="30">
        <v>330000000</v>
      </c>
      <c r="T180" s="30">
        <v>331000000</v>
      </c>
      <c r="U180" s="30">
        <v>332000000</v>
      </c>
      <c r="V180" s="30">
        <v>334000000</v>
      </c>
      <c r="W180" s="30">
        <v>335000000</v>
      </c>
      <c r="X180" s="30">
        <v>334000000</v>
      </c>
      <c r="Y180" s="30">
        <v>333000000</v>
      </c>
      <c r="Z180" s="30">
        <v>331000000</v>
      </c>
      <c r="AA180" s="30">
        <v>330000000</v>
      </c>
      <c r="AB180" s="30">
        <v>328000000</v>
      </c>
      <c r="AC180" s="30">
        <v>327000000</v>
      </c>
      <c r="AD180" t="str">
        <f t="shared" si="2"/>
        <v>Fall</v>
      </c>
      <c r="AE180" t="str">
        <f>INDEX('Category Mapping'!$B$2:$B$25,MATCH('Source Data'!A180,'Category Mapping'!$A$2:$A$25,0))</f>
        <v>Weekday</v>
      </c>
      <c r="AF180" t="str">
        <f>INDEX('Category Mapping'!$C$2:$C$25,MATCH('Source Data'!A180,'Category Mapping'!$A$2:$A$25,0))</f>
        <v>Industry</v>
      </c>
      <c r="AG180" t="str">
        <f>INDEX('Category Mapping'!$D$2:$D$25,MATCH('Source Data'!A180,'Category Mapping'!$A$2:$A$25,0))</f>
        <v>Industry</v>
      </c>
    </row>
    <row r="181" spans="1:33" x14ac:dyDescent="0.3">
      <c r="A181" s="16" t="s">
        <v>107</v>
      </c>
      <c r="B181" s="17">
        <v>2019</v>
      </c>
      <c r="C181" s="45">
        <v>3</v>
      </c>
      <c r="D181" s="17" t="s">
        <v>93</v>
      </c>
      <c r="E181" s="17">
        <v>11</v>
      </c>
      <c r="F181" s="31">
        <v>330000000</v>
      </c>
      <c r="G181" s="31">
        <v>330000000</v>
      </c>
      <c r="H181" s="31">
        <v>330000000</v>
      </c>
      <c r="I181" s="31">
        <v>330000000</v>
      </c>
      <c r="J181" s="31">
        <v>330000000</v>
      </c>
      <c r="K181" s="31">
        <v>332000000</v>
      </c>
      <c r="L181" s="31">
        <v>334000000</v>
      </c>
      <c r="M181" s="31">
        <v>336000000</v>
      </c>
      <c r="N181" s="31">
        <v>336000000</v>
      </c>
      <c r="O181" s="31">
        <v>336000000</v>
      </c>
      <c r="P181" s="31">
        <v>335000000</v>
      </c>
      <c r="Q181" s="31">
        <v>334000000</v>
      </c>
      <c r="R181" s="31">
        <v>334000000</v>
      </c>
      <c r="S181" s="31">
        <v>334000000</v>
      </c>
      <c r="T181" s="31">
        <v>334000000</v>
      </c>
      <c r="U181" s="31">
        <v>336000000</v>
      </c>
      <c r="V181" s="31">
        <v>338000000</v>
      </c>
      <c r="W181" s="31">
        <v>338000000</v>
      </c>
      <c r="X181" s="31">
        <v>337000000</v>
      </c>
      <c r="Y181" s="31">
        <v>336000000</v>
      </c>
      <c r="Z181" s="31">
        <v>335000000</v>
      </c>
      <c r="AA181" s="31">
        <v>333000000</v>
      </c>
      <c r="AB181" s="31">
        <v>331000000</v>
      </c>
      <c r="AC181" s="31">
        <v>330000000</v>
      </c>
      <c r="AD181" t="str">
        <f t="shared" si="2"/>
        <v>Winter</v>
      </c>
      <c r="AE181" t="str">
        <f>INDEX('Category Mapping'!$B$2:$B$25,MATCH('Source Data'!A181,'Category Mapping'!$A$2:$A$25,0))</f>
        <v>Weekday</v>
      </c>
      <c r="AF181" t="str">
        <f>INDEX('Category Mapping'!$C$2:$C$25,MATCH('Source Data'!A181,'Category Mapping'!$A$2:$A$25,0))</f>
        <v>Industry</v>
      </c>
      <c r="AG181" t="str">
        <f>INDEX('Category Mapping'!$D$2:$D$25,MATCH('Source Data'!A181,'Category Mapping'!$A$2:$A$25,0))</f>
        <v>Industry</v>
      </c>
    </row>
    <row r="182" spans="1:33" x14ac:dyDescent="0.3">
      <c r="A182" s="18" t="s">
        <v>107</v>
      </c>
      <c r="B182" s="19">
        <v>2019</v>
      </c>
      <c r="C182" s="39">
        <v>3</v>
      </c>
      <c r="D182" s="19" t="s">
        <v>93</v>
      </c>
      <c r="E182" s="19">
        <v>12</v>
      </c>
      <c r="F182" s="30">
        <v>319000000</v>
      </c>
      <c r="G182" s="30">
        <v>318000000</v>
      </c>
      <c r="H182" s="30">
        <v>318000000</v>
      </c>
      <c r="I182" s="30">
        <v>318000000</v>
      </c>
      <c r="J182" s="30">
        <v>319000000</v>
      </c>
      <c r="K182" s="30">
        <v>320000000</v>
      </c>
      <c r="L182" s="30">
        <v>322000000</v>
      </c>
      <c r="M182" s="30">
        <v>323000000</v>
      </c>
      <c r="N182" s="30">
        <v>324000000</v>
      </c>
      <c r="O182" s="30">
        <v>323000000</v>
      </c>
      <c r="P182" s="30">
        <v>323000000</v>
      </c>
      <c r="Q182" s="30">
        <v>322000000</v>
      </c>
      <c r="R182" s="30">
        <v>322000000</v>
      </c>
      <c r="S182" s="30">
        <v>322000000</v>
      </c>
      <c r="T182" s="30">
        <v>322000000</v>
      </c>
      <c r="U182" s="30">
        <v>323000000</v>
      </c>
      <c r="V182" s="30">
        <v>325000000</v>
      </c>
      <c r="W182" s="30">
        <v>325000000</v>
      </c>
      <c r="X182" s="30">
        <v>324000000</v>
      </c>
      <c r="Y182" s="30">
        <v>323000000</v>
      </c>
      <c r="Z182" s="30">
        <v>322000000</v>
      </c>
      <c r="AA182" s="30">
        <v>321000000</v>
      </c>
      <c r="AB182" s="30">
        <v>320000000</v>
      </c>
      <c r="AC182" s="30">
        <v>319000000</v>
      </c>
      <c r="AD182" t="str">
        <f t="shared" si="2"/>
        <v>Winter</v>
      </c>
      <c r="AE182" t="str">
        <f>INDEX('Category Mapping'!$B$2:$B$25,MATCH('Source Data'!A182,'Category Mapping'!$A$2:$A$25,0))</f>
        <v>Weekday</v>
      </c>
      <c r="AF182" t="str">
        <f>INDEX('Category Mapping'!$C$2:$C$25,MATCH('Source Data'!A182,'Category Mapping'!$A$2:$A$25,0))</f>
        <v>Industry</v>
      </c>
      <c r="AG182" t="str">
        <f>INDEX('Category Mapping'!$D$2:$D$25,MATCH('Source Data'!A182,'Category Mapping'!$A$2:$A$25,0))</f>
        <v>Industry</v>
      </c>
    </row>
    <row r="183" spans="1:33" x14ac:dyDescent="0.3">
      <c r="A183" s="16" t="s">
        <v>108</v>
      </c>
      <c r="B183" s="17">
        <v>2019</v>
      </c>
      <c r="C183" s="45">
        <v>3</v>
      </c>
      <c r="D183" s="17" t="s">
        <v>93</v>
      </c>
      <c r="E183" s="17">
        <v>1</v>
      </c>
      <c r="F183" s="31">
        <v>170000000</v>
      </c>
      <c r="G183" s="31">
        <v>170000000</v>
      </c>
      <c r="H183" s="31">
        <v>170000000</v>
      </c>
      <c r="I183" s="31">
        <v>171000000</v>
      </c>
      <c r="J183" s="31">
        <v>171000000</v>
      </c>
      <c r="K183" s="31">
        <v>172000000</v>
      </c>
      <c r="L183" s="31">
        <v>173000000</v>
      </c>
      <c r="M183" s="31">
        <v>173000000</v>
      </c>
      <c r="N183" s="31">
        <v>173000000</v>
      </c>
      <c r="O183" s="31">
        <v>172000000</v>
      </c>
      <c r="P183" s="31">
        <v>172000000</v>
      </c>
      <c r="Q183" s="31">
        <v>172000000</v>
      </c>
      <c r="R183" s="31">
        <v>172000000</v>
      </c>
      <c r="S183" s="31">
        <v>172000000</v>
      </c>
      <c r="T183" s="31">
        <v>172000000</v>
      </c>
      <c r="U183" s="31">
        <v>173000000</v>
      </c>
      <c r="V183" s="31">
        <v>174000000</v>
      </c>
      <c r="W183" s="31">
        <v>175000000</v>
      </c>
      <c r="X183" s="31">
        <v>174000000</v>
      </c>
      <c r="Y183" s="31">
        <v>174000000</v>
      </c>
      <c r="Z183" s="31">
        <v>173000000</v>
      </c>
      <c r="AA183" s="31">
        <v>172000000</v>
      </c>
      <c r="AB183" s="31">
        <v>171000000</v>
      </c>
      <c r="AC183" s="31">
        <v>171000000</v>
      </c>
      <c r="AD183" t="str">
        <f t="shared" si="2"/>
        <v>Winter</v>
      </c>
      <c r="AE183" t="str">
        <f>INDEX('Category Mapping'!$B$2:$B$25,MATCH('Source Data'!A183,'Category Mapping'!$A$2:$A$25,0))</f>
        <v>Weekend</v>
      </c>
      <c r="AF183" t="str">
        <f>INDEX('Category Mapping'!$C$2:$C$25,MATCH('Source Data'!A183,'Category Mapping'!$A$2:$A$25,0))</f>
        <v>Industry</v>
      </c>
      <c r="AG183" t="str">
        <f>INDEX('Category Mapping'!$D$2:$D$25,MATCH('Source Data'!A183,'Category Mapping'!$A$2:$A$25,0))</f>
        <v>Industry</v>
      </c>
    </row>
    <row r="184" spans="1:33" x14ac:dyDescent="0.3">
      <c r="A184" s="18" t="s">
        <v>108</v>
      </c>
      <c r="B184" s="19">
        <v>2019</v>
      </c>
      <c r="C184" s="39">
        <v>3</v>
      </c>
      <c r="D184" s="19" t="s">
        <v>93</v>
      </c>
      <c r="E184" s="19">
        <v>2</v>
      </c>
      <c r="F184" s="30">
        <v>170000000</v>
      </c>
      <c r="G184" s="30">
        <v>170000000</v>
      </c>
      <c r="H184" s="30">
        <v>170000000</v>
      </c>
      <c r="I184" s="30">
        <v>170000000</v>
      </c>
      <c r="J184" s="30">
        <v>171000000</v>
      </c>
      <c r="K184" s="30">
        <v>172000000</v>
      </c>
      <c r="L184" s="30">
        <v>172000000</v>
      </c>
      <c r="M184" s="30">
        <v>173000000</v>
      </c>
      <c r="N184" s="30">
        <v>172000000</v>
      </c>
      <c r="O184" s="30">
        <v>172000000</v>
      </c>
      <c r="P184" s="30">
        <v>172000000</v>
      </c>
      <c r="Q184" s="30">
        <v>172000000</v>
      </c>
      <c r="R184" s="30">
        <v>171000000</v>
      </c>
      <c r="S184" s="30">
        <v>172000000</v>
      </c>
      <c r="T184" s="30">
        <v>172000000</v>
      </c>
      <c r="U184" s="30">
        <v>173000000</v>
      </c>
      <c r="V184" s="30">
        <v>174000000</v>
      </c>
      <c r="W184" s="30">
        <v>174000000</v>
      </c>
      <c r="X184" s="30">
        <v>174000000</v>
      </c>
      <c r="Y184" s="30">
        <v>173000000</v>
      </c>
      <c r="Z184" s="30">
        <v>173000000</v>
      </c>
      <c r="AA184" s="30">
        <v>172000000</v>
      </c>
      <c r="AB184" s="30">
        <v>171000000</v>
      </c>
      <c r="AC184" s="30">
        <v>170000000</v>
      </c>
      <c r="AD184" t="str">
        <f t="shared" si="2"/>
        <v>Winter</v>
      </c>
      <c r="AE184" t="str">
        <f>INDEX('Category Mapping'!$B$2:$B$25,MATCH('Source Data'!A184,'Category Mapping'!$A$2:$A$25,0))</f>
        <v>Weekend</v>
      </c>
      <c r="AF184" t="str">
        <f>INDEX('Category Mapping'!$C$2:$C$25,MATCH('Source Data'!A184,'Category Mapping'!$A$2:$A$25,0))</f>
        <v>Industry</v>
      </c>
      <c r="AG184" t="str">
        <f>INDEX('Category Mapping'!$D$2:$D$25,MATCH('Source Data'!A184,'Category Mapping'!$A$2:$A$25,0))</f>
        <v>Industry</v>
      </c>
    </row>
    <row r="185" spans="1:33" x14ac:dyDescent="0.3">
      <c r="A185" s="16" t="s">
        <v>108</v>
      </c>
      <c r="B185" s="17">
        <v>2019</v>
      </c>
      <c r="C185" s="45">
        <v>3</v>
      </c>
      <c r="D185" s="17" t="s">
        <v>93</v>
      </c>
      <c r="E185" s="17">
        <v>3</v>
      </c>
      <c r="F185" s="31">
        <v>171000000</v>
      </c>
      <c r="G185" s="31">
        <v>171000000</v>
      </c>
      <c r="H185" s="31">
        <v>171000000</v>
      </c>
      <c r="I185" s="31">
        <v>171000000</v>
      </c>
      <c r="J185" s="31">
        <v>172000000</v>
      </c>
      <c r="K185" s="31">
        <v>173000000</v>
      </c>
      <c r="L185" s="31">
        <v>173000000</v>
      </c>
      <c r="M185" s="31">
        <v>174000000</v>
      </c>
      <c r="N185" s="31">
        <v>173000000</v>
      </c>
      <c r="O185" s="31">
        <v>173000000</v>
      </c>
      <c r="P185" s="31">
        <v>173000000</v>
      </c>
      <c r="Q185" s="31">
        <v>172000000</v>
      </c>
      <c r="R185" s="31">
        <v>172000000</v>
      </c>
      <c r="S185" s="31">
        <v>172000000</v>
      </c>
      <c r="T185" s="31">
        <v>173000000</v>
      </c>
      <c r="U185" s="31">
        <v>174000000</v>
      </c>
      <c r="V185" s="31">
        <v>175000000</v>
      </c>
      <c r="W185" s="31">
        <v>175000000</v>
      </c>
      <c r="X185" s="31">
        <v>175000000</v>
      </c>
      <c r="Y185" s="31">
        <v>174000000</v>
      </c>
      <c r="Z185" s="31">
        <v>174000000</v>
      </c>
      <c r="AA185" s="31">
        <v>173000000</v>
      </c>
      <c r="AB185" s="31">
        <v>172000000</v>
      </c>
      <c r="AC185" s="31">
        <v>171000000</v>
      </c>
      <c r="AD185" t="str">
        <f t="shared" si="2"/>
        <v>Spring</v>
      </c>
      <c r="AE185" t="str">
        <f>INDEX('Category Mapping'!$B$2:$B$25,MATCH('Source Data'!A185,'Category Mapping'!$A$2:$A$25,0))</f>
        <v>Weekend</v>
      </c>
      <c r="AF185" t="str">
        <f>INDEX('Category Mapping'!$C$2:$C$25,MATCH('Source Data'!A185,'Category Mapping'!$A$2:$A$25,0))</f>
        <v>Industry</v>
      </c>
      <c r="AG185" t="str">
        <f>INDEX('Category Mapping'!$D$2:$D$25,MATCH('Source Data'!A185,'Category Mapping'!$A$2:$A$25,0))</f>
        <v>Industry</v>
      </c>
    </row>
    <row r="186" spans="1:33" x14ac:dyDescent="0.3">
      <c r="A186" s="18" t="s">
        <v>108</v>
      </c>
      <c r="B186" s="19">
        <v>2019</v>
      </c>
      <c r="C186" s="39">
        <v>3</v>
      </c>
      <c r="D186" s="19" t="s">
        <v>93</v>
      </c>
      <c r="E186" s="19">
        <v>4</v>
      </c>
      <c r="F186" s="30">
        <v>167000000</v>
      </c>
      <c r="G186" s="30">
        <v>167000000</v>
      </c>
      <c r="H186" s="30">
        <v>167000000</v>
      </c>
      <c r="I186" s="30">
        <v>167000000</v>
      </c>
      <c r="J186" s="30">
        <v>168000000</v>
      </c>
      <c r="K186" s="30">
        <v>169000000</v>
      </c>
      <c r="L186" s="30">
        <v>169000000</v>
      </c>
      <c r="M186" s="30">
        <v>169000000</v>
      </c>
      <c r="N186" s="30">
        <v>169000000</v>
      </c>
      <c r="O186" s="30">
        <v>169000000</v>
      </c>
      <c r="P186" s="30">
        <v>169000000</v>
      </c>
      <c r="Q186" s="30">
        <v>169000000</v>
      </c>
      <c r="R186" s="30">
        <v>168000000</v>
      </c>
      <c r="S186" s="30">
        <v>169000000</v>
      </c>
      <c r="T186" s="30">
        <v>169000000</v>
      </c>
      <c r="U186" s="30">
        <v>170000000</v>
      </c>
      <c r="V186" s="30">
        <v>171000000</v>
      </c>
      <c r="W186" s="30">
        <v>171000000</v>
      </c>
      <c r="X186" s="30">
        <v>171000000</v>
      </c>
      <c r="Y186" s="30">
        <v>170000000</v>
      </c>
      <c r="Z186" s="30">
        <v>170000000</v>
      </c>
      <c r="AA186" s="30">
        <v>169000000</v>
      </c>
      <c r="AB186" s="30">
        <v>168000000</v>
      </c>
      <c r="AC186" s="30">
        <v>168000000</v>
      </c>
      <c r="AD186" t="str">
        <f t="shared" si="2"/>
        <v>Spring</v>
      </c>
      <c r="AE186" t="str">
        <f>INDEX('Category Mapping'!$B$2:$B$25,MATCH('Source Data'!A186,'Category Mapping'!$A$2:$A$25,0))</f>
        <v>Weekend</v>
      </c>
      <c r="AF186" t="str">
        <f>INDEX('Category Mapping'!$C$2:$C$25,MATCH('Source Data'!A186,'Category Mapping'!$A$2:$A$25,0))</f>
        <v>Industry</v>
      </c>
      <c r="AG186" t="str">
        <f>INDEX('Category Mapping'!$D$2:$D$25,MATCH('Source Data'!A186,'Category Mapping'!$A$2:$A$25,0))</f>
        <v>Industry</v>
      </c>
    </row>
    <row r="187" spans="1:33" x14ac:dyDescent="0.3">
      <c r="A187" s="16" t="s">
        <v>108</v>
      </c>
      <c r="B187" s="17">
        <v>2019</v>
      </c>
      <c r="C187" s="45">
        <v>3</v>
      </c>
      <c r="D187" s="17" t="s">
        <v>93</v>
      </c>
      <c r="E187" s="17">
        <v>5</v>
      </c>
      <c r="F187" s="31">
        <v>169000000</v>
      </c>
      <c r="G187" s="31">
        <v>168000000</v>
      </c>
      <c r="H187" s="31">
        <v>168000000</v>
      </c>
      <c r="I187" s="31">
        <v>169000000</v>
      </c>
      <c r="J187" s="31">
        <v>169000000</v>
      </c>
      <c r="K187" s="31">
        <v>170000000</v>
      </c>
      <c r="L187" s="31">
        <v>171000000</v>
      </c>
      <c r="M187" s="31">
        <v>171000000</v>
      </c>
      <c r="N187" s="31">
        <v>171000000</v>
      </c>
      <c r="O187" s="31">
        <v>170000000</v>
      </c>
      <c r="P187" s="31">
        <v>170000000</v>
      </c>
      <c r="Q187" s="31">
        <v>170000000</v>
      </c>
      <c r="R187" s="31">
        <v>170000000</v>
      </c>
      <c r="S187" s="31">
        <v>170000000</v>
      </c>
      <c r="T187" s="31">
        <v>170000000</v>
      </c>
      <c r="U187" s="31">
        <v>171000000</v>
      </c>
      <c r="V187" s="31">
        <v>172000000</v>
      </c>
      <c r="W187" s="31">
        <v>173000000</v>
      </c>
      <c r="X187" s="31">
        <v>172000000</v>
      </c>
      <c r="Y187" s="31">
        <v>172000000</v>
      </c>
      <c r="Z187" s="31">
        <v>171000000</v>
      </c>
      <c r="AA187" s="31">
        <v>170000000</v>
      </c>
      <c r="AB187" s="31">
        <v>169000000</v>
      </c>
      <c r="AC187" s="31">
        <v>169000000</v>
      </c>
      <c r="AD187" t="str">
        <f t="shared" si="2"/>
        <v>Spring</v>
      </c>
      <c r="AE187" t="str">
        <f>INDEX('Category Mapping'!$B$2:$B$25,MATCH('Source Data'!A187,'Category Mapping'!$A$2:$A$25,0))</f>
        <v>Weekend</v>
      </c>
      <c r="AF187" t="str">
        <f>INDEX('Category Mapping'!$C$2:$C$25,MATCH('Source Data'!A187,'Category Mapping'!$A$2:$A$25,0))</f>
        <v>Industry</v>
      </c>
      <c r="AG187" t="str">
        <f>INDEX('Category Mapping'!$D$2:$D$25,MATCH('Source Data'!A187,'Category Mapping'!$A$2:$A$25,0))</f>
        <v>Industry</v>
      </c>
    </row>
    <row r="188" spans="1:33" x14ac:dyDescent="0.3">
      <c r="A188" s="18" t="s">
        <v>108</v>
      </c>
      <c r="B188" s="19">
        <v>2019</v>
      </c>
      <c r="C188" s="39">
        <v>3</v>
      </c>
      <c r="D188" s="19" t="s">
        <v>93</v>
      </c>
      <c r="E188" s="19">
        <v>6</v>
      </c>
      <c r="F188" s="30">
        <v>170000000</v>
      </c>
      <c r="G188" s="30">
        <v>170000000</v>
      </c>
      <c r="H188" s="30">
        <v>170000000</v>
      </c>
      <c r="I188" s="30">
        <v>170000000</v>
      </c>
      <c r="J188" s="30">
        <v>171000000</v>
      </c>
      <c r="K188" s="30">
        <v>172000000</v>
      </c>
      <c r="L188" s="30">
        <v>172000000</v>
      </c>
      <c r="M188" s="30">
        <v>173000000</v>
      </c>
      <c r="N188" s="30">
        <v>172000000</v>
      </c>
      <c r="O188" s="30">
        <v>172000000</v>
      </c>
      <c r="P188" s="30">
        <v>172000000</v>
      </c>
      <c r="Q188" s="30">
        <v>171000000</v>
      </c>
      <c r="R188" s="30">
        <v>171000000</v>
      </c>
      <c r="S188" s="30">
        <v>171000000</v>
      </c>
      <c r="T188" s="30">
        <v>172000000</v>
      </c>
      <c r="U188" s="30">
        <v>173000000</v>
      </c>
      <c r="V188" s="30">
        <v>174000000</v>
      </c>
      <c r="W188" s="30">
        <v>174000000</v>
      </c>
      <c r="X188" s="30">
        <v>174000000</v>
      </c>
      <c r="Y188" s="30">
        <v>173000000</v>
      </c>
      <c r="Z188" s="30">
        <v>173000000</v>
      </c>
      <c r="AA188" s="30">
        <v>172000000</v>
      </c>
      <c r="AB188" s="30">
        <v>171000000</v>
      </c>
      <c r="AC188" s="30">
        <v>170000000</v>
      </c>
      <c r="AD188" t="str">
        <f t="shared" si="2"/>
        <v>Summer</v>
      </c>
      <c r="AE188" t="str">
        <f>INDEX('Category Mapping'!$B$2:$B$25,MATCH('Source Data'!A188,'Category Mapping'!$A$2:$A$25,0))</f>
        <v>Weekend</v>
      </c>
      <c r="AF188" t="str">
        <f>INDEX('Category Mapping'!$C$2:$C$25,MATCH('Source Data'!A188,'Category Mapping'!$A$2:$A$25,0))</f>
        <v>Industry</v>
      </c>
      <c r="AG188" t="str">
        <f>INDEX('Category Mapping'!$D$2:$D$25,MATCH('Source Data'!A188,'Category Mapping'!$A$2:$A$25,0))</f>
        <v>Industry</v>
      </c>
    </row>
    <row r="189" spans="1:33" x14ac:dyDescent="0.3">
      <c r="A189" s="16" t="s">
        <v>108</v>
      </c>
      <c r="B189" s="17">
        <v>2019</v>
      </c>
      <c r="C189" s="45">
        <v>3</v>
      </c>
      <c r="D189" s="17" t="s">
        <v>93</v>
      </c>
      <c r="E189" s="17">
        <v>7</v>
      </c>
      <c r="F189" s="31">
        <v>164000000</v>
      </c>
      <c r="G189" s="31">
        <v>164000000</v>
      </c>
      <c r="H189" s="31">
        <v>164000000</v>
      </c>
      <c r="I189" s="31">
        <v>164000000</v>
      </c>
      <c r="J189" s="31">
        <v>165000000</v>
      </c>
      <c r="K189" s="31">
        <v>166000000</v>
      </c>
      <c r="L189" s="31">
        <v>166000000</v>
      </c>
      <c r="M189" s="31">
        <v>166000000</v>
      </c>
      <c r="N189" s="31">
        <v>166000000</v>
      </c>
      <c r="O189" s="31">
        <v>166000000</v>
      </c>
      <c r="P189" s="31">
        <v>166000000</v>
      </c>
      <c r="Q189" s="31">
        <v>165000000</v>
      </c>
      <c r="R189" s="31">
        <v>165000000</v>
      </c>
      <c r="S189" s="31">
        <v>165000000</v>
      </c>
      <c r="T189" s="31">
        <v>166000000</v>
      </c>
      <c r="U189" s="31">
        <v>167000000</v>
      </c>
      <c r="V189" s="31">
        <v>168000000</v>
      </c>
      <c r="W189" s="31">
        <v>168000000</v>
      </c>
      <c r="X189" s="31">
        <v>168000000</v>
      </c>
      <c r="Y189" s="31">
        <v>167000000</v>
      </c>
      <c r="Z189" s="31">
        <v>167000000</v>
      </c>
      <c r="AA189" s="31">
        <v>166000000</v>
      </c>
      <c r="AB189" s="31">
        <v>165000000</v>
      </c>
      <c r="AC189" s="31">
        <v>164000000</v>
      </c>
      <c r="AD189" t="str">
        <f t="shared" si="2"/>
        <v>Summer</v>
      </c>
      <c r="AE189" t="str">
        <f>INDEX('Category Mapping'!$B$2:$B$25,MATCH('Source Data'!A189,'Category Mapping'!$A$2:$A$25,0))</f>
        <v>Weekend</v>
      </c>
      <c r="AF189" t="str">
        <f>INDEX('Category Mapping'!$C$2:$C$25,MATCH('Source Data'!A189,'Category Mapping'!$A$2:$A$25,0))</f>
        <v>Industry</v>
      </c>
      <c r="AG189" t="str">
        <f>INDEX('Category Mapping'!$D$2:$D$25,MATCH('Source Data'!A189,'Category Mapping'!$A$2:$A$25,0))</f>
        <v>Industry</v>
      </c>
    </row>
    <row r="190" spans="1:33" x14ac:dyDescent="0.3">
      <c r="A190" s="18" t="s">
        <v>108</v>
      </c>
      <c r="B190" s="19">
        <v>2019</v>
      </c>
      <c r="C190" s="39">
        <v>3</v>
      </c>
      <c r="D190" s="19" t="s">
        <v>93</v>
      </c>
      <c r="E190" s="19">
        <v>8</v>
      </c>
      <c r="F190" s="30">
        <v>169000000</v>
      </c>
      <c r="G190" s="30">
        <v>169000000</v>
      </c>
      <c r="H190" s="30">
        <v>169000000</v>
      </c>
      <c r="I190" s="30">
        <v>170000000</v>
      </c>
      <c r="J190" s="30">
        <v>170000000</v>
      </c>
      <c r="K190" s="30">
        <v>171000000</v>
      </c>
      <c r="L190" s="30">
        <v>172000000</v>
      </c>
      <c r="M190" s="30">
        <v>172000000</v>
      </c>
      <c r="N190" s="30">
        <v>172000000</v>
      </c>
      <c r="O190" s="30">
        <v>171000000</v>
      </c>
      <c r="P190" s="30">
        <v>171000000</v>
      </c>
      <c r="Q190" s="30">
        <v>171000000</v>
      </c>
      <c r="R190" s="30">
        <v>171000000</v>
      </c>
      <c r="S190" s="30">
        <v>171000000</v>
      </c>
      <c r="T190" s="30">
        <v>171000000</v>
      </c>
      <c r="U190" s="30">
        <v>172000000</v>
      </c>
      <c r="V190" s="30">
        <v>173000000</v>
      </c>
      <c r="W190" s="30">
        <v>174000000</v>
      </c>
      <c r="X190" s="30">
        <v>173000000</v>
      </c>
      <c r="Y190" s="30">
        <v>173000000</v>
      </c>
      <c r="Z190" s="30">
        <v>172000000</v>
      </c>
      <c r="AA190" s="30">
        <v>171000000</v>
      </c>
      <c r="AB190" s="30">
        <v>170000000</v>
      </c>
      <c r="AC190" s="30">
        <v>170000000</v>
      </c>
      <c r="AD190" t="str">
        <f t="shared" si="2"/>
        <v>Summer</v>
      </c>
      <c r="AE190" t="str">
        <f>INDEX('Category Mapping'!$B$2:$B$25,MATCH('Source Data'!A190,'Category Mapping'!$A$2:$A$25,0))</f>
        <v>Weekend</v>
      </c>
      <c r="AF190" t="str">
        <f>INDEX('Category Mapping'!$C$2:$C$25,MATCH('Source Data'!A190,'Category Mapping'!$A$2:$A$25,0))</f>
        <v>Industry</v>
      </c>
      <c r="AG190" t="str">
        <f>INDEX('Category Mapping'!$D$2:$D$25,MATCH('Source Data'!A190,'Category Mapping'!$A$2:$A$25,0))</f>
        <v>Industry</v>
      </c>
    </row>
    <row r="191" spans="1:33" x14ac:dyDescent="0.3">
      <c r="A191" s="16" t="s">
        <v>108</v>
      </c>
      <c r="B191" s="17">
        <v>2019</v>
      </c>
      <c r="C191" s="45">
        <v>3</v>
      </c>
      <c r="D191" s="17" t="s">
        <v>93</v>
      </c>
      <c r="E191" s="17">
        <v>9</v>
      </c>
      <c r="F191" s="31">
        <v>170000000</v>
      </c>
      <c r="G191" s="31">
        <v>170000000</v>
      </c>
      <c r="H191" s="31">
        <v>170000000</v>
      </c>
      <c r="I191" s="31">
        <v>171000000</v>
      </c>
      <c r="J191" s="31">
        <v>171000000</v>
      </c>
      <c r="K191" s="31">
        <v>172000000</v>
      </c>
      <c r="L191" s="31">
        <v>173000000</v>
      </c>
      <c r="M191" s="31">
        <v>173000000</v>
      </c>
      <c r="N191" s="31">
        <v>173000000</v>
      </c>
      <c r="O191" s="31">
        <v>172000000</v>
      </c>
      <c r="P191" s="31">
        <v>172000000</v>
      </c>
      <c r="Q191" s="31">
        <v>172000000</v>
      </c>
      <c r="R191" s="31">
        <v>172000000</v>
      </c>
      <c r="S191" s="31">
        <v>172000000</v>
      </c>
      <c r="T191" s="31">
        <v>172000000</v>
      </c>
      <c r="U191" s="31">
        <v>173000000</v>
      </c>
      <c r="V191" s="31">
        <v>174000000</v>
      </c>
      <c r="W191" s="31">
        <v>175000000</v>
      </c>
      <c r="X191" s="31">
        <v>174000000</v>
      </c>
      <c r="Y191" s="31">
        <v>174000000</v>
      </c>
      <c r="Z191" s="31">
        <v>173000000</v>
      </c>
      <c r="AA191" s="31">
        <v>172000000</v>
      </c>
      <c r="AB191" s="31">
        <v>171000000</v>
      </c>
      <c r="AC191" s="31">
        <v>171000000</v>
      </c>
      <c r="AD191" t="str">
        <f t="shared" si="2"/>
        <v>Fall</v>
      </c>
      <c r="AE191" t="str">
        <f>INDEX('Category Mapping'!$B$2:$B$25,MATCH('Source Data'!A191,'Category Mapping'!$A$2:$A$25,0))</f>
        <v>Weekend</v>
      </c>
      <c r="AF191" t="str">
        <f>INDEX('Category Mapping'!$C$2:$C$25,MATCH('Source Data'!A191,'Category Mapping'!$A$2:$A$25,0))</f>
        <v>Industry</v>
      </c>
      <c r="AG191" t="str">
        <f>INDEX('Category Mapping'!$D$2:$D$25,MATCH('Source Data'!A191,'Category Mapping'!$A$2:$A$25,0))</f>
        <v>Industry</v>
      </c>
    </row>
    <row r="192" spans="1:33" x14ac:dyDescent="0.3">
      <c r="A192" s="18" t="s">
        <v>108</v>
      </c>
      <c r="B192" s="19">
        <v>2019</v>
      </c>
      <c r="C192" s="39">
        <v>3</v>
      </c>
      <c r="D192" s="19" t="s">
        <v>93</v>
      </c>
      <c r="E192" s="19">
        <v>10</v>
      </c>
      <c r="F192" s="30">
        <v>170000000</v>
      </c>
      <c r="G192" s="30">
        <v>170000000</v>
      </c>
      <c r="H192" s="30">
        <v>170000000</v>
      </c>
      <c r="I192" s="30">
        <v>170000000</v>
      </c>
      <c r="J192" s="30">
        <v>171000000</v>
      </c>
      <c r="K192" s="30">
        <v>171000000</v>
      </c>
      <c r="L192" s="30">
        <v>172000000</v>
      </c>
      <c r="M192" s="30">
        <v>172000000</v>
      </c>
      <c r="N192" s="30">
        <v>172000000</v>
      </c>
      <c r="O192" s="30">
        <v>172000000</v>
      </c>
      <c r="P192" s="30">
        <v>171000000</v>
      </c>
      <c r="Q192" s="30">
        <v>171000000</v>
      </c>
      <c r="R192" s="30">
        <v>171000000</v>
      </c>
      <c r="S192" s="30">
        <v>171000000</v>
      </c>
      <c r="T192" s="30">
        <v>172000000</v>
      </c>
      <c r="U192" s="30">
        <v>173000000</v>
      </c>
      <c r="V192" s="30">
        <v>174000000</v>
      </c>
      <c r="W192" s="30">
        <v>174000000</v>
      </c>
      <c r="X192" s="30">
        <v>173000000</v>
      </c>
      <c r="Y192" s="30">
        <v>173000000</v>
      </c>
      <c r="Z192" s="30">
        <v>172000000</v>
      </c>
      <c r="AA192" s="30">
        <v>171000000</v>
      </c>
      <c r="AB192" s="30">
        <v>171000000</v>
      </c>
      <c r="AC192" s="30">
        <v>170000000</v>
      </c>
      <c r="AD192" t="str">
        <f t="shared" si="2"/>
        <v>Fall</v>
      </c>
      <c r="AE192" t="str">
        <f>INDEX('Category Mapping'!$B$2:$B$25,MATCH('Source Data'!A192,'Category Mapping'!$A$2:$A$25,0))</f>
        <v>Weekend</v>
      </c>
      <c r="AF192" t="str">
        <f>INDEX('Category Mapping'!$C$2:$C$25,MATCH('Source Data'!A192,'Category Mapping'!$A$2:$A$25,0))</f>
        <v>Industry</v>
      </c>
      <c r="AG192" t="str">
        <f>INDEX('Category Mapping'!$D$2:$D$25,MATCH('Source Data'!A192,'Category Mapping'!$A$2:$A$25,0))</f>
        <v>Industry</v>
      </c>
    </row>
    <row r="193" spans="1:33" x14ac:dyDescent="0.3">
      <c r="A193" s="16" t="s">
        <v>108</v>
      </c>
      <c r="B193" s="17">
        <v>2019</v>
      </c>
      <c r="C193" s="45">
        <v>3</v>
      </c>
      <c r="D193" s="17" t="s">
        <v>93</v>
      </c>
      <c r="E193" s="17">
        <v>11</v>
      </c>
      <c r="F193" s="31">
        <v>171000000</v>
      </c>
      <c r="G193" s="31">
        <v>171000000</v>
      </c>
      <c r="H193" s="31">
        <v>171000000</v>
      </c>
      <c r="I193" s="31">
        <v>172000000</v>
      </c>
      <c r="J193" s="31">
        <v>172000000</v>
      </c>
      <c r="K193" s="31">
        <v>173000000</v>
      </c>
      <c r="L193" s="31">
        <v>174000000</v>
      </c>
      <c r="M193" s="31">
        <v>174000000</v>
      </c>
      <c r="N193" s="31">
        <v>174000000</v>
      </c>
      <c r="O193" s="31">
        <v>173000000</v>
      </c>
      <c r="P193" s="31">
        <v>173000000</v>
      </c>
      <c r="Q193" s="31">
        <v>173000000</v>
      </c>
      <c r="R193" s="31">
        <v>173000000</v>
      </c>
      <c r="S193" s="31">
        <v>173000000</v>
      </c>
      <c r="T193" s="31">
        <v>173000000</v>
      </c>
      <c r="U193" s="31">
        <v>174000000</v>
      </c>
      <c r="V193" s="31">
        <v>175000000</v>
      </c>
      <c r="W193" s="31">
        <v>176000000</v>
      </c>
      <c r="X193" s="31">
        <v>175000000</v>
      </c>
      <c r="Y193" s="31">
        <v>175000000</v>
      </c>
      <c r="Z193" s="31">
        <v>174000000</v>
      </c>
      <c r="AA193" s="31">
        <v>173000000</v>
      </c>
      <c r="AB193" s="31">
        <v>172000000</v>
      </c>
      <c r="AC193" s="31">
        <v>172000000</v>
      </c>
      <c r="AD193" t="str">
        <f t="shared" si="2"/>
        <v>Winter</v>
      </c>
      <c r="AE193" t="str">
        <f>INDEX('Category Mapping'!$B$2:$B$25,MATCH('Source Data'!A193,'Category Mapping'!$A$2:$A$25,0))</f>
        <v>Weekend</v>
      </c>
      <c r="AF193" t="str">
        <f>INDEX('Category Mapping'!$C$2:$C$25,MATCH('Source Data'!A193,'Category Mapping'!$A$2:$A$25,0))</f>
        <v>Industry</v>
      </c>
      <c r="AG193" t="str">
        <f>INDEX('Category Mapping'!$D$2:$D$25,MATCH('Source Data'!A193,'Category Mapping'!$A$2:$A$25,0))</f>
        <v>Industry</v>
      </c>
    </row>
    <row r="194" spans="1:33" x14ac:dyDescent="0.3">
      <c r="A194" s="18" t="s">
        <v>108</v>
      </c>
      <c r="B194" s="19">
        <v>2019</v>
      </c>
      <c r="C194" s="39">
        <v>3</v>
      </c>
      <c r="D194" s="19" t="s">
        <v>93</v>
      </c>
      <c r="E194" s="19">
        <v>12</v>
      </c>
      <c r="F194" s="30">
        <v>165000000</v>
      </c>
      <c r="G194" s="30">
        <v>165000000</v>
      </c>
      <c r="H194" s="30">
        <v>165000000</v>
      </c>
      <c r="I194" s="30">
        <v>166000000</v>
      </c>
      <c r="J194" s="30">
        <v>166000000</v>
      </c>
      <c r="K194" s="30">
        <v>167000000</v>
      </c>
      <c r="L194" s="30">
        <v>167000000</v>
      </c>
      <c r="M194" s="30">
        <v>168000000</v>
      </c>
      <c r="N194" s="30">
        <v>167000000</v>
      </c>
      <c r="O194" s="30">
        <v>167000000</v>
      </c>
      <c r="P194" s="30">
        <v>167000000</v>
      </c>
      <c r="Q194" s="30">
        <v>167000000</v>
      </c>
      <c r="R194" s="30">
        <v>167000000</v>
      </c>
      <c r="S194" s="30">
        <v>167000000</v>
      </c>
      <c r="T194" s="30">
        <v>167000000</v>
      </c>
      <c r="U194" s="30">
        <v>168000000</v>
      </c>
      <c r="V194" s="30">
        <v>169000000</v>
      </c>
      <c r="W194" s="30">
        <v>169000000</v>
      </c>
      <c r="X194" s="30">
        <v>169000000</v>
      </c>
      <c r="Y194" s="30">
        <v>168000000</v>
      </c>
      <c r="Z194" s="30">
        <v>168000000</v>
      </c>
      <c r="AA194" s="30">
        <v>167000000</v>
      </c>
      <c r="AB194" s="30">
        <v>166000000</v>
      </c>
      <c r="AC194" s="30">
        <v>166000000</v>
      </c>
      <c r="AD194" t="str">
        <f t="shared" si="2"/>
        <v>Winter</v>
      </c>
      <c r="AE194" t="str">
        <f>INDEX('Category Mapping'!$B$2:$B$25,MATCH('Source Data'!A194,'Category Mapping'!$A$2:$A$25,0))</f>
        <v>Weekend</v>
      </c>
      <c r="AF194" t="str">
        <f>INDEX('Category Mapping'!$C$2:$C$25,MATCH('Source Data'!A194,'Category Mapping'!$A$2:$A$25,0))</f>
        <v>Industry</v>
      </c>
      <c r="AG194" t="str">
        <f>INDEX('Category Mapping'!$D$2:$D$25,MATCH('Source Data'!A194,'Category Mapping'!$A$2:$A$25,0))</f>
        <v>Industry</v>
      </c>
    </row>
    <row r="195" spans="1:33" x14ac:dyDescent="0.3">
      <c r="A195" s="16" t="s">
        <v>109</v>
      </c>
      <c r="B195" s="17">
        <v>2019</v>
      </c>
      <c r="C195" s="45">
        <v>3</v>
      </c>
      <c r="D195" s="17" t="s">
        <v>93</v>
      </c>
      <c r="E195" s="17">
        <v>1</v>
      </c>
      <c r="F195" s="31">
        <v>110000000</v>
      </c>
      <c r="G195" s="31">
        <v>83300000</v>
      </c>
      <c r="H195" s="31">
        <v>68400000</v>
      </c>
      <c r="I195" s="31">
        <v>59900000</v>
      </c>
      <c r="J195" s="31">
        <v>62200000</v>
      </c>
      <c r="K195" s="31">
        <v>78500000</v>
      </c>
      <c r="L195" s="31">
        <v>105000000</v>
      </c>
      <c r="M195" s="31">
        <v>98600000</v>
      </c>
      <c r="N195" s="31">
        <v>115000000</v>
      </c>
      <c r="O195" s="31">
        <v>120000000</v>
      </c>
      <c r="P195" s="31">
        <v>115000000</v>
      </c>
      <c r="Q195" s="31">
        <v>110000000</v>
      </c>
      <c r="R195" s="31">
        <v>117000000</v>
      </c>
      <c r="S195" s="31">
        <v>126000000</v>
      </c>
      <c r="T195" s="31">
        <v>127000000</v>
      </c>
      <c r="U195" s="31">
        <v>117000000</v>
      </c>
      <c r="V195" s="31">
        <v>128000000</v>
      </c>
      <c r="W195" s="31">
        <v>202000000</v>
      </c>
      <c r="X195" s="31">
        <v>226000000</v>
      </c>
      <c r="Y195" s="31">
        <v>245000000</v>
      </c>
      <c r="Z195" s="31">
        <v>260000000</v>
      </c>
      <c r="AA195" s="31">
        <v>250000000</v>
      </c>
      <c r="AB195" s="31">
        <v>185000000</v>
      </c>
      <c r="AC195" s="31">
        <v>139000000</v>
      </c>
      <c r="AD195" t="str">
        <f t="shared" si="2"/>
        <v>Winter</v>
      </c>
      <c r="AE195" t="str">
        <f>INDEX('Category Mapping'!$B$2:$B$25,MATCH('Source Data'!A195,'Category Mapping'!$A$2:$A$25,0))</f>
        <v>Weekday</v>
      </c>
      <c r="AF195" t="str">
        <f>INDEX('Category Mapping'!$C$2:$C$25,MATCH('Source Data'!A195,'Category Mapping'!$A$2:$A$25,0))</f>
        <v>Residential</v>
      </c>
      <c r="AG195" t="str">
        <f>INDEX('Category Mapping'!$D$2:$D$25,MATCH('Source Data'!A195,'Category Mapping'!$A$2:$A$25,0))</f>
        <v>Total</v>
      </c>
    </row>
    <row r="196" spans="1:33" x14ac:dyDescent="0.3">
      <c r="A196" s="18" t="s">
        <v>109</v>
      </c>
      <c r="B196" s="19">
        <v>2019</v>
      </c>
      <c r="C196" s="39">
        <v>3</v>
      </c>
      <c r="D196" s="19" t="s">
        <v>93</v>
      </c>
      <c r="E196" s="19">
        <v>2</v>
      </c>
      <c r="F196" s="30">
        <v>110000000</v>
      </c>
      <c r="G196" s="30">
        <v>82900000</v>
      </c>
      <c r="H196" s="30">
        <v>68000000</v>
      </c>
      <c r="I196" s="30">
        <v>59500000</v>
      </c>
      <c r="J196" s="30">
        <v>61700000</v>
      </c>
      <c r="K196" s="30">
        <v>77500000</v>
      </c>
      <c r="L196" s="30">
        <v>103000000</v>
      </c>
      <c r="M196" s="30">
        <v>94400000</v>
      </c>
      <c r="N196" s="30">
        <v>115000000</v>
      </c>
      <c r="O196" s="30">
        <v>120000000</v>
      </c>
      <c r="P196" s="30">
        <v>115000000</v>
      </c>
      <c r="Q196" s="30">
        <v>110000000</v>
      </c>
      <c r="R196" s="30">
        <v>117000000</v>
      </c>
      <c r="S196" s="30">
        <v>126000000</v>
      </c>
      <c r="T196" s="30">
        <v>127000000</v>
      </c>
      <c r="U196" s="30">
        <v>117000000</v>
      </c>
      <c r="V196" s="30">
        <v>123000000</v>
      </c>
      <c r="W196" s="30">
        <v>200000000</v>
      </c>
      <c r="X196" s="30">
        <v>224000000</v>
      </c>
      <c r="Y196" s="30">
        <v>242000000</v>
      </c>
      <c r="Z196" s="30">
        <v>257000000</v>
      </c>
      <c r="AA196" s="30">
        <v>248000000</v>
      </c>
      <c r="AB196" s="30">
        <v>184000000</v>
      </c>
      <c r="AC196" s="30">
        <v>138000000</v>
      </c>
      <c r="AD196" t="str">
        <f t="shared" ref="AD196:AD259" si="3">IF(AND(E196&gt;=3,E196&lt;=5),"Spring",IF(AND(E196&gt;=6,E196&lt;=8),"Summer",IF(AND(E196&gt;=9,E196&lt;=10),"Fall","Winter")))</f>
        <v>Winter</v>
      </c>
      <c r="AE196" t="str">
        <f>INDEX('Category Mapping'!$B$2:$B$25,MATCH('Source Data'!A196,'Category Mapping'!$A$2:$A$25,0))</f>
        <v>Weekday</v>
      </c>
      <c r="AF196" t="str">
        <f>INDEX('Category Mapping'!$C$2:$C$25,MATCH('Source Data'!A196,'Category Mapping'!$A$2:$A$25,0))</f>
        <v>Residential</v>
      </c>
      <c r="AG196" t="str">
        <f>INDEX('Category Mapping'!$D$2:$D$25,MATCH('Source Data'!A196,'Category Mapping'!$A$2:$A$25,0))</f>
        <v>Total</v>
      </c>
    </row>
    <row r="197" spans="1:33" x14ac:dyDescent="0.3">
      <c r="A197" s="16" t="s">
        <v>109</v>
      </c>
      <c r="B197" s="17">
        <v>2019</v>
      </c>
      <c r="C197" s="45">
        <v>3</v>
      </c>
      <c r="D197" s="17" t="s">
        <v>93</v>
      </c>
      <c r="E197" s="17">
        <v>3</v>
      </c>
      <c r="F197" s="31">
        <v>110000000</v>
      </c>
      <c r="G197" s="31">
        <v>82900000</v>
      </c>
      <c r="H197" s="31">
        <v>68000000</v>
      </c>
      <c r="I197" s="31">
        <v>59500000</v>
      </c>
      <c r="J197" s="31">
        <v>61700000</v>
      </c>
      <c r="K197" s="31">
        <v>77200000</v>
      </c>
      <c r="L197" s="31">
        <v>97500000</v>
      </c>
      <c r="M197" s="31">
        <v>91700000</v>
      </c>
      <c r="N197" s="31">
        <v>116000000</v>
      </c>
      <c r="O197" s="31">
        <v>121000000</v>
      </c>
      <c r="P197" s="31">
        <v>117000000</v>
      </c>
      <c r="Q197" s="31">
        <v>112000000</v>
      </c>
      <c r="R197" s="31">
        <v>119000000</v>
      </c>
      <c r="S197" s="31">
        <v>129000000</v>
      </c>
      <c r="T197" s="31">
        <v>130000000</v>
      </c>
      <c r="U197" s="31">
        <v>120000000</v>
      </c>
      <c r="V197" s="31">
        <v>122000000</v>
      </c>
      <c r="W197" s="31">
        <v>194000000</v>
      </c>
      <c r="X197" s="31">
        <v>225000000</v>
      </c>
      <c r="Y197" s="31">
        <v>242000000</v>
      </c>
      <c r="Z197" s="31">
        <v>256000000</v>
      </c>
      <c r="AA197" s="31">
        <v>247000000</v>
      </c>
      <c r="AB197" s="31">
        <v>183000000</v>
      </c>
      <c r="AC197" s="31">
        <v>138000000</v>
      </c>
      <c r="AD197" t="str">
        <f t="shared" si="3"/>
        <v>Spring</v>
      </c>
      <c r="AE197" t="str">
        <f>INDEX('Category Mapping'!$B$2:$B$25,MATCH('Source Data'!A197,'Category Mapping'!$A$2:$A$25,0))</f>
        <v>Weekday</v>
      </c>
      <c r="AF197" t="str">
        <f>INDEX('Category Mapping'!$C$2:$C$25,MATCH('Source Data'!A197,'Category Mapping'!$A$2:$A$25,0))</f>
        <v>Residential</v>
      </c>
      <c r="AG197" t="str">
        <f>INDEX('Category Mapping'!$D$2:$D$25,MATCH('Source Data'!A197,'Category Mapping'!$A$2:$A$25,0))</f>
        <v>Total</v>
      </c>
    </row>
    <row r="198" spans="1:33" x14ac:dyDescent="0.3">
      <c r="A198" s="18" t="s">
        <v>109</v>
      </c>
      <c r="B198" s="19">
        <v>2019</v>
      </c>
      <c r="C198" s="39">
        <v>3</v>
      </c>
      <c r="D198" s="19" t="s">
        <v>93</v>
      </c>
      <c r="E198" s="19">
        <v>4</v>
      </c>
      <c r="F198" s="30">
        <v>111000000</v>
      </c>
      <c r="G198" s="30">
        <v>84000000</v>
      </c>
      <c r="H198" s="30">
        <v>69000000</v>
      </c>
      <c r="I198" s="30">
        <v>60600000</v>
      </c>
      <c r="J198" s="30">
        <v>63000000</v>
      </c>
      <c r="K198" s="30">
        <v>78700000</v>
      </c>
      <c r="L198" s="30">
        <v>82700000</v>
      </c>
      <c r="M198" s="30">
        <v>92900000</v>
      </c>
      <c r="N198" s="30">
        <v>118000000</v>
      </c>
      <c r="O198" s="30">
        <v>123000000</v>
      </c>
      <c r="P198" s="30">
        <v>120000000</v>
      </c>
      <c r="Q198" s="30">
        <v>116000000</v>
      </c>
      <c r="R198" s="30">
        <v>124000000</v>
      </c>
      <c r="S198" s="30">
        <v>134000000</v>
      </c>
      <c r="T198" s="30">
        <v>135000000</v>
      </c>
      <c r="U198" s="30">
        <v>126000000</v>
      </c>
      <c r="V198" s="30">
        <v>127000000</v>
      </c>
      <c r="W198" s="30">
        <v>175000000</v>
      </c>
      <c r="X198" s="30">
        <v>230000000</v>
      </c>
      <c r="Y198" s="30">
        <v>247000000</v>
      </c>
      <c r="Z198" s="30">
        <v>260000000</v>
      </c>
      <c r="AA198" s="30">
        <v>250000000</v>
      </c>
      <c r="AB198" s="30">
        <v>186000000</v>
      </c>
      <c r="AC198" s="30">
        <v>140000000</v>
      </c>
      <c r="AD198" t="str">
        <f t="shared" si="3"/>
        <v>Spring</v>
      </c>
      <c r="AE198" t="str">
        <f>INDEX('Category Mapping'!$B$2:$B$25,MATCH('Source Data'!A198,'Category Mapping'!$A$2:$A$25,0))</f>
        <v>Weekday</v>
      </c>
      <c r="AF198" t="str">
        <f>INDEX('Category Mapping'!$C$2:$C$25,MATCH('Source Data'!A198,'Category Mapping'!$A$2:$A$25,0))</f>
        <v>Residential</v>
      </c>
      <c r="AG198" t="str">
        <f>INDEX('Category Mapping'!$D$2:$D$25,MATCH('Source Data'!A198,'Category Mapping'!$A$2:$A$25,0))</f>
        <v>Total</v>
      </c>
    </row>
    <row r="199" spans="1:33" x14ac:dyDescent="0.3">
      <c r="A199" s="16" t="s">
        <v>109</v>
      </c>
      <c r="B199" s="17">
        <v>2019</v>
      </c>
      <c r="C199" s="45">
        <v>3</v>
      </c>
      <c r="D199" s="17" t="s">
        <v>93</v>
      </c>
      <c r="E199" s="17">
        <v>5</v>
      </c>
      <c r="F199" s="31">
        <v>113000000</v>
      </c>
      <c r="G199" s="31">
        <v>85200000</v>
      </c>
      <c r="H199" s="31">
        <v>70100000</v>
      </c>
      <c r="I199" s="31">
        <v>61800000</v>
      </c>
      <c r="J199" s="31">
        <v>64100000</v>
      </c>
      <c r="K199" s="31">
        <v>79700000</v>
      </c>
      <c r="L199" s="31">
        <v>77100000</v>
      </c>
      <c r="M199" s="31">
        <v>94100000</v>
      </c>
      <c r="N199" s="31">
        <v>119000000</v>
      </c>
      <c r="O199" s="31">
        <v>124000000</v>
      </c>
      <c r="P199" s="31">
        <v>120000000</v>
      </c>
      <c r="Q199" s="31">
        <v>116000000</v>
      </c>
      <c r="R199" s="31">
        <v>124000000</v>
      </c>
      <c r="S199" s="31">
        <v>134000000</v>
      </c>
      <c r="T199" s="31">
        <v>135000000</v>
      </c>
      <c r="U199" s="31">
        <v>126000000</v>
      </c>
      <c r="V199" s="31">
        <v>127000000</v>
      </c>
      <c r="W199" s="31">
        <v>165000000</v>
      </c>
      <c r="X199" s="31">
        <v>231000000</v>
      </c>
      <c r="Y199" s="31">
        <v>248000000</v>
      </c>
      <c r="Z199" s="31">
        <v>261000000</v>
      </c>
      <c r="AA199" s="31">
        <v>251000000</v>
      </c>
      <c r="AB199" s="31">
        <v>187000000</v>
      </c>
      <c r="AC199" s="31">
        <v>141000000</v>
      </c>
      <c r="AD199" t="str">
        <f t="shared" si="3"/>
        <v>Spring</v>
      </c>
      <c r="AE199" t="str">
        <f>INDEX('Category Mapping'!$B$2:$B$25,MATCH('Source Data'!A199,'Category Mapping'!$A$2:$A$25,0))</f>
        <v>Weekday</v>
      </c>
      <c r="AF199" t="str">
        <f>INDEX('Category Mapping'!$C$2:$C$25,MATCH('Source Data'!A199,'Category Mapping'!$A$2:$A$25,0))</f>
        <v>Residential</v>
      </c>
      <c r="AG199" t="str">
        <f>INDEX('Category Mapping'!$D$2:$D$25,MATCH('Source Data'!A199,'Category Mapping'!$A$2:$A$25,0))</f>
        <v>Total</v>
      </c>
    </row>
    <row r="200" spans="1:33" x14ac:dyDescent="0.3">
      <c r="A200" s="18" t="s">
        <v>109</v>
      </c>
      <c r="B200" s="19">
        <v>2019</v>
      </c>
      <c r="C200" s="39">
        <v>3</v>
      </c>
      <c r="D200" s="19" t="s">
        <v>93</v>
      </c>
      <c r="E200" s="19">
        <v>6</v>
      </c>
      <c r="F200" s="30">
        <v>113000000</v>
      </c>
      <c r="G200" s="30">
        <v>85800000</v>
      </c>
      <c r="H200" s="30">
        <v>70800000</v>
      </c>
      <c r="I200" s="30">
        <v>62400000</v>
      </c>
      <c r="J200" s="30">
        <v>64700000</v>
      </c>
      <c r="K200" s="30">
        <v>80100000</v>
      </c>
      <c r="L200" s="30">
        <v>75000000</v>
      </c>
      <c r="M200" s="30">
        <v>94100000</v>
      </c>
      <c r="N200" s="30">
        <v>118000000</v>
      </c>
      <c r="O200" s="30">
        <v>124000000</v>
      </c>
      <c r="P200" s="30">
        <v>119000000</v>
      </c>
      <c r="Q200" s="30">
        <v>115000000</v>
      </c>
      <c r="R200" s="30">
        <v>123000000</v>
      </c>
      <c r="S200" s="30">
        <v>133000000</v>
      </c>
      <c r="T200" s="30">
        <v>134000000</v>
      </c>
      <c r="U200" s="30">
        <v>125000000</v>
      </c>
      <c r="V200" s="30">
        <v>126000000</v>
      </c>
      <c r="W200" s="30">
        <v>160000000</v>
      </c>
      <c r="X200" s="30">
        <v>228000000</v>
      </c>
      <c r="Y200" s="30">
        <v>246000000</v>
      </c>
      <c r="Z200" s="30">
        <v>260000000</v>
      </c>
      <c r="AA200" s="30">
        <v>250000000</v>
      </c>
      <c r="AB200" s="30">
        <v>187000000</v>
      </c>
      <c r="AC200" s="30">
        <v>142000000</v>
      </c>
      <c r="AD200" t="str">
        <f t="shared" si="3"/>
        <v>Summer</v>
      </c>
      <c r="AE200" t="str">
        <f>INDEX('Category Mapping'!$B$2:$B$25,MATCH('Source Data'!A200,'Category Mapping'!$A$2:$A$25,0))</f>
        <v>Weekday</v>
      </c>
      <c r="AF200" t="str">
        <f>INDEX('Category Mapping'!$C$2:$C$25,MATCH('Source Data'!A200,'Category Mapping'!$A$2:$A$25,0))</f>
        <v>Residential</v>
      </c>
      <c r="AG200" t="str">
        <f>INDEX('Category Mapping'!$D$2:$D$25,MATCH('Source Data'!A200,'Category Mapping'!$A$2:$A$25,0))</f>
        <v>Total</v>
      </c>
    </row>
    <row r="201" spans="1:33" x14ac:dyDescent="0.3">
      <c r="A201" s="16" t="s">
        <v>109</v>
      </c>
      <c r="B201" s="17">
        <v>2019</v>
      </c>
      <c r="C201" s="45">
        <v>3</v>
      </c>
      <c r="D201" s="17" t="s">
        <v>93</v>
      </c>
      <c r="E201" s="17">
        <v>7</v>
      </c>
      <c r="F201" s="31">
        <v>114000000</v>
      </c>
      <c r="G201" s="31">
        <v>86400000</v>
      </c>
      <c r="H201" s="31">
        <v>71300000</v>
      </c>
      <c r="I201" s="31">
        <v>63000000</v>
      </c>
      <c r="J201" s="31">
        <v>65200000</v>
      </c>
      <c r="K201" s="31">
        <v>80600000</v>
      </c>
      <c r="L201" s="31">
        <v>76100000</v>
      </c>
      <c r="M201" s="31">
        <v>94300000</v>
      </c>
      <c r="N201" s="31">
        <v>118000000</v>
      </c>
      <c r="O201" s="31">
        <v>123000000</v>
      </c>
      <c r="P201" s="31">
        <v>119000000</v>
      </c>
      <c r="Q201" s="31">
        <v>115000000</v>
      </c>
      <c r="R201" s="31">
        <v>123000000</v>
      </c>
      <c r="S201" s="31">
        <v>133000000</v>
      </c>
      <c r="T201" s="31">
        <v>134000000</v>
      </c>
      <c r="U201" s="31">
        <v>124000000</v>
      </c>
      <c r="V201" s="31">
        <v>125000000</v>
      </c>
      <c r="W201" s="31">
        <v>160000000</v>
      </c>
      <c r="X201" s="31">
        <v>228000000</v>
      </c>
      <c r="Y201" s="31">
        <v>246000000</v>
      </c>
      <c r="Z201" s="31">
        <v>260000000</v>
      </c>
      <c r="AA201" s="31">
        <v>251000000</v>
      </c>
      <c r="AB201" s="31">
        <v>188000000</v>
      </c>
      <c r="AC201" s="31">
        <v>142000000</v>
      </c>
      <c r="AD201" t="str">
        <f t="shared" si="3"/>
        <v>Summer</v>
      </c>
      <c r="AE201" t="str">
        <f>INDEX('Category Mapping'!$B$2:$B$25,MATCH('Source Data'!A201,'Category Mapping'!$A$2:$A$25,0))</f>
        <v>Weekday</v>
      </c>
      <c r="AF201" t="str">
        <f>INDEX('Category Mapping'!$C$2:$C$25,MATCH('Source Data'!A201,'Category Mapping'!$A$2:$A$25,0))</f>
        <v>Residential</v>
      </c>
      <c r="AG201" t="str">
        <f>INDEX('Category Mapping'!$D$2:$D$25,MATCH('Source Data'!A201,'Category Mapping'!$A$2:$A$25,0))</f>
        <v>Total</v>
      </c>
    </row>
    <row r="202" spans="1:33" x14ac:dyDescent="0.3">
      <c r="A202" s="18" t="s">
        <v>109</v>
      </c>
      <c r="B202" s="19">
        <v>2019</v>
      </c>
      <c r="C202" s="39">
        <v>3</v>
      </c>
      <c r="D202" s="19" t="s">
        <v>93</v>
      </c>
      <c r="E202" s="19">
        <v>8</v>
      </c>
      <c r="F202" s="30">
        <v>114000000</v>
      </c>
      <c r="G202" s="30">
        <v>86300000</v>
      </c>
      <c r="H202" s="30">
        <v>71200000</v>
      </c>
      <c r="I202" s="30">
        <v>62900000</v>
      </c>
      <c r="J202" s="30">
        <v>65200000</v>
      </c>
      <c r="K202" s="30">
        <v>80800000</v>
      </c>
      <c r="L202" s="30">
        <v>80300000</v>
      </c>
      <c r="M202" s="30">
        <v>94400000</v>
      </c>
      <c r="N202" s="30">
        <v>119000000</v>
      </c>
      <c r="O202" s="30">
        <v>124000000</v>
      </c>
      <c r="P202" s="30">
        <v>120000000</v>
      </c>
      <c r="Q202" s="30">
        <v>116000000</v>
      </c>
      <c r="R202" s="30">
        <v>123000000</v>
      </c>
      <c r="S202" s="30">
        <v>133000000</v>
      </c>
      <c r="T202" s="30">
        <v>134000000</v>
      </c>
      <c r="U202" s="30">
        <v>125000000</v>
      </c>
      <c r="V202" s="30">
        <v>126000000</v>
      </c>
      <c r="W202" s="30">
        <v>168000000</v>
      </c>
      <c r="X202" s="30">
        <v>230000000</v>
      </c>
      <c r="Y202" s="30">
        <v>248000000</v>
      </c>
      <c r="Z202" s="30">
        <v>262000000</v>
      </c>
      <c r="AA202" s="30">
        <v>252000000</v>
      </c>
      <c r="AB202" s="30">
        <v>188000000</v>
      </c>
      <c r="AC202" s="30">
        <v>142000000</v>
      </c>
      <c r="AD202" t="str">
        <f t="shared" si="3"/>
        <v>Summer</v>
      </c>
      <c r="AE202" t="str">
        <f>INDEX('Category Mapping'!$B$2:$B$25,MATCH('Source Data'!A202,'Category Mapping'!$A$2:$A$25,0))</f>
        <v>Weekday</v>
      </c>
      <c r="AF202" t="str">
        <f>INDEX('Category Mapping'!$C$2:$C$25,MATCH('Source Data'!A202,'Category Mapping'!$A$2:$A$25,0))</f>
        <v>Residential</v>
      </c>
      <c r="AG202" t="str">
        <f>INDEX('Category Mapping'!$D$2:$D$25,MATCH('Source Data'!A202,'Category Mapping'!$A$2:$A$25,0))</f>
        <v>Total</v>
      </c>
    </row>
    <row r="203" spans="1:33" x14ac:dyDescent="0.3">
      <c r="A203" s="16" t="s">
        <v>109</v>
      </c>
      <c r="B203" s="17">
        <v>2019</v>
      </c>
      <c r="C203" s="45">
        <v>3</v>
      </c>
      <c r="D203" s="17" t="s">
        <v>93</v>
      </c>
      <c r="E203" s="17">
        <v>9</v>
      </c>
      <c r="F203" s="31">
        <v>113000000</v>
      </c>
      <c r="G203" s="31">
        <v>85700000</v>
      </c>
      <c r="H203" s="31">
        <v>70700000</v>
      </c>
      <c r="I203" s="31">
        <v>62300000</v>
      </c>
      <c r="J203" s="31">
        <v>64600000</v>
      </c>
      <c r="K203" s="31">
        <v>80400000</v>
      </c>
      <c r="L203" s="31">
        <v>89500000</v>
      </c>
      <c r="M203" s="31">
        <v>93600000</v>
      </c>
      <c r="N203" s="31">
        <v>118000000</v>
      </c>
      <c r="O203" s="31">
        <v>123000000</v>
      </c>
      <c r="P203" s="31">
        <v>119000000</v>
      </c>
      <c r="Q203" s="31">
        <v>114000000</v>
      </c>
      <c r="R203" s="31">
        <v>122000000</v>
      </c>
      <c r="S203" s="31">
        <v>131000000</v>
      </c>
      <c r="T203" s="31">
        <v>132000000</v>
      </c>
      <c r="U203" s="31">
        <v>123000000</v>
      </c>
      <c r="V203" s="31">
        <v>124000000</v>
      </c>
      <c r="W203" s="31">
        <v>181000000</v>
      </c>
      <c r="X203" s="31">
        <v>229000000</v>
      </c>
      <c r="Y203" s="31">
        <v>247000000</v>
      </c>
      <c r="Z203" s="31">
        <v>261000000</v>
      </c>
      <c r="AA203" s="31">
        <v>252000000</v>
      </c>
      <c r="AB203" s="31">
        <v>187000000</v>
      </c>
      <c r="AC203" s="31">
        <v>142000000</v>
      </c>
      <c r="AD203" t="str">
        <f t="shared" si="3"/>
        <v>Fall</v>
      </c>
      <c r="AE203" t="str">
        <f>INDEX('Category Mapping'!$B$2:$B$25,MATCH('Source Data'!A203,'Category Mapping'!$A$2:$A$25,0))</f>
        <v>Weekday</v>
      </c>
      <c r="AF203" t="str">
        <f>INDEX('Category Mapping'!$C$2:$C$25,MATCH('Source Data'!A203,'Category Mapping'!$A$2:$A$25,0))</f>
        <v>Residential</v>
      </c>
      <c r="AG203" t="str">
        <f>INDEX('Category Mapping'!$D$2:$D$25,MATCH('Source Data'!A203,'Category Mapping'!$A$2:$A$25,0))</f>
        <v>Total</v>
      </c>
    </row>
    <row r="204" spans="1:33" x14ac:dyDescent="0.3">
      <c r="A204" s="18" t="s">
        <v>109</v>
      </c>
      <c r="B204" s="19">
        <v>2019</v>
      </c>
      <c r="C204" s="39">
        <v>3</v>
      </c>
      <c r="D204" s="19" t="s">
        <v>93</v>
      </c>
      <c r="E204" s="19">
        <v>10</v>
      </c>
      <c r="F204" s="30">
        <v>111000000</v>
      </c>
      <c r="G204" s="30">
        <v>84200000</v>
      </c>
      <c r="H204" s="30">
        <v>69200000</v>
      </c>
      <c r="I204" s="30">
        <v>60800000</v>
      </c>
      <c r="J204" s="30">
        <v>63000000</v>
      </c>
      <c r="K204" s="30">
        <v>78700000</v>
      </c>
      <c r="L204" s="30">
        <v>104000000</v>
      </c>
      <c r="M204" s="30">
        <v>94100000</v>
      </c>
      <c r="N204" s="30">
        <v>117000000</v>
      </c>
      <c r="O204" s="30">
        <v>122000000</v>
      </c>
      <c r="P204" s="30">
        <v>117000000</v>
      </c>
      <c r="Q204" s="30">
        <v>113000000</v>
      </c>
      <c r="R204" s="30">
        <v>120000000</v>
      </c>
      <c r="S204" s="30">
        <v>130000000</v>
      </c>
      <c r="T204" s="30">
        <v>131000000</v>
      </c>
      <c r="U204" s="30">
        <v>121000000</v>
      </c>
      <c r="V204" s="30">
        <v>124000000</v>
      </c>
      <c r="W204" s="30">
        <v>203000000</v>
      </c>
      <c r="X204" s="30">
        <v>226000000</v>
      </c>
      <c r="Y204" s="30">
        <v>244000000</v>
      </c>
      <c r="Z204" s="30">
        <v>259000000</v>
      </c>
      <c r="AA204" s="30">
        <v>249000000</v>
      </c>
      <c r="AB204" s="30">
        <v>185000000</v>
      </c>
      <c r="AC204" s="30">
        <v>140000000</v>
      </c>
      <c r="AD204" t="str">
        <f t="shared" si="3"/>
        <v>Fall</v>
      </c>
      <c r="AE204" t="str">
        <f>INDEX('Category Mapping'!$B$2:$B$25,MATCH('Source Data'!A204,'Category Mapping'!$A$2:$A$25,0))</f>
        <v>Weekday</v>
      </c>
      <c r="AF204" t="str">
        <f>INDEX('Category Mapping'!$C$2:$C$25,MATCH('Source Data'!A204,'Category Mapping'!$A$2:$A$25,0))</f>
        <v>Residential</v>
      </c>
      <c r="AG204" t="str">
        <f>INDEX('Category Mapping'!$D$2:$D$25,MATCH('Source Data'!A204,'Category Mapping'!$A$2:$A$25,0))</f>
        <v>Total</v>
      </c>
    </row>
    <row r="205" spans="1:33" x14ac:dyDescent="0.3">
      <c r="A205" s="16" t="s">
        <v>109</v>
      </c>
      <c r="B205" s="17">
        <v>2019</v>
      </c>
      <c r="C205" s="45">
        <v>3</v>
      </c>
      <c r="D205" s="17" t="s">
        <v>93</v>
      </c>
      <c r="E205" s="17">
        <v>11</v>
      </c>
      <c r="F205" s="31">
        <v>111000000</v>
      </c>
      <c r="G205" s="31">
        <v>83600000</v>
      </c>
      <c r="H205" s="31">
        <v>68600000</v>
      </c>
      <c r="I205" s="31">
        <v>60200000</v>
      </c>
      <c r="J205" s="31">
        <v>62500000</v>
      </c>
      <c r="K205" s="31">
        <v>78600000</v>
      </c>
      <c r="L205" s="31">
        <v>105000000</v>
      </c>
      <c r="M205" s="31">
        <v>96800000</v>
      </c>
      <c r="N205" s="31">
        <v>116000000</v>
      </c>
      <c r="O205" s="31">
        <v>121000000</v>
      </c>
      <c r="P205" s="31">
        <v>116000000</v>
      </c>
      <c r="Q205" s="31">
        <v>111000000</v>
      </c>
      <c r="R205" s="31">
        <v>118000000</v>
      </c>
      <c r="S205" s="31">
        <v>128000000</v>
      </c>
      <c r="T205" s="31">
        <v>129000000</v>
      </c>
      <c r="U205" s="31">
        <v>119000000</v>
      </c>
      <c r="V205" s="31">
        <v>127000000</v>
      </c>
      <c r="W205" s="31">
        <v>203000000</v>
      </c>
      <c r="X205" s="31">
        <v>226000000</v>
      </c>
      <c r="Y205" s="31">
        <v>245000000</v>
      </c>
      <c r="Z205" s="31">
        <v>259000000</v>
      </c>
      <c r="AA205" s="31">
        <v>250000000</v>
      </c>
      <c r="AB205" s="31">
        <v>185000000</v>
      </c>
      <c r="AC205" s="31">
        <v>139000000</v>
      </c>
      <c r="AD205" t="str">
        <f t="shared" si="3"/>
        <v>Winter</v>
      </c>
      <c r="AE205" t="str">
        <f>INDEX('Category Mapping'!$B$2:$B$25,MATCH('Source Data'!A205,'Category Mapping'!$A$2:$A$25,0))</f>
        <v>Weekday</v>
      </c>
      <c r="AF205" t="str">
        <f>INDEX('Category Mapping'!$C$2:$C$25,MATCH('Source Data'!A205,'Category Mapping'!$A$2:$A$25,0))</f>
        <v>Residential</v>
      </c>
      <c r="AG205" t="str">
        <f>INDEX('Category Mapping'!$D$2:$D$25,MATCH('Source Data'!A205,'Category Mapping'!$A$2:$A$25,0))</f>
        <v>Total</v>
      </c>
    </row>
    <row r="206" spans="1:33" x14ac:dyDescent="0.3">
      <c r="A206" s="18" t="s">
        <v>109</v>
      </c>
      <c r="B206" s="19">
        <v>2019</v>
      </c>
      <c r="C206" s="39">
        <v>3</v>
      </c>
      <c r="D206" s="19" t="s">
        <v>93</v>
      </c>
      <c r="E206" s="19">
        <v>12</v>
      </c>
      <c r="F206" s="30">
        <v>111000000</v>
      </c>
      <c r="G206" s="30">
        <v>83600000</v>
      </c>
      <c r="H206" s="30">
        <v>68600000</v>
      </c>
      <c r="I206" s="30">
        <v>60200000</v>
      </c>
      <c r="J206" s="30">
        <v>62600000</v>
      </c>
      <c r="K206" s="30">
        <v>78900000</v>
      </c>
      <c r="L206" s="30">
        <v>105000000</v>
      </c>
      <c r="M206" s="30">
        <v>100000000</v>
      </c>
      <c r="N206" s="30">
        <v>115000000</v>
      </c>
      <c r="O206" s="30">
        <v>120000000</v>
      </c>
      <c r="P206" s="30">
        <v>115000000</v>
      </c>
      <c r="Q206" s="30">
        <v>110000000</v>
      </c>
      <c r="R206" s="30">
        <v>117000000</v>
      </c>
      <c r="S206" s="30">
        <v>127000000</v>
      </c>
      <c r="T206" s="30">
        <v>127000000</v>
      </c>
      <c r="U206" s="30">
        <v>118000000</v>
      </c>
      <c r="V206" s="30">
        <v>130000000</v>
      </c>
      <c r="W206" s="30">
        <v>203000000</v>
      </c>
      <c r="X206" s="30">
        <v>227000000</v>
      </c>
      <c r="Y206" s="30">
        <v>246000000</v>
      </c>
      <c r="Z206" s="30">
        <v>261000000</v>
      </c>
      <c r="AA206" s="30">
        <v>251000000</v>
      </c>
      <c r="AB206" s="30">
        <v>185000000</v>
      </c>
      <c r="AC206" s="30">
        <v>139000000</v>
      </c>
      <c r="AD206" t="str">
        <f t="shared" si="3"/>
        <v>Winter</v>
      </c>
      <c r="AE206" t="str">
        <f>INDEX('Category Mapping'!$B$2:$B$25,MATCH('Source Data'!A206,'Category Mapping'!$A$2:$A$25,0))</f>
        <v>Weekday</v>
      </c>
      <c r="AF206" t="str">
        <f>INDEX('Category Mapping'!$C$2:$C$25,MATCH('Source Data'!A206,'Category Mapping'!$A$2:$A$25,0))</f>
        <v>Residential</v>
      </c>
      <c r="AG206" t="str">
        <f>INDEX('Category Mapping'!$D$2:$D$25,MATCH('Source Data'!A206,'Category Mapping'!$A$2:$A$25,0))</f>
        <v>Total</v>
      </c>
    </row>
    <row r="207" spans="1:33" x14ac:dyDescent="0.3">
      <c r="A207" s="16" t="s">
        <v>110</v>
      </c>
      <c r="B207" s="17">
        <v>2019</v>
      </c>
      <c r="C207" s="45">
        <v>3</v>
      </c>
      <c r="D207" s="17" t="s">
        <v>93</v>
      </c>
      <c r="E207" s="17">
        <v>1</v>
      </c>
      <c r="F207" s="31">
        <v>56000000</v>
      </c>
      <c r="G207" s="31">
        <v>44400000</v>
      </c>
      <c r="H207" s="31">
        <v>36200000</v>
      </c>
      <c r="I207" s="31">
        <v>30300000</v>
      </c>
      <c r="J207" s="31">
        <v>30300000</v>
      </c>
      <c r="K207" s="31">
        <v>31900000</v>
      </c>
      <c r="L207" s="31">
        <v>43100000</v>
      </c>
      <c r="M207" s="31">
        <v>41700000</v>
      </c>
      <c r="N207" s="31">
        <v>49900000</v>
      </c>
      <c r="O207" s="31">
        <v>65700000</v>
      </c>
      <c r="P207" s="31">
        <v>84600000</v>
      </c>
      <c r="Q207" s="31">
        <v>95800000</v>
      </c>
      <c r="R207" s="31">
        <v>92500000</v>
      </c>
      <c r="S207" s="31">
        <v>90200000</v>
      </c>
      <c r="T207" s="31">
        <v>95400000</v>
      </c>
      <c r="U207" s="31">
        <v>90400000</v>
      </c>
      <c r="V207" s="31">
        <v>91700000</v>
      </c>
      <c r="W207" s="31">
        <v>123000000</v>
      </c>
      <c r="X207" s="31">
        <v>134000000</v>
      </c>
      <c r="Y207" s="31">
        <v>138000000</v>
      </c>
      <c r="Z207" s="31">
        <v>139000000</v>
      </c>
      <c r="AA207" s="31">
        <v>127000000</v>
      </c>
      <c r="AB207" s="31">
        <v>99700000</v>
      </c>
      <c r="AC207" s="31">
        <v>74000000</v>
      </c>
      <c r="AD207" t="str">
        <f t="shared" si="3"/>
        <v>Winter</v>
      </c>
      <c r="AE207" t="str">
        <f>INDEX('Category Mapping'!$B$2:$B$25,MATCH('Source Data'!A207,'Category Mapping'!$A$2:$A$25,0))</f>
        <v>Weekend</v>
      </c>
      <c r="AF207" t="str">
        <f>INDEX('Category Mapping'!$C$2:$C$25,MATCH('Source Data'!A207,'Category Mapping'!$A$2:$A$25,0))</f>
        <v>Residential</v>
      </c>
      <c r="AG207" t="str">
        <f>INDEX('Category Mapping'!$D$2:$D$25,MATCH('Source Data'!A207,'Category Mapping'!$A$2:$A$25,0))</f>
        <v>Total</v>
      </c>
    </row>
    <row r="208" spans="1:33" x14ac:dyDescent="0.3">
      <c r="A208" s="18" t="s">
        <v>110</v>
      </c>
      <c r="B208" s="19">
        <v>2019</v>
      </c>
      <c r="C208" s="39">
        <v>3</v>
      </c>
      <c r="D208" s="19" t="s">
        <v>93</v>
      </c>
      <c r="E208" s="19">
        <v>2</v>
      </c>
      <c r="F208" s="30">
        <v>55700000</v>
      </c>
      <c r="G208" s="30">
        <v>44200000</v>
      </c>
      <c r="H208" s="30">
        <v>35900000</v>
      </c>
      <c r="I208" s="30">
        <v>30100000</v>
      </c>
      <c r="J208" s="30">
        <v>30100000</v>
      </c>
      <c r="K208" s="30">
        <v>31600000</v>
      </c>
      <c r="L208" s="30">
        <v>42500000</v>
      </c>
      <c r="M208" s="30">
        <v>39300000</v>
      </c>
      <c r="N208" s="30">
        <v>49700000</v>
      </c>
      <c r="O208" s="30">
        <v>65600000</v>
      </c>
      <c r="P208" s="30">
        <v>84600000</v>
      </c>
      <c r="Q208" s="30">
        <v>95900000</v>
      </c>
      <c r="R208" s="30">
        <v>92600000</v>
      </c>
      <c r="S208" s="30">
        <v>90200000</v>
      </c>
      <c r="T208" s="30">
        <v>95400000</v>
      </c>
      <c r="U208" s="30">
        <v>90400000</v>
      </c>
      <c r="V208" s="30">
        <v>88600000</v>
      </c>
      <c r="W208" s="30">
        <v>122000000</v>
      </c>
      <c r="X208" s="30">
        <v>132000000</v>
      </c>
      <c r="Y208" s="30">
        <v>137000000</v>
      </c>
      <c r="Z208" s="30">
        <v>137000000</v>
      </c>
      <c r="AA208" s="30">
        <v>126000000</v>
      </c>
      <c r="AB208" s="30">
        <v>98900000</v>
      </c>
      <c r="AC208" s="30">
        <v>73600000</v>
      </c>
      <c r="AD208" t="str">
        <f t="shared" si="3"/>
        <v>Winter</v>
      </c>
      <c r="AE208" t="str">
        <f>INDEX('Category Mapping'!$B$2:$B$25,MATCH('Source Data'!A208,'Category Mapping'!$A$2:$A$25,0))</f>
        <v>Weekend</v>
      </c>
      <c r="AF208" t="str">
        <f>INDEX('Category Mapping'!$C$2:$C$25,MATCH('Source Data'!A208,'Category Mapping'!$A$2:$A$25,0))</f>
        <v>Residential</v>
      </c>
      <c r="AG208" t="str">
        <f>INDEX('Category Mapping'!$D$2:$D$25,MATCH('Source Data'!A208,'Category Mapping'!$A$2:$A$25,0))</f>
        <v>Total</v>
      </c>
    </row>
    <row r="209" spans="1:33" x14ac:dyDescent="0.3">
      <c r="A209" s="16" t="s">
        <v>110</v>
      </c>
      <c r="B209" s="17">
        <v>2019</v>
      </c>
      <c r="C209" s="45">
        <v>3</v>
      </c>
      <c r="D209" s="17" t="s">
        <v>93</v>
      </c>
      <c r="E209" s="17">
        <v>3</v>
      </c>
      <c r="F209" s="31">
        <v>55600000</v>
      </c>
      <c r="G209" s="31">
        <v>44100000</v>
      </c>
      <c r="H209" s="31">
        <v>35900000</v>
      </c>
      <c r="I209" s="31">
        <v>30100000</v>
      </c>
      <c r="J209" s="31">
        <v>30100000</v>
      </c>
      <c r="K209" s="31">
        <v>31600000</v>
      </c>
      <c r="L209" s="31">
        <v>40400000</v>
      </c>
      <c r="M209" s="31">
        <v>37800000</v>
      </c>
      <c r="N209" s="31">
        <v>50200000</v>
      </c>
      <c r="O209" s="31">
        <v>66300000</v>
      </c>
      <c r="P209" s="31">
        <v>85600000</v>
      </c>
      <c r="Q209" s="31">
        <v>97200000</v>
      </c>
      <c r="R209" s="31">
        <v>94100000</v>
      </c>
      <c r="S209" s="31">
        <v>91900000</v>
      </c>
      <c r="T209" s="31">
        <v>97100000</v>
      </c>
      <c r="U209" s="31">
        <v>92100000</v>
      </c>
      <c r="V209" s="31">
        <v>87600000</v>
      </c>
      <c r="W209" s="31">
        <v>118000000</v>
      </c>
      <c r="X209" s="31">
        <v>133000000</v>
      </c>
      <c r="Y209" s="31">
        <v>137000000</v>
      </c>
      <c r="Z209" s="31">
        <v>136000000</v>
      </c>
      <c r="AA209" s="31">
        <v>125000000</v>
      </c>
      <c r="AB209" s="31">
        <v>98500000</v>
      </c>
      <c r="AC209" s="31">
        <v>73400000</v>
      </c>
      <c r="AD209" t="str">
        <f t="shared" si="3"/>
        <v>Spring</v>
      </c>
      <c r="AE209" t="str">
        <f>INDEX('Category Mapping'!$B$2:$B$25,MATCH('Source Data'!A209,'Category Mapping'!$A$2:$A$25,0))</f>
        <v>Weekend</v>
      </c>
      <c r="AF209" t="str">
        <f>INDEX('Category Mapping'!$C$2:$C$25,MATCH('Source Data'!A209,'Category Mapping'!$A$2:$A$25,0))</f>
        <v>Residential</v>
      </c>
      <c r="AG209" t="str">
        <f>INDEX('Category Mapping'!$D$2:$D$25,MATCH('Source Data'!A209,'Category Mapping'!$A$2:$A$25,0))</f>
        <v>Total</v>
      </c>
    </row>
    <row r="210" spans="1:33" x14ac:dyDescent="0.3">
      <c r="A210" s="18" t="s">
        <v>110</v>
      </c>
      <c r="B210" s="19">
        <v>2019</v>
      </c>
      <c r="C210" s="39">
        <v>3</v>
      </c>
      <c r="D210" s="19" t="s">
        <v>93</v>
      </c>
      <c r="E210" s="19">
        <v>4</v>
      </c>
      <c r="F210" s="30">
        <v>56200000</v>
      </c>
      <c r="G210" s="30">
        <v>44500000</v>
      </c>
      <c r="H210" s="30">
        <v>36300000</v>
      </c>
      <c r="I210" s="30">
        <v>30500000</v>
      </c>
      <c r="J210" s="30">
        <v>30600000</v>
      </c>
      <c r="K210" s="30">
        <v>32300000</v>
      </c>
      <c r="L210" s="30">
        <v>34900000</v>
      </c>
      <c r="M210" s="30">
        <v>38700000</v>
      </c>
      <c r="N210" s="30">
        <v>51800000</v>
      </c>
      <c r="O210" s="30">
        <v>68200000</v>
      </c>
      <c r="P210" s="30">
        <v>87800000</v>
      </c>
      <c r="Q210" s="30">
        <v>99800000</v>
      </c>
      <c r="R210" s="30">
        <v>97100000</v>
      </c>
      <c r="S210" s="30">
        <v>95100000</v>
      </c>
      <c r="T210" s="30">
        <v>100000000</v>
      </c>
      <c r="U210" s="30">
        <v>95300000</v>
      </c>
      <c r="V210" s="30">
        <v>90000000</v>
      </c>
      <c r="W210" s="30">
        <v>106000000</v>
      </c>
      <c r="X210" s="30">
        <v>135000000</v>
      </c>
      <c r="Y210" s="30">
        <v>139000000</v>
      </c>
      <c r="Z210" s="30">
        <v>138000000</v>
      </c>
      <c r="AA210" s="30">
        <v>126000000</v>
      </c>
      <c r="AB210" s="30">
        <v>99400000</v>
      </c>
      <c r="AC210" s="30">
        <v>74100000</v>
      </c>
      <c r="AD210" t="str">
        <f t="shared" si="3"/>
        <v>Spring</v>
      </c>
      <c r="AE210" t="str">
        <f>INDEX('Category Mapping'!$B$2:$B$25,MATCH('Source Data'!A210,'Category Mapping'!$A$2:$A$25,0))</f>
        <v>Weekend</v>
      </c>
      <c r="AF210" t="str">
        <f>INDEX('Category Mapping'!$C$2:$C$25,MATCH('Source Data'!A210,'Category Mapping'!$A$2:$A$25,0))</f>
        <v>Residential</v>
      </c>
      <c r="AG210" t="str">
        <f>INDEX('Category Mapping'!$D$2:$D$25,MATCH('Source Data'!A210,'Category Mapping'!$A$2:$A$25,0))</f>
        <v>Total</v>
      </c>
    </row>
    <row r="211" spans="1:33" x14ac:dyDescent="0.3">
      <c r="A211" s="16" t="s">
        <v>110</v>
      </c>
      <c r="B211" s="17">
        <v>2019</v>
      </c>
      <c r="C211" s="45">
        <v>3</v>
      </c>
      <c r="D211" s="17" t="s">
        <v>93</v>
      </c>
      <c r="E211" s="17">
        <v>5</v>
      </c>
      <c r="F211" s="31">
        <v>56600000</v>
      </c>
      <c r="G211" s="31">
        <v>45000000</v>
      </c>
      <c r="H211" s="31">
        <v>36800000</v>
      </c>
      <c r="I211" s="31">
        <v>31000000</v>
      </c>
      <c r="J211" s="31">
        <v>31100000</v>
      </c>
      <c r="K211" s="31">
        <v>32900000</v>
      </c>
      <c r="L211" s="31">
        <v>33100000</v>
      </c>
      <c r="M211" s="31">
        <v>39600000</v>
      </c>
      <c r="N211" s="31">
        <v>52700000</v>
      </c>
      <c r="O211" s="31">
        <v>68900000</v>
      </c>
      <c r="P211" s="31">
        <v>88300000</v>
      </c>
      <c r="Q211" s="31">
        <v>100000000</v>
      </c>
      <c r="R211" s="31">
        <v>97500000</v>
      </c>
      <c r="S211" s="31">
        <v>95400000</v>
      </c>
      <c r="T211" s="31">
        <v>101000000</v>
      </c>
      <c r="U211" s="31">
        <v>95600000</v>
      </c>
      <c r="V211" s="31">
        <v>90400000</v>
      </c>
      <c r="W211" s="31">
        <v>101000000</v>
      </c>
      <c r="X211" s="31">
        <v>135000000</v>
      </c>
      <c r="Y211" s="31">
        <v>139000000</v>
      </c>
      <c r="Z211" s="31">
        <v>138000000</v>
      </c>
      <c r="AA211" s="31">
        <v>127000000</v>
      </c>
      <c r="AB211" s="31">
        <v>99800000</v>
      </c>
      <c r="AC211" s="31">
        <v>74600000</v>
      </c>
      <c r="AD211" t="str">
        <f t="shared" si="3"/>
        <v>Spring</v>
      </c>
      <c r="AE211" t="str">
        <f>INDEX('Category Mapping'!$B$2:$B$25,MATCH('Source Data'!A211,'Category Mapping'!$A$2:$A$25,0))</f>
        <v>Weekend</v>
      </c>
      <c r="AF211" t="str">
        <f>INDEX('Category Mapping'!$C$2:$C$25,MATCH('Source Data'!A211,'Category Mapping'!$A$2:$A$25,0))</f>
        <v>Residential</v>
      </c>
      <c r="AG211" t="str">
        <f>INDEX('Category Mapping'!$D$2:$D$25,MATCH('Source Data'!A211,'Category Mapping'!$A$2:$A$25,0))</f>
        <v>Total</v>
      </c>
    </row>
    <row r="212" spans="1:33" x14ac:dyDescent="0.3">
      <c r="A212" s="18" t="s">
        <v>110</v>
      </c>
      <c r="B212" s="19">
        <v>2019</v>
      </c>
      <c r="C212" s="39">
        <v>3</v>
      </c>
      <c r="D212" s="19" t="s">
        <v>93</v>
      </c>
      <c r="E212" s="19">
        <v>6</v>
      </c>
      <c r="F212" s="30">
        <v>56900000</v>
      </c>
      <c r="G212" s="30">
        <v>45300000</v>
      </c>
      <c r="H212" s="30">
        <v>37000000</v>
      </c>
      <c r="I212" s="30">
        <v>31300000</v>
      </c>
      <c r="J212" s="30">
        <v>31500000</v>
      </c>
      <c r="K212" s="30">
        <v>33200000</v>
      </c>
      <c r="L212" s="30">
        <v>32400000</v>
      </c>
      <c r="M212" s="30">
        <v>39700000</v>
      </c>
      <c r="N212" s="30">
        <v>52600000</v>
      </c>
      <c r="O212" s="30">
        <v>68600000</v>
      </c>
      <c r="P212" s="30">
        <v>87800000</v>
      </c>
      <c r="Q212" s="30">
        <v>99600000</v>
      </c>
      <c r="R212" s="30">
        <v>96700000</v>
      </c>
      <c r="S212" s="30">
        <v>94500000</v>
      </c>
      <c r="T212" s="30">
        <v>99800000</v>
      </c>
      <c r="U212" s="30">
        <v>94700000</v>
      </c>
      <c r="V212" s="30">
        <v>89600000</v>
      </c>
      <c r="W212" s="30">
        <v>97900000</v>
      </c>
      <c r="X212" s="30">
        <v>134000000</v>
      </c>
      <c r="Y212" s="30">
        <v>138000000</v>
      </c>
      <c r="Z212" s="30">
        <v>138000000</v>
      </c>
      <c r="AA212" s="30">
        <v>126000000</v>
      </c>
      <c r="AB212" s="30">
        <v>99800000</v>
      </c>
      <c r="AC212" s="30">
        <v>74800000</v>
      </c>
      <c r="AD212" t="str">
        <f t="shared" si="3"/>
        <v>Summer</v>
      </c>
      <c r="AE212" t="str">
        <f>INDEX('Category Mapping'!$B$2:$B$25,MATCH('Source Data'!A212,'Category Mapping'!$A$2:$A$25,0))</f>
        <v>Weekend</v>
      </c>
      <c r="AF212" t="str">
        <f>INDEX('Category Mapping'!$C$2:$C$25,MATCH('Source Data'!A212,'Category Mapping'!$A$2:$A$25,0))</f>
        <v>Residential</v>
      </c>
      <c r="AG212" t="str">
        <f>INDEX('Category Mapping'!$D$2:$D$25,MATCH('Source Data'!A212,'Category Mapping'!$A$2:$A$25,0))</f>
        <v>Total</v>
      </c>
    </row>
    <row r="213" spans="1:33" x14ac:dyDescent="0.3">
      <c r="A213" s="16" t="s">
        <v>110</v>
      </c>
      <c r="B213" s="17">
        <v>2019</v>
      </c>
      <c r="C213" s="45">
        <v>3</v>
      </c>
      <c r="D213" s="17" t="s">
        <v>93</v>
      </c>
      <c r="E213" s="17">
        <v>7</v>
      </c>
      <c r="F213" s="31">
        <v>57200000</v>
      </c>
      <c r="G213" s="31">
        <v>45500000</v>
      </c>
      <c r="H213" s="31">
        <v>37300000</v>
      </c>
      <c r="I213" s="31">
        <v>31500000</v>
      </c>
      <c r="J213" s="31">
        <v>31700000</v>
      </c>
      <c r="K213" s="31">
        <v>33400000</v>
      </c>
      <c r="L213" s="31">
        <v>32900000</v>
      </c>
      <c r="M213" s="31">
        <v>39900000</v>
      </c>
      <c r="N213" s="31">
        <v>52600000</v>
      </c>
      <c r="O213" s="31">
        <v>68500000</v>
      </c>
      <c r="P213" s="31">
        <v>87700000</v>
      </c>
      <c r="Q213" s="31">
        <v>99500000</v>
      </c>
      <c r="R213" s="31">
        <v>96500000</v>
      </c>
      <c r="S213" s="31">
        <v>94300000</v>
      </c>
      <c r="T213" s="31">
        <v>99600000</v>
      </c>
      <c r="U213" s="31">
        <v>94500000</v>
      </c>
      <c r="V213" s="31">
        <v>89400000</v>
      </c>
      <c r="W213" s="31">
        <v>98400000</v>
      </c>
      <c r="X213" s="31">
        <v>134000000</v>
      </c>
      <c r="Y213" s="31">
        <v>138000000</v>
      </c>
      <c r="Z213" s="31">
        <v>138000000</v>
      </c>
      <c r="AA213" s="31">
        <v>126000000</v>
      </c>
      <c r="AB213" s="31">
        <v>100000000</v>
      </c>
      <c r="AC213" s="31">
        <v>75000000</v>
      </c>
      <c r="AD213" t="str">
        <f t="shared" si="3"/>
        <v>Summer</v>
      </c>
      <c r="AE213" t="str">
        <f>INDEX('Category Mapping'!$B$2:$B$25,MATCH('Source Data'!A213,'Category Mapping'!$A$2:$A$25,0))</f>
        <v>Weekend</v>
      </c>
      <c r="AF213" t="str">
        <f>INDEX('Category Mapping'!$C$2:$C$25,MATCH('Source Data'!A213,'Category Mapping'!$A$2:$A$25,0))</f>
        <v>Residential</v>
      </c>
      <c r="AG213" t="str">
        <f>INDEX('Category Mapping'!$D$2:$D$25,MATCH('Source Data'!A213,'Category Mapping'!$A$2:$A$25,0))</f>
        <v>Total</v>
      </c>
    </row>
    <row r="214" spans="1:33" x14ac:dyDescent="0.3">
      <c r="A214" s="18" t="s">
        <v>110</v>
      </c>
      <c r="B214" s="19">
        <v>2019</v>
      </c>
      <c r="C214" s="39">
        <v>3</v>
      </c>
      <c r="D214" s="19" t="s">
        <v>93</v>
      </c>
      <c r="E214" s="19">
        <v>8</v>
      </c>
      <c r="F214" s="30">
        <v>57200000</v>
      </c>
      <c r="G214" s="30">
        <v>45500000</v>
      </c>
      <c r="H214" s="30">
        <v>37300000</v>
      </c>
      <c r="I214" s="30">
        <v>31500000</v>
      </c>
      <c r="J214" s="30">
        <v>31700000</v>
      </c>
      <c r="K214" s="30">
        <v>33400000</v>
      </c>
      <c r="L214" s="30">
        <v>34500000</v>
      </c>
      <c r="M214" s="30">
        <v>39900000</v>
      </c>
      <c r="N214" s="30">
        <v>52700000</v>
      </c>
      <c r="O214" s="30">
        <v>68700000</v>
      </c>
      <c r="P214" s="30">
        <v>88000000</v>
      </c>
      <c r="Q214" s="30">
        <v>99800000</v>
      </c>
      <c r="R214" s="30">
        <v>96900000</v>
      </c>
      <c r="S214" s="30">
        <v>94700000</v>
      </c>
      <c r="T214" s="30">
        <v>100000000</v>
      </c>
      <c r="U214" s="30">
        <v>94900000</v>
      </c>
      <c r="V214" s="30">
        <v>89800000</v>
      </c>
      <c r="W214" s="30">
        <v>102000000</v>
      </c>
      <c r="X214" s="30">
        <v>135000000</v>
      </c>
      <c r="Y214" s="30">
        <v>139000000</v>
      </c>
      <c r="Z214" s="30">
        <v>139000000</v>
      </c>
      <c r="AA214" s="30">
        <v>127000000</v>
      </c>
      <c r="AB214" s="30">
        <v>100000000</v>
      </c>
      <c r="AC214" s="30">
        <v>75100000</v>
      </c>
      <c r="AD214" t="str">
        <f t="shared" si="3"/>
        <v>Summer</v>
      </c>
      <c r="AE214" t="str">
        <f>INDEX('Category Mapping'!$B$2:$B$25,MATCH('Source Data'!A214,'Category Mapping'!$A$2:$A$25,0))</f>
        <v>Weekend</v>
      </c>
      <c r="AF214" t="str">
        <f>INDEX('Category Mapping'!$C$2:$C$25,MATCH('Source Data'!A214,'Category Mapping'!$A$2:$A$25,0))</f>
        <v>Residential</v>
      </c>
      <c r="AG214" t="str">
        <f>INDEX('Category Mapping'!$D$2:$D$25,MATCH('Source Data'!A214,'Category Mapping'!$A$2:$A$25,0))</f>
        <v>Total</v>
      </c>
    </row>
    <row r="215" spans="1:33" x14ac:dyDescent="0.3">
      <c r="A215" s="16" t="s">
        <v>110</v>
      </c>
      <c r="B215" s="17">
        <v>2019</v>
      </c>
      <c r="C215" s="45">
        <v>3</v>
      </c>
      <c r="D215" s="17" t="s">
        <v>93</v>
      </c>
      <c r="E215" s="17">
        <v>9</v>
      </c>
      <c r="F215" s="31">
        <v>57000000</v>
      </c>
      <c r="G215" s="31">
        <v>45300000</v>
      </c>
      <c r="H215" s="31">
        <v>37100000</v>
      </c>
      <c r="I215" s="31">
        <v>31300000</v>
      </c>
      <c r="J215" s="31">
        <v>31400000</v>
      </c>
      <c r="K215" s="31">
        <v>33200000</v>
      </c>
      <c r="L215" s="31">
        <v>37900000</v>
      </c>
      <c r="M215" s="31">
        <v>39300000</v>
      </c>
      <c r="N215" s="31">
        <v>52100000</v>
      </c>
      <c r="O215" s="31">
        <v>68100000</v>
      </c>
      <c r="P215" s="31">
        <v>87300000</v>
      </c>
      <c r="Q215" s="31">
        <v>98900000</v>
      </c>
      <c r="R215" s="31">
        <v>95900000</v>
      </c>
      <c r="S215" s="31">
        <v>93700000</v>
      </c>
      <c r="T215" s="31">
        <v>98900000</v>
      </c>
      <c r="U215" s="31">
        <v>93900000</v>
      </c>
      <c r="V215" s="31">
        <v>88800000</v>
      </c>
      <c r="W215" s="31">
        <v>110000000</v>
      </c>
      <c r="X215" s="31">
        <v>135000000</v>
      </c>
      <c r="Y215" s="31">
        <v>139000000</v>
      </c>
      <c r="Z215" s="31">
        <v>139000000</v>
      </c>
      <c r="AA215" s="31">
        <v>127000000</v>
      </c>
      <c r="AB215" s="31">
        <v>100000000</v>
      </c>
      <c r="AC215" s="31">
        <v>74900000</v>
      </c>
      <c r="AD215" t="str">
        <f t="shared" si="3"/>
        <v>Fall</v>
      </c>
      <c r="AE215" t="str">
        <f>INDEX('Category Mapping'!$B$2:$B$25,MATCH('Source Data'!A215,'Category Mapping'!$A$2:$A$25,0))</f>
        <v>Weekend</v>
      </c>
      <c r="AF215" t="str">
        <f>INDEX('Category Mapping'!$C$2:$C$25,MATCH('Source Data'!A215,'Category Mapping'!$A$2:$A$25,0))</f>
        <v>Residential</v>
      </c>
      <c r="AG215" t="str">
        <f>INDEX('Category Mapping'!$D$2:$D$25,MATCH('Source Data'!A215,'Category Mapping'!$A$2:$A$25,0))</f>
        <v>Total</v>
      </c>
    </row>
    <row r="216" spans="1:33" x14ac:dyDescent="0.3">
      <c r="A216" s="18" t="s">
        <v>110</v>
      </c>
      <c r="B216" s="19">
        <v>2019</v>
      </c>
      <c r="C216" s="39">
        <v>3</v>
      </c>
      <c r="D216" s="19" t="s">
        <v>93</v>
      </c>
      <c r="E216" s="19">
        <v>10</v>
      </c>
      <c r="F216" s="30">
        <v>56300000</v>
      </c>
      <c r="G216" s="30">
        <v>44700000</v>
      </c>
      <c r="H216" s="30">
        <v>36400000</v>
      </c>
      <c r="I216" s="30">
        <v>30600000</v>
      </c>
      <c r="J216" s="30">
        <v>30700000</v>
      </c>
      <c r="K216" s="30">
        <v>32400000</v>
      </c>
      <c r="L216" s="30">
        <v>43300000</v>
      </c>
      <c r="M216" s="30">
        <v>39400000</v>
      </c>
      <c r="N216" s="30">
        <v>51100000</v>
      </c>
      <c r="O216" s="30">
        <v>67000000</v>
      </c>
      <c r="P216" s="30">
        <v>86300000</v>
      </c>
      <c r="Q216" s="30">
        <v>97800000</v>
      </c>
      <c r="R216" s="30">
        <v>94800000</v>
      </c>
      <c r="S216" s="30">
        <v>92500000</v>
      </c>
      <c r="T216" s="30">
        <v>97800000</v>
      </c>
      <c r="U216" s="30">
        <v>92700000</v>
      </c>
      <c r="V216" s="30">
        <v>89200000</v>
      </c>
      <c r="W216" s="30">
        <v>124000000</v>
      </c>
      <c r="X216" s="30">
        <v>134000000</v>
      </c>
      <c r="Y216" s="30">
        <v>138000000</v>
      </c>
      <c r="Z216" s="30">
        <v>138000000</v>
      </c>
      <c r="AA216" s="30">
        <v>126000000</v>
      </c>
      <c r="AB216" s="30">
        <v>99500000</v>
      </c>
      <c r="AC216" s="30">
        <v>74200000</v>
      </c>
      <c r="AD216" t="str">
        <f t="shared" si="3"/>
        <v>Fall</v>
      </c>
      <c r="AE216" t="str">
        <f>INDEX('Category Mapping'!$B$2:$B$25,MATCH('Source Data'!A216,'Category Mapping'!$A$2:$A$25,0))</f>
        <v>Weekend</v>
      </c>
      <c r="AF216" t="str">
        <f>INDEX('Category Mapping'!$C$2:$C$25,MATCH('Source Data'!A216,'Category Mapping'!$A$2:$A$25,0))</f>
        <v>Residential</v>
      </c>
      <c r="AG216" t="str">
        <f>INDEX('Category Mapping'!$D$2:$D$25,MATCH('Source Data'!A216,'Category Mapping'!$A$2:$A$25,0))</f>
        <v>Total</v>
      </c>
    </row>
    <row r="217" spans="1:33" x14ac:dyDescent="0.3">
      <c r="A217" s="16" t="s">
        <v>110</v>
      </c>
      <c r="B217" s="17">
        <v>2019</v>
      </c>
      <c r="C217" s="45">
        <v>3</v>
      </c>
      <c r="D217" s="17" t="s">
        <v>93</v>
      </c>
      <c r="E217" s="17">
        <v>11</v>
      </c>
      <c r="F217" s="31">
        <v>56000000</v>
      </c>
      <c r="G217" s="31">
        <v>44500000</v>
      </c>
      <c r="H217" s="31">
        <v>36200000</v>
      </c>
      <c r="I217" s="31">
        <v>30400000</v>
      </c>
      <c r="J217" s="31">
        <v>30400000</v>
      </c>
      <c r="K217" s="31">
        <v>32100000</v>
      </c>
      <c r="L217" s="31">
        <v>43100000</v>
      </c>
      <c r="M217" s="31">
        <v>40700000</v>
      </c>
      <c r="N217" s="31">
        <v>50300000</v>
      </c>
      <c r="O217" s="31">
        <v>66200000</v>
      </c>
      <c r="P217" s="31">
        <v>85200000</v>
      </c>
      <c r="Q217" s="31">
        <v>96700000</v>
      </c>
      <c r="R217" s="31">
        <v>93500000</v>
      </c>
      <c r="S217" s="31">
        <v>91200000</v>
      </c>
      <c r="T217" s="31">
        <v>96500000</v>
      </c>
      <c r="U217" s="31">
        <v>91400000</v>
      </c>
      <c r="V217" s="31">
        <v>90900000</v>
      </c>
      <c r="W217" s="31">
        <v>124000000</v>
      </c>
      <c r="X217" s="31">
        <v>134000000</v>
      </c>
      <c r="Y217" s="31">
        <v>138000000</v>
      </c>
      <c r="Z217" s="31">
        <v>138000000</v>
      </c>
      <c r="AA217" s="31">
        <v>127000000</v>
      </c>
      <c r="AB217" s="31">
        <v>99600000</v>
      </c>
      <c r="AC217" s="31">
        <v>74000000</v>
      </c>
      <c r="AD217" t="str">
        <f t="shared" si="3"/>
        <v>Winter</v>
      </c>
      <c r="AE217" t="str">
        <f>INDEX('Category Mapping'!$B$2:$B$25,MATCH('Source Data'!A217,'Category Mapping'!$A$2:$A$25,0))</f>
        <v>Weekend</v>
      </c>
      <c r="AF217" t="str">
        <f>INDEX('Category Mapping'!$C$2:$C$25,MATCH('Source Data'!A217,'Category Mapping'!$A$2:$A$25,0))</f>
        <v>Residential</v>
      </c>
      <c r="AG217" t="str">
        <f>INDEX('Category Mapping'!$D$2:$D$25,MATCH('Source Data'!A217,'Category Mapping'!$A$2:$A$25,0))</f>
        <v>Total</v>
      </c>
    </row>
    <row r="218" spans="1:33" x14ac:dyDescent="0.3">
      <c r="A218" s="18" t="s">
        <v>110</v>
      </c>
      <c r="B218" s="19">
        <v>2019</v>
      </c>
      <c r="C218" s="39">
        <v>3</v>
      </c>
      <c r="D218" s="19" t="s">
        <v>93</v>
      </c>
      <c r="E218" s="19">
        <v>12</v>
      </c>
      <c r="F218" s="30">
        <v>56100000</v>
      </c>
      <c r="G218" s="30">
        <v>44500000</v>
      </c>
      <c r="H218" s="30">
        <v>36300000</v>
      </c>
      <c r="I218" s="30">
        <v>30500000</v>
      </c>
      <c r="J218" s="30">
        <v>30500000</v>
      </c>
      <c r="K218" s="30">
        <v>32100000</v>
      </c>
      <c r="L218" s="30">
        <v>43300000</v>
      </c>
      <c r="M218" s="30">
        <v>42500000</v>
      </c>
      <c r="N218" s="30">
        <v>50100000</v>
      </c>
      <c r="O218" s="30">
        <v>65900000</v>
      </c>
      <c r="P218" s="30">
        <v>84800000</v>
      </c>
      <c r="Q218" s="30">
        <v>96200000</v>
      </c>
      <c r="R218" s="30">
        <v>92900000</v>
      </c>
      <c r="S218" s="30">
        <v>90600000</v>
      </c>
      <c r="T218" s="30">
        <v>95800000</v>
      </c>
      <c r="U218" s="30">
        <v>90800000</v>
      </c>
      <c r="V218" s="30">
        <v>93000000</v>
      </c>
      <c r="W218" s="30">
        <v>124000000</v>
      </c>
      <c r="X218" s="30">
        <v>134000000</v>
      </c>
      <c r="Y218" s="30">
        <v>139000000</v>
      </c>
      <c r="Z218" s="30">
        <v>139000000</v>
      </c>
      <c r="AA218" s="30">
        <v>127000000</v>
      </c>
      <c r="AB218" s="30">
        <v>100000000</v>
      </c>
      <c r="AC218" s="30">
        <v>74200000</v>
      </c>
      <c r="AD218" t="str">
        <f t="shared" si="3"/>
        <v>Winter</v>
      </c>
      <c r="AE218" t="str">
        <f>INDEX('Category Mapping'!$B$2:$B$25,MATCH('Source Data'!A218,'Category Mapping'!$A$2:$A$25,0))</f>
        <v>Weekend</v>
      </c>
      <c r="AF218" t="str">
        <f>INDEX('Category Mapping'!$C$2:$C$25,MATCH('Source Data'!A218,'Category Mapping'!$A$2:$A$25,0))</f>
        <v>Residential</v>
      </c>
      <c r="AG218" t="str">
        <f>INDEX('Category Mapping'!$D$2:$D$25,MATCH('Source Data'!A218,'Category Mapping'!$A$2:$A$25,0))</f>
        <v>Total</v>
      </c>
    </row>
    <row r="219" spans="1:33" x14ac:dyDescent="0.3">
      <c r="A219" s="16" t="s">
        <v>111</v>
      </c>
      <c r="B219" s="17">
        <v>2019</v>
      </c>
      <c r="C219" s="45">
        <v>3</v>
      </c>
      <c r="D219" s="17" t="s">
        <v>93</v>
      </c>
      <c r="E219" s="17">
        <v>1</v>
      </c>
      <c r="F219" s="31">
        <v>36100000</v>
      </c>
      <c r="G219" s="31">
        <v>35200000</v>
      </c>
      <c r="H219" s="31">
        <v>34600000</v>
      </c>
      <c r="I219" s="31">
        <v>36000000</v>
      </c>
      <c r="J219" s="31">
        <v>38000000</v>
      </c>
      <c r="K219" s="31">
        <v>43100000</v>
      </c>
      <c r="L219" s="31">
        <v>63300000</v>
      </c>
      <c r="M219" s="31">
        <v>90800000</v>
      </c>
      <c r="N219" s="31">
        <v>111000000</v>
      </c>
      <c r="O219" s="31">
        <v>113000000</v>
      </c>
      <c r="P219" s="31">
        <v>112000000</v>
      </c>
      <c r="Q219" s="31">
        <v>111000000</v>
      </c>
      <c r="R219" s="31">
        <v>109000000</v>
      </c>
      <c r="S219" s="31">
        <v>109000000</v>
      </c>
      <c r="T219" s="31">
        <v>109000000</v>
      </c>
      <c r="U219" s="31">
        <v>109000000</v>
      </c>
      <c r="V219" s="31">
        <v>105000000</v>
      </c>
      <c r="W219" s="31">
        <v>99000000</v>
      </c>
      <c r="X219" s="31">
        <v>94500000</v>
      </c>
      <c r="Y219" s="31">
        <v>81000000</v>
      </c>
      <c r="Z219" s="31">
        <v>69300000</v>
      </c>
      <c r="AA219" s="31">
        <v>58300000</v>
      </c>
      <c r="AB219" s="31">
        <v>50600000</v>
      </c>
      <c r="AC219" s="31">
        <v>41000000</v>
      </c>
      <c r="AD219" t="str">
        <f t="shared" si="3"/>
        <v>Winter</v>
      </c>
      <c r="AE219" t="str">
        <f>INDEX('Category Mapping'!$B$2:$B$25,MATCH('Source Data'!A219,'Category Mapping'!$A$2:$A$25,0))</f>
        <v>Weekday</v>
      </c>
      <c r="AF219" t="str">
        <f>INDEX('Category Mapping'!$C$2:$C$25,MATCH('Source Data'!A219,'Category Mapping'!$A$2:$A$25,0))</f>
        <v>Commercial</v>
      </c>
      <c r="AG219" t="str">
        <f>INDEX('Category Mapping'!$D$2:$D$25,MATCH('Source Data'!A219,'Category Mapping'!$A$2:$A$25,0))</f>
        <v>Total</v>
      </c>
    </row>
    <row r="220" spans="1:33" x14ac:dyDescent="0.3">
      <c r="A220" s="18" t="s">
        <v>111</v>
      </c>
      <c r="B220" s="19">
        <v>2019</v>
      </c>
      <c r="C220" s="39">
        <v>3</v>
      </c>
      <c r="D220" s="19" t="s">
        <v>93</v>
      </c>
      <c r="E220" s="19">
        <v>2</v>
      </c>
      <c r="F220" s="30">
        <v>34900000</v>
      </c>
      <c r="G220" s="30">
        <v>34100000</v>
      </c>
      <c r="H220" s="30">
        <v>33600000</v>
      </c>
      <c r="I220" s="30">
        <v>34900000</v>
      </c>
      <c r="J220" s="30">
        <v>36800000</v>
      </c>
      <c r="K220" s="30">
        <v>41900000</v>
      </c>
      <c r="L220" s="30">
        <v>61600000</v>
      </c>
      <c r="M220" s="30">
        <v>86700000</v>
      </c>
      <c r="N220" s="30">
        <v>107000000</v>
      </c>
      <c r="O220" s="30">
        <v>110000000</v>
      </c>
      <c r="P220" s="30">
        <v>110000000</v>
      </c>
      <c r="Q220" s="30">
        <v>110000000</v>
      </c>
      <c r="R220" s="30">
        <v>108000000</v>
      </c>
      <c r="S220" s="30">
        <v>108000000</v>
      </c>
      <c r="T220" s="30">
        <v>108000000</v>
      </c>
      <c r="U220" s="30">
        <v>108000000</v>
      </c>
      <c r="V220" s="30">
        <v>105000000</v>
      </c>
      <c r="W220" s="30">
        <v>98300000</v>
      </c>
      <c r="X220" s="30">
        <v>93200000</v>
      </c>
      <c r="Y220" s="30">
        <v>79200000</v>
      </c>
      <c r="Z220" s="30">
        <v>67200000</v>
      </c>
      <c r="AA220" s="30">
        <v>56000000</v>
      </c>
      <c r="AB220" s="30">
        <v>48100000</v>
      </c>
      <c r="AC220" s="30">
        <v>40200000</v>
      </c>
      <c r="AD220" t="str">
        <f t="shared" si="3"/>
        <v>Winter</v>
      </c>
      <c r="AE220" t="str">
        <f>INDEX('Category Mapping'!$B$2:$B$25,MATCH('Source Data'!A220,'Category Mapping'!$A$2:$A$25,0))</f>
        <v>Weekday</v>
      </c>
      <c r="AF220" t="str">
        <f>INDEX('Category Mapping'!$C$2:$C$25,MATCH('Source Data'!A220,'Category Mapping'!$A$2:$A$25,0))</f>
        <v>Commercial</v>
      </c>
      <c r="AG220" t="str">
        <f>INDEX('Category Mapping'!$D$2:$D$25,MATCH('Source Data'!A220,'Category Mapping'!$A$2:$A$25,0))</f>
        <v>Total</v>
      </c>
    </row>
    <row r="221" spans="1:33" x14ac:dyDescent="0.3">
      <c r="A221" s="16" t="s">
        <v>111</v>
      </c>
      <c r="B221" s="17">
        <v>2019</v>
      </c>
      <c r="C221" s="45">
        <v>3</v>
      </c>
      <c r="D221" s="17" t="s">
        <v>93</v>
      </c>
      <c r="E221" s="17">
        <v>3</v>
      </c>
      <c r="F221" s="31">
        <v>36200000</v>
      </c>
      <c r="G221" s="31">
        <v>35300000</v>
      </c>
      <c r="H221" s="31">
        <v>35000000</v>
      </c>
      <c r="I221" s="31">
        <v>36200000</v>
      </c>
      <c r="J221" s="31">
        <v>38000000</v>
      </c>
      <c r="K221" s="31">
        <v>43900000</v>
      </c>
      <c r="L221" s="31">
        <v>64200000</v>
      </c>
      <c r="M221" s="31">
        <v>87100000</v>
      </c>
      <c r="N221" s="31">
        <v>107000000</v>
      </c>
      <c r="O221" s="31">
        <v>113000000</v>
      </c>
      <c r="P221" s="31">
        <v>114000000</v>
      </c>
      <c r="Q221" s="31">
        <v>115000000</v>
      </c>
      <c r="R221" s="31">
        <v>114000000</v>
      </c>
      <c r="S221" s="31">
        <v>114000000</v>
      </c>
      <c r="T221" s="31">
        <v>115000000</v>
      </c>
      <c r="U221" s="31">
        <v>115000000</v>
      </c>
      <c r="V221" s="31">
        <v>111000000</v>
      </c>
      <c r="W221" s="31">
        <v>104000000</v>
      </c>
      <c r="X221" s="31">
        <v>97700000</v>
      </c>
      <c r="Y221" s="31">
        <v>82500000</v>
      </c>
      <c r="Z221" s="31">
        <v>69700000</v>
      </c>
      <c r="AA221" s="31">
        <v>57000000</v>
      </c>
      <c r="AB221" s="31">
        <v>48300000</v>
      </c>
      <c r="AC221" s="31">
        <v>42300000</v>
      </c>
      <c r="AD221" t="str">
        <f t="shared" si="3"/>
        <v>Spring</v>
      </c>
      <c r="AE221" t="str">
        <f>INDEX('Category Mapping'!$B$2:$B$25,MATCH('Source Data'!A221,'Category Mapping'!$A$2:$A$25,0))</f>
        <v>Weekday</v>
      </c>
      <c r="AF221" t="str">
        <f>INDEX('Category Mapping'!$C$2:$C$25,MATCH('Source Data'!A221,'Category Mapping'!$A$2:$A$25,0))</f>
        <v>Commercial</v>
      </c>
      <c r="AG221" t="str">
        <f>INDEX('Category Mapping'!$D$2:$D$25,MATCH('Source Data'!A221,'Category Mapping'!$A$2:$A$25,0))</f>
        <v>Total</v>
      </c>
    </row>
    <row r="222" spans="1:33" x14ac:dyDescent="0.3">
      <c r="A222" s="18" t="s">
        <v>111</v>
      </c>
      <c r="B222" s="19">
        <v>2019</v>
      </c>
      <c r="C222" s="39">
        <v>3</v>
      </c>
      <c r="D222" s="19" t="s">
        <v>93</v>
      </c>
      <c r="E222" s="19">
        <v>4</v>
      </c>
      <c r="F222" s="30">
        <v>39500000</v>
      </c>
      <c r="G222" s="30">
        <v>38400000</v>
      </c>
      <c r="H222" s="30">
        <v>38000000</v>
      </c>
      <c r="I222" s="30">
        <v>39200000</v>
      </c>
      <c r="J222" s="30">
        <v>41100000</v>
      </c>
      <c r="K222" s="30">
        <v>47100000</v>
      </c>
      <c r="L222" s="30">
        <v>67500000</v>
      </c>
      <c r="M222" s="30">
        <v>89600000</v>
      </c>
      <c r="N222" s="30">
        <v>111000000</v>
      </c>
      <c r="O222" s="30">
        <v>120000000</v>
      </c>
      <c r="P222" s="30">
        <v>123000000</v>
      </c>
      <c r="Q222" s="30">
        <v>125000000</v>
      </c>
      <c r="R222" s="30">
        <v>125000000</v>
      </c>
      <c r="S222" s="30">
        <v>126000000</v>
      </c>
      <c r="T222" s="30">
        <v>127000000</v>
      </c>
      <c r="U222" s="30">
        <v>127000000</v>
      </c>
      <c r="V222" s="30">
        <v>122000000</v>
      </c>
      <c r="W222" s="30">
        <v>115000000</v>
      </c>
      <c r="X222" s="30">
        <v>107000000</v>
      </c>
      <c r="Y222" s="30">
        <v>90200000</v>
      </c>
      <c r="Z222" s="30">
        <v>75800000</v>
      </c>
      <c r="AA222" s="30">
        <v>62100000</v>
      </c>
      <c r="AB222" s="30">
        <v>52700000</v>
      </c>
      <c r="AC222" s="30">
        <v>46100000</v>
      </c>
      <c r="AD222" t="str">
        <f t="shared" si="3"/>
        <v>Spring</v>
      </c>
      <c r="AE222" t="str">
        <f>INDEX('Category Mapping'!$B$2:$B$25,MATCH('Source Data'!A222,'Category Mapping'!$A$2:$A$25,0))</f>
        <v>Weekday</v>
      </c>
      <c r="AF222" t="str">
        <f>INDEX('Category Mapping'!$C$2:$C$25,MATCH('Source Data'!A222,'Category Mapping'!$A$2:$A$25,0))</f>
        <v>Commercial</v>
      </c>
      <c r="AG222" t="str">
        <f>INDEX('Category Mapping'!$D$2:$D$25,MATCH('Source Data'!A222,'Category Mapping'!$A$2:$A$25,0))</f>
        <v>Total</v>
      </c>
    </row>
    <row r="223" spans="1:33" x14ac:dyDescent="0.3">
      <c r="A223" s="16" t="s">
        <v>111</v>
      </c>
      <c r="B223" s="17">
        <v>2019</v>
      </c>
      <c r="C223" s="45">
        <v>3</v>
      </c>
      <c r="D223" s="17" t="s">
        <v>93</v>
      </c>
      <c r="E223" s="17">
        <v>5</v>
      </c>
      <c r="F223" s="31">
        <v>41700000</v>
      </c>
      <c r="G223" s="31">
        <v>40500000</v>
      </c>
      <c r="H223" s="31">
        <v>40000000</v>
      </c>
      <c r="I223" s="31">
        <v>41200000</v>
      </c>
      <c r="J223" s="31">
        <v>43200000</v>
      </c>
      <c r="K223" s="31">
        <v>49300000</v>
      </c>
      <c r="L223" s="31">
        <v>70500000</v>
      </c>
      <c r="M223" s="31">
        <v>93100000</v>
      </c>
      <c r="N223" s="31">
        <v>116000000</v>
      </c>
      <c r="O223" s="31">
        <v>125000000</v>
      </c>
      <c r="P223" s="31">
        <v>128000000</v>
      </c>
      <c r="Q223" s="31">
        <v>130000000</v>
      </c>
      <c r="R223" s="31">
        <v>130000000</v>
      </c>
      <c r="S223" s="31">
        <v>131000000</v>
      </c>
      <c r="T223" s="31">
        <v>132000000</v>
      </c>
      <c r="U223" s="31">
        <v>132000000</v>
      </c>
      <c r="V223" s="31">
        <v>127000000</v>
      </c>
      <c r="W223" s="31">
        <v>119000000</v>
      </c>
      <c r="X223" s="31">
        <v>112000000</v>
      </c>
      <c r="Y223" s="31">
        <v>94800000</v>
      </c>
      <c r="Z223" s="31">
        <v>80100000</v>
      </c>
      <c r="AA223" s="31">
        <v>66100000</v>
      </c>
      <c r="AB223" s="31">
        <v>56000000</v>
      </c>
      <c r="AC223" s="31">
        <v>48900000</v>
      </c>
      <c r="AD223" t="str">
        <f t="shared" si="3"/>
        <v>Spring</v>
      </c>
      <c r="AE223" t="str">
        <f>INDEX('Category Mapping'!$B$2:$B$25,MATCH('Source Data'!A223,'Category Mapping'!$A$2:$A$25,0))</f>
        <v>Weekday</v>
      </c>
      <c r="AF223" t="str">
        <f>INDEX('Category Mapping'!$C$2:$C$25,MATCH('Source Data'!A223,'Category Mapping'!$A$2:$A$25,0))</f>
        <v>Commercial</v>
      </c>
      <c r="AG223" t="str">
        <f>INDEX('Category Mapping'!$D$2:$D$25,MATCH('Source Data'!A223,'Category Mapping'!$A$2:$A$25,0))</f>
        <v>Total</v>
      </c>
    </row>
    <row r="224" spans="1:33" x14ac:dyDescent="0.3">
      <c r="A224" s="18" t="s">
        <v>111</v>
      </c>
      <c r="B224" s="19">
        <v>2019</v>
      </c>
      <c r="C224" s="39">
        <v>3</v>
      </c>
      <c r="D224" s="19" t="s">
        <v>93</v>
      </c>
      <c r="E224" s="19">
        <v>6</v>
      </c>
      <c r="F224" s="30">
        <v>42400000</v>
      </c>
      <c r="G224" s="30">
        <v>41100000</v>
      </c>
      <c r="H224" s="30">
        <v>40700000</v>
      </c>
      <c r="I224" s="30">
        <v>41900000</v>
      </c>
      <c r="J224" s="30">
        <v>43900000</v>
      </c>
      <c r="K224" s="30">
        <v>50100000</v>
      </c>
      <c r="L224" s="30">
        <v>70300000</v>
      </c>
      <c r="M224" s="30">
        <v>92900000</v>
      </c>
      <c r="N224" s="30">
        <v>115000000</v>
      </c>
      <c r="O224" s="30">
        <v>124000000</v>
      </c>
      <c r="P224" s="30">
        <v>127000000</v>
      </c>
      <c r="Q224" s="30">
        <v>129000000</v>
      </c>
      <c r="R224" s="30">
        <v>128000000</v>
      </c>
      <c r="S224" s="30">
        <v>130000000</v>
      </c>
      <c r="T224" s="30">
        <v>131000000</v>
      </c>
      <c r="U224" s="30">
        <v>130000000</v>
      </c>
      <c r="V224" s="30">
        <v>126000000</v>
      </c>
      <c r="W224" s="30">
        <v>118000000</v>
      </c>
      <c r="X224" s="30">
        <v>111000000</v>
      </c>
      <c r="Y224" s="30">
        <v>94400000</v>
      </c>
      <c r="Z224" s="30">
        <v>80000000</v>
      </c>
      <c r="AA224" s="30">
        <v>66400000</v>
      </c>
      <c r="AB224" s="30">
        <v>56600000</v>
      </c>
      <c r="AC224" s="30">
        <v>49600000</v>
      </c>
      <c r="AD224" t="str">
        <f t="shared" si="3"/>
        <v>Summer</v>
      </c>
      <c r="AE224" t="str">
        <f>INDEX('Category Mapping'!$B$2:$B$25,MATCH('Source Data'!A224,'Category Mapping'!$A$2:$A$25,0))</f>
        <v>Weekday</v>
      </c>
      <c r="AF224" t="str">
        <f>INDEX('Category Mapping'!$C$2:$C$25,MATCH('Source Data'!A224,'Category Mapping'!$A$2:$A$25,0))</f>
        <v>Commercial</v>
      </c>
      <c r="AG224" t="str">
        <f>INDEX('Category Mapping'!$D$2:$D$25,MATCH('Source Data'!A224,'Category Mapping'!$A$2:$A$25,0))</f>
        <v>Total</v>
      </c>
    </row>
    <row r="225" spans="1:33" x14ac:dyDescent="0.3">
      <c r="A225" s="16" t="s">
        <v>111</v>
      </c>
      <c r="B225" s="17">
        <v>2019</v>
      </c>
      <c r="C225" s="45">
        <v>3</v>
      </c>
      <c r="D225" s="17" t="s">
        <v>93</v>
      </c>
      <c r="E225" s="17">
        <v>7</v>
      </c>
      <c r="F225" s="31">
        <v>43500000</v>
      </c>
      <c r="G225" s="31">
        <v>42300000</v>
      </c>
      <c r="H225" s="31">
        <v>41800000</v>
      </c>
      <c r="I225" s="31">
        <v>43100000</v>
      </c>
      <c r="J225" s="31">
        <v>45000000</v>
      </c>
      <c r="K225" s="31">
        <v>51500000</v>
      </c>
      <c r="L225" s="31">
        <v>70800000</v>
      </c>
      <c r="M225" s="31">
        <v>93900000</v>
      </c>
      <c r="N225" s="31">
        <v>116000000</v>
      </c>
      <c r="O225" s="31">
        <v>125000000</v>
      </c>
      <c r="P225" s="31">
        <v>127000000</v>
      </c>
      <c r="Q225" s="31">
        <v>129000000</v>
      </c>
      <c r="R225" s="31">
        <v>128000000</v>
      </c>
      <c r="S225" s="31">
        <v>129000000</v>
      </c>
      <c r="T225" s="31">
        <v>130000000</v>
      </c>
      <c r="U225" s="31">
        <v>130000000</v>
      </c>
      <c r="V225" s="31">
        <v>126000000</v>
      </c>
      <c r="W225" s="31">
        <v>118000000</v>
      </c>
      <c r="X225" s="31">
        <v>111000000</v>
      </c>
      <c r="Y225" s="31">
        <v>94400000</v>
      </c>
      <c r="Z225" s="31">
        <v>80400000</v>
      </c>
      <c r="AA225" s="31">
        <v>67100000</v>
      </c>
      <c r="AB225" s="31">
        <v>57500000</v>
      </c>
      <c r="AC225" s="31">
        <v>50500000</v>
      </c>
      <c r="AD225" t="str">
        <f t="shared" si="3"/>
        <v>Summer</v>
      </c>
      <c r="AE225" t="str">
        <f>INDEX('Category Mapping'!$B$2:$B$25,MATCH('Source Data'!A225,'Category Mapping'!$A$2:$A$25,0))</f>
        <v>Weekday</v>
      </c>
      <c r="AF225" t="str">
        <f>INDEX('Category Mapping'!$C$2:$C$25,MATCH('Source Data'!A225,'Category Mapping'!$A$2:$A$25,0))</f>
        <v>Commercial</v>
      </c>
      <c r="AG225" t="str">
        <f>INDEX('Category Mapping'!$D$2:$D$25,MATCH('Source Data'!A225,'Category Mapping'!$A$2:$A$25,0))</f>
        <v>Total</v>
      </c>
    </row>
    <row r="226" spans="1:33" x14ac:dyDescent="0.3">
      <c r="A226" s="18" t="s">
        <v>111</v>
      </c>
      <c r="B226" s="19">
        <v>2019</v>
      </c>
      <c r="C226" s="39">
        <v>3</v>
      </c>
      <c r="D226" s="19" t="s">
        <v>93</v>
      </c>
      <c r="E226" s="19">
        <v>8</v>
      </c>
      <c r="F226" s="30">
        <v>43100000</v>
      </c>
      <c r="G226" s="30">
        <v>41900000</v>
      </c>
      <c r="H226" s="30">
        <v>41500000</v>
      </c>
      <c r="I226" s="30">
        <v>42800000</v>
      </c>
      <c r="J226" s="30">
        <v>44700000</v>
      </c>
      <c r="K226" s="30">
        <v>51100000</v>
      </c>
      <c r="L226" s="30">
        <v>70700000</v>
      </c>
      <c r="M226" s="30">
        <v>94000000</v>
      </c>
      <c r="N226" s="30">
        <v>116000000</v>
      </c>
      <c r="O226" s="30">
        <v>124000000</v>
      </c>
      <c r="P226" s="30">
        <v>127000000</v>
      </c>
      <c r="Q226" s="30">
        <v>129000000</v>
      </c>
      <c r="R226" s="30">
        <v>128000000</v>
      </c>
      <c r="S226" s="30">
        <v>129000000</v>
      </c>
      <c r="T226" s="30">
        <v>130000000</v>
      </c>
      <c r="U226" s="30">
        <v>130000000</v>
      </c>
      <c r="V226" s="30">
        <v>126000000</v>
      </c>
      <c r="W226" s="30">
        <v>118000000</v>
      </c>
      <c r="X226" s="30">
        <v>111000000</v>
      </c>
      <c r="Y226" s="30">
        <v>94200000</v>
      </c>
      <c r="Z226" s="30">
        <v>80100000</v>
      </c>
      <c r="AA226" s="30">
        <v>66700000</v>
      </c>
      <c r="AB226" s="30">
        <v>57100000</v>
      </c>
      <c r="AC226" s="30">
        <v>50200000</v>
      </c>
      <c r="AD226" t="str">
        <f t="shared" si="3"/>
        <v>Summer</v>
      </c>
      <c r="AE226" t="str">
        <f>INDEX('Category Mapping'!$B$2:$B$25,MATCH('Source Data'!A226,'Category Mapping'!$A$2:$A$25,0))</f>
        <v>Weekday</v>
      </c>
      <c r="AF226" t="str">
        <f>INDEX('Category Mapping'!$C$2:$C$25,MATCH('Source Data'!A226,'Category Mapping'!$A$2:$A$25,0))</f>
        <v>Commercial</v>
      </c>
      <c r="AG226" t="str">
        <f>INDEX('Category Mapping'!$D$2:$D$25,MATCH('Source Data'!A226,'Category Mapping'!$A$2:$A$25,0))</f>
        <v>Total</v>
      </c>
    </row>
    <row r="227" spans="1:33" x14ac:dyDescent="0.3">
      <c r="A227" s="16" t="s">
        <v>111</v>
      </c>
      <c r="B227" s="17">
        <v>2019</v>
      </c>
      <c r="C227" s="45">
        <v>3</v>
      </c>
      <c r="D227" s="17" t="s">
        <v>93</v>
      </c>
      <c r="E227" s="17">
        <v>9</v>
      </c>
      <c r="F227" s="31">
        <v>41400000</v>
      </c>
      <c r="G227" s="31">
        <v>40300000</v>
      </c>
      <c r="H227" s="31">
        <v>40000000</v>
      </c>
      <c r="I227" s="31">
        <v>41200000</v>
      </c>
      <c r="J227" s="31">
        <v>43000000</v>
      </c>
      <c r="K227" s="31">
        <v>49700000</v>
      </c>
      <c r="L227" s="31">
        <v>69000000</v>
      </c>
      <c r="M227" s="31">
        <v>91000000</v>
      </c>
      <c r="N227" s="31">
        <v>112000000</v>
      </c>
      <c r="O227" s="31">
        <v>120000000</v>
      </c>
      <c r="P227" s="31">
        <v>122000000</v>
      </c>
      <c r="Q227" s="31">
        <v>124000000</v>
      </c>
      <c r="R227" s="31">
        <v>123000000</v>
      </c>
      <c r="S227" s="31">
        <v>124000000</v>
      </c>
      <c r="T227" s="31">
        <v>124000000</v>
      </c>
      <c r="U227" s="31">
        <v>124000000</v>
      </c>
      <c r="V227" s="31">
        <v>120000000</v>
      </c>
      <c r="W227" s="31">
        <v>113000000</v>
      </c>
      <c r="X227" s="31">
        <v>106000000</v>
      </c>
      <c r="Y227" s="31">
        <v>90000000</v>
      </c>
      <c r="Z227" s="31">
        <v>76300000</v>
      </c>
      <c r="AA227" s="31">
        <v>63200000</v>
      </c>
      <c r="AB227" s="31">
        <v>54200000</v>
      </c>
      <c r="AC227" s="31">
        <v>47700000</v>
      </c>
      <c r="AD227" t="str">
        <f t="shared" si="3"/>
        <v>Fall</v>
      </c>
      <c r="AE227" t="str">
        <f>INDEX('Category Mapping'!$B$2:$B$25,MATCH('Source Data'!A227,'Category Mapping'!$A$2:$A$25,0))</f>
        <v>Weekday</v>
      </c>
      <c r="AF227" t="str">
        <f>INDEX('Category Mapping'!$C$2:$C$25,MATCH('Source Data'!A227,'Category Mapping'!$A$2:$A$25,0))</f>
        <v>Commercial</v>
      </c>
      <c r="AG227" t="str">
        <f>INDEX('Category Mapping'!$D$2:$D$25,MATCH('Source Data'!A227,'Category Mapping'!$A$2:$A$25,0))</f>
        <v>Total</v>
      </c>
    </row>
    <row r="228" spans="1:33" x14ac:dyDescent="0.3">
      <c r="A228" s="18" t="s">
        <v>111</v>
      </c>
      <c r="B228" s="19">
        <v>2019</v>
      </c>
      <c r="C228" s="39">
        <v>3</v>
      </c>
      <c r="D228" s="19" t="s">
        <v>93</v>
      </c>
      <c r="E228" s="19">
        <v>10</v>
      </c>
      <c r="F228" s="30">
        <v>38900000</v>
      </c>
      <c r="G228" s="30">
        <v>37800000</v>
      </c>
      <c r="H228" s="30">
        <v>37500000</v>
      </c>
      <c r="I228" s="30">
        <v>38700000</v>
      </c>
      <c r="J228" s="30">
        <v>40500000</v>
      </c>
      <c r="K228" s="30">
        <v>47300000</v>
      </c>
      <c r="L228" s="30">
        <v>68800000</v>
      </c>
      <c r="M228" s="30">
        <v>89900000</v>
      </c>
      <c r="N228" s="30">
        <v>109000000</v>
      </c>
      <c r="O228" s="30">
        <v>116000000</v>
      </c>
      <c r="P228" s="30">
        <v>117000000</v>
      </c>
      <c r="Q228" s="30">
        <v>118000000</v>
      </c>
      <c r="R228" s="30">
        <v>117000000</v>
      </c>
      <c r="S228" s="30">
        <v>118000000</v>
      </c>
      <c r="T228" s="30">
        <v>119000000</v>
      </c>
      <c r="U228" s="30">
        <v>118000000</v>
      </c>
      <c r="V228" s="30">
        <v>114000000</v>
      </c>
      <c r="W228" s="30">
        <v>107000000</v>
      </c>
      <c r="X228" s="30">
        <v>101000000</v>
      </c>
      <c r="Y228" s="30">
        <v>85900000</v>
      </c>
      <c r="Z228" s="30">
        <v>73000000</v>
      </c>
      <c r="AA228" s="30">
        <v>59700000</v>
      </c>
      <c r="AB228" s="30">
        <v>50800000</v>
      </c>
      <c r="AC228" s="30">
        <v>44800000</v>
      </c>
      <c r="AD228" t="str">
        <f t="shared" si="3"/>
        <v>Fall</v>
      </c>
      <c r="AE228" t="str">
        <f>INDEX('Category Mapping'!$B$2:$B$25,MATCH('Source Data'!A228,'Category Mapping'!$A$2:$A$25,0))</f>
        <v>Weekday</v>
      </c>
      <c r="AF228" t="str">
        <f>INDEX('Category Mapping'!$C$2:$C$25,MATCH('Source Data'!A228,'Category Mapping'!$A$2:$A$25,0))</f>
        <v>Commercial</v>
      </c>
      <c r="AG228" t="str">
        <f>INDEX('Category Mapping'!$D$2:$D$25,MATCH('Source Data'!A228,'Category Mapping'!$A$2:$A$25,0))</f>
        <v>Total</v>
      </c>
    </row>
    <row r="229" spans="1:33" x14ac:dyDescent="0.3">
      <c r="A229" s="16" t="s">
        <v>111</v>
      </c>
      <c r="B229" s="17">
        <v>2019</v>
      </c>
      <c r="C229" s="45">
        <v>3</v>
      </c>
      <c r="D229" s="17" t="s">
        <v>93</v>
      </c>
      <c r="E229" s="17">
        <v>11</v>
      </c>
      <c r="F229" s="31">
        <v>36500000</v>
      </c>
      <c r="G229" s="31">
        <v>35600000</v>
      </c>
      <c r="H229" s="31">
        <v>35000000</v>
      </c>
      <c r="I229" s="31">
        <v>36300000</v>
      </c>
      <c r="J229" s="31">
        <v>38100000</v>
      </c>
      <c r="K229" s="31">
        <v>43500000</v>
      </c>
      <c r="L229" s="31">
        <v>62000000</v>
      </c>
      <c r="M229" s="31">
        <v>89600000</v>
      </c>
      <c r="N229" s="31">
        <v>108000000</v>
      </c>
      <c r="O229" s="31">
        <v>112000000</v>
      </c>
      <c r="P229" s="31">
        <v>112000000</v>
      </c>
      <c r="Q229" s="31">
        <v>112000000</v>
      </c>
      <c r="R229" s="31">
        <v>111000000</v>
      </c>
      <c r="S229" s="31">
        <v>111000000</v>
      </c>
      <c r="T229" s="31">
        <v>111000000</v>
      </c>
      <c r="U229" s="31">
        <v>111000000</v>
      </c>
      <c r="V229" s="31">
        <v>108000000</v>
      </c>
      <c r="W229" s="31">
        <v>101000000</v>
      </c>
      <c r="X229" s="31">
        <v>95900000</v>
      </c>
      <c r="Y229" s="31">
        <v>81600000</v>
      </c>
      <c r="Z229" s="31">
        <v>69400000</v>
      </c>
      <c r="AA229" s="31">
        <v>57800000</v>
      </c>
      <c r="AB229" s="31">
        <v>49600000</v>
      </c>
      <c r="AC229" s="31">
        <v>42200000</v>
      </c>
      <c r="AD229" t="str">
        <f t="shared" si="3"/>
        <v>Winter</v>
      </c>
      <c r="AE229" t="str">
        <f>INDEX('Category Mapping'!$B$2:$B$25,MATCH('Source Data'!A229,'Category Mapping'!$A$2:$A$25,0))</f>
        <v>Weekday</v>
      </c>
      <c r="AF229" t="str">
        <f>INDEX('Category Mapping'!$C$2:$C$25,MATCH('Source Data'!A229,'Category Mapping'!$A$2:$A$25,0))</f>
        <v>Commercial</v>
      </c>
      <c r="AG229" t="str">
        <f>INDEX('Category Mapping'!$D$2:$D$25,MATCH('Source Data'!A229,'Category Mapping'!$A$2:$A$25,0))</f>
        <v>Total</v>
      </c>
    </row>
    <row r="230" spans="1:33" x14ac:dyDescent="0.3">
      <c r="A230" s="18" t="s">
        <v>111</v>
      </c>
      <c r="B230" s="19">
        <v>2019</v>
      </c>
      <c r="C230" s="39">
        <v>3</v>
      </c>
      <c r="D230" s="19" t="s">
        <v>93</v>
      </c>
      <c r="E230" s="19">
        <v>12</v>
      </c>
      <c r="F230" s="30">
        <v>36200000</v>
      </c>
      <c r="G230" s="30">
        <v>35300000</v>
      </c>
      <c r="H230" s="30">
        <v>34700000</v>
      </c>
      <c r="I230" s="30">
        <v>36000000</v>
      </c>
      <c r="J230" s="30">
        <v>37900000</v>
      </c>
      <c r="K230" s="30">
        <v>43000000</v>
      </c>
      <c r="L230" s="30">
        <v>61800000</v>
      </c>
      <c r="M230" s="30">
        <v>90600000</v>
      </c>
      <c r="N230" s="30">
        <v>110000000</v>
      </c>
      <c r="O230" s="30">
        <v>113000000</v>
      </c>
      <c r="P230" s="30">
        <v>112000000</v>
      </c>
      <c r="Q230" s="30">
        <v>111000000</v>
      </c>
      <c r="R230" s="30">
        <v>109000000</v>
      </c>
      <c r="S230" s="30">
        <v>110000000</v>
      </c>
      <c r="T230" s="30">
        <v>109000000</v>
      </c>
      <c r="U230" s="30">
        <v>109000000</v>
      </c>
      <c r="V230" s="30">
        <v>106000000</v>
      </c>
      <c r="W230" s="30">
        <v>99600000</v>
      </c>
      <c r="X230" s="30">
        <v>95000000</v>
      </c>
      <c r="Y230" s="30">
        <v>81300000</v>
      </c>
      <c r="Z230" s="30">
        <v>69400000</v>
      </c>
      <c r="AA230" s="30">
        <v>58400000</v>
      </c>
      <c r="AB230" s="30">
        <v>50500000</v>
      </c>
      <c r="AC230" s="30">
        <v>41400000</v>
      </c>
      <c r="AD230" t="str">
        <f t="shared" si="3"/>
        <v>Winter</v>
      </c>
      <c r="AE230" t="str">
        <f>INDEX('Category Mapping'!$B$2:$B$25,MATCH('Source Data'!A230,'Category Mapping'!$A$2:$A$25,0))</f>
        <v>Weekday</v>
      </c>
      <c r="AF230" t="str">
        <f>INDEX('Category Mapping'!$C$2:$C$25,MATCH('Source Data'!A230,'Category Mapping'!$A$2:$A$25,0))</f>
        <v>Commercial</v>
      </c>
      <c r="AG230" t="str">
        <f>INDEX('Category Mapping'!$D$2:$D$25,MATCH('Source Data'!A230,'Category Mapping'!$A$2:$A$25,0))</f>
        <v>Total</v>
      </c>
    </row>
    <row r="231" spans="1:33" x14ac:dyDescent="0.3">
      <c r="A231" s="16" t="s">
        <v>112</v>
      </c>
      <c r="B231" s="17">
        <v>2019</v>
      </c>
      <c r="C231" s="45">
        <v>3</v>
      </c>
      <c r="D231" s="17" t="s">
        <v>93</v>
      </c>
      <c r="E231" s="17">
        <v>1</v>
      </c>
      <c r="F231" s="31">
        <v>17500000</v>
      </c>
      <c r="G231" s="31">
        <v>15600000</v>
      </c>
      <c r="H231" s="31">
        <v>15300000</v>
      </c>
      <c r="I231" s="31">
        <v>15500000</v>
      </c>
      <c r="J231" s="31">
        <v>15700000</v>
      </c>
      <c r="K231" s="31">
        <v>16600000</v>
      </c>
      <c r="L231" s="31">
        <v>18500000</v>
      </c>
      <c r="M231" s="31">
        <v>24200000</v>
      </c>
      <c r="N231" s="31">
        <v>27700000</v>
      </c>
      <c r="O231" s="31">
        <v>29300000</v>
      </c>
      <c r="P231" s="31">
        <v>28900000</v>
      </c>
      <c r="Q231" s="31">
        <v>29000000</v>
      </c>
      <c r="R231" s="31">
        <v>29100000</v>
      </c>
      <c r="S231" s="31">
        <v>28200000</v>
      </c>
      <c r="T231" s="31">
        <v>27100000</v>
      </c>
      <c r="U231" s="31">
        <v>25500000</v>
      </c>
      <c r="V231" s="31">
        <v>24400000</v>
      </c>
      <c r="W231" s="31">
        <v>24500000</v>
      </c>
      <c r="X231" s="31">
        <v>24300000</v>
      </c>
      <c r="Y231" s="31">
        <v>22600000</v>
      </c>
      <c r="Z231" s="31">
        <v>21500000</v>
      </c>
      <c r="AA231" s="31">
        <v>20200000</v>
      </c>
      <c r="AB231" s="31">
        <v>19200000</v>
      </c>
      <c r="AC231" s="31">
        <v>17500000</v>
      </c>
      <c r="AD231" t="str">
        <f t="shared" si="3"/>
        <v>Winter</v>
      </c>
      <c r="AE231" t="str">
        <f>INDEX('Category Mapping'!$B$2:$B$25,MATCH('Source Data'!A231,'Category Mapping'!$A$2:$A$25,0))</f>
        <v>Weekend</v>
      </c>
      <c r="AF231" t="str">
        <f>INDEX('Category Mapping'!$C$2:$C$25,MATCH('Source Data'!A231,'Category Mapping'!$A$2:$A$25,0))</f>
        <v>Commercial</v>
      </c>
      <c r="AG231" t="str">
        <f>INDEX('Category Mapping'!$D$2:$D$25,MATCH('Source Data'!A231,'Category Mapping'!$A$2:$A$25,0))</f>
        <v>Total</v>
      </c>
    </row>
    <row r="232" spans="1:33" x14ac:dyDescent="0.3">
      <c r="A232" s="18" t="s">
        <v>112</v>
      </c>
      <c r="B232" s="19">
        <v>2019</v>
      </c>
      <c r="C232" s="39">
        <v>3</v>
      </c>
      <c r="D232" s="19" t="s">
        <v>93</v>
      </c>
      <c r="E232" s="19">
        <v>2</v>
      </c>
      <c r="F232" s="30">
        <v>17200000</v>
      </c>
      <c r="G232" s="30">
        <v>15300000</v>
      </c>
      <c r="H232" s="30">
        <v>15000000</v>
      </c>
      <c r="I232" s="30">
        <v>15200000</v>
      </c>
      <c r="J232" s="30">
        <v>15400000</v>
      </c>
      <c r="K232" s="30">
        <v>16300000</v>
      </c>
      <c r="L232" s="30">
        <v>18100000</v>
      </c>
      <c r="M232" s="30">
        <v>23400000</v>
      </c>
      <c r="N232" s="30">
        <v>26700000</v>
      </c>
      <c r="O232" s="30">
        <v>28600000</v>
      </c>
      <c r="P232" s="30">
        <v>28500000</v>
      </c>
      <c r="Q232" s="30">
        <v>28800000</v>
      </c>
      <c r="R232" s="30">
        <v>29100000</v>
      </c>
      <c r="S232" s="30">
        <v>28300000</v>
      </c>
      <c r="T232" s="30">
        <v>27200000</v>
      </c>
      <c r="U232" s="30">
        <v>25600000</v>
      </c>
      <c r="V232" s="30">
        <v>24500000</v>
      </c>
      <c r="W232" s="30">
        <v>24400000</v>
      </c>
      <c r="X232" s="30">
        <v>23900000</v>
      </c>
      <c r="Y232" s="30">
        <v>22300000</v>
      </c>
      <c r="Z232" s="30">
        <v>21100000</v>
      </c>
      <c r="AA232" s="30">
        <v>19800000</v>
      </c>
      <c r="AB232" s="30">
        <v>18700000</v>
      </c>
      <c r="AC232" s="30">
        <v>17000000</v>
      </c>
      <c r="AD232" t="str">
        <f t="shared" si="3"/>
        <v>Winter</v>
      </c>
      <c r="AE232" t="str">
        <f>INDEX('Category Mapping'!$B$2:$B$25,MATCH('Source Data'!A232,'Category Mapping'!$A$2:$A$25,0))</f>
        <v>Weekend</v>
      </c>
      <c r="AF232" t="str">
        <f>INDEX('Category Mapping'!$C$2:$C$25,MATCH('Source Data'!A232,'Category Mapping'!$A$2:$A$25,0))</f>
        <v>Commercial</v>
      </c>
      <c r="AG232" t="str">
        <f>INDEX('Category Mapping'!$D$2:$D$25,MATCH('Source Data'!A232,'Category Mapping'!$A$2:$A$25,0))</f>
        <v>Total</v>
      </c>
    </row>
    <row r="233" spans="1:33" x14ac:dyDescent="0.3">
      <c r="A233" s="16" t="s">
        <v>112</v>
      </c>
      <c r="B233" s="17">
        <v>2019</v>
      </c>
      <c r="C233" s="45">
        <v>3</v>
      </c>
      <c r="D233" s="17" t="s">
        <v>93</v>
      </c>
      <c r="E233" s="17">
        <v>3</v>
      </c>
      <c r="F233" s="31">
        <v>18000000</v>
      </c>
      <c r="G233" s="31">
        <v>16000000</v>
      </c>
      <c r="H233" s="31">
        <v>15900000</v>
      </c>
      <c r="I233" s="31">
        <v>16000000</v>
      </c>
      <c r="J233" s="31">
        <v>16200000</v>
      </c>
      <c r="K233" s="31">
        <v>17200000</v>
      </c>
      <c r="L233" s="31">
        <v>19400000</v>
      </c>
      <c r="M233" s="31">
        <v>24300000</v>
      </c>
      <c r="N233" s="31">
        <v>27300000</v>
      </c>
      <c r="O233" s="31">
        <v>30000000</v>
      </c>
      <c r="P233" s="31">
        <v>30400000</v>
      </c>
      <c r="Q233" s="31">
        <v>31300000</v>
      </c>
      <c r="R233" s="31">
        <v>31800000</v>
      </c>
      <c r="S233" s="31">
        <v>31200000</v>
      </c>
      <c r="T233" s="31">
        <v>30300000</v>
      </c>
      <c r="U233" s="31">
        <v>28600000</v>
      </c>
      <c r="V233" s="31">
        <v>27300000</v>
      </c>
      <c r="W233" s="31">
        <v>27000000</v>
      </c>
      <c r="X233" s="31">
        <v>25800000</v>
      </c>
      <c r="Y233" s="31">
        <v>24200000</v>
      </c>
      <c r="Z233" s="31">
        <v>22700000</v>
      </c>
      <c r="AA233" s="31">
        <v>20900000</v>
      </c>
      <c r="AB233" s="31">
        <v>19500000</v>
      </c>
      <c r="AC233" s="31">
        <v>17900000</v>
      </c>
      <c r="AD233" t="str">
        <f t="shared" si="3"/>
        <v>Spring</v>
      </c>
      <c r="AE233" t="str">
        <f>INDEX('Category Mapping'!$B$2:$B$25,MATCH('Source Data'!A233,'Category Mapping'!$A$2:$A$25,0))</f>
        <v>Weekend</v>
      </c>
      <c r="AF233" t="str">
        <f>INDEX('Category Mapping'!$C$2:$C$25,MATCH('Source Data'!A233,'Category Mapping'!$A$2:$A$25,0))</f>
        <v>Commercial</v>
      </c>
      <c r="AG233" t="str">
        <f>INDEX('Category Mapping'!$D$2:$D$25,MATCH('Source Data'!A233,'Category Mapping'!$A$2:$A$25,0))</f>
        <v>Total</v>
      </c>
    </row>
    <row r="234" spans="1:33" x14ac:dyDescent="0.3">
      <c r="A234" s="18" t="s">
        <v>112</v>
      </c>
      <c r="B234" s="19">
        <v>2019</v>
      </c>
      <c r="C234" s="39">
        <v>3</v>
      </c>
      <c r="D234" s="19" t="s">
        <v>93</v>
      </c>
      <c r="E234" s="19">
        <v>4</v>
      </c>
      <c r="F234" s="30">
        <v>19700000</v>
      </c>
      <c r="G234" s="30">
        <v>17700000</v>
      </c>
      <c r="H234" s="30">
        <v>17500000</v>
      </c>
      <c r="I234" s="30">
        <v>17600000</v>
      </c>
      <c r="J234" s="30">
        <v>17900000</v>
      </c>
      <c r="K234" s="30">
        <v>19000000</v>
      </c>
      <c r="L234" s="30">
        <v>21300000</v>
      </c>
      <c r="M234" s="30">
        <v>26200000</v>
      </c>
      <c r="N234" s="30">
        <v>29800000</v>
      </c>
      <c r="O234" s="30">
        <v>33300000</v>
      </c>
      <c r="P234" s="30">
        <v>34600000</v>
      </c>
      <c r="Q234" s="30">
        <v>36000000</v>
      </c>
      <c r="R234" s="30">
        <v>36900000</v>
      </c>
      <c r="S234" s="30">
        <v>36600000</v>
      </c>
      <c r="T234" s="30">
        <v>35800000</v>
      </c>
      <c r="U234" s="30">
        <v>34000000</v>
      </c>
      <c r="V234" s="30">
        <v>32500000</v>
      </c>
      <c r="W234" s="30">
        <v>31700000</v>
      </c>
      <c r="X234" s="30">
        <v>30100000</v>
      </c>
      <c r="Y234" s="30">
        <v>27900000</v>
      </c>
      <c r="Z234" s="30">
        <v>25700000</v>
      </c>
      <c r="AA234" s="30">
        <v>23400000</v>
      </c>
      <c r="AB234" s="30">
        <v>21700000</v>
      </c>
      <c r="AC234" s="30">
        <v>19800000</v>
      </c>
      <c r="AD234" t="str">
        <f t="shared" si="3"/>
        <v>Spring</v>
      </c>
      <c r="AE234" t="str">
        <f>INDEX('Category Mapping'!$B$2:$B$25,MATCH('Source Data'!A234,'Category Mapping'!$A$2:$A$25,0))</f>
        <v>Weekend</v>
      </c>
      <c r="AF234" t="str">
        <f>INDEX('Category Mapping'!$C$2:$C$25,MATCH('Source Data'!A234,'Category Mapping'!$A$2:$A$25,0))</f>
        <v>Commercial</v>
      </c>
      <c r="AG234" t="str">
        <f>INDEX('Category Mapping'!$D$2:$D$25,MATCH('Source Data'!A234,'Category Mapping'!$A$2:$A$25,0))</f>
        <v>Total</v>
      </c>
    </row>
    <row r="235" spans="1:33" x14ac:dyDescent="0.3">
      <c r="A235" s="16" t="s">
        <v>112</v>
      </c>
      <c r="B235" s="17">
        <v>2019</v>
      </c>
      <c r="C235" s="45">
        <v>3</v>
      </c>
      <c r="D235" s="17" t="s">
        <v>93</v>
      </c>
      <c r="E235" s="17">
        <v>5</v>
      </c>
      <c r="F235" s="31">
        <v>20900000</v>
      </c>
      <c r="G235" s="31">
        <v>18800000</v>
      </c>
      <c r="H235" s="31">
        <v>18600000</v>
      </c>
      <c r="I235" s="31">
        <v>18800000</v>
      </c>
      <c r="J235" s="31">
        <v>19100000</v>
      </c>
      <c r="K235" s="31">
        <v>20300000</v>
      </c>
      <c r="L235" s="31">
        <v>22700000</v>
      </c>
      <c r="M235" s="31">
        <v>27800000</v>
      </c>
      <c r="N235" s="31">
        <v>31700000</v>
      </c>
      <c r="O235" s="31">
        <v>35400000</v>
      </c>
      <c r="P235" s="31">
        <v>36700000</v>
      </c>
      <c r="Q235" s="31">
        <v>38100000</v>
      </c>
      <c r="R235" s="31">
        <v>39100000</v>
      </c>
      <c r="S235" s="31">
        <v>38800000</v>
      </c>
      <c r="T235" s="31">
        <v>38000000</v>
      </c>
      <c r="U235" s="31">
        <v>36100000</v>
      </c>
      <c r="V235" s="31">
        <v>34600000</v>
      </c>
      <c r="W235" s="31">
        <v>33800000</v>
      </c>
      <c r="X235" s="31">
        <v>32200000</v>
      </c>
      <c r="Y235" s="31">
        <v>30000000</v>
      </c>
      <c r="Z235" s="31">
        <v>27700000</v>
      </c>
      <c r="AA235" s="31">
        <v>25200000</v>
      </c>
      <c r="AB235" s="31">
        <v>23200000</v>
      </c>
      <c r="AC235" s="31">
        <v>21100000</v>
      </c>
      <c r="AD235" t="str">
        <f t="shared" si="3"/>
        <v>Spring</v>
      </c>
      <c r="AE235" t="str">
        <f>INDEX('Category Mapping'!$B$2:$B$25,MATCH('Source Data'!A235,'Category Mapping'!$A$2:$A$25,0))</f>
        <v>Weekend</v>
      </c>
      <c r="AF235" t="str">
        <f>INDEX('Category Mapping'!$C$2:$C$25,MATCH('Source Data'!A235,'Category Mapping'!$A$2:$A$25,0))</f>
        <v>Commercial</v>
      </c>
      <c r="AG235" t="str">
        <f>INDEX('Category Mapping'!$D$2:$D$25,MATCH('Source Data'!A235,'Category Mapping'!$A$2:$A$25,0))</f>
        <v>Total</v>
      </c>
    </row>
    <row r="236" spans="1:33" x14ac:dyDescent="0.3">
      <c r="A236" s="18" t="s">
        <v>112</v>
      </c>
      <c r="B236" s="19">
        <v>2019</v>
      </c>
      <c r="C236" s="39">
        <v>3</v>
      </c>
      <c r="D236" s="19" t="s">
        <v>93</v>
      </c>
      <c r="E236" s="19">
        <v>6</v>
      </c>
      <c r="F236" s="30">
        <v>21200000</v>
      </c>
      <c r="G236" s="30">
        <v>19100000</v>
      </c>
      <c r="H236" s="30">
        <v>18900000</v>
      </c>
      <c r="I236" s="30">
        <v>19000000</v>
      </c>
      <c r="J236" s="30">
        <v>19400000</v>
      </c>
      <c r="K236" s="30">
        <v>20600000</v>
      </c>
      <c r="L236" s="30">
        <v>22900000</v>
      </c>
      <c r="M236" s="30">
        <v>27900000</v>
      </c>
      <c r="N236" s="30">
        <v>31700000</v>
      </c>
      <c r="O236" s="30">
        <v>35200000</v>
      </c>
      <c r="P236" s="30">
        <v>36300000</v>
      </c>
      <c r="Q236" s="30">
        <v>37600000</v>
      </c>
      <c r="R236" s="30">
        <v>38400000</v>
      </c>
      <c r="S236" s="30">
        <v>38100000</v>
      </c>
      <c r="T236" s="30">
        <v>37200000</v>
      </c>
      <c r="U236" s="30">
        <v>35400000</v>
      </c>
      <c r="V236" s="30">
        <v>34000000</v>
      </c>
      <c r="W236" s="30">
        <v>33300000</v>
      </c>
      <c r="X236" s="30">
        <v>31800000</v>
      </c>
      <c r="Y236" s="30">
        <v>29900000</v>
      </c>
      <c r="Z236" s="30">
        <v>27700000</v>
      </c>
      <c r="AA236" s="30">
        <v>25400000</v>
      </c>
      <c r="AB236" s="30">
        <v>23500000</v>
      </c>
      <c r="AC236" s="30">
        <v>21400000</v>
      </c>
      <c r="AD236" t="str">
        <f t="shared" si="3"/>
        <v>Summer</v>
      </c>
      <c r="AE236" t="str">
        <f>INDEX('Category Mapping'!$B$2:$B$25,MATCH('Source Data'!A236,'Category Mapping'!$A$2:$A$25,0))</f>
        <v>Weekend</v>
      </c>
      <c r="AF236" t="str">
        <f>INDEX('Category Mapping'!$C$2:$C$25,MATCH('Source Data'!A236,'Category Mapping'!$A$2:$A$25,0))</f>
        <v>Commercial</v>
      </c>
      <c r="AG236" t="str">
        <f>INDEX('Category Mapping'!$D$2:$D$25,MATCH('Source Data'!A236,'Category Mapping'!$A$2:$A$25,0))</f>
        <v>Total</v>
      </c>
    </row>
    <row r="237" spans="1:33" x14ac:dyDescent="0.3">
      <c r="A237" s="16" t="s">
        <v>112</v>
      </c>
      <c r="B237" s="17">
        <v>2019</v>
      </c>
      <c r="C237" s="45">
        <v>3</v>
      </c>
      <c r="D237" s="17" t="s">
        <v>93</v>
      </c>
      <c r="E237" s="17">
        <v>7</v>
      </c>
      <c r="F237" s="31">
        <v>21600000</v>
      </c>
      <c r="G237" s="31">
        <v>19600000</v>
      </c>
      <c r="H237" s="31">
        <v>19400000</v>
      </c>
      <c r="I237" s="31">
        <v>19500000</v>
      </c>
      <c r="J237" s="31">
        <v>19800000</v>
      </c>
      <c r="K237" s="31">
        <v>21000000</v>
      </c>
      <c r="L237" s="31">
        <v>23300000</v>
      </c>
      <c r="M237" s="31">
        <v>28200000</v>
      </c>
      <c r="N237" s="31">
        <v>31800000</v>
      </c>
      <c r="O237" s="31">
        <v>35200000</v>
      </c>
      <c r="P237" s="31">
        <v>36200000</v>
      </c>
      <c r="Q237" s="31">
        <v>37400000</v>
      </c>
      <c r="R237" s="31">
        <v>38200000</v>
      </c>
      <c r="S237" s="31">
        <v>37700000</v>
      </c>
      <c r="T237" s="31">
        <v>36900000</v>
      </c>
      <c r="U237" s="31">
        <v>35100000</v>
      </c>
      <c r="V237" s="31">
        <v>33700000</v>
      </c>
      <c r="W237" s="31">
        <v>33100000</v>
      </c>
      <c r="X237" s="31">
        <v>31700000</v>
      </c>
      <c r="Y237" s="31">
        <v>29800000</v>
      </c>
      <c r="Z237" s="31">
        <v>27800000</v>
      </c>
      <c r="AA237" s="31">
        <v>25600000</v>
      </c>
      <c r="AB237" s="31">
        <v>23900000</v>
      </c>
      <c r="AC237" s="31">
        <v>21900000</v>
      </c>
      <c r="AD237" t="str">
        <f t="shared" si="3"/>
        <v>Summer</v>
      </c>
      <c r="AE237" t="str">
        <f>INDEX('Category Mapping'!$B$2:$B$25,MATCH('Source Data'!A237,'Category Mapping'!$A$2:$A$25,0))</f>
        <v>Weekend</v>
      </c>
      <c r="AF237" t="str">
        <f>INDEX('Category Mapping'!$C$2:$C$25,MATCH('Source Data'!A237,'Category Mapping'!$A$2:$A$25,0))</f>
        <v>Commercial</v>
      </c>
      <c r="AG237" t="str">
        <f>INDEX('Category Mapping'!$D$2:$D$25,MATCH('Source Data'!A237,'Category Mapping'!$A$2:$A$25,0))</f>
        <v>Total</v>
      </c>
    </row>
    <row r="238" spans="1:33" x14ac:dyDescent="0.3">
      <c r="A238" s="18" t="s">
        <v>112</v>
      </c>
      <c r="B238" s="19">
        <v>2019</v>
      </c>
      <c r="C238" s="39">
        <v>3</v>
      </c>
      <c r="D238" s="19" t="s">
        <v>93</v>
      </c>
      <c r="E238" s="19">
        <v>8</v>
      </c>
      <c r="F238" s="30">
        <v>21400000</v>
      </c>
      <c r="G238" s="30">
        <v>19400000</v>
      </c>
      <c r="H238" s="30">
        <v>19200000</v>
      </c>
      <c r="I238" s="30">
        <v>19300000</v>
      </c>
      <c r="J238" s="30">
        <v>19700000</v>
      </c>
      <c r="K238" s="30">
        <v>20900000</v>
      </c>
      <c r="L238" s="30">
        <v>23100000</v>
      </c>
      <c r="M238" s="30">
        <v>28100000</v>
      </c>
      <c r="N238" s="30">
        <v>31700000</v>
      </c>
      <c r="O238" s="30">
        <v>35100000</v>
      </c>
      <c r="P238" s="30">
        <v>36200000</v>
      </c>
      <c r="Q238" s="30">
        <v>37400000</v>
      </c>
      <c r="R238" s="30">
        <v>38200000</v>
      </c>
      <c r="S238" s="30">
        <v>37800000</v>
      </c>
      <c r="T238" s="30">
        <v>36900000</v>
      </c>
      <c r="U238" s="30">
        <v>35100000</v>
      </c>
      <c r="V238" s="30">
        <v>33700000</v>
      </c>
      <c r="W238" s="30">
        <v>33100000</v>
      </c>
      <c r="X238" s="30">
        <v>31600000</v>
      </c>
      <c r="Y238" s="30">
        <v>29700000</v>
      </c>
      <c r="Z238" s="30">
        <v>27700000</v>
      </c>
      <c r="AA238" s="30">
        <v>25500000</v>
      </c>
      <c r="AB238" s="30">
        <v>23700000</v>
      </c>
      <c r="AC238" s="30">
        <v>21700000</v>
      </c>
      <c r="AD238" t="str">
        <f t="shared" si="3"/>
        <v>Summer</v>
      </c>
      <c r="AE238" t="str">
        <f>INDEX('Category Mapping'!$B$2:$B$25,MATCH('Source Data'!A238,'Category Mapping'!$A$2:$A$25,0))</f>
        <v>Weekend</v>
      </c>
      <c r="AF238" t="str">
        <f>INDEX('Category Mapping'!$C$2:$C$25,MATCH('Source Data'!A238,'Category Mapping'!$A$2:$A$25,0))</f>
        <v>Commercial</v>
      </c>
      <c r="AG238" t="str">
        <f>INDEX('Category Mapping'!$D$2:$D$25,MATCH('Source Data'!A238,'Category Mapping'!$A$2:$A$25,0))</f>
        <v>Total</v>
      </c>
    </row>
    <row r="239" spans="1:33" x14ac:dyDescent="0.3">
      <c r="A239" s="16" t="s">
        <v>112</v>
      </c>
      <c r="B239" s="17">
        <v>2019</v>
      </c>
      <c r="C239" s="45">
        <v>3</v>
      </c>
      <c r="D239" s="17" t="s">
        <v>93</v>
      </c>
      <c r="E239" s="17">
        <v>9</v>
      </c>
      <c r="F239" s="31">
        <v>20400000</v>
      </c>
      <c r="G239" s="31">
        <v>18400000</v>
      </c>
      <c r="H239" s="31">
        <v>18200000</v>
      </c>
      <c r="I239" s="31">
        <v>18300000</v>
      </c>
      <c r="J239" s="31">
        <v>18600000</v>
      </c>
      <c r="K239" s="31">
        <v>19700000</v>
      </c>
      <c r="L239" s="31">
        <v>22000000</v>
      </c>
      <c r="M239" s="31">
        <v>26800000</v>
      </c>
      <c r="N239" s="31">
        <v>30100000</v>
      </c>
      <c r="O239" s="31">
        <v>33300000</v>
      </c>
      <c r="P239" s="31">
        <v>34100000</v>
      </c>
      <c r="Q239" s="31">
        <v>35100000</v>
      </c>
      <c r="R239" s="31">
        <v>35800000</v>
      </c>
      <c r="S239" s="31">
        <v>35300000</v>
      </c>
      <c r="T239" s="31">
        <v>34400000</v>
      </c>
      <c r="U239" s="31">
        <v>32600000</v>
      </c>
      <c r="V239" s="31">
        <v>31300000</v>
      </c>
      <c r="W239" s="31">
        <v>30800000</v>
      </c>
      <c r="X239" s="31">
        <v>29500000</v>
      </c>
      <c r="Y239" s="31">
        <v>27900000</v>
      </c>
      <c r="Z239" s="31">
        <v>26100000</v>
      </c>
      <c r="AA239" s="31">
        <v>24000000</v>
      </c>
      <c r="AB239" s="31">
        <v>22300000</v>
      </c>
      <c r="AC239" s="31">
        <v>20500000</v>
      </c>
      <c r="AD239" t="str">
        <f t="shared" si="3"/>
        <v>Fall</v>
      </c>
      <c r="AE239" t="str">
        <f>INDEX('Category Mapping'!$B$2:$B$25,MATCH('Source Data'!A239,'Category Mapping'!$A$2:$A$25,0))</f>
        <v>Weekend</v>
      </c>
      <c r="AF239" t="str">
        <f>INDEX('Category Mapping'!$C$2:$C$25,MATCH('Source Data'!A239,'Category Mapping'!$A$2:$A$25,0))</f>
        <v>Commercial</v>
      </c>
      <c r="AG239" t="str">
        <f>INDEX('Category Mapping'!$D$2:$D$25,MATCH('Source Data'!A239,'Category Mapping'!$A$2:$A$25,0))</f>
        <v>Total</v>
      </c>
    </row>
    <row r="240" spans="1:33" x14ac:dyDescent="0.3">
      <c r="A240" s="18" t="s">
        <v>112</v>
      </c>
      <c r="B240" s="19">
        <v>2019</v>
      </c>
      <c r="C240" s="39">
        <v>3</v>
      </c>
      <c r="D240" s="19" t="s">
        <v>93</v>
      </c>
      <c r="E240" s="19">
        <v>10</v>
      </c>
      <c r="F240" s="30">
        <v>19200000</v>
      </c>
      <c r="G240" s="30">
        <v>17100000</v>
      </c>
      <c r="H240" s="30">
        <v>17000000</v>
      </c>
      <c r="I240" s="30">
        <v>17100000</v>
      </c>
      <c r="J240" s="30">
        <v>17300000</v>
      </c>
      <c r="K240" s="30">
        <v>18400000</v>
      </c>
      <c r="L240" s="30">
        <v>21000000</v>
      </c>
      <c r="M240" s="30">
        <v>25700000</v>
      </c>
      <c r="N240" s="30">
        <v>28600000</v>
      </c>
      <c r="O240" s="30">
        <v>31400000</v>
      </c>
      <c r="P240" s="30">
        <v>31900000</v>
      </c>
      <c r="Q240" s="30">
        <v>32800000</v>
      </c>
      <c r="R240" s="30">
        <v>33300000</v>
      </c>
      <c r="S240" s="30">
        <v>32800000</v>
      </c>
      <c r="T240" s="30">
        <v>31900000</v>
      </c>
      <c r="U240" s="30">
        <v>30100000</v>
      </c>
      <c r="V240" s="30">
        <v>28800000</v>
      </c>
      <c r="W240" s="30">
        <v>28500000</v>
      </c>
      <c r="X240" s="30">
        <v>27300000</v>
      </c>
      <c r="Y240" s="30">
        <v>25800000</v>
      </c>
      <c r="Z240" s="30">
        <v>24300000</v>
      </c>
      <c r="AA240" s="30">
        <v>22400000</v>
      </c>
      <c r="AB240" s="30">
        <v>20900000</v>
      </c>
      <c r="AC240" s="30">
        <v>19200000</v>
      </c>
      <c r="AD240" t="str">
        <f t="shared" si="3"/>
        <v>Fall</v>
      </c>
      <c r="AE240" t="str">
        <f>INDEX('Category Mapping'!$B$2:$B$25,MATCH('Source Data'!A240,'Category Mapping'!$A$2:$A$25,0))</f>
        <v>Weekend</v>
      </c>
      <c r="AF240" t="str">
        <f>INDEX('Category Mapping'!$C$2:$C$25,MATCH('Source Data'!A240,'Category Mapping'!$A$2:$A$25,0))</f>
        <v>Commercial</v>
      </c>
      <c r="AG240" t="str">
        <f>INDEX('Category Mapping'!$D$2:$D$25,MATCH('Source Data'!A240,'Category Mapping'!$A$2:$A$25,0))</f>
        <v>Total</v>
      </c>
    </row>
    <row r="241" spans="1:33" x14ac:dyDescent="0.3">
      <c r="A241" s="16" t="s">
        <v>112</v>
      </c>
      <c r="B241" s="17">
        <v>2019</v>
      </c>
      <c r="C241" s="45">
        <v>3</v>
      </c>
      <c r="D241" s="17" t="s">
        <v>93</v>
      </c>
      <c r="E241" s="17">
        <v>11</v>
      </c>
      <c r="F241" s="31">
        <v>17900000</v>
      </c>
      <c r="G241" s="31">
        <v>16000000</v>
      </c>
      <c r="H241" s="31">
        <v>15700000</v>
      </c>
      <c r="I241" s="31">
        <v>15800000</v>
      </c>
      <c r="J241" s="31">
        <v>16000000</v>
      </c>
      <c r="K241" s="31">
        <v>17000000</v>
      </c>
      <c r="L241" s="31">
        <v>19200000</v>
      </c>
      <c r="M241" s="31">
        <v>24300000</v>
      </c>
      <c r="N241" s="31">
        <v>27200000</v>
      </c>
      <c r="O241" s="31">
        <v>29400000</v>
      </c>
      <c r="P241" s="31">
        <v>29400000</v>
      </c>
      <c r="Q241" s="31">
        <v>29900000</v>
      </c>
      <c r="R241" s="31">
        <v>30300000</v>
      </c>
      <c r="S241" s="31">
        <v>29500000</v>
      </c>
      <c r="T241" s="31">
        <v>28500000</v>
      </c>
      <c r="U241" s="31">
        <v>26900000</v>
      </c>
      <c r="V241" s="31">
        <v>25700000</v>
      </c>
      <c r="W241" s="31">
        <v>25600000</v>
      </c>
      <c r="X241" s="31">
        <v>24800000</v>
      </c>
      <c r="Y241" s="31">
        <v>23500000</v>
      </c>
      <c r="Z241" s="31">
        <v>22200000</v>
      </c>
      <c r="AA241" s="31">
        <v>20700000</v>
      </c>
      <c r="AB241" s="31">
        <v>19500000</v>
      </c>
      <c r="AC241" s="31">
        <v>17800000</v>
      </c>
      <c r="AD241" t="str">
        <f t="shared" si="3"/>
        <v>Winter</v>
      </c>
      <c r="AE241" t="str">
        <f>INDEX('Category Mapping'!$B$2:$B$25,MATCH('Source Data'!A241,'Category Mapping'!$A$2:$A$25,0))</f>
        <v>Weekend</v>
      </c>
      <c r="AF241" t="str">
        <f>INDEX('Category Mapping'!$C$2:$C$25,MATCH('Source Data'!A241,'Category Mapping'!$A$2:$A$25,0))</f>
        <v>Commercial</v>
      </c>
      <c r="AG241" t="str">
        <f>INDEX('Category Mapping'!$D$2:$D$25,MATCH('Source Data'!A241,'Category Mapping'!$A$2:$A$25,0))</f>
        <v>Total</v>
      </c>
    </row>
    <row r="242" spans="1:33" x14ac:dyDescent="0.3">
      <c r="A242" s="18" t="s">
        <v>112</v>
      </c>
      <c r="B242" s="19">
        <v>2019</v>
      </c>
      <c r="C242" s="39">
        <v>3</v>
      </c>
      <c r="D242" s="19" t="s">
        <v>93</v>
      </c>
      <c r="E242" s="19">
        <v>12</v>
      </c>
      <c r="F242" s="30">
        <v>17500000</v>
      </c>
      <c r="G242" s="30">
        <v>15600000</v>
      </c>
      <c r="H242" s="30">
        <v>15300000</v>
      </c>
      <c r="I242" s="30">
        <v>15500000</v>
      </c>
      <c r="J242" s="30">
        <v>15700000</v>
      </c>
      <c r="K242" s="30">
        <v>16600000</v>
      </c>
      <c r="L242" s="30">
        <v>18500000</v>
      </c>
      <c r="M242" s="30">
        <v>24300000</v>
      </c>
      <c r="N242" s="30">
        <v>27700000</v>
      </c>
      <c r="O242" s="30">
        <v>29300000</v>
      </c>
      <c r="P242" s="30">
        <v>29000000</v>
      </c>
      <c r="Q242" s="30">
        <v>29200000</v>
      </c>
      <c r="R242" s="30">
        <v>29400000</v>
      </c>
      <c r="S242" s="30">
        <v>28500000</v>
      </c>
      <c r="T242" s="30">
        <v>27500000</v>
      </c>
      <c r="U242" s="30">
        <v>25900000</v>
      </c>
      <c r="V242" s="30">
        <v>24800000</v>
      </c>
      <c r="W242" s="30">
        <v>24900000</v>
      </c>
      <c r="X242" s="30">
        <v>24600000</v>
      </c>
      <c r="Y242" s="30">
        <v>22800000</v>
      </c>
      <c r="Z242" s="30">
        <v>21600000</v>
      </c>
      <c r="AA242" s="30">
        <v>20300000</v>
      </c>
      <c r="AB242" s="30">
        <v>19300000</v>
      </c>
      <c r="AC242" s="30">
        <v>17600000</v>
      </c>
      <c r="AD242" t="str">
        <f t="shared" si="3"/>
        <v>Winter</v>
      </c>
      <c r="AE242" t="str">
        <f>INDEX('Category Mapping'!$B$2:$B$25,MATCH('Source Data'!A242,'Category Mapping'!$A$2:$A$25,0))</f>
        <v>Weekend</v>
      </c>
      <c r="AF242" t="str">
        <f>INDEX('Category Mapping'!$C$2:$C$25,MATCH('Source Data'!A242,'Category Mapping'!$A$2:$A$25,0))</f>
        <v>Commercial</v>
      </c>
      <c r="AG242" t="str">
        <f>INDEX('Category Mapping'!$D$2:$D$25,MATCH('Source Data'!A242,'Category Mapping'!$A$2:$A$25,0))</f>
        <v>Total</v>
      </c>
    </row>
    <row r="243" spans="1:33" x14ac:dyDescent="0.3">
      <c r="A243" s="16" t="s">
        <v>113</v>
      </c>
      <c r="B243" s="17">
        <v>2019</v>
      </c>
      <c r="C243" s="45">
        <v>3</v>
      </c>
      <c r="D243" s="17" t="s">
        <v>93</v>
      </c>
      <c r="E243" s="17">
        <v>1</v>
      </c>
      <c r="F243" s="31">
        <v>561000000</v>
      </c>
      <c r="G243" s="31">
        <v>533000000</v>
      </c>
      <c r="H243" s="31">
        <v>517000000</v>
      </c>
      <c r="I243" s="31">
        <v>510000000</v>
      </c>
      <c r="J243" s="31">
        <v>515000000</v>
      </c>
      <c r="K243" s="31">
        <v>538000000</v>
      </c>
      <c r="L243" s="31">
        <v>587000000</v>
      </c>
      <c r="M243" s="31">
        <v>613000000</v>
      </c>
      <c r="N243" s="31">
        <v>650000000</v>
      </c>
      <c r="O243" s="31">
        <v>656000000</v>
      </c>
      <c r="P243" s="31">
        <v>648000000</v>
      </c>
      <c r="Q243" s="31">
        <v>642000000</v>
      </c>
      <c r="R243" s="31">
        <v>646000000</v>
      </c>
      <c r="S243" s="31">
        <v>655000000</v>
      </c>
      <c r="T243" s="31">
        <v>656000000</v>
      </c>
      <c r="U243" s="31">
        <v>649000000</v>
      </c>
      <c r="V243" s="31">
        <v>658000000</v>
      </c>
      <c r="W243" s="31">
        <v>727000000</v>
      </c>
      <c r="X243" s="31">
        <v>745000000</v>
      </c>
      <c r="Y243" s="31">
        <v>748000000</v>
      </c>
      <c r="Z243" s="31">
        <v>750000000</v>
      </c>
      <c r="AA243" s="31">
        <v>728000000</v>
      </c>
      <c r="AB243" s="31">
        <v>653000000</v>
      </c>
      <c r="AC243" s="31">
        <v>595000000</v>
      </c>
      <c r="AD243" t="str">
        <f t="shared" si="3"/>
        <v>Winter</v>
      </c>
      <c r="AE243" t="str">
        <f>INDEX('Category Mapping'!$B$2:$B$25,MATCH('Source Data'!A243,'Category Mapping'!$A$2:$A$25,0))</f>
        <v>Weekday</v>
      </c>
      <c r="AF243" t="str">
        <f>INDEX('Category Mapping'!$C$2:$C$25,MATCH('Source Data'!A243,'Category Mapping'!$A$2:$A$25,0))</f>
        <v>All Sectors</v>
      </c>
      <c r="AG243" t="str">
        <f>INDEX('Category Mapping'!$D$2:$D$25,MATCH('Source Data'!A243,'Category Mapping'!$A$2:$A$25,0))</f>
        <v>Total</v>
      </c>
    </row>
    <row r="244" spans="1:33" x14ac:dyDescent="0.3">
      <c r="A244" s="18" t="s">
        <v>113</v>
      </c>
      <c r="B244" s="19">
        <v>2019</v>
      </c>
      <c r="C244" s="39">
        <v>3</v>
      </c>
      <c r="D244" s="19" t="s">
        <v>93</v>
      </c>
      <c r="E244" s="19">
        <v>2</v>
      </c>
      <c r="F244" s="30">
        <v>559000000</v>
      </c>
      <c r="G244" s="30">
        <v>531000000</v>
      </c>
      <c r="H244" s="30">
        <v>515000000</v>
      </c>
      <c r="I244" s="30">
        <v>508000000</v>
      </c>
      <c r="J244" s="30">
        <v>513000000</v>
      </c>
      <c r="K244" s="30">
        <v>535000000</v>
      </c>
      <c r="L244" s="30">
        <v>584000000</v>
      </c>
      <c r="M244" s="30">
        <v>604000000</v>
      </c>
      <c r="N244" s="30">
        <v>645000000</v>
      </c>
      <c r="O244" s="30">
        <v>653000000</v>
      </c>
      <c r="P244" s="30">
        <v>646000000</v>
      </c>
      <c r="Q244" s="30">
        <v>640000000</v>
      </c>
      <c r="R244" s="30">
        <v>645000000</v>
      </c>
      <c r="S244" s="30">
        <v>654000000</v>
      </c>
      <c r="T244" s="30">
        <v>655000000</v>
      </c>
      <c r="U244" s="30">
        <v>648000000</v>
      </c>
      <c r="V244" s="30">
        <v>652000000</v>
      </c>
      <c r="W244" s="30">
        <v>724000000</v>
      </c>
      <c r="X244" s="30">
        <v>741000000</v>
      </c>
      <c r="Y244" s="30">
        <v>743000000</v>
      </c>
      <c r="Z244" s="30">
        <v>745000000</v>
      </c>
      <c r="AA244" s="30">
        <v>722000000</v>
      </c>
      <c r="AB244" s="30">
        <v>649000000</v>
      </c>
      <c r="AC244" s="30">
        <v>593000000</v>
      </c>
      <c r="AD244" t="str">
        <f t="shared" si="3"/>
        <v>Winter</v>
      </c>
      <c r="AE244" t="str">
        <f>INDEX('Category Mapping'!$B$2:$B$25,MATCH('Source Data'!A244,'Category Mapping'!$A$2:$A$25,0))</f>
        <v>Weekday</v>
      </c>
      <c r="AF244" t="str">
        <f>INDEX('Category Mapping'!$C$2:$C$25,MATCH('Source Data'!A244,'Category Mapping'!$A$2:$A$25,0))</f>
        <v>All Sectors</v>
      </c>
      <c r="AG244" t="str">
        <f>INDEX('Category Mapping'!$D$2:$D$25,MATCH('Source Data'!A244,'Category Mapping'!$A$2:$A$25,0))</f>
        <v>Total</v>
      </c>
    </row>
    <row r="245" spans="1:33" x14ac:dyDescent="0.3">
      <c r="A245" s="16" t="s">
        <v>113</v>
      </c>
      <c r="B245" s="17">
        <v>2019</v>
      </c>
      <c r="C245" s="45">
        <v>3</v>
      </c>
      <c r="D245" s="17" t="s">
        <v>93</v>
      </c>
      <c r="E245" s="17">
        <v>3</v>
      </c>
      <c r="F245" s="31">
        <v>562000000</v>
      </c>
      <c r="G245" s="31">
        <v>534000000</v>
      </c>
      <c r="H245" s="31">
        <v>518000000</v>
      </c>
      <c r="I245" s="31">
        <v>511000000</v>
      </c>
      <c r="J245" s="31">
        <v>516000000</v>
      </c>
      <c r="K245" s="31">
        <v>538000000</v>
      </c>
      <c r="L245" s="31">
        <v>582000000</v>
      </c>
      <c r="M245" s="31">
        <v>603000000</v>
      </c>
      <c r="N245" s="31">
        <v>647000000</v>
      </c>
      <c r="O245" s="31">
        <v>658000000</v>
      </c>
      <c r="P245" s="31">
        <v>653000000</v>
      </c>
      <c r="Q245" s="31">
        <v>649000000</v>
      </c>
      <c r="R245" s="31">
        <v>654000000</v>
      </c>
      <c r="S245" s="31">
        <v>665000000</v>
      </c>
      <c r="T245" s="31">
        <v>666000000</v>
      </c>
      <c r="U245" s="31">
        <v>659000000</v>
      </c>
      <c r="V245" s="31">
        <v>659000000</v>
      </c>
      <c r="W245" s="31">
        <v>725000000</v>
      </c>
      <c r="X245" s="31">
        <v>748000000</v>
      </c>
      <c r="Y245" s="31">
        <v>748000000</v>
      </c>
      <c r="Z245" s="31">
        <v>748000000</v>
      </c>
      <c r="AA245" s="31">
        <v>724000000</v>
      </c>
      <c r="AB245" s="31">
        <v>651000000</v>
      </c>
      <c r="AC245" s="31">
        <v>597000000</v>
      </c>
      <c r="AD245" t="str">
        <f t="shared" si="3"/>
        <v>Spring</v>
      </c>
      <c r="AE245" t="str">
        <f>INDEX('Category Mapping'!$B$2:$B$25,MATCH('Source Data'!A245,'Category Mapping'!$A$2:$A$25,0))</f>
        <v>Weekday</v>
      </c>
      <c r="AF245" t="str">
        <f>INDEX('Category Mapping'!$C$2:$C$25,MATCH('Source Data'!A245,'Category Mapping'!$A$2:$A$25,0))</f>
        <v>All Sectors</v>
      </c>
      <c r="AG245" t="str">
        <f>INDEX('Category Mapping'!$D$2:$D$25,MATCH('Source Data'!A245,'Category Mapping'!$A$2:$A$25,0))</f>
        <v>Total</v>
      </c>
    </row>
    <row r="246" spans="1:33" x14ac:dyDescent="0.3">
      <c r="A246" s="18" t="s">
        <v>113</v>
      </c>
      <c r="B246" s="19">
        <v>2019</v>
      </c>
      <c r="C246" s="39">
        <v>3</v>
      </c>
      <c r="D246" s="19" t="s">
        <v>93</v>
      </c>
      <c r="E246" s="19">
        <v>4</v>
      </c>
      <c r="F246" s="30">
        <v>559000000</v>
      </c>
      <c r="G246" s="30">
        <v>531000000</v>
      </c>
      <c r="H246" s="30">
        <v>515000000</v>
      </c>
      <c r="I246" s="30">
        <v>508000000</v>
      </c>
      <c r="J246" s="30">
        <v>513000000</v>
      </c>
      <c r="K246" s="30">
        <v>536000000</v>
      </c>
      <c r="L246" s="30">
        <v>563000000</v>
      </c>
      <c r="M246" s="30">
        <v>599000000</v>
      </c>
      <c r="N246" s="30">
        <v>646000000</v>
      </c>
      <c r="O246" s="30">
        <v>660000000</v>
      </c>
      <c r="P246" s="30">
        <v>658000000</v>
      </c>
      <c r="Q246" s="30">
        <v>655000000</v>
      </c>
      <c r="R246" s="30">
        <v>662000000</v>
      </c>
      <c r="S246" s="30">
        <v>674000000</v>
      </c>
      <c r="T246" s="30">
        <v>676000000</v>
      </c>
      <c r="U246" s="30">
        <v>669000000</v>
      </c>
      <c r="V246" s="30">
        <v>667000000</v>
      </c>
      <c r="W246" s="30">
        <v>708000000</v>
      </c>
      <c r="X246" s="30">
        <v>755000000</v>
      </c>
      <c r="Y246" s="30">
        <v>753000000</v>
      </c>
      <c r="Z246" s="30">
        <v>751000000</v>
      </c>
      <c r="AA246" s="30">
        <v>725000000</v>
      </c>
      <c r="AB246" s="30">
        <v>650000000</v>
      </c>
      <c r="AC246" s="30">
        <v>595000000</v>
      </c>
      <c r="AD246" t="str">
        <f t="shared" si="3"/>
        <v>Spring</v>
      </c>
      <c r="AE246" t="str">
        <f>INDEX('Category Mapping'!$B$2:$B$25,MATCH('Source Data'!A246,'Category Mapping'!$A$2:$A$25,0))</f>
        <v>Weekday</v>
      </c>
      <c r="AF246" t="str">
        <f>INDEX('Category Mapping'!$C$2:$C$25,MATCH('Source Data'!A246,'Category Mapping'!$A$2:$A$25,0))</f>
        <v>All Sectors</v>
      </c>
      <c r="AG246" t="str">
        <f>INDEX('Category Mapping'!$D$2:$D$25,MATCH('Source Data'!A246,'Category Mapping'!$A$2:$A$25,0))</f>
        <v>Total</v>
      </c>
    </row>
    <row r="247" spans="1:33" x14ac:dyDescent="0.3">
      <c r="A247" s="16" t="s">
        <v>113</v>
      </c>
      <c r="B247" s="17">
        <v>2019</v>
      </c>
      <c r="C247" s="45">
        <v>3</v>
      </c>
      <c r="D247" s="17" t="s">
        <v>93</v>
      </c>
      <c r="E247" s="17">
        <v>5</v>
      </c>
      <c r="F247" s="31">
        <v>565000000</v>
      </c>
      <c r="G247" s="31">
        <v>536000000</v>
      </c>
      <c r="H247" s="31">
        <v>521000000</v>
      </c>
      <c r="I247" s="31">
        <v>513000000</v>
      </c>
      <c r="J247" s="31">
        <v>518000000</v>
      </c>
      <c r="K247" s="31">
        <v>541000000</v>
      </c>
      <c r="L247" s="31">
        <v>563000000</v>
      </c>
      <c r="M247" s="31">
        <v>606000000</v>
      </c>
      <c r="N247" s="31">
        <v>654000000</v>
      </c>
      <c r="O247" s="31">
        <v>668000000</v>
      </c>
      <c r="P247" s="31">
        <v>666000000</v>
      </c>
      <c r="Q247" s="31">
        <v>663000000</v>
      </c>
      <c r="R247" s="31">
        <v>670000000</v>
      </c>
      <c r="S247" s="31">
        <v>682000000</v>
      </c>
      <c r="T247" s="31">
        <v>684000000</v>
      </c>
      <c r="U247" s="31">
        <v>677000000</v>
      </c>
      <c r="V247" s="31">
        <v>676000000</v>
      </c>
      <c r="W247" s="31">
        <v>706000000</v>
      </c>
      <c r="X247" s="31">
        <v>762000000</v>
      </c>
      <c r="Y247" s="31">
        <v>761000000</v>
      </c>
      <c r="Z247" s="31">
        <v>758000000</v>
      </c>
      <c r="AA247" s="31">
        <v>732000000</v>
      </c>
      <c r="AB247" s="31">
        <v>657000000</v>
      </c>
      <c r="AC247" s="31">
        <v>602000000</v>
      </c>
      <c r="AD247" t="str">
        <f t="shared" si="3"/>
        <v>Spring</v>
      </c>
      <c r="AE247" t="str">
        <f>INDEX('Category Mapping'!$B$2:$B$25,MATCH('Source Data'!A247,'Category Mapping'!$A$2:$A$25,0))</f>
        <v>Weekday</v>
      </c>
      <c r="AF247" t="str">
        <f>INDEX('Category Mapping'!$C$2:$C$25,MATCH('Source Data'!A247,'Category Mapping'!$A$2:$A$25,0))</f>
        <v>All Sectors</v>
      </c>
      <c r="AG247" t="str">
        <f>INDEX('Category Mapping'!$D$2:$D$25,MATCH('Source Data'!A247,'Category Mapping'!$A$2:$A$25,0))</f>
        <v>Total</v>
      </c>
    </row>
    <row r="248" spans="1:33" x14ac:dyDescent="0.3">
      <c r="A248" s="18" t="s">
        <v>113</v>
      </c>
      <c r="B248" s="19">
        <v>2019</v>
      </c>
      <c r="C248" s="39">
        <v>3</v>
      </c>
      <c r="D248" s="19" t="s">
        <v>93</v>
      </c>
      <c r="E248" s="19">
        <v>6</v>
      </c>
      <c r="F248" s="30">
        <v>569000000</v>
      </c>
      <c r="G248" s="30">
        <v>540000000</v>
      </c>
      <c r="H248" s="30">
        <v>525000000</v>
      </c>
      <c r="I248" s="30">
        <v>518000000</v>
      </c>
      <c r="J248" s="30">
        <v>523000000</v>
      </c>
      <c r="K248" s="30">
        <v>545000000</v>
      </c>
      <c r="L248" s="30">
        <v>563000000</v>
      </c>
      <c r="M248" s="30">
        <v>609000000</v>
      </c>
      <c r="N248" s="30">
        <v>657000000</v>
      </c>
      <c r="O248" s="30">
        <v>670000000</v>
      </c>
      <c r="P248" s="30">
        <v>667000000</v>
      </c>
      <c r="Q248" s="30">
        <v>664000000</v>
      </c>
      <c r="R248" s="30">
        <v>671000000</v>
      </c>
      <c r="S248" s="30">
        <v>682000000</v>
      </c>
      <c r="T248" s="30">
        <v>684000000</v>
      </c>
      <c r="U248" s="30">
        <v>677000000</v>
      </c>
      <c r="V248" s="30">
        <v>676000000</v>
      </c>
      <c r="W248" s="30">
        <v>703000000</v>
      </c>
      <c r="X248" s="30">
        <v>763000000</v>
      </c>
      <c r="Y248" s="30">
        <v>762000000</v>
      </c>
      <c r="Z248" s="30">
        <v>760000000</v>
      </c>
      <c r="AA248" s="30">
        <v>735000000</v>
      </c>
      <c r="AB248" s="30">
        <v>660000000</v>
      </c>
      <c r="AC248" s="30">
        <v>606000000</v>
      </c>
      <c r="AD248" t="str">
        <f t="shared" si="3"/>
        <v>Summer</v>
      </c>
      <c r="AE248" t="str">
        <f>INDEX('Category Mapping'!$B$2:$B$25,MATCH('Source Data'!A248,'Category Mapping'!$A$2:$A$25,0))</f>
        <v>Weekday</v>
      </c>
      <c r="AF248" t="str">
        <f>INDEX('Category Mapping'!$C$2:$C$25,MATCH('Source Data'!A248,'Category Mapping'!$A$2:$A$25,0))</f>
        <v>All Sectors</v>
      </c>
      <c r="AG248" t="str">
        <f>INDEX('Category Mapping'!$D$2:$D$25,MATCH('Source Data'!A248,'Category Mapping'!$A$2:$A$25,0))</f>
        <v>Total</v>
      </c>
    </row>
    <row r="249" spans="1:33" x14ac:dyDescent="0.3">
      <c r="A249" s="16" t="s">
        <v>113</v>
      </c>
      <c r="B249" s="17">
        <v>2019</v>
      </c>
      <c r="C249" s="45">
        <v>3</v>
      </c>
      <c r="D249" s="17" t="s">
        <v>93</v>
      </c>
      <c r="E249" s="17">
        <v>7</v>
      </c>
      <c r="F249" s="31">
        <v>559000000</v>
      </c>
      <c r="G249" s="31">
        <v>531000000</v>
      </c>
      <c r="H249" s="31">
        <v>515000000</v>
      </c>
      <c r="I249" s="31">
        <v>508000000</v>
      </c>
      <c r="J249" s="31">
        <v>513000000</v>
      </c>
      <c r="K249" s="31">
        <v>536000000</v>
      </c>
      <c r="L249" s="31">
        <v>553000000</v>
      </c>
      <c r="M249" s="31">
        <v>598000000</v>
      </c>
      <c r="N249" s="31">
        <v>645000000</v>
      </c>
      <c r="O249" s="31">
        <v>658000000</v>
      </c>
      <c r="P249" s="31">
        <v>655000000</v>
      </c>
      <c r="Q249" s="31">
        <v>652000000</v>
      </c>
      <c r="R249" s="31">
        <v>658000000</v>
      </c>
      <c r="S249" s="31">
        <v>669000000</v>
      </c>
      <c r="T249" s="31">
        <v>671000000</v>
      </c>
      <c r="U249" s="31">
        <v>664000000</v>
      </c>
      <c r="V249" s="31">
        <v>663000000</v>
      </c>
      <c r="W249" s="31">
        <v>691000000</v>
      </c>
      <c r="X249" s="31">
        <v>750000000</v>
      </c>
      <c r="Y249" s="31">
        <v>750000000</v>
      </c>
      <c r="Z249" s="31">
        <v>749000000</v>
      </c>
      <c r="AA249" s="31">
        <v>724000000</v>
      </c>
      <c r="AB249" s="31">
        <v>650000000</v>
      </c>
      <c r="AC249" s="31">
        <v>596000000</v>
      </c>
      <c r="AD249" t="str">
        <f t="shared" si="3"/>
        <v>Summer</v>
      </c>
      <c r="AE249" t="str">
        <f>INDEX('Category Mapping'!$B$2:$B$25,MATCH('Source Data'!A249,'Category Mapping'!$A$2:$A$25,0))</f>
        <v>Weekday</v>
      </c>
      <c r="AF249" t="str">
        <f>INDEX('Category Mapping'!$C$2:$C$25,MATCH('Source Data'!A249,'Category Mapping'!$A$2:$A$25,0))</f>
        <v>All Sectors</v>
      </c>
      <c r="AG249" t="str">
        <f>INDEX('Category Mapping'!$D$2:$D$25,MATCH('Source Data'!A249,'Category Mapping'!$A$2:$A$25,0))</f>
        <v>Total</v>
      </c>
    </row>
    <row r="250" spans="1:33" x14ac:dyDescent="0.3">
      <c r="A250" s="18" t="s">
        <v>113</v>
      </c>
      <c r="B250" s="19">
        <v>2019</v>
      </c>
      <c r="C250" s="39">
        <v>3</v>
      </c>
      <c r="D250" s="19" t="s">
        <v>93</v>
      </c>
      <c r="E250" s="19">
        <v>8</v>
      </c>
      <c r="F250" s="30">
        <v>569000000</v>
      </c>
      <c r="G250" s="30">
        <v>540000000</v>
      </c>
      <c r="H250" s="30">
        <v>525000000</v>
      </c>
      <c r="I250" s="30">
        <v>518000000</v>
      </c>
      <c r="J250" s="30">
        <v>523000000</v>
      </c>
      <c r="K250" s="30">
        <v>546000000</v>
      </c>
      <c r="L250" s="30">
        <v>568000000</v>
      </c>
      <c r="M250" s="30">
        <v>609000000</v>
      </c>
      <c r="N250" s="30">
        <v>656000000</v>
      </c>
      <c r="O250" s="30">
        <v>669000000</v>
      </c>
      <c r="P250" s="30">
        <v>666000000</v>
      </c>
      <c r="Q250" s="30">
        <v>663000000</v>
      </c>
      <c r="R250" s="30">
        <v>669000000</v>
      </c>
      <c r="S250" s="30">
        <v>680000000</v>
      </c>
      <c r="T250" s="30">
        <v>683000000</v>
      </c>
      <c r="U250" s="30">
        <v>676000000</v>
      </c>
      <c r="V250" s="30">
        <v>675000000</v>
      </c>
      <c r="W250" s="30">
        <v>709000000</v>
      </c>
      <c r="X250" s="30">
        <v>763000000</v>
      </c>
      <c r="Y250" s="30">
        <v>762000000</v>
      </c>
      <c r="Z250" s="30">
        <v>761000000</v>
      </c>
      <c r="AA250" s="30">
        <v>736000000</v>
      </c>
      <c r="AB250" s="30">
        <v>660000000</v>
      </c>
      <c r="AC250" s="30">
        <v>606000000</v>
      </c>
      <c r="AD250" t="str">
        <f t="shared" si="3"/>
        <v>Summer</v>
      </c>
      <c r="AE250" t="str">
        <f>INDEX('Category Mapping'!$B$2:$B$25,MATCH('Source Data'!A250,'Category Mapping'!$A$2:$A$25,0))</f>
        <v>Weekday</v>
      </c>
      <c r="AF250" t="str">
        <f>INDEX('Category Mapping'!$C$2:$C$25,MATCH('Source Data'!A250,'Category Mapping'!$A$2:$A$25,0))</f>
        <v>All Sectors</v>
      </c>
      <c r="AG250" t="str">
        <f>INDEX('Category Mapping'!$D$2:$D$25,MATCH('Source Data'!A250,'Category Mapping'!$A$2:$A$25,0))</f>
        <v>Total</v>
      </c>
    </row>
    <row r="251" spans="1:33" x14ac:dyDescent="0.3">
      <c r="A251" s="16" t="s">
        <v>113</v>
      </c>
      <c r="B251" s="17">
        <v>2019</v>
      </c>
      <c r="C251" s="45">
        <v>3</v>
      </c>
      <c r="D251" s="17" t="s">
        <v>93</v>
      </c>
      <c r="E251" s="17">
        <v>9</v>
      </c>
      <c r="F251" s="31">
        <v>569000000</v>
      </c>
      <c r="G251" s="31">
        <v>540000000</v>
      </c>
      <c r="H251" s="31">
        <v>525000000</v>
      </c>
      <c r="I251" s="31">
        <v>518000000</v>
      </c>
      <c r="J251" s="31">
        <v>522000000</v>
      </c>
      <c r="K251" s="31">
        <v>546000000</v>
      </c>
      <c r="L251" s="31">
        <v>577000000</v>
      </c>
      <c r="M251" s="31">
        <v>608000000</v>
      </c>
      <c r="N251" s="31">
        <v>654000000</v>
      </c>
      <c r="O251" s="31">
        <v>666000000</v>
      </c>
      <c r="P251" s="31">
        <v>662000000</v>
      </c>
      <c r="Q251" s="31">
        <v>658000000</v>
      </c>
      <c r="R251" s="31">
        <v>664000000</v>
      </c>
      <c r="S251" s="31">
        <v>675000000</v>
      </c>
      <c r="T251" s="31">
        <v>677000000</v>
      </c>
      <c r="U251" s="31">
        <v>670000000</v>
      </c>
      <c r="V251" s="31">
        <v>669000000</v>
      </c>
      <c r="W251" s="31">
        <v>719000000</v>
      </c>
      <c r="X251" s="31">
        <v>759000000</v>
      </c>
      <c r="Y251" s="31">
        <v>759000000</v>
      </c>
      <c r="Z251" s="31">
        <v>758000000</v>
      </c>
      <c r="AA251" s="31">
        <v>734000000</v>
      </c>
      <c r="AB251" s="31">
        <v>659000000</v>
      </c>
      <c r="AC251" s="31">
        <v>605000000</v>
      </c>
      <c r="AD251" t="str">
        <f t="shared" si="3"/>
        <v>Fall</v>
      </c>
      <c r="AE251" t="str">
        <f>INDEX('Category Mapping'!$B$2:$B$25,MATCH('Source Data'!A251,'Category Mapping'!$A$2:$A$25,0))</f>
        <v>Weekday</v>
      </c>
      <c r="AF251" t="str">
        <f>INDEX('Category Mapping'!$C$2:$C$25,MATCH('Source Data'!A251,'Category Mapping'!$A$2:$A$25,0))</f>
        <v>All Sectors</v>
      </c>
      <c r="AG251" t="str">
        <f>INDEX('Category Mapping'!$D$2:$D$25,MATCH('Source Data'!A251,'Category Mapping'!$A$2:$A$25,0))</f>
        <v>Total</v>
      </c>
    </row>
    <row r="252" spans="1:33" x14ac:dyDescent="0.3">
      <c r="A252" s="18" t="s">
        <v>113</v>
      </c>
      <c r="B252" s="19">
        <v>2019</v>
      </c>
      <c r="C252" s="39">
        <v>3</v>
      </c>
      <c r="D252" s="19" t="s">
        <v>93</v>
      </c>
      <c r="E252" s="19">
        <v>10</v>
      </c>
      <c r="F252" s="30">
        <v>564000000</v>
      </c>
      <c r="G252" s="30">
        <v>535000000</v>
      </c>
      <c r="H252" s="30">
        <v>520000000</v>
      </c>
      <c r="I252" s="30">
        <v>513000000</v>
      </c>
      <c r="J252" s="30">
        <v>517000000</v>
      </c>
      <c r="K252" s="30">
        <v>541000000</v>
      </c>
      <c r="L252" s="30">
        <v>591000000</v>
      </c>
      <c r="M252" s="30">
        <v>606000000</v>
      </c>
      <c r="N252" s="30">
        <v>649000000</v>
      </c>
      <c r="O252" s="30">
        <v>660000000</v>
      </c>
      <c r="P252" s="30">
        <v>655000000</v>
      </c>
      <c r="Q252" s="30">
        <v>651000000</v>
      </c>
      <c r="R252" s="30">
        <v>656000000</v>
      </c>
      <c r="S252" s="30">
        <v>667000000</v>
      </c>
      <c r="T252" s="30">
        <v>668000000</v>
      </c>
      <c r="U252" s="30">
        <v>661000000</v>
      </c>
      <c r="V252" s="30">
        <v>663000000</v>
      </c>
      <c r="W252" s="30">
        <v>735000000</v>
      </c>
      <c r="X252" s="30">
        <v>751000000</v>
      </c>
      <c r="Y252" s="30">
        <v>751000000</v>
      </c>
      <c r="Z252" s="30">
        <v>751000000</v>
      </c>
      <c r="AA252" s="30">
        <v>727000000</v>
      </c>
      <c r="AB252" s="30">
        <v>652000000</v>
      </c>
      <c r="AC252" s="30">
        <v>599000000</v>
      </c>
      <c r="AD252" t="str">
        <f t="shared" si="3"/>
        <v>Fall</v>
      </c>
      <c r="AE252" t="str">
        <f>INDEX('Category Mapping'!$B$2:$B$25,MATCH('Source Data'!A252,'Category Mapping'!$A$2:$A$25,0))</f>
        <v>Weekday</v>
      </c>
      <c r="AF252" t="str">
        <f>INDEX('Category Mapping'!$C$2:$C$25,MATCH('Source Data'!A252,'Category Mapping'!$A$2:$A$25,0))</f>
        <v>All Sectors</v>
      </c>
      <c r="AG252" t="str">
        <f>INDEX('Category Mapping'!$D$2:$D$25,MATCH('Source Data'!A252,'Category Mapping'!$A$2:$A$25,0))</f>
        <v>Total</v>
      </c>
    </row>
    <row r="253" spans="1:33" x14ac:dyDescent="0.3">
      <c r="A253" s="16" t="s">
        <v>113</v>
      </c>
      <c r="B253" s="17">
        <v>2019</v>
      </c>
      <c r="C253" s="45">
        <v>3</v>
      </c>
      <c r="D253" s="17" t="s">
        <v>93</v>
      </c>
      <c r="E253" s="17">
        <v>11</v>
      </c>
      <c r="F253" s="31">
        <v>564000000</v>
      </c>
      <c r="G253" s="31">
        <v>535000000</v>
      </c>
      <c r="H253" s="31">
        <v>520000000</v>
      </c>
      <c r="I253" s="31">
        <v>513000000</v>
      </c>
      <c r="J253" s="31">
        <v>517000000</v>
      </c>
      <c r="K253" s="31">
        <v>540000000</v>
      </c>
      <c r="L253" s="31">
        <v>588000000</v>
      </c>
      <c r="M253" s="31">
        <v>612000000</v>
      </c>
      <c r="N253" s="31">
        <v>650000000</v>
      </c>
      <c r="O253" s="31">
        <v>658000000</v>
      </c>
      <c r="P253" s="31">
        <v>652000000</v>
      </c>
      <c r="Q253" s="31">
        <v>646000000</v>
      </c>
      <c r="R253" s="31">
        <v>651000000</v>
      </c>
      <c r="S253" s="31">
        <v>661000000</v>
      </c>
      <c r="T253" s="31">
        <v>662000000</v>
      </c>
      <c r="U253" s="31">
        <v>655000000</v>
      </c>
      <c r="V253" s="31">
        <v>662000000</v>
      </c>
      <c r="W253" s="31">
        <v>732000000</v>
      </c>
      <c r="X253" s="31">
        <v>748000000</v>
      </c>
      <c r="Y253" s="31">
        <v>751000000</v>
      </c>
      <c r="Z253" s="31">
        <v>752000000</v>
      </c>
      <c r="AA253" s="31">
        <v>729000000</v>
      </c>
      <c r="AB253" s="31">
        <v>654000000</v>
      </c>
      <c r="AC253" s="31">
        <v>599000000</v>
      </c>
      <c r="AD253" t="str">
        <f t="shared" si="3"/>
        <v>Winter</v>
      </c>
      <c r="AE253" t="str">
        <f>INDEX('Category Mapping'!$B$2:$B$25,MATCH('Source Data'!A253,'Category Mapping'!$A$2:$A$25,0))</f>
        <v>Weekday</v>
      </c>
      <c r="AF253" t="str">
        <f>INDEX('Category Mapping'!$C$2:$C$25,MATCH('Source Data'!A253,'Category Mapping'!$A$2:$A$25,0))</f>
        <v>All Sectors</v>
      </c>
      <c r="AG253" t="str">
        <f>INDEX('Category Mapping'!$D$2:$D$25,MATCH('Source Data'!A253,'Category Mapping'!$A$2:$A$25,0))</f>
        <v>Total</v>
      </c>
    </row>
    <row r="254" spans="1:33" x14ac:dyDescent="0.3">
      <c r="A254" s="18" t="s">
        <v>113</v>
      </c>
      <c r="B254" s="19">
        <v>2019</v>
      </c>
      <c r="C254" s="39">
        <v>3</v>
      </c>
      <c r="D254" s="19" t="s">
        <v>93</v>
      </c>
      <c r="E254" s="19">
        <v>12</v>
      </c>
      <c r="F254" s="30">
        <v>552000000</v>
      </c>
      <c r="G254" s="30">
        <v>524000000</v>
      </c>
      <c r="H254" s="30">
        <v>508000000</v>
      </c>
      <c r="I254" s="30">
        <v>501000000</v>
      </c>
      <c r="J254" s="30">
        <v>506000000</v>
      </c>
      <c r="K254" s="30">
        <v>528000000</v>
      </c>
      <c r="L254" s="30">
        <v>576000000</v>
      </c>
      <c r="M254" s="30">
        <v>604000000</v>
      </c>
      <c r="N254" s="30">
        <v>639000000</v>
      </c>
      <c r="O254" s="30">
        <v>646000000</v>
      </c>
      <c r="P254" s="30">
        <v>639000000</v>
      </c>
      <c r="Q254" s="30">
        <v>632000000</v>
      </c>
      <c r="R254" s="30">
        <v>637000000</v>
      </c>
      <c r="S254" s="30">
        <v>646000000</v>
      </c>
      <c r="T254" s="30">
        <v>647000000</v>
      </c>
      <c r="U254" s="30">
        <v>640000000</v>
      </c>
      <c r="V254" s="30">
        <v>651000000</v>
      </c>
      <c r="W254" s="30">
        <v>718000000</v>
      </c>
      <c r="X254" s="30">
        <v>736000000</v>
      </c>
      <c r="Y254" s="30">
        <v>739000000</v>
      </c>
      <c r="Z254" s="30">
        <v>741000000</v>
      </c>
      <c r="AA254" s="30">
        <v>718000000</v>
      </c>
      <c r="AB254" s="30">
        <v>644000000</v>
      </c>
      <c r="AC254" s="30">
        <v>586000000</v>
      </c>
      <c r="AD254" t="str">
        <f t="shared" si="3"/>
        <v>Winter</v>
      </c>
      <c r="AE254" t="str">
        <f>INDEX('Category Mapping'!$B$2:$B$25,MATCH('Source Data'!A254,'Category Mapping'!$A$2:$A$25,0))</f>
        <v>Weekday</v>
      </c>
      <c r="AF254" t="str">
        <f>INDEX('Category Mapping'!$C$2:$C$25,MATCH('Source Data'!A254,'Category Mapping'!$A$2:$A$25,0))</f>
        <v>All Sectors</v>
      </c>
      <c r="AG254" t="str">
        <f>INDEX('Category Mapping'!$D$2:$D$25,MATCH('Source Data'!A254,'Category Mapping'!$A$2:$A$25,0))</f>
        <v>Total</v>
      </c>
    </row>
    <row r="255" spans="1:33" x14ac:dyDescent="0.3">
      <c r="A255" s="16" t="s">
        <v>114</v>
      </c>
      <c r="B255" s="17">
        <v>2019</v>
      </c>
      <c r="C255" s="45">
        <v>3</v>
      </c>
      <c r="D255" s="17" t="s">
        <v>93</v>
      </c>
      <c r="E255" s="17">
        <v>1</v>
      </c>
      <c r="F255" s="31">
        <v>289000000</v>
      </c>
      <c r="G255" s="31">
        <v>275000000</v>
      </c>
      <c r="H255" s="31">
        <v>267000000</v>
      </c>
      <c r="I255" s="31">
        <v>261000000</v>
      </c>
      <c r="J255" s="31">
        <v>262000000</v>
      </c>
      <c r="K255" s="31">
        <v>266000000</v>
      </c>
      <c r="L255" s="31">
        <v>279000000</v>
      </c>
      <c r="M255" s="31">
        <v>284000000</v>
      </c>
      <c r="N255" s="31">
        <v>296000000</v>
      </c>
      <c r="O255" s="31">
        <v>313000000</v>
      </c>
      <c r="P255" s="31">
        <v>331000000</v>
      </c>
      <c r="Q255" s="31">
        <v>343000000</v>
      </c>
      <c r="R255" s="31">
        <v>339000000</v>
      </c>
      <c r="S255" s="31">
        <v>336000000</v>
      </c>
      <c r="T255" s="31">
        <v>340000000</v>
      </c>
      <c r="U255" s="31">
        <v>335000000</v>
      </c>
      <c r="V255" s="31">
        <v>337000000</v>
      </c>
      <c r="W255" s="31">
        <v>369000000</v>
      </c>
      <c r="X255" s="31">
        <v>378000000</v>
      </c>
      <c r="Y255" s="31">
        <v>381000000</v>
      </c>
      <c r="Z255" s="31">
        <v>379000000</v>
      </c>
      <c r="AA255" s="31">
        <v>365000000</v>
      </c>
      <c r="AB255" s="31">
        <v>336000000</v>
      </c>
      <c r="AC255" s="31">
        <v>308000000</v>
      </c>
      <c r="AD255" t="str">
        <f t="shared" si="3"/>
        <v>Winter</v>
      </c>
      <c r="AE255" t="str">
        <f>INDEX('Category Mapping'!$B$2:$B$25,MATCH('Source Data'!A255,'Category Mapping'!$A$2:$A$25,0))</f>
        <v>Weekend</v>
      </c>
      <c r="AF255" t="str">
        <f>INDEX('Category Mapping'!$C$2:$C$25,MATCH('Source Data'!A255,'Category Mapping'!$A$2:$A$25,0))</f>
        <v>All Sectors</v>
      </c>
      <c r="AG255" t="str">
        <f>INDEX('Category Mapping'!$D$2:$D$25,MATCH('Source Data'!A255,'Category Mapping'!$A$2:$A$25,0))</f>
        <v>Total</v>
      </c>
    </row>
    <row r="256" spans="1:33" x14ac:dyDescent="0.3">
      <c r="A256" s="18" t="s">
        <v>114</v>
      </c>
      <c r="B256" s="19">
        <v>2019</v>
      </c>
      <c r="C256" s="39">
        <v>3</v>
      </c>
      <c r="D256" s="19" t="s">
        <v>93</v>
      </c>
      <c r="E256" s="19">
        <v>2</v>
      </c>
      <c r="F256" s="30">
        <v>288000000</v>
      </c>
      <c r="G256" s="30">
        <v>275000000</v>
      </c>
      <c r="H256" s="30">
        <v>266000000</v>
      </c>
      <c r="I256" s="30">
        <v>261000000</v>
      </c>
      <c r="J256" s="30">
        <v>261000000</v>
      </c>
      <c r="K256" s="30">
        <v>265000000</v>
      </c>
      <c r="L256" s="30">
        <v>278000000</v>
      </c>
      <c r="M256" s="30">
        <v>281000000</v>
      </c>
      <c r="N256" s="30">
        <v>295000000</v>
      </c>
      <c r="O256" s="30">
        <v>312000000</v>
      </c>
      <c r="P256" s="30">
        <v>331000000</v>
      </c>
      <c r="Q256" s="30">
        <v>342000000</v>
      </c>
      <c r="R256" s="30">
        <v>339000000</v>
      </c>
      <c r="S256" s="30">
        <v>336000000</v>
      </c>
      <c r="T256" s="30">
        <v>340000000</v>
      </c>
      <c r="U256" s="30">
        <v>335000000</v>
      </c>
      <c r="V256" s="30">
        <v>333000000</v>
      </c>
      <c r="W256" s="30">
        <v>367000000</v>
      </c>
      <c r="X256" s="30">
        <v>376000000</v>
      </c>
      <c r="Y256" s="30">
        <v>379000000</v>
      </c>
      <c r="Z256" s="30">
        <v>377000000</v>
      </c>
      <c r="AA256" s="30">
        <v>363000000</v>
      </c>
      <c r="AB256" s="30">
        <v>335000000</v>
      </c>
      <c r="AC256" s="30">
        <v>307000000</v>
      </c>
      <c r="AD256" t="str">
        <f t="shared" si="3"/>
        <v>Winter</v>
      </c>
      <c r="AE256" t="str">
        <f>INDEX('Category Mapping'!$B$2:$B$25,MATCH('Source Data'!A256,'Category Mapping'!$A$2:$A$25,0))</f>
        <v>Weekend</v>
      </c>
      <c r="AF256" t="str">
        <f>INDEX('Category Mapping'!$C$2:$C$25,MATCH('Source Data'!A256,'Category Mapping'!$A$2:$A$25,0))</f>
        <v>All Sectors</v>
      </c>
      <c r="AG256" t="str">
        <f>INDEX('Category Mapping'!$D$2:$D$25,MATCH('Source Data'!A256,'Category Mapping'!$A$2:$A$25,0))</f>
        <v>Total</v>
      </c>
    </row>
    <row r="257" spans="1:33" x14ac:dyDescent="0.3">
      <c r="A257" s="16" t="s">
        <v>114</v>
      </c>
      <c r="B257" s="17">
        <v>2019</v>
      </c>
      <c r="C257" s="45">
        <v>3</v>
      </c>
      <c r="D257" s="17" t="s">
        <v>93</v>
      </c>
      <c r="E257" s="17">
        <v>3</v>
      </c>
      <c r="F257" s="31">
        <v>290000000</v>
      </c>
      <c r="G257" s="31">
        <v>276000000</v>
      </c>
      <c r="H257" s="31">
        <v>268000000</v>
      </c>
      <c r="I257" s="31">
        <v>262000000</v>
      </c>
      <c r="J257" s="31">
        <v>263000000</v>
      </c>
      <c r="K257" s="31">
        <v>267000000</v>
      </c>
      <c r="L257" s="31">
        <v>278000000</v>
      </c>
      <c r="M257" s="31">
        <v>281000000</v>
      </c>
      <c r="N257" s="31">
        <v>297000000</v>
      </c>
      <c r="O257" s="31">
        <v>315000000</v>
      </c>
      <c r="P257" s="31">
        <v>335000000</v>
      </c>
      <c r="Q257" s="31">
        <v>347000000</v>
      </c>
      <c r="R257" s="31">
        <v>344000000</v>
      </c>
      <c r="S257" s="31">
        <v>341000000</v>
      </c>
      <c r="T257" s="31">
        <v>346000000</v>
      </c>
      <c r="U257" s="31">
        <v>340000000</v>
      </c>
      <c r="V257" s="31">
        <v>336000000</v>
      </c>
      <c r="W257" s="31">
        <v>367000000</v>
      </c>
      <c r="X257" s="31">
        <v>379000000</v>
      </c>
      <c r="Y257" s="31">
        <v>381000000</v>
      </c>
      <c r="Z257" s="31">
        <v>379000000</v>
      </c>
      <c r="AA257" s="31">
        <v>365000000</v>
      </c>
      <c r="AB257" s="31">
        <v>336000000</v>
      </c>
      <c r="AC257" s="31">
        <v>308000000</v>
      </c>
      <c r="AD257" t="str">
        <f t="shared" si="3"/>
        <v>Spring</v>
      </c>
      <c r="AE257" t="str">
        <f>INDEX('Category Mapping'!$B$2:$B$25,MATCH('Source Data'!A257,'Category Mapping'!$A$2:$A$25,0))</f>
        <v>Weekend</v>
      </c>
      <c r="AF257" t="str">
        <f>INDEX('Category Mapping'!$C$2:$C$25,MATCH('Source Data'!A257,'Category Mapping'!$A$2:$A$25,0))</f>
        <v>All Sectors</v>
      </c>
      <c r="AG257" t="str">
        <f>INDEX('Category Mapping'!$D$2:$D$25,MATCH('Source Data'!A257,'Category Mapping'!$A$2:$A$25,0))</f>
        <v>Total</v>
      </c>
    </row>
    <row r="258" spans="1:33" x14ac:dyDescent="0.3">
      <c r="A258" s="18" t="s">
        <v>114</v>
      </c>
      <c r="B258" s="19">
        <v>2019</v>
      </c>
      <c r="C258" s="39">
        <v>3</v>
      </c>
      <c r="D258" s="19" t="s">
        <v>93</v>
      </c>
      <c r="E258" s="19">
        <v>4</v>
      </c>
      <c r="F258" s="30">
        <v>288000000</v>
      </c>
      <c r="G258" s="30">
        <v>274000000</v>
      </c>
      <c r="H258" s="30">
        <v>266000000</v>
      </c>
      <c r="I258" s="30">
        <v>261000000</v>
      </c>
      <c r="J258" s="30">
        <v>261000000</v>
      </c>
      <c r="K258" s="30">
        <v>265000000</v>
      </c>
      <c r="L258" s="30">
        <v>271000000</v>
      </c>
      <c r="M258" s="30">
        <v>280000000</v>
      </c>
      <c r="N258" s="30">
        <v>297000000</v>
      </c>
      <c r="O258" s="30">
        <v>316000000</v>
      </c>
      <c r="P258" s="30">
        <v>337000000</v>
      </c>
      <c r="Q258" s="30">
        <v>350000000</v>
      </c>
      <c r="R258" s="30">
        <v>348000000</v>
      </c>
      <c r="S258" s="30">
        <v>346000000</v>
      </c>
      <c r="T258" s="30">
        <v>351000000</v>
      </c>
      <c r="U258" s="30">
        <v>345000000</v>
      </c>
      <c r="V258" s="30">
        <v>339000000</v>
      </c>
      <c r="W258" s="30">
        <v>355000000</v>
      </c>
      <c r="X258" s="30">
        <v>382000000</v>
      </c>
      <c r="Y258" s="30">
        <v>383000000</v>
      </c>
      <c r="Z258" s="30">
        <v>379000000</v>
      </c>
      <c r="AA258" s="30">
        <v>365000000</v>
      </c>
      <c r="AB258" s="30">
        <v>335000000</v>
      </c>
      <c r="AC258" s="30">
        <v>307000000</v>
      </c>
      <c r="AD258" t="str">
        <f t="shared" si="3"/>
        <v>Spring</v>
      </c>
      <c r="AE258" t="str">
        <f>INDEX('Category Mapping'!$B$2:$B$25,MATCH('Source Data'!A258,'Category Mapping'!$A$2:$A$25,0))</f>
        <v>Weekend</v>
      </c>
      <c r="AF258" t="str">
        <f>INDEX('Category Mapping'!$C$2:$C$25,MATCH('Source Data'!A258,'Category Mapping'!$A$2:$A$25,0))</f>
        <v>All Sectors</v>
      </c>
      <c r="AG258" t="str">
        <f>INDEX('Category Mapping'!$D$2:$D$25,MATCH('Source Data'!A258,'Category Mapping'!$A$2:$A$25,0))</f>
        <v>Total</v>
      </c>
    </row>
    <row r="259" spans="1:33" x14ac:dyDescent="0.3">
      <c r="A259" s="16" t="s">
        <v>114</v>
      </c>
      <c r="B259" s="17">
        <v>2019</v>
      </c>
      <c r="C259" s="45">
        <v>3</v>
      </c>
      <c r="D259" s="17" t="s">
        <v>93</v>
      </c>
      <c r="E259" s="17">
        <v>5</v>
      </c>
      <c r="F259" s="31">
        <v>291000000</v>
      </c>
      <c r="G259" s="31">
        <v>277000000</v>
      </c>
      <c r="H259" s="31">
        <v>269000000</v>
      </c>
      <c r="I259" s="31">
        <v>263000000</v>
      </c>
      <c r="J259" s="31">
        <v>264000000</v>
      </c>
      <c r="K259" s="31">
        <v>268000000</v>
      </c>
      <c r="L259" s="31">
        <v>272000000</v>
      </c>
      <c r="M259" s="31">
        <v>284000000</v>
      </c>
      <c r="N259" s="31">
        <v>301000000</v>
      </c>
      <c r="O259" s="31">
        <v>320000000</v>
      </c>
      <c r="P259" s="31">
        <v>341000000</v>
      </c>
      <c r="Q259" s="31">
        <v>354000000</v>
      </c>
      <c r="R259" s="31">
        <v>352000000</v>
      </c>
      <c r="S259" s="31">
        <v>350000000</v>
      </c>
      <c r="T259" s="31">
        <v>354000000</v>
      </c>
      <c r="U259" s="31">
        <v>349000000</v>
      </c>
      <c r="V259" s="31">
        <v>343000000</v>
      </c>
      <c r="W259" s="31">
        <v>353000000</v>
      </c>
      <c r="X259" s="31">
        <v>385000000</v>
      </c>
      <c r="Y259" s="31">
        <v>386000000</v>
      </c>
      <c r="Z259" s="31">
        <v>383000000</v>
      </c>
      <c r="AA259" s="31">
        <v>368000000</v>
      </c>
      <c r="AB259" s="31">
        <v>338000000</v>
      </c>
      <c r="AC259" s="31">
        <v>310000000</v>
      </c>
      <c r="AD259" t="str">
        <f t="shared" si="3"/>
        <v>Spring</v>
      </c>
      <c r="AE259" t="str">
        <f>INDEX('Category Mapping'!$B$2:$B$25,MATCH('Source Data'!A259,'Category Mapping'!$A$2:$A$25,0))</f>
        <v>Weekend</v>
      </c>
      <c r="AF259" t="str">
        <f>INDEX('Category Mapping'!$C$2:$C$25,MATCH('Source Data'!A259,'Category Mapping'!$A$2:$A$25,0))</f>
        <v>All Sectors</v>
      </c>
      <c r="AG259" t="str">
        <f>INDEX('Category Mapping'!$D$2:$D$25,MATCH('Source Data'!A259,'Category Mapping'!$A$2:$A$25,0))</f>
        <v>Total</v>
      </c>
    </row>
    <row r="260" spans="1:33" x14ac:dyDescent="0.3">
      <c r="A260" s="18" t="s">
        <v>114</v>
      </c>
      <c r="B260" s="19">
        <v>2019</v>
      </c>
      <c r="C260" s="39">
        <v>3</v>
      </c>
      <c r="D260" s="19" t="s">
        <v>93</v>
      </c>
      <c r="E260" s="19">
        <v>6</v>
      </c>
      <c r="F260" s="30">
        <v>293000000</v>
      </c>
      <c r="G260" s="30">
        <v>279000000</v>
      </c>
      <c r="H260" s="30">
        <v>271000000</v>
      </c>
      <c r="I260" s="30">
        <v>265000000</v>
      </c>
      <c r="J260" s="30">
        <v>267000000</v>
      </c>
      <c r="K260" s="30">
        <v>270000000</v>
      </c>
      <c r="L260" s="30">
        <v>273000000</v>
      </c>
      <c r="M260" s="30">
        <v>286000000</v>
      </c>
      <c r="N260" s="30">
        <v>302000000</v>
      </c>
      <c r="O260" s="30">
        <v>321000000</v>
      </c>
      <c r="P260" s="30">
        <v>342000000</v>
      </c>
      <c r="Q260" s="30">
        <v>354000000</v>
      </c>
      <c r="R260" s="30">
        <v>352000000</v>
      </c>
      <c r="S260" s="30">
        <v>350000000</v>
      </c>
      <c r="T260" s="30">
        <v>354000000</v>
      </c>
      <c r="U260" s="30">
        <v>349000000</v>
      </c>
      <c r="V260" s="30">
        <v>343000000</v>
      </c>
      <c r="W260" s="30">
        <v>351000000</v>
      </c>
      <c r="X260" s="30">
        <v>386000000</v>
      </c>
      <c r="Y260" s="30">
        <v>387000000</v>
      </c>
      <c r="Z260" s="30">
        <v>384000000</v>
      </c>
      <c r="AA260" s="30">
        <v>369000000</v>
      </c>
      <c r="AB260" s="30">
        <v>340000000</v>
      </c>
      <c r="AC260" s="30">
        <v>312000000</v>
      </c>
      <c r="AD260" t="str">
        <f t="shared" ref="AD260:AD290" si="4">IF(AND(E260&gt;=3,E260&lt;=5),"Spring",IF(AND(E260&gt;=6,E260&lt;=8),"Summer",IF(AND(E260&gt;=9,E260&lt;=10),"Fall","Winter")))</f>
        <v>Summer</v>
      </c>
      <c r="AE260" t="str">
        <f>INDEX('Category Mapping'!$B$2:$B$25,MATCH('Source Data'!A260,'Category Mapping'!$A$2:$A$25,0))</f>
        <v>Weekend</v>
      </c>
      <c r="AF260" t="str">
        <f>INDEX('Category Mapping'!$C$2:$C$25,MATCH('Source Data'!A260,'Category Mapping'!$A$2:$A$25,0))</f>
        <v>All Sectors</v>
      </c>
      <c r="AG260" t="str">
        <f>INDEX('Category Mapping'!$D$2:$D$25,MATCH('Source Data'!A260,'Category Mapping'!$A$2:$A$25,0))</f>
        <v>Total</v>
      </c>
    </row>
    <row r="261" spans="1:33" x14ac:dyDescent="0.3">
      <c r="A261" s="16" t="s">
        <v>114</v>
      </c>
      <c r="B261" s="17">
        <v>2019</v>
      </c>
      <c r="C261" s="45">
        <v>3</v>
      </c>
      <c r="D261" s="17" t="s">
        <v>93</v>
      </c>
      <c r="E261" s="17">
        <v>7</v>
      </c>
      <c r="F261" s="31">
        <v>288000000</v>
      </c>
      <c r="G261" s="31">
        <v>274000000</v>
      </c>
      <c r="H261" s="31">
        <v>266000000</v>
      </c>
      <c r="I261" s="31">
        <v>260000000</v>
      </c>
      <c r="J261" s="31">
        <v>261000000</v>
      </c>
      <c r="K261" s="31">
        <v>265000000</v>
      </c>
      <c r="L261" s="31">
        <v>267000000</v>
      </c>
      <c r="M261" s="31">
        <v>280000000</v>
      </c>
      <c r="N261" s="31">
        <v>296000000</v>
      </c>
      <c r="O261" s="31">
        <v>315000000</v>
      </c>
      <c r="P261" s="31">
        <v>335000000</v>
      </c>
      <c r="Q261" s="31">
        <v>348000000</v>
      </c>
      <c r="R261" s="31">
        <v>346000000</v>
      </c>
      <c r="S261" s="31">
        <v>343000000</v>
      </c>
      <c r="T261" s="31">
        <v>348000000</v>
      </c>
      <c r="U261" s="31">
        <v>342000000</v>
      </c>
      <c r="V261" s="31">
        <v>337000000</v>
      </c>
      <c r="W261" s="31">
        <v>345000000</v>
      </c>
      <c r="X261" s="31">
        <v>379000000</v>
      </c>
      <c r="Y261" s="31">
        <v>381000000</v>
      </c>
      <c r="Z261" s="31">
        <v>378000000</v>
      </c>
      <c r="AA261" s="31">
        <v>364000000</v>
      </c>
      <c r="AB261" s="31">
        <v>335000000</v>
      </c>
      <c r="AC261" s="31">
        <v>307000000</v>
      </c>
      <c r="AD261" t="str">
        <f t="shared" si="4"/>
        <v>Summer</v>
      </c>
      <c r="AE261" t="str">
        <f>INDEX('Category Mapping'!$B$2:$B$25,MATCH('Source Data'!A261,'Category Mapping'!$A$2:$A$25,0))</f>
        <v>Weekend</v>
      </c>
      <c r="AF261" t="str">
        <f>INDEX('Category Mapping'!$C$2:$C$25,MATCH('Source Data'!A261,'Category Mapping'!$A$2:$A$25,0))</f>
        <v>All Sectors</v>
      </c>
      <c r="AG261" t="str">
        <f>INDEX('Category Mapping'!$D$2:$D$25,MATCH('Source Data'!A261,'Category Mapping'!$A$2:$A$25,0))</f>
        <v>Total</v>
      </c>
    </row>
    <row r="262" spans="1:33" x14ac:dyDescent="0.3">
      <c r="A262" s="18" t="s">
        <v>114</v>
      </c>
      <c r="B262" s="19">
        <v>2019</v>
      </c>
      <c r="C262" s="39">
        <v>3</v>
      </c>
      <c r="D262" s="19" t="s">
        <v>93</v>
      </c>
      <c r="E262" s="19">
        <v>8</v>
      </c>
      <c r="F262" s="30">
        <v>293000000</v>
      </c>
      <c r="G262" s="30">
        <v>279000000</v>
      </c>
      <c r="H262" s="30">
        <v>271000000</v>
      </c>
      <c r="I262" s="30">
        <v>265000000</v>
      </c>
      <c r="J262" s="30">
        <v>266000000</v>
      </c>
      <c r="K262" s="30">
        <v>270000000</v>
      </c>
      <c r="L262" s="30">
        <v>274000000</v>
      </c>
      <c r="M262" s="30">
        <v>285000000</v>
      </c>
      <c r="N262" s="30">
        <v>302000000</v>
      </c>
      <c r="O262" s="30">
        <v>321000000</v>
      </c>
      <c r="P262" s="30">
        <v>341000000</v>
      </c>
      <c r="Q262" s="30">
        <v>354000000</v>
      </c>
      <c r="R262" s="30">
        <v>351000000</v>
      </c>
      <c r="S262" s="30">
        <v>349000000</v>
      </c>
      <c r="T262" s="30">
        <v>354000000</v>
      </c>
      <c r="U262" s="30">
        <v>348000000</v>
      </c>
      <c r="V262" s="30">
        <v>343000000</v>
      </c>
      <c r="W262" s="30">
        <v>355000000</v>
      </c>
      <c r="X262" s="30">
        <v>386000000</v>
      </c>
      <c r="Y262" s="30">
        <v>387000000</v>
      </c>
      <c r="Z262" s="30">
        <v>384000000</v>
      </c>
      <c r="AA262" s="30">
        <v>370000000</v>
      </c>
      <c r="AB262" s="30">
        <v>340000000</v>
      </c>
      <c r="AC262" s="30">
        <v>312000000</v>
      </c>
      <c r="AD262" t="str">
        <f t="shared" si="4"/>
        <v>Summer</v>
      </c>
      <c r="AE262" t="str">
        <f>INDEX('Category Mapping'!$B$2:$B$25,MATCH('Source Data'!A262,'Category Mapping'!$A$2:$A$25,0))</f>
        <v>Weekend</v>
      </c>
      <c r="AF262" t="str">
        <f>INDEX('Category Mapping'!$C$2:$C$25,MATCH('Source Data'!A262,'Category Mapping'!$A$2:$A$25,0))</f>
        <v>All Sectors</v>
      </c>
      <c r="AG262" t="str">
        <f>INDEX('Category Mapping'!$D$2:$D$25,MATCH('Source Data'!A262,'Category Mapping'!$A$2:$A$25,0))</f>
        <v>Total</v>
      </c>
    </row>
    <row r="263" spans="1:33" x14ac:dyDescent="0.3">
      <c r="A263" s="16" t="s">
        <v>114</v>
      </c>
      <c r="B263" s="17">
        <v>2019</v>
      </c>
      <c r="C263" s="45">
        <v>3</v>
      </c>
      <c r="D263" s="17" t="s">
        <v>93</v>
      </c>
      <c r="E263" s="17">
        <v>9</v>
      </c>
      <c r="F263" s="31">
        <v>293000000</v>
      </c>
      <c r="G263" s="31">
        <v>279000000</v>
      </c>
      <c r="H263" s="31">
        <v>271000000</v>
      </c>
      <c r="I263" s="31">
        <v>265000000</v>
      </c>
      <c r="J263" s="31">
        <v>266000000</v>
      </c>
      <c r="K263" s="31">
        <v>270000000</v>
      </c>
      <c r="L263" s="31">
        <v>278000000</v>
      </c>
      <c r="M263" s="31">
        <v>284000000</v>
      </c>
      <c r="N263" s="31">
        <v>301000000</v>
      </c>
      <c r="O263" s="31">
        <v>319000000</v>
      </c>
      <c r="P263" s="31">
        <v>339000000</v>
      </c>
      <c r="Q263" s="31">
        <v>352000000</v>
      </c>
      <c r="R263" s="31">
        <v>349000000</v>
      </c>
      <c r="S263" s="31">
        <v>346000000</v>
      </c>
      <c r="T263" s="31">
        <v>351000000</v>
      </c>
      <c r="U263" s="31">
        <v>345000000</v>
      </c>
      <c r="V263" s="31">
        <v>340000000</v>
      </c>
      <c r="W263" s="31">
        <v>362000000</v>
      </c>
      <c r="X263" s="31">
        <v>384000000</v>
      </c>
      <c r="Y263" s="31">
        <v>386000000</v>
      </c>
      <c r="Z263" s="31">
        <v>384000000</v>
      </c>
      <c r="AA263" s="31">
        <v>369000000</v>
      </c>
      <c r="AB263" s="31">
        <v>340000000</v>
      </c>
      <c r="AC263" s="31">
        <v>312000000</v>
      </c>
      <c r="AD263" t="str">
        <f t="shared" si="4"/>
        <v>Fall</v>
      </c>
      <c r="AE263" t="str">
        <f>INDEX('Category Mapping'!$B$2:$B$25,MATCH('Source Data'!A263,'Category Mapping'!$A$2:$A$25,0))</f>
        <v>Weekend</v>
      </c>
      <c r="AF263" t="str">
        <f>INDEX('Category Mapping'!$C$2:$C$25,MATCH('Source Data'!A263,'Category Mapping'!$A$2:$A$25,0))</f>
        <v>All Sectors</v>
      </c>
      <c r="AG263" t="str">
        <f>INDEX('Category Mapping'!$D$2:$D$25,MATCH('Source Data'!A263,'Category Mapping'!$A$2:$A$25,0))</f>
        <v>Total</v>
      </c>
    </row>
    <row r="264" spans="1:33" x14ac:dyDescent="0.3">
      <c r="A264" s="18" t="s">
        <v>114</v>
      </c>
      <c r="B264" s="19">
        <v>2019</v>
      </c>
      <c r="C264" s="39">
        <v>3</v>
      </c>
      <c r="D264" s="19" t="s">
        <v>93</v>
      </c>
      <c r="E264" s="19">
        <v>10</v>
      </c>
      <c r="F264" s="30">
        <v>290000000</v>
      </c>
      <c r="G264" s="30">
        <v>277000000</v>
      </c>
      <c r="H264" s="30">
        <v>268000000</v>
      </c>
      <c r="I264" s="30">
        <v>263000000</v>
      </c>
      <c r="J264" s="30">
        <v>264000000</v>
      </c>
      <c r="K264" s="30">
        <v>267000000</v>
      </c>
      <c r="L264" s="30">
        <v>281000000</v>
      </c>
      <c r="M264" s="30">
        <v>283000000</v>
      </c>
      <c r="N264" s="30">
        <v>297000000</v>
      </c>
      <c r="O264" s="30">
        <v>316000000</v>
      </c>
      <c r="P264" s="30">
        <v>335000000</v>
      </c>
      <c r="Q264" s="30">
        <v>348000000</v>
      </c>
      <c r="R264" s="30">
        <v>345000000</v>
      </c>
      <c r="S264" s="30">
        <v>342000000</v>
      </c>
      <c r="T264" s="30">
        <v>347000000</v>
      </c>
      <c r="U264" s="30">
        <v>341000000</v>
      </c>
      <c r="V264" s="30">
        <v>338000000</v>
      </c>
      <c r="W264" s="30">
        <v>372000000</v>
      </c>
      <c r="X264" s="30">
        <v>381000000</v>
      </c>
      <c r="Y264" s="30">
        <v>383000000</v>
      </c>
      <c r="Z264" s="30">
        <v>380000000</v>
      </c>
      <c r="AA264" s="30">
        <v>366000000</v>
      </c>
      <c r="AB264" s="30">
        <v>337000000</v>
      </c>
      <c r="AC264" s="30">
        <v>309000000</v>
      </c>
      <c r="AD264" t="str">
        <f t="shared" si="4"/>
        <v>Fall</v>
      </c>
      <c r="AE264" t="str">
        <f>INDEX('Category Mapping'!$B$2:$B$25,MATCH('Source Data'!A264,'Category Mapping'!$A$2:$A$25,0))</f>
        <v>Weekend</v>
      </c>
      <c r="AF264" t="str">
        <f>INDEX('Category Mapping'!$C$2:$C$25,MATCH('Source Data'!A264,'Category Mapping'!$A$2:$A$25,0))</f>
        <v>All Sectors</v>
      </c>
      <c r="AG264" t="str">
        <f>INDEX('Category Mapping'!$D$2:$D$25,MATCH('Source Data'!A264,'Category Mapping'!$A$2:$A$25,0))</f>
        <v>Total</v>
      </c>
    </row>
    <row r="265" spans="1:33" x14ac:dyDescent="0.3">
      <c r="A265" s="16" t="s">
        <v>114</v>
      </c>
      <c r="B265" s="17">
        <v>2019</v>
      </c>
      <c r="C265" s="45">
        <v>3</v>
      </c>
      <c r="D265" s="17" t="s">
        <v>93</v>
      </c>
      <c r="E265" s="17">
        <v>11</v>
      </c>
      <c r="F265" s="31">
        <v>290000000</v>
      </c>
      <c r="G265" s="31">
        <v>277000000</v>
      </c>
      <c r="H265" s="31">
        <v>268000000</v>
      </c>
      <c r="I265" s="31">
        <v>263000000</v>
      </c>
      <c r="J265" s="31">
        <v>264000000</v>
      </c>
      <c r="K265" s="31">
        <v>267000000</v>
      </c>
      <c r="L265" s="31">
        <v>281000000</v>
      </c>
      <c r="M265" s="31">
        <v>284000000</v>
      </c>
      <c r="N265" s="31">
        <v>297000000</v>
      </c>
      <c r="O265" s="31">
        <v>315000000</v>
      </c>
      <c r="P265" s="31">
        <v>334000000</v>
      </c>
      <c r="Q265" s="31">
        <v>345000000</v>
      </c>
      <c r="R265" s="31">
        <v>342000000</v>
      </c>
      <c r="S265" s="31">
        <v>339000000</v>
      </c>
      <c r="T265" s="31">
        <v>344000000</v>
      </c>
      <c r="U265" s="31">
        <v>338000000</v>
      </c>
      <c r="V265" s="31">
        <v>338000000</v>
      </c>
      <c r="W265" s="31">
        <v>371000000</v>
      </c>
      <c r="X265" s="31">
        <v>380000000</v>
      </c>
      <c r="Y265" s="31">
        <v>383000000</v>
      </c>
      <c r="Z265" s="31">
        <v>381000000</v>
      </c>
      <c r="AA265" s="31">
        <v>367000000</v>
      </c>
      <c r="AB265" s="31">
        <v>338000000</v>
      </c>
      <c r="AC265" s="31">
        <v>309000000</v>
      </c>
      <c r="AD265" t="str">
        <f t="shared" si="4"/>
        <v>Winter</v>
      </c>
      <c r="AE265" t="str">
        <f>INDEX('Category Mapping'!$B$2:$B$25,MATCH('Source Data'!A265,'Category Mapping'!$A$2:$A$25,0))</f>
        <v>Weekend</v>
      </c>
      <c r="AF265" t="str">
        <f>INDEX('Category Mapping'!$C$2:$C$25,MATCH('Source Data'!A265,'Category Mapping'!$A$2:$A$25,0))</f>
        <v>All Sectors</v>
      </c>
      <c r="AG265" t="str">
        <f>INDEX('Category Mapping'!$D$2:$D$25,MATCH('Source Data'!A265,'Category Mapping'!$A$2:$A$25,0))</f>
        <v>Total</v>
      </c>
    </row>
    <row r="266" spans="1:33" x14ac:dyDescent="0.3">
      <c r="A266" s="18" t="s">
        <v>114</v>
      </c>
      <c r="B266" s="19">
        <v>2019</v>
      </c>
      <c r="C266" s="39">
        <v>3</v>
      </c>
      <c r="D266" s="19" t="s">
        <v>93</v>
      </c>
      <c r="E266" s="19">
        <v>12</v>
      </c>
      <c r="F266" s="30">
        <v>284000000</v>
      </c>
      <c r="G266" s="30">
        <v>271000000</v>
      </c>
      <c r="H266" s="30">
        <v>262000000</v>
      </c>
      <c r="I266" s="30">
        <v>257000000</v>
      </c>
      <c r="J266" s="30">
        <v>257000000</v>
      </c>
      <c r="K266" s="30">
        <v>261000000</v>
      </c>
      <c r="L266" s="30">
        <v>274000000</v>
      </c>
      <c r="M266" s="30">
        <v>280000000</v>
      </c>
      <c r="N266" s="30">
        <v>291000000</v>
      </c>
      <c r="O266" s="30">
        <v>308000000</v>
      </c>
      <c r="P266" s="30">
        <v>327000000</v>
      </c>
      <c r="Q266" s="30">
        <v>338000000</v>
      </c>
      <c r="R266" s="30">
        <v>335000000</v>
      </c>
      <c r="S266" s="30">
        <v>332000000</v>
      </c>
      <c r="T266" s="30">
        <v>336000000</v>
      </c>
      <c r="U266" s="30">
        <v>330000000</v>
      </c>
      <c r="V266" s="30">
        <v>333000000</v>
      </c>
      <c r="W266" s="30">
        <v>364000000</v>
      </c>
      <c r="X266" s="30">
        <v>374000000</v>
      </c>
      <c r="Y266" s="30">
        <v>376000000</v>
      </c>
      <c r="Z266" s="30">
        <v>374000000</v>
      </c>
      <c r="AA266" s="30">
        <v>361000000</v>
      </c>
      <c r="AB266" s="30">
        <v>332000000</v>
      </c>
      <c r="AC266" s="30">
        <v>303000000</v>
      </c>
      <c r="AD266" t="str">
        <f t="shared" si="4"/>
        <v>Winter</v>
      </c>
      <c r="AE266" t="str">
        <f>INDEX('Category Mapping'!$B$2:$B$25,MATCH('Source Data'!A266,'Category Mapping'!$A$2:$A$25,0))</f>
        <v>Weekend</v>
      </c>
      <c r="AF266" t="str">
        <f>INDEX('Category Mapping'!$C$2:$C$25,MATCH('Source Data'!A266,'Category Mapping'!$A$2:$A$25,0))</f>
        <v>All Sectors</v>
      </c>
      <c r="AG266" t="str">
        <f>INDEX('Category Mapping'!$D$2:$D$25,MATCH('Source Data'!A266,'Category Mapping'!$A$2:$A$25,0))</f>
        <v>Total</v>
      </c>
    </row>
    <row r="267" spans="1:33" x14ac:dyDescent="0.3">
      <c r="A267" s="16" t="s">
        <v>115</v>
      </c>
      <c r="B267" s="17">
        <v>2019</v>
      </c>
      <c r="C267" s="45">
        <v>3</v>
      </c>
      <c r="D267" s="17" t="s">
        <v>93</v>
      </c>
      <c r="E267" s="17">
        <v>1</v>
      </c>
      <c r="F267" s="31">
        <v>1810000</v>
      </c>
      <c r="G267" s="31">
        <v>1810000</v>
      </c>
      <c r="H267" s="31">
        <v>1810000</v>
      </c>
      <c r="I267" s="31">
        <v>1810000</v>
      </c>
      <c r="J267" s="31">
        <v>1810000</v>
      </c>
      <c r="K267" s="31">
        <v>1810000</v>
      </c>
      <c r="L267" s="31">
        <v>2620000</v>
      </c>
      <c r="M267" s="31">
        <v>5260000</v>
      </c>
      <c r="N267" s="31">
        <v>5330000</v>
      </c>
      <c r="O267" s="31">
        <v>4790000</v>
      </c>
      <c r="P267" s="31">
        <v>3960000</v>
      </c>
      <c r="Q267" s="31">
        <v>3960000</v>
      </c>
      <c r="R267" s="31">
        <v>3970000</v>
      </c>
      <c r="S267" s="31">
        <v>3970000</v>
      </c>
      <c r="T267" s="31">
        <v>3960000</v>
      </c>
      <c r="U267" s="31">
        <v>4770000</v>
      </c>
      <c r="V267" s="31">
        <v>5310000</v>
      </c>
      <c r="W267" s="31">
        <v>5350000</v>
      </c>
      <c r="X267" s="31">
        <v>4850000</v>
      </c>
      <c r="Y267" s="31">
        <v>4010000</v>
      </c>
      <c r="Z267" s="31">
        <v>3960000</v>
      </c>
      <c r="AA267" s="31">
        <v>3930000</v>
      </c>
      <c r="AB267" s="31">
        <v>3900000</v>
      </c>
      <c r="AC267" s="31">
        <v>2620000</v>
      </c>
      <c r="AD267" t="str">
        <f t="shared" si="4"/>
        <v>Winter</v>
      </c>
      <c r="AE267" t="str">
        <f>INDEX('Category Mapping'!$B$2:$B$25,MATCH('Source Data'!A267,'Category Mapping'!$A$2:$A$25,0))</f>
        <v>Weekday</v>
      </c>
      <c r="AF267" t="str">
        <f>INDEX('Category Mapping'!$C$2:$C$25,MATCH('Source Data'!A267,'Category Mapping'!$A$2:$A$25,0))</f>
        <v>Transportation</v>
      </c>
      <c r="AG267" t="str">
        <f>INDEX('Category Mapping'!$D$2:$D$25,MATCH('Source Data'!A267,'Category Mapping'!$A$2:$A$25,0))</f>
        <v>Transportation</v>
      </c>
    </row>
    <row r="268" spans="1:33" x14ac:dyDescent="0.3">
      <c r="A268" s="18" t="s">
        <v>115</v>
      </c>
      <c r="B268" s="19">
        <v>2019</v>
      </c>
      <c r="C268" s="39">
        <v>3</v>
      </c>
      <c r="D268" s="19" t="s">
        <v>93</v>
      </c>
      <c r="E268" s="19">
        <v>2</v>
      </c>
      <c r="F268" s="30">
        <v>1760000</v>
      </c>
      <c r="G268" s="30">
        <v>1760000</v>
      </c>
      <c r="H268" s="30">
        <v>1760000</v>
      </c>
      <c r="I268" s="30">
        <v>1760000</v>
      </c>
      <c r="J268" s="30">
        <v>1760000</v>
      </c>
      <c r="K268" s="30">
        <v>1760000</v>
      </c>
      <c r="L268" s="30">
        <v>2550000</v>
      </c>
      <c r="M268" s="30">
        <v>5120000</v>
      </c>
      <c r="N268" s="30">
        <v>5180000</v>
      </c>
      <c r="O268" s="30">
        <v>4670000</v>
      </c>
      <c r="P268" s="30">
        <v>3850000</v>
      </c>
      <c r="Q268" s="30">
        <v>3860000</v>
      </c>
      <c r="R268" s="30">
        <v>3870000</v>
      </c>
      <c r="S268" s="30">
        <v>3860000</v>
      </c>
      <c r="T268" s="30">
        <v>3860000</v>
      </c>
      <c r="U268" s="30">
        <v>4640000</v>
      </c>
      <c r="V268" s="30">
        <v>5170000</v>
      </c>
      <c r="W268" s="30">
        <v>5210000</v>
      </c>
      <c r="X268" s="30">
        <v>4720000</v>
      </c>
      <c r="Y268" s="30">
        <v>3910000</v>
      </c>
      <c r="Z268" s="30">
        <v>3850000</v>
      </c>
      <c r="AA268" s="30">
        <v>3820000</v>
      </c>
      <c r="AB268" s="30">
        <v>3790000</v>
      </c>
      <c r="AC268" s="30">
        <v>2540000</v>
      </c>
      <c r="AD268" t="str">
        <f t="shared" si="4"/>
        <v>Winter</v>
      </c>
      <c r="AE268" t="str">
        <f>INDEX('Category Mapping'!$B$2:$B$25,MATCH('Source Data'!A268,'Category Mapping'!$A$2:$A$25,0))</f>
        <v>Weekday</v>
      </c>
      <c r="AF268" t="str">
        <f>INDEX('Category Mapping'!$C$2:$C$25,MATCH('Source Data'!A268,'Category Mapping'!$A$2:$A$25,0))</f>
        <v>Transportation</v>
      </c>
      <c r="AG268" t="str">
        <f>INDEX('Category Mapping'!$D$2:$D$25,MATCH('Source Data'!A268,'Category Mapping'!$A$2:$A$25,0))</f>
        <v>Transportation</v>
      </c>
    </row>
    <row r="269" spans="1:33" x14ac:dyDescent="0.3">
      <c r="A269" s="16" t="s">
        <v>115</v>
      </c>
      <c r="B269" s="17">
        <v>2019</v>
      </c>
      <c r="C269" s="45">
        <v>3</v>
      </c>
      <c r="D269" s="17" t="s">
        <v>93</v>
      </c>
      <c r="E269" s="17">
        <v>3</v>
      </c>
      <c r="F269" s="31">
        <v>1710000</v>
      </c>
      <c r="G269" s="31">
        <v>1710000</v>
      </c>
      <c r="H269" s="31">
        <v>1710000</v>
      </c>
      <c r="I269" s="31">
        <v>1710000</v>
      </c>
      <c r="J269" s="31">
        <v>1710000</v>
      </c>
      <c r="K269" s="31">
        <v>1710000</v>
      </c>
      <c r="L269" s="31">
        <v>2480000</v>
      </c>
      <c r="M269" s="31">
        <v>4980000</v>
      </c>
      <c r="N269" s="31">
        <v>5040000</v>
      </c>
      <c r="O269" s="31">
        <v>4540000</v>
      </c>
      <c r="P269" s="31">
        <v>3750000</v>
      </c>
      <c r="Q269" s="31">
        <v>3750000</v>
      </c>
      <c r="R269" s="31">
        <v>3760000</v>
      </c>
      <c r="S269" s="31">
        <v>3760000</v>
      </c>
      <c r="T269" s="31">
        <v>3750000</v>
      </c>
      <c r="U269" s="31">
        <v>4510000</v>
      </c>
      <c r="V269" s="31">
        <v>5030000</v>
      </c>
      <c r="W269" s="31">
        <v>5070000</v>
      </c>
      <c r="X269" s="31">
        <v>4590000</v>
      </c>
      <c r="Y269" s="31">
        <v>3800000</v>
      </c>
      <c r="Z269" s="31">
        <v>3750000</v>
      </c>
      <c r="AA269" s="31">
        <v>3710000</v>
      </c>
      <c r="AB269" s="31">
        <v>3680000</v>
      </c>
      <c r="AC269" s="31">
        <v>2470000</v>
      </c>
      <c r="AD269" t="str">
        <f t="shared" si="4"/>
        <v>Spring</v>
      </c>
      <c r="AE269" t="str">
        <f>INDEX('Category Mapping'!$B$2:$B$25,MATCH('Source Data'!A269,'Category Mapping'!$A$2:$A$25,0))</f>
        <v>Weekday</v>
      </c>
      <c r="AF269" t="str">
        <f>INDEX('Category Mapping'!$C$2:$C$25,MATCH('Source Data'!A269,'Category Mapping'!$A$2:$A$25,0))</f>
        <v>Transportation</v>
      </c>
      <c r="AG269" t="str">
        <f>INDEX('Category Mapping'!$D$2:$D$25,MATCH('Source Data'!A269,'Category Mapping'!$A$2:$A$25,0))</f>
        <v>Transportation</v>
      </c>
    </row>
    <row r="270" spans="1:33" x14ac:dyDescent="0.3">
      <c r="A270" s="18" t="s">
        <v>115</v>
      </c>
      <c r="B270" s="19">
        <v>2019</v>
      </c>
      <c r="C270" s="39">
        <v>3</v>
      </c>
      <c r="D270" s="19" t="s">
        <v>93</v>
      </c>
      <c r="E270" s="19">
        <v>4</v>
      </c>
      <c r="F270" s="30">
        <v>1660000</v>
      </c>
      <c r="G270" s="30">
        <v>1660000</v>
      </c>
      <c r="H270" s="30">
        <v>1660000</v>
      </c>
      <c r="I270" s="30">
        <v>1660000</v>
      </c>
      <c r="J270" s="30">
        <v>1660000</v>
      </c>
      <c r="K270" s="30">
        <v>1660000</v>
      </c>
      <c r="L270" s="30">
        <v>2410000</v>
      </c>
      <c r="M270" s="30">
        <v>4830000</v>
      </c>
      <c r="N270" s="30">
        <v>4900000</v>
      </c>
      <c r="O270" s="30">
        <v>4410000</v>
      </c>
      <c r="P270" s="30">
        <v>3640000</v>
      </c>
      <c r="Q270" s="30">
        <v>3640000</v>
      </c>
      <c r="R270" s="30">
        <v>3650000</v>
      </c>
      <c r="S270" s="30">
        <v>3650000</v>
      </c>
      <c r="T270" s="30">
        <v>3640000</v>
      </c>
      <c r="U270" s="30">
        <v>4380000</v>
      </c>
      <c r="V270" s="30">
        <v>4880000</v>
      </c>
      <c r="W270" s="30">
        <v>4920000</v>
      </c>
      <c r="X270" s="30">
        <v>4460000</v>
      </c>
      <c r="Y270" s="30">
        <v>3690000</v>
      </c>
      <c r="Z270" s="30">
        <v>3640000</v>
      </c>
      <c r="AA270" s="30">
        <v>3600000</v>
      </c>
      <c r="AB270" s="30">
        <v>3570000</v>
      </c>
      <c r="AC270" s="30">
        <v>2400000</v>
      </c>
      <c r="AD270" t="str">
        <f t="shared" si="4"/>
        <v>Spring</v>
      </c>
      <c r="AE270" t="str">
        <f>INDEX('Category Mapping'!$B$2:$B$25,MATCH('Source Data'!A270,'Category Mapping'!$A$2:$A$25,0))</f>
        <v>Weekday</v>
      </c>
      <c r="AF270" t="str">
        <f>INDEX('Category Mapping'!$C$2:$C$25,MATCH('Source Data'!A270,'Category Mapping'!$A$2:$A$25,0))</f>
        <v>Transportation</v>
      </c>
      <c r="AG270" t="str">
        <f>INDEX('Category Mapping'!$D$2:$D$25,MATCH('Source Data'!A270,'Category Mapping'!$A$2:$A$25,0))</f>
        <v>Transportation</v>
      </c>
    </row>
    <row r="271" spans="1:33" x14ac:dyDescent="0.3">
      <c r="A271" s="16" t="s">
        <v>115</v>
      </c>
      <c r="B271" s="17">
        <v>2019</v>
      </c>
      <c r="C271" s="45">
        <v>3</v>
      </c>
      <c r="D271" s="17" t="s">
        <v>93</v>
      </c>
      <c r="E271" s="17">
        <v>5</v>
      </c>
      <c r="F271" s="31">
        <v>1610000</v>
      </c>
      <c r="G271" s="31">
        <v>1600000</v>
      </c>
      <c r="H271" s="31">
        <v>1600000</v>
      </c>
      <c r="I271" s="31">
        <v>1600000</v>
      </c>
      <c r="J271" s="31">
        <v>1600000</v>
      </c>
      <c r="K271" s="31">
        <v>1610000</v>
      </c>
      <c r="L271" s="31">
        <v>2330000</v>
      </c>
      <c r="M271" s="31">
        <v>4680000</v>
      </c>
      <c r="N271" s="31">
        <v>4740000</v>
      </c>
      <c r="O271" s="31">
        <v>4270000</v>
      </c>
      <c r="P271" s="31">
        <v>3520000</v>
      </c>
      <c r="Q271" s="31">
        <v>3530000</v>
      </c>
      <c r="R271" s="31">
        <v>3540000</v>
      </c>
      <c r="S271" s="31">
        <v>3530000</v>
      </c>
      <c r="T271" s="31">
        <v>3520000</v>
      </c>
      <c r="U271" s="31">
        <v>4240000</v>
      </c>
      <c r="V271" s="31">
        <v>4730000</v>
      </c>
      <c r="W271" s="31">
        <v>4770000</v>
      </c>
      <c r="X271" s="31">
        <v>4320000</v>
      </c>
      <c r="Y271" s="31">
        <v>3570000</v>
      </c>
      <c r="Z271" s="31">
        <v>3520000</v>
      </c>
      <c r="AA271" s="31">
        <v>3490000</v>
      </c>
      <c r="AB271" s="31">
        <v>3460000</v>
      </c>
      <c r="AC271" s="31">
        <v>2320000</v>
      </c>
      <c r="AD271" t="str">
        <f t="shared" si="4"/>
        <v>Spring</v>
      </c>
      <c r="AE271" t="str">
        <f>INDEX('Category Mapping'!$B$2:$B$25,MATCH('Source Data'!A271,'Category Mapping'!$A$2:$A$25,0))</f>
        <v>Weekday</v>
      </c>
      <c r="AF271" t="str">
        <f>INDEX('Category Mapping'!$C$2:$C$25,MATCH('Source Data'!A271,'Category Mapping'!$A$2:$A$25,0))</f>
        <v>Transportation</v>
      </c>
      <c r="AG271" t="str">
        <f>INDEX('Category Mapping'!$D$2:$D$25,MATCH('Source Data'!A271,'Category Mapping'!$A$2:$A$25,0))</f>
        <v>Transportation</v>
      </c>
    </row>
    <row r="272" spans="1:33" x14ac:dyDescent="0.3">
      <c r="A272" s="18" t="s">
        <v>115</v>
      </c>
      <c r="B272" s="19">
        <v>2019</v>
      </c>
      <c r="C272" s="39">
        <v>3</v>
      </c>
      <c r="D272" s="19" t="s">
        <v>93</v>
      </c>
      <c r="E272" s="19">
        <v>6</v>
      </c>
      <c r="F272" s="30">
        <v>1550000</v>
      </c>
      <c r="G272" s="30">
        <v>1550000</v>
      </c>
      <c r="H272" s="30">
        <v>1550000</v>
      </c>
      <c r="I272" s="30">
        <v>1550000</v>
      </c>
      <c r="J272" s="30">
        <v>1550000</v>
      </c>
      <c r="K272" s="30">
        <v>1560000</v>
      </c>
      <c r="L272" s="30">
        <v>2250000</v>
      </c>
      <c r="M272" s="30">
        <v>4520000</v>
      </c>
      <c r="N272" s="30">
        <v>4590000</v>
      </c>
      <c r="O272" s="30">
        <v>4130000</v>
      </c>
      <c r="P272" s="30">
        <v>3410000</v>
      </c>
      <c r="Q272" s="30">
        <v>3410000</v>
      </c>
      <c r="R272" s="30">
        <v>3420000</v>
      </c>
      <c r="S272" s="30">
        <v>3420000</v>
      </c>
      <c r="T272" s="30">
        <v>3410000</v>
      </c>
      <c r="U272" s="30">
        <v>4100000</v>
      </c>
      <c r="V272" s="30">
        <v>4570000</v>
      </c>
      <c r="W272" s="30">
        <v>4620000</v>
      </c>
      <c r="X272" s="30">
        <v>4180000</v>
      </c>
      <c r="Y272" s="30">
        <v>3460000</v>
      </c>
      <c r="Z272" s="30">
        <v>3410000</v>
      </c>
      <c r="AA272" s="30">
        <v>3370000</v>
      </c>
      <c r="AB272" s="30">
        <v>3340000</v>
      </c>
      <c r="AC272" s="30">
        <v>2240000</v>
      </c>
      <c r="AD272" t="str">
        <f t="shared" si="4"/>
        <v>Summer</v>
      </c>
      <c r="AE272" t="str">
        <f>INDEX('Category Mapping'!$B$2:$B$25,MATCH('Source Data'!A272,'Category Mapping'!$A$2:$A$25,0))</f>
        <v>Weekday</v>
      </c>
      <c r="AF272" t="str">
        <f>INDEX('Category Mapping'!$C$2:$C$25,MATCH('Source Data'!A272,'Category Mapping'!$A$2:$A$25,0))</f>
        <v>Transportation</v>
      </c>
      <c r="AG272" t="str">
        <f>INDEX('Category Mapping'!$D$2:$D$25,MATCH('Source Data'!A272,'Category Mapping'!$A$2:$A$25,0))</f>
        <v>Transportation</v>
      </c>
    </row>
    <row r="273" spans="1:33" x14ac:dyDescent="0.3">
      <c r="A273" s="16" t="s">
        <v>115</v>
      </c>
      <c r="B273" s="17">
        <v>2019</v>
      </c>
      <c r="C273" s="45">
        <v>3</v>
      </c>
      <c r="D273" s="17" t="s">
        <v>93</v>
      </c>
      <c r="E273" s="17">
        <v>7</v>
      </c>
      <c r="F273" s="31">
        <v>1510000</v>
      </c>
      <c r="G273" s="31">
        <v>1510000</v>
      </c>
      <c r="H273" s="31">
        <v>1510000</v>
      </c>
      <c r="I273" s="31">
        <v>1510000</v>
      </c>
      <c r="J273" s="31">
        <v>1510000</v>
      </c>
      <c r="K273" s="31">
        <v>1510000</v>
      </c>
      <c r="L273" s="31">
        <v>2190000</v>
      </c>
      <c r="M273" s="31">
        <v>4410000</v>
      </c>
      <c r="N273" s="31">
        <v>4470000</v>
      </c>
      <c r="O273" s="31">
        <v>4020000</v>
      </c>
      <c r="P273" s="31">
        <v>3320000</v>
      </c>
      <c r="Q273" s="31">
        <v>3320000</v>
      </c>
      <c r="R273" s="31">
        <v>3330000</v>
      </c>
      <c r="S273" s="31">
        <v>3330000</v>
      </c>
      <c r="T273" s="31">
        <v>3320000</v>
      </c>
      <c r="U273" s="31">
        <v>3990000</v>
      </c>
      <c r="V273" s="31">
        <v>4460000</v>
      </c>
      <c r="W273" s="31">
        <v>4500000</v>
      </c>
      <c r="X273" s="31">
        <v>4080000</v>
      </c>
      <c r="Y273" s="31">
        <v>3370000</v>
      </c>
      <c r="Z273" s="31">
        <v>3320000</v>
      </c>
      <c r="AA273" s="31">
        <v>3290000</v>
      </c>
      <c r="AB273" s="31">
        <v>3260000</v>
      </c>
      <c r="AC273" s="31">
        <v>2190000</v>
      </c>
      <c r="AD273" t="str">
        <f t="shared" si="4"/>
        <v>Summer</v>
      </c>
      <c r="AE273" t="str">
        <f>INDEX('Category Mapping'!$B$2:$B$25,MATCH('Source Data'!A273,'Category Mapping'!$A$2:$A$25,0))</f>
        <v>Weekday</v>
      </c>
      <c r="AF273" t="str">
        <f>INDEX('Category Mapping'!$C$2:$C$25,MATCH('Source Data'!A273,'Category Mapping'!$A$2:$A$25,0))</f>
        <v>Transportation</v>
      </c>
      <c r="AG273" t="str">
        <f>INDEX('Category Mapping'!$D$2:$D$25,MATCH('Source Data'!A273,'Category Mapping'!$A$2:$A$25,0))</f>
        <v>Transportation</v>
      </c>
    </row>
    <row r="274" spans="1:33" x14ac:dyDescent="0.3">
      <c r="A274" s="18" t="s">
        <v>115</v>
      </c>
      <c r="B274" s="19">
        <v>2019</v>
      </c>
      <c r="C274" s="39">
        <v>3</v>
      </c>
      <c r="D274" s="19" t="s">
        <v>93</v>
      </c>
      <c r="E274" s="19">
        <v>8</v>
      </c>
      <c r="F274" s="30">
        <v>1570000</v>
      </c>
      <c r="G274" s="30">
        <v>1570000</v>
      </c>
      <c r="H274" s="30">
        <v>1560000</v>
      </c>
      <c r="I274" s="30">
        <v>1570000</v>
      </c>
      <c r="J274" s="30">
        <v>1560000</v>
      </c>
      <c r="K274" s="30">
        <v>1570000</v>
      </c>
      <c r="L274" s="30">
        <v>2270000</v>
      </c>
      <c r="M274" s="30">
        <v>4570000</v>
      </c>
      <c r="N274" s="30">
        <v>4630000</v>
      </c>
      <c r="O274" s="30">
        <v>4170000</v>
      </c>
      <c r="P274" s="30">
        <v>3440000</v>
      </c>
      <c r="Q274" s="30">
        <v>3440000</v>
      </c>
      <c r="R274" s="30">
        <v>3450000</v>
      </c>
      <c r="S274" s="30">
        <v>3450000</v>
      </c>
      <c r="T274" s="30">
        <v>3440000</v>
      </c>
      <c r="U274" s="30">
        <v>4140000</v>
      </c>
      <c r="V274" s="30">
        <v>4620000</v>
      </c>
      <c r="W274" s="30">
        <v>4660000</v>
      </c>
      <c r="X274" s="30">
        <v>4220000</v>
      </c>
      <c r="Y274" s="30">
        <v>3490000</v>
      </c>
      <c r="Z274" s="30">
        <v>3440000</v>
      </c>
      <c r="AA274" s="30">
        <v>3410000</v>
      </c>
      <c r="AB274" s="30">
        <v>3380000</v>
      </c>
      <c r="AC274" s="30">
        <v>2270000</v>
      </c>
      <c r="AD274" t="str">
        <f t="shared" si="4"/>
        <v>Summer</v>
      </c>
      <c r="AE274" t="str">
        <f>INDEX('Category Mapping'!$B$2:$B$25,MATCH('Source Data'!A274,'Category Mapping'!$A$2:$A$25,0))</f>
        <v>Weekday</v>
      </c>
      <c r="AF274" t="str">
        <f>INDEX('Category Mapping'!$C$2:$C$25,MATCH('Source Data'!A274,'Category Mapping'!$A$2:$A$25,0))</f>
        <v>Transportation</v>
      </c>
      <c r="AG274" t="str">
        <f>INDEX('Category Mapping'!$D$2:$D$25,MATCH('Source Data'!A274,'Category Mapping'!$A$2:$A$25,0))</f>
        <v>Transportation</v>
      </c>
    </row>
    <row r="275" spans="1:33" x14ac:dyDescent="0.3">
      <c r="A275" s="16" t="s">
        <v>115</v>
      </c>
      <c r="B275" s="17">
        <v>2019</v>
      </c>
      <c r="C275" s="45">
        <v>3</v>
      </c>
      <c r="D275" s="17" t="s">
        <v>93</v>
      </c>
      <c r="E275" s="17">
        <v>9</v>
      </c>
      <c r="F275" s="31">
        <v>1640000</v>
      </c>
      <c r="G275" s="31">
        <v>1640000</v>
      </c>
      <c r="H275" s="31">
        <v>1640000</v>
      </c>
      <c r="I275" s="31">
        <v>1640000</v>
      </c>
      <c r="J275" s="31">
        <v>1640000</v>
      </c>
      <c r="K275" s="31">
        <v>1650000</v>
      </c>
      <c r="L275" s="31">
        <v>2380000</v>
      </c>
      <c r="M275" s="31">
        <v>4780000</v>
      </c>
      <c r="N275" s="31">
        <v>4840000</v>
      </c>
      <c r="O275" s="31">
        <v>4360000</v>
      </c>
      <c r="P275" s="31">
        <v>3600000</v>
      </c>
      <c r="Q275" s="31">
        <v>3600000</v>
      </c>
      <c r="R275" s="31">
        <v>3610000</v>
      </c>
      <c r="S275" s="31">
        <v>3610000</v>
      </c>
      <c r="T275" s="31">
        <v>3600000</v>
      </c>
      <c r="U275" s="31">
        <v>4330000</v>
      </c>
      <c r="V275" s="31">
        <v>4830000</v>
      </c>
      <c r="W275" s="31">
        <v>4870000</v>
      </c>
      <c r="X275" s="31">
        <v>4410000</v>
      </c>
      <c r="Y275" s="31">
        <v>3650000</v>
      </c>
      <c r="Z275" s="31">
        <v>3600000</v>
      </c>
      <c r="AA275" s="31">
        <v>3570000</v>
      </c>
      <c r="AB275" s="31">
        <v>3540000</v>
      </c>
      <c r="AC275" s="31">
        <v>2370000</v>
      </c>
      <c r="AD275" t="str">
        <f t="shared" si="4"/>
        <v>Fall</v>
      </c>
      <c r="AE275" t="str">
        <f>INDEX('Category Mapping'!$B$2:$B$25,MATCH('Source Data'!A275,'Category Mapping'!$A$2:$A$25,0))</f>
        <v>Weekday</v>
      </c>
      <c r="AF275" t="str">
        <f>INDEX('Category Mapping'!$C$2:$C$25,MATCH('Source Data'!A275,'Category Mapping'!$A$2:$A$25,0))</f>
        <v>Transportation</v>
      </c>
      <c r="AG275" t="str">
        <f>INDEX('Category Mapping'!$D$2:$D$25,MATCH('Source Data'!A275,'Category Mapping'!$A$2:$A$25,0))</f>
        <v>Transportation</v>
      </c>
    </row>
    <row r="276" spans="1:33" x14ac:dyDescent="0.3">
      <c r="A276" s="18" t="s">
        <v>115</v>
      </c>
      <c r="B276" s="19">
        <v>2019</v>
      </c>
      <c r="C276" s="39">
        <v>3</v>
      </c>
      <c r="D276" s="19" t="s">
        <v>93</v>
      </c>
      <c r="E276" s="19">
        <v>10</v>
      </c>
      <c r="F276" s="30">
        <v>1740000</v>
      </c>
      <c r="G276" s="30">
        <v>1730000</v>
      </c>
      <c r="H276" s="30">
        <v>1730000</v>
      </c>
      <c r="I276" s="30">
        <v>1730000</v>
      </c>
      <c r="J276" s="30">
        <v>1730000</v>
      </c>
      <c r="K276" s="30">
        <v>1740000</v>
      </c>
      <c r="L276" s="30">
        <v>2520000</v>
      </c>
      <c r="M276" s="30">
        <v>5050000</v>
      </c>
      <c r="N276" s="30">
        <v>5110000</v>
      </c>
      <c r="O276" s="30">
        <v>4600000</v>
      </c>
      <c r="P276" s="30">
        <v>3800000</v>
      </c>
      <c r="Q276" s="30">
        <v>3800000</v>
      </c>
      <c r="R276" s="30">
        <v>3810000</v>
      </c>
      <c r="S276" s="30">
        <v>3810000</v>
      </c>
      <c r="T276" s="30">
        <v>3800000</v>
      </c>
      <c r="U276" s="30">
        <v>4570000</v>
      </c>
      <c r="V276" s="30">
        <v>5100000</v>
      </c>
      <c r="W276" s="30">
        <v>5140000</v>
      </c>
      <c r="X276" s="30">
        <v>4650000</v>
      </c>
      <c r="Y276" s="30">
        <v>3850000</v>
      </c>
      <c r="Z276" s="30">
        <v>3800000</v>
      </c>
      <c r="AA276" s="30">
        <v>3770000</v>
      </c>
      <c r="AB276" s="30">
        <v>3740000</v>
      </c>
      <c r="AC276" s="30">
        <v>2510000</v>
      </c>
      <c r="AD276" t="str">
        <f t="shared" si="4"/>
        <v>Fall</v>
      </c>
      <c r="AE276" t="str">
        <f>INDEX('Category Mapping'!$B$2:$B$25,MATCH('Source Data'!A276,'Category Mapping'!$A$2:$A$25,0))</f>
        <v>Weekday</v>
      </c>
      <c r="AF276" t="str">
        <f>INDEX('Category Mapping'!$C$2:$C$25,MATCH('Source Data'!A276,'Category Mapping'!$A$2:$A$25,0))</f>
        <v>Transportation</v>
      </c>
      <c r="AG276" t="str">
        <f>INDEX('Category Mapping'!$D$2:$D$25,MATCH('Source Data'!A276,'Category Mapping'!$A$2:$A$25,0))</f>
        <v>Transportation</v>
      </c>
    </row>
    <row r="277" spans="1:33" x14ac:dyDescent="0.3">
      <c r="A277" s="16" t="s">
        <v>115</v>
      </c>
      <c r="B277" s="17">
        <v>2019</v>
      </c>
      <c r="C277" s="45">
        <v>3</v>
      </c>
      <c r="D277" s="17" t="s">
        <v>93</v>
      </c>
      <c r="E277" s="17">
        <v>11</v>
      </c>
      <c r="F277" s="31">
        <v>1760000</v>
      </c>
      <c r="G277" s="31">
        <v>1750000</v>
      </c>
      <c r="H277" s="31">
        <v>1750000</v>
      </c>
      <c r="I277" s="31">
        <v>1750000</v>
      </c>
      <c r="J277" s="31">
        <v>1750000</v>
      </c>
      <c r="K277" s="31">
        <v>1760000</v>
      </c>
      <c r="L277" s="31">
        <v>2550000</v>
      </c>
      <c r="M277" s="31">
        <v>5110000</v>
      </c>
      <c r="N277" s="31">
        <v>5170000</v>
      </c>
      <c r="O277" s="31">
        <v>4660000</v>
      </c>
      <c r="P277" s="31">
        <v>3850000</v>
      </c>
      <c r="Q277" s="31">
        <v>3850000</v>
      </c>
      <c r="R277" s="31">
        <v>3860000</v>
      </c>
      <c r="S277" s="31">
        <v>3860000</v>
      </c>
      <c r="T277" s="31">
        <v>3850000</v>
      </c>
      <c r="U277" s="31">
        <v>4630000</v>
      </c>
      <c r="V277" s="31">
        <v>5160000</v>
      </c>
      <c r="W277" s="31">
        <v>5200000</v>
      </c>
      <c r="X277" s="31">
        <v>4710000</v>
      </c>
      <c r="Y277" s="31">
        <v>3900000</v>
      </c>
      <c r="Z277" s="31">
        <v>3850000</v>
      </c>
      <c r="AA277" s="31">
        <v>3810000</v>
      </c>
      <c r="AB277" s="31">
        <v>3780000</v>
      </c>
      <c r="AC277" s="31">
        <v>2540000</v>
      </c>
      <c r="AD277" t="str">
        <f t="shared" si="4"/>
        <v>Winter</v>
      </c>
      <c r="AE277" t="str">
        <f>INDEX('Category Mapping'!$B$2:$B$25,MATCH('Source Data'!A277,'Category Mapping'!$A$2:$A$25,0))</f>
        <v>Weekday</v>
      </c>
      <c r="AF277" t="str">
        <f>INDEX('Category Mapping'!$C$2:$C$25,MATCH('Source Data'!A277,'Category Mapping'!$A$2:$A$25,0))</f>
        <v>Transportation</v>
      </c>
      <c r="AG277" t="str">
        <f>INDEX('Category Mapping'!$D$2:$D$25,MATCH('Source Data'!A277,'Category Mapping'!$A$2:$A$25,0))</f>
        <v>Transportation</v>
      </c>
    </row>
    <row r="278" spans="1:33" x14ac:dyDescent="0.3">
      <c r="A278" s="18" t="s">
        <v>115</v>
      </c>
      <c r="B278" s="19">
        <v>2019</v>
      </c>
      <c r="C278" s="39">
        <v>3</v>
      </c>
      <c r="D278" s="19" t="s">
        <v>93</v>
      </c>
      <c r="E278" s="19">
        <v>12</v>
      </c>
      <c r="F278" s="30">
        <v>1790000</v>
      </c>
      <c r="G278" s="30">
        <v>1780000</v>
      </c>
      <c r="H278" s="30">
        <v>1780000</v>
      </c>
      <c r="I278" s="30">
        <v>1780000</v>
      </c>
      <c r="J278" s="30">
        <v>1780000</v>
      </c>
      <c r="K278" s="30">
        <v>1790000</v>
      </c>
      <c r="L278" s="30">
        <v>2590000</v>
      </c>
      <c r="M278" s="30">
        <v>5190000</v>
      </c>
      <c r="N278" s="30">
        <v>5260000</v>
      </c>
      <c r="O278" s="30">
        <v>4730000</v>
      </c>
      <c r="P278" s="30">
        <v>3910000</v>
      </c>
      <c r="Q278" s="30">
        <v>3910000</v>
      </c>
      <c r="R278" s="30">
        <v>3920000</v>
      </c>
      <c r="S278" s="30">
        <v>3920000</v>
      </c>
      <c r="T278" s="30">
        <v>3910000</v>
      </c>
      <c r="U278" s="30">
        <v>4700000</v>
      </c>
      <c r="V278" s="30">
        <v>5240000</v>
      </c>
      <c r="W278" s="30">
        <v>5290000</v>
      </c>
      <c r="X278" s="30">
        <v>4790000</v>
      </c>
      <c r="Y278" s="30">
        <v>3960000</v>
      </c>
      <c r="Z278" s="30">
        <v>3910000</v>
      </c>
      <c r="AA278" s="30">
        <v>3880000</v>
      </c>
      <c r="AB278" s="30">
        <v>3850000</v>
      </c>
      <c r="AC278" s="30">
        <v>2580000</v>
      </c>
      <c r="AD278" t="str">
        <f t="shared" si="4"/>
        <v>Winter</v>
      </c>
      <c r="AE278" t="str">
        <f>INDEX('Category Mapping'!$B$2:$B$25,MATCH('Source Data'!A278,'Category Mapping'!$A$2:$A$25,0))</f>
        <v>Weekday</v>
      </c>
      <c r="AF278" t="str">
        <f>INDEX('Category Mapping'!$C$2:$C$25,MATCH('Source Data'!A278,'Category Mapping'!$A$2:$A$25,0))</f>
        <v>Transportation</v>
      </c>
      <c r="AG278" t="str">
        <f>INDEX('Category Mapping'!$D$2:$D$25,MATCH('Source Data'!A278,'Category Mapping'!$A$2:$A$25,0))</f>
        <v>Transportation</v>
      </c>
    </row>
    <row r="279" spans="1:33" x14ac:dyDescent="0.3">
      <c r="A279" s="16" t="s">
        <v>116</v>
      </c>
      <c r="B279" s="17">
        <v>2019</v>
      </c>
      <c r="C279" s="45">
        <v>3</v>
      </c>
      <c r="D279" s="17" t="s">
        <v>93</v>
      </c>
      <c r="E279" s="17">
        <v>1</v>
      </c>
      <c r="F279" s="31">
        <v>951000</v>
      </c>
      <c r="G279" s="31">
        <v>945000</v>
      </c>
      <c r="H279" s="31">
        <v>943000</v>
      </c>
      <c r="I279" s="31">
        <v>943000</v>
      </c>
      <c r="J279" s="31">
        <v>943000</v>
      </c>
      <c r="K279" s="31">
        <v>944000</v>
      </c>
      <c r="L279" s="31">
        <v>1150000</v>
      </c>
      <c r="M279" s="31">
        <v>1490000</v>
      </c>
      <c r="N279" s="31">
        <v>1710000</v>
      </c>
      <c r="O279" s="31">
        <v>1860000</v>
      </c>
      <c r="P279" s="31">
        <v>1940000</v>
      </c>
      <c r="Q279" s="31">
        <v>1940000</v>
      </c>
      <c r="R279" s="31">
        <v>1880000</v>
      </c>
      <c r="S279" s="31">
        <v>1740000</v>
      </c>
      <c r="T279" s="31">
        <v>1740000</v>
      </c>
      <c r="U279" s="31">
        <v>1730000</v>
      </c>
      <c r="V279" s="31">
        <v>2060000</v>
      </c>
      <c r="W279" s="31">
        <v>2060000</v>
      </c>
      <c r="X279" s="31">
        <v>2060000</v>
      </c>
      <c r="Y279" s="31">
        <v>2060000</v>
      </c>
      <c r="Z279" s="31">
        <v>2050000</v>
      </c>
      <c r="AA279" s="31">
        <v>2040000</v>
      </c>
      <c r="AB279" s="31">
        <v>2030000</v>
      </c>
      <c r="AC279" s="31">
        <v>1370000</v>
      </c>
      <c r="AD279" t="str">
        <f t="shared" si="4"/>
        <v>Winter</v>
      </c>
      <c r="AE279" t="str">
        <f>INDEX('Category Mapping'!$B$2:$B$25,MATCH('Source Data'!A279,'Category Mapping'!$A$2:$A$25,0))</f>
        <v>Weekend</v>
      </c>
      <c r="AF279" t="str">
        <f>INDEX('Category Mapping'!$C$2:$C$25,MATCH('Source Data'!A279,'Category Mapping'!$A$2:$A$25,0))</f>
        <v>Transportation</v>
      </c>
      <c r="AG279" t="str">
        <f>INDEX('Category Mapping'!$D$2:$D$25,MATCH('Source Data'!A279,'Category Mapping'!$A$2:$A$25,0))</f>
        <v>Transportation</v>
      </c>
    </row>
    <row r="280" spans="1:33" x14ac:dyDescent="0.3">
      <c r="A280" s="18" t="s">
        <v>116</v>
      </c>
      <c r="B280" s="19">
        <v>2019</v>
      </c>
      <c r="C280" s="39">
        <v>3</v>
      </c>
      <c r="D280" s="19" t="s">
        <v>93</v>
      </c>
      <c r="E280" s="19">
        <v>2</v>
      </c>
      <c r="F280" s="30">
        <v>925000</v>
      </c>
      <c r="G280" s="30">
        <v>919000</v>
      </c>
      <c r="H280" s="30">
        <v>918000</v>
      </c>
      <c r="I280" s="30">
        <v>918000</v>
      </c>
      <c r="J280" s="30">
        <v>917000</v>
      </c>
      <c r="K280" s="30">
        <v>918000</v>
      </c>
      <c r="L280" s="30">
        <v>1120000</v>
      </c>
      <c r="M280" s="30">
        <v>1450000</v>
      </c>
      <c r="N280" s="30">
        <v>1660000</v>
      </c>
      <c r="O280" s="30">
        <v>1810000</v>
      </c>
      <c r="P280" s="30">
        <v>1880000</v>
      </c>
      <c r="Q280" s="30">
        <v>1890000</v>
      </c>
      <c r="R280" s="30">
        <v>1830000</v>
      </c>
      <c r="S280" s="30">
        <v>1700000</v>
      </c>
      <c r="T280" s="30">
        <v>1690000</v>
      </c>
      <c r="U280" s="30">
        <v>1690000</v>
      </c>
      <c r="V280" s="30">
        <v>2010000</v>
      </c>
      <c r="W280" s="30">
        <v>2010000</v>
      </c>
      <c r="X280" s="30">
        <v>2010000</v>
      </c>
      <c r="Y280" s="30">
        <v>2000000</v>
      </c>
      <c r="Z280" s="30">
        <v>1990000</v>
      </c>
      <c r="AA280" s="30">
        <v>1980000</v>
      </c>
      <c r="AB280" s="30">
        <v>1980000</v>
      </c>
      <c r="AC280" s="30">
        <v>1330000</v>
      </c>
      <c r="AD280" t="str">
        <f t="shared" si="4"/>
        <v>Winter</v>
      </c>
      <c r="AE280" t="str">
        <f>INDEX('Category Mapping'!$B$2:$B$25,MATCH('Source Data'!A280,'Category Mapping'!$A$2:$A$25,0))</f>
        <v>Weekend</v>
      </c>
      <c r="AF280" t="str">
        <f>INDEX('Category Mapping'!$C$2:$C$25,MATCH('Source Data'!A280,'Category Mapping'!$A$2:$A$25,0))</f>
        <v>Transportation</v>
      </c>
      <c r="AG280" t="str">
        <f>INDEX('Category Mapping'!$D$2:$D$25,MATCH('Source Data'!A280,'Category Mapping'!$A$2:$A$25,0))</f>
        <v>Transportation</v>
      </c>
    </row>
    <row r="281" spans="1:33" x14ac:dyDescent="0.3">
      <c r="A281" s="16" t="s">
        <v>116</v>
      </c>
      <c r="B281" s="17">
        <v>2019</v>
      </c>
      <c r="C281" s="45">
        <v>3</v>
      </c>
      <c r="D281" s="17" t="s">
        <v>93</v>
      </c>
      <c r="E281" s="17">
        <v>3</v>
      </c>
      <c r="F281" s="31">
        <v>899000</v>
      </c>
      <c r="G281" s="31">
        <v>893000</v>
      </c>
      <c r="H281" s="31">
        <v>892000</v>
      </c>
      <c r="I281" s="31">
        <v>892000</v>
      </c>
      <c r="J281" s="31">
        <v>891000</v>
      </c>
      <c r="K281" s="31">
        <v>892000</v>
      </c>
      <c r="L281" s="31">
        <v>1090000</v>
      </c>
      <c r="M281" s="31">
        <v>1410000</v>
      </c>
      <c r="N281" s="31">
        <v>1610000</v>
      </c>
      <c r="O281" s="31">
        <v>1760000</v>
      </c>
      <c r="P281" s="31">
        <v>1830000</v>
      </c>
      <c r="Q281" s="31">
        <v>1840000</v>
      </c>
      <c r="R281" s="31">
        <v>1780000</v>
      </c>
      <c r="S281" s="31">
        <v>1650000</v>
      </c>
      <c r="T281" s="31">
        <v>1650000</v>
      </c>
      <c r="U281" s="31">
        <v>1640000</v>
      </c>
      <c r="V281" s="31">
        <v>1950000</v>
      </c>
      <c r="W281" s="31">
        <v>1950000</v>
      </c>
      <c r="X281" s="31">
        <v>1950000</v>
      </c>
      <c r="Y281" s="31">
        <v>1940000</v>
      </c>
      <c r="Z281" s="31">
        <v>1940000</v>
      </c>
      <c r="AA281" s="31">
        <v>1930000</v>
      </c>
      <c r="AB281" s="31">
        <v>1920000</v>
      </c>
      <c r="AC281" s="31">
        <v>1290000</v>
      </c>
      <c r="AD281" t="str">
        <f t="shared" si="4"/>
        <v>Spring</v>
      </c>
      <c r="AE281" t="str">
        <f>INDEX('Category Mapping'!$B$2:$B$25,MATCH('Source Data'!A281,'Category Mapping'!$A$2:$A$25,0))</f>
        <v>Weekend</v>
      </c>
      <c r="AF281" t="str">
        <f>INDEX('Category Mapping'!$C$2:$C$25,MATCH('Source Data'!A281,'Category Mapping'!$A$2:$A$25,0))</f>
        <v>Transportation</v>
      </c>
      <c r="AG281" t="str">
        <f>INDEX('Category Mapping'!$D$2:$D$25,MATCH('Source Data'!A281,'Category Mapping'!$A$2:$A$25,0))</f>
        <v>Transportation</v>
      </c>
    </row>
    <row r="282" spans="1:33" x14ac:dyDescent="0.3">
      <c r="A282" s="18" t="s">
        <v>116</v>
      </c>
      <c r="B282" s="19">
        <v>2019</v>
      </c>
      <c r="C282" s="39">
        <v>3</v>
      </c>
      <c r="D282" s="19" t="s">
        <v>93</v>
      </c>
      <c r="E282" s="19">
        <v>4</v>
      </c>
      <c r="F282" s="30">
        <v>873000</v>
      </c>
      <c r="G282" s="30">
        <v>867000</v>
      </c>
      <c r="H282" s="30">
        <v>865000</v>
      </c>
      <c r="I282" s="30">
        <v>865000</v>
      </c>
      <c r="J282" s="30">
        <v>865000</v>
      </c>
      <c r="K282" s="30">
        <v>865000</v>
      </c>
      <c r="L282" s="30">
        <v>1060000</v>
      </c>
      <c r="M282" s="30">
        <v>1370000</v>
      </c>
      <c r="N282" s="30">
        <v>1570000</v>
      </c>
      <c r="O282" s="30">
        <v>1710000</v>
      </c>
      <c r="P282" s="30">
        <v>1780000</v>
      </c>
      <c r="Q282" s="30">
        <v>1790000</v>
      </c>
      <c r="R282" s="30">
        <v>1730000</v>
      </c>
      <c r="S282" s="30">
        <v>1600000</v>
      </c>
      <c r="T282" s="30">
        <v>1600000</v>
      </c>
      <c r="U282" s="30">
        <v>1590000</v>
      </c>
      <c r="V282" s="30">
        <v>1900000</v>
      </c>
      <c r="W282" s="30">
        <v>1900000</v>
      </c>
      <c r="X282" s="30">
        <v>1890000</v>
      </c>
      <c r="Y282" s="30">
        <v>1890000</v>
      </c>
      <c r="Z282" s="30">
        <v>1880000</v>
      </c>
      <c r="AA282" s="30">
        <v>1870000</v>
      </c>
      <c r="AB282" s="30">
        <v>1870000</v>
      </c>
      <c r="AC282" s="30">
        <v>1250000</v>
      </c>
      <c r="AD282" t="str">
        <f t="shared" si="4"/>
        <v>Spring</v>
      </c>
      <c r="AE282" t="str">
        <f>INDEX('Category Mapping'!$B$2:$B$25,MATCH('Source Data'!A282,'Category Mapping'!$A$2:$A$25,0))</f>
        <v>Weekend</v>
      </c>
      <c r="AF282" t="str">
        <f>INDEX('Category Mapping'!$C$2:$C$25,MATCH('Source Data'!A282,'Category Mapping'!$A$2:$A$25,0))</f>
        <v>Transportation</v>
      </c>
      <c r="AG282" t="str">
        <f>INDEX('Category Mapping'!$D$2:$D$25,MATCH('Source Data'!A282,'Category Mapping'!$A$2:$A$25,0))</f>
        <v>Transportation</v>
      </c>
    </row>
    <row r="283" spans="1:33" x14ac:dyDescent="0.3">
      <c r="A283" s="16" t="s">
        <v>116</v>
      </c>
      <c r="B283" s="17">
        <v>2019</v>
      </c>
      <c r="C283" s="45">
        <v>3</v>
      </c>
      <c r="D283" s="17" t="s">
        <v>93</v>
      </c>
      <c r="E283" s="17">
        <v>5</v>
      </c>
      <c r="F283" s="31">
        <v>845000</v>
      </c>
      <c r="G283" s="31">
        <v>839000</v>
      </c>
      <c r="H283" s="31">
        <v>837000</v>
      </c>
      <c r="I283" s="31">
        <v>837000</v>
      </c>
      <c r="J283" s="31">
        <v>836000</v>
      </c>
      <c r="K283" s="31">
        <v>837000</v>
      </c>
      <c r="L283" s="31">
        <v>1020000</v>
      </c>
      <c r="M283" s="31">
        <v>1320000</v>
      </c>
      <c r="N283" s="31">
        <v>1520000</v>
      </c>
      <c r="O283" s="31">
        <v>1650000</v>
      </c>
      <c r="P283" s="31">
        <v>1720000</v>
      </c>
      <c r="Q283" s="31">
        <v>1730000</v>
      </c>
      <c r="R283" s="31">
        <v>1670000</v>
      </c>
      <c r="S283" s="31">
        <v>1550000</v>
      </c>
      <c r="T283" s="31">
        <v>1550000</v>
      </c>
      <c r="U283" s="31">
        <v>1540000</v>
      </c>
      <c r="V283" s="31">
        <v>1840000</v>
      </c>
      <c r="W283" s="31">
        <v>1840000</v>
      </c>
      <c r="X283" s="31">
        <v>1830000</v>
      </c>
      <c r="Y283" s="31">
        <v>1830000</v>
      </c>
      <c r="Z283" s="31">
        <v>1820000</v>
      </c>
      <c r="AA283" s="31">
        <v>1810000</v>
      </c>
      <c r="AB283" s="31">
        <v>1810000</v>
      </c>
      <c r="AC283" s="31">
        <v>1210000</v>
      </c>
      <c r="AD283" t="str">
        <f t="shared" si="4"/>
        <v>Spring</v>
      </c>
      <c r="AE283" t="str">
        <f>INDEX('Category Mapping'!$B$2:$B$25,MATCH('Source Data'!A283,'Category Mapping'!$A$2:$A$25,0))</f>
        <v>Weekend</v>
      </c>
      <c r="AF283" t="str">
        <f>INDEX('Category Mapping'!$C$2:$C$25,MATCH('Source Data'!A283,'Category Mapping'!$A$2:$A$25,0))</f>
        <v>Transportation</v>
      </c>
      <c r="AG283" t="str">
        <f>INDEX('Category Mapping'!$D$2:$D$25,MATCH('Source Data'!A283,'Category Mapping'!$A$2:$A$25,0))</f>
        <v>Transportation</v>
      </c>
    </row>
    <row r="284" spans="1:33" x14ac:dyDescent="0.3">
      <c r="A284" s="18" t="s">
        <v>116</v>
      </c>
      <c r="B284" s="19">
        <v>2019</v>
      </c>
      <c r="C284" s="39">
        <v>3</v>
      </c>
      <c r="D284" s="19" t="s">
        <v>93</v>
      </c>
      <c r="E284" s="19">
        <v>6</v>
      </c>
      <c r="F284" s="30">
        <v>817000</v>
      </c>
      <c r="G284" s="30">
        <v>811000</v>
      </c>
      <c r="H284" s="30">
        <v>809000</v>
      </c>
      <c r="I284" s="30">
        <v>809000</v>
      </c>
      <c r="J284" s="30">
        <v>808000</v>
      </c>
      <c r="K284" s="30">
        <v>809000</v>
      </c>
      <c r="L284" s="30">
        <v>989000</v>
      </c>
      <c r="M284" s="30">
        <v>1280000</v>
      </c>
      <c r="N284" s="30">
        <v>1470000</v>
      </c>
      <c r="O284" s="30">
        <v>1600000</v>
      </c>
      <c r="P284" s="30">
        <v>1660000</v>
      </c>
      <c r="Q284" s="30">
        <v>1670000</v>
      </c>
      <c r="R284" s="30">
        <v>1620000</v>
      </c>
      <c r="S284" s="30">
        <v>1500000</v>
      </c>
      <c r="T284" s="30">
        <v>1500000</v>
      </c>
      <c r="U284" s="30">
        <v>1490000</v>
      </c>
      <c r="V284" s="30">
        <v>1780000</v>
      </c>
      <c r="W284" s="30">
        <v>1780000</v>
      </c>
      <c r="X284" s="30">
        <v>1770000</v>
      </c>
      <c r="Y284" s="30">
        <v>1770000</v>
      </c>
      <c r="Z284" s="30">
        <v>1760000</v>
      </c>
      <c r="AA284" s="30">
        <v>1750000</v>
      </c>
      <c r="AB284" s="30">
        <v>1750000</v>
      </c>
      <c r="AC284" s="30">
        <v>1170000</v>
      </c>
      <c r="AD284" t="str">
        <f t="shared" si="4"/>
        <v>Summer</v>
      </c>
      <c r="AE284" t="str">
        <f>INDEX('Category Mapping'!$B$2:$B$25,MATCH('Source Data'!A284,'Category Mapping'!$A$2:$A$25,0))</f>
        <v>Weekend</v>
      </c>
      <c r="AF284" t="str">
        <f>INDEX('Category Mapping'!$C$2:$C$25,MATCH('Source Data'!A284,'Category Mapping'!$A$2:$A$25,0))</f>
        <v>Transportation</v>
      </c>
      <c r="AG284" t="str">
        <f>INDEX('Category Mapping'!$D$2:$D$25,MATCH('Source Data'!A284,'Category Mapping'!$A$2:$A$25,0))</f>
        <v>Transportation</v>
      </c>
    </row>
    <row r="285" spans="1:33" x14ac:dyDescent="0.3">
      <c r="A285" s="16" t="s">
        <v>116</v>
      </c>
      <c r="B285" s="17">
        <v>2019</v>
      </c>
      <c r="C285" s="45">
        <v>3</v>
      </c>
      <c r="D285" s="17" t="s">
        <v>93</v>
      </c>
      <c r="E285" s="17">
        <v>7</v>
      </c>
      <c r="F285" s="31">
        <v>796000</v>
      </c>
      <c r="G285" s="31">
        <v>790000</v>
      </c>
      <c r="H285" s="31">
        <v>788000</v>
      </c>
      <c r="I285" s="31">
        <v>788000</v>
      </c>
      <c r="J285" s="31">
        <v>787000</v>
      </c>
      <c r="K285" s="31">
        <v>788000</v>
      </c>
      <c r="L285" s="31">
        <v>963000</v>
      </c>
      <c r="M285" s="31">
        <v>1240000</v>
      </c>
      <c r="N285" s="31">
        <v>1430000</v>
      </c>
      <c r="O285" s="31">
        <v>1560000</v>
      </c>
      <c r="P285" s="31">
        <v>1620000</v>
      </c>
      <c r="Q285" s="31">
        <v>1630000</v>
      </c>
      <c r="R285" s="31">
        <v>1580000</v>
      </c>
      <c r="S285" s="31">
        <v>1460000</v>
      </c>
      <c r="T285" s="31">
        <v>1460000</v>
      </c>
      <c r="U285" s="31">
        <v>1460000</v>
      </c>
      <c r="V285" s="31">
        <v>1730000</v>
      </c>
      <c r="W285" s="31">
        <v>1730000</v>
      </c>
      <c r="X285" s="31">
        <v>1730000</v>
      </c>
      <c r="Y285" s="31">
        <v>1720000</v>
      </c>
      <c r="Z285" s="31">
        <v>1710000</v>
      </c>
      <c r="AA285" s="31">
        <v>1700000</v>
      </c>
      <c r="AB285" s="31">
        <v>1700000</v>
      </c>
      <c r="AC285" s="31">
        <v>1140000</v>
      </c>
      <c r="AD285" t="str">
        <f t="shared" si="4"/>
        <v>Summer</v>
      </c>
      <c r="AE285" t="str">
        <f>INDEX('Category Mapping'!$B$2:$B$25,MATCH('Source Data'!A285,'Category Mapping'!$A$2:$A$25,0))</f>
        <v>Weekend</v>
      </c>
      <c r="AF285" t="str">
        <f>INDEX('Category Mapping'!$C$2:$C$25,MATCH('Source Data'!A285,'Category Mapping'!$A$2:$A$25,0))</f>
        <v>Transportation</v>
      </c>
      <c r="AG285" t="str">
        <f>INDEX('Category Mapping'!$D$2:$D$25,MATCH('Source Data'!A285,'Category Mapping'!$A$2:$A$25,0))</f>
        <v>Transportation</v>
      </c>
    </row>
    <row r="286" spans="1:33" x14ac:dyDescent="0.3">
      <c r="A286" s="18" t="s">
        <v>116</v>
      </c>
      <c r="B286" s="19">
        <v>2019</v>
      </c>
      <c r="C286" s="39">
        <v>3</v>
      </c>
      <c r="D286" s="19" t="s">
        <v>93</v>
      </c>
      <c r="E286" s="19">
        <v>8</v>
      </c>
      <c r="F286" s="30">
        <v>825000</v>
      </c>
      <c r="G286" s="30">
        <v>819000</v>
      </c>
      <c r="H286" s="30">
        <v>817000</v>
      </c>
      <c r="I286" s="30">
        <v>817000</v>
      </c>
      <c r="J286" s="30">
        <v>817000</v>
      </c>
      <c r="K286" s="30">
        <v>817000</v>
      </c>
      <c r="L286" s="30">
        <v>999000</v>
      </c>
      <c r="M286" s="30">
        <v>1290000</v>
      </c>
      <c r="N286" s="30">
        <v>1480000</v>
      </c>
      <c r="O286" s="30">
        <v>1610000</v>
      </c>
      <c r="P286" s="30">
        <v>1680000</v>
      </c>
      <c r="Q286" s="30">
        <v>1690000</v>
      </c>
      <c r="R286" s="30">
        <v>1630000</v>
      </c>
      <c r="S286" s="30">
        <v>1520000</v>
      </c>
      <c r="T286" s="30">
        <v>1510000</v>
      </c>
      <c r="U286" s="30">
        <v>1510000</v>
      </c>
      <c r="V286" s="30">
        <v>1790000</v>
      </c>
      <c r="W286" s="30">
        <v>1790000</v>
      </c>
      <c r="X286" s="30">
        <v>1790000</v>
      </c>
      <c r="Y286" s="30">
        <v>1780000</v>
      </c>
      <c r="Z286" s="30">
        <v>1780000</v>
      </c>
      <c r="AA286" s="30">
        <v>1770000</v>
      </c>
      <c r="AB286" s="30">
        <v>1760000</v>
      </c>
      <c r="AC286" s="30">
        <v>1180000</v>
      </c>
      <c r="AD286" t="str">
        <f t="shared" si="4"/>
        <v>Summer</v>
      </c>
      <c r="AE286" t="str">
        <f>INDEX('Category Mapping'!$B$2:$B$25,MATCH('Source Data'!A286,'Category Mapping'!$A$2:$A$25,0))</f>
        <v>Weekend</v>
      </c>
      <c r="AF286" t="str">
        <f>INDEX('Category Mapping'!$C$2:$C$25,MATCH('Source Data'!A286,'Category Mapping'!$A$2:$A$25,0))</f>
        <v>Transportation</v>
      </c>
      <c r="AG286" t="str">
        <f>INDEX('Category Mapping'!$D$2:$D$25,MATCH('Source Data'!A286,'Category Mapping'!$A$2:$A$25,0))</f>
        <v>Transportation</v>
      </c>
    </row>
    <row r="287" spans="1:33" x14ac:dyDescent="0.3">
      <c r="A287" s="16" t="s">
        <v>116</v>
      </c>
      <c r="B287" s="17">
        <v>2019</v>
      </c>
      <c r="C287" s="45">
        <v>3</v>
      </c>
      <c r="D287" s="17" t="s">
        <v>93</v>
      </c>
      <c r="E287" s="17">
        <v>9</v>
      </c>
      <c r="F287" s="31">
        <v>864000</v>
      </c>
      <c r="G287" s="31">
        <v>858000</v>
      </c>
      <c r="H287" s="31">
        <v>856000</v>
      </c>
      <c r="I287" s="31">
        <v>856000</v>
      </c>
      <c r="J287" s="31">
        <v>855000</v>
      </c>
      <c r="K287" s="31">
        <v>856000</v>
      </c>
      <c r="L287" s="31">
        <v>1050000</v>
      </c>
      <c r="M287" s="31">
        <v>1350000</v>
      </c>
      <c r="N287" s="31">
        <v>1550000</v>
      </c>
      <c r="O287" s="31">
        <v>1690000</v>
      </c>
      <c r="P287" s="31">
        <v>1760000</v>
      </c>
      <c r="Q287" s="31">
        <v>1770000</v>
      </c>
      <c r="R287" s="31">
        <v>1710000</v>
      </c>
      <c r="S287" s="31">
        <v>1590000</v>
      </c>
      <c r="T287" s="31">
        <v>1580000</v>
      </c>
      <c r="U287" s="31">
        <v>1580000</v>
      </c>
      <c r="V287" s="31">
        <v>1880000</v>
      </c>
      <c r="W287" s="31">
        <v>1880000</v>
      </c>
      <c r="X287" s="31">
        <v>1870000</v>
      </c>
      <c r="Y287" s="31">
        <v>1870000</v>
      </c>
      <c r="Z287" s="31">
        <v>1860000</v>
      </c>
      <c r="AA287" s="31">
        <v>1850000</v>
      </c>
      <c r="AB287" s="31">
        <v>1850000</v>
      </c>
      <c r="AC287" s="31">
        <v>1240000</v>
      </c>
      <c r="AD287" t="str">
        <f t="shared" si="4"/>
        <v>Fall</v>
      </c>
      <c r="AE287" t="str">
        <f>INDEX('Category Mapping'!$B$2:$B$25,MATCH('Source Data'!A287,'Category Mapping'!$A$2:$A$25,0))</f>
        <v>Weekend</v>
      </c>
      <c r="AF287" t="str">
        <f>INDEX('Category Mapping'!$C$2:$C$25,MATCH('Source Data'!A287,'Category Mapping'!$A$2:$A$25,0))</f>
        <v>Transportation</v>
      </c>
      <c r="AG287" t="str">
        <f>INDEX('Category Mapping'!$D$2:$D$25,MATCH('Source Data'!A287,'Category Mapping'!$A$2:$A$25,0))</f>
        <v>Transportation</v>
      </c>
    </row>
    <row r="288" spans="1:33" x14ac:dyDescent="0.3">
      <c r="A288" s="18" t="s">
        <v>116</v>
      </c>
      <c r="B288" s="19">
        <v>2019</v>
      </c>
      <c r="C288" s="39">
        <v>3</v>
      </c>
      <c r="D288" s="19" t="s">
        <v>93</v>
      </c>
      <c r="E288" s="19">
        <v>10</v>
      </c>
      <c r="F288" s="30">
        <v>912000</v>
      </c>
      <c r="G288" s="30">
        <v>906000</v>
      </c>
      <c r="H288" s="30">
        <v>905000</v>
      </c>
      <c r="I288" s="30">
        <v>905000</v>
      </c>
      <c r="J288" s="30">
        <v>904000</v>
      </c>
      <c r="K288" s="30">
        <v>905000</v>
      </c>
      <c r="L288" s="30">
        <v>1110000</v>
      </c>
      <c r="M288" s="30">
        <v>1430000</v>
      </c>
      <c r="N288" s="30">
        <v>1640000</v>
      </c>
      <c r="O288" s="30">
        <v>1780000</v>
      </c>
      <c r="P288" s="30">
        <v>1860000</v>
      </c>
      <c r="Q288" s="30">
        <v>1870000</v>
      </c>
      <c r="R288" s="30">
        <v>1800000</v>
      </c>
      <c r="S288" s="30">
        <v>1670000</v>
      </c>
      <c r="T288" s="30">
        <v>1670000</v>
      </c>
      <c r="U288" s="30">
        <v>1660000</v>
      </c>
      <c r="V288" s="30">
        <v>1980000</v>
      </c>
      <c r="W288" s="30">
        <v>1980000</v>
      </c>
      <c r="X288" s="30">
        <v>1980000</v>
      </c>
      <c r="Y288" s="30">
        <v>1970000</v>
      </c>
      <c r="Z288" s="30">
        <v>1960000</v>
      </c>
      <c r="AA288" s="30">
        <v>1950000</v>
      </c>
      <c r="AB288" s="30">
        <v>1950000</v>
      </c>
      <c r="AC288" s="30">
        <v>1310000</v>
      </c>
      <c r="AD288" t="str">
        <f t="shared" si="4"/>
        <v>Fall</v>
      </c>
      <c r="AE288" t="str">
        <f>INDEX('Category Mapping'!$B$2:$B$25,MATCH('Source Data'!A288,'Category Mapping'!$A$2:$A$25,0))</f>
        <v>Weekend</v>
      </c>
      <c r="AF288" t="str">
        <f>INDEX('Category Mapping'!$C$2:$C$25,MATCH('Source Data'!A288,'Category Mapping'!$A$2:$A$25,0))</f>
        <v>Transportation</v>
      </c>
      <c r="AG288" t="str">
        <f>INDEX('Category Mapping'!$D$2:$D$25,MATCH('Source Data'!A288,'Category Mapping'!$A$2:$A$25,0))</f>
        <v>Transportation</v>
      </c>
    </row>
    <row r="289" spans="1:33" x14ac:dyDescent="0.3">
      <c r="A289" s="16" t="s">
        <v>116</v>
      </c>
      <c r="B289" s="17">
        <v>2019</v>
      </c>
      <c r="C289" s="45">
        <v>3</v>
      </c>
      <c r="D289" s="17" t="s">
        <v>93</v>
      </c>
      <c r="E289" s="17">
        <v>11</v>
      </c>
      <c r="F289" s="31">
        <v>924000</v>
      </c>
      <c r="G289" s="31">
        <v>918000</v>
      </c>
      <c r="H289" s="31">
        <v>916000</v>
      </c>
      <c r="I289" s="31">
        <v>916000</v>
      </c>
      <c r="J289" s="31">
        <v>915000</v>
      </c>
      <c r="K289" s="31">
        <v>916000</v>
      </c>
      <c r="L289" s="31">
        <v>1120000</v>
      </c>
      <c r="M289" s="31">
        <v>1450000</v>
      </c>
      <c r="N289" s="31">
        <v>1660000</v>
      </c>
      <c r="O289" s="31">
        <v>1810000</v>
      </c>
      <c r="P289" s="31">
        <v>1880000</v>
      </c>
      <c r="Q289" s="31">
        <v>1890000</v>
      </c>
      <c r="R289" s="31">
        <v>1820000</v>
      </c>
      <c r="S289" s="31">
        <v>1690000</v>
      </c>
      <c r="T289" s="31">
        <v>1690000</v>
      </c>
      <c r="U289" s="31">
        <v>1690000</v>
      </c>
      <c r="V289" s="31">
        <v>2000000</v>
      </c>
      <c r="W289" s="31">
        <v>2010000</v>
      </c>
      <c r="X289" s="31">
        <v>2000000</v>
      </c>
      <c r="Y289" s="31">
        <v>2000000</v>
      </c>
      <c r="Z289" s="31">
        <v>1990000</v>
      </c>
      <c r="AA289" s="31">
        <v>1980000</v>
      </c>
      <c r="AB289" s="31">
        <v>1980000</v>
      </c>
      <c r="AC289" s="31">
        <v>1330000</v>
      </c>
      <c r="AD289" t="str">
        <f t="shared" si="4"/>
        <v>Winter</v>
      </c>
      <c r="AE289" t="str">
        <f>INDEX('Category Mapping'!$B$2:$B$25,MATCH('Source Data'!A289,'Category Mapping'!$A$2:$A$25,0))</f>
        <v>Weekend</v>
      </c>
      <c r="AF289" t="str">
        <f>INDEX('Category Mapping'!$C$2:$C$25,MATCH('Source Data'!A289,'Category Mapping'!$A$2:$A$25,0))</f>
        <v>Transportation</v>
      </c>
      <c r="AG289" t="str">
        <f>INDEX('Category Mapping'!$D$2:$D$25,MATCH('Source Data'!A289,'Category Mapping'!$A$2:$A$25,0))</f>
        <v>Transportation</v>
      </c>
    </row>
    <row r="290" spans="1:33" x14ac:dyDescent="0.3">
      <c r="A290" s="18" t="s">
        <v>116</v>
      </c>
      <c r="B290" s="19">
        <v>2019</v>
      </c>
      <c r="C290" s="39">
        <v>3</v>
      </c>
      <c r="D290" s="19" t="s">
        <v>93</v>
      </c>
      <c r="E290" s="19">
        <v>12</v>
      </c>
      <c r="F290" s="30">
        <v>939000</v>
      </c>
      <c r="G290" s="30">
        <v>933000</v>
      </c>
      <c r="H290" s="30">
        <v>931000</v>
      </c>
      <c r="I290" s="30">
        <v>931000</v>
      </c>
      <c r="J290" s="30">
        <v>930000</v>
      </c>
      <c r="K290" s="30">
        <v>931000</v>
      </c>
      <c r="L290" s="30">
        <v>1140000</v>
      </c>
      <c r="M290" s="30">
        <v>1470000</v>
      </c>
      <c r="N290" s="30">
        <v>1690000</v>
      </c>
      <c r="O290" s="30">
        <v>1840000</v>
      </c>
      <c r="P290" s="30">
        <v>1910000</v>
      </c>
      <c r="Q290" s="30">
        <v>1920000</v>
      </c>
      <c r="R290" s="30">
        <v>1850000</v>
      </c>
      <c r="S290" s="30">
        <v>1720000</v>
      </c>
      <c r="T290" s="30">
        <v>1720000</v>
      </c>
      <c r="U290" s="30">
        <v>1710000</v>
      </c>
      <c r="V290" s="30">
        <v>2040000</v>
      </c>
      <c r="W290" s="30">
        <v>2040000</v>
      </c>
      <c r="X290" s="30">
        <v>2040000</v>
      </c>
      <c r="Y290" s="30">
        <v>2030000</v>
      </c>
      <c r="Z290" s="30">
        <v>2020000</v>
      </c>
      <c r="AA290" s="30">
        <v>2010000</v>
      </c>
      <c r="AB290" s="30">
        <v>2010000</v>
      </c>
      <c r="AC290" s="30">
        <v>1350000</v>
      </c>
      <c r="AD290" t="str">
        <f t="shared" si="4"/>
        <v>Winter</v>
      </c>
      <c r="AE290" t="str">
        <f>INDEX('Category Mapping'!$B$2:$B$25,MATCH('Source Data'!A290,'Category Mapping'!$A$2:$A$25,0))</f>
        <v>Weekend</v>
      </c>
      <c r="AF290" t="str">
        <f>INDEX('Category Mapping'!$C$2:$C$25,MATCH('Source Data'!A290,'Category Mapping'!$A$2:$A$25,0))</f>
        <v>Transportation</v>
      </c>
      <c r="AG290" t="str">
        <f>INDEX('Category Mapping'!$D$2:$D$25,MATCH('Source Data'!A290,'Category Mapping'!$A$2:$A$25,0))</f>
        <v>Transportation</v>
      </c>
    </row>
    <row r="295" spans="1:33" x14ac:dyDescent="0.3">
      <c r="AB295" s="23"/>
    </row>
    <row r="296" spans="1:33" x14ac:dyDescent="0.3">
      <c r="AB296" s="23"/>
    </row>
  </sheetData>
  <autoFilter ref="A2:AG290" xr:uid="{60250058-43D6-4757-A82C-F4E11CFA513B}"/>
  <mergeCells count="2">
    <mergeCell ref="A1:AC1"/>
    <mergeCell ref="AD1:A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BAC3-5E59-4E76-9D94-B6DAF7B0EF33}">
  <dimension ref="A1:Z791"/>
  <sheetViews>
    <sheetView workbookViewId="0">
      <selection activeCell="P4" sqref="P4"/>
    </sheetView>
  </sheetViews>
  <sheetFormatPr defaultColWidth="12.5546875" defaultRowHeight="14.4" outlineLevelRow="1" x14ac:dyDescent="0.3"/>
  <cols>
    <col min="2" max="2" width="5.33203125" bestFit="1" customWidth="1"/>
    <col min="3" max="3" width="7.109375" bestFit="1" customWidth="1"/>
    <col min="6" max="6" width="12.5546875" customWidth="1"/>
    <col min="25" max="25" width="13.5546875" style="21" customWidth="1"/>
  </cols>
  <sheetData>
    <row r="1" spans="1:25" x14ac:dyDescent="0.3">
      <c r="A1" s="51" t="s">
        <v>117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outlineLevel="1" x14ac:dyDescent="0.3">
      <c r="E2" t="s">
        <v>118</v>
      </c>
      <c r="F2" t="s">
        <v>118</v>
      </c>
      <c r="G2" t="s">
        <v>118</v>
      </c>
      <c r="H2" t="s">
        <v>118</v>
      </c>
      <c r="I2" t="s">
        <v>118</v>
      </c>
      <c r="J2" t="s">
        <v>118</v>
      </c>
      <c r="K2" t="s">
        <v>119</v>
      </c>
      <c r="L2" t="s">
        <v>119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121</v>
      </c>
      <c r="X2" t="s">
        <v>121</v>
      </c>
      <c r="Y2" s="21" t="s">
        <v>121</v>
      </c>
    </row>
    <row r="3" spans="1:25" s="4" customFormat="1" ht="43.5" customHeight="1" outlineLevel="1" x14ac:dyDescent="0.3">
      <c r="A3" s="4" t="s">
        <v>122</v>
      </c>
      <c r="B3" s="50" t="s">
        <v>123</v>
      </c>
      <c r="C3" s="50"/>
      <c r="D3" s="4" t="s">
        <v>124</v>
      </c>
      <c r="E3" s="4" t="s">
        <v>125</v>
      </c>
      <c r="F3" s="4" t="s">
        <v>126</v>
      </c>
      <c r="G3" s="4" t="s">
        <v>127</v>
      </c>
      <c r="H3" s="4" t="s">
        <v>128</v>
      </c>
      <c r="I3" s="4" t="s">
        <v>129</v>
      </c>
      <c r="J3" s="4" t="s">
        <v>130</v>
      </c>
      <c r="K3" s="4" t="s">
        <v>125</v>
      </c>
      <c r="L3" s="4" t="s">
        <v>126</v>
      </c>
      <c r="M3" s="4" t="s">
        <v>127</v>
      </c>
      <c r="N3" s="4" t="s">
        <v>128</v>
      </c>
      <c r="O3" s="4" t="s">
        <v>129</v>
      </c>
      <c r="P3" s="4" t="s">
        <v>130</v>
      </c>
      <c r="Q3" s="4" t="s">
        <v>131</v>
      </c>
      <c r="R3" s="4" t="s">
        <v>132</v>
      </c>
      <c r="S3" s="4" t="s">
        <v>133</v>
      </c>
      <c r="T3" s="4" t="s">
        <v>134</v>
      </c>
      <c r="U3" s="4" t="s">
        <v>135</v>
      </c>
      <c r="V3" s="4" t="s">
        <v>136</v>
      </c>
      <c r="W3" s="4" t="s">
        <v>121</v>
      </c>
      <c r="X3" s="4" t="s">
        <v>137</v>
      </c>
      <c r="Y3" s="25" t="s">
        <v>138</v>
      </c>
    </row>
    <row r="4" spans="1:25" outlineLevel="1" x14ac:dyDescent="0.3">
      <c r="A4" t="s">
        <v>139</v>
      </c>
      <c r="B4" t="s">
        <v>64</v>
      </c>
      <c r="C4" s="6" t="s">
        <v>140</v>
      </c>
      <c r="D4" t="s">
        <v>49</v>
      </c>
      <c r="E4" s="27">
        <f>SUMIFS(INDEX(Load,,MATCH('Summarized Source Data'!$B4,Hour,0)),Season,'Summarized Source Data'!$A4,Sector,'Summarized Source Data'!E$2,Subsector,'Summarized Source Data'!E$3,TimeOfWeek,$D4)</f>
        <v>0</v>
      </c>
      <c r="F4" s="27">
        <f>SUMIFS(INDEX(Load,,MATCH('Summarized Source Data'!$B4,Hour,0)),Season,'Summarized Source Data'!$A4,Sector,'Summarized Source Data'!F$2,Subsector,'Summarized Source Data'!F$3,TimeOfWeek,$D4)</f>
        <v>2038135</v>
      </c>
      <c r="G4" s="27">
        <f>SUMIFS(INDEX(Load,,MATCH('Summarized Source Data'!$B4,Hour,0)),Season,'Summarized Source Data'!$A4,Sector,'Summarized Source Data'!G$2,Subsector,'Summarized Source Data'!G$3,TimeOfWeek,$D4)</f>
        <v>0</v>
      </c>
      <c r="H4" s="27">
        <f>SUMIFS(INDEX(Load,,MATCH('Summarized Source Data'!$B4,Hour,0)),Season,'Summarized Source Data'!$A4,Sector,'Summarized Source Data'!H$2,Subsector,'Summarized Source Data'!H$3,TimeOfWeek,$D4)</f>
        <v>72100000</v>
      </c>
      <c r="I4" s="27">
        <f>H4</f>
        <v>72100000</v>
      </c>
      <c r="J4" s="29">
        <f>H4</f>
        <v>72100000</v>
      </c>
      <c r="K4" s="27">
        <f>SUMIFS(INDEX(Load,,MATCH('Summarized Source Data'!$B4,Hour,0)),Season,'Summarized Source Data'!$A4,Sector,'Summarized Source Data'!K$2,Subsector,'Summarized Source Data'!K$3,TimeOfWeek,$D4)</f>
        <v>15281527</v>
      </c>
      <c r="L4" s="27">
        <f>SUMIFS(INDEX(Load,,MATCH('Summarized Source Data'!$B4,Hour,0)),Season,'Summarized Source Data'!$A4,Sector,'Summarized Source Data'!L$2,Subsector,'Summarized Source Data'!L$3,TimeOfWeek,$D4)</f>
        <v>14985535</v>
      </c>
      <c r="M4" s="27">
        <f>SUMIFS(INDEX(Load,,MATCH('Summarized Source Data'!$B4,Hour,0)),Season,'Summarized Source Data'!$A4,Sector,'Summarized Source Data'!M$2,Subsector,'Summarized Source Data'!M$3,TimeOfWeek,$D4)</f>
        <v>0</v>
      </c>
      <c r="N4" s="29">
        <f>H4</f>
        <v>72100000</v>
      </c>
      <c r="O4" s="27">
        <f>N4</f>
        <v>72100000</v>
      </c>
      <c r="P4" s="29">
        <f>N4</f>
        <v>72100000</v>
      </c>
      <c r="Q4" s="33">
        <f>SUMIFS(INDEX(Load,,MATCH('Summarized Source Data'!$B4,Hour,0)),Season,'Summarized Source Data'!$A4,Sector,'Summarized Source Data'!Q$2,TimeOfWeek,$D4)</f>
        <v>7120000</v>
      </c>
      <c r="R4" s="33">
        <f>SUMIFS(INDEX(Load,,MATCH('Summarized Source Data'!$B4,Hour,0)),Season,'Summarized Source Data'!$A4,Sector,'Summarized Source Data'!R$2,TimeOfWeek,$D4)</f>
        <v>7120000</v>
      </c>
      <c r="S4" s="33">
        <f>SUMIFS(INDEX(Load,,MATCH('Summarized Source Data'!$B4,Hour,0)),Season,'Summarized Source Data'!$A4,Sector,'Summarized Source Data'!S$2,TimeOfWeek,$D4)</f>
        <v>7120000</v>
      </c>
      <c r="T4" s="33">
        <f>SUMIFS(INDEX(Load,,MATCH('Summarized Source Data'!$B4,Hour,0)),Season,'Summarized Source Data'!$A4,Sector,'Summarized Source Data'!T$2,TimeOfWeek,$D4)</f>
        <v>7120000</v>
      </c>
      <c r="U4" s="33">
        <f>SUMIFS(INDEX(Load,,MATCH('Summarized Source Data'!$B4,Hour,0)),Season,'Summarized Source Data'!$A4,Sector,'Summarized Source Data'!U$2,TimeOfWeek,$D4)</f>
        <v>7120000</v>
      </c>
      <c r="V4" s="33">
        <f>SUMIFS(INDEX(Load,,MATCH('Summarized Source Data'!$B4,Hour,0)),Season,'Summarized Source Data'!$A4,Sector,'Summarized Source Data'!V$2,TimeOfWeek,$D4)</f>
        <v>7120000</v>
      </c>
      <c r="W4" s="27">
        <f>SUMIFS(INDEX(Load,,MATCH('Summarized Source Data'!$B4,Hour,0)),Season,'Summarized Source Data'!$A4,Sector,'Summarized Source Data'!W$2,Subsector,'Summarized Source Data'!W$3,TimeOfWeek,$D4)</f>
        <v>1305000000</v>
      </c>
      <c r="X4" s="29">
        <f>$W4</f>
        <v>1305000000</v>
      </c>
      <c r="Y4" s="29">
        <f>$W4</f>
        <v>1305000000</v>
      </c>
    </row>
    <row r="5" spans="1:25" outlineLevel="1" x14ac:dyDescent="0.3">
      <c r="A5" t="s">
        <v>139</v>
      </c>
      <c r="B5" t="s">
        <v>65</v>
      </c>
      <c r="C5" s="6" t="s">
        <v>141</v>
      </c>
      <c r="D5" t="s">
        <v>49</v>
      </c>
      <c r="E5" s="27">
        <f>SUMIFS(INDEX(Load,,MATCH('Summarized Source Data'!$B5,Hour,0)),Season,'Summarized Source Data'!$A5,Sector,'Summarized Source Data'!E$2,Subsector,'Summarized Source Data'!E$3,TimeOfWeek,$D5)</f>
        <v>0</v>
      </c>
      <c r="F5" s="27">
        <f>SUMIFS(INDEX(Load,,MATCH('Summarized Source Data'!$B5,Hour,0)),Season,'Summarized Source Data'!$A5,Sector,'Summarized Source Data'!F$2,Subsector,'Summarized Source Data'!F$3,TimeOfWeek,$D5)</f>
        <v>1621751</v>
      </c>
      <c r="G5" s="27">
        <f>SUMIFS(INDEX(Load,,MATCH('Summarized Source Data'!$B5,Hour,0)),Season,'Summarized Source Data'!$A5,Sector,'Summarized Source Data'!G$2,Subsector,'Summarized Source Data'!G$3,TimeOfWeek,$D5)</f>
        <v>0</v>
      </c>
      <c r="H5" s="27">
        <f>SUMIFS(INDEX(Load,,MATCH('Summarized Source Data'!$B5,Hour,0)),Season,'Summarized Source Data'!$A5,Sector,'Summarized Source Data'!H$2,Subsector,'Summarized Source Data'!H$3,TimeOfWeek,$D5)</f>
        <v>66500000</v>
      </c>
      <c r="I5" s="27">
        <f t="shared" ref="I5:I68" si="0">H5</f>
        <v>66500000</v>
      </c>
      <c r="J5" s="29">
        <f t="shared" ref="J5:J68" si="1">H5</f>
        <v>66500000</v>
      </c>
      <c r="K5" s="27">
        <f>SUMIFS(INDEX(Load,,MATCH('Summarized Source Data'!$B5,Hour,0)),Season,'Summarized Source Data'!$A5,Sector,'Summarized Source Data'!K$2,Subsector,'Summarized Source Data'!K$3,TimeOfWeek,$D5)</f>
        <v>13958713</v>
      </c>
      <c r="L5" s="27">
        <f>SUMIFS(INDEX(Load,,MATCH('Summarized Source Data'!$B5,Hour,0)),Season,'Summarized Source Data'!$A5,Sector,'Summarized Source Data'!L$2,Subsector,'Summarized Source Data'!L$3,TimeOfWeek,$D5)</f>
        <v>14015817</v>
      </c>
      <c r="M5" s="27">
        <f>SUMIFS(INDEX(Load,,MATCH('Summarized Source Data'!$B5,Hour,0)),Season,'Summarized Source Data'!$A5,Sector,'Summarized Source Data'!M$2,Subsector,'Summarized Source Data'!M$3,TimeOfWeek,$D5)</f>
        <v>0</v>
      </c>
      <c r="N5" s="29">
        <f t="shared" ref="N5:N68" si="2">H5</f>
        <v>66500000</v>
      </c>
      <c r="O5" s="27">
        <f t="shared" ref="O5:O68" si="3">N5</f>
        <v>66500000</v>
      </c>
      <c r="P5" s="29">
        <f t="shared" ref="P5:P68" si="4">N5</f>
        <v>66500000</v>
      </c>
      <c r="Q5" s="33">
        <f>SUMIFS(INDEX(Load,,MATCH('Summarized Source Data'!$B5,Hour,0)),Season,'Summarized Source Data'!$A5,Sector,'Summarized Source Data'!Q$2,TimeOfWeek,$D5)</f>
        <v>7100000</v>
      </c>
      <c r="R5" s="33">
        <f>SUMIFS(INDEX(Load,,MATCH('Summarized Source Data'!$B5,Hour,0)),Season,'Summarized Source Data'!$A5,Sector,'Summarized Source Data'!R$2,TimeOfWeek,$D5)</f>
        <v>7100000</v>
      </c>
      <c r="S5" s="33">
        <f>SUMIFS(INDEX(Load,,MATCH('Summarized Source Data'!$B5,Hour,0)),Season,'Summarized Source Data'!$A5,Sector,'Summarized Source Data'!S$2,TimeOfWeek,$D5)</f>
        <v>7100000</v>
      </c>
      <c r="T5" s="33">
        <f>SUMIFS(INDEX(Load,,MATCH('Summarized Source Data'!$B5,Hour,0)),Season,'Summarized Source Data'!$A5,Sector,'Summarized Source Data'!T$2,TimeOfWeek,$D5)</f>
        <v>7100000</v>
      </c>
      <c r="U5" s="33">
        <f>SUMIFS(INDEX(Load,,MATCH('Summarized Source Data'!$B5,Hour,0)),Season,'Summarized Source Data'!$A5,Sector,'Summarized Source Data'!U$2,TimeOfWeek,$D5)</f>
        <v>7100000</v>
      </c>
      <c r="V5" s="33">
        <f>SUMIFS(INDEX(Load,,MATCH('Summarized Source Data'!$B5,Hour,0)),Season,'Summarized Source Data'!$A5,Sector,'Summarized Source Data'!V$2,TimeOfWeek,$D5)</f>
        <v>7100000</v>
      </c>
      <c r="W5" s="27">
        <f>SUMIFS(INDEX(Load,,MATCH('Summarized Source Data'!$B5,Hour,0)),Season,'Summarized Source Data'!$A5,Sector,'Summarized Source Data'!W$2,Subsector,'Summarized Source Data'!W$3,TimeOfWeek,$D5)</f>
        <v>1303000000</v>
      </c>
      <c r="X5" s="29">
        <f t="shared" ref="X5:Y36" si="5">$W5</f>
        <v>1303000000</v>
      </c>
      <c r="Y5" s="29">
        <f t="shared" si="5"/>
        <v>1303000000</v>
      </c>
    </row>
    <row r="6" spans="1:25" outlineLevel="1" x14ac:dyDescent="0.3">
      <c r="A6" t="s">
        <v>139</v>
      </c>
      <c r="B6" t="s">
        <v>66</v>
      </c>
      <c r="C6" s="6" t="s">
        <v>142</v>
      </c>
      <c r="D6" t="s">
        <v>49</v>
      </c>
      <c r="E6" s="27">
        <f>SUMIFS(INDEX(Load,,MATCH('Summarized Source Data'!$B6,Hour,0)),Season,'Summarized Source Data'!$A6,Sector,'Summarized Source Data'!E$2,Subsector,'Summarized Source Data'!E$3,TimeOfWeek,$D6)</f>
        <v>0</v>
      </c>
      <c r="F6" s="27">
        <f>SUMIFS(INDEX(Load,,MATCH('Summarized Source Data'!$B6,Hour,0)),Season,'Summarized Source Data'!$A6,Sector,'Summarized Source Data'!F$2,Subsector,'Summarized Source Data'!F$3,TimeOfWeek,$D6)</f>
        <v>1496295</v>
      </c>
      <c r="G6" s="27">
        <f>SUMIFS(INDEX(Load,,MATCH('Summarized Source Data'!$B6,Hour,0)),Season,'Summarized Source Data'!$A6,Sector,'Summarized Source Data'!G$2,Subsector,'Summarized Source Data'!G$3,TimeOfWeek,$D6)</f>
        <v>0</v>
      </c>
      <c r="H6" s="27">
        <f>SUMIFS(INDEX(Load,,MATCH('Summarized Source Data'!$B6,Hour,0)),Season,'Summarized Source Data'!$A6,Sector,'Summarized Source Data'!H$2,Subsector,'Summarized Source Data'!H$3,TimeOfWeek,$D6)</f>
        <v>65800000</v>
      </c>
      <c r="I6" s="27">
        <f t="shared" si="0"/>
        <v>65800000</v>
      </c>
      <c r="J6" s="29">
        <f t="shared" si="1"/>
        <v>65800000</v>
      </c>
      <c r="K6" s="27">
        <f>SUMIFS(INDEX(Load,,MATCH('Summarized Source Data'!$B6,Hour,0)),Season,'Summarized Source Data'!$A6,Sector,'Summarized Source Data'!K$2,Subsector,'Summarized Source Data'!K$3,TimeOfWeek,$D6)</f>
        <v>12516633</v>
      </c>
      <c r="L6" s="27">
        <f>SUMIFS(INDEX(Load,,MATCH('Summarized Source Data'!$B6,Hour,0)),Season,'Summarized Source Data'!$A6,Sector,'Summarized Source Data'!L$2,Subsector,'Summarized Source Data'!L$3,TimeOfWeek,$D6)</f>
        <v>13628712</v>
      </c>
      <c r="M6" s="27">
        <f>SUMIFS(INDEX(Load,,MATCH('Summarized Source Data'!$B6,Hour,0)),Season,'Summarized Source Data'!$A6,Sector,'Summarized Source Data'!M$2,Subsector,'Summarized Source Data'!M$3,TimeOfWeek,$D6)</f>
        <v>0</v>
      </c>
      <c r="N6" s="29">
        <f t="shared" si="2"/>
        <v>65800000</v>
      </c>
      <c r="O6" s="27">
        <f t="shared" si="3"/>
        <v>65800000</v>
      </c>
      <c r="P6" s="29">
        <f t="shared" si="4"/>
        <v>65800000</v>
      </c>
      <c r="Q6" s="33">
        <f>SUMIFS(INDEX(Load,,MATCH('Summarized Source Data'!$B6,Hour,0)),Season,'Summarized Source Data'!$A6,Sector,'Summarized Source Data'!Q$2,TimeOfWeek,$D6)</f>
        <v>7100000</v>
      </c>
      <c r="R6" s="33">
        <f>SUMIFS(INDEX(Load,,MATCH('Summarized Source Data'!$B6,Hour,0)),Season,'Summarized Source Data'!$A6,Sector,'Summarized Source Data'!R$2,TimeOfWeek,$D6)</f>
        <v>7100000</v>
      </c>
      <c r="S6" s="33">
        <f>SUMIFS(INDEX(Load,,MATCH('Summarized Source Data'!$B6,Hour,0)),Season,'Summarized Source Data'!$A6,Sector,'Summarized Source Data'!S$2,TimeOfWeek,$D6)</f>
        <v>7100000</v>
      </c>
      <c r="T6" s="33">
        <f>SUMIFS(INDEX(Load,,MATCH('Summarized Source Data'!$B6,Hour,0)),Season,'Summarized Source Data'!$A6,Sector,'Summarized Source Data'!T$2,TimeOfWeek,$D6)</f>
        <v>7100000</v>
      </c>
      <c r="U6" s="33">
        <f>SUMIFS(INDEX(Load,,MATCH('Summarized Source Data'!$B6,Hour,0)),Season,'Summarized Source Data'!$A6,Sector,'Summarized Source Data'!U$2,TimeOfWeek,$D6)</f>
        <v>7100000</v>
      </c>
      <c r="V6" s="33">
        <f>SUMIFS(INDEX(Load,,MATCH('Summarized Source Data'!$B6,Hour,0)),Season,'Summarized Source Data'!$A6,Sector,'Summarized Source Data'!V$2,TimeOfWeek,$D6)</f>
        <v>7100000</v>
      </c>
      <c r="W6" s="27">
        <f>SUMIFS(INDEX(Load,,MATCH('Summarized Source Data'!$B6,Hour,0)),Season,'Summarized Source Data'!$A6,Sector,'Summarized Source Data'!W$2,Subsector,'Summarized Source Data'!W$3,TimeOfWeek,$D6)</f>
        <v>1303000000</v>
      </c>
      <c r="X6" s="29">
        <f t="shared" si="5"/>
        <v>1303000000</v>
      </c>
      <c r="Y6" s="29">
        <f t="shared" si="5"/>
        <v>1303000000</v>
      </c>
    </row>
    <row r="7" spans="1:25" outlineLevel="1" x14ac:dyDescent="0.3">
      <c r="A7" t="s">
        <v>139</v>
      </c>
      <c r="B7" t="s">
        <v>67</v>
      </c>
      <c r="C7" s="6" t="s">
        <v>143</v>
      </c>
      <c r="D7" t="s">
        <v>49</v>
      </c>
      <c r="E7" s="27">
        <f>SUMIFS(INDEX(Load,,MATCH('Summarized Source Data'!$B7,Hour,0)),Season,'Summarized Source Data'!$A7,Sector,'Summarized Source Data'!E$2,Subsector,'Summarized Source Data'!E$3,TimeOfWeek,$D7)</f>
        <v>0</v>
      </c>
      <c r="F7" s="27">
        <f>SUMIFS(INDEX(Load,,MATCH('Summarized Source Data'!$B7,Hour,0)),Season,'Summarized Source Data'!$A7,Sector,'Summarized Source Data'!F$2,Subsector,'Summarized Source Data'!F$3,TimeOfWeek,$D7)</f>
        <v>1628864</v>
      </c>
      <c r="G7" s="27">
        <f>SUMIFS(INDEX(Load,,MATCH('Summarized Source Data'!$B7,Hour,0)),Season,'Summarized Source Data'!$A7,Sector,'Summarized Source Data'!G$2,Subsector,'Summarized Source Data'!G$3,TimeOfWeek,$D7)</f>
        <v>0</v>
      </c>
      <c r="H7" s="27">
        <f>SUMIFS(INDEX(Load,,MATCH('Summarized Source Data'!$B7,Hour,0)),Season,'Summarized Source Data'!$A7,Sector,'Summarized Source Data'!H$2,Subsector,'Summarized Source Data'!H$3,TimeOfWeek,$D7)</f>
        <v>67300000</v>
      </c>
      <c r="I7" s="27">
        <f t="shared" si="0"/>
        <v>67300000</v>
      </c>
      <c r="J7" s="29">
        <f t="shared" si="1"/>
        <v>67300000</v>
      </c>
      <c r="K7" s="27">
        <f>SUMIFS(INDEX(Load,,MATCH('Summarized Source Data'!$B7,Hour,0)),Season,'Summarized Source Data'!$A7,Sector,'Summarized Source Data'!K$2,Subsector,'Summarized Source Data'!K$3,TimeOfWeek,$D7)</f>
        <v>12915332</v>
      </c>
      <c r="L7" s="27">
        <f>SUMIFS(INDEX(Load,,MATCH('Summarized Source Data'!$B7,Hour,0)),Season,'Summarized Source Data'!$A7,Sector,'Summarized Source Data'!L$2,Subsector,'Summarized Source Data'!L$3,TimeOfWeek,$D7)</f>
        <v>13486616</v>
      </c>
      <c r="M7" s="27">
        <f>SUMIFS(INDEX(Load,,MATCH('Summarized Source Data'!$B7,Hour,0)),Season,'Summarized Source Data'!$A7,Sector,'Summarized Source Data'!M$2,Subsector,'Summarized Source Data'!M$3,TimeOfWeek,$D7)</f>
        <v>0</v>
      </c>
      <c r="N7" s="29">
        <f t="shared" si="2"/>
        <v>67300000</v>
      </c>
      <c r="O7" s="27">
        <f t="shared" si="3"/>
        <v>67300000</v>
      </c>
      <c r="P7" s="29">
        <f t="shared" si="4"/>
        <v>67300000</v>
      </c>
      <c r="Q7" s="33">
        <f>SUMIFS(INDEX(Load,,MATCH('Summarized Source Data'!$B7,Hour,0)),Season,'Summarized Source Data'!$A7,Sector,'Summarized Source Data'!Q$2,TimeOfWeek,$D7)</f>
        <v>7100000</v>
      </c>
      <c r="R7" s="33">
        <f>SUMIFS(INDEX(Load,,MATCH('Summarized Source Data'!$B7,Hour,0)),Season,'Summarized Source Data'!$A7,Sector,'Summarized Source Data'!R$2,TimeOfWeek,$D7)</f>
        <v>7100000</v>
      </c>
      <c r="S7" s="33">
        <f>SUMIFS(INDEX(Load,,MATCH('Summarized Source Data'!$B7,Hour,0)),Season,'Summarized Source Data'!$A7,Sector,'Summarized Source Data'!S$2,TimeOfWeek,$D7)</f>
        <v>7100000</v>
      </c>
      <c r="T7" s="33">
        <f>SUMIFS(INDEX(Load,,MATCH('Summarized Source Data'!$B7,Hour,0)),Season,'Summarized Source Data'!$A7,Sector,'Summarized Source Data'!T$2,TimeOfWeek,$D7)</f>
        <v>7100000</v>
      </c>
      <c r="U7" s="33">
        <f>SUMIFS(INDEX(Load,,MATCH('Summarized Source Data'!$B7,Hour,0)),Season,'Summarized Source Data'!$A7,Sector,'Summarized Source Data'!U$2,TimeOfWeek,$D7)</f>
        <v>7100000</v>
      </c>
      <c r="V7" s="33">
        <f>SUMIFS(INDEX(Load,,MATCH('Summarized Source Data'!$B7,Hour,0)),Season,'Summarized Source Data'!$A7,Sector,'Summarized Source Data'!V$2,TimeOfWeek,$D7)</f>
        <v>7100000</v>
      </c>
      <c r="W7" s="27">
        <f>SUMIFS(INDEX(Load,,MATCH('Summarized Source Data'!$B7,Hour,0)),Season,'Summarized Source Data'!$A7,Sector,'Summarized Source Data'!W$2,Subsector,'Summarized Source Data'!W$3,TimeOfWeek,$D7)</f>
        <v>1303000000</v>
      </c>
      <c r="X7" s="29">
        <f t="shared" si="5"/>
        <v>1303000000</v>
      </c>
      <c r="Y7" s="29">
        <f t="shared" si="5"/>
        <v>1303000000</v>
      </c>
    </row>
    <row r="8" spans="1:25" outlineLevel="1" x14ac:dyDescent="0.3">
      <c r="A8" t="s">
        <v>139</v>
      </c>
      <c r="B8" t="s">
        <v>68</v>
      </c>
      <c r="C8" s="6" t="s">
        <v>144</v>
      </c>
      <c r="D8" t="s">
        <v>49</v>
      </c>
      <c r="E8" s="27">
        <f>SUMIFS(INDEX(Load,,MATCH('Summarized Source Data'!$B8,Hour,0)),Season,'Summarized Source Data'!$A8,Sector,'Summarized Source Data'!E$2,Subsector,'Summarized Source Data'!E$3,TimeOfWeek,$D8)</f>
        <v>0</v>
      </c>
      <c r="F8" s="27">
        <f>SUMIFS(INDEX(Load,,MATCH('Summarized Source Data'!$B8,Hour,0)),Season,'Summarized Source Data'!$A8,Sector,'Summarized Source Data'!F$2,Subsector,'Summarized Source Data'!F$3,TimeOfWeek,$D8)</f>
        <v>2006502</v>
      </c>
      <c r="G8" s="27">
        <f>SUMIFS(INDEX(Load,,MATCH('Summarized Source Data'!$B8,Hour,0)),Season,'Summarized Source Data'!$A8,Sector,'Summarized Source Data'!G$2,Subsector,'Summarized Source Data'!G$3,TimeOfWeek,$D8)</f>
        <v>0</v>
      </c>
      <c r="H8" s="27">
        <f>SUMIFS(INDEX(Load,,MATCH('Summarized Source Data'!$B8,Hour,0)),Season,'Summarized Source Data'!$A8,Sector,'Summarized Source Data'!H$2,Subsector,'Summarized Source Data'!H$3,TimeOfWeek,$D8)</f>
        <v>86500000</v>
      </c>
      <c r="I8" s="27">
        <f t="shared" si="0"/>
        <v>86500000</v>
      </c>
      <c r="J8" s="29">
        <f t="shared" si="1"/>
        <v>86500000</v>
      </c>
      <c r="K8" s="27">
        <f>SUMIFS(INDEX(Load,,MATCH('Summarized Source Data'!$B8,Hour,0)),Season,'Summarized Source Data'!$A8,Sector,'Summarized Source Data'!K$2,Subsector,'Summarized Source Data'!K$3,TimeOfWeek,$D8)</f>
        <v>13541989</v>
      </c>
      <c r="L8" s="27">
        <f>SUMIFS(INDEX(Load,,MATCH('Summarized Source Data'!$B8,Hour,0)),Season,'Summarized Source Data'!$A8,Sector,'Summarized Source Data'!L$2,Subsector,'Summarized Source Data'!L$3,TimeOfWeek,$D8)</f>
        <v>13604391</v>
      </c>
      <c r="M8" s="27">
        <f>SUMIFS(INDEX(Load,,MATCH('Summarized Source Data'!$B8,Hour,0)),Season,'Summarized Source Data'!$A8,Sector,'Summarized Source Data'!M$2,Subsector,'Summarized Source Data'!M$3,TimeOfWeek,$D8)</f>
        <v>0</v>
      </c>
      <c r="N8" s="29">
        <f t="shared" si="2"/>
        <v>86500000</v>
      </c>
      <c r="O8" s="27">
        <f t="shared" si="3"/>
        <v>86500000</v>
      </c>
      <c r="P8" s="29">
        <f t="shared" si="4"/>
        <v>86500000</v>
      </c>
      <c r="Q8" s="33">
        <f>SUMIFS(INDEX(Load,,MATCH('Summarized Source Data'!$B8,Hour,0)),Season,'Summarized Source Data'!$A8,Sector,'Summarized Source Data'!Q$2,TimeOfWeek,$D8)</f>
        <v>7100000</v>
      </c>
      <c r="R8" s="33">
        <f>SUMIFS(INDEX(Load,,MATCH('Summarized Source Data'!$B8,Hour,0)),Season,'Summarized Source Data'!$A8,Sector,'Summarized Source Data'!R$2,TimeOfWeek,$D8)</f>
        <v>7100000</v>
      </c>
      <c r="S8" s="33">
        <f>SUMIFS(INDEX(Load,,MATCH('Summarized Source Data'!$B8,Hour,0)),Season,'Summarized Source Data'!$A8,Sector,'Summarized Source Data'!S$2,TimeOfWeek,$D8)</f>
        <v>7100000</v>
      </c>
      <c r="T8" s="33">
        <f>SUMIFS(INDEX(Load,,MATCH('Summarized Source Data'!$B8,Hour,0)),Season,'Summarized Source Data'!$A8,Sector,'Summarized Source Data'!T$2,TimeOfWeek,$D8)</f>
        <v>7100000</v>
      </c>
      <c r="U8" s="33">
        <f>SUMIFS(INDEX(Load,,MATCH('Summarized Source Data'!$B8,Hour,0)),Season,'Summarized Source Data'!$A8,Sector,'Summarized Source Data'!U$2,TimeOfWeek,$D8)</f>
        <v>7100000</v>
      </c>
      <c r="V8" s="33">
        <f>SUMIFS(INDEX(Load,,MATCH('Summarized Source Data'!$B8,Hour,0)),Season,'Summarized Source Data'!$A8,Sector,'Summarized Source Data'!V$2,TimeOfWeek,$D8)</f>
        <v>7100000</v>
      </c>
      <c r="W8" s="27">
        <f>SUMIFS(INDEX(Load,,MATCH('Summarized Source Data'!$B8,Hour,0)),Season,'Summarized Source Data'!$A8,Sector,'Summarized Source Data'!W$2,Subsector,'Summarized Source Data'!W$3,TimeOfWeek,$D8)</f>
        <v>1305000000</v>
      </c>
      <c r="X8" s="29">
        <f t="shared" si="5"/>
        <v>1305000000</v>
      </c>
      <c r="Y8" s="29">
        <f t="shared" si="5"/>
        <v>1305000000</v>
      </c>
    </row>
    <row r="9" spans="1:25" outlineLevel="1" x14ac:dyDescent="0.3">
      <c r="A9" t="s">
        <v>139</v>
      </c>
      <c r="B9" t="s">
        <v>69</v>
      </c>
      <c r="C9" s="6" t="s">
        <v>145</v>
      </c>
      <c r="D9" t="s">
        <v>49</v>
      </c>
      <c r="E9" s="27">
        <f>SUMIFS(INDEX(Load,,MATCH('Summarized Source Data'!$B9,Hour,0)),Season,'Summarized Source Data'!$A9,Sector,'Summarized Source Data'!E$2,Subsector,'Summarized Source Data'!E$3,TimeOfWeek,$D9)</f>
        <v>0</v>
      </c>
      <c r="F9" s="27">
        <f>SUMIFS(INDEX(Load,,MATCH('Summarized Source Data'!$B9,Hour,0)),Season,'Summarized Source Data'!$A9,Sector,'Summarized Source Data'!F$2,Subsector,'Summarized Source Data'!F$3,TimeOfWeek,$D9)</f>
        <v>2578566</v>
      </c>
      <c r="G9" s="27">
        <f>SUMIFS(INDEX(Load,,MATCH('Summarized Source Data'!$B9,Hour,0)),Season,'Summarized Source Data'!$A9,Sector,'Summarized Source Data'!G$2,Subsector,'Summarized Source Data'!G$3,TimeOfWeek,$D9)</f>
        <v>0</v>
      </c>
      <c r="H9" s="27">
        <f>SUMIFS(INDEX(Load,,MATCH('Summarized Source Data'!$B9,Hour,0)),Season,'Summarized Source Data'!$A9,Sector,'Summarized Source Data'!H$2,Subsector,'Summarized Source Data'!H$3,TimeOfWeek,$D9)</f>
        <v>148800000</v>
      </c>
      <c r="I9" s="27">
        <f t="shared" si="0"/>
        <v>148800000</v>
      </c>
      <c r="J9" s="29">
        <f t="shared" si="1"/>
        <v>148800000</v>
      </c>
      <c r="K9" s="27">
        <f>SUMIFS(INDEX(Load,,MATCH('Summarized Source Data'!$B9,Hour,0)),Season,'Summarized Source Data'!$A9,Sector,'Summarized Source Data'!K$2,Subsector,'Summarized Source Data'!K$3,TimeOfWeek,$D9)</f>
        <v>13820387</v>
      </c>
      <c r="L9" s="27">
        <f>SUMIFS(INDEX(Load,,MATCH('Summarized Source Data'!$B9,Hour,0)),Season,'Summarized Source Data'!$A9,Sector,'Summarized Source Data'!L$2,Subsector,'Summarized Source Data'!L$3,TimeOfWeek,$D9)</f>
        <v>14309159</v>
      </c>
      <c r="M9" s="27">
        <f>SUMIFS(INDEX(Load,,MATCH('Summarized Source Data'!$B9,Hour,0)),Season,'Summarized Source Data'!$A9,Sector,'Summarized Source Data'!M$2,Subsector,'Summarized Source Data'!M$3,TimeOfWeek,$D9)</f>
        <v>0</v>
      </c>
      <c r="N9" s="29">
        <f t="shared" si="2"/>
        <v>148800000</v>
      </c>
      <c r="O9" s="27">
        <f t="shared" si="3"/>
        <v>148800000</v>
      </c>
      <c r="P9" s="29">
        <f t="shared" si="4"/>
        <v>148800000</v>
      </c>
      <c r="Q9" s="33">
        <f>SUMIFS(INDEX(Load,,MATCH('Summarized Source Data'!$B9,Hour,0)),Season,'Summarized Source Data'!$A9,Sector,'Summarized Source Data'!Q$2,TimeOfWeek,$D9)</f>
        <v>7120000</v>
      </c>
      <c r="R9" s="33">
        <f>SUMIFS(INDEX(Load,,MATCH('Summarized Source Data'!$B9,Hour,0)),Season,'Summarized Source Data'!$A9,Sector,'Summarized Source Data'!R$2,TimeOfWeek,$D9)</f>
        <v>7120000</v>
      </c>
      <c r="S9" s="33">
        <f>SUMIFS(INDEX(Load,,MATCH('Summarized Source Data'!$B9,Hour,0)),Season,'Summarized Source Data'!$A9,Sector,'Summarized Source Data'!S$2,TimeOfWeek,$D9)</f>
        <v>7120000</v>
      </c>
      <c r="T9" s="33">
        <f>SUMIFS(INDEX(Load,,MATCH('Summarized Source Data'!$B9,Hour,0)),Season,'Summarized Source Data'!$A9,Sector,'Summarized Source Data'!T$2,TimeOfWeek,$D9)</f>
        <v>7120000</v>
      </c>
      <c r="U9" s="33">
        <f>SUMIFS(INDEX(Load,,MATCH('Summarized Source Data'!$B9,Hour,0)),Season,'Summarized Source Data'!$A9,Sector,'Summarized Source Data'!U$2,TimeOfWeek,$D9)</f>
        <v>7120000</v>
      </c>
      <c r="V9" s="33">
        <f>SUMIFS(INDEX(Load,,MATCH('Summarized Source Data'!$B9,Hour,0)),Season,'Summarized Source Data'!$A9,Sector,'Summarized Source Data'!V$2,TimeOfWeek,$D9)</f>
        <v>7120000</v>
      </c>
      <c r="W9" s="27">
        <f>SUMIFS(INDEX(Load,,MATCH('Summarized Source Data'!$B9,Hour,0)),Season,'Summarized Source Data'!$A9,Sector,'Summarized Source Data'!W$2,Subsector,'Summarized Source Data'!W$3,TimeOfWeek,$D9)</f>
        <v>1311000000</v>
      </c>
      <c r="X9" s="29">
        <f t="shared" si="5"/>
        <v>1311000000</v>
      </c>
      <c r="Y9" s="29">
        <f t="shared" si="5"/>
        <v>1311000000</v>
      </c>
    </row>
    <row r="10" spans="1:25" outlineLevel="1" x14ac:dyDescent="0.3">
      <c r="A10" t="s">
        <v>139</v>
      </c>
      <c r="B10" t="s">
        <v>70</v>
      </c>
      <c r="C10" s="6" t="s">
        <v>146</v>
      </c>
      <c r="D10" t="s">
        <v>49</v>
      </c>
      <c r="E10" s="27">
        <f>SUMIFS(INDEX(Load,,MATCH('Summarized Source Data'!$B10,Hour,0)),Season,'Summarized Source Data'!$A10,Sector,'Summarized Source Data'!E$2,Subsector,'Summarized Source Data'!E$3,TimeOfWeek,$D10)</f>
        <v>0</v>
      </c>
      <c r="F10" s="27">
        <f>SUMIFS(INDEX(Load,,MATCH('Summarized Source Data'!$B10,Hour,0)),Season,'Summarized Source Data'!$A10,Sector,'Summarized Source Data'!F$2,Subsector,'Summarized Source Data'!F$3,TimeOfWeek,$D10)</f>
        <v>3114533</v>
      </c>
      <c r="G10" s="27">
        <f>SUMIFS(INDEX(Load,,MATCH('Summarized Source Data'!$B10,Hour,0)),Season,'Summarized Source Data'!$A10,Sector,'Summarized Source Data'!G$2,Subsector,'Summarized Source Data'!G$3,TimeOfWeek,$D10)</f>
        <v>0</v>
      </c>
      <c r="H10" s="27">
        <f>SUMIFS(INDEX(Load,,MATCH('Summarized Source Data'!$B10,Hour,0)),Season,'Summarized Source Data'!$A10,Sector,'Summarized Source Data'!H$2,Subsector,'Summarized Source Data'!H$3,TimeOfWeek,$D10)</f>
        <v>217400000</v>
      </c>
      <c r="I10" s="27">
        <f t="shared" si="0"/>
        <v>217400000</v>
      </c>
      <c r="J10" s="29">
        <f t="shared" si="1"/>
        <v>217400000</v>
      </c>
      <c r="K10" s="27">
        <f>SUMIFS(INDEX(Load,,MATCH('Summarized Source Data'!$B10,Hour,0)),Season,'Summarized Source Data'!$A10,Sector,'Summarized Source Data'!K$2,Subsector,'Summarized Source Data'!K$3,TimeOfWeek,$D10)</f>
        <v>17799212</v>
      </c>
      <c r="L10" s="27">
        <f>SUMIFS(INDEX(Load,,MATCH('Summarized Source Data'!$B10,Hour,0)),Season,'Summarized Source Data'!$A10,Sector,'Summarized Source Data'!L$2,Subsector,'Summarized Source Data'!L$3,TimeOfWeek,$D10)</f>
        <v>16256157</v>
      </c>
      <c r="M10" s="27">
        <f>SUMIFS(INDEX(Load,,MATCH('Summarized Source Data'!$B10,Hour,0)),Season,'Summarized Source Data'!$A10,Sector,'Summarized Source Data'!M$2,Subsector,'Summarized Source Data'!M$3,TimeOfWeek,$D10)</f>
        <v>0</v>
      </c>
      <c r="N10" s="29">
        <f t="shared" si="2"/>
        <v>217400000</v>
      </c>
      <c r="O10" s="27">
        <f t="shared" si="3"/>
        <v>217400000</v>
      </c>
      <c r="P10" s="29">
        <f t="shared" si="4"/>
        <v>217400000</v>
      </c>
      <c r="Q10" s="33">
        <f>SUMIFS(INDEX(Load,,MATCH('Summarized Source Data'!$B10,Hour,0)),Season,'Summarized Source Data'!$A10,Sector,'Summarized Source Data'!Q$2,TimeOfWeek,$D10)</f>
        <v>10310000</v>
      </c>
      <c r="R10" s="33">
        <f>SUMIFS(INDEX(Load,,MATCH('Summarized Source Data'!$B10,Hour,0)),Season,'Summarized Source Data'!$A10,Sector,'Summarized Source Data'!R$2,TimeOfWeek,$D10)</f>
        <v>10310000</v>
      </c>
      <c r="S10" s="33">
        <f>SUMIFS(INDEX(Load,,MATCH('Summarized Source Data'!$B10,Hour,0)),Season,'Summarized Source Data'!$A10,Sector,'Summarized Source Data'!S$2,TimeOfWeek,$D10)</f>
        <v>10310000</v>
      </c>
      <c r="T10" s="33">
        <f>SUMIFS(INDEX(Load,,MATCH('Summarized Source Data'!$B10,Hour,0)),Season,'Summarized Source Data'!$A10,Sector,'Summarized Source Data'!T$2,TimeOfWeek,$D10)</f>
        <v>10310000</v>
      </c>
      <c r="U10" s="33">
        <f>SUMIFS(INDEX(Load,,MATCH('Summarized Source Data'!$B10,Hour,0)),Season,'Summarized Source Data'!$A10,Sector,'Summarized Source Data'!U$2,TimeOfWeek,$D10)</f>
        <v>10310000</v>
      </c>
      <c r="V10" s="33">
        <f>SUMIFS(INDEX(Load,,MATCH('Summarized Source Data'!$B10,Hour,0)),Season,'Summarized Source Data'!$A10,Sector,'Summarized Source Data'!V$2,TimeOfWeek,$D10)</f>
        <v>10310000</v>
      </c>
      <c r="W10" s="27">
        <f>SUMIFS(INDEX(Load,,MATCH('Summarized Source Data'!$B10,Hour,0)),Season,'Summarized Source Data'!$A10,Sector,'Summarized Source Data'!W$2,Subsector,'Summarized Source Data'!W$3,TimeOfWeek,$D10)</f>
        <v>1319000000</v>
      </c>
      <c r="X10" s="29">
        <f t="shared" si="5"/>
        <v>1319000000</v>
      </c>
      <c r="Y10" s="29">
        <f t="shared" si="5"/>
        <v>1319000000</v>
      </c>
    </row>
    <row r="11" spans="1:25" outlineLevel="1" x14ac:dyDescent="0.3">
      <c r="A11" t="s">
        <v>139</v>
      </c>
      <c r="B11" t="s">
        <v>71</v>
      </c>
      <c r="C11" s="6" t="s">
        <v>147</v>
      </c>
      <c r="D11" t="s">
        <v>49</v>
      </c>
      <c r="E11" s="27">
        <f>SUMIFS(INDEX(Load,,MATCH('Summarized Source Data'!$B11,Hour,0)),Season,'Summarized Source Data'!$A11,Sector,'Summarized Source Data'!E$2,Subsector,'Summarized Source Data'!E$3,TimeOfWeek,$D11)</f>
        <v>0</v>
      </c>
      <c r="F11" s="27">
        <f>SUMIFS(INDEX(Load,,MATCH('Summarized Source Data'!$B11,Hour,0)),Season,'Summarized Source Data'!$A11,Sector,'Summarized Source Data'!F$2,Subsector,'Summarized Source Data'!F$3,TimeOfWeek,$D11)</f>
        <v>3550410</v>
      </c>
      <c r="G11" s="27">
        <f>SUMIFS(INDEX(Load,,MATCH('Summarized Source Data'!$B11,Hour,0)),Season,'Summarized Source Data'!$A11,Sector,'Summarized Source Data'!G$2,Subsector,'Summarized Source Data'!G$3,TimeOfWeek,$D11)</f>
        <v>0</v>
      </c>
      <c r="H11" s="27">
        <f>SUMIFS(INDEX(Load,,MATCH('Summarized Source Data'!$B11,Hour,0)),Season,'Summarized Source Data'!$A11,Sector,'Summarized Source Data'!H$2,Subsector,'Summarized Source Data'!H$3,TimeOfWeek,$D11)</f>
        <v>92000000</v>
      </c>
      <c r="I11" s="27">
        <f t="shared" si="0"/>
        <v>92000000</v>
      </c>
      <c r="J11" s="29">
        <f t="shared" si="1"/>
        <v>92000000</v>
      </c>
      <c r="K11" s="27">
        <f>SUMIFS(INDEX(Load,,MATCH('Summarized Source Data'!$B11,Hour,0)),Season,'Summarized Source Data'!$A11,Sector,'Summarized Source Data'!K$2,Subsector,'Summarized Source Data'!K$3,TimeOfWeek,$D11)</f>
        <v>44467501</v>
      </c>
      <c r="L11" s="27">
        <f>SUMIFS(INDEX(Load,,MATCH('Summarized Source Data'!$B11,Hour,0)),Season,'Summarized Source Data'!$A11,Sector,'Summarized Source Data'!L$2,Subsector,'Summarized Source Data'!L$3,TimeOfWeek,$D11)</f>
        <v>19900585</v>
      </c>
      <c r="M11" s="27">
        <f>SUMIFS(INDEX(Load,,MATCH('Summarized Source Data'!$B11,Hour,0)),Season,'Summarized Source Data'!$A11,Sector,'Summarized Source Data'!M$2,Subsector,'Summarized Source Data'!M$3,TimeOfWeek,$D11)</f>
        <v>0</v>
      </c>
      <c r="N11" s="29">
        <f t="shared" si="2"/>
        <v>92000000</v>
      </c>
      <c r="O11" s="27">
        <f t="shared" si="3"/>
        <v>92000000</v>
      </c>
      <c r="P11" s="29">
        <f t="shared" si="4"/>
        <v>92000000</v>
      </c>
      <c r="Q11" s="33">
        <f>SUMIFS(INDEX(Load,,MATCH('Summarized Source Data'!$B11,Hour,0)),Season,'Summarized Source Data'!$A11,Sector,'Summarized Source Data'!Q$2,TimeOfWeek,$D11)</f>
        <v>20680000</v>
      </c>
      <c r="R11" s="33">
        <f>SUMIFS(INDEX(Load,,MATCH('Summarized Source Data'!$B11,Hour,0)),Season,'Summarized Source Data'!$A11,Sector,'Summarized Source Data'!R$2,TimeOfWeek,$D11)</f>
        <v>20680000</v>
      </c>
      <c r="S11" s="33">
        <f>SUMIFS(INDEX(Load,,MATCH('Summarized Source Data'!$B11,Hour,0)),Season,'Summarized Source Data'!$A11,Sector,'Summarized Source Data'!S$2,TimeOfWeek,$D11)</f>
        <v>20680000</v>
      </c>
      <c r="T11" s="33">
        <f>SUMIFS(INDEX(Load,,MATCH('Summarized Source Data'!$B11,Hour,0)),Season,'Summarized Source Data'!$A11,Sector,'Summarized Source Data'!T$2,TimeOfWeek,$D11)</f>
        <v>20680000</v>
      </c>
      <c r="U11" s="33">
        <f>SUMIFS(INDEX(Load,,MATCH('Summarized Source Data'!$B11,Hour,0)),Season,'Summarized Source Data'!$A11,Sector,'Summarized Source Data'!U$2,TimeOfWeek,$D11)</f>
        <v>20680000</v>
      </c>
      <c r="V11" s="33">
        <f>SUMIFS(INDEX(Load,,MATCH('Summarized Source Data'!$B11,Hour,0)),Season,'Summarized Source Data'!$A11,Sector,'Summarized Source Data'!V$2,TimeOfWeek,$D11)</f>
        <v>20680000</v>
      </c>
      <c r="W11" s="27">
        <f>SUMIFS(INDEX(Load,,MATCH('Summarized Source Data'!$B11,Hour,0)),Season,'Summarized Source Data'!$A11,Sector,'Summarized Source Data'!W$2,Subsector,'Summarized Source Data'!W$3,TimeOfWeek,$D11)</f>
        <v>1326000000</v>
      </c>
      <c r="X11" s="29">
        <f t="shared" si="5"/>
        <v>1326000000</v>
      </c>
      <c r="Y11" s="29">
        <f t="shared" si="5"/>
        <v>1326000000</v>
      </c>
    </row>
    <row r="12" spans="1:25" outlineLevel="1" x14ac:dyDescent="0.3">
      <c r="A12" t="s">
        <v>139</v>
      </c>
      <c r="B12" t="s">
        <v>72</v>
      </c>
      <c r="C12" s="6" t="s">
        <v>148</v>
      </c>
      <c r="D12" t="s">
        <v>49</v>
      </c>
      <c r="E12" s="27">
        <f>SUMIFS(INDEX(Load,,MATCH('Summarized Source Data'!$B12,Hour,0)),Season,'Summarized Source Data'!$A12,Sector,'Summarized Source Data'!E$2,Subsector,'Summarized Source Data'!E$3,TimeOfWeek,$D12)</f>
        <v>0</v>
      </c>
      <c r="F12" s="27">
        <f>SUMIFS(INDEX(Load,,MATCH('Summarized Source Data'!$B12,Hour,0)),Season,'Summarized Source Data'!$A12,Sector,'Summarized Source Data'!F$2,Subsector,'Summarized Source Data'!F$3,TimeOfWeek,$D12)</f>
        <v>4336652</v>
      </c>
      <c r="G12" s="27">
        <f>SUMIFS(INDEX(Load,,MATCH('Summarized Source Data'!$B12,Hour,0)),Season,'Summarized Source Data'!$A12,Sector,'Summarized Source Data'!G$2,Subsector,'Summarized Source Data'!G$3,TimeOfWeek,$D12)</f>
        <v>0</v>
      </c>
      <c r="H12" s="27">
        <f>SUMIFS(INDEX(Load,,MATCH('Summarized Source Data'!$B12,Hour,0)),Season,'Summarized Source Data'!$A12,Sector,'Summarized Source Data'!H$2,Subsector,'Summarized Source Data'!H$3,TimeOfWeek,$D12)</f>
        <v>66100000</v>
      </c>
      <c r="I12" s="27">
        <f t="shared" si="0"/>
        <v>66100000</v>
      </c>
      <c r="J12" s="29">
        <f t="shared" si="1"/>
        <v>66100000</v>
      </c>
      <c r="K12" s="27">
        <f>SUMIFS(INDEX(Load,,MATCH('Summarized Source Data'!$B12,Hour,0)),Season,'Summarized Source Data'!$A12,Sector,'Summarized Source Data'!K$2,Subsector,'Summarized Source Data'!K$3,TimeOfWeek,$D12)</f>
        <v>44830553</v>
      </c>
      <c r="L12" s="27">
        <f>SUMIFS(INDEX(Load,,MATCH('Summarized Source Data'!$B12,Hour,0)),Season,'Summarized Source Data'!$A12,Sector,'Summarized Source Data'!L$2,Subsector,'Summarized Source Data'!L$3,TimeOfWeek,$D12)</f>
        <v>25280880</v>
      </c>
      <c r="M12" s="27">
        <f>SUMIFS(INDEX(Load,,MATCH('Summarized Source Data'!$B12,Hour,0)),Season,'Summarized Source Data'!$A12,Sector,'Summarized Source Data'!M$2,Subsector,'Summarized Source Data'!M$3,TimeOfWeek,$D12)</f>
        <v>0</v>
      </c>
      <c r="N12" s="29">
        <f t="shared" si="2"/>
        <v>66100000</v>
      </c>
      <c r="O12" s="27">
        <f t="shared" si="3"/>
        <v>66100000</v>
      </c>
      <c r="P12" s="29">
        <f t="shared" si="4"/>
        <v>66100000</v>
      </c>
      <c r="Q12" s="33">
        <f>SUMIFS(INDEX(Load,,MATCH('Summarized Source Data'!$B12,Hour,0)),Season,'Summarized Source Data'!$A12,Sector,'Summarized Source Data'!Q$2,TimeOfWeek,$D12)</f>
        <v>20940000</v>
      </c>
      <c r="R12" s="33">
        <f>SUMIFS(INDEX(Load,,MATCH('Summarized Source Data'!$B12,Hour,0)),Season,'Summarized Source Data'!$A12,Sector,'Summarized Source Data'!R$2,TimeOfWeek,$D12)</f>
        <v>20940000</v>
      </c>
      <c r="S12" s="33">
        <f>SUMIFS(INDEX(Load,,MATCH('Summarized Source Data'!$B12,Hour,0)),Season,'Summarized Source Data'!$A12,Sector,'Summarized Source Data'!S$2,TimeOfWeek,$D12)</f>
        <v>20940000</v>
      </c>
      <c r="T12" s="33">
        <f>SUMIFS(INDEX(Load,,MATCH('Summarized Source Data'!$B12,Hour,0)),Season,'Summarized Source Data'!$A12,Sector,'Summarized Source Data'!T$2,TimeOfWeek,$D12)</f>
        <v>20940000</v>
      </c>
      <c r="U12" s="33">
        <f>SUMIFS(INDEX(Load,,MATCH('Summarized Source Data'!$B12,Hour,0)),Season,'Summarized Source Data'!$A12,Sector,'Summarized Source Data'!U$2,TimeOfWeek,$D12)</f>
        <v>20940000</v>
      </c>
      <c r="V12" s="33">
        <f>SUMIFS(INDEX(Load,,MATCH('Summarized Source Data'!$B12,Hour,0)),Season,'Summarized Source Data'!$A12,Sector,'Summarized Source Data'!V$2,TimeOfWeek,$D12)</f>
        <v>20940000</v>
      </c>
      <c r="W12" s="27">
        <f>SUMIFS(INDEX(Load,,MATCH('Summarized Source Data'!$B12,Hour,0)),Season,'Summarized Source Data'!$A12,Sector,'Summarized Source Data'!W$2,Subsector,'Summarized Source Data'!W$3,TimeOfWeek,$D12)</f>
        <v>1328000000</v>
      </c>
      <c r="X12" s="29">
        <f t="shared" si="5"/>
        <v>1328000000</v>
      </c>
      <c r="Y12" s="29">
        <f t="shared" si="5"/>
        <v>1328000000</v>
      </c>
    </row>
    <row r="13" spans="1:25" outlineLevel="1" x14ac:dyDescent="0.3">
      <c r="A13" t="s">
        <v>139</v>
      </c>
      <c r="B13" t="s">
        <v>73</v>
      </c>
      <c r="C13" s="6" t="s">
        <v>149</v>
      </c>
      <c r="D13" t="s">
        <v>49</v>
      </c>
      <c r="E13" s="27">
        <f>SUMIFS(INDEX(Load,,MATCH('Summarized Source Data'!$B13,Hour,0)),Season,'Summarized Source Data'!$A13,Sector,'Summarized Source Data'!E$2,Subsector,'Summarized Source Data'!E$3,TimeOfWeek,$D13)</f>
        <v>0</v>
      </c>
      <c r="F13" s="27">
        <f>SUMIFS(INDEX(Load,,MATCH('Summarized Source Data'!$B13,Hour,0)),Season,'Summarized Source Data'!$A13,Sector,'Summarized Source Data'!F$2,Subsector,'Summarized Source Data'!F$3,TimeOfWeek,$D13)</f>
        <v>5573907</v>
      </c>
      <c r="G13" s="27">
        <f>SUMIFS(INDEX(Load,,MATCH('Summarized Source Data'!$B13,Hour,0)),Season,'Summarized Source Data'!$A13,Sector,'Summarized Source Data'!G$2,Subsector,'Summarized Source Data'!G$3,TimeOfWeek,$D13)</f>
        <v>0</v>
      </c>
      <c r="H13" s="27">
        <f>SUMIFS(INDEX(Load,,MATCH('Summarized Source Data'!$B13,Hour,0)),Season,'Summarized Source Data'!$A13,Sector,'Summarized Source Data'!H$2,Subsector,'Summarized Source Data'!H$3,TimeOfWeek,$D13)</f>
        <v>63500000</v>
      </c>
      <c r="I13" s="27">
        <f t="shared" si="0"/>
        <v>63500000</v>
      </c>
      <c r="J13" s="29">
        <f t="shared" si="1"/>
        <v>63500000</v>
      </c>
      <c r="K13" s="27">
        <f>SUMIFS(INDEX(Load,,MATCH('Summarized Source Data'!$B13,Hour,0)),Season,'Summarized Source Data'!$A13,Sector,'Summarized Source Data'!K$2,Subsector,'Summarized Source Data'!K$3,TimeOfWeek,$D13)</f>
        <v>31972869</v>
      </c>
      <c r="L13" s="27">
        <f>SUMIFS(INDEX(Load,,MATCH('Summarized Source Data'!$B13,Hour,0)),Season,'Summarized Source Data'!$A13,Sector,'Summarized Source Data'!L$2,Subsector,'Summarized Source Data'!L$3,TimeOfWeek,$D13)</f>
        <v>29693132</v>
      </c>
      <c r="M13" s="27">
        <f>SUMIFS(INDEX(Load,,MATCH('Summarized Source Data'!$B13,Hour,0)),Season,'Summarized Source Data'!$A13,Sector,'Summarized Source Data'!M$2,Subsector,'Summarized Source Data'!M$3,TimeOfWeek,$D13)</f>
        <v>0</v>
      </c>
      <c r="N13" s="29">
        <f t="shared" si="2"/>
        <v>63500000</v>
      </c>
      <c r="O13" s="27">
        <f t="shared" si="3"/>
        <v>63500000</v>
      </c>
      <c r="P13" s="29">
        <f t="shared" si="4"/>
        <v>63500000</v>
      </c>
      <c r="Q13" s="33">
        <f>SUMIFS(INDEX(Load,,MATCH('Summarized Source Data'!$B13,Hour,0)),Season,'Summarized Source Data'!$A13,Sector,'Summarized Source Data'!Q$2,TimeOfWeek,$D13)</f>
        <v>18850000</v>
      </c>
      <c r="R13" s="33">
        <f>SUMIFS(INDEX(Load,,MATCH('Summarized Source Data'!$B13,Hour,0)),Season,'Summarized Source Data'!$A13,Sector,'Summarized Source Data'!R$2,TimeOfWeek,$D13)</f>
        <v>18850000</v>
      </c>
      <c r="S13" s="33">
        <f>SUMIFS(INDEX(Load,,MATCH('Summarized Source Data'!$B13,Hour,0)),Season,'Summarized Source Data'!$A13,Sector,'Summarized Source Data'!S$2,TimeOfWeek,$D13)</f>
        <v>18850000</v>
      </c>
      <c r="T13" s="33">
        <f>SUMIFS(INDEX(Load,,MATCH('Summarized Source Data'!$B13,Hour,0)),Season,'Summarized Source Data'!$A13,Sector,'Summarized Source Data'!T$2,TimeOfWeek,$D13)</f>
        <v>18850000</v>
      </c>
      <c r="U13" s="33">
        <f>SUMIFS(INDEX(Load,,MATCH('Summarized Source Data'!$B13,Hour,0)),Season,'Summarized Source Data'!$A13,Sector,'Summarized Source Data'!U$2,TimeOfWeek,$D13)</f>
        <v>18850000</v>
      </c>
      <c r="V13" s="33">
        <f>SUMIFS(INDEX(Load,,MATCH('Summarized Source Data'!$B13,Hour,0)),Season,'Summarized Source Data'!$A13,Sector,'Summarized Source Data'!V$2,TimeOfWeek,$D13)</f>
        <v>18850000</v>
      </c>
      <c r="W13" s="27">
        <f>SUMIFS(INDEX(Load,,MATCH('Summarized Source Data'!$B13,Hour,0)),Season,'Summarized Source Data'!$A13,Sector,'Summarized Source Data'!W$2,Subsector,'Summarized Source Data'!W$3,TimeOfWeek,$D13)</f>
        <v>1326000000</v>
      </c>
      <c r="X13" s="29">
        <f t="shared" si="5"/>
        <v>1326000000</v>
      </c>
      <c r="Y13" s="29">
        <f t="shared" si="5"/>
        <v>1326000000</v>
      </c>
    </row>
    <row r="14" spans="1:25" outlineLevel="1" x14ac:dyDescent="0.3">
      <c r="A14" t="s">
        <v>139</v>
      </c>
      <c r="B14" t="s">
        <v>74</v>
      </c>
      <c r="C14" s="6" t="s">
        <v>150</v>
      </c>
      <c r="D14" t="s">
        <v>49</v>
      </c>
      <c r="E14" s="27">
        <f>SUMIFS(INDEX(Load,,MATCH('Summarized Source Data'!$B14,Hour,0)),Season,'Summarized Source Data'!$A14,Sector,'Summarized Source Data'!E$2,Subsector,'Summarized Source Data'!E$3,TimeOfWeek,$D14)</f>
        <v>0</v>
      </c>
      <c r="F14" s="27">
        <f>SUMIFS(INDEX(Load,,MATCH('Summarized Source Data'!$B14,Hour,0)),Season,'Summarized Source Data'!$A14,Sector,'Summarized Source Data'!F$2,Subsector,'Summarized Source Data'!F$3,TimeOfWeek,$D14)</f>
        <v>7828127</v>
      </c>
      <c r="G14" s="27">
        <f>SUMIFS(INDEX(Load,,MATCH('Summarized Source Data'!$B14,Hour,0)),Season,'Summarized Source Data'!$A14,Sector,'Summarized Source Data'!G$2,Subsector,'Summarized Source Data'!G$3,TimeOfWeek,$D14)</f>
        <v>0</v>
      </c>
      <c r="H14" s="27">
        <f>SUMIFS(INDEX(Load,,MATCH('Summarized Source Data'!$B14,Hour,0)),Season,'Summarized Source Data'!$A14,Sector,'Summarized Source Data'!H$2,Subsector,'Summarized Source Data'!H$3,TimeOfWeek,$D14)</f>
        <v>64500000</v>
      </c>
      <c r="I14" s="27">
        <f t="shared" si="0"/>
        <v>64500000</v>
      </c>
      <c r="J14" s="29">
        <f t="shared" si="1"/>
        <v>64500000</v>
      </c>
      <c r="K14" s="27">
        <f>SUMIFS(INDEX(Load,,MATCH('Summarized Source Data'!$B14,Hour,0)),Season,'Summarized Source Data'!$A14,Sector,'Summarized Source Data'!K$2,Subsector,'Summarized Source Data'!K$3,TimeOfWeek,$D14)</f>
        <v>26328397</v>
      </c>
      <c r="L14" s="27">
        <f>SUMIFS(INDEX(Load,,MATCH('Summarized Source Data'!$B14,Hour,0)),Season,'Summarized Source Data'!$A14,Sector,'Summarized Source Data'!L$2,Subsector,'Summarized Source Data'!L$3,TimeOfWeek,$D14)</f>
        <v>33366063</v>
      </c>
      <c r="M14" s="27">
        <f>SUMIFS(INDEX(Load,,MATCH('Summarized Source Data'!$B14,Hour,0)),Season,'Summarized Source Data'!$A14,Sector,'Summarized Source Data'!M$2,Subsector,'Summarized Source Data'!M$3,TimeOfWeek,$D14)</f>
        <v>0</v>
      </c>
      <c r="N14" s="29">
        <f t="shared" si="2"/>
        <v>64500000</v>
      </c>
      <c r="O14" s="27">
        <f t="shared" si="3"/>
        <v>64500000</v>
      </c>
      <c r="P14" s="29">
        <f t="shared" si="4"/>
        <v>64500000</v>
      </c>
      <c r="Q14" s="33">
        <f>SUMIFS(INDEX(Load,,MATCH('Summarized Source Data'!$B14,Hour,0)),Season,'Summarized Source Data'!$A14,Sector,'Summarized Source Data'!Q$2,TimeOfWeek,$D14)</f>
        <v>15570000</v>
      </c>
      <c r="R14" s="33">
        <f>SUMIFS(INDEX(Load,,MATCH('Summarized Source Data'!$B14,Hour,0)),Season,'Summarized Source Data'!$A14,Sector,'Summarized Source Data'!R$2,TimeOfWeek,$D14)</f>
        <v>15570000</v>
      </c>
      <c r="S14" s="33">
        <f>SUMIFS(INDEX(Load,,MATCH('Summarized Source Data'!$B14,Hour,0)),Season,'Summarized Source Data'!$A14,Sector,'Summarized Source Data'!S$2,TimeOfWeek,$D14)</f>
        <v>15570000</v>
      </c>
      <c r="T14" s="33">
        <f>SUMIFS(INDEX(Load,,MATCH('Summarized Source Data'!$B14,Hour,0)),Season,'Summarized Source Data'!$A14,Sector,'Summarized Source Data'!T$2,TimeOfWeek,$D14)</f>
        <v>15570000</v>
      </c>
      <c r="U14" s="33">
        <f>SUMIFS(INDEX(Load,,MATCH('Summarized Source Data'!$B14,Hour,0)),Season,'Summarized Source Data'!$A14,Sector,'Summarized Source Data'!U$2,TimeOfWeek,$D14)</f>
        <v>15570000</v>
      </c>
      <c r="V14" s="33">
        <f>SUMIFS(INDEX(Load,,MATCH('Summarized Source Data'!$B14,Hour,0)),Season,'Summarized Source Data'!$A14,Sector,'Summarized Source Data'!V$2,TimeOfWeek,$D14)</f>
        <v>15570000</v>
      </c>
      <c r="W14" s="27">
        <f>SUMIFS(INDEX(Load,,MATCH('Summarized Source Data'!$B14,Hour,0)),Season,'Summarized Source Data'!$A14,Sector,'Summarized Source Data'!W$2,Subsector,'Summarized Source Data'!W$3,TimeOfWeek,$D14)</f>
        <v>1324000000</v>
      </c>
      <c r="X14" s="29">
        <f t="shared" si="5"/>
        <v>1324000000</v>
      </c>
      <c r="Y14" s="29">
        <f t="shared" si="5"/>
        <v>1324000000</v>
      </c>
    </row>
    <row r="15" spans="1:25" outlineLevel="1" x14ac:dyDescent="0.3">
      <c r="A15" t="s">
        <v>139</v>
      </c>
      <c r="B15" t="s">
        <v>75</v>
      </c>
      <c r="C15" s="6" t="s">
        <v>151</v>
      </c>
      <c r="D15" t="s">
        <v>49</v>
      </c>
      <c r="E15" s="27">
        <f>SUMIFS(INDEX(Load,,MATCH('Summarized Source Data'!$B15,Hour,0)),Season,'Summarized Source Data'!$A15,Sector,'Summarized Source Data'!E$2,Subsector,'Summarized Source Data'!E$3,TimeOfWeek,$D15)</f>
        <v>0</v>
      </c>
      <c r="F15" s="27">
        <f>SUMIFS(INDEX(Load,,MATCH('Summarized Source Data'!$B15,Hour,0)),Season,'Summarized Source Data'!$A15,Sector,'Summarized Source Data'!F$2,Subsector,'Summarized Source Data'!F$3,TimeOfWeek,$D15)</f>
        <v>11813648</v>
      </c>
      <c r="G15" s="27">
        <f>SUMIFS(INDEX(Load,,MATCH('Summarized Source Data'!$B15,Hour,0)),Season,'Summarized Source Data'!$A15,Sector,'Summarized Source Data'!G$2,Subsector,'Summarized Source Data'!G$3,TimeOfWeek,$D15)</f>
        <v>0</v>
      </c>
      <c r="H15" s="27">
        <f>SUMIFS(INDEX(Load,,MATCH('Summarized Source Data'!$B15,Hour,0)),Season,'Summarized Source Data'!$A15,Sector,'Summarized Source Data'!H$2,Subsector,'Summarized Source Data'!H$3,TimeOfWeek,$D15)</f>
        <v>70800000</v>
      </c>
      <c r="I15" s="27">
        <f t="shared" si="0"/>
        <v>70800000</v>
      </c>
      <c r="J15" s="29">
        <f t="shared" si="1"/>
        <v>70800000</v>
      </c>
      <c r="K15" s="27">
        <f>SUMIFS(INDEX(Load,,MATCH('Summarized Source Data'!$B15,Hour,0)),Season,'Summarized Source Data'!$A15,Sector,'Summarized Source Data'!K$2,Subsector,'Summarized Source Data'!K$3,TimeOfWeek,$D15)</f>
        <v>22933364</v>
      </c>
      <c r="L15" s="27">
        <f>SUMIFS(INDEX(Load,,MATCH('Summarized Source Data'!$B15,Hour,0)),Season,'Summarized Source Data'!$A15,Sector,'Summarized Source Data'!L$2,Subsector,'Summarized Source Data'!L$3,TimeOfWeek,$D15)</f>
        <v>36322526</v>
      </c>
      <c r="M15" s="27">
        <f>SUMIFS(INDEX(Load,,MATCH('Summarized Source Data'!$B15,Hour,0)),Season,'Summarized Source Data'!$A15,Sector,'Summarized Source Data'!M$2,Subsector,'Summarized Source Data'!M$3,TimeOfWeek,$D15)</f>
        <v>0</v>
      </c>
      <c r="N15" s="29">
        <f t="shared" si="2"/>
        <v>70800000</v>
      </c>
      <c r="O15" s="27">
        <f t="shared" si="3"/>
        <v>70800000</v>
      </c>
      <c r="P15" s="29">
        <f t="shared" si="4"/>
        <v>70800000</v>
      </c>
      <c r="Q15" s="33">
        <f>SUMIFS(INDEX(Load,,MATCH('Summarized Source Data'!$B15,Hour,0)),Season,'Summarized Source Data'!$A15,Sector,'Summarized Source Data'!Q$2,TimeOfWeek,$D15)</f>
        <v>15580000</v>
      </c>
      <c r="R15" s="33">
        <f>SUMIFS(INDEX(Load,,MATCH('Summarized Source Data'!$B15,Hour,0)),Season,'Summarized Source Data'!$A15,Sector,'Summarized Source Data'!R$2,TimeOfWeek,$D15)</f>
        <v>15580000</v>
      </c>
      <c r="S15" s="33">
        <f>SUMIFS(INDEX(Load,,MATCH('Summarized Source Data'!$B15,Hour,0)),Season,'Summarized Source Data'!$A15,Sector,'Summarized Source Data'!S$2,TimeOfWeek,$D15)</f>
        <v>15580000</v>
      </c>
      <c r="T15" s="33">
        <f>SUMIFS(INDEX(Load,,MATCH('Summarized Source Data'!$B15,Hour,0)),Season,'Summarized Source Data'!$A15,Sector,'Summarized Source Data'!T$2,TimeOfWeek,$D15)</f>
        <v>15580000</v>
      </c>
      <c r="U15" s="33">
        <f>SUMIFS(INDEX(Load,,MATCH('Summarized Source Data'!$B15,Hour,0)),Season,'Summarized Source Data'!$A15,Sector,'Summarized Source Data'!U$2,TimeOfWeek,$D15)</f>
        <v>15580000</v>
      </c>
      <c r="V15" s="33">
        <f>SUMIFS(INDEX(Load,,MATCH('Summarized Source Data'!$B15,Hour,0)),Season,'Summarized Source Data'!$A15,Sector,'Summarized Source Data'!V$2,TimeOfWeek,$D15)</f>
        <v>15580000</v>
      </c>
      <c r="W15" s="27">
        <f>SUMIFS(INDEX(Load,,MATCH('Summarized Source Data'!$B15,Hour,0)),Season,'Summarized Source Data'!$A15,Sector,'Summarized Source Data'!W$2,Subsector,'Summarized Source Data'!W$3,TimeOfWeek,$D15)</f>
        <v>1320000000</v>
      </c>
      <c r="X15" s="29">
        <f t="shared" si="5"/>
        <v>1320000000</v>
      </c>
      <c r="Y15" s="29">
        <f t="shared" si="5"/>
        <v>1320000000</v>
      </c>
    </row>
    <row r="16" spans="1:25" outlineLevel="1" x14ac:dyDescent="0.3">
      <c r="A16" t="s">
        <v>139</v>
      </c>
      <c r="B16" t="s">
        <v>76</v>
      </c>
      <c r="C16" s="6" t="s">
        <v>152</v>
      </c>
      <c r="D16" t="s">
        <v>49</v>
      </c>
      <c r="E16" s="27">
        <f>SUMIFS(INDEX(Load,,MATCH('Summarized Source Data'!$B16,Hour,0)),Season,'Summarized Source Data'!$A16,Sector,'Summarized Source Data'!E$2,Subsector,'Summarized Source Data'!E$3,TimeOfWeek,$D16)</f>
        <v>0</v>
      </c>
      <c r="F16" s="27">
        <f>SUMIFS(INDEX(Load,,MATCH('Summarized Source Data'!$B16,Hour,0)),Season,'Summarized Source Data'!$A16,Sector,'Summarized Source Data'!F$2,Subsector,'Summarized Source Data'!F$3,TimeOfWeek,$D16)</f>
        <v>15720597</v>
      </c>
      <c r="G16" s="27">
        <f>SUMIFS(INDEX(Load,,MATCH('Summarized Source Data'!$B16,Hour,0)),Season,'Summarized Source Data'!$A16,Sector,'Summarized Source Data'!G$2,Subsector,'Summarized Source Data'!G$3,TimeOfWeek,$D16)</f>
        <v>0</v>
      </c>
      <c r="H16" s="27">
        <f>SUMIFS(INDEX(Load,,MATCH('Summarized Source Data'!$B16,Hour,0)),Season,'Summarized Source Data'!$A16,Sector,'Summarized Source Data'!H$2,Subsector,'Summarized Source Data'!H$3,TimeOfWeek,$D16)</f>
        <v>74600000</v>
      </c>
      <c r="I16" s="27">
        <f t="shared" si="0"/>
        <v>74600000</v>
      </c>
      <c r="J16" s="29">
        <f t="shared" si="1"/>
        <v>74600000</v>
      </c>
      <c r="K16" s="27">
        <f>SUMIFS(INDEX(Load,,MATCH('Summarized Source Data'!$B16,Hour,0)),Season,'Summarized Source Data'!$A16,Sector,'Summarized Source Data'!K$2,Subsector,'Summarized Source Data'!K$3,TimeOfWeek,$D16)</f>
        <v>20116690</v>
      </c>
      <c r="L16" s="27">
        <f>SUMIFS(INDEX(Load,,MATCH('Summarized Source Data'!$B16,Hour,0)),Season,'Summarized Source Data'!$A16,Sector,'Summarized Source Data'!L$2,Subsector,'Summarized Source Data'!L$3,TimeOfWeek,$D16)</f>
        <v>37616282</v>
      </c>
      <c r="M16" s="27">
        <f>SUMIFS(INDEX(Load,,MATCH('Summarized Source Data'!$B16,Hour,0)),Season,'Summarized Source Data'!$A16,Sector,'Summarized Source Data'!M$2,Subsector,'Summarized Source Data'!M$3,TimeOfWeek,$D16)</f>
        <v>0</v>
      </c>
      <c r="N16" s="29">
        <f t="shared" si="2"/>
        <v>74600000</v>
      </c>
      <c r="O16" s="27">
        <f t="shared" si="3"/>
        <v>74600000</v>
      </c>
      <c r="P16" s="29">
        <f t="shared" si="4"/>
        <v>74600000</v>
      </c>
      <c r="Q16" s="33">
        <f>SUMIFS(INDEX(Load,,MATCH('Summarized Source Data'!$B16,Hour,0)),Season,'Summarized Source Data'!$A16,Sector,'Summarized Source Data'!Q$2,TimeOfWeek,$D16)</f>
        <v>15620000</v>
      </c>
      <c r="R16" s="33">
        <f>SUMIFS(INDEX(Load,,MATCH('Summarized Source Data'!$B16,Hour,0)),Season,'Summarized Source Data'!$A16,Sector,'Summarized Source Data'!R$2,TimeOfWeek,$D16)</f>
        <v>15620000</v>
      </c>
      <c r="S16" s="33">
        <f>SUMIFS(INDEX(Load,,MATCH('Summarized Source Data'!$B16,Hour,0)),Season,'Summarized Source Data'!$A16,Sector,'Summarized Source Data'!S$2,TimeOfWeek,$D16)</f>
        <v>15620000</v>
      </c>
      <c r="T16" s="33">
        <f>SUMIFS(INDEX(Load,,MATCH('Summarized Source Data'!$B16,Hour,0)),Season,'Summarized Source Data'!$A16,Sector,'Summarized Source Data'!T$2,TimeOfWeek,$D16)</f>
        <v>15620000</v>
      </c>
      <c r="U16" s="33">
        <f>SUMIFS(INDEX(Load,,MATCH('Summarized Source Data'!$B16,Hour,0)),Season,'Summarized Source Data'!$A16,Sector,'Summarized Source Data'!U$2,TimeOfWeek,$D16)</f>
        <v>15620000</v>
      </c>
      <c r="V16" s="33">
        <f>SUMIFS(INDEX(Load,,MATCH('Summarized Source Data'!$B16,Hour,0)),Season,'Summarized Source Data'!$A16,Sector,'Summarized Source Data'!V$2,TimeOfWeek,$D16)</f>
        <v>15620000</v>
      </c>
      <c r="W16" s="27">
        <f>SUMIFS(INDEX(Load,,MATCH('Summarized Source Data'!$B16,Hour,0)),Season,'Summarized Source Data'!$A16,Sector,'Summarized Source Data'!W$2,Subsector,'Summarized Source Data'!W$3,TimeOfWeek,$D16)</f>
        <v>1319000000</v>
      </c>
      <c r="X16" s="29">
        <f t="shared" si="5"/>
        <v>1319000000</v>
      </c>
      <c r="Y16" s="29">
        <f t="shared" si="5"/>
        <v>1319000000</v>
      </c>
    </row>
    <row r="17" spans="1:25" outlineLevel="1" x14ac:dyDescent="0.3">
      <c r="A17" t="s">
        <v>139</v>
      </c>
      <c r="B17" t="s">
        <v>77</v>
      </c>
      <c r="C17" s="6" t="s">
        <v>153</v>
      </c>
      <c r="D17" t="s">
        <v>49</v>
      </c>
      <c r="E17" s="27">
        <f>SUMIFS(INDEX(Load,,MATCH('Summarized Source Data'!$B17,Hour,0)),Season,'Summarized Source Data'!$A17,Sector,'Summarized Source Data'!E$2,Subsector,'Summarized Source Data'!E$3,TimeOfWeek,$D17)</f>
        <v>0</v>
      </c>
      <c r="F17" s="27">
        <f>SUMIFS(INDEX(Load,,MATCH('Summarized Source Data'!$B17,Hour,0)),Season,'Summarized Source Data'!$A17,Sector,'Summarized Source Data'!F$2,Subsector,'Summarized Source Data'!F$3,TimeOfWeek,$D17)</f>
        <v>18133934</v>
      </c>
      <c r="G17" s="27">
        <f>SUMIFS(INDEX(Load,,MATCH('Summarized Source Data'!$B17,Hour,0)),Season,'Summarized Source Data'!$A17,Sector,'Summarized Source Data'!G$2,Subsector,'Summarized Source Data'!G$3,TimeOfWeek,$D17)</f>
        <v>0</v>
      </c>
      <c r="H17" s="27">
        <f>SUMIFS(INDEX(Load,,MATCH('Summarized Source Data'!$B17,Hour,0)),Season,'Summarized Source Data'!$A17,Sector,'Summarized Source Data'!H$2,Subsector,'Summarized Source Data'!H$3,TimeOfWeek,$D17)</f>
        <v>75600000</v>
      </c>
      <c r="I17" s="27">
        <f t="shared" si="0"/>
        <v>75600000</v>
      </c>
      <c r="J17" s="29">
        <f t="shared" si="1"/>
        <v>75600000</v>
      </c>
      <c r="K17" s="27">
        <f>SUMIFS(INDEX(Load,,MATCH('Summarized Source Data'!$B17,Hour,0)),Season,'Summarized Source Data'!$A17,Sector,'Summarized Source Data'!K$2,Subsector,'Summarized Source Data'!K$3,TimeOfWeek,$D17)</f>
        <v>18820535</v>
      </c>
      <c r="L17" s="27">
        <f>SUMIFS(INDEX(Load,,MATCH('Summarized Source Data'!$B17,Hour,0)),Season,'Summarized Source Data'!$A17,Sector,'Summarized Source Data'!L$2,Subsector,'Summarized Source Data'!L$3,TimeOfWeek,$D17)</f>
        <v>39718317</v>
      </c>
      <c r="M17" s="27">
        <f>SUMIFS(INDEX(Load,,MATCH('Summarized Source Data'!$B17,Hour,0)),Season,'Summarized Source Data'!$A17,Sector,'Summarized Source Data'!M$2,Subsector,'Summarized Source Data'!M$3,TimeOfWeek,$D17)</f>
        <v>0</v>
      </c>
      <c r="N17" s="29">
        <f t="shared" si="2"/>
        <v>75600000</v>
      </c>
      <c r="O17" s="27">
        <f t="shared" si="3"/>
        <v>75600000</v>
      </c>
      <c r="P17" s="29">
        <f t="shared" si="4"/>
        <v>75600000</v>
      </c>
      <c r="Q17" s="33">
        <f>SUMIFS(INDEX(Load,,MATCH('Summarized Source Data'!$B17,Hour,0)),Season,'Summarized Source Data'!$A17,Sector,'Summarized Source Data'!Q$2,TimeOfWeek,$D17)</f>
        <v>15610000</v>
      </c>
      <c r="R17" s="33">
        <f>SUMIFS(INDEX(Load,,MATCH('Summarized Source Data'!$B17,Hour,0)),Season,'Summarized Source Data'!$A17,Sector,'Summarized Source Data'!R$2,TimeOfWeek,$D17)</f>
        <v>15610000</v>
      </c>
      <c r="S17" s="33">
        <f>SUMIFS(INDEX(Load,,MATCH('Summarized Source Data'!$B17,Hour,0)),Season,'Summarized Source Data'!$A17,Sector,'Summarized Source Data'!S$2,TimeOfWeek,$D17)</f>
        <v>15610000</v>
      </c>
      <c r="T17" s="33">
        <f>SUMIFS(INDEX(Load,,MATCH('Summarized Source Data'!$B17,Hour,0)),Season,'Summarized Source Data'!$A17,Sector,'Summarized Source Data'!T$2,TimeOfWeek,$D17)</f>
        <v>15610000</v>
      </c>
      <c r="U17" s="33">
        <f>SUMIFS(INDEX(Load,,MATCH('Summarized Source Data'!$B17,Hour,0)),Season,'Summarized Source Data'!$A17,Sector,'Summarized Source Data'!U$2,TimeOfWeek,$D17)</f>
        <v>15610000</v>
      </c>
      <c r="V17" s="33">
        <f>SUMIFS(INDEX(Load,,MATCH('Summarized Source Data'!$B17,Hour,0)),Season,'Summarized Source Data'!$A17,Sector,'Summarized Source Data'!V$2,TimeOfWeek,$D17)</f>
        <v>15610000</v>
      </c>
      <c r="W17" s="27">
        <f>SUMIFS(INDEX(Load,,MATCH('Summarized Source Data'!$B17,Hour,0)),Season,'Summarized Source Data'!$A17,Sector,'Summarized Source Data'!W$2,Subsector,'Summarized Source Data'!W$3,TimeOfWeek,$D17)</f>
        <v>1319000000</v>
      </c>
      <c r="X17" s="29">
        <f t="shared" si="5"/>
        <v>1319000000</v>
      </c>
      <c r="Y17" s="29">
        <f t="shared" si="5"/>
        <v>1319000000</v>
      </c>
    </row>
    <row r="18" spans="1:25" outlineLevel="1" x14ac:dyDescent="0.3">
      <c r="A18" t="s">
        <v>139</v>
      </c>
      <c r="B18" t="s">
        <v>78</v>
      </c>
      <c r="C18" s="6" t="s">
        <v>154</v>
      </c>
      <c r="D18" t="s">
        <v>49</v>
      </c>
      <c r="E18" s="27">
        <f>SUMIFS(INDEX(Load,,MATCH('Summarized Source Data'!$B18,Hour,0)),Season,'Summarized Source Data'!$A18,Sector,'Summarized Source Data'!E$2,Subsector,'Summarized Source Data'!E$3,TimeOfWeek,$D18)</f>
        <v>0</v>
      </c>
      <c r="F18" s="27">
        <f>SUMIFS(INDEX(Load,,MATCH('Summarized Source Data'!$B18,Hour,0)),Season,'Summarized Source Data'!$A18,Sector,'Summarized Source Data'!F$2,Subsector,'Summarized Source Data'!F$3,TimeOfWeek,$D18)</f>
        <v>19622676</v>
      </c>
      <c r="G18" s="27">
        <f>SUMIFS(INDEX(Load,,MATCH('Summarized Source Data'!$B18,Hour,0)),Season,'Summarized Source Data'!$A18,Sector,'Summarized Source Data'!G$2,Subsector,'Summarized Source Data'!G$3,TimeOfWeek,$D18)</f>
        <v>0</v>
      </c>
      <c r="H18" s="27">
        <f>SUMIFS(INDEX(Load,,MATCH('Summarized Source Data'!$B18,Hour,0)),Season,'Summarized Source Data'!$A18,Sector,'Summarized Source Data'!H$2,Subsector,'Summarized Source Data'!H$3,TimeOfWeek,$D18)</f>
        <v>77600000</v>
      </c>
      <c r="I18" s="27">
        <f t="shared" si="0"/>
        <v>77600000</v>
      </c>
      <c r="J18" s="29">
        <f t="shared" si="1"/>
        <v>77600000</v>
      </c>
      <c r="K18" s="27">
        <f>SUMIFS(INDEX(Load,,MATCH('Summarized Source Data'!$B18,Hour,0)),Season,'Summarized Source Data'!$A18,Sector,'Summarized Source Data'!K$2,Subsector,'Summarized Source Data'!K$3,TimeOfWeek,$D18)</f>
        <v>17639644</v>
      </c>
      <c r="L18" s="27">
        <f>SUMIFS(INDEX(Load,,MATCH('Summarized Source Data'!$B18,Hour,0)),Season,'Summarized Source Data'!$A18,Sector,'Summarized Source Data'!L$2,Subsector,'Summarized Source Data'!L$3,TimeOfWeek,$D18)</f>
        <v>40747124</v>
      </c>
      <c r="M18" s="27">
        <f>SUMIFS(INDEX(Load,,MATCH('Summarized Source Data'!$B18,Hour,0)),Season,'Summarized Source Data'!$A18,Sector,'Summarized Source Data'!M$2,Subsector,'Summarized Source Data'!M$3,TimeOfWeek,$D18)</f>
        <v>0</v>
      </c>
      <c r="N18" s="29">
        <f t="shared" si="2"/>
        <v>77600000</v>
      </c>
      <c r="O18" s="27">
        <f t="shared" si="3"/>
        <v>77600000</v>
      </c>
      <c r="P18" s="29">
        <f t="shared" si="4"/>
        <v>77600000</v>
      </c>
      <c r="Q18" s="33">
        <f>SUMIFS(INDEX(Load,,MATCH('Summarized Source Data'!$B18,Hour,0)),Season,'Summarized Source Data'!$A18,Sector,'Summarized Source Data'!Q$2,TimeOfWeek,$D18)</f>
        <v>15580000</v>
      </c>
      <c r="R18" s="33">
        <f>SUMIFS(INDEX(Load,,MATCH('Summarized Source Data'!$B18,Hour,0)),Season,'Summarized Source Data'!$A18,Sector,'Summarized Source Data'!R$2,TimeOfWeek,$D18)</f>
        <v>15580000</v>
      </c>
      <c r="S18" s="33">
        <f>SUMIFS(INDEX(Load,,MATCH('Summarized Source Data'!$B18,Hour,0)),Season,'Summarized Source Data'!$A18,Sector,'Summarized Source Data'!S$2,TimeOfWeek,$D18)</f>
        <v>15580000</v>
      </c>
      <c r="T18" s="33">
        <f>SUMIFS(INDEX(Load,,MATCH('Summarized Source Data'!$B18,Hour,0)),Season,'Summarized Source Data'!$A18,Sector,'Summarized Source Data'!T$2,TimeOfWeek,$D18)</f>
        <v>15580000</v>
      </c>
      <c r="U18" s="33">
        <f>SUMIFS(INDEX(Load,,MATCH('Summarized Source Data'!$B18,Hour,0)),Season,'Summarized Source Data'!$A18,Sector,'Summarized Source Data'!U$2,TimeOfWeek,$D18)</f>
        <v>15580000</v>
      </c>
      <c r="V18" s="33">
        <f>SUMIFS(INDEX(Load,,MATCH('Summarized Source Data'!$B18,Hour,0)),Season,'Summarized Source Data'!$A18,Sector,'Summarized Source Data'!V$2,TimeOfWeek,$D18)</f>
        <v>15580000</v>
      </c>
      <c r="W18" s="27">
        <f>SUMIFS(INDEX(Load,,MATCH('Summarized Source Data'!$B18,Hour,0)),Season,'Summarized Source Data'!$A18,Sector,'Summarized Source Data'!W$2,Subsector,'Summarized Source Data'!W$3,TimeOfWeek,$D18)</f>
        <v>1320000000</v>
      </c>
      <c r="X18" s="29">
        <f t="shared" si="5"/>
        <v>1320000000</v>
      </c>
      <c r="Y18" s="29">
        <f t="shared" si="5"/>
        <v>1320000000</v>
      </c>
    </row>
    <row r="19" spans="1:25" outlineLevel="1" x14ac:dyDescent="0.3">
      <c r="A19" t="s">
        <v>139</v>
      </c>
      <c r="B19" t="s">
        <v>79</v>
      </c>
      <c r="C19" s="6" t="s">
        <v>155</v>
      </c>
      <c r="D19" t="s">
        <v>49</v>
      </c>
      <c r="E19" s="27">
        <f>SUMIFS(INDEX(Load,,MATCH('Summarized Source Data'!$B19,Hour,0)),Season,'Summarized Source Data'!$A19,Sector,'Summarized Source Data'!E$2,Subsector,'Summarized Source Data'!E$3,TimeOfWeek,$D19)</f>
        <v>0</v>
      </c>
      <c r="F19" s="27">
        <f>SUMIFS(INDEX(Load,,MATCH('Summarized Source Data'!$B19,Hour,0)),Season,'Summarized Source Data'!$A19,Sector,'Summarized Source Data'!F$2,Subsector,'Summarized Source Data'!F$3,TimeOfWeek,$D19)</f>
        <v>20682359</v>
      </c>
      <c r="G19" s="27">
        <f>SUMIFS(INDEX(Load,,MATCH('Summarized Source Data'!$B19,Hour,0)),Season,'Summarized Source Data'!$A19,Sector,'Summarized Source Data'!G$2,Subsector,'Summarized Source Data'!G$3,TimeOfWeek,$D19)</f>
        <v>0</v>
      </c>
      <c r="H19" s="27">
        <f>SUMIFS(INDEX(Load,,MATCH('Summarized Source Data'!$B19,Hour,0)),Season,'Summarized Source Data'!$A19,Sector,'Summarized Source Data'!H$2,Subsector,'Summarized Source Data'!H$3,TimeOfWeek,$D19)</f>
        <v>83900000</v>
      </c>
      <c r="I19" s="27">
        <f t="shared" si="0"/>
        <v>83900000</v>
      </c>
      <c r="J19" s="29">
        <f t="shared" si="1"/>
        <v>83900000</v>
      </c>
      <c r="K19" s="27">
        <f>SUMIFS(INDEX(Load,,MATCH('Summarized Source Data'!$B19,Hour,0)),Season,'Summarized Source Data'!$A19,Sector,'Summarized Source Data'!K$2,Subsector,'Summarized Source Data'!K$3,TimeOfWeek,$D19)</f>
        <v>16989145</v>
      </c>
      <c r="L19" s="27">
        <f>SUMIFS(INDEX(Load,,MATCH('Summarized Source Data'!$B19,Hour,0)),Season,'Summarized Source Data'!$A19,Sector,'Summarized Source Data'!L$2,Subsector,'Summarized Source Data'!L$3,TimeOfWeek,$D19)</f>
        <v>40331264</v>
      </c>
      <c r="M19" s="27">
        <f>SUMIFS(INDEX(Load,,MATCH('Summarized Source Data'!$B19,Hour,0)),Season,'Summarized Source Data'!$A19,Sector,'Summarized Source Data'!M$2,Subsector,'Summarized Source Data'!M$3,TimeOfWeek,$D19)</f>
        <v>0</v>
      </c>
      <c r="N19" s="29">
        <f t="shared" si="2"/>
        <v>83900000</v>
      </c>
      <c r="O19" s="27">
        <f t="shared" si="3"/>
        <v>83900000</v>
      </c>
      <c r="P19" s="29">
        <f t="shared" si="4"/>
        <v>83900000</v>
      </c>
      <c r="Q19" s="33">
        <f>SUMIFS(INDEX(Load,,MATCH('Summarized Source Data'!$B19,Hour,0)),Season,'Summarized Source Data'!$A19,Sector,'Summarized Source Data'!Q$2,TimeOfWeek,$D19)</f>
        <v>18740000</v>
      </c>
      <c r="R19" s="33">
        <f>SUMIFS(INDEX(Load,,MATCH('Summarized Source Data'!$B19,Hour,0)),Season,'Summarized Source Data'!$A19,Sector,'Summarized Source Data'!R$2,TimeOfWeek,$D19)</f>
        <v>18740000</v>
      </c>
      <c r="S19" s="33">
        <f>SUMIFS(INDEX(Load,,MATCH('Summarized Source Data'!$B19,Hour,0)),Season,'Summarized Source Data'!$A19,Sector,'Summarized Source Data'!S$2,TimeOfWeek,$D19)</f>
        <v>18740000</v>
      </c>
      <c r="T19" s="33">
        <f>SUMIFS(INDEX(Load,,MATCH('Summarized Source Data'!$B19,Hour,0)),Season,'Summarized Source Data'!$A19,Sector,'Summarized Source Data'!T$2,TimeOfWeek,$D19)</f>
        <v>18740000</v>
      </c>
      <c r="U19" s="33">
        <f>SUMIFS(INDEX(Load,,MATCH('Summarized Source Data'!$B19,Hour,0)),Season,'Summarized Source Data'!$A19,Sector,'Summarized Source Data'!U$2,TimeOfWeek,$D19)</f>
        <v>18740000</v>
      </c>
      <c r="V19" s="33">
        <f>SUMIFS(INDEX(Load,,MATCH('Summarized Source Data'!$B19,Hour,0)),Season,'Summarized Source Data'!$A19,Sector,'Summarized Source Data'!V$2,TimeOfWeek,$D19)</f>
        <v>18740000</v>
      </c>
      <c r="W19" s="27">
        <f>SUMIFS(INDEX(Load,,MATCH('Summarized Source Data'!$B19,Hour,0)),Season,'Summarized Source Data'!$A19,Sector,'Summarized Source Data'!W$2,Subsector,'Summarized Source Data'!W$3,TimeOfWeek,$D19)</f>
        <v>1326000000</v>
      </c>
      <c r="X19" s="29">
        <f t="shared" si="5"/>
        <v>1326000000</v>
      </c>
      <c r="Y19" s="29">
        <f t="shared" si="5"/>
        <v>1326000000</v>
      </c>
    </row>
    <row r="20" spans="1:25" outlineLevel="1" x14ac:dyDescent="0.3">
      <c r="A20" t="s">
        <v>139</v>
      </c>
      <c r="B20" t="s">
        <v>80</v>
      </c>
      <c r="C20" s="6" t="s">
        <v>156</v>
      </c>
      <c r="D20" t="s">
        <v>49</v>
      </c>
      <c r="E20" s="27">
        <f>SUMIFS(INDEX(Load,,MATCH('Summarized Source Data'!$B20,Hour,0)),Season,'Summarized Source Data'!$A20,Sector,'Summarized Source Data'!E$2,Subsector,'Summarized Source Data'!E$3,TimeOfWeek,$D20)</f>
        <v>0</v>
      </c>
      <c r="F20" s="27">
        <f>SUMIFS(INDEX(Load,,MATCH('Summarized Source Data'!$B20,Hour,0)),Season,'Summarized Source Data'!$A20,Sector,'Summarized Source Data'!F$2,Subsector,'Summarized Source Data'!F$3,TimeOfWeek,$D20)</f>
        <v>20195016</v>
      </c>
      <c r="G20" s="27">
        <f>SUMIFS(INDEX(Load,,MATCH('Summarized Source Data'!$B20,Hour,0)),Season,'Summarized Source Data'!$A20,Sector,'Summarized Source Data'!G$2,Subsector,'Summarized Source Data'!G$3,TimeOfWeek,$D20)</f>
        <v>0</v>
      </c>
      <c r="H20" s="27">
        <f>SUMIFS(INDEX(Load,,MATCH('Summarized Source Data'!$B20,Hour,0)),Season,'Summarized Source Data'!$A20,Sector,'Summarized Source Data'!H$2,Subsector,'Summarized Source Data'!H$3,TimeOfWeek,$D20)</f>
        <v>124700000</v>
      </c>
      <c r="I20" s="27">
        <f t="shared" si="0"/>
        <v>124700000</v>
      </c>
      <c r="J20" s="29">
        <f t="shared" si="1"/>
        <v>124700000</v>
      </c>
      <c r="K20" s="27">
        <f>SUMIFS(INDEX(Load,,MATCH('Summarized Source Data'!$B20,Hour,0)),Season,'Summarized Source Data'!$A20,Sector,'Summarized Source Data'!K$2,Subsector,'Summarized Source Data'!K$3,TimeOfWeek,$D20)</f>
        <v>16747583</v>
      </c>
      <c r="L20" s="27">
        <f>SUMIFS(INDEX(Load,,MATCH('Summarized Source Data'!$B20,Hour,0)),Season,'Summarized Source Data'!$A20,Sector,'Summarized Source Data'!L$2,Subsector,'Summarized Source Data'!L$3,TimeOfWeek,$D20)</f>
        <v>38295058</v>
      </c>
      <c r="M20" s="27">
        <f>SUMIFS(INDEX(Load,,MATCH('Summarized Source Data'!$B20,Hour,0)),Season,'Summarized Source Data'!$A20,Sector,'Summarized Source Data'!M$2,Subsector,'Summarized Source Data'!M$3,TimeOfWeek,$D20)</f>
        <v>0</v>
      </c>
      <c r="N20" s="29">
        <f t="shared" si="2"/>
        <v>124700000</v>
      </c>
      <c r="O20" s="27">
        <f t="shared" si="3"/>
        <v>124700000</v>
      </c>
      <c r="P20" s="29">
        <f t="shared" si="4"/>
        <v>124700000</v>
      </c>
      <c r="Q20" s="33">
        <f>SUMIFS(INDEX(Load,,MATCH('Summarized Source Data'!$B20,Hour,0)),Season,'Summarized Source Data'!$A20,Sector,'Summarized Source Data'!Q$2,TimeOfWeek,$D20)</f>
        <v>20880000</v>
      </c>
      <c r="R20" s="33">
        <f>SUMIFS(INDEX(Load,,MATCH('Summarized Source Data'!$B20,Hour,0)),Season,'Summarized Source Data'!$A20,Sector,'Summarized Source Data'!R$2,TimeOfWeek,$D20)</f>
        <v>20880000</v>
      </c>
      <c r="S20" s="33">
        <f>SUMIFS(INDEX(Load,,MATCH('Summarized Source Data'!$B20,Hour,0)),Season,'Summarized Source Data'!$A20,Sector,'Summarized Source Data'!S$2,TimeOfWeek,$D20)</f>
        <v>20880000</v>
      </c>
      <c r="T20" s="33">
        <f>SUMIFS(INDEX(Load,,MATCH('Summarized Source Data'!$B20,Hour,0)),Season,'Summarized Source Data'!$A20,Sector,'Summarized Source Data'!T$2,TimeOfWeek,$D20)</f>
        <v>20880000</v>
      </c>
      <c r="U20" s="33">
        <f>SUMIFS(INDEX(Load,,MATCH('Summarized Source Data'!$B20,Hour,0)),Season,'Summarized Source Data'!$A20,Sector,'Summarized Source Data'!U$2,TimeOfWeek,$D20)</f>
        <v>20880000</v>
      </c>
      <c r="V20" s="33">
        <f>SUMIFS(INDEX(Load,,MATCH('Summarized Source Data'!$B20,Hour,0)),Season,'Summarized Source Data'!$A20,Sector,'Summarized Source Data'!V$2,TimeOfWeek,$D20)</f>
        <v>20880000</v>
      </c>
      <c r="W20" s="27">
        <f>SUMIFS(INDEX(Load,,MATCH('Summarized Source Data'!$B20,Hour,0)),Season,'Summarized Source Data'!$A20,Sector,'Summarized Source Data'!W$2,Subsector,'Summarized Source Data'!W$3,TimeOfWeek,$D20)</f>
        <v>1333000000</v>
      </c>
      <c r="X20" s="29">
        <f t="shared" si="5"/>
        <v>1333000000</v>
      </c>
      <c r="Y20" s="29">
        <f t="shared" si="5"/>
        <v>1333000000</v>
      </c>
    </row>
    <row r="21" spans="1:25" outlineLevel="1" x14ac:dyDescent="0.3">
      <c r="A21" t="s">
        <v>139</v>
      </c>
      <c r="B21" t="s">
        <v>81</v>
      </c>
      <c r="C21" s="6" t="s">
        <v>157</v>
      </c>
      <c r="D21" t="s">
        <v>49</v>
      </c>
      <c r="E21" s="27">
        <f>SUMIFS(INDEX(Load,,MATCH('Summarized Source Data'!$B21,Hour,0)),Season,'Summarized Source Data'!$A21,Sector,'Summarized Source Data'!E$2,Subsector,'Summarized Source Data'!E$3,TimeOfWeek,$D21)</f>
        <v>0</v>
      </c>
      <c r="F21" s="27">
        <f>SUMIFS(INDEX(Load,,MATCH('Summarized Source Data'!$B21,Hour,0)),Season,'Summarized Source Data'!$A21,Sector,'Summarized Source Data'!F$2,Subsector,'Summarized Source Data'!F$3,TimeOfWeek,$D21)</f>
        <v>18056667</v>
      </c>
      <c r="G21" s="27">
        <f>SUMIFS(INDEX(Load,,MATCH('Summarized Source Data'!$B21,Hour,0)),Season,'Summarized Source Data'!$A21,Sector,'Summarized Source Data'!G$2,Subsector,'Summarized Source Data'!G$3,TimeOfWeek,$D21)</f>
        <v>0</v>
      </c>
      <c r="H21" s="27">
        <f>SUMIFS(INDEX(Load,,MATCH('Summarized Source Data'!$B21,Hour,0)),Season,'Summarized Source Data'!$A21,Sector,'Summarized Source Data'!H$2,Subsector,'Summarized Source Data'!H$3,TimeOfWeek,$D21)</f>
        <v>332700000</v>
      </c>
      <c r="I21" s="27">
        <f t="shared" si="0"/>
        <v>332700000</v>
      </c>
      <c r="J21" s="29">
        <f t="shared" si="1"/>
        <v>332700000</v>
      </c>
      <c r="K21" s="27">
        <f>SUMIFS(INDEX(Load,,MATCH('Summarized Source Data'!$B21,Hour,0)),Season,'Summarized Source Data'!$A21,Sector,'Summarized Source Data'!K$2,Subsector,'Summarized Source Data'!K$3,TimeOfWeek,$D21)</f>
        <v>17149027</v>
      </c>
      <c r="L21" s="27">
        <f>SUMIFS(INDEX(Load,,MATCH('Summarized Source Data'!$B21,Hour,0)),Season,'Summarized Source Data'!$A21,Sector,'Summarized Source Data'!L$2,Subsector,'Summarized Source Data'!L$3,TimeOfWeek,$D21)</f>
        <v>34831090</v>
      </c>
      <c r="M21" s="27">
        <f>SUMIFS(INDEX(Load,,MATCH('Summarized Source Data'!$B21,Hour,0)),Season,'Summarized Source Data'!$A21,Sector,'Summarized Source Data'!M$2,Subsector,'Summarized Source Data'!M$3,TimeOfWeek,$D21)</f>
        <v>0</v>
      </c>
      <c r="N21" s="29">
        <f t="shared" si="2"/>
        <v>332700000</v>
      </c>
      <c r="O21" s="27">
        <f t="shared" si="3"/>
        <v>332700000</v>
      </c>
      <c r="P21" s="29">
        <f t="shared" si="4"/>
        <v>332700000</v>
      </c>
      <c r="Q21" s="33">
        <f>SUMIFS(INDEX(Load,,MATCH('Summarized Source Data'!$B21,Hour,0)),Season,'Summarized Source Data'!$A21,Sector,'Summarized Source Data'!Q$2,TimeOfWeek,$D21)</f>
        <v>21050000</v>
      </c>
      <c r="R21" s="33">
        <f>SUMIFS(INDEX(Load,,MATCH('Summarized Source Data'!$B21,Hour,0)),Season,'Summarized Source Data'!$A21,Sector,'Summarized Source Data'!R$2,TimeOfWeek,$D21)</f>
        <v>21050000</v>
      </c>
      <c r="S21" s="33">
        <f>SUMIFS(INDEX(Load,,MATCH('Summarized Source Data'!$B21,Hour,0)),Season,'Summarized Source Data'!$A21,Sector,'Summarized Source Data'!S$2,TimeOfWeek,$D21)</f>
        <v>21050000</v>
      </c>
      <c r="T21" s="33">
        <f>SUMIFS(INDEX(Load,,MATCH('Summarized Source Data'!$B21,Hour,0)),Season,'Summarized Source Data'!$A21,Sector,'Summarized Source Data'!T$2,TimeOfWeek,$D21)</f>
        <v>21050000</v>
      </c>
      <c r="U21" s="33">
        <f>SUMIFS(INDEX(Load,,MATCH('Summarized Source Data'!$B21,Hour,0)),Season,'Summarized Source Data'!$A21,Sector,'Summarized Source Data'!U$2,TimeOfWeek,$D21)</f>
        <v>21050000</v>
      </c>
      <c r="V21" s="33">
        <f>SUMIFS(INDEX(Load,,MATCH('Summarized Source Data'!$B21,Hour,0)),Season,'Summarized Source Data'!$A21,Sector,'Summarized Source Data'!V$2,TimeOfWeek,$D21)</f>
        <v>21050000</v>
      </c>
      <c r="W21" s="27">
        <f>SUMIFS(INDEX(Load,,MATCH('Summarized Source Data'!$B21,Hour,0)),Season,'Summarized Source Data'!$A21,Sector,'Summarized Source Data'!W$2,Subsector,'Summarized Source Data'!W$3,TimeOfWeek,$D21)</f>
        <v>1334000000</v>
      </c>
      <c r="X21" s="29">
        <f t="shared" si="5"/>
        <v>1334000000</v>
      </c>
      <c r="Y21" s="29">
        <f t="shared" si="5"/>
        <v>1334000000</v>
      </c>
    </row>
    <row r="22" spans="1:25" outlineLevel="1" x14ac:dyDescent="0.3">
      <c r="A22" t="s">
        <v>139</v>
      </c>
      <c r="B22" t="s">
        <v>82</v>
      </c>
      <c r="C22" s="6" t="s">
        <v>158</v>
      </c>
      <c r="D22" t="s">
        <v>49</v>
      </c>
      <c r="E22" s="27">
        <f>SUMIFS(INDEX(Load,,MATCH('Summarized Source Data'!$B22,Hour,0)),Season,'Summarized Source Data'!$A22,Sector,'Summarized Source Data'!E$2,Subsector,'Summarized Source Data'!E$3,TimeOfWeek,$D22)</f>
        <v>0</v>
      </c>
      <c r="F22" s="27">
        <f>SUMIFS(INDEX(Load,,MATCH('Summarized Source Data'!$B22,Hour,0)),Season,'Summarized Source Data'!$A22,Sector,'Summarized Source Data'!F$2,Subsector,'Summarized Source Data'!F$3,TimeOfWeek,$D22)</f>
        <v>14855170</v>
      </c>
      <c r="G22" s="27">
        <f>SUMIFS(INDEX(Load,,MATCH('Summarized Source Data'!$B22,Hour,0)),Season,'Summarized Source Data'!$A22,Sector,'Summarized Source Data'!G$2,Subsector,'Summarized Source Data'!G$3,TimeOfWeek,$D22)</f>
        <v>0</v>
      </c>
      <c r="H22" s="27">
        <f>SUMIFS(INDEX(Load,,MATCH('Summarized Source Data'!$B22,Hour,0)),Season,'Summarized Source Data'!$A22,Sector,'Summarized Source Data'!H$2,Subsector,'Summarized Source Data'!H$3,TimeOfWeek,$D22)</f>
        <v>364300000</v>
      </c>
      <c r="I22" s="27">
        <f t="shared" si="0"/>
        <v>364300000</v>
      </c>
      <c r="J22" s="29">
        <f t="shared" si="1"/>
        <v>364300000</v>
      </c>
      <c r="K22" s="27">
        <f>SUMIFS(INDEX(Load,,MATCH('Summarized Source Data'!$B22,Hour,0)),Season,'Summarized Source Data'!$A22,Sector,'Summarized Source Data'!K$2,Subsector,'Summarized Source Data'!K$3,TimeOfWeek,$D22)</f>
        <v>20070551</v>
      </c>
      <c r="L22" s="27">
        <f>SUMIFS(INDEX(Load,,MATCH('Summarized Source Data'!$B22,Hour,0)),Season,'Summarized Source Data'!$A22,Sector,'Summarized Source Data'!L$2,Subsector,'Summarized Source Data'!L$3,TimeOfWeek,$D22)</f>
        <v>31186543</v>
      </c>
      <c r="M22" s="27">
        <f>SUMIFS(INDEX(Load,,MATCH('Summarized Source Data'!$B22,Hour,0)),Season,'Summarized Source Data'!$A22,Sector,'Summarized Source Data'!M$2,Subsector,'Summarized Source Data'!M$3,TimeOfWeek,$D22)</f>
        <v>0</v>
      </c>
      <c r="N22" s="29">
        <f t="shared" si="2"/>
        <v>364300000</v>
      </c>
      <c r="O22" s="27">
        <f t="shared" si="3"/>
        <v>364300000</v>
      </c>
      <c r="P22" s="29">
        <f t="shared" si="4"/>
        <v>364300000</v>
      </c>
      <c r="Q22" s="33">
        <f>SUMIFS(INDEX(Load,,MATCH('Summarized Source Data'!$B22,Hour,0)),Season,'Summarized Source Data'!$A22,Sector,'Summarized Source Data'!Q$2,TimeOfWeek,$D22)</f>
        <v>19070000</v>
      </c>
      <c r="R22" s="33">
        <f>SUMIFS(INDEX(Load,,MATCH('Summarized Source Data'!$B22,Hour,0)),Season,'Summarized Source Data'!$A22,Sector,'Summarized Source Data'!R$2,TimeOfWeek,$D22)</f>
        <v>19070000</v>
      </c>
      <c r="S22" s="33">
        <f>SUMIFS(INDEX(Load,,MATCH('Summarized Source Data'!$B22,Hour,0)),Season,'Summarized Source Data'!$A22,Sector,'Summarized Source Data'!S$2,TimeOfWeek,$D22)</f>
        <v>19070000</v>
      </c>
      <c r="T22" s="33">
        <f>SUMIFS(INDEX(Load,,MATCH('Summarized Source Data'!$B22,Hour,0)),Season,'Summarized Source Data'!$A22,Sector,'Summarized Source Data'!T$2,TimeOfWeek,$D22)</f>
        <v>19070000</v>
      </c>
      <c r="U22" s="33">
        <f>SUMIFS(INDEX(Load,,MATCH('Summarized Source Data'!$B22,Hour,0)),Season,'Summarized Source Data'!$A22,Sector,'Summarized Source Data'!U$2,TimeOfWeek,$D22)</f>
        <v>19070000</v>
      </c>
      <c r="V22" s="33">
        <f>SUMIFS(INDEX(Load,,MATCH('Summarized Source Data'!$B22,Hour,0)),Season,'Summarized Source Data'!$A22,Sector,'Summarized Source Data'!V$2,TimeOfWeek,$D22)</f>
        <v>19070000</v>
      </c>
      <c r="W22" s="27">
        <f>SUMIFS(INDEX(Load,,MATCH('Summarized Source Data'!$B22,Hour,0)),Season,'Summarized Source Data'!$A22,Sector,'Summarized Source Data'!W$2,Subsector,'Summarized Source Data'!W$3,TimeOfWeek,$D22)</f>
        <v>1331000000</v>
      </c>
      <c r="X22" s="29">
        <f t="shared" si="5"/>
        <v>1331000000</v>
      </c>
      <c r="Y22" s="29">
        <f t="shared" si="5"/>
        <v>1331000000</v>
      </c>
    </row>
    <row r="23" spans="1:25" outlineLevel="1" x14ac:dyDescent="0.3">
      <c r="A23" t="s">
        <v>139</v>
      </c>
      <c r="B23" t="s">
        <v>83</v>
      </c>
      <c r="C23" s="6" t="s">
        <v>159</v>
      </c>
      <c r="D23" t="s">
        <v>49</v>
      </c>
      <c r="E23" s="27">
        <f>SUMIFS(INDEX(Load,,MATCH('Summarized Source Data'!$B23,Hour,0)),Season,'Summarized Source Data'!$A23,Sector,'Summarized Source Data'!E$2,Subsector,'Summarized Source Data'!E$3,TimeOfWeek,$D23)</f>
        <v>0</v>
      </c>
      <c r="F23" s="27">
        <f>SUMIFS(INDEX(Load,,MATCH('Summarized Source Data'!$B23,Hour,0)),Season,'Summarized Source Data'!$A23,Sector,'Summarized Source Data'!F$2,Subsector,'Summarized Source Data'!F$3,TimeOfWeek,$D23)</f>
        <v>11513415</v>
      </c>
      <c r="G23" s="27">
        <f>SUMIFS(INDEX(Load,,MATCH('Summarized Source Data'!$B23,Hour,0)),Season,'Summarized Source Data'!$A23,Sector,'Summarized Source Data'!G$2,Subsector,'Summarized Source Data'!G$3,TimeOfWeek,$D23)</f>
        <v>0</v>
      </c>
      <c r="H23" s="27">
        <f>SUMIFS(INDEX(Load,,MATCH('Summarized Source Data'!$B23,Hour,0)),Season,'Summarized Source Data'!$A23,Sector,'Summarized Source Data'!H$2,Subsector,'Summarized Source Data'!H$3,TimeOfWeek,$D23)</f>
        <v>392100000</v>
      </c>
      <c r="I23" s="27">
        <f t="shared" si="0"/>
        <v>392100000</v>
      </c>
      <c r="J23" s="29">
        <f t="shared" si="1"/>
        <v>392100000</v>
      </c>
      <c r="K23" s="27">
        <f>SUMIFS(INDEX(Load,,MATCH('Summarized Source Data'!$B23,Hour,0)),Season,'Summarized Source Data'!$A23,Sector,'Summarized Source Data'!K$2,Subsector,'Summarized Source Data'!K$3,TimeOfWeek,$D23)</f>
        <v>22802836</v>
      </c>
      <c r="L23" s="27">
        <f>SUMIFS(INDEX(Load,,MATCH('Summarized Source Data'!$B23,Hour,0)),Season,'Summarized Source Data'!$A23,Sector,'Summarized Source Data'!L$2,Subsector,'Summarized Source Data'!L$3,TimeOfWeek,$D23)</f>
        <v>27419323</v>
      </c>
      <c r="M23" s="27">
        <f>SUMIFS(INDEX(Load,,MATCH('Summarized Source Data'!$B23,Hour,0)),Season,'Summarized Source Data'!$A23,Sector,'Summarized Source Data'!M$2,Subsector,'Summarized Source Data'!M$3,TimeOfWeek,$D23)</f>
        <v>0</v>
      </c>
      <c r="N23" s="29">
        <f t="shared" si="2"/>
        <v>392100000</v>
      </c>
      <c r="O23" s="27">
        <f t="shared" si="3"/>
        <v>392100000</v>
      </c>
      <c r="P23" s="29">
        <f t="shared" si="4"/>
        <v>392100000</v>
      </c>
      <c r="Q23" s="33">
        <f>SUMIFS(INDEX(Load,,MATCH('Summarized Source Data'!$B23,Hour,0)),Season,'Summarized Source Data'!$A23,Sector,'Summarized Source Data'!Q$2,TimeOfWeek,$D23)</f>
        <v>15780000</v>
      </c>
      <c r="R23" s="33">
        <f>SUMIFS(INDEX(Load,,MATCH('Summarized Source Data'!$B23,Hour,0)),Season,'Summarized Source Data'!$A23,Sector,'Summarized Source Data'!R$2,TimeOfWeek,$D23)</f>
        <v>15780000</v>
      </c>
      <c r="S23" s="33">
        <f>SUMIFS(INDEX(Load,,MATCH('Summarized Source Data'!$B23,Hour,0)),Season,'Summarized Source Data'!$A23,Sector,'Summarized Source Data'!S$2,TimeOfWeek,$D23)</f>
        <v>15780000</v>
      </c>
      <c r="T23" s="33">
        <f>SUMIFS(INDEX(Load,,MATCH('Summarized Source Data'!$B23,Hour,0)),Season,'Summarized Source Data'!$A23,Sector,'Summarized Source Data'!T$2,TimeOfWeek,$D23)</f>
        <v>15780000</v>
      </c>
      <c r="U23" s="33">
        <f>SUMIFS(INDEX(Load,,MATCH('Summarized Source Data'!$B23,Hour,0)),Season,'Summarized Source Data'!$A23,Sector,'Summarized Source Data'!U$2,TimeOfWeek,$D23)</f>
        <v>15780000</v>
      </c>
      <c r="V23" s="33">
        <f>SUMIFS(INDEX(Load,,MATCH('Summarized Source Data'!$B23,Hour,0)),Season,'Summarized Source Data'!$A23,Sector,'Summarized Source Data'!V$2,TimeOfWeek,$D23)</f>
        <v>15780000</v>
      </c>
      <c r="W23" s="27">
        <f>SUMIFS(INDEX(Load,,MATCH('Summarized Source Data'!$B23,Hour,0)),Season,'Summarized Source Data'!$A23,Sector,'Summarized Source Data'!W$2,Subsector,'Summarized Source Data'!W$3,TimeOfWeek,$D23)</f>
        <v>1326000000</v>
      </c>
      <c r="X23" s="29">
        <f t="shared" si="5"/>
        <v>1326000000</v>
      </c>
      <c r="Y23" s="29">
        <f t="shared" si="5"/>
        <v>1326000000</v>
      </c>
    </row>
    <row r="24" spans="1:25" outlineLevel="1" x14ac:dyDescent="0.3">
      <c r="A24" t="s">
        <v>139</v>
      </c>
      <c r="B24" t="s">
        <v>84</v>
      </c>
      <c r="C24" s="6" t="s">
        <v>160</v>
      </c>
      <c r="D24" t="s">
        <v>49</v>
      </c>
      <c r="E24" s="27">
        <f>SUMIFS(INDEX(Load,,MATCH('Summarized Source Data'!$B24,Hour,0)),Season,'Summarized Source Data'!$A24,Sector,'Summarized Source Data'!E$2,Subsector,'Summarized Source Data'!E$3,TimeOfWeek,$D24)</f>
        <v>0</v>
      </c>
      <c r="F24" s="27">
        <f>SUMIFS(INDEX(Load,,MATCH('Summarized Source Data'!$B24,Hour,0)),Season,'Summarized Source Data'!$A24,Sector,'Summarized Source Data'!F$2,Subsector,'Summarized Source Data'!F$3,TimeOfWeek,$D24)</f>
        <v>8382002</v>
      </c>
      <c r="G24" s="27">
        <f>SUMIFS(INDEX(Load,,MATCH('Summarized Source Data'!$B24,Hour,0)),Season,'Summarized Source Data'!$A24,Sector,'Summarized Source Data'!G$2,Subsector,'Summarized Source Data'!G$3,TimeOfWeek,$D24)</f>
        <v>0</v>
      </c>
      <c r="H24" s="27">
        <f>SUMIFS(INDEX(Load,,MATCH('Summarized Source Data'!$B24,Hour,0)),Season,'Summarized Source Data'!$A24,Sector,'Summarized Source Data'!H$2,Subsector,'Summarized Source Data'!H$3,TimeOfWeek,$D24)</f>
        <v>398500000</v>
      </c>
      <c r="I24" s="27">
        <f t="shared" si="0"/>
        <v>398500000</v>
      </c>
      <c r="J24" s="29">
        <f t="shared" si="1"/>
        <v>398500000</v>
      </c>
      <c r="K24" s="27">
        <f>SUMIFS(INDEX(Load,,MATCH('Summarized Source Data'!$B24,Hour,0)),Season,'Summarized Source Data'!$A24,Sector,'Summarized Source Data'!K$2,Subsector,'Summarized Source Data'!K$3,TimeOfWeek,$D24)</f>
        <v>24506946</v>
      </c>
      <c r="L24" s="27">
        <f>SUMIFS(INDEX(Load,,MATCH('Summarized Source Data'!$B24,Hour,0)),Season,'Summarized Source Data'!$A24,Sector,'Summarized Source Data'!L$2,Subsector,'Summarized Source Data'!L$3,TimeOfWeek,$D24)</f>
        <v>24415497</v>
      </c>
      <c r="M24" s="27">
        <f>SUMIFS(INDEX(Load,,MATCH('Summarized Source Data'!$B24,Hour,0)),Season,'Summarized Source Data'!$A24,Sector,'Summarized Source Data'!M$2,Subsector,'Summarized Source Data'!M$3,TimeOfWeek,$D24)</f>
        <v>0</v>
      </c>
      <c r="N24" s="29">
        <f t="shared" si="2"/>
        <v>398500000</v>
      </c>
      <c r="O24" s="27">
        <f t="shared" si="3"/>
        <v>398500000</v>
      </c>
      <c r="P24" s="29">
        <f t="shared" si="4"/>
        <v>398500000</v>
      </c>
      <c r="Q24" s="33">
        <f>SUMIFS(INDEX(Load,,MATCH('Summarized Source Data'!$B24,Hour,0)),Season,'Summarized Source Data'!$A24,Sector,'Summarized Source Data'!Q$2,TimeOfWeek,$D24)</f>
        <v>15570000</v>
      </c>
      <c r="R24" s="33">
        <f>SUMIFS(INDEX(Load,,MATCH('Summarized Source Data'!$B24,Hour,0)),Season,'Summarized Source Data'!$A24,Sector,'Summarized Source Data'!R$2,TimeOfWeek,$D24)</f>
        <v>15570000</v>
      </c>
      <c r="S24" s="33">
        <f>SUMIFS(INDEX(Load,,MATCH('Summarized Source Data'!$B24,Hour,0)),Season,'Summarized Source Data'!$A24,Sector,'Summarized Source Data'!S$2,TimeOfWeek,$D24)</f>
        <v>15570000</v>
      </c>
      <c r="T24" s="33">
        <f>SUMIFS(INDEX(Load,,MATCH('Summarized Source Data'!$B24,Hour,0)),Season,'Summarized Source Data'!$A24,Sector,'Summarized Source Data'!T$2,TimeOfWeek,$D24)</f>
        <v>15570000</v>
      </c>
      <c r="U24" s="33">
        <f>SUMIFS(INDEX(Load,,MATCH('Summarized Source Data'!$B24,Hour,0)),Season,'Summarized Source Data'!$A24,Sector,'Summarized Source Data'!U$2,TimeOfWeek,$D24)</f>
        <v>15570000</v>
      </c>
      <c r="V24" s="33">
        <f>SUMIFS(INDEX(Load,,MATCH('Summarized Source Data'!$B24,Hour,0)),Season,'Summarized Source Data'!$A24,Sector,'Summarized Source Data'!V$2,TimeOfWeek,$D24)</f>
        <v>15570000</v>
      </c>
      <c r="W24" s="27">
        <f>SUMIFS(INDEX(Load,,MATCH('Summarized Source Data'!$B24,Hour,0)),Season,'Summarized Source Data'!$A24,Sector,'Summarized Source Data'!W$2,Subsector,'Summarized Source Data'!W$3,TimeOfWeek,$D24)</f>
        <v>1321000000</v>
      </c>
      <c r="X24" s="29">
        <f t="shared" si="5"/>
        <v>1321000000</v>
      </c>
      <c r="Y24" s="29">
        <f t="shared" si="5"/>
        <v>1321000000</v>
      </c>
    </row>
    <row r="25" spans="1:25" outlineLevel="1" x14ac:dyDescent="0.3">
      <c r="A25" t="s">
        <v>139</v>
      </c>
      <c r="B25" t="s">
        <v>85</v>
      </c>
      <c r="C25" s="6" t="s">
        <v>161</v>
      </c>
      <c r="D25" t="s">
        <v>49</v>
      </c>
      <c r="E25" s="27">
        <f>SUMIFS(INDEX(Load,,MATCH('Summarized Source Data'!$B25,Hour,0)),Season,'Summarized Source Data'!$A25,Sector,'Summarized Source Data'!E$2,Subsector,'Summarized Source Data'!E$3,TimeOfWeek,$D25)</f>
        <v>0</v>
      </c>
      <c r="F25" s="27">
        <f>SUMIFS(INDEX(Load,,MATCH('Summarized Source Data'!$B25,Hour,0)),Season,'Summarized Source Data'!$A25,Sector,'Summarized Source Data'!F$2,Subsector,'Summarized Source Data'!F$3,TimeOfWeek,$D25)</f>
        <v>5897686</v>
      </c>
      <c r="G25" s="27">
        <f>SUMIFS(INDEX(Load,,MATCH('Summarized Source Data'!$B25,Hour,0)),Season,'Summarized Source Data'!$A25,Sector,'Summarized Source Data'!G$2,Subsector,'Summarized Source Data'!G$3,TimeOfWeek,$D25)</f>
        <v>0</v>
      </c>
      <c r="H25" s="27">
        <f>SUMIFS(INDEX(Load,,MATCH('Summarized Source Data'!$B25,Hour,0)),Season,'Summarized Source Data'!$A25,Sector,'Summarized Source Data'!H$2,Subsector,'Summarized Source Data'!H$3,TimeOfWeek,$D25)</f>
        <v>326000000</v>
      </c>
      <c r="I25" s="27">
        <f t="shared" si="0"/>
        <v>326000000</v>
      </c>
      <c r="J25" s="29">
        <f t="shared" si="1"/>
        <v>326000000</v>
      </c>
      <c r="K25" s="27">
        <f>SUMIFS(INDEX(Load,,MATCH('Summarized Source Data'!$B25,Hour,0)),Season,'Summarized Source Data'!$A25,Sector,'Summarized Source Data'!K$2,Subsector,'Summarized Source Data'!K$3,TimeOfWeek,$D25)</f>
        <v>26516937</v>
      </c>
      <c r="L25" s="27">
        <f>SUMIFS(INDEX(Load,,MATCH('Summarized Source Data'!$B25,Hour,0)),Season,'Summarized Source Data'!$A25,Sector,'Summarized Source Data'!L$2,Subsector,'Summarized Source Data'!L$3,TimeOfWeek,$D25)</f>
        <v>21921873</v>
      </c>
      <c r="M25" s="27">
        <f>SUMIFS(INDEX(Load,,MATCH('Summarized Source Data'!$B25,Hour,0)),Season,'Summarized Source Data'!$A25,Sector,'Summarized Source Data'!M$2,Subsector,'Summarized Source Data'!M$3,TimeOfWeek,$D25)</f>
        <v>0</v>
      </c>
      <c r="N25" s="29">
        <f t="shared" si="2"/>
        <v>326000000</v>
      </c>
      <c r="O25" s="27">
        <f t="shared" si="3"/>
        <v>326000000</v>
      </c>
      <c r="P25" s="29">
        <f t="shared" si="4"/>
        <v>326000000</v>
      </c>
      <c r="Q25" s="33">
        <f>SUMIFS(INDEX(Load,,MATCH('Summarized Source Data'!$B25,Hour,0)),Season,'Summarized Source Data'!$A25,Sector,'Summarized Source Data'!Q$2,TimeOfWeek,$D25)</f>
        <v>15440000</v>
      </c>
      <c r="R25" s="33">
        <f>SUMIFS(INDEX(Load,,MATCH('Summarized Source Data'!$B25,Hour,0)),Season,'Summarized Source Data'!$A25,Sector,'Summarized Source Data'!R$2,TimeOfWeek,$D25)</f>
        <v>15440000</v>
      </c>
      <c r="S25" s="33">
        <f>SUMIFS(INDEX(Load,,MATCH('Summarized Source Data'!$B25,Hour,0)),Season,'Summarized Source Data'!$A25,Sector,'Summarized Source Data'!S$2,TimeOfWeek,$D25)</f>
        <v>15440000</v>
      </c>
      <c r="T25" s="33">
        <f>SUMIFS(INDEX(Load,,MATCH('Summarized Source Data'!$B25,Hour,0)),Season,'Summarized Source Data'!$A25,Sector,'Summarized Source Data'!T$2,TimeOfWeek,$D25)</f>
        <v>15440000</v>
      </c>
      <c r="U25" s="33">
        <f>SUMIFS(INDEX(Load,,MATCH('Summarized Source Data'!$B25,Hour,0)),Season,'Summarized Source Data'!$A25,Sector,'Summarized Source Data'!U$2,TimeOfWeek,$D25)</f>
        <v>15440000</v>
      </c>
      <c r="V25" s="33">
        <f>SUMIFS(INDEX(Load,,MATCH('Summarized Source Data'!$B25,Hour,0)),Season,'Summarized Source Data'!$A25,Sector,'Summarized Source Data'!V$2,TimeOfWeek,$D25)</f>
        <v>15440000</v>
      </c>
      <c r="W25" s="27">
        <f>SUMIFS(INDEX(Load,,MATCH('Summarized Source Data'!$B25,Hour,0)),Season,'Summarized Source Data'!$A25,Sector,'Summarized Source Data'!W$2,Subsector,'Summarized Source Data'!W$3,TimeOfWeek,$D25)</f>
        <v>1315000000</v>
      </c>
      <c r="X25" s="29">
        <f t="shared" si="5"/>
        <v>1315000000</v>
      </c>
      <c r="Y25" s="29">
        <f t="shared" si="5"/>
        <v>1315000000</v>
      </c>
    </row>
    <row r="26" spans="1:25" outlineLevel="1" x14ac:dyDescent="0.3">
      <c r="A26" t="s">
        <v>139</v>
      </c>
      <c r="B26" t="s">
        <v>86</v>
      </c>
      <c r="C26" s="6" t="s">
        <v>162</v>
      </c>
      <c r="D26" t="s">
        <v>49</v>
      </c>
      <c r="E26" s="27">
        <f>SUMIFS(INDEX(Load,,MATCH('Summarized Source Data'!$B26,Hour,0)),Season,'Summarized Source Data'!$A26,Sector,'Summarized Source Data'!E$2,Subsector,'Summarized Source Data'!E$3,TimeOfWeek,$D26)</f>
        <v>0</v>
      </c>
      <c r="F26" s="27">
        <f>SUMIFS(INDEX(Load,,MATCH('Summarized Source Data'!$B26,Hour,0)),Season,'Summarized Source Data'!$A26,Sector,'Summarized Source Data'!F$2,Subsector,'Summarized Source Data'!F$3,TimeOfWeek,$D26)</f>
        <v>4047435</v>
      </c>
      <c r="G26" s="27">
        <f>SUMIFS(INDEX(Load,,MATCH('Summarized Source Data'!$B26,Hour,0)),Season,'Summarized Source Data'!$A26,Sector,'Summarized Source Data'!G$2,Subsector,'Summarized Source Data'!G$3,TimeOfWeek,$D26)</f>
        <v>0</v>
      </c>
      <c r="H26" s="27">
        <f>SUMIFS(INDEX(Load,,MATCH('Summarized Source Data'!$B26,Hour,0)),Season,'Summarized Source Data'!$A26,Sector,'Summarized Source Data'!H$2,Subsector,'Summarized Source Data'!H$3,TimeOfWeek,$D26)</f>
        <v>193700000</v>
      </c>
      <c r="I26" s="27">
        <f t="shared" si="0"/>
        <v>193700000</v>
      </c>
      <c r="J26" s="29">
        <f t="shared" si="1"/>
        <v>193700000</v>
      </c>
      <c r="K26" s="27">
        <f>SUMIFS(INDEX(Load,,MATCH('Summarized Source Data'!$B26,Hour,0)),Season,'Summarized Source Data'!$A26,Sector,'Summarized Source Data'!K$2,Subsector,'Summarized Source Data'!K$3,TimeOfWeek,$D26)</f>
        <v>26362300</v>
      </c>
      <c r="L26" s="27">
        <f>SUMIFS(INDEX(Load,,MATCH('Summarized Source Data'!$B26,Hour,0)),Season,'Summarized Source Data'!$A26,Sector,'Summarized Source Data'!L$2,Subsector,'Summarized Source Data'!L$3,TimeOfWeek,$D26)</f>
        <v>19576536</v>
      </c>
      <c r="M26" s="27">
        <f>SUMIFS(INDEX(Load,,MATCH('Summarized Source Data'!$B26,Hour,0)),Season,'Summarized Source Data'!$A26,Sector,'Summarized Source Data'!M$2,Subsector,'Summarized Source Data'!M$3,TimeOfWeek,$D26)</f>
        <v>0</v>
      </c>
      <c r="N26" s="29">
        <f t="shared" si="2"/>
        <v>193700000</v>
      </c>
      <c r="O26" s="27">
        <f t="shared" si="3"/>
        <v>193700000</v>
      </c>
      <c r="P26" s="29">
        <f t="shared" si="4"/>
        <v>193700000</v>
      </c>
      <c r="Q26" s="33">
        <f>SUMIFS(INDEX(Load,,MATCH('Summarized Source Data'!$B26,Hour,0)),Season,'Summarized Source Data'!$A26,Sector,'Summarized Source Data'!Q$2,TimeOfWeek,$D26)</f>
        <v>15320000</v>
      </c>
      <c r="R26" s="33">
        <f>SUMIFS(INDEX(Load,,MATCH('Summarized Source Data'!$B26,Hour,0)),Season,'Summarized Source Data'!$A26,Sector,'Summarized Source Data'!R$2,TimeOfWeek,$D26)</f>
        <v>15320000</v>
      </c>
      <c r="S26" s="33">
        <f>SUMIFS(INDEX(Load,,MATCH('Summarized Source Data'!$B26,Hour,0)),Season,'Summarized Source Data'!$A26,Sector,'Summarized Source Data'!S$2,TimeOfWeek,$D26)</f>
        <v>15320000</v>
      </c>
      <c r="T26" s="33">
        <f>SUMIFS(INDEX(Load,,MATCH('Summarized Source Data'!$B26,Hour,0)),Season,'Summarized Source Data'!$A26,Sector,'Summarized Source Data'!T$2,TimeOfWeek,$D26)</f>
        <v>15320000</v>
      </c>
      <c r="U26" s="33">
        <f>SUMIFS(INDEX(Load,,MATCH('Summarized Source Data'!$B26,Hour,0)),Season,'Summarized Source Data'!$A26,Sector,'Summarized Source Data'!U$2,TimeOfWeek,$D26)</f>
        <v>15320000</v>
      </c>
      <c r="V26" s="33">
        <f>SUMIFS(INDEX(Load,,MATCH('Summarized Source Data'!$B26,Hour,0)),Season,'Summarized Source Data'!$A26,Sector,'Summarized Source Data'!V$2,TimeOfWeek,$D26)</f>
        <v>15320000</v>
      </c>
      <c r="W26" s="27">
        <f>SUMIFS(INDEX(Load,,MATCH('Summarized Source Data'!$B26,Hour,0)),Season,'Summarized Source Data'!$A26,Sector,'Summarized Source Data'!W$2,Subsector,'Summarized Source Data'!W$3,TimeOfWeek,$D26)</f>
        <v>1309000000</v>
      </c>
      <c r="X26" s="29">
        <f t="shared" si="5"/>
        <v>1309000000</v>
      </c>
      <c r="Y26" s="29">
        <f t="shared" si="5"/>
        <v>1309000000</v>
      </c>
    </row>
    <row r="27" spans="1:25" outlineLevel="1" x14ac:dyDescent="0.3">
      <c r="A27" t="s">
        <v>139</v>
      </c>
      <c r="B27" t="s">
        <v>87</v>
      </c>
      <c r="C27" s="6" t="s">
        <v>163</v>
      </c>
      <c r="D27" t="s">
        <v>49</v>
      </c>
      <c r="E27" s="27">
        <f>SUMIFS(INDEX(Load,,MATCH('Summarized Source Data'!$B27,Hour,0)),Season,'Summarized Source Data'!$A27,Sector,'Summarized Source Data'!E$2,Subsector,'Summarized Source Data'!E$3,TimeOfWeek,$D27)</f>
        <v>0</v>
      </c>
      <c r="F27" s="27">
        <f>SUMIFS(INDEX(Load,,MATCH('Summarized Source Data'!$B27,Hour,0)),Season,'Summarized Source Data'!$A27,Sector,'Summarized Source Data'!F$2,Subsector,'Summarized Source Data'!F$3,TimeOfWeek,$D27)</f>
        <v>2812717</v>
      </c>
      <c r="G27" s="27">
        <f>SUMIFS(INDEX(Load,,MATCH('Summarized Source Data'!$B27,Hour,0)),Season,'Summarized Source Data'!$A27,Sector,'Summarized Source Data'!G$2,Subsector,'Summarized Source Data'!G$3,TimeOfWeek,$D27)</f>
        <v>0</v>
      </c>
      <c r="H27" s="27">
        <f>SUMIFS(INDEX(Load,,MATCH('Summarized Source Data'!$B27,Hour,0)),Season,'Summarized Source Data'!$A27,Sector,'Summarized Source Data'!H$2,Subsector,'Summarized Source Data'!H$3,TimeOfWeek,$D27)</f>
        <v>101800000</v>
      </c>
      <c r="I27" s="27">
        <f t="shared" si="0"/>
        <v>101800000</v>
      </c>
      <c r="J27" s="29">
        <f t="shared" si="1"/>
        <v>101800000</v>
      </c>
      <c r="K27" s="27">
        <f>SUMIFS(INDEX(Load,,MATCH('Summarized Source Data'!$B27,Hour,0)),Season,'Summarized Source Data'!$A27,Sector,'Summarized Source Data'!K$2,Subsector,'Summarized Source Data'!K$3,TimeOfWeek,$D27)</f>
        <v>13205523</v>
      </c>
      <c r="L27" s="27">
        <f>SUMIFS(INDEX(Load,,MATCH('Summarized Source Data'!$B27,Hour,0)),Season,'Summarized Source Data'!$A27,Sector,'Summarized Source Data'!L$2,Subsector,'Summarized Source Data'!L$3,TimeOfWeek,$D27)</f>
        <v>16973200</v>
      </c>
      <c r="M27" s="27">
        <f>SUMIFS(INDEX(Load,,MATCH('Summarized Source Data'!$B27,Hour,0)),Season,'Summarized Source Data'!$A27,Sector,'Summarized Source Data'!M$2,Subsector,'Summarized Source Data'!M$3,TimeOfWeek,$D27)</f>
        <v>0</v>
      </c>
      <c r="N27" s="29">
        <f t="shared" si="2"/>
        <v>101800000</v>
      </c>
      <c r="O27" s="27">
        <f t="shared" si="3"/>
        <v>101800000</v>
      </c>
      <c r="P27" s="29">
        <f t="shared" si="4"/>
        <v>101800000</v>
      </c>
      <c r="Q27" s="33">
        <f>SUMIFS(INDEX(Load,,MATCH('Summarized Source Data'!$B27,Hour,0)),Season,'Summarized Source Data'!$A27,Sector,'Summarized Source Data'!Q$2,TimeOfWeek,$D27)</f>
        <v>10280000</v>
      </c>
      <c r="R27" s="33">
        <f>SUMIFS(INDEX(Load,,MATCH('Summarized Source Data'!$B27,Hour,0)),Season,'Summarized Source Data'!$A27,Sector,'Summarized Source Data'!R$2,TimeOfWeek,$D27)</f>
        <v>10280000</v>
      </c>
      <c r="S27" s="33">
        <f>SUMIFS(INDEX(Load,,MATCH('Summarized Source Data'!$B27,Hour,0)),Season,'Summarized Source Data'!$A27,Sector,'Summarized Source Data'!S$2,TimeOfWeek,$D27)</f>
        <v>10280000</v>
      </c>
      <c r="T27" s="33">
        <f>SUMIFS(INDEX(Load,,MATCH('Summarized Source Data'!$B27,Hour,0)),Season,'Summarized Source Data'!$A27,Sector,'Summarized Source Data'!T$2,TimeOfWeek,$D27)</f>
        <v>10280000</v>
      </c>
      <c r="U27" s="33">
        <f>SUMIFS(INDEX(Load,,MATCH('Summarized Source Data'!$B27,Hour,0)),Season,'Summarized Source Data'!$A27,Sector,'Summarized Source Data'!U$2,TimeOfWeek,$D27)</f>
        <v>10280000</v>
      </c>
      <c r="V27" s="33">
        <f>SUMIFS(INDEX(Load,,MATCH('Summarized Source Data'!$B27,Hour,0)),Season,'Summarized Source Data'!$A27,Sector,'Summarized Source Data'!V$2,TimeOfWeek,$D27)</f>
        <v>10280000</v>
      </c>
      <c r="W27" s="27">
        <f>SUMIFS(INDEX(Load,,MATCH('Summarized Source Data'!$B27,Hour,0)),Season,'Summarized Source Data'!$A27,Sector,'Summarized Source Data'!W$2,Subsector,'Summarized Source Data'!W$3,TimeOfWeek,$D27)</f>
        <v>1305000000</v>
      </c>
      <c r="X27" s="29">
        <f t="shared" si="5"/>
        <v>1305000000</v>
      </c>
      <c r="Y27" s="29">
        <f t="shared" si="5"/>
        <v>1305000000</v>
      </c>
    </row>
    <row r="28" spans="1:25" outlineLevel="1" x14ac:dyDescent="0.3">
      <c r="A28" t="s">
        <v>164</v>
      </c>
      <c r="B28" t="s">
        <v>64</v>
      </c>
      <c r="C28" s="6" t="s">
        <v>140</v>
      </c>
      <c r="D28" t="s">
        <v>49</v>
      </c>
      <c r="E28" s="27">
        <f>SUMIFS(INDEX(Load,,MATCH('Summarized Source Data'!$B28,Hour,0)),Season,'Summarized Source Data'!$A28,Sector,'Summarized Source Data'!E$2,Subsector,'Summarized Source Data'!E$3,TimeOfWeek,$D28)</f>
        <v>0</v>
      </c>
      <c r="F28" s="27">
        <f>SUMIFS(INDEX(Load,,MATCH('Summarized Source Data'!$B28,Hour,0)),Season,'Summarized Source Data'!$A28,Sector,'Summarized Source Data'!F$2,Subsector,'Summarized Source Data'!F$3,TimeOfWeek,$D28)</f>
        <v>6640817</v>
      </c>
      <c r="G28" s="27">
        <f>SUMIFS(INDEX(Load,,MATCH('Summarized Source Data'!$B28,Hour,0)),Season,'Summarized Source Data'!$A28,Sector,'Summarized Source Data'!G$2,Subsector,'Summarized Source Data'!G$3,TimeOfWeek,$D28)</f>
        <v>0</v>
      </c>
      <c r="H28" s="27">
        <f>SUMIFS(INDEX(Load,,MATCH('Summarized Source Data'!$B28,Hour,0)),Season,'Summarized Source Data'!$A28,Sector,'Summarized Source Data'!H$2,Subsector,'Summarized Source Data'!H$3,TimeOfWeek,$D28)</f>
        <v>51300000</v>
      </c>
      <c r="I28" s="27">
        <f t="shared" si="0"/>
        <v>51300000</v>
      </c>
      <c r="J28" s="29">
        <f t="shared" si="1"/>
        <v>51300000</v>
      </c>
      <c r="K28" s="27">
        <f>SUMIFS(INDEX(Load,,MATCH('Summarized Source Data'!$B28,Hour,0)),Season,'Summarized Source Data'!$A28,Sector,'Summarized Source Data'!K$2,Subsector,'Summarized Source Data'!K$3,TimeOfWeek,$D28)</f>
        <v>3285268</v>
      </c>
      <c r="L28" s="27">
        <f>SUMIFS(INDEX(Load,,MATCH('Summarized Source Data'!$B28,Hour,0)),Season,'Summarized Source Data'!$A28,Sector,'Summarized Source Data'!L$2,Subsector,'Summarized Source Data'!L$3,TimeOfWeek,$D28)</f>
        <v>29415293</v>
      </c>
      <c r="M28" s="27">
        <f>SUMIFS(INDEX(Load,,MATCH('Summarized Source Data'!$B28,Hour,0)),Season,'Summarized Source Data'!$A28,Sector,'Summarized Source Data'!M$2,Subsector,'Summarized Source Data'!M$3,TimeOfWeek,$D28)</f>
        <v>0</v>
      </c>
      <c r="N28" s="29">
        <f t="shared" si="2"/>
        <v>51300000</v>
      </c>
      <c r="O28" s="27">
        <f t="shared" si="3"/>
        <v>51300000</v>
      </c>
      <c r="P28" s="29">
        <f t="shared" si="4"/>
        <v>51300000</v>
      </c>
      <c r="Q28" s="33">
        <f>SUMIFS(INDEX(Load,,MATCH('Summarized Source Data'!$B28,Hour,0)),Season,'Summarized Source Data'!$A28,Sector,'Summarized Source Data'!Q$2,TimeOfWeek,$D28)</f>
        <v>4980000</v>
      </c>
      <c r="R28" s="33">
        <f>SUMIFS(INDEX(Load,,MATCH('Summarized Source Data'!$B28,Hour,0)),Season,'Summarized Source Data'!$A28,Sector,'Summarized Source Data'!R$2,TimeOfWeek,$D28)</f>
        <v>4980000</v>
      </c>
      <c r="S28" s="33">
        <f>SUMIFS(INDEX(Load,,MATCH('Summarized Source Data'!$B28,Hour,0)),Season,'Summarized Source Data'!$A28,Sector,'Summarized Source Data'!S$2,TimeOfWeek,$D28)</f>
        <v>4980000</v>
      </c>
      <c r="T28" s="33">
        <f>SUMIFS(INDEX(Load,,MATCH('Summarized Source Data'!$B28,Hour,0)),Season,'Summarized Source Data'!$A28,Sector,'Summarized Source Data'!T$2,TimeOfWeek,$D28)</f>
        <v>4980000</v>
      </c>
      <c r="U28" s="33">
        <f>SUMIFS(INDEX(Load,,MATCH('Summarized Source Data'!$B28,Hour,0)),Season,'Summarized Source Data'!$A28,Sector,'Summarized Source Data'!U$2,TimeOfWeek,$D28)</f>
        <v>4980000</v>
      </c>
      <c r="V28" s="33">
        <f>SUMIFS(INDEX(Load,,MATCH('Summarized Source Data'!$B28,Hour,0)),Season,'Summarized Source Data'!$A28,Sector,'Summarized Source Data'!V$2,TimeOfWeek,$D28)</f>
        <v>4980000</v>
      </c>
      <c r="W28" s="27">
        <f>SUMIFS(INDEX(Load,,MATCH('Summarized Source Data'!$B28,Hour,0)),Season,'Summarized Source Data'!$A28,Sector,'Summarized Source Data'!W$2,Subsector,'Summarized Source Data'!W$3,TimeOfWeek,$D28)</f>
        <v>976000000</v>
      </c>
      <c r="X28" s="29">
        <f t="shared" si="5"/>
        <v>976000000</v>
      </c>
      <c r="Y28" s="29">
        <f t="shared" si="5"/>
        <v>976000000</v>
      </c>
    </row>
    <row r="29" spans="1:25" outlineLevel="1" x14ac:dyDescent="0.3">
      <c r="A29" t="s">
        <v>164</v>
      </c>
      <c r="B29" t="s">
        <v>65</v>
      </c>
      <c r="C29" s="6" t="s">
        <v>141</v>
      </c>
      <c r="D29" t="s">
        <v>49</v>
      </c>
      <c r="E29" s="27">
        <f>SUMIFS(INDEX(Load,,MATCH('Summarized Source Data'!$B29,Hour,0)),Season,'Summarized Source Data'!$A29,Sector,'Summarized Source Data'!E$2,Subsector,'Summarized Source Data'!E$3,TimeOfWeek,$D29)</f>
        <v>0</v>
      </c>
      <c r="F29" s="27">
        <f>SUMIFS(INDEX(Load,,MATCH('Summarized Source Data'!$B29,Hour,0)),Season,'Summarized Source Data'!$A29,Sector,'Summarized Source Data'!F$2,Subsector,'Summarized Source Data'!F$3,TimeOfWeek,$D29)</f>
        <v>5567871</v>
      </c>
      <c r="G29" s="27">
        <f>SUMIFS(INDEX(Load,,MATCH('Summarized Source Data'!$B29,Hour,0)),Season,'Summarized Source Data'!$A29,Sector,'Summarized Source Data'!G$2,Subsector,'Summarized Source Data'!G$3,TimeOfWeek,$D29)</f>
        <v>0</v>
      </c>
      <c r="H29" s="27">
        <f>SUMIFS(INDEX(Load,,MATCH('Summarized Source Data'!$B29,Hour,0)),Season,'Summarized Source Data'!$A29,Sector,'Summarized Source Data'!H$2,Subsector,'Summarized Source Data'!H$3,TimeOfWeek,$D29)</f>
        <v>47300000</v>
      </c>
      <c r="I29" s="27">
        <f t="shared" si="0"/>
        <v>47300000</v>
      </c>
      <c r="J29" s="29">
        <f t="shared" si="1"/>
        <v>47300000</v>
      </c>
      <c r="K29" s="27">
        <f>SUMIFS(INDEX(Load,,MATCH('Summarized Source Data'!$B29,Hour,0)),Season,'Summarized Source Data'!$A29,Sector,'Summarized Source Data'!K$2,Subsector,'Summarized Source Data'!K$3,TimeOfWeek,$D29)</f>
        <v>2959571</v>
      </c>
      <c r="L29" s="27">
        <f>SUMIFS(INDEX(Load,,MATCH('Summarized Source Data'!$B29,Hour,0)),Season,'Summarized Source Data'!$A29,Sector,'Summarized Source Data'!L$2,Subsector,'Summarized Source Data'!L$3,TimeOfWeek,$D29)</f>
        <v>27247126</v>
      </c>
      <c r="M29" s="27">
        <f>SUMIFS(INDEX(Load,,MATCH('Summarized Source Data'!$B29,Hour,0)),Season,'Summarized Source Data'!$A29,Sector,'Summarized Source Data'!M$2,Subsector,'Summarized Source Data'!M$3,TimeOfWeek,$D29)</f>
        <v>0</v>
      </c>
      <c r="N29" s="29">
        <f t="shared" si="2"/>
        <v>47300000</v>
      </c>
      <c r="O29" s="27">
        <f t="shared" si="3"/>
        <v>47300000</v>
      </c>
      <c r="P29" s="29">
        <f t="shared" si="4"/>
        <v>47300000</v>
      </c>
      <c r="Q29" s="33">
        <f>SUMIFS(INDEX(Load,,MATCH('Summarized Source Data'!$B29,Hour,0)),Season,'Summarized Source Data'!$A29,Sector,'Summarized Source Data'!Q$2,TimeOfWeek,$D29)</f>
        <v>4970000</v>
      </c>
      <c r="R29" s="33">
        <f>SUMIFS(INDEX(Load,,MATCH('Summarized Source Data'!$B29,Hour,0)),Season,'Summarized Source Data'!$A29,Sector,'Summarized Source Data'!R$2,TimeOfWeek,$D29)</f>
        <v>4970000</v>
      </c>
      <c r="S29" s="33">
        <f>SUMIFS(INDEX(Load,,MATCH('Summarized Source Data'!$B29,Hour,0)),Season,'Summarized Source Data'!$A29,Sector,'Summarized Source Data'!S$2,TimeOfWeek,$D29)</f>
        <v>4970000</v>
      </c>
      <c r="T29" s="33">
        <f>SUMIFS(INDEX(Load,,MATCH('Summarized Source Data'!$B29,Hour,0)),Season,'Summarized Source Data'!$A29,Sector,'Summarized Source Data'!T$2,TimeOfWeek,$D29)</f>
        <v>4970000</v>
      </c>
      <c r="U29" s="33">
        <f>SUMIFS(INDEX(Load,,MATCH('Summarized Source Data'!$B29,Hour,0)),Season,'Summarized Source Data'!$A29,Sector,'Summarized Source Data'!U$2,TimeOfWeek,$D29)</f>
        <v>4970000</v>
      </c>
      <c r="V29" s="33">
        <f>SUMIFS(INDEX(Load,,MATCH('Summarized Source Data'!$B29,Hour,0)),Season,'Summarized Source Data'!$A29,Sector,'Summarized Source Data'!V$2,TimeOfWeek,$D29)</f>
        <v>4970000</v>
      </c>
      <c r="W29" s="27">
        <f>SUMIFS(INDEX(Load,,MATCH('Summarized Source Data'!$B29,Hour,0)),Season,'Summarized Source Data'!$A29,Sector,'Summarized Source Data'!W$2,Subsector,'Summarized Source Data'!W$3,TimeOfWeek,$D29)</f>
        <v>975000000</v>
      </c>
      <c r="X29" s="29">
        <f t="shared" si="5"/>
        <v>975000000</v>
      </c>
      <c r="Y29" s="29">
        <f t="shared" si="5"/>
        <v>975000000</v>
      </c>
    </row>
    <row r="30" spans="1:25" outlineLevel="1" x14ac:dyDescent="0.3">
      <c r="A30" t="s">
        <v>164</v>
      </c>
      <c r="B30" t="s">
        <v>66</v>
      </c>
      <c r="C30" s="6" t="s">
        <v>142</v>
      </c>
      <c r="D30" t="s">
        <v>49</v>
      </c>
      <c r="E30" s="27">
        <f>SUMIFS(INDEX(Load,,MATCH('Summarized Source Data'!$B30,Hour,0)),Season,'Summarized Source Data'!$A30,Sector,'Summarized Source Data'!E$2,Subsector,'Summarized Source Data'!E$3,TimeOfWeek,$D30)</f>
        <v>0</v>
      </c>
      <c r="F30" s="27">
        <f>SUMIFS(INDEX(Load,,MATCH('Summarized Source Data'!$B30,Hour,0)),Season,'Summarized Source Data'!$A30,Sector,'Summarized Source Data'!F$2,Subsector,'Summarized Source Data'!F$3,TimeOfWeek,$D30)</f>
        <v>5270869</v>
      </c>
      <c r="G30" s="27">
        <f>SUMIFS(INDEX(Load,,MATCH('Summarized Source Data'!$B30,Hour,0)),Season,'Summarized Source Data'!$A30,Sector,'Summarized Source Data'!G$2,Subsector,'Summarized Source Data'!G$3,TimeOfWeek,$D30)</f>
        <v>0</v>
      </c>
      <c r="H30" s="27">
        <f>SUMIFS(INDEX(Load,,MATCH('Summarized Source Data'!$B30,Hour,0)),Season,'Summarized Source Data'!$A30,Sector,'Summarized Source Data'!H$2,Subsector,'Summarized Source Data'!H$3,TimeOfWeek,$D30)</f>
        <v>46800000</v>
      </c>
      <c r="I30" s="27">
        <f t="shared" si="0"/>
        <v>46800000</v>
      </c>
      <c r="J30" s="29">
        <f t="shared" si="1"/>
        <v>46800000</v>
      </c>
      <c r="K30" s="27">
        <f>SUMIFS(INDEX(Load,,MATCH('Summarized Source Data'!$B30,Hour,0)),Season,'Summarized Source Data'!$A30,Sector,'Summarized Source Data'!K$2,Subsector,'Summarized Source Data'!K$3,TimeOfWeek,$D30)</f>
        <v>2919385</v>
      </c>
      <c r="L30" s="27">
        <f>SUMIFS(INDEX(Load,,MATCH('Summarized Source Data'!$B30,Hour,0)),Season,'Summarized Source Data'!$A30,Sector,'Summarized Source Data'!L$2,Subsector,'Summarized Source Data'!L$3,TimeOfWeek,$D30)</f>
        <v>26498382</v>
      </c>
      <c r="M30" s="27">
        <f>SUMIFS(INDEX(Load,,MATCH('Summarized Source Data'!$B30,Hour,0)),Season,'Summarized Source Data'!$A30,Sector,'Summarized Source Data'!M$2,Subsector,'Summarized Source Data'!M$3,TimeOfWeek,$D30)</f>
        <v>0</v>
      </c>
      <c r="N30" s="29">
        <f t="shared" si="2"/>
        <v>46800000</v>
      </c>
      <c r="O30" s="27">
        <f t="shared" si="3"/>
        <v>46800000</v>
      </c>
      <c r="P30" s="29">
        <f t="shared" si="4"/>
        <v>46800000</v>
      </c>
      <c r="Q30" s="33">
        <f>SUMIFS(INDEX(Load,,MATCH('Summarized Source Data'!$B30,Hour,0)),Season,'Summarized Source Data'!$A30,Sector,'Summarized Source Data'!Q$2,TimeOfWeek,$D30)</f>
        <v>4970000</v>
      </c>
      <c r="R30" s="33">
        <f>SUMIFS(INDEX(Load,,MATCH('Summarized Source Data'!$B30,Hour,0)),Season,'Summarized Source Data'!$A30,Sector,'Summarized Source Data'!R$2,TimeOfWeek,$D30)</f>
        <v>4970000</v>
      </c>
      <c r="S30" s="33">
        <f>SUMIFS(INDEX(Load,,MATCH('Summarized Source Data'!$B30,Hour,0)),Season,'Summarized Source Data'!$A30,Sector,'Summarized Source Data'!S$2,TimeOfWeek,$D30)</f>
        <v>4970000</v>
      </c>
      <c r="T30" s="33">
        <f>SUMIFS(INDEX(Load,,MATCH('Summarized Source Data'!$B30,Hour,0)),Season,'Summarized Source Data'!$A30,Sector,'Summarized Source Data'!T$2,TimeOfWeek,$D30)</f>
        <v>4970000</v>
      </c>
      <c r="U30" s="33">
        <f>SUMIFS(INDEX(Load,,MATCH('Summarized Source Data'!$B30,Hour,0)),Season,'Summarized Source Data'!$A30,Sector,'Summarized Source Data'!U$2,TimeOfWeek,$D30)</f>
        <v>4970000</v>
      </c>
      <c r="V30" s="33">
        <f>SUMIFS(INDEX(Load,,MATCH('Summarized Source Data'!$B30,Hour,0)),Season,'Summarized Source Data'!$A30,Sector,'Summarized Source Data'!V$2,TimeOfWeek,$D30)</f>
        <v>4970000</v>
      </c>
      <c r="W30" s="27">
        <f>SUMIFS(INDEX(Load,,MATCH('Summarized Source Data'!$B30,Hour,0)),Season,'Summarized Source Data'!$A30,Sector,'Summarized Source Data'!W$2,Subsector,'Summarized Source Data'!W$3,TimeOfWeek,$D30)</f>
        <v>975000000</v>
      </c>
      <c r="X30" s="29">
        <f t="shared" si="5"/>
        <v>975000000</v>
      </c>
      <c r="Y30" s="29">
        <f t="shared" si="5"/>
        <v>975000000</v>
      </c>
    </row>
    <row r="31" spans="1:25" outlineLevel="1" x14ac:dyDescent="0.3">
      <c r="A31" t="s">
        <v>164</v>
      </c>
      <c r="B31" t="s">
        <v>67</v>
      </c>
      <c r="C31" s="6" t="s">
        <v>143</v>
      </c>
      <c r="D31" t="s">
        <v>49</v>
      </c>
      <c r="E31" s="27">
        <f>SUMIFS(INDEX(Load,,MATCH('Summarized Source Data'!$B31,Hour,0)),Season,'Summarized Source Data'!$A31,Sector,'Summarized Source Data'!E$2,Subsector,'Summarized Source Data'!E$3,TimeOfWeek,$D31)</f>
        <v>0</v>
      </c>
      <c r="F31" s="27">
        <f>SUMIFS(INDEX(Load,,MATCH('Summarized Source Data'!$B31,Hour,0)),Season,'Summarized Source Data'!$A31,Sector,'Summarized Source Data'!F$2,Subsector,'Summarized Source Data'!F$3,TimeOfWeek,$D31)</f>
        <v>5592293</v>
      </c>
      <c r="G31" s="27">
        <f>SUMIFS(INDEX(Load,,MATCH('Summarized Source Data'!$B31,Hour,0)),Season,'Summarized Source Data'!$A31,Sector,'Summarized Source Data'!G$2,Subsector,'Summarized Source Data'!G$3,TimeOfWeek,$D31)</f>
        <v>0</v>
      </c>
      <c r="H31" s="27">
        <f>SUMIFS(INDEX(Load,,MATCH('Summarized Source Data'!$B31,Hour,0)),Season,'Summarized Source Data'!$A31,Sector,'Summarized Source Data'!H$2,Subsector,'Summarized Source Data'!H$3,TimeOfWeek,$D31)</f>
        <v>47900000</v>
      </c>
      <c r="I31" s="27">
        <f t="shared" si="0"/>
        <v>47900000</v>
      </c>
      <c r="J31" s="29">
        <f t="shared" si="1"/>
        <v>47900000</v>
      </c>
      <c r="K31" s="27">
        <f>SUMIFS(INDEX(Load,,MATCH('Summarized Source Data'!$B31,Hour,0)),Season,'Summarized Source Data'!$A31,Sector,'Summarized Source Data'!K$2,Subsector,'Summarized Source Data'!K$3,TimeOfWeek,$D31)</f>
        <v>2989737</v>
      </c>
      <c r="L31" s="27">
        <f>SUMIFS(INDEX(Load,,MATCH('Summarized Source Data'!$B31,Hour,0)),Season,'Summarized Source Data'!$A31,Sector,'Summarized Source Data'!L$2,Subsector,'Summarized Source Data'!L$3,TimeOfWeek,$D31)</f>
        <v>26297992</v>
      </c>
      <c r="M31" s="27">
        <f>SUMIFS(INDEX(Load,,MATCH('Summarized Source Data'!$B31,Hour,0)),Season,'Summarized Source Data'!$A31,Sector,'Summarized Source Data'!M$2,Subsector,'Summarized Source Data'!M$3,TimeOfWeek,$D31)</f>
        <v>0</v>
      </c>
      <c r="N31" s="29">
        <f t="shared" si="2"/>
        <v>47900000</v>
      </c>
      <c r="O31" s="27">
        <f t="shared" si="3"/>
        <v>47900000</v>
      </c>
      <c r="P31" s="29">
        <f t="shared" si="4"/>
        <v>47900000</v>
      </c>
      <c r="Q31" s="33">
        <f>SUMIFS(INDEX(Load,,MATCH('Summarized Source Data'!$B31,Hour,0)),Season,'Summarized Source Data'!$A31,Sector,'Summarized Source Data'!Q$2,TimeOfWeek,$D31)</f>
        <v>4970000</v>
      </c>
      <c r="R31" s="33">
        <f>SUMIFS(INDEX(Load,,MATCH('Summarized Source Data'!$B31,Hour,0)),Season,'Summarized Source Data'!$A31,Sector,'Summarized Source Data'!R$2,TimeOfWeek,$D31)</f>
        <v>4970000</v>
      </c>
      <c r="S31" s="33">
        <f>SUMIFS(INDEX(Load,,MATCH('Summarized Source Data'!$B31,Hour,0)),Season,'Summarized Source Data'!$A31,Sector,'Summarized Source Data'!S$2,TimeOfWeek,$D31)</f>
        <v>4970000</v>
      </c>
      <c r="T31" s="33">
        <f>SUMIFS(INDEX(Load,,MATCH('Summarized Source Data'!$B31,Hour,0)),Season,'Summarized Source Data'!$A31,Sector,'Summarized Source Data'!T$2,TimeOfWeek,$D31)</f>
        <v>4970000</v>
      </c>
      <c r="U31" s="33">
        <f>SUMIFS(INDEX(Load,,MATCH('Summarized Source Data'!$B31,Hour,0)),Season,'Summarized Source Data'!$A31,Sector,'Summarized Source Data'!U$2,TimeOfWeek,$D31)</f>
        <v>4970000</v>
      </c>
      <c r="V31" s="33">
        <f>SUMIFS(INDEX(Load,,MATCH('Summarized Source Data'!$B31,Hour,0)),Season,'Summarized Source Data'!$A31,Sector,'Summarized Source Data'!V$2,TimeOfWeek,$D31)</f>
        <v>4970000</v>
      </c>
      <c r="W31" s="27">
        <f>SUMIFS(INDEX(Load,,MATCH('Summarized Source Data'!$B31,Hour,0)),Season,'Summarized Source Data'!$A31,Sector,'Summarized Source Data'!W$2,Subsector,'Summarized Source Data'!W$3,TimeOfWeek,$D31)</f>
        <v>975000000</v>
      </c>
      <c r="X31" s="29">
        <f t="shared" si="5"/>
        <v>975000000</v>
      </c>
      <c r="Y31" s="29">
        <f t="shared" si="5"/>
        <v>975000000</v>
      </c>
    </row>
    <row r="32" spans="1:25" outlineLevel="1" x14ac:dyDescent="0.3">
      <c r="A32" t="s">
        <v>164</v>
      </c>
      <c r="B32" t="s">
        <v>68</v>
      </c>
      <c r="C32" s="6" t="s">
        <v>144</v>
      </c>
      <c r="D32" t="s">
        <v>49</v>
      </c>
      <c r="E32" s="27">
        <f>SUMIFS(INDEX(Load,,MATCH('Summarized Source Data'!$B32,Hour,0)),Season,'Summarized Source Data'!$A32,Sector,'Summarized Source Data'!E$2,Subsector,'Summarized Source Data'!E$3,TimeOfWeek,$D32)</f>
        <v>0</v>
      </c>
      <c r="F32" s="27">
        <f>SUMIFS(INDEX(Load,,MATCH('Summarized Source Data'!$B32,Hour,0)),Season,'Summarized Source Data'!$A32,Sector,'Summarized Source Data'!F$2,Subsector,'Summarized Source Data'!F$3,TimeOfWeek,$D32)</f>
        <v>6537747</v>
      </c>
      <c r="G32" s="27">
        <f>SUMIFS(INDEX(Load,,MATCH('Summarized Source Data'!$B32,Hour,0)),Season,'Summarized Source Data'!$A32,Sector,'Summarized Source Data'!G$2,Subsector,'Summarized Source Data'!G$3,TimeOfWeek,$D32)</f>
        <v>0</v>
      </c>
      <c r="H32" s="27">
        <f>SUMIFS(INDEX(Load,,MATCH('Summarized Source Data'!$B32,Hour,0)),Season,'Summarized Source Data'!$A32,Sector,'Summarized Source Data'!H$2,Subsector,'Summarized Source Data'!H$3,TimeOfWeek,$D32)</f>
        <v>61600000</v>
      </c>
      <c r="I32" s="27">
        <f t="shared" si="0"/>
        <v>61600000</v>
      </c>
      <c r="J32" s="29">
        <f t="shared" si="1"/>
        <v>61600000</v>
      </c>
      <c r="K32" s="27">
        <f>SUMIFS(INDEX(Load,,MATCH('Summarized Source Data'!$B32,Hour,0)),Season,'Summarized Source Data'!$A32,Sector,'Summarized Source Data'!K$2,Subsector,'Summarized Source Data'!K$3,TimeOfWeek,$D32)</f>
        <v>2976210</v>
      </c>
      <c r="L32" s="27">
        <f>SUMIFS(INDEX(Load,,MATCH('Summarized Source Data'!$B32,Hour,0)),Season,'Summarized Source Data'!$A32,Sector,'Summarized Source Data'!L$2,Subsector,'Summarized Source Data'!L$3,TimeOfWeek,$D32)</f>
        <v>26906227</v>
      </c>
      <c r="M32" s="27">
        <f>SUMIFS(INDEX(Load,,MATCH('Summarized Source Data'!$B32,Hour,0)),Season,'Summarized Source Data'!$A32,Sector,'Summarized Source Data'!M$2,Subsector,'Summarized Source Data'!M$3,TimeOfWeek,$D32)</f>
        <v>0</v>
      </c>
      <c r="N32" s="29">
        <f t="shared" si="2"/>
        <v>61600000</v>
      </c>
      <c r="O32" s="27">
        <f t="shared" si="3"/>
        <v>61600000</v>
      </c>
      <c r="P32" s="29">
        <f t="shared" si="4"/>
        <v>61600000</v>
      </c>
      <c r="Q32" s="33">
        <f>SUMIFS(INDEX(Load,,MATCH('Summarized Source Data'!$B32,Hour,0)),Season,'Summarized Source Data'!$A32,Sector,'Summarized Source Data'!Q$2,TimeOfWeek,$D32)</f>
        <v>4970000</v>
      </c>
      <c r="R32" s="33">
        <f>SUMIFS(INDEX(Load,,MATCH('Summarized Source Data'!$B32,Hour,0)),Season,'Summarized Source Data'!$A32,Sector,'Summarized Source Data'!R$2,TimeOfWeek,$D32)</f>
        <v>4970000</v>
      </c>
      <c r="S32" s="33">
        <f>SUMIFS(INDEX(Load,,MATCH('Summarized Source Data'!$B32,Hour,0)),Season,'Summarized Source Data'!$A32,Sector,'Summarized Source Data'!S$2,TimeOfWeek,$D32)</f>
        <v>4970000</v>
      </c>
      <c r="T32" s="33">
        <f>SUMIFS(INDEX(Load,,MATCH('Summarized Source Data'!$B32,Hour,0)),Season,'Summarized Source Data'!$A32,Sector,'Summarized Source Data'!T$2,TimeOfWeek,$D32)</f>
        <v>4970000</v>
      </c>
      <c r="U32" s="33">
        <f>SUMIFS(INDEX(Load,,MATCH('Summarized Source Data'!$B32,Hour,0)),Season,'Summarized Source Data'!$A32,Sector,'Summarized Source Data'!U$2,TimeOfWeek,$D32)</f>
        <v>4970000</v>
      </c>
      <c r="V32" s="33">
        <f>SUMIFS(INDEX(Load,,MATCH('Summarized Source Data'!$B32,Hour,0)),Season,'Summarized Source Data'!$A32,Sector,'Summarized Source Data'!V$2,TimeOfWeek,$D32)</f>
        <v>4970000</v>
      </c>
      <c r="W32" s="27">
        <f>SUMIFS(INDEX(Load,,MATCH('Summarized Source Data'!$B32,Hour,0)),Season,'Summarized Source Data'!$A32,Sector,'Summarized Source Data'!W$2,Subsector,'Summarized Source Data'!W$3,TimeOfWeek,$D32)</f>
        <v>977000000</v>
      </c>
      <c r="X32" s="29">
        <f t="shared" si="5"/>
        <v>977000000</v>
      </c>
      <c r="Y32" s="29">
        <f t="shared" si="5"/>
        <v>977000000</v>
      </c>
    </row>
    <row r="33" spans="1:25" outlineLevel="1" x14ac:dyDescent="0.3">
      <c r="A33" t="s">
        <v>164</v>
      </c>
      <c r="B33" t="s">
        <v>69</v>
      </c>
      <c r="C33" s="6" t="s">
        <v>145</v>
      </c>
      <c r="D33" t="s">
        <v>49</v>
      </c>
      <c r="E33" s="27">
        <f>SUMIFS(INDEX(Load,,MATCH('Summarized Source Data'!$B33,Hour,0)),Season,'Summarized Source Data'!$A33,Sector,'Summarized Source Data'!E$2,Subsector,'Summarized Source Data'!E$3,TimeOfWeek,$D33)</f>
        <v>0</v>
      </c>
      <c r="F33" s="27">
        <f>SUMIFS(INDEX(Load,,MATCH('Summarized Source Data'!$B33,Hour,0)),Season,'Summarized Source Data'!$A33,Sector,'Summarized Source Data'!F$2,Subsector,'Summarized Source Data'!F$3,TimeOfWeek,$D33)</f>
        <v>7865976</v>
      </c>
      <c r="G33" s="27">
        <f>SUMIFS(INDEX(Load,,MATCH('Summarized Source Data'!$B33,Hour,0)),Season,'Summarized Source Data'!$A33,Sector,'Summarized Source Data'!G$2,Subsector,'Summarized Source Data'!G$3,TimeOfWeek,$D33)</f>
        <v>0</v>
      </c>
      <c r="H33" s="27">
        <f>SUMIFS(INDEX(Load,,MATCH('Summarized Source Data'!$B33,Hour,0)),Season,'Summarized Source Data'!$A33,Sector,'Summarized Source Data'!H$2,Subsector,'Summarized Source Data'!H$3,TimeOfWeek,$D33)</f>
        <v>105900000</v>
      </c>
      <c r="I33" s="27">
        <f t="shared" si="0"/>
        <v>105900000</v>
      </c>
      <c r="J33" s="29">
        <f t="shared" si="1"/>
        <v>105900000</v>
      </c>
      <c r="K33" s="27">
        <f>SUMIFS(INDEX(Load,,MATCH('Summarized Source Data'!$B33,Hour,0)),Season,'Summarized Source Data'!$A33,Sector,'Summarized Source Data'!K$2,Subsector,'Summarized Source Data'!K$3,TimeOfWeek,$D33)</f>
        <v>4467525</v>
      </c>
      <c r="L33" s="27">
        <f>SUMIFS(INDEX(Load,,MATCH('Summarized Source Data'!$B33,Hour,0)),Season,'Summarized Source Data'!$A33,Sector,'Summarized Source Data'!L$2,Subsector,'Summarized Source Data'!L$3,TimeOfWeek,$D33)</f>
        <v>28920476</v>
      </c>
      <c r="M33" s="27">
        <f>SUMIFS(INDEX(Load,,MATCH('Summarized Source Data'!$B33,Hour,0)),Season,'Summarized Source Data'!$A33,Sector,'Summarized Source Data'!M$2,Subsector,'Summarized Source Data'!M$3,TimeOfWeek,$D33)</f>
        <v>0</v>
      </c>
      <c r="N33" s="29">
        <f t="shared" si="2"/>
        <v>105900000</v>
      </c>
      <c r="O33" s="27">
        <f t="shared" si="3"/>
        <v>105900000</v>
      </c>
      <c r="P33" s="29">
        <f t="shared" si="4"/>
        <v>105900000</v>
      </c>
      <c r="Q33" s="33">
        <f>SUMIFS(INDEX(Load,,MATCH('Summarized Source Data'!$B33,Hour,0)),Season,'Summarized Source Data'!$A33,Sector,'Summarized Source Data'!Q$2,TimeOfWeek,$D33)</f>
        <v>4980000</v>
      </c>
      <c r="R33" s="33">
        <f>SUMIFS(INDEX(Load,,MATCH('Summarized Source Data'!$B33,Hour,0)),Season,'Summarized Source Data'!$A33,Sector,'Summarized Source Data'!R$2,TimeOfWeek,$D33)</f>
        <v>4980000</v>
      </c>
      <c r="S33" s="33">
        <f>SUMIFS(INDEX(Load,,MATCH('Summarized Source Data'!$B33,Hour,0)),Season,'Summarized Source Data'!$A33,Sector,'Summarized Source Data'!S$2,TimeOfWeek,$D33)</f>
        <v>4980000</v>
      </c>
      <c r="T33" s="33">
        <f>SUMIFS(INDEX(Load,,MATCH('Summarized Source Data'!$B33,Hour,0)),Season,'Summarized Source Data'!$A33,Sector,'Summarized Source Data'!T$2,TimeOfWeek,$D33)</f>
        <v>4980000</v>
      </c>
      <c r="U33" s="33">
        <f>SUMIFS(INDEX(Load,,MATCH('Summarized Source Data'!$B33,Hour,0)),Season,'Summarized Source Data'!$A33,Sector,'Summarized Source Data'!U$2,TimeOfWeek,$D33)</f>
        <v>4980000</v>
      </c>
      <c r="V33" s="33">
        <f>SUMIFS(INDEX(Load,,MATCH('Summarized Source Data'!$B33,Hour,0)),Season,'Summarized Source Data'!$A33,Sector,'Summarized Source Data'!V$2,TimeOfWeek,$D33)</f>
        <v>4980000</v>
      </c>
      <c r="W33" s="27">
        <f>SUMIFS(INDEX(Load,,MATCH('Summarized Source Data'!$B33,Hour,0)),Season,'Summarized Source Data'!$A33,Sector,'Summarized Source Data'!W$2,Subsector,'Summarized Source Data'!W$3,TimeOfWeek,$D33)</f>
        <v>981000000</v>
      </c>
      <c r="X33" s="29">
        <f t="shared" si="5"/>
        <v>981000000</v>
      </c>
      <c r="Y33" s="29">
        <f t="shared" si="5"/>
        <v>981000000</v>
      </c>
    </row>
    <row r="34" spans="1:25" outlineLevel="1" x14ac:dyDescent="0.3">
      <c r="A34" t="s">
        <v>164</v>
      </c>
      <c r="B34" t="s">
        <v>70</v>
      </c>
      <c r="C34" s="6" t="s">
        <v>146</v>
      </c>
      <c r="D34" t="s">
        <v>49</v>
      </c>
      <c r="E34" s="27">
        <f>SUMIFS(INDEX(Load,,MATCH('Summarized Source Data'!$B34,Hour,0)),Season,'Summarized Source Data'!$A34,Sector,'Summarized Source Data'!E$2,Subsector,'Summarized Source Data'!E$3,TimeOfWeek,$D34)</f>
        <v>0</v>
      </c>
      <c r="F34" s="27">
        <f>SUMIFS(INDEX(Load,,MATCH('Summarized Source Data'!$B34,Hour,0)),Season,'Summarized Source Data'!$A34,Sector,'Summarized Source Data'!F$2,Subsector,'Summarized Source Data'!F$3,TimeOfWeek,$D34)</f>
        <v>8945163</v>
      </c>
      <c r="G34" s="27">
        <f>SUMIFS(INDEX(Load,,MATCH('Summarized Source Data'!$B34,Hour,0)),Season,'Summarized Source Data'!$A34,Sector,'Summarized Source Data'!G$2,Subsector,'Summarized Source Data'!G$3,TimeOfWeek,$D34)</f>
        <v>0</v>
      </c>
      <c r="H34" s="27">
        <f>SUMIFS(INDEX(Load,,MATCH('Summarized Source Data'!$B34,Hour,0)),Season,'Summarized Source Data'!$A34,Sector,'Summarized Source Data'!H$2,Subsector,'Summarized Source Data'!H$3,TimeOfWeek,$D34)</f>
        <v>102600000</v>
      </c>
      <c r="I34" s="27">
        <f t="shared" si="0"/>
        <v>102600000</v>
      </c>
      <c r="J34" s="29">
        <f t="shared" si="1"/>
        <v>102600000</v>
      </c>
      <c r="K34" s="27">
        <f>SUMIFS(INDEX(Load,,MATCH('Summarized Source Data'!$B34,Hour,0)),Season,'Summarized Source Data'!$A34,Sector,'Summarized Source Data'!K$2,Subsector,'Summarized Source Data'!K$3,TimeOfWeek,$D34)</f>
        <v>8664708</v>
      </c>
      <c r="L34" s="27">
        <f>SUMIFS(INDEX(Load,,MATCH('Summarized Source Data'!$B34,Hour,0)),Season,'Summarized Source Data'!$A34,Sector,'Summarized Source Data'!L$2,Subsector,'Summarized Source Data'!L$3,TimeOfWeek,$D34)</f>
        <v>33688136</v>
      </c>
      <c r="M34" s="27">
        <f>SUMIFS(INDEX(Load,,MATCH('Summarized Source Data'!$B34,Hour,0)),Season,'Summarized Source Data'!$A34,Sector,'Summarized Source Data'!M$2,Subsector,'Summarized Source Data'!M$3,TimeOfWeek,$D34)</f>
        <v>0</v>
      </c>
      <c r="N34" s="29">
        <f t="shared" si="2"/>
        <v>102600000</v>
      </c>
      <c r="O34" s="27">
        <f t="shared" si="3"/>
        <v>102600000</v>
      </c>
      <c r="P34" s="29">
        <f t="shared" si="4"/>
        <v>102600000</v>
      </c>
      <c r="Q34" s="33">
        <f>SUMIFS(INDEX(Load,,MATCH('Summarized Source Data'!$B34,Hour,0)),Season,'Summarized Source Data'!$A34,Sector,'Summarized Source Data'!Q$2,TimeOfWeek,$D34)</f>
        <v>7220000</v>
      </c>
      <c r="R34" s="33">
        <f>SUMIFS(INDEX(Load,,MATCH('Summarized Source Data'!$B34,Hour,0)),Season,'Summarized Source Data'!$A34,Sector,'Summarized Source Data'!R$2,TimeOfWeek,$D34)</f>
        <v>7220000</v>
      </c>
      <c r="S34" s="33">
        <f>SUMIFS(INDEX(Load,,MATCH('Summarized Source Data'!$B34,Hour,0)),Season,'Summarized Source Data'!$A34,Sector,'Summarized Source Data'!S$2,TimeOfWeek,$D34)</f>
        <v>7220000</v>
      </c>
      <c r="T34" s="33">
        <f>SUMIFS(INDEX(Load,,MATCH('Summarized Source Data'!$B34,Hour,0)),Season,'Summarized Source Data'!$A34,Sector,'Summarized Source Data'!T$2,TimeOfWeek,$D34)</f>
        <v>7220000</v>
      </c>
      <c r="U34" s="33">
        <f>SUMIFS(INDEX(Load,,MATCH('Summarized Source Data'!$B34,Hour,0)),Season,'Summarized Source Data'!$A34,Sector,'Summarized Source Data'!U$2,TimeOfWeek,$D34)</f>
        <v>7220000</v>
      </c>
      <c r="V34" s="33">
        <f>SUMIFS(INDEX(Load,,MATCH('Summarized Source Data'!$B34,Hour,0)),Season,'Summarized Source Data'!$A34,Sector,'Summarized Source Data'!V$2,TimeOfWeek,$D34)</f>
        <v>7220000</v>
      </c>
      <c r="W34" s="27">
        <f>SUMIFS(INDEX(Load,,MATCH('Summarized Source Data'!$B34,Hour,0)),Season,'Summarized Source Data'!$A34,Sector,'Summarized Source Data'!W$2,Subsector,'Summarized Source Data'!W$3,TimeOfWeek,$D34)</f>
        <v>986000000</v>
      </c>
      <c r="X34" s="29">
        <f>$W34</f>
        <v>986000000</v>
      </c>
      <c r="Y34" s="29">
        <f t="shared" si="5"/>
        <v>986000000</v>
      </c>
    </row>
    <row r="35" spans="1:25" outlineLevel="1" x14ac:dyDescent="0.3">
      <c r="A35" t="s">
        <v>164</v>
      </c>
      <c r="B35" t="s">
        <v>71</v>
      </c>
      <c r="C35" s="6" t="s">
        <v>147</v>
      </c>
      <c r="D35" t="s">
        <v>49</v>
      </c>
      <c r="E35" s="27">
        <f>SUMIFS(INDEX(Load,,MATCH('Summarized Source Data'!$B35,Hour,0)),Season,'Summarized Source Data'!$A35,Sector,'Summarized Source Data'!E$2,Subsector,'Summarized Source Data'!E$3,TimeOfWeek,$D35)</f>
        <v>0</v>
      </c>
      <c r="F35" s="27">
        <f>SUMIFS(INDEX(Load,,MATCH('Summarized Source Data'!$B35,Hour,0)),Season,'Summarized Source Data'!$A35,Sector,'Summarized Source Data'!F$2,Subsector,'Summarized Source Data'!F$3,TimeOfWeek,$D35)</f>
        <v>9679963</v>
      </c>
      <c r="G35" s="27">
        <f>SUMIFS(INDEX(Load,,MATCH('Summarized Source Data'!$B35,Hour,0)),Season,'Summarized Source Data'!$A35,Sector,'Summarized Source Data'!G$2,Subsector,'Summarized Source Data'!G$3,TimeOfWeek,$D35)</f>
        <v>0</v>
      </c>
      <c r="H35" s="27">
        <f>SUMIFS(INDEX(Load,,MATCH('Summarized Source Data'!$B35,Hour,0)),Season,'Summarized Source Data'!$A35,Sector,'Summarized Source Data'!H$2,Subsector,'Summarized Source Data'!H$3,TimeOfWeek,$D35)</f>
        <v>48600000</v>
      </c>
      <c r="I35" s="27">
        <f t="shared" si="0"/>
        <v>48600000</v>
      </c>
      <c r="J35" s="29">
        <f t="shared" si="1"/>
        <v>48600000</v>
      </c>
      <c r="K35" s="27">
        <f>SUMIFS(INDEX(Load,,MATCH('Summarized Source Data'!$B35,Hour,0)),Season,'Summarized Source Data'!$A35,Sector,'Summarized Source Data'!K$2,Subsector,'Summarized Source Data'!K$3,TimeOfWeek,$D35)</f>
        <v>9410803</v>
      </c>
      <c r="L35" s="27">
        <f>SUMIFS(INDEX(Load,,MATCH('Summarized Source Data'!$B35,Hour,0)),Season,'Summarized Source Data'!$A35,Sector,'Summarized Source Data'!L$2,Subsector,'Summarized Source Data'!L$3,TimeOfWeek,$D35)</f>
        <v>41950134</v>
      </c>
      <c r="M35" s="27">
        <f>SUMIFS(INDEX(Load,,MATCH('Summarized Source Data'!$B35,Hour,0)),Season,'Summarized Source Data'!$A35,Sector,'Summarized Source Data'!M$2,Subsector,'Summarized Source Data'!M$3,TimeOfWeek,$D35)</f>
        <v>0</v>
      </c>
      <c r="N35" s="29">
        <f t="shared" si="2"/>
        <v>48600000</v>
      </c>
      <c r="O35" s="27">
        <f t="shared" si="3"/>
        <v>48600000</v>
      </c>
      <c r="P35" s="29">
        <f t="shared" si="4"/>
        <v>48600000</v>
      </c>
      <c r="Q35" s="33">
        <f>SUMIFS(INDEX(Load,,MATCH('Summarized Source Data'!$B35,Hour,0)),Season,'Summarized Source Data'!$A35,Sector,'Summarized Source Data'!Q$2,TimeOfWeek,$D35)</f>
        <v>14490000</v>
      </c>
      <c r="R35" s="33">
        <f>SUMIFS(INDEX(Load,,MATCH('Summarized Source Data'!$B35,Hour,0)),Season,'Summarized Source Data'!$A35,Sector,'Summarized Source Data'!R$2,TimeOfWeek,$D35)</f>
        <v>14490000</v>
      </c>
      <c r="S35" s="33">
        <f>SUMIFS(INDEX(Load,,MATCH('Summarized Source Data'!$B35,Hour,0)),Season,'Summarized Source Data'!$A35,Sector,'Summarized Source Data'!S$2,TimeOfWeek,$D35)</f>
        <v>14490000</v>
      </c>
      <c r="T35" s="33">
        <f>SUMIFS(INDEX(Load,,MATCH('Summarized Source Data'!$B35,Hour,0)),Season,'Summarized Source Data'!$A35,Sector,'Summarized Source Data'!T$2,TimeOfWeek,$D35)</f>
        <v>14490000</v>
      </c>
      <c r="U35" s="33">
        <f>SUMIFS(INDEX(Load,,MATCH('Summarized Source Data'!$B35,Hour,0)),Season,'Summarized Source Data'!$A35,Sector,'Summarized Source Data'!U$2,TimeOfWeek,$D35)</f>
        <v>14490000</v>
      </c>
      <c r="V35" s="33">
        <f>SUMIFS(INDEX(Load,,MATCH('Summarized Source Data'!$B35,Hour,0)),Season,'Summarized Source Data'!$A35,Sector,'Summarized Source Data'!V$2,TimeOfWeek,$D35)</f>
        <v>14490000</v>
      </c>
      <c r="W35" s="27">
        <f>SUMIFS(INDEX(Load,,MATCH('Summarized Source Data'!$B35,Hour,0)),Season,'Summarized Source Data'!$A35,Sector,'Summarized Source Data'!W$2,Subsector,'Summarized Source Data'!W$3,TimeOfWeek,$D35)</f>
        <v>992000000</v>
      </c>
      <c r="X35" s="29">
        <f t="shared" si="5"/>
        <v>992000000</v>
      </c>
      <c r="Y35" s="29">
        <f t="shared" si="5"/>
        <v>992000000</v>
      </c>
    </row>
    <row r="36" spans="1:25" outlineLevel="1" x14ac:dyDescent="0.3">
      <c r="A36" t="s">
        <v>164</v>
      </c>
      <c r="B36" t="s">
        <v>72</v>
      </c>
      <c r="C36" s="6" t="s">
        <v>148</v>
      </c>
      <c r="D36" t="s">
        <v>49</v>
      </c>
      <c r="E36" s="27">
        <f>SUMIFS(INDEX(Load,,MATCH('Summarized Source Data'!$B36,Hour,0)),Season,'Summarized Source Data'!$A36,Sector,'Summarized Source Data'!E$2,Subsector,'Summarized Source Data'!E$3,TimeOfWeek,$D36)</f>
        <v>0</v>
      </c>
      <c r="F36" s="27">
        <f>SUMIFS(INDEX(Load,,MATCH('Summarized Source Data'!$B36,Hour,0)),Season,'Summarized Source Data'!$A36,Sector,'Summarized Source Data'!F$2,Subsector,'Summarized Source Data'!F$3,TimeOfWeek,$D36)</f>
        <v>11175088</v>
      </c>
      <c r="G36" s="27">
        <f>SUMIFS(INDEX(Load,,MATCH('Summarized Source Data'!$B36,Hour,0)),Season,'Summarized Source Data'!$A36,Sector,'Summarized Source Data'!G$2,Subsector,'Summarized Source Data'!G$3,TimeOfWeek,$D36)</f>
        <v>0</v>
      </c>
      <c r="H36" s="27">
        <f>SUMIFS(INDEX(Load,,MATCH('Summarized Source Data'!$B36,Hour,0)),Season,'Summarized Source Data'!$A36,Sector,'Summarized Source Data'!H$2,Subsector,'Summarized Source Data'!H$3,TimeOfWeek,$D36)</f>
        <v>47000000</v>
      </c>
      <c r="I36" s="27">
        <f t="shared" si="0"/>
        <v>47000000</v>
      </c>
      <c r="J36" s="29">
        <f t="shared" si="1"/>
        <v>47000000</v>
      </c>
      <c r="K36" s="27">
        <f>SUMIFS(INDEX(Load,,MATCH('Summarized Source Data'!$B36,Hour,0)),Season,'Summarized Source Data'!$A36,Sector,'Summarized Source Data'!K$2,Subsector,'Summarized Source Data'!K$3,TimeOfWeek,$D36)</f>
        <v>7176678</v>
      </c>
      <c r="L36" s="27">
        <f>SUMIFS(INDEX(Load,,MATCH('Summarized Source Data'!$B36,Hour,0)),Season,'Summarized Source Data'!$A36,Sector,'Summarized Source Data'!L$2,Subsector,'Summarized Source Data'!L$3,TimeOfWeek,$D36)</f>
        <v>54000000</v>
      </c>
      <c r="M36" s="27">
        <f>SUMIFS(INDEX(Load,,MATCH('Summarized Source Data'!$B36,Hour,0)),Season,'Summarized Source Data'!$A36,Sector,'Summarized Source Data'!M$2,Subsector,'Summarized Source Data'!M$3,TimeOfWeek,$D36)</f>
        <v>0</v>
      </c>
      <c r="N36" s="29">
        <f t="shared" si="2"/>
        <v>47000000</v>
      </c>
      <c r="O36" s="27">
        <f t="shared" si="3"/>
        <v>47000000</v>
      </c>
      <c r="P36" s="29">
        <f t="shared" si="4"/>
        <v>47000000</v>
      </c>
      <c r="Q36" s="33">
        <f>SUMIFS(INDEX(Load,,MATCH('Summarized Source Data'!$B36,Hour,0)),Season,'Summarized Source Data'!$A36,Sector,'Summarized Source Data'!Q$2,TimeOfWeek,$D36)</f>
        <v>14680000</v>
      </c>
      <c r="R36" s="33">
        <f>SUMIFS(INDEX(Load,,MATCH('Summarized Source Data'!$B36,Hour,0)),Season,'Summarized Source Data'!$A36,Sector,'Summarized Source Data'!R$2,TimeOfWeek,$D36)</f>
        <v>14680000</v>
      </c>
      <c r="S36" s="33">
        <f>SUMIFS(INDEX(Load,,MATCH('Summarized Source Data'!$B36,Hour,0)),Season,'Summarized Source Data'!$A36,Sector,'Summarized Source Data'!S$2,TimeOfWeek,$D36)</f>
        <v>14680000</v>
      </c>
      <c r="T36" s="33">
        <f>SUMIFS(INDEX(Load,,MATCH('Summarized Source Data'!$B36,Hour,0)),Season,'Summarized Source Data'!$A36,Sector,'Summarized Source Data'!T$2,TimeOfWeek,$D36)</f>
        <v>14680000</v>
      </c>
      <c r="U36" s="33">
        <f>SUMIFS(INDEX(Load,,MATCH('Summarized Source Data'!$B36,Hour,0)),Season,'Summarized Source Data'!$A36,Sector,'Summarized Source Data'!U$2,TimeOfWeek,$D36)</f>
        <v>14680000</v>
      </c>
      <c r="V36" s="33">
        <f>SUMIFS(INDEX(Load,,MATCH('Summarized Source Data'!$B36,Hour,0)),Season,'Summarized Source Data'!$A36,Sector,'Summarized Source Data'!V$2,TimeOfWeek,$D36)</f>
        <v>14680000</v>
      </c>
      <c r="W36" s="27">
        <f>SUMIFS(INDEX(Load,,MATCH('Summarized Source Data'!$B36,Hour,0)),Season,'Summarized Source Data'!$A36,Sector,'Summarized Source Data'!W$2,Subsector,'Summarized Source Data'!W$3,TimeOfWeek,$D36)</f>
        <v>994000000</v>
      </c>
      <c r="X36" s="29">
        <f t="shared" si="5"/>
        <v>994000000</v>
      </c>
      <c r="Y36" s="29">
        <f t="shared" si="5"/>
        <v>994000000</v>
      </c>
    </row>
    <row r="37" spans="1:25" outlineLevel="1" x14ac:dyDescent="0.3">
      <c r="A37" t="s">
        <v>164</v>
      </c>
      <c r="B37" t="s">
        <v>73</v>
      </c>
      <c r="C37" s="6" t="s">
        <v>149</v>
      </c>
      <c r="D37" t="s">
        <v>49</v>
      </c>
      <c r="E37" s="27">
        <f>SUMIFS(INDEX(Load,,MATCH('Summarized Source Data'!$B37,Hour,0)),Season,'Summarized Source Data'!$A37,Sector,'Summarized Source Data'!E$2,Subsector,'Summarized Source Data'!E$3,TimeOfWeek,$D37)</f>
        <v>0</v>
      </c>
      <c r="F37" s="27">
        <f>SUMIFS(INDEX(Load,,MATCH('Summarized Source Data'!$B37,Hour,0)),Season,'Summarized Source Data'!$A37,Sector,'Summarized Source Data'!F$2,Subsector,'Summarized Source Data'!F$3,TimeOfWeek,$D37)</f>
        <v>13388844</v>
      </c>
      <c r="G37" s="27">
        <f>SUMIFS(INDEX(Load,,MATCH('Summarized Source Data'!$B37,Hour,0)),Season,'Summarized Source Data'!$A37,Sector,'Summarized Source Data'!G$2,Subsector,'Summarized Source Data'!G$3,TimeOfWeek,$D37)</f>
        <v>0</v>
      </c>
      <c r="H37" s="27">
        <f>SUMIFS(INDEX(Load,,MATCH('Summarized Source Data'!$B37,Hour,0)),Season,'Summarized Source Data'!$A37,Sector,'Summarized Source Data'!H$2,Subsector,'Summarized Source Data'!H$3,TimeOfWeek,$D37)</f>
        <v>45200000</v>
      </c>
      <c r="I37" s="27">
        <f t="shared" si="0"/>
        <v>45200000</v>
      </c>
      <c r="J37" s="29">
        <f t="shared" si="1"/>
        <v>45200000</v>
      </c>
      <c r="K37" s="27">
        <f>SUMIFS(INDEX(Load,,MATCH('Summarized Source Data'!$B37,Hour,0)),Season,'Summarized Source Data'!$A37,Sector,'Summarized Source Data'!K$2,Subsector,'Summarized Source Data'!K$3,TimeOfWeek,$D37)</f>
        <v>5426401</v>
      </c>
      <c r="L37" s="27">
        <f>SUMIFS(INDEX(Load,,MATCH('Summarized Source Data'!$B37,Hour,0)),Season,'Summarized Source Data'!$A37,Sector,'Summarized Source Data'!L$2,Subsector,'Summarized Source Data'!L$3,TimeOfWeek,$D37)</f>
        <v>64600000</v>
      </c>
      <c r="M37" s="27">
        <f>SUMIFS(INDEX(Load,,MATCH('Summarized Source Data'!$B37,Hour,0)),Season,'Summarized Source Data'!$A37,Sector,'Summarized Source Data'!M$2,Subsector,'Summarized Source Data'!M$3,TimeOfWeek,$D37)</f>
        <v>0</v>
      </c>
      <c r="N37" s="29">
        <f t="shared" si="2"/>
        <v>45200000</v>
      </c>
      <c r="O37" s="27">
        <f t="shared" si="3"/>
        <v>45200000</v>
      </c>
      <c r="P37" s="29">
        <f t="shared" si="4"/>
        <v>45200000</v>
      </c>
      <c r="Q37" s="33">
        <f>SUMIFS(INDEX(Load,,MATCH('Summarized Source Data'!$B37,Hour,0)),Season,'Summarized Source Data'!$A37,Sector,'Summarized Source Data'!Q$2,TimeOfWeek,$D37)</f>
        <v>13220000</v>
      </c>
      <c r="R37" s="33">
        <f>SUMIFS(INDEX(Load,,MATCH('Summarized Source Data'!$B37,Hour,0)),Season,'Summarized Source Data'!$A37,Sector,'Summarized Source Data'!R$2,TimeOfWeek,$D37)</f>
        <v>13220000</v>
      </c>
      <c r="S37" s="33">
        <f>SUMIFS(INDEX(Load,,MATCH('Summarized Source Data'!$B37,Hour,0)),Season,'Summarized Source Data'!$A37,Sector,'Summarized Source Data'!S$2,TimeOfWeek,$D37)</f>
        <v>13220000</v>
      </c>
      <c r="T37" s="33">
        <f>SUMIFS(INDEX(Load,,MATCH('Summarized Source Data'!$B37,Hour,0)),Season,'Summarized Source Data'!$A37,Sector,'Summarized Source Data'!T$2,TimeOfWeek,$D37)</f>
        <v>13220000</v>
      </c>
      <c r="U37" s="33">
        <f>SUMIFS(INDEX(Load,,MATCH('Summarized Source Data'!$B37,Hour,0)),Season,'Summarized Source Data'!$A37,Sector,'Summarized Source Data'!U$2,TimeOfWeek,$D37)</f>
        <v>13220000</v>
      </c>
      <c r="V37" s="33">
        <f>SUMIFS(INDEX(Load,,MATCH('Summarized Source Data'!$B37,Hour,0)),Season,'Summarized Source Data'!$A37,Sector,'Summarized Source Data'!V$2,TimeOfWeek,$D37)</f>
        <v>13220000</v>
      </c>
      <c r="W37" s="27">
        <f>SUMIFS(INDEX(Load,,MATCH('Summarized Source Data'!$B37,Hour,0)),Season,'Summarized Source Data'!$A37,Sector,'Summarized Source Data'!W$2,Subsector,'Summarized Source Data'!W$3,TimeOfWeek,$D37)</f>
        <v>992000000</v>
      </c>
      <c r="X37" s="29">
        <f t="shared" ref="X37:Y68" si="6">$W37</f>
        <v>992000000</v>
      </c>
      <c r="Y37" s="29">
        <f t="shared" si="6"/>
        <v>992000000</v>
      </c>
    </row>
    <row r="38" spans="1:25" outlineLevel="1" x14ac:dyDescent="0.3">
      <c r="A38" t="s">
        <v>164</v>
      </c>
      <c r="B38" t="s">
        <v>74</v>
      </c>
      <c r="C38" s="6" t="s">
        <v>150</v>
      </c>
      <c r="D38" t="s">
        <v>49</v>
      </c>
      <c r="E38" s="27">
        <f>SUMIFS(INDEX(Load,,MATCH('Summarized Source Data'!$B38,Hour,0)),Season,'Summarized Source Data'!$A38,Sector,'Summarized Source Data'!E$2,Subsector,'Summarized Source Data'!E$3,TimeOfWeek,$D38)</f>
        <v>0</v>
      </c>
      <c r="F38" s="27">
        <f>SUMIFS(INDEX(Load,,MATCH('Summarized Source Data'!$B38,Hour,0)),Season,'Summarized Source Data'!$A38,Sector,'Summarized Source Data'!F$2,Subsector,'Summarized Source Data'!F$3,TimeOfWeek,$D38)</f>
        <v>17324068</v>
      </c>
      <c r="G38" s="27">
        <f>SUMIFS(INDEX(Load,,MATCH('Summarized Source Data'!$B38,Hour,0)),Season,'Summarized Source Data'!$A38,Sector,'Summarized Source Data'!G$2,Subsector,'Summarized Source Data'!G$3,TimeOfWeek,$D38)</f>
        <v>0</v>
      </c>
      <c r="H38" s="27">
        <f>SUMIFS(INDEX(Load,,MATCH('Summarized Source Data'!$B38,Hour,0)),Season,'Summarized Source Data'!$A38,Sector,'Summarized Source Data'!H$2,Subsector,'Summarized Source Data'!H$3,TimeOfWeek,$D38)</f>
        <v>45900000</v>
      </c>
      <c r="I38" s="27">
        <f t="shared" si="0"/>
        <v>45900000</v>
      </c>
      <c r="J38" s="29">
        <f t="shared" si="1"/>
        <v>45900000</v>
      </c>
      <c r="K38" s="27">
        <f>SUMIFS(INDEX(Load,,MATCH('Summarized Source Data'!$B38,Hour,0)),Season,'Summarized Source Data'!$A38,Sector,'Summarized Source Data'!K$2,Subsector,'Summarized Source Data'!K$3,TimeOfWeek,$D38)</f>
        <v>4493322</v>
      </c>
      <c r="L38" s="27">
        <f>SUMIFS(INDEX(Load,,MATCH('Summarized Source Data'!$B38,Hour,0)),Season,'Summarized Source Data'!$A38,Sector,'Summarized Source Data'!L$2,Subsector,'Summarized Source Data'!L$3,TimeOfWeek,$D38)</f>
        <v>73500000</v>
      </c>
      <c r="M38" s="27">
        <f>SUMIFS(INDEX(Load,,MATCH('Summarized Source Data'!$B38,Hour,0)),Season,'Summarized Source Data'!$A38,Sector,'Summarized Source Data'!M$2,Subsector,'Summarized Source Data'!M$3,TimeOfWeek,$D38)</f>
        <v>0</v>
      </c>
      <c r="N38" s="29">
        <f t="shared" si="2"/>
        <v>45900000</v>
      </c>
      <c r="O38" s="27">
        <f t="shared" si="3"/>
        <v>45900000</v>
      </c>
      <c r="P38" s="29">
        <f t="shared" si="4"/>
        <v>45900000</v>
      </c>
      <c r="Q38" s="33">
        <f>SUMIFS(INDEX(Load,,MATCH('Summarized Source Data'!$B38,Hour,0)),Season,'Summarized Source Data'!$A38,Sector,'Summarized Source Data'!Q$2,TimeOfWeek,$D38)</f>
        <v>10910000</v>
      </c>
      <c r="R38" s="33">
        <f>SUMIFS(INDEX(Load,,MATCH('Summarized Source Data'!$B38,Hour,0)),Season,'Summarized Source Data'!$A38,Sector,'Summarized Source Data'!R$2,TimeOfWeek,$D38)</f>
        <v>10910000</v>
      </c>
      <c r="S38" s="33">
        <f>SUMIFS(INDEX(Load,,MATCH('Summarized Source Data'!$B38,Hour,0)),Season,'Summarized Source Data'!$A38,Sector,'Summarized Source Data'!S$2,TimeOfWeek,$D38)</f>
        <v>10910000</v>
      </c>
      <c r="T38" s="33">
        <f>SUMIFS(INDEX(Load,,MATCH('Summarized Source Data'!$B38,Hour,0)),Season,'Summarized Source Data'!$A38,Sector,'Summarized Source Data'!T$2,TimeOfWeek,$D38)</f>
        <v>10910000</v>
      </c>
      <c r="U38" s="33">
        <f>SUMIFS(INDEX(Load,,MATCH('Summarized Source Data'!$B38,Hour,0)),Season,'Summarized Source Data'!$A38,Sector,'Summarized Source Data'!U$2,TimeOfWeek,$D38)</f>
        <v>10910000</v>
      </c>
      <c r="V38" s="33">
        <f>SUMIFS(INDEX(Load,,MATCH('Summarized Source Data'!$B38,Hour,0)),Season,'Summarized Source Data'!$A38,Sector,'Summarized Source Data'!V$2,TimeOfWeek,$D38)</f>
        <v>10910000</v>
      </c>
      <c r="W38" s="27">
        <f>SUMIFS(INDEX(Load,,MATCH('Summarized Source Data'!$B38,Hour,0)),Season,'Summarized Source Data'!$A38,Sector,'Summarized Source Data'!W$2,Subsector,'Summarized Source Data'!W$3,TimeOfWeek,$D38)</f>
        <v>990000000</v>
      </c>
      <c r="X38" s="29">
        <f t="shared" si="6"/>
        <v>990000000</v>
      </c>
      <c r="Y38" s="29">
        <f t="shared" si="6"/>
        <v>990000000</v>
      </c>
    </row>
    <row r="39" spans="1:25" outlineLevel="1" x14ac:dyDescent="0.3">
      <c r="A39" t="s">
        <v>164</v>
      </c>
      <c r="B39" t="s">
        <v>75</v>
      </c>
      <c r="C39" s="6" t="s">
        <v>151</v>
      </c>
      <c r="D39" t="s">
        <v>49</v>
      </c>
      <c r="E39" s="27">
        <f>SUMIFS(INDEX(Load,,MATCH('Summarized Source Data'!$B39,Hour,0)),Season,'Summarized Source Data'!$A39,Sector,'Summarized Source Data'!E$2,Subsector,'Summarized Source Data'!E$3,TimeOfWeek,$D39)</f>
        <v>0</v>
      </c>
      <c r="F39" s="27">
        <f>SUMIFS(INDEX(Load,,MATCH('Summarized Source Data'!$B39,Hour,0)),Season,'Summarized Source Data'!$A39,Sector,'Summarized Source Data'!F$2,Subsector,'Summarized Source Data'!F$3,TimeOfWeek,$D39)</f>
        <v>23385817</v>
      </c>
      <c r="G39" s="27">
        <f>SUMIFS(INDEX(Load,,MATCH('Summarized Source Data'!$B39,Hour,0)),Season,'Summarized Source Data'!$A39,Sector,'Summarized Source Data'!G$2,Subsector,'Summarized Source Data'!G$3,TimeOfWeek,$D39)</f>
        <v>0</v>
      </c>
      <c r="H39" s="27">
        <f>SUMIFS(INDEX(Load,,MATCH('Summarized Source Data'!$B39,Hour,0)),Season,'Summarized Source Data'!$A39,Sector,'Summarized Source Data'!H$2,Subsector,'Summarized Source Data'!H$3,TimeOfWeek,$D39)</f>
        <v>50400000</v>
      </c>
      <c r="I39" s="27">
        <f t="shared" si="0"/>
        <v>50400000</v>
      </c>
      <c r="J39" s="29">
        <f t="shared" si="1"/>
        <v>50400000</v>
      </c>
      <c r="K39" s="27">
        <f>SUMIFS(INDEX(Load,,MATCH('Summarized Source Data'!$B39,Hour,0)),Season,'Summarized Source Data'!$A39,Sector,'Summarized Source Data'!K$2,Subsector,'Summarized Source Data'!K$3,TimeOfWeek,$D39)</f>
        <v>3783596</v>
      </c>
      <c r="L39" s="27">
        <f>SUMIFS(INDEX(Load,,MATCH('Summarized Source Data'!$B39,Hour,0)),Season,'Summarized Source Data'!$A39,Sector,'Summarized Source Data'!L$2,Subsector,'Summarized Source Data'!L$3,TimeOfWeek,$D39)</f>
        <v>79700000</v>
      </c>
      <c r="M39" s="27">
        <f>SUMIFS(INDEX(Load,,MATCH('Summarized Source Data'!$B39,Hour,0)),Season,'Summarized Source Data'!$A39,Sector,'Summarized Source Data'!M$2,Subsector,'Summarized Source Data'!M$3,TimeOfWeek,$D39)</f>
        <v>0</v>
      </c>
      <c r="N39" s="29">
        <f t="shared" si="2"/>
        <v>50400000</v>
      </c>
      <c r="O39" s="27">
        <f t="shared" si="3"/>
        <v>50400000</v>
      </c>
      <c r="P39" s="29">
        <f t="shared" si="4"/>
        <v>50400000</v>
      </c>
      <c r="Q39" s="33">
        <f>SUMIFS(INDEX(Load,,MATCH('Summarized Source Data'!$B39,Hour,0)),Season,'Summarized Source Data'!$A39,Sector,'Summarized Source Data'!Q$2,TimeOfWeek,$D39)</f>
        <v>10920000</v>
      </c>
      <c r="R39" s="33">
        <f>SUMIFS(INDEX(Load,,MATCH('Summarized Source Data'!$B39,Hour,0)),Season,'Summarized Source Data'!$A39,Sector,'Summarized Source Data'!R$2,TimeOfWeek,$D39)</f>
        <v>10920000</v>
      </c>
      <c r="S39" s="33">
        <f>SUMIFS(INDEX(Load,,MATCH('Summarized Source Data'!$B39,Hour,0)),Season,'Summarized Source Data'!$A39,Sector,'Summarized Source Data'!S$2,TimeOfWeek,$D39)</f>
        <v>10920000</v>
      </c>
      <c r="T39" s="33">
        <f>SUMIFS(INDEX(Load,,MATCH('Summarized Source Data'!$B39,Hour,0)),Season,'Summarized Source Data'!$A39,Sector,'Summarized Source Data'!T$2,TimeOfWeek,$D39)</f>
        <v>10920000</v>
      </c>
      <c r="U39" s="33">
        <f>SUMIFS(INDEX(Load,,MATCH('Summarized Source Data'!$B39,Hour,0)),Season,'Summarized Source Data'!$A39,Sector,'Summarized Source Data'!U$2,TimeOfWeek,$D39)</f>
        <v>10920000</v>
      </c>
      <c r="V39" s="33">
        <f>SUMIFS(INDEX(Load,,MATCH('Summarized Source Data'!$B39,Hour,0)),Season,'Summarized Source Data'!$A39,Sector,'Summarized Source Data'!V$2,TimeOfWeek,$D39)</f>
        <v>10920000</v>
      </c>
      <c r="W39" s="27">
        <f>SUMIFS(INDEX(Load,,MATCH('Summarized Source Data'!$B39,Hour,0)),Season,'Summarized Source Data'!$A39,Sector,'Summarized Source Data'!W$2,Subsector,'Summarized Source Data'!W$3,TimeOfWeek,$D39)</f>
        <v>989000000</v>
      </c>
      <c r="X39" s="29">
        <f t="shared" si="6"/>
        <v>989000000</v>
      </c>
      <c r="Y39" s="29">
        <f t="shared" si="6"/>
        <v>989000000</v>
      </c>
    </row>
    <row r="40" spans="1:25" outlineLevel="1" x14ac:dyDescent="0.3">
      <c r="A40" t="s">
        <v>164</v>
      </c>
      <c r="B40" t="s">
        <v>76</v>
      </c>
      <c r="C40" s="6" t="s">
        <v>152</v>
      </c>
      <c r="D40" t="s">
        <v>49</v>
      </c>
      <c r="E40" s="27">
        <f>SUMIFS(INDEX(Load,,MATCH('Summarized Source Data'!$B40,Hour,0)),Season,'Summarized Source Data'!$A40,Sector,'Summarized Source Data'!E$2,Subsector,'Summarized Source Data'!E$3,TimeOfWeek,$D40)</f>
        <v>0</v>
      </c>
      <c r="F40" s="27">
        <f>SUMIFS(INDEX(Load,,MATCH('Summarized Source Data'!$B40,Hour,0)),Season,'Summarized Source Data'!$A40,Sector,'Summarized Source Data'!F$2,Subsector,'Summarized Source Data'!F$3,TimeOfWeek,$D40)</f>
        <v>28765219</v>
      </c>
      <c r="G40" s="27">
        <f>SUMIFS(INDEX(Load,,MATCH('Summarized Source Data'!$B40,Hour,0)),Season,'Summarized Source Data'!$A40,Sector,'Summarized Source Data'!G$2,Subsector,'Summarized Source Data'!G$3,TimeOfWeek,$D40)</f>
        <v>0</v>
      </c>
      <c r="H40" s="27">
        <f>SUMIFS(INDEX(Load,,MATCH('Summarized Source Data'!$B40,Hour,0)),Season,'Summarized Source Data'!$A40,Sector,'Summarized Source Data'!H$2,Subsector,'Summarized Source Data'!H$3,TimeOfWeek,$D40)</f>
        <v>53100000</v>
      </c>
      <c r="I40" s="27">
        <f t="shared" si="0"/>
        <v>53100000</v>
      </c>
      <c r="J40" s="29">
        <f t="shared" si="1"/>
        <v>53100000</v>
      </c>
      <c r="K40" s="27">
        <f>SUMIFS(INDEX(Load,,MATCH('Summarized Source Data'!$B40,Hour,0)),Season,'Summarized Source Data'!$A40,Sector,'Summarized Source Data'!K$2,Subsector,'Summarized Source Data'!K$3,TimeOfWeek,$D40)</f>
        <v>3386629</v>
      </c>
      <c r="L40" s="27">
        <f>SUMIFS(INDEX(Load,,MATCH('Summarized Source Data'!$B40,Hour,0)),Season,'Summarized Source Data'!$A40,Sector,'Summarized Source Data'!L$2,Subsector,'Summarized Source Data'!L$3,TimeOfWeek,$D40)</f>
        <v>82500000</v>
      </c>
      <c r="M40" s="27">
        <f>SUMIFS(INDEX(Load,,MATCH('Summarized Source Data'!$B40,Hour,0)),Season,'Summarized Source Data'!$A40,Sector,'Summarized Source Data'!M$2,Subsector,'Summarized Source Data'!M$3,TimeOfWeek,$D40)</f>
        <v>0</v>
      </c>
      <c r="N40" s="29">
        <f t="shared" si="2"/>
        <v>53100000</v>
      </c>
      <c r="O40" s="27">
        <f t="shared" si="3"/>
        <v>53100000</v>
      </c>
      <c r="P40" s="29">
        <f t="shared" si="4"/>
        <v>53100000</v>
      </c>
      <c r="Q40" s="33">
        <f>SUMIFS(INDEX(Load,,MATCH('Summarized Source Data'!$B40,Hour,0)),Season,'Summarized Source Data'!$A40,Sector,'Summarized Source Data'!Q$2,TimeOfWeek,$D40)</f>
        <v>10950000</v>
      </c>
      <c r="R40" s="33">
        <f>SUMIFS(INDEX(Load,,MATCH('Summarized Source Data'!$B40,Hour,0)),Season,'Summarized Source Data'!$A40,Sector,'Summarized Source Data'!R$2,TimeOfWeek,$D40)</f>
        <v>10950000</v>
      </c>
      <c r="S40" s="33">
        <f>SUMIFS(INDEX(Load,,MATCH('Summarized Source Data'!$B40,Hour,0)),Season,'Summarized Source Data'!$A40,Sector,'Summarized Source Data'!S$2,TimeOfWeek,$D40)</f>
        <v>10950000</v>
      </c>
      <c r="T40" s="33">
        <f>SUMIFS(INDEX(Load,,MATCH('Summarized Source Data'!$B40,Hour,0)),Season,'Summarized Source Data'!$A40,Sector,'Summarized Source Data'!T$2,TimeOfWeek,$D40)</f>
        <v>10950000</v>
      </c>
      <c r="U40" s="33">
        <f>SUMIFS(INDEX(Load,,MATCH('Summarized Source Data'!$B40,Hour,0)),Season,'Summarized Source Data'!$A40,Sector,'Summarized Source Data'!U$2,TimeOfWeek,$D40)</f>
        <v>10950000</v>
      </c>
      <c r="V40" s="33">
        <f>SUMIFS(INDEX(Load,,MATCH('Summarized Source Data'!$B40,Hour,0)),Season,'Summarized Source Data'!$A40,Sector,'Summarized Source Data'!V$2,TimeOfWeek,$D40)</f>
        <v>10950000</v>
      </c>
      <c r="W40" s="27">
        <f>SUMIFS(INDEX(Load,,MATCH('Summarized Source Data'!$B40,Hour,0)),Season,'Summarized Source Data'!$A40,Sector,'Summarized Source Data'!W$2,Subsector,'Summarized Source Data'!W$3,TimeOfWeek,$D40)</f>
        <v>986000000</v>
      </c>
      <c r="X40" s="29">
        <f t="shared" si="6"/>
        <v>986000000</v>
      </c>
      <c r="Y40" s="29">
        <f t="shared" si="6"/>
        <v>986000000</v>
      </c>
    </row>
    <row r="41" spans="1:25" outlineLevel="1" x14ac:dyDescent="0.3">
      <c r="A41" t="s">
        <v>164</v>
      </c>
      <c r="B41" t="s">
        <v>77</v>
      </c>
      <c r="C41" s="6" t="s">
        <v>153</v>
      </c>
      <c r="D41" t="s">
        <v>49</v>
      </c>
      <c r="E41" s="27">
        <f>SUMIFS(INDEX(Load,,MATCH('Summarized Source Data'!$B41,Hour,0)),Season,'Summarized Source Data'!$A41,Sector,'Summarized Source Data'!E$2,Subsector,'Summarized Source Data'!E$3,TimeOfWeek,$D41)</f>
        <v>0</v>
      </c>
      <c r="F41" s="27">
        <f>SUMIFS(INDEX(Load,,MATCH('Summarized Source Data'!$B41,Hour,0)),Season,'Summarized Source Data'!$A41,Sector,'Summarized Source Data'!F$2,Subsector,'Summarized Source Data'!F$3,TimeOfWeek,$D41)</f>
        <v>31857147</v>
      </c>
      <c r="G41" s="27">
        <f>SUMIFS(INDEX(Load,,MATCH('Summarized Source Data'!$B41,Hour,0)),Season,'Summarized Source Data'!$A41,Sector,'Summarized Source Data'!G$2,Subsector,'Summarized Source Data'!G$3,TimeOfWeek,$D41)</f>
        <v>0</v>
      </c>
      <c r="H41" s="27">
        <f>SUMIFS(INDEX(Load,,MATCH('Summarized Source Data'!$B41,Hour,0)),Season,'Summarized Source Data'!$A41,Sector,'Summarized Source Data'!H$2,Subsector,'Summarized Source Data'!H$3,TimeOfWeek,$D41)</f>
        <v>53800000</v>
      </c>
      <c r="I41" s="27">
        <f t="shared" si="0"/>
        <v>53800000</v>
      </c>
      <c r="J41" s="29">
        <f t="shared" si="1"/>
        <v>53800000</v>
      </c>
      <c r="K41" s="27">
        <f>SUMIFS(INDEX(Load,,MATCH('Summarized Source Data'!$B41,Hour,0)),Season,'Summarized Source Data'!$A41,Sector,'Summarized Source Data'!K$2,Subsector,'Summarized Source Data'!K$3,TimeOfWeek,$D41)</f>
        <v>3116788</v>
      </c>
      <c r="L41" s="27">
        <f>SUMIFS(INDEX(Load,,MATCH('Summarized Source Data'!$B41,Hour,0)),Season,'Summarized Source Data'!$A41,Sector,'Summarized Source Data'!L$2,Subsector,'Summarized Source Data'!L$3,TimeOfWeek,$D41)</f>
        <v>86300000</v>
      </c>
      <c r="M41" s="27">
        <f>SUMIFS(INDEX(Load,,MATCH('Summarized Source Data'!$B41,Hour,0)),Season,'Summarized Source Data'!$A41,Sector,'Summarized Source Data'!M$2,Subsector,'Summarized Source Data'!M$3,TimeOfWeek,$D41)</f>
        <v>0</v>
      </c>
      <c r="N41" s="29">
        <f t="shared" si="2"/>
        <v>53800000</v>
      </c>
      <c r="O41" s="27">
        <f t="shared" si="3"/>
        <v>53800000</v>
      </c>
      <c r="P41" s="29">
        <f t="shared" si="4"/>
        <v>53800000</v>
      </c>
      <c r="Q41" s="33">
        <f>SUMIFS(INDEX(Load,,MATCH('Summarized Source Data'!$B41,Hour,0)),Season,'Summarized Source Data'!$A41,Sector,'Summarized Source Data'!Q$2,TimeOfWeek,$D41)</f>
        <v>10940000</v>
      </c>
      <c r="R41" s="33">
        <f>SUMIFS(INDEX(Load,,MATCH('Summarized Source Data'!$B41,Hour,0)),Season,'Summarized Source Data'!$A41,Sector,'Summarized Source Data'!R$2,TimeOfWeek,$D41)</f>
        <v>10940000</v>
      </c>
      <c r="S41" s="33">
        <f>SUMIFS(INDEX(Load,,MATCH('Summarized Source Data'!$B41,Hour,0)),Season,'Summarized Source Data'!$A41,Sector,'Summarized Source Data'!S$2,TimeOfWeek,$D41)</f>
        <v>10940000</v>
      </c>
      <c r="T41" s="33">
        <f>SUMIFS(INDEX(Load,,MATCH('Summarized Source Data'!$B41,Hour,0)),Season,'Summarized Source Data'!$A41,Sector,'Summarized Source Data'!T$2,TimeOfWeek,$D41)</f>
        <v>10940000</v>
      </c>
      <c r="U41" s="33">
        <f>SUMIFS(INDEX(Load,,MATCH('Summarized Source Data'!$B41,Hour,0)),Season,'Summarized Source Data'!$A41,Sector,'Summarized Source Data'!U$2,TimeOfWeek,$D41)</f>
        <v>10940000</v>
      </c>
      <c r="V41" s="33">
        <f>SUMIFS(INDEX(Load,,MATCH('Summarized Source Data'!$B41,Hour,0)),Season,'Summarized Source Data'!$A41,Sector,'Summarized Source Data'!V$2,TimeOfWeek,$D41)</f>
        <v>10940000</v>
      </c>
      <c r="W41" s="27">
        <f>SUMIFS(INDEX(Load,,MATCH('Summarized Source Data'!$B41,Hour,0)),Season,'Summarized Source Data'!$A41,Sector,'Summarized Source Data'!W$2,Subsector,'Summarized Source Data'!W$3,TimeOfWeek,$D41)</f>
        <v>986000000</v>
      </c>
      <c r="X41" s="29">
        <f t="shared" si="6"/>
        <v>986000000</v>
      </c>
      <c r="Y41" s="29">
        <f t="shared" si="6"/>
        <v>986000000</v>
      </c>
    </row>
    <row r="42" spans="1:25" outlineLevel="1" x14ac:dyDescent="0.3">
      <c r="A42" t="s">
        <v>164</v>
      </c>
      <c r="B42" t="s">
        <v>78</v>
      </c>
      <c r="C42" s="6" t="s">
        <v>154</v>
      </c>
      <c r="D42" t="s">
        <v>49</v>
      </c>
      <c r="E42" s="27">
        <f>SUMIFS(INDEX(Load,,MATCH('Summarized Source Data'!$B42,Hour,0)),Season,'Summarized Source Data'!$A42,Sector,'Summarized Source Data'!E$2,Subsector,'Summarized Source Data'!E$3,TimeOfWeek,$D42)</f>
        <v>0</v>
      </c>
      <c r="F42" s="27">
        <f>SUMIFS(INDEX(Load,,MATCH('Summarized Source Data'!$B42,Hour,0)),Season,'Summarized Source Data'!$A42,Sector,'Summarized Source Data'!F$2,Subsector,'Summarized Source Data'!F$3,TimeOfWeek,$D42)</f>
        <v>33990942</v>
      </c>
      <c r="G42" s="27">
        <f>SUMIFS(INDEX(Load,,MATCH('Summarized Source Data'!$B42,Hour,0)),Season,'Summarized Source Data'!$A42,Sector,'Summarized Source Data'!G$2,Subsector,'Summarized Source Data'!G$3,TimeOfWeek,$D42)</f>
        <v>0</v>
      </c>
      <c r="H42" s="27">
        <f>SUMIFS(INDEX(Load,,MATCH('Summarized Source Data'!$B42,Hour,0)),Season,'Summarized Source Data'!$A42,Sector,'Summarized Source Data'!H$2,Subsector,'Summarized Source Data'!H$3,TimeOfWeek,$D42)</f>
        <v>55200000</v>
      </c>
      <c r="I42" s="27">
        <f t="shared" si="0"/>
        <v>55200000</v>
      </c>
      <c r="J42" s="29">
        <f t="shared" si="1"/>
        <v>55200000</v>
      </c>
      <c r="K42" s="27">
        <f>SUMIFS(INDEX(Load,,MATCH('Summarized Source Data'!$B42,Hour,0)),Season,'Summarized Source Data'!$A42,Sector,'Summarized Source Data'!K$2,Subsector,'Summarized Source Data'!K$3,TimeOfWeek,$D42)</f>
        <v>2904295</v>
      </c>
      <c r="L42" s="27">
        <f>SUMIFS(INDEX(Load,,MATCH('Summarized Source Data'!$B42,Hour,0)),Season,'Summarized Source Data'!$A42,Sector,'Summarized Source Data'!L$2,Subsector,'Summarized Source Data'!L$3,TimeOfWeek,$D42)</f>
        <v>88400000</v>
      </c>
      <c r="M42" s="27">
        <f>SUMIFS(INDEX(Load,,MATCH('Summarized Source Data'!$B42,Hour,0)),Season,'Summarized Source Data'!$A42,Sector,'Summarized Source Data'!M$2,Subsector,'Summarized Source Data'!M$3,TimeOfWeek,$D42)</f>
        <v>0</v>
      </c>
      <c r="N42" s="29">
        <f t="shared" si="2"/>
        <v>55200000</v>
      </c>
      <c r="O42" s="27">
        <f t="shared" si="3"/>
        <v>55200000</v>
      </c>
      <c r="P42" s="29">
        <f t="shared" si="4"/>
        <v>55200000</v>
      </c>
      <c r="Q42" s="33">
        <f>SUMIFS(INDEX(Load,,MATCH('Summarized Source Data'!$B42,Hour,0)),Season,'Summarized Source Data'!$A42,Sector,'Summarized Source Data'!Q$2,TimeOfWeek,$D42)</f>
        <v>10910000</v>
      </c>
      <c r="R42" s="33">
        <f>SUMIFS(INDEX(Load,,MATCH('Summarized Source Data'!$B42,Hour,0)),Season,'Summarized Source Data'!$A42,Sector,'Summarized Source Data'!R$2,TimeOfWeek,$D42)</f>
        <v>10910000</v>
      </c>
      <c r="S42" s="33">
        <f>SUMIFS(INDEX(Load,,MATCH('Summarized Source Data'!$B42,Hour,0)),Season,'Summarized Source Data'!$A42,Sector,'Summarized Source Data'!S$2,TimeOfWeek,$D42)</f>
        <v>10910000</v>
      </c>
      <c r="T42" s="33">
        <f>SUMIFS(INDEX(Load,,MATCH('Summarized Source Data'!$B42,Hour,0)),Season,'Summarized Source Data'!$A42,Sector,'Summarized Source Data'!T$2,TimeOfWeek,$D42)</f>
        <v>10910000</v>
      </c>
      <c r="U42" s="33">
        <f>SUMIFS(INDEX(Load,,MATCH('Summarized Source Data'!$B42,Hour,0)),Season,'Summarized Source Data'!$A42,Sector,'Summarized Source Data'!U$2,TimeOfWeek,$D42)</f>
        <v>10910000</v>
      </c>
      <c r="V42" s="33">
        <f>SUMIFS(INDEX(Load,,MATCH('Summarized Source Data'!$B42,Hour,0)),Season,'Summarized Source Data'!$A42,Sector,'Summarized Source Data'!V$2,TimeOfWeek,$D42)</f>
        <v>10910000</v>
      </c>
      <c r="W42" s="27">
        <f>SUMIFS(INDEX(Load,,MATCH('Summarized Source Data'!$B42,Hour,0)),Season,'Summarized Source Data'!$A42,Sector,'Summarized Source Data'!W$2,Subsector,'Summarized Source Data'!W$3,TimeOfWeek,$D42)</f>
        <v>987000000</v>
      </c>
      <c r="X42" s="29">
        <f t="shared" si="6"/>
        <v>987000000</v>
      </c>
      <c r="Y42" s="29">
        <f t="shared" si="6"/>
        <v>987000000</v>
      </c>
    </row>
    <row r="43" spans="1:25" outlineLevel="1" x14ac:dyDescent="0.3">
      <c r="A43" t="s">
        <v>164</v>
      </c>
      <c r="B43" t="s">
        <v>79</v>
      </c>
      <c r="C43" s="6" t="s">
        <v>155</v>
      </c>
      <c r="D43" t="s">
        <v>49</v>
      </c>
      <c r="E43" s="27">
        <f>SUMIFS(INDEX(Load,,MATCH('Summarized Source Data'!$B43,Hour,0)),Season,'Summarized Source Data'!$A43,Sector,'Summarized Source Data'!E$2,Subsector,'Summarized Source Data'!E$3,TimeOfWeek,$D43)</f>
        <v>0</v>
      </c>
      <c r="F43" s="27">
        <f>SUMIFS(INDEX(Load,,MATCH('Summarized Source Data'!$B43,Hour,0)),Season,'Summarized Source Data'!$A43,Sector,'Summarized Source Data'!F$2,Subsector,'Summarized Source Data'!F$3,TimeOfWeek,$D43)</f>
        <v>36191072</v>
      </c>
      <c r="G43" s="27">
        <f>SUMIFS(INDEX(Load,,MATCH('Summarized Source Data'!$B43,Hour,0)),Season,'Summarized Source Data'!$A43,Sector,'Summarized Source Data'!G$2,Subsector,'Summarized Source Data'!G$3,TimeOfWeek,$D43)</f>
        <v>0</v>
      </c>
      <c r="H43" s="27">
        <f>SUMIFS(INDEX(Load,,MATCH('Summarized Source Data'!$B43,Hour,0)),Season,'Summarized Source Data'!$A43,Sector,'Summarized Source Data'!H$2,Subsector,'Summarized Source Data'!H$3,TimeOfWeek,$D43)</f>
        <v>59700000</v>
      </c>
      <c r="I43" s="27">
        <f t="shared" si="0"/>
        <v>59700000</v>
      </c>
      <c r="J43" s="29">
        <f t="shared" si="1"/>
        <v>59700000</v>
      </c>
      <c r="K43" s="27">
        <f>SUMIFS(INDEX(Load,,MATCH('Summarized Source Data'!$B43,Hour,0)),Season,'Summarized Source Data'!$A43,Sector,'Summarized Source Data'!K$2,Subsector,'Summarized Source Data'!K$3,TimeOfWeek,$D43)</f>
        <v>2710186</v>
      </c>
      <c r="L43" s="27">
        <f>SUMIFS(INDEX(Load,,MATCH('Summarized Source Data'!$B43,Hour,0)),Season,'Summarized Source Data'!$A43,Sector,'Summarized Source Data'!L$2,Subsector,'Summarized Source Data'!L$3,TimeOfWeek,$D43)</f>
        <v>87400000</v>
      </c>
      <c r="M43" s="27">
        <f>SUMIFS(INDEX(Load,,MATCH('Summarized Source Data'!$B43,Hour,0)),Season,'Summarized Source Data'!$A43,Sector,'Summarized Source Data'!M$2,Subsector,'Summarized Source Data'!M$3,TimeOfWeek,$D43)</f>
        <v>0</v>
      </c>
      <c r="N43" s="29">
        <f t="shared" si="2"/>
        <v>59700000</v>
      </c>
      <c r="O43" s="27">
        <f t="shared" si="3"/>
        <v>59700000</v>
      </c>
      <c r="P43" s="29">
        <f t="shared" si="4"/>
        <v>59700000</v>
      </c>
      <c r="Q43" s="33">
        <f>SUMIFS(INDEX(Load,,MATCH('Summarized Source Data'!$B43,Hour,0)),Season,'Summarized Source Data'!$A43,Sector,'Summarized Source Data'!Q$2,TimeOfWeek,$D43)</f>
        <v>13130000</v>
      </c>
      <c r="R43" s="33">
        <f>SUMIFS(INDEX(Load,,MATCH('Summarized Source Data'!$B43,Hour,0)),Season,'Summarized Source Data'!$A43,Sector,'Summarized Source Data'!R$2,TimeOfWeek,$D43)</f>
        <v>13130000</v>
      </c>
      <c r="S43" s="33">
        <f>SUMIFS(INDEX(Load,,MATCH('Summarized Source Data'!$B43,Hour,0)),Season,'Summarized Source Data'!$A43,Sector,'Summarized Source Data'!S$2,TimeOfWeek,$D43)</f>
        <v>13130000</v>
      </c>
      <c r="T43" s="33">
        <f>SUMIFS(INDEX(Load,,MATCH('Summarized Source Data'!$B43,Hour,0)),Season,'Summarized Source Data'!$A43,Sector,'Summarized Source Data'!T$2,TimeOfWeek,$D43)</f>
        <v>13130000</v>
      </c>
      <c r="U43" s="33">
        <f>SUMIFS(INDEX(Load,,MATCH('Summarized Source Data'!$B43,Hour,0)),Season,'Summarized Source Data'!$A43,Sector,'Summarized Source Data'!U$2,TimeOfWeek,$D43)</f>
        <v>13130000</v>
      </c>
      <c r="V43" s="33">
        <f>SUMIFS(INDEX(Load,,MATCH('Summarized Source Data'!$B43,Hour,0)),Season,'Summarized Source Data'!$A43,Sector,'Summarized Source Data'!V$2,TimeOfWeek,$D43)</f>
        <v>13130000</v>
      </c>
      <c r="W43" s="27">
        <f>SUMIFS(INDEX(Load,,MATCH('Summarized Source Data'!$B43,Hour,0)),Season,'Summarized Source Data'!$A43,Sector,'Summarized Source Data'!W$2,Subsector,'Summarized Source Data'!W$3,TimeOfWeek,$D43)</f>
        <v>992000000</v>
      </c>
      <c r="X43" s="29">
        <f t="shared" si="6"/>
        <v>992000000</v>
      </c>
      <c r="Y43" s="29">
        <f t="shared" si="6"/>
        <v>992000000</v>
      </c>
    </row>
    <row r="44" spans="1:25" outlineLevel="1" x14ac:dyDescent="0.3">
      <c r="A44" t="s">
        <v>164</v>
      </c>
      <c r="B44" t="s">
        <v>80</v>
      </c>
      <c r="C44" s="6" t="s">
        <v>156</v>
      </c>
      <c r="D44" t="s">
        <v>49</v>
      </c>
      <c r="E44" s="27">
        <f>SUMIFS(INDEX(Load,,MATCH('Summarized Source Data'!$B44,Hour,0)),Season,'Summarized Source Data'!$A44,Sector,'Summarized Source Data'!E$2,Subsector,'Summarized Source Data'!E$3,TimeOfWeek,$D44)</f>
        <v>0</v>
      </c>
      <c r="F44" s="27">
        <f>SUMIFS(INDEX(Load,,MATCH('Summarized Source Data'!$B44,Hour,0)),Season,'Summarized Source Data'!$A44,Sector,'Summarized Source Data'!F$2,Subsector,'Summarized Source Data'!F$3,TimeOfWeek,$D44)</f>
        <v>36833820</v>
      </c>
      <c r="G44" s="27">
        <f>SUMIFS(INDEX(Load,,MATCH('Summarized Source Data'!$B44,Hour,0)),Season,'Summarized Source Data'!$A44,Sector,'Summarized Source Data'!G$2,Subsector,'Summarized Source Data'!G$3,TimeOfWeek,$D44)</f>
        <v>0</v>
      </c>
      <c r="H44" s="27">
        <f>SUMIFS(INDEX(Load,,MATCH('Summarized Source Data'!$B44,Hour,0)),Season,'Summarized Source Data'!$A44,Sector,'Summarized Source Data'!H$2,Subsector,'Summarized Source Data'!H$3,TimeOfWeek,$D44)</f>
        <v>65900000</v>
      </c>
      <c r="I44" s="27">
        <f t="shared" si="0"/>
        <v>65900000</v>
      </c>
      <c r="J44" s="29">
        <f t="shared" si="1"/>
        <v>65900000</v>
      </c>
      <c r="K44" s="27">
        <f>SUMIFS(INDEX(Load,,MATCH('Summarized Source Data'!$B44,Hour,0)),Season,'Summarized Source Data'!$A44,Sector,'Summarized Source Data'!K$2,Subsector,'Summarized Source Data'!K$3,TimeOfWeek,$D44)</f>
        <v>2515717</v>
      </c>
      <c r="L44" s="27">
        <f>SUMIFS(INDEX(Load,,MATCH('Summarized Source Data'!$B44,Hour,0)),Season,'Summarized Source Data'!$A44,Sector,'Summarized Source Data'!L$2,Subsector,'Summarized Source Data'!L$3,TimeOfWeek,$D44)</f>
        <v>83700000</v>
      </c>
      <c r="M44" s="27">
        <f>SUMIFS(INDEX(Load,,MATCH('Summarized Source Data'!$B44,Hour,0)),Season,'Summarized Source Data'!$A44,Sector,'Summarized Source Data'!M$2,Subsector,'Summarized Source Data'!M$3,TimeOfWeek,$D44)</f>
        <v>0</v>
      </c>
      <c r="N44" s="29">
        <f t="shared" si="2"/>
        <v>65900000</v>
      </c>
      <c r="O44" s="27">
        <f t="shared" si="3"/>
        <v>65900000</v>
      </c>
      <c r="P44" s="29">
        <f t="shared" si="4"/>
        <v>65900000</v>
      </c>
      <c r="Q44" s="33">
        <f>SUMIFS(INDEX(Load,,MATCH('Summarized Source Data'!$B44,Hour,0)),Season,'Summarized Source Data'!$A44,Sector,'Summarized Source Data'!Q$2,TimeOfWeek,$D44)</f>
        <v>14640000</v>
      </c>
      <c r="R44" s="33">
        <f>SUMIFS(INDEX(Load,,MATCH('Summarized Source Data'!$B44,Hour,0)),Season,'Summarized Source Data'!$A44,Sector,'Summarized Source Data'!R$2,TimeOfWeek,$D44)</f>
        <v>14640000</v>
      </c>
      <c r="S44" s="33">
        <f>SUMIFS(INDEX(Load,,MATCH('Summarized Source Data'!$B44,Hour,0)),Season,'Summarized Source Data'!$A44,Sector,'Summarized Source Data'!S$2,TimeOfWeek,$D44)</f>
        <v>14640000</v>
      </c>
      <c r="T44" s="33">
        <f>SUMIFS(INDEX(Load,,MATCH('Summarized Source Data'!$B44,Hour,0)),Season,'Summarized Source Data'!$A44,Sector,'Summarized Source Data'!T$2,TimeOfWeek,$D44)</f>
        <v>14640000</v>
      </c>
      <c r="U44" s="33">
        <f>SUMIFS(INDEX(Load,,MATCH('Summarized Source Data'!$B44,Hour,0)),Season,'Summarized Source Data'!$A44,Sector,'Summarized Source Data'!U$2,TimeOfWeek,$D44)</f>
        <v>14640000</v>
      </c>
      <c r="V44" s="33">
        <f>SUMIFS(INDEX(Load,,MATCH('Summarized Source Data'!$B44,Hour,0)),Season,'Summarized Source Data'!$A44,Sector,'Summarized Source Data'!V$2,TimeOfWeek,$D44)</f>
        <v>14640000</v>
      </c>
      <c r="W44" s="27">
        <f>SUMIFS(INDEX(Load,,MATCH('Summarized Source Data'!$B44,Hour,0)),Season,'Summarized Source Data'!$A44,Sector,'Summarized Source Data'!W$2,Subsector,'Summarized Source Data'!W$3,TimeOfWeek,$D44)</f>
        <v>998000000</v>
      </c>
      <c r="X44" s="29">
        <f t="shared" si="6"/>
        <v>998000000</v>
      </c>
      <c r="Y44" s="29">
        <f t="shared" si="6"/>
        <v>998000000</v>
      </c>
    </row>
    <row r="45" spans="1:25" outlineLevel="1" x14ac:dyDescent="0.3">
      <c r="A45" t="s">
        <v>164</v>
      </c>
      <c r="B45" t="s">
        <v>81</v>
      </c>
      <c r="C45" s="6" t="s">
        <v>157</v>
      </c>
      <c r="D45" t="s">
        <v>49</v>
      </c>
      <c r="E45" s="27">
        <f>SUMIFS(INDEX(Load,,MATCH('Summarized Source Data'!$B45,Hour,0)),Season,'Summarized Source Data'!$A45,Sector,'Summarized Source Data'!E$2,Subsector,'Summarized Source Data'!E$3,TimeOfWeek,$D45)</f>
        <v>0</v>
      </c>
      <c r="F45" s="27">
        <f>SUMIFS(INDEX(Load,,MATCH('Summarized Source Data'!$B45,Hour,0)),Season,'Summarized Source Data'!$A45,Sector,'Summarized Source Data'!F$2,Subsector,'Summarized Source Data'!F$3,TimeOfWeek,$D45)</f>
        <v>35777214</v>
      </c>
      <c r="G45" s="27">
        <f>SUMIFS(INDEX(Load,,MATCH('Summarized Source Data'!$B45,Hour,0)),Season,'Summarized Source Data'!$A45,Sector,'Summarized Source Data'!G$2,Subsector,'Summarized Source Data'!G$3,TimeOfWeek,$D45)</f>
        <v>0</v>
      </c>
      <c r="H45" s="27">
        <f>SUMIFS(INDEX(Load,,MATCH('Summarized Source Data'!$B45,Hour,0)),Season,'Summarized Source Data'!$A45,Sector,'Summarized Source Data'!H$2,Subsector,'Summarized Source Data'!H$3,TimeOfWeek,$D45)</f>
        <v>156900000</v>
      </c>
      <c r="I45" s="27">
        <f t="shared" si="0"/>
        <v>156900000</v>
      </c>
      <c r="J45" s="29">
        <f t="shared" si="1"/>
        <v>156900000</v>
      </c>
      <c r="K45" s="27">
        <f>SUMIFS(INDEX(Load,,MATCH('Summarized Source Data'!$B45,Hour,0)),Season,'Summarized Source Data'!$A45,Sector,'Summarized Source Data'!K$2,Subsector,'Summarized Source Data'!K$3,TimeOfWeek,$D45)</f>
        <v>2653626</v>
      </c>
      <c r="L45" s="27">
        <f>SUMIFS(INDEX(Load,,MATCH('Summarized Source Data'!$B45,Hour,0)),Season,'Summarized Source Data'!$A45,Sector,'Summarized Source Data'!L$2,Subsector,'Summarized Source Data'!L$3,TimeOfWeek,$D45)</f>
        <v>77300000</v>
      </c>
      <c r="M45" s="27">
        <f>SUMIFS(INDEX(Load,,MATCH('Summarized Source Data'!$B45,Hour,0)),Season,'Summarized Source Data'!$A45,Sector,'Summarized Source Data'!M$2,Subsector,'Summarized Source Data'!M$3,TimeOfWeek,$D45)</f>
        <v>0</v>
      </c>
      <c r="N45" s="29">
        <f t="shared" si="2"/>
        <v>156900000</v>
      </c>
      <c r="O45" s="27">
        <f t="shared" si="3"/>
        <v>156900000</v>
      </c>
      <c r="P45" s="29">
        <f t="shared" si="4"/>
        <v>156900000</v>
      </c>
      <c r="Q45" s="33">
        <f>SUMIFS(INDEX(Load,,MATCH('Summarized Source Data'!$B45,Hour,0)),Season,'Summarized Source Data'!$A45,Sector,'Summarized Source Data'!Q$2,TimeOfWeek,$D45)</f>
        <v>14760000</v>
      </c>
      <c r="R45" s="33">
        <f>SUMIFS(INDEX(Load,,MATCH('Summarized Source Data'!$B45,Hour,0)),Season,'Summarized Source Data'!$A45,Sector,'Summarized Source Data'!R$2,TimeOfWeek,$D45)</f>
        <v>14760000</v>
      </c>
      <c r="S45" s="33">
        <f>SUMIFS(INDEX(Load,,MATCH('Summarized Source Data'!$B45,Hour,0)),Season,'Summarized Source Data'!$A45,Sector,'Summarized Source Data'!S$2,TimeOfWeek,$D45)</f>
        <v>14760000</v>
      </c>
      <c r="T45" s="33">
        <f>SUMIFS(INDEX(Load,,MATCH('Summarized Source Data'!$B45,Hour,0)),Season,'Summarized Source Data'!$A45,Sector,'Summarized Source Data'!T$2,TimeOfWeek,$D45)</f>
        <v>14760000</v>
      </c>
      <c r="U45" s="33">
        <f>SUMIFS(INDEX(Load,,MATCH('Summarized Source Data'!$B45,Hour,0)),Season,'Summarized Source Data'!$A45,Sector,'Summarized Source Data'!U$2,TimeOfWeek,$D45)</f>
        <v>14760000</v>
      </c>
      <c r="V45" s="33">
        <f>SUMIFS(INDEX(Load,,MATCH('Summarized Source Data'!$B45,Hour,0)),Season,'Summarized Source Data'!$A45,Sector,'Summarized Source Data'!V$2,TimeOfWeek,$D45)</f>
        <v>14760000</v>
      </c>
      <c r="W45" s="27">
        <f>SUMIFS(INDEX(Load,,MATCH('Summarized Source Data'!$B45,Hour,0)),Season,'Summarized Source Data'!$A45,Sector,'Summarized Source Data'!W$2,Subsector,'Summarized Source Data'!W$3,TimeOfWeek,$D45)</f>
        <v>998000000</v>
      </c>
      <c r="X45" s="29">
        <f t="shared" si="6"/>
        <v>998000000</v>
      </c>
      <c r="Y45" s="29">
        <f t="shared" si="6"/>
        <v>998000000</v>
      </c>
    </row>
    <row r="46" spans="1:25" outlineLevel="1" x14ac:dyDescent="0.3">
      <c r="A46" t="s">
        <v>164</v>
      </c>
      <c r="B46" t="s">
        <v>82</v>
      </c>
      <c r="C46" s="6" t="s">
        <v>158</v>
      </c>
      <c r="D46" t="s">
        <v>49</v>
      </c>
      <c r="E46" s="27">
        <f>SUMIFS(INDEX(Load,,MATCH('Summarized Source Data'!$B46,Hour,0)),Season,'Summarized Source Data'!$A46,Sector,'Summarized Source Data'!E$2,Subsector,'Summarized Source Data'!E$3,TimeOfWeek,$D46)</f>
        <v>0</v>
      </c>
      <c r="F46" s="27">
        <f>SUMIFS(INDEX(Load,,MATCH('Summarized Source Data'!$B46,Hour,0)),Season,'Summarized Source Data'!$A46,Sector,'Summarized Source Data'!F$2,Subsector,'Summarized Source Data'!F$3,TimeOfWeek,$D46)</f>
        <v>32829294</v>
      </c>
      <c r="G46" s="27">
        <f>SUMIFS(INDEX(Load,,MATCH('Summarized Source Data'!$B46,Hour,0)),Season,'Summarized Source Data'!$A46,Sector,'Summarized Source Data'!G$2,Subsector,'Summarized Source Data'!G$3,TimeOfWeek,$D46)</f>
        <v>0</v>
      </c>
      <c r="H46" s="27">
        <f>SUMIFS(INDEX(Load,,MATCH('Summarized Source Data'!$B46,Hour,0)),Season,'Summarized Source Data'!$A46,Sector,'Summarized Source Data'!H$2,Subsector,'Summarized Source Data'!H$3,TimeOfWeek,$D46)</f>
        <v>259100000</v>
      </c>
      <c r="I46" s="27">
        <f t="shared" si="0"/>
        <v>259100000</v>
      </c>
      <c r="J46" s="29">
        <f t="shared" si="1"/>
        <v>259100000</v>
      </c>
      <c r="K46" s="27">
        <f>SUMIFS(INDEX(Load,,MATCH('Summarized Source Data'!$B46,Hour,0)),Season,'Summarized Source Data'!$A46,Sector,'Summarized Source Data'!K$2,Subsector,'Summarized Source Data'!K$3,TimeOfWeek,$D46)</f>
        <v>3044454</v>
      </c>
      <c r="L46" s="27">
        <f>SUMIFS(INDEX(Load,,MATCH('Summarized Source Data'!$B46,Hour,0)),Season,'Summarized Source Data'!$A46,Sector,'Summarized Source Data'!L$2,Subsector,'Summarized Source Data'!L$3,TimeOfWeek,$D46)</f>
        <v>69700000</v>
      </c>
      <c r="M46" s="27">
        <f>SUMIFS(INDEX(Load,,MATCH('Summarized Source Data'!$B46,Hour,0)),Season,'Summarized Source Data'!$A46,Sector,'Summarized Source Data'!M$2,Subsector,'Summarized Source Data'!M$3,TimeOfWeek,$D46)</f>
        <v>0</v>
      </c>
      <c r="N46" s="29">
        <f t="shared" si="2"/>
        <v>259100000</v>
      </c>
      <c r="O46" s="27">
        <f t="shared" si="3"/>
        <v>259100000</v>
      </c>
      <c r="P46" s="29">
        <f t="shared" si="4"/>
        <v>259100000</v>
      </c>
      <c r="Q46" s="33">
        <f>SUMIFS(INDEX(Load,,MATCH('Summarized Source Data'!$B46,Hour,0)),Season,'Summarized Source Data'!$A46,Sector,'Summarized Source Data'!Q$2,TimeOfWeek,$D46)</f>
        <v>13370000</v>
      </c>
      <c r="R46" s="33">
        <f>SUMIFS(INDEX(Load,,MATCH('Summarized Source Data'!$B46,Hour,0)),Season,'Summarized Source Data'!$A46,Sector,'Summarized Source Data'!R$2,TimeOfWeek,$D46)</f>
        <v>13370000</v>
      </c>
      <c r="S46" s="33">
        <f>SUMIFS(INDEX(Load,,MATCH('Summarized Source Data'!$B46,Hour,0)),Season,'Summarized Source Data'!$A46,Sector,'Summarized Source Data'!S$2,TimeOfWeek,$D46)</f>
        <v>13370000</v>
      </c>
      <c r="T46" s="33">
        <f>SUMIFS(INDEX(Load,,MATCH('Summarized Source Data'!$B46,Hour,0)),Season,'Summarized Source Data'!$A46,Sector,'Summarized Source Data'!T$2,TimeOfWeek,$D46)</f>
        <v>13370000</v>
      </c>
      <c r="U46" s="33">
        <f>SUMIFS(INDEX(Load,,MATCH('Summarized Source Data'!$B46,Hour,0)),Season,'Summarized Source Data'!$A46,Sector,'Summarized Source Data'!U$2,TimeOfWeek,$D46)</f>
        <v>13370000</v>
      </c>
      <c r="V46" s="33">
        <f>SUMIFS(INDEX(Load,,MATCH('Summarized Source Data'!$B46,Hour,0)),Season,'Summarized Source Data'!$A46,Sector,'Summarized Source Data'!V$2,TimeOfWeek,$D46)</f>
        <v>13370000</v>
      </c>
      <c r="W46" s="27">
        <f>SUMIFS(INDEX(Load,,MATCH('Summarized Source Data'!$B46,Hour,0)),Season,'Summarized Source Data'!$A46,Sector,'Summarized Source Data'!W$2,Subsector,'Summarized Source Data'!W$3,TimeOfWeek,$D46)</f>
        <v>995000000</v>
      </c>
      <c r="X46" s="29">
        <f t="shared" si="6"/>
        <v>995000000</v>
      </c>
      <c r="Y46" s="29">
        <f t="shared" si="6"/>
        <v>995000000</v>
      </c>
    </row>
    <row r="47" spans="1:25" outlineLevel="1" x14ac:dyDescent="0.3">
      <c r="A47" t="s">
        <v>164</v>
      </c>
      <c r="B47" t="s">
        <v>83</v>
      </c>
      <c r="C47" s="6" t="s">
        <v>159</v>
      </c>
      <c r="D47" t="s">
        <v>49</v>
      </c>
      <c r="E47" s="27">
        <f>SUMIFS(INDEX(Load,,MATCH('Summarized Source Data'!$B47,Hour,0)),Season,'Summarized Source Data'!$A47,Sector,'Summarized Source Data'!E$2,Subsector,'Summarized Source Data'!E$3,TimeOfWeek,$D47)</f>
        <v>0</v>
      </c>
      <c r="F47" s="27">
        <f>SUMIFS(INDEX(Load,,MATCH('Summarized Source Data'!$B47,Hour,0)),Season,'Summarized Source Data'!$A47,Sector,'Summarized Source Data'!F$2,Subsector,'Summarized Source Data'!F$3,TimeOfWeek,$D47)</f>
        <v>27648218</v>
      </c>
      <c r="G47" s="27">
        <f>SUMIFS(INDEX(Load,,MATCH('Summarized Source Data'!$B47,Hour,0)),Season,'Summarized Source Data'!$A47,Sector,'Summarized Source Data'!G$2,Subsector,'Summarized Source Data'!G$3,TimeOfWeek,$D47)</f>
        <v>0</v>
      </c>
      <c r="H47" s="27">
        <f>SUMIFS(INDEX(Load,,MATCH('Summarized Source Data'!$B47,Hour,0)),Season,'Summarized Source Data'!$A47,Sector,'Summarized Source Data'!H$2,Subsector,'Summarized Source Data'!H$3,TimeOfWeek,$D47)</f>
        <v>278800000</v>
      </c>
      <c r="I47" s="27">
        <f t="shared" si="0"/>
        <v>278800000</v>
      </c>
      <c r="J47" s="29">
        <f t="shared" si="1"/>
        <v>278800000</v>
      </c>
      <c r="K47" s="27">
        <f>SUMIFS(INDEX(Load,,MATCH('Summarized Source Data'!$B47,Hour,0)),Season,'Summarized Source Data'!$A47,Sector,'Summarized Source Data'!K$2,Subsector,'Summarized Source Data'!K$3,TimeOfWeek,$D47)</f>
        <v>3613474</v>
      </c>
      <c r="L47" s="27">
        <f>SUMIFS(INDEX(Load,,MATCH('Summarized Source Data'!$B47,Hour,0)),Season,'Summarized Source Data'!$A47,Sector,'Summarized Source Data'!L$2,Subsector,'Summarized Source Data'!L$3,TimeOfWeek,$D47)</f>
        <v>60600000</v>
      </c>
      <c r="M47" s="27">
        <f>SUMIFS(INDEX(Load,,MATCH('Summarized Source Data'!$B47,Hour,0)),Season,'Summarized Source Data'!$A47,Sector,'Summarized Source Data'!M$2,Subsector,'Summarized Source Data'!M$3,TimeOfWeek,$D47)</f>
        <v>0</v>
      </c>
      <c r="N47" s="29">
        <f t="shared" si="2"/>
        <v>278800000</v>
      </c>
      <c r="O47" s="27">
        <f t="shared" si="3"/>
        <v>278800000</v>
      </c>
      <c r="P47" s="29">
        <f t="shared" si="4"/>
        <v>278800000</v>
      </c>
      <c r="Q47" s="33">
        <f>SUMIFS(INDEX(Load,,MATCH('Summarized Source Data'!$B47,Hour,0)),Season,'Summarized Source Data'!$A47,Sector,'Summarized Source Data'!Q$2,TimeOfWeek,$D47)</f>
        <v>11060000</v>
      </c>
      <c r="R47" s="33">
        <f>SUMIFS(INDEX(Load,,MATCH('Summarized Source Data'!$B47,Hour,0)),Season,'Summarized Source Data'!$A47,Sector,'Summarized Source Data'!R$2,TimeOfWeek,$D47)</f>
        <v>11060000</v>
      </c>
      <c r="S47" s="33">
        <f>SUMIFS(INDEX(Load,,MATCH('Summarized Source Data'!$B47,Hour,0)),Season,'Summarized Source Data'!$A47,Sector,'Summarized Source Data'!S$2,TimeOfWeek,$D47)</f>
        <v>11060000</v>
      </c>
      <c r="T47" s="33">
        <f>SUMIFS(INDEX(Load,,MATCH('Summarized Source Data'!$B47,Hour,0)),Season,'Summarized Source Data'!$A47,Sector,'Summarized Source Data'!T$2,TimeOfWeek,$D47)</f>
        <v>11060000</v>
      </c>
      <c r="U47" s="33">
        <f>SUMIFS(INDEX(Load,,MATCH('Summarized Source Data'!$B47,Hour,0)),Season,'Summarized Source Data'!$A47,Sector,'Summarized Source Data'!U$2,TimeOfWeek,$D47)</f>
        <v>11060000</v>
      </c>
      <c r="V47" s="33">
        <f>SUMIFS(INDEX(Load,,MATCH('Summarized Source Data'!$B47,Hour,0)),Season,'Summarized Source Data'!$A47,Sector,'Summarized Source Data'!V$2,TimeOfWeek,$D47)</f>
        <v>11060000</v>
      </c>
      <c r="W47" s="27">
        <f>SUMIFS(INDEX(Load,,MATCH('Summarized Source Data'!$B47,Hour,0)),Season,'Summarized Source Data'!$A47,Sector,'Summarized Source Data'!W$2,Subsector,'Summarized Source Data'!W$3,TimeOfWeek,$D47)</f>
        <v>992000000</v>
      </c>
      <c r="X47" s="29">
        <f t="shared" si="6"/>
        <v>992000000</v>
      </c>
      <c r="Y47" s="29">
        <f t="shared" si="6"/>
        <v>992000000</v>
      </c>
    </row>
    <row r="48" spans="1:25" outlineLevel="1" x14ac:dyDescent="0.3">
      <c r="A48" t="s">
        <v>164</v>
      </c>
      <c r="B48" t="s">
        <v>84</v>
      </c>
      <c r="C48" s="6" t="s">
        <v>160</v>
      </c>
      <c r="D48" t="s">
        <v>49</v>
      </c>
      <c r="E48" s="27">
        <f>SUMIFS(INDEX(Load,,MATCH('Summarized Source Data'!$B48,Hour,0)),Season,'Summarized Source Data'!$A48,Sector,'Summarized Source Data'!E$2,Subsector,'Summarized Source Data'!E$3,TimeOfWeek,$D48)</f>
        <v>0</v>
      </c>
      <c r="F48" s="27">
        <f>SUMIFS(INDEX(Load,,MATCH('Summarized Source Data'!$B48,Hour,0)),Season,'Summarized Source Data'!$A48,Sector,'Summarized Source Data'!F$2,Subsector,'Summarized Source Data'!F$3,TimeOfWeek,$D48)</f>
        <v>21599525</v>
      </c>
      <c r="G48" s="27">
        <f>SUMIFS(INDEX(Load,,MATCH('Summarized Source Data'!$B48,Hour,0)),Season,'Summarized Source Data'!$A48,Sector,'Summarized Source Data'!G$2,Subsector,'Summarized Source Data'!G$3,TimeOfWeek,$D48)</f>
        <v>0</v>
      </c>
      <c r="H48" s="27">
        <f>SUMIFS(INDEX(Load,,MATCH('Summarized Source Data'!$B48,Hour,0)),Season,'Summarized Source Data'!$A48,Sector,'Summarized Source Data'!H$2,Subsector,'Summarized Source Data'!H$3,TimeOfWeek,$D48)</f>
        <v>283300000</v>
      </c>
      <c r="I48" s="27">
        <f t="shared" si="0"/>
        <v>283300000</v>
      </c>
      <c r="J48" s="29">
        <f t="shared" si="1"/>
        <v>283300000</v>
      </c>
      <c r="K48" s="27">
        <f>SUMIFS(INDEX(Load,,MATCH('Summarized Source Data'!$B48,Hour,0)),Season,'Summarized Source Data'!$A48,Sector,'Summarized Source Data'!K$2,Subsector,'Summarized Source Data'!K$3,TimeOfWeek,$D48)</f>
        <v>4411906</v>
      </c>
      <c r="L48" s="27">
        <f>SUMIFS(INDEX(Load,,MATCH('Summarized Source Data'!$B48,Hour,0)),Season,'Summarized Source Data'!$A48,Sector,'Summarized Source Data'!L$2,Subsector,'Summarized Source Data'!L$3,TimeOfWeek,$D48)</f>
        <v>52400000</v>
      </c>
      <c r="M48" s="27">
        <f>SUMIFS(INDEX(Load,,MATCH('Summarized Source Data'!$B48,Hour,0)),Season,'Summarized Source Data'!$A48,Sector,'Summarized Source Data'!M$2,Subsector,'Summarized Source Data'!M$3,TimeOfWeek,$D48)</f>
        <v>0</v>
      </c>
      <c r="N48" s="29">
        <f t="shared" si="2"/>
        <v>283300000</v>
      </c>
      <c r="O48" s="27">
        <f t="shared" si="3"/>
        <v>283300000</v>
      </c>
      <c r="P48" s="29">
        <f t="shared" si="4"/>
        <v>283300000</v>
      </c>
      <c r="Q48" s="33">
        <f>SUMIFS(INDEX(Load,,MATCH('Summarized Source Data'!$B48,Hour,0)),Season,'Summarized Source Data'!$A48,Sector,'Summarized Source Data'!Q$2,TimeOfWeek,$D48)</f>
        <v>10910000</v>
      </c>
      <c r="R48" s="33">
        <f>SUMIFS(INDEX(Load,,MATCH('Summarized Source Data'!$B48,Hour,0)),Season,'Summarized Source Data'!$A48,Sector,'Summarized Source Data'!R$2,TimeOfWeek,$D48)</f>
        <v>10910000</v>
      </c>
      <c r="S48" s="33">
        <f>SUMIFS(INDEX(Load,,MATCH('Summarized Source Data'!$B48,Hour,0)),Season,'Summarized Source Data'!$A48,Sector,'Summarized Source Data'!S$2,TimeOfWeek,$D48)</f>
        <v>10910000</v>
      </c>
      <c r="T48" s="33">
        <f>SUMIFS(INDEX(Load,,MATCH('Summarized Source Data'!$B48,Hour,0)),Season,'Summarized Source Data'!$A48,Sector,'Summarized Source Data'!T$2,TimeOfWeek,$D48)</f>
        <v>10910000</v>
      </c>
      <c r="U48" s="33">
        <f>SUMIFS(INDEX(Load,,MATCH('Summarized Source Data'!$B48,Hour,0)),Season,'Summarized Source Data'!$A48,Sector,'Summarized Source Data'!U$2,TimeOfWeek,$D48)</f>
        <v>10910000</v>
      </c>
      <c r="V48" s="33">
        <f>SUMIFS(INDEX(Load,,MATCH('Summarized Source Data'!$B48,Hour,0)),Season,'Summarized Source Data'!$A48,Sector,'Summarized Source Data'!V$2,TimeOfWeek,$D48)</f>
        <v>10910000</v>
      </c>
      <c r="W48" s="27">
        <f>SUMIFS(INDEX(Load,,MATCH('Summarized Source Data'!$B48,Hour,0)),Season,'Summarized Source Data'!$A48,Sector,'Summarized Source Data'!W$2,Subsector,'Summarized Source Data'!W$3,TimeOfWeek,$D48)</f>
        <v>989000000</v>
      </c>
      <c r="X48" s="29">
        <f t="shared" si="6"/>
        <v>989000000</v>
      </c>
      <c r="Y48" s="29">
        <f t="shared" si="6"/>
        <v>989000000</v>
      </c>
    </row>
    <row r="49" spans="1:25" outlineLevel="1" x14ac:dyDescent="0.3">
      <c r="A49" t="s">
        <v>164</v>
      </c>
      <c r="B49" t="s">
        <v>85</v>
      </c>
      <c r="C49" s="6" t="s">
        <v>161</v>
      </c>
      <c r="D49" t="s">
        <v>49</v>
      </c>
      <c r="E49" s="27">
        <f>SUMIFS(INDEX(Load,,MATCH('Summarized Source Data'!$B49,Hour,0)),Season,'Summarized Source Data'!$A49,Sector,'Summarized Source Data'!E$2,Subsector,'Summarized Source Data'!E$3,TimeOfWeek,$D49)</f>
        <v>0</v>
      </c>
      <c r="F49" s="27">
        <f>SUMIFS(INDEX(Load,,MATCH('Summarized Source Data'!$B49,Hour,0)),Season,'Summarized Source Data'!$A49,Sector,'Summarized Source Data'!F$2,Subsector,'Summarized Source Data'!F$3,TimeOfWeek,$D49)</f>
        <v>16079664</v>
      </c>
      <c r="G49" s="27">
        <f>SUMIFS(INDEX(Load,,MATCH('Summarized Source Data'!$B49,Hour,0)),Season,'Summarized Source Data'!$A49,Sector,'Summarized Source Data'!G$2,Subsector,'Summarized Source Data'!G$3,TimeOfWeek,$D49)</f>
        <v>0</v>
      </c>
      <c r="H49" s="27">
        <f>SUMIFS(INDEX(Load,,MATCH('Summarized Source Data'!$B49,Hour,0)),Season,'Summarized Source Data'!$A49,Sector,'Summarized Source Data'!H$2,Subsector,'Summarized Source Data'!H$3,TimeOfWeek,$D49)</f>
        <v>231900000</v>
      </c>
      <c r="I49" s="27">
        <f t="shared" si="0"/>
        <v>231900000</v>
      </c>
      <c r="J49" s="29">
        <f t="shared" si="1"/>
        <v>231900000</v>
      </c>
      <c r="K49" s="27">
        <f>SUMIFS(INDEX(Load,,MATCH('Summarized Source Data'!$B49,Hour,0)),Season,'Summarized Source Data'!$A49,Sector,'Summarized Source Data'!K$2,Subsector,'Summarized Source Data'!K$3,TimeOfWeek,$D49)</f>
        <v>3787577</v>
      </c>
      <c r="L49" s="27">
        <f>SUMIFS(INDEX(Load,,MATCH('Summarized Source Data'!$B49,Hour,0)),Season,'Summarized Source Data'!$A49,Sector,'Summarized Source Data'!L$2,Subsector,'Summarized Source Data'!L$3,TimeOfWeek,$D49)</f>
        <v>45548775</v>
      </c>
      <c r="M49" s="27">
        <f>SUMIFS(INDEX(Load,,MATCH('Summarized Source Data'!$B49,Hour,0)),Season,'Summarized Source Data'!$A49,Sector,'Summarized Source Data'!M$2,Subsector,'Summarized Source Data'!M$3,TimeOfWeek,$D49)</f>
        <v>0</v>
      </c>
      <c r="N49" s="29">
        <f t="shared" si="2"/>
        <v>231900000</v>
      </c>
      <c r="O49" s="27">
        <f t="shared" si="3"/>
        <v>231900000</v>
      </c>
      <c r="P49" s="29">
        <f t="shared" si="4"/>
        <v>231900000</v>
      </c>
      <c r="Q49" s="33">
        <f>SUMIFS(INDEX(Load,,MATCH('Summarized Source Data'!$B49,Hour,0)),Season,'Summarized Source Data'!$A49,Sector,'Summarized Source Data'!Q$2,TimeOfWeek,$D49)</f>
        <v>10800000</v>
      </c>
      <c r="R49" s="33">
        <f>SUMIFS(INDEX(Load,,MATCH('Summarized Source Data'!$B49,Hour,0)),Season,'Summarized Source Data'!$A49,Sector,'Summarized Source Data'!R$2,TimeOfWeek,$D49)</f>
        <v>10800000</v>
      </c>
      <c r="S49" s="33">
        <f>SUMIFS(INDEX(Load,,MATCH('Summarized Source Data'!$B49,Hour,0)),Season,'Summarized Source Data'!$A49,Sector,'Summarized Source Data'!S$2,TimeOfWeek,$D49)</f>
        <v>10800000</v>
      </c>
      <c r="T49" s="33">
        <f>SUMIFS(INDEX(Load,,MATCH('Summarized Source Data'!$B49,Hour,0)),Season,'Summarized Source Data'!$A49,Sector,'Summarized Source Data'!T$2,TimeOfWeek,$D49)</f>
        <v>10800000</v>
      </c>
      <c r="U49" s="33">
        <f>SUMIFS(INDEX(Load,,MATCH('Summarized Source Data'!$B49,Hour,0)),Season,'Summarized Source Data'!$A49,Sector,'Summarized Source Data'!U$2,TimeOfWeek,$D49)</f>
        <v>10800000</v>
      </c>
      <c r="V49" s="33">
        <f>SUMIFS(INDEX(Load,,MATCH('Summarized Source Data'!$B49,Hour,0)),Season,'Summarized Source Data'!$A49,Sector,'Summarized Source Data'!V$2,TimeOfWeek,$D49)</f>
        <v>10800000</v>
      </c>
      <c r="W49" s="27">
        <f>SUMIFS(INDEX(Load,,MATCH('Summarized Source Data'!$B49,Hour,0)),Season,'Summarized Source Data'!$A49,Sector,'Summarized Source Data'!W$2,Subsector,'Summarized Source Data'!W$3,TimeOfWeek,$D49)</f>
        <v>984000000</v>
      </c>
      <c r="X49" s="29">
        <f t="shared" si="6"/>
        <v>984000000</v>
      </c>
      <c r="Y49" s="29">
        <f t="shared" si="6"/>
        <v>984000000</v>
      </c>
    </row>
    <row r="50" spans="1:25" outlineLevel="1" x14ac:dyDescent="0.3">
      <c r="A50" t="s">
        <v>164</v>
      </c>
      <c r="B50" t="s">
        <v>86</v>
      </c>
      <c r="C50" s="6" t="s">
        <v>162</v>
      </c>
      <c r="D50" t="s">
        <v>49</v>
      </c>
      <c r="E50" s="27">
        <f>SUMIFS(INDEX(Load,,MATCH('Summarized Source Data'!$B50,Hour,0)),Season,'Summarized Source Data'!$A50,Sector,'Summarized Source Data'!E$2,Subsector,'Summarized Source Data'!E$3,TimeOfWeek,$D50)</f>
        <v>0</v>
      </c>
      <c r="F50" s="27">
        <f>SUMIFS(INDEX(Load,,MATCH('Summarized Source Data'!$B50,Hour,0)),Season,'Summarized Source Data'!$A50,Sector,'Summarized Source Data'!F$2,Subsector,'Summarized Source Data'!F$3,TimeOfWeek,$D50)</f>
        <v>11624523</v>
      </c>
      <c r="G50" s="27">
        <f>SUMIFS(INDEX(Load,,MATCH('Summarized Source Data'!$B50,Hour,0)),Season,'Summarized Source Data'!$A50,Sector,'Summarized Source Data'!G$2,Subsector,'Summarized Source Data'!G$3,TimeOfWeek,$D50)</f>
        <v>0</v>
      </c>
      <c r="H50" s="27">
        <f>SUMIFS(INDEX(Load,,MATCH('Summarized Source Data'!$B50,Hour,0)),Season,'Summarized Source Data'!$A50,Sector,'Summarized Source Data'!H$2,Subsector,'Summarized Source Data'!H$3,TimeOfWeek,$D50)</f>
        <v>137800000</v>
      </c>
      <c r="I50" s="27">
        <f t="shared" si="0"/>
        <v>137800000</v>
      </c>
      <c r="J50" s="29">
        <f t="shared" si="1"/>
        <v>137800000</v>
      </c>
      <c r="K50" s="27">
        <f>SUMIFS(INDEX(Load,,MATCH('Summarized Source Data'!$B50,Hour,0)),Season,'Summarized Source Data'!$A50,Sector,'Summarized Source Data'!K$2,Subsector,'Summarized Source Data'!K$3,TimeOfWeek,$D50)</f>
        <v>3273186</v>
      </c>
      <c r="L50" s="27">
        <f>SUMIFS(INDEX(Load,,MATCH('Summarized Source Data'!$B50,Hour,0)),Season,'Summarized Source Data'!$A50,Sector,'Summarized Source Data'!L$2,Subsector,'Summarized Source Data'!L$3,TimeOfWeek,$D50)</f>
        <v>39500067</v>
      </c>
      <c r="M50" s="27">
        <f>SUMIFS(INDEX(Load,,MATCH('Summarized Source Data'!$B50,Hour,0)),Season,'Summarized Source Data'!$A50,Sector,'Summarized Source Data'!M$2,Subsector,'Summarized Source Data'!M$3,TimeOfWeek,$D50)</f>
        <v>0</v>
      </c>
      <c r="N50" s="29">
        <f t="shared" si="2"/>
        <v>137800000</v>
      </c>
      <c r="O50" s="27">
        <f t="shared" si="3"/>
        <v>137800000</v>
      </c>
      <c r="P50" s="29">
        <f t="shared" si="4"/>
        <v>137800000</v>
      </c>
      <c r="Q50" s="33">
        <f>SUMIFS(INDEX(Load,,MATCH('Summarized Source Data'!$B50,Hour,0)),Season,'Summarized Source Data'!$A50,Sector,'Summarized Source Data'!Q$2,TimeOfWeek,$D50)</f>
        <v>10710000</v>
      </c>
      <c r="R50" s="33">
        <f>SUMIFS(INDEX(Load,,MATCH('Summarized Source Data'!$B50,Hour,0)),Season,'Summarized Source Data'!$A50,Sector,'Summarized Source Data'!R$2,TimeOfWeek,$D50)</f>
        <v>10710000</v>
      </c>
      <c r="S50" s="33">
        <f>SUMIFS(INDEX(Load,,MATCH('Summarized Source Data'!$B50,Hour,0)),Season,'Summarized Source Data'!$A50,Sector,'Summarized Source Data'!S$2,TimeOfWeek,$D50)</f>
        <v>10710000</v>
      </c>
      <c r="T50" s="33">
        <f>SUMIFS(INDEX(Load,,MATCH('Summarized Source Data'!$B50,Hour,0)),Season,'Summarized Source Data'!$A50,Sector,'Summarized Source Data'!T$2,TimeOfWeek,$D50)</f>
        <v>10710000</v>
      </c>
      <c r="U50" s="33">
        <f>SUMIFS(INDEX(Load,,MATCH('Summarized Source Data'!$B50,Hour,0)),Season,'Summarized Source Data'!$A50,Sector,'Summarized Source Data'!U$2,TimeOfWeek,$D50)</f>
        <v>10710000</v>
      </c>
      <c r="V50" s="33">
        <f>SUMIFS(INDEX(Load,,MATCH('Summarized Source Data'!$B50,Hour,0)),Season,'Summarized Source Data'!$A50,Sector,'Summarized Source Data'!V$2,TimeOfWeek,$D50)</f>
        <v>10710000</v>
      </c>
      <c r="W50" s="27">
        <f>SUMIFS(INDEX(Load,,MATCH('Summarized Source Data'!$B50,Hour,0)),Season,'Summarized Source Data'!$A50,Sector,'Summarized Source Data'!W$2,Subsector,'Summarized Source Data'!W$3,TimeOfWeek,$D50)</f>
        <v>980000000</v>
      </c>
      <c r="X50" s="29">
        <f t="shared" si="6"/>
        <v>980000000</v>
      </c>
      <c r="Y50" s="29">
        <f t="shared" si="6"/>
        <v>980000000</v>
      </c>
    </row>
    <row r="51" spans="1:25" outlineLevel="1" x14ac:dyDescent="0.3">
      <c r="A51" t="s">
        <v>164</v>
      </c>
      <c r="B51" t="s">
        <v>87</v>
      </c>
      <c r="C51" s="6" t="s">
        <v>163</v>
      </c>
      <c r="D51" t="s">
        <v>49</v>
      </c>
      <c r="E51" s="27">
        <f>SUMIFS(INDEX(Load,,MATCH('Summarized Source Data'!$B51,Hour,0)),Season,'Summarized Source Data'!$A51,Sector,'Summarized Source Data'!E$2,Subsector,'Summarized Source Data'!E$3,TimeOfWeek,$D51)</f>
        <v>0</v>
      </c>
      <c r="F51" s="27">
        <f>SUMIFS(INDEX(Load,,MATCH('Summarized Source Data'!$B51,Hour,0)),Season,'Summarized Source Data'!$A51,Sector,'Summarized Source Data'!F$2,Subsector,'Summarized Source Data'!F$3,TimeOfWeek,$D51)</f>
        <v>8580258</v>
      </c>
      <c r="G51" s="27">
        <f>SUMIFS(INDEX(Load,,MATCH('Summarized Source Data'!$B51,Hour,0)),Season,'Summarized Source Data'!$A51,Sector,'Summarized Source Data'!G$2,Subsector,'Summarized Source Data'!G$3,TimeOfWeek,$D51)</f>
        <v>0</v>
      </c>
      <c r="H51" s="27">
        <f>SUMIFS(INDEX(Load,,MATCH('Summarized Source Data'!$B51,Hour,0)),Season,'Summarized Source Data'!$A51,Sector,'Summarized Source Data'!H$2,Subsector,'Summarized Source Data'!H$3,TimeOfWeek,$D51)</f>
        <v>72500000</v>
      </c>
      <c r="I51" s="27">
        <f t="shared" si="0"/>
        <v>72500000</v>
      </c>
      <c r="J51" s="29">
        <f t="shared" si="1"/>
        <v>72500000</v>
      </c>
      <c r="K51" s="27">
        <f>SUMIFS(INDEX(Load,,MATCH('Summarized Source Data'!$B51,Hour,0)),Season,'Summarized Source Data'!$A51,Sector,'Summarized Source Data'!K$2,Subsector,'Summarized Source Data'!K$3,TimeOfWeek,$D51)</f>
        <v>2965820</v>
      </c>
      <c r="L51" s="27">
        <f>SUMIFS(INDEX(Load,,MATCH('Summarized Source Data'!$B51,Hour,0)),Season,'Summarized Source Data'!$A51,Sector,'Summarized Source Data'!L$2,Subsector,'Summarized Source Data'!L$3,TimeOfWeek,$D51)</f>
        <v>33673078</v>
      </c>
      <c r="M51" s="27">
        <f>SUMIFS(INDEX(Load,,MATCH('Summarized Source Data'!$B51,Hour,0)),Season,'Summarized Source Data'!$A51,Sector,'Summarized Source Data'!M$2,Subsector,'Summarized Source Data'!M$3,TimeOfWeek,$D51)</f>
        <v>0</v>
      </c>
      <c r="N51" s="29">
        <f t="shared" si="2"/>
        <v>72500000</v>
      </c>
      <c r="O51" s="27">
        <f t="shared" si="3"/>
        <v>72500000</v>
      </c>
      <c r="P51" s="29">
        <f t="shared" si="4"/>
        <v>72500000</v>
      </c>
      <c r="Q51" s="33">
        <f>SUMIFS(INDEX(Load,,MATCH('Summarized Source Data'!$B51,Hour,0)),Season,'Summarized Source Data'!$A51,Sector,'Summarized Source Data'!Q$2,TimeOfWeek,$D51)</f>
        <v>7190000</v>
      </c>
      <c r="R51" s="33">
        <f>SUMIFS(INDEX(Load,,MATCH('Summarized Source Data'!$B51,Hour,0)),Season,'Summarized Source Data'!$A51,Sector,'Summarized Source Data'!R$2,TimeOfWeek,$D51)</f>
        <v>7190000</v>
      </c>
      <c r="S51" s="33">
        <f>SUMIFS(INDEX(Load,,MATCH('Summarized Source Data'!$B51,Hour,0)),Season,'Summarized Source Data'!$A51,Sector,'Summarized Source Data'!S$2,TimeOfWeek,$D51)</f>
        <v>7190000</v>
      </c>
      <c r="T51" s="33">
        <f>SUMIFS(INDEX(Load,,MATCH('Summarized Source Data'!$B51,Hour,0)),Season,'Summarized Source Data'!$A51,Sector,'Summarized Source Data'!T$2,TimeOfWeek,$D51)</f>
        <v>7190000</v>
      </c>
      <c r="U51" s="33">
        <f>SUMIFS(INDEX(Load,,MATCH('Summarized Source Data'!$B51,Hour,0)),Season,'Summarized Source Data'!$A51,Sector,'Summarized Source Data'!U$2,TimeOfWeek,$D51)</f>
        <v>7190000</v>
      </c>
      <c r="V51" s="33">
        <f>SUMIFS(INDEX(Load,,MATCH('Summarized Source Data'!$B51,Hour,0)),Season,'Summarized Source Data'!$A51,Sector,'Summarized Source Data'!V$2,TimeOfWeek,$D51)</f>
        <v>7190000</v>
      </c>
      <c r="W51" s="27">
        <f>SUMIFS(INDEX(Load,,MATCH('Summarized Source Data'!$B51,Hour,0)),Season,'Summarized Source Data'!$A51,Sector,'Summarized Source Data'!W$2,Subsector,'Summarized Source Data'!W$3,TimeOfWeek,$D51)</f>
        <v>977000000</v>
      </c>
      <c r="X51" s="29">
        <f t="shared" si="6"/>
        <v>977000000</v>
      </c>
      <c r="Y51" s="29">
        <f t="shared" si="6"/>
        <v>977000000</v>
      </c>
    </row>
    <row r="52" spans="1:25" outlineLevel="1" x14ac:dyDescent="0.3">
      <c r="A52" t="s">
        <v>165</v>
      </c>
      <c r="B52" t="s">
        <v>64</v>
      </c>
      <c r="C52" s="6" t="s">
        <v>140</v>
      </c>
      <c r="D52" t="s">
        <v>49</v>
      </c>
      <c r="E52" s="27">
        <f>SUMIFS(INDEX(Load,,MATCH('Summarized Source Data'!$B52,Hour,0)),Season,'Summarized Source Data'!$A52,Sector,'Summarized Source Data'!E$2,Subsector,'Summarized Source Data'!E$3,TimeOfWeek,$D52)</f>
        <v>0</v>
      </c>
      <c r="F52" s="27">
        <f>SUMIFS(INDEX(Load,,MATCH('Summarized Source Data'!$B52,Hour,0)),Season,'Summarized Source Data'!$A52,Sector,'Summarized Source Data'!F$2,Subsector,'Summarized Source Data'!F$3,TimeOfWeek,$D52)</f>
        <v>13581205</v>
      </c>
      <c r="G52" s="27">
        <f>SUMIFS(INDEX(Load,,MATCH('Summarized Source Data'!$B52,Hour,0)),Season,'Summarized Source Data'!$A52,Sector,'Summarized Source Data'!G$2,Subsector,'Summarized Source Data'!G$3,TimeOfWeek,$D52)</f>
        <v>0</v>
      </c>
      <c r="H52" s="27">
        <f>SUMIFS(INDEX(Load,,MATCH('Summarized Source Data'!$B52,Hour,0)),Season,'Summarized Source Data'!$A52,Sector,'Summarized Source Data'!H$2,Subsector,'Summarized Source Data'!H$3,TimeOfWeek,$D52)</f>
        <v>50400000</v>
      </c>
      <c r="I52" s="27">
        <f t="shared" si="0"/>
        <v>50400000</v>
      </c>
      <c r="J52" s="29">
        <f t="shared" si="1"/>
        <v>50400000</v>
      </c>
      <c r="K52" s="27">
        <f>SUMIFS(INDEX(Load,,MATCH('Summarized Source Data'!$B52,Hour,0)),Season,'Summarized Source Data'!$A52,Sector,'Summarized Source Data'!K$2,Subsector,'Summarized Source Data'!K$3,TimeOfWeek,$D52)</f>
        <v>3645177</v>
      </c>
      <c r="L52" s="27">
        <f>SUMIFS(INDEX(Load,,MATCH('Summarized Source Data'!$B52,Hour,0)),Season,'Summarized Source Data'!$A52,Sector,'Summarized Source Data'!L$2,Subsector,'Summarized Source Data'!L$3,TimeOfWeek,$D52)</f>
        <v>40700000</v>
      </c>
      <c r="M52" s="27">
        <f>SUMIFS(INDEX(Load,,MATCH('Summarized Source Data'!$B52,Hour,0)),Season,'Summarized Source Data'!$A52,Sector,'Summarized Source Data'!M$2,Subsector,'Summarized Source Data'!M$3,TimeOfWeek,$D52)</f>
        <v>0</v>
      </c>
      <c r="N52" s="29">
        <f t="shared" si="2"/>
        <v>50400000</v>
      </c>
      <c r="O52" s="27">
        <f t="shared" si="3"/>
        <v>50400000</v>
      </c>
      <c r="P52" s="29">
        <f t="shared" si="4"/>
        <v>50400000</v>
      </c>
      <c r="Q52" s="33">
        <f>SUMIFS(INDEX(Load,,MATCH('Summarized Source Data'!$B52,Hour,0)),Season,'Summarized Source Data'!$A52,Sector,'Summarized Source Data'!Q$2,TimeOfWeek,$D52)</f>
        <v>4630000</v>
      </c>
      <c r="R52" s="33">
        <f>SUMIFS(INDEX(Load,,MATCH('Summarized Source Data'!$B52,Hour,0)),Season,'Summarized Source Data'!$A52,Sector,'Summarized Source Data'!R$2,TimeOfWeek,$D52)</f>
        <v>4630000</v>
      </c>
      <c r="S52" s="33">
        <f>SUMIFS(INDEX(Load,,MATCH('Summarized Source Data'!$B52,Hour,0)),Season,'Summarized Source Data'!$A52,Sector,'Summarized Source Data'!S$2,TimeOfWeek,$D52)</f>
        <v>4630000</v>
      </c>
      <c r="T52" s="33">
        <f>SUMIFS(INDEX(Load,,MATCH('Summarized Source Data'!$B52,Hour,0)),Season,'Summarized Source Data'!$A52,Sector,'Summarized Source Data'!T$2,TimeOfWeek,$D52)</f>
        <v>4630000</v>
      </c>
      <c r="U52" s="33">
        <f>SUMIFS(INDEX(Load,,MATCH('Summarized Source Data'!$B52,Hour,0)),Season,'Summarized Source Data'!$A52,Sector,'Summarized Source Data'!U$2,TimeOfWeek,$D52)</f>
        <v>4630000</v>
      </c>
      <c r="V52" s="33">
        <f>SUMIFS(INDEX(Load,,MATCH('Summarized Source Data'!$B52,Hour,0)),Season,'Summarized Source Data'!$A52,Sector,'Summarized Source Data'!V$2,TimeOfWeek,$D52)</f>
        <v>4630000</v>
      </c>
      <c r="W52" s="27">
        <f>SUMIFS(INDEX(Load,,MATCH('Summarized Source Data'!$B52,Hour,0)),Season,'Summarized Source Data'!$A52,Sector,'Summarized Source Data'!W$2,Subsector,'Summarized Source Data'!W$3,TimeOfWeek,$D52)</f>
        <v>970000000</v>
      </c>
      <c r="X52" s="29">
        <f t="shared" si="6"/>
        <v>970000000</v>
      </c>
      <c r="Y52" s="29">
        <f t="shared" si="6"/>
        <v>970000000</v>
      </c>
    </row>
    <row r="53" spans="1:25" outlineLevel="1" x14ac:dyDescent="0.3">
      <c r="A53" t="s">
        <v>165</v>
      </c>
      <c r="B53" t="s">
        <v>65</v>
      </c>
      <c r="C53" s="6" t="s">
        <v>141</v>
      </c>
      <c r="D53" t="s">
        <v>49</v>
      </c>
      <c r="E53" s="27">
        <f>SUMIFS(INDEX(Load,,MATCH('Summarized Source Data'!$B53,Hour,0)),Season,'Summarized Source Data'!$A53,Sector,'Summarized Source Data'!E$2,Subsector,'Summarized Source Data'!E$3,TimeOfWeek,$D53)</f>
        <v>0</v>
      </c>
      <c r="F53" s="27">
        <f>SUMIFS(INDEX(Load,,MATCH('Summarized Source Data'!$B53,Hour,0)),Season,'Summarized Source Data'!$A53,Sector,'Summarized Source Data'!F$2,Subsector,'Summarized Source Data'!F$3,TimeOfWeek,$D53)</f>
        <v>12079116</v>
      </c>
      <c r="G53" s="27">
        <f>SUMIFS(INDEX(Load,,MATCH('Summarized Source Data'!$B53,Hour,0)),Season,'Summarized Source Data'!$A53,Sector,'Summarized Source Data'!G$2,Subsector,'Summarized Source Data'!G$3,TimeOfWeek,$D53)</f>
        <v>0</v>
      </c>
      <c r="H53" s="27">
        <f>SUMIFS(INDEX(Load,,MATCH('Summarized Source Data'!$B53,Hour,0)),Season,'Summarized Source Data'!$A53,Sector,'Summarized Source Data'!H$2,Subsector,'Summarized Source Data'!H$3,TimeOfWeek,$D53)</f>
        <v>46500000</v>
      </c>
      <c r="I53" s="27">
        <f t="shared" si="0"/>
        <v>46500000</v>
      </c>
      <c r="J53" s="29">
        <f t="shared" si="1"/>
        <v>46500000</v>
      </c>
      <c r="K53" s="27">
        <f>SUMIFS(INDEX(Load,,MATCH('Summarized Source Data'!$B53,Hour,0)),Season,'Summarized Source Data'!$A53,Sector,'Summarized Source Data'!K$2,Subsector,'Summarized Source Data'!K$3,TimeOfWeek,$D53)</f>
        <v>3714212</v>
      </c>
      <c r="L53" s="27">
        <f>SUMIFS(INDEX(Load,,MATCH('Summarized Source Data'!$B53,Hour,0)),Season,'Summarized Source Data'!$A53,Sector,'Summarized Source Data'!L$2,Subsector,'Summarized Source Data'!L$3,TimeOfWeek,$D53)</f>
        <v>37800000</v>
      </c>
      <c r="M53" s="27">
        <f>SUMIFS(INDEX(Load,,MATCH('Summarized Source Data'!$B53,Hour,0)),Season,'Summarized Source Data'!$A53,Sector,'Summarized Source Data'!M$2,Subsector,'Summarized Source Data'!M$3,TimeOfWeek,$D53)</f>
        <v>0</v>
      </c>
      <c r="N53" s="29">
        <f t="shared" si="2"/>
        <v>46500000</v>
      </c>
      <c r="O53" s="27">
        <f t="shared" si="3"/>
        <v>46500000</v>
      </c>
      <c r="P53" s="29">
        <f t="shared" si="4"/>
        <v>46500000</v>
      </c>
      <c r="Q53" s="33">
        <f>SUMIFS(INDEX(Load,,MATCH('Summarized Source Data'!$B53,Hour,0)),Season,'Summarized Source Data'!$A53,Sector,'Summarized Source Data'!Q$2,TimeOfWeek,$D53)</f>
        <v>4630000</v>
      </c>
      <c r="R53" s="33">
        <f>SUMIFS(INDEX(Load,,MATCH('Summarized Source Data'!$B53,Hour,0)),Season,'Summarized Source Data'!$A53,Sector,'Summarized Source Data'!R$2,TimeOfWeek,$D53)</f>
        <v>4630000</v>
      </c>
      <c r="S53" s="33">
        <f>SUMIFS(INDEX(Load,,MATCH('Summarized Source Data'!$B53,Hour,0)),Season,'Summarized Source Data'!$A53,Sector,'Summarized Source Data'!S$2,TimeOfWeek,$D53)</f>
        <v>4630000</v>
      </c>
      <c r="T53" s="33">
        <f>SUMIFS(INDEX(Load,,MATCH('Summarized Source Data'!$B53,Hour,0)),Season,'Summarized Source Data'!$A53,Sector,'Summarized Source Data'!T$2,TimeOfWeek,$D53)</f>
        <v>4630000</v>
      </c>
      <c r="U53" s="33">
        <f>SUMIFS(INDEX(Load,,MATCH('Summarized Source Data'!$B53,Hour,0)),Season,'Summarized Source Data'!$A53,Sector,'Summarized Source Data'!U$2,TimeOfWeek,$D53)</f>
        <v>4630000</v>
      </c>
      <c r="V53" s="33">
        <f>SUMIFS(INDEX(Load,,MATCH('Summarized Source Data'!$B53,Hour,0)),Season,'Summarized Source Data'!$A53,Sector,'Summarized Source Data'!V$2,TimeOfWeek,$D53)</f>
        <v>4630000</v>
      </c>
      <c r="W53" s="27">
        <f>SUMIFS(INDEX(Load,,MATCH('Summarized Source Data'!$B53,Hour,0)),Season,'Summarized Source Data'!$A53,Sector,'Summarized Source Data'!W$2,Subsector,'Summarized Source Data'!W$3,TimeOfWeek,$D53)</f>
        <v>969000000</v>
      </c>
      <c r="X53" s="29">
        <f t="shared" si="6"/>
        <v>969000000</v>
      </c>
      <c r="Y53" s="29">
        <f t="shared" si="6"/>
        <v>969000000</v>
      </c>
    </row>
    <row r="54" spans="1:25" outlineLevel="1" x14ac:dyDescent="0.3">
      <c r="A54" t="s">
        <v>165</v>
      </c>
      <c r="B54" t="s">
        <v>66</v>
      </c>
      <c r="C54" s="6" t="s">
        <v>142</v>
      </c>
      <c r="D54" t="s">
        <v>49</v>
      </c>
      <c r="E54" s="27">
        <f>SUMIFS(INDEX(Load,,MATCH('Summarized Source Data'!$B54,Hour,0)),Season,'Summarized Source Data'!$A54,Sector,'Summarized Source Data'!E$2,Subsector,'Summarized Source Data'!E$3,TimeOfWeek,$D54)</f>
        <v>0</v>
      </c>
      <c r="F54" s="27">
        <f>SUMIFS(INDEX(Load,,MATCH('Summarized Source Data'!$B54,Hour,0)),Season,'Summarized Source Data'!$A54,Sector,'Summarized Source Data'!F$2,Subsector,'Summarized Source Data'!F$3,TimeOfWeek,$D54)</f>
        <v>11600363</v>
      </c>
      <c r="G54" s="27">
        <f>SUMIFS(INDEX(Load,,MATCH('Summarized Source Data'!$B54,Hour,0)),Season,'Summarized Source Data'!$A54,Sector,'Summarized Source Data'!G$2,Subsector,'Summarized Source Data'!G$3,TimeOfWeek,$D54)</f>
        <v>0</v>
      </c>
      <c r="H54" s="27">
        <f>SUMIFS(INDEX(Load,,MATCH('Summarized Source Data'!$B54,Hour,0)),Season,'Summarized Source Data'!$A54,Sector,'Summarized Source Data'!H$2,Subsector,'Summarized Source Data'!H$3,TimeOfWeek,$D54)</f>
        <v>46100000</v>
      </c>
      <c r="I54" s="27">
        <f t="shared" si="0"/>
        <v>46100000</v>
      </c>
      <c r="J54" s="29">
        <f t="shared" si="1"/>
        <v>46100000</v>
      </c>
      <c r="K54" s="27">
        <f>SUMIFS(INDEX(Load,,MATCH('Summarized Source Data'!$B54,Hour,0)),Season,'Summarized Source Data'!$A54,Sector,'Summarized Source Data'!K$2,Subsector,'Summarized Source Data'!K$3,TimeOfWeek,$D54)</f>
        <v>3842670</v>
      </c>
      <c r="L54" s="27">
        <f>SUMIFS(INDEX(Load,,MATCH('Summarized Source Data'!$B54,Hour,0)),Season,'Summarized Source Data'!$A54,Sector,'Summarized Source Data'!L$2,Subsector,'Summarized Source Data'!L$3,TimeOfWeek,$D54)</f>
        <v>36700000</v>
      </c>
      <c r="M54" s="27">
        <f>SUMIFS(INDEX(Load,,MATCH('Summarized Source Data'!$B54,Hour,0)),Season,'Summarized Source Data'!$A54,Sector,'Summarized Source Data'!M$2,Subsector,'Summarized Source Data'!M$3,TimeOfWeek,$D54)</f>
        <v>0</v>
      </c>
      <c r="N54" s="29">
        <f t="shared" si="2"/>
        <v>46100000</v>
      </c>
      <c r="O54" s="27">
        <f t="shared" si="3"/>
        <v>46100000</v>
      </c>
      <c r="P54" s="29">
        <f t="shared" si="4"/>
        <v>46100000</v>
      </c>
      <c r="Q54" s="33">
        <f>SUMIFS(INDEX(Load,,MATCH('Summarized Source Data'!$B54,Hour,0)),Season,'Summarized Source Data'!$A54,Sector,'Summarized Source Data'!Q$2,TimeOfWeek,$D54)</f>
        <v>4620000</v>
      </c>
      <c r="R54" s="33">
        <f>SUMIFS(INDEX(Load,,MATCH('Summarized Source Data'!$B54,Hour,0)),Season,'Summarized Source Data'!$A54,Sector,'Summarized Source Data'!R$2,TimeOfWeek,$D54)</f>
        <v>4620000</v>
      </c>
      <c r="S54" s="33">
        <f>SUMIFS(INDEX(Load,,MATCH('Summarized Source Data'!$B54,Hour,0)),Season,'Summarized Source Data'!$A54,Sector,'Summarized Source Data'!S$2,TimeOfWeek,$D54)</f>
        <v>4620000</v>
      </c>
      <c r="T54" s="33">
        <f>SUMIFS(INDEX(Load,,MATCH('Summarized Source Data'!$B54,Hour,0)),Season,'Summarized Source Data'!$A54,Sector,'Summarized Source Data'!T$2,TimeOfWeek,$D54)</f>
        <v>4620000</v>
      </c>
      <c r="U54" s="33">
        <f>SUMIFS(INDEX(Load,,MATCH('Summarized Source Data'!$B54,Hour,0)),Season,'Summarized Source Data'!$A54,Sector,'Summarized Source Data'!U$2,TimeOfWeek,$D54)</f>
        <v>4620000</v>
      </c>
      <c r="V54" s="33">
        <f>SUMIFS(INDEX(Load,,MATCH('Summarized Source Data'!$B54,Hour,0)),Season,'Summarized Source Data'!$A54,Sector,'Summarized Source Data'!V$2,TimeOfWeek,$D54)</f>
        <v>4620000</v>
      </c>
      <c r="W54" s="27">
        <f>SUMIFS(INDEX(Load,,MATCH('Summarized Source Data'!$B54,Hour,0)),Season,'Summarized Source Data'!$A54,Sector,'Summarized Source Data'!W$2,Subsector,'Summarized Source Data'!W$3,TimeOfWeek,$D54)</f>
        <v>969000000</v>
      </c>
      <c r="X54" s="29">
        <f t="shared" si="6"/>
        <v>969000000</v>
      </c>
      <c r="Y54" s="29">
        <f t="shared" si="6"/>
        <v>969000000</v>
      </c>
    </row>
    <row r="55" spans="1:25" outlineLevel="1" x14ac:dyDescent="0.3">
      <c r="A55" t="s">
        <v>165</v>
      </c>
      <c r="B55" t="s">
        <v>67</v>
      </c>
      <c r="C55" s="6" t="s">
        <v>143</v>
      </c>
      <c r="D55" t="s">
        <v>49</v>
      </c>
      <c r="E55" s="27">
        <f>SUMIFS(INDEX(Load,,MATCH('Summarized Source Data'!$B55,Hour,0)),Season,'Summarized Source Data'!$A55,Sector,'Summarized Source Data'!E$2,Subsector,'Summarized Source Data'!E$3,TimeOfWeek,$D55)</f>
        <v>0</v>
      </c>
      <c r="F55" s="27">
        <f>SUMIFS(INDEX(Load,,MATCH('Summarized Source Data'!$B55,Hour,0)),Season,'Summarized Source Data'!$A55,Sector,'Summarized Source Data'!F$2,Subsector,'Summarized Source Data'!F$3,TimeOfWeek,$D55)</f>
        <v>12132096</v>
      </c>
      <c r="G55" s="27">
        <f>SUMIFS(INDEX(Load,,MATCH('Summarized Source Data'!$B55,Hour,0)),Season,'Summarized Source Data'!$A55,Sector,'Summarized Source Data'!G$2,Subsector,'Summarized Source Data'!G$3,TimeOfWeek,$D55)</f>
        <v>0</v>
      </c>
      <c r="H55" s="27">
        <f>SUMIFS(INDEX(Load,,MATCH('Summarized Source Data'!$B55,Hour,0)),Season,'Summarized Source Data'!$A55,Sector,'Summarized Source Data'!H$2,Subsector,'Summarized Source Data'!H$3,TimeOfWeek,$D55)</f>
        <v>47100000</v>
      </c>
      <c r="I55" s="27">
        <f t="shared" si="0"/>
        <v>47100000</v>
      </c>
      <c r="J55" s="29">
        <f t="shared" si="1"/>
        <v>47100000</v>
      </c>
      <c r="K55" s="27">
        <f>SUMIFS(INDEX(Load,,MATCH('Summarized Source Data'!$B55,Hour,0)),Season,'Summarized Source Data'!$A55,Sector,'Summarized Source Data'!K$2,Subsector,'Summarized Source Data'!K$3,TimeOfWeek,$D55)</f>
        <v>3961603</v>
      </c>
      <c r="L55" s="27">
        <f>SUMIFS(INDEX(Load,,MATCH('Summarized Source Data'!$B55,Hour,0)),Season,'Summarized Source Data'!$A55,Sector,'Summarized Source Data'!L$2,Subsector,'Summarized Source Data'!L$3,TimeOfWeek,$D55)</f>
        <v>36600000</v>
      </c>
      <c r="M55" s="27">
        <f>SUMIFS(INDEX(Load,,MATCH('Summarized Source Data'!$B55,Hour,0)),Season,'Summarized Source Data'!$A55,Sector,'Summarized Source Data'!M$2,Subsector,'Summarized Source Data'!M$3,TimeOfWeek,$D55)</f>
        <v>0</v>
      </c>
      <c r="N55" s="29">
        <f t="shared" si="2"/>
        <v>47100000</v>
      </c>
      <c r="O55" s="27">
        <f t="shared" si="3"/>
        <v>47100000</v>
      </c>
      <c r="P55" s="29">
        <f t="shared" si="4"/>
        <v>47100000</v>
      </c>
      <c r="Q55" s="33">
        <f>SUMIFS(INDEX(Load,,MATCH('Summarized Source Data'!$B55,Hour,0)),Season,'Summarized Source Data'!$A55,Sector,'Summarized Source Data'!Q$2,TimeOfWeek,$D55)</f>
        <v>4630000</v>
      </c>
      <c r="R55" s="33">
        <f>SUMIFS(INDEX(Load,,MATCH('Summarized Source Data'!$B55,Hour,0)),Season,'Summarized Source Data'!$A55,Sector,'Summarized Source Data'!R$2,TimeOfWeek,$D55)</f>
        <v>4630000</v>
      </c>
      <c r="S55" s="33">
        <f>SUMIFS(INDEX(Load,,MATCH('Summarized Source Data'!$B55,Hour,0)),Season,'Summarized Source Data'!$A55,Sector,'Summarized Source Data'!S$2,TimeOfWeek,$D55)</f>
        <v>4630000</v>
      </c>
      <c r="T55" s="33">
        <f>SUMIFS(INDEX(Load,,MATCH('Summarized Source Data'!$B55,Hour,0)),Season,'Summarized Source Data'!$A55,Sector,'Summarized Source Data'!T$2,TimeOfWeek,$D55)</f>
        <v>4630000</v>
      </c>
      <c r="U55" s="33">
        <f>SUMIFS(INDEX(Load,,MATCH('Summarized Source Data'!$B55,Hour,0)),Season,'Summarized Source Data'!$A55,Sector,'Summarized Source Data'!U$2,TimeOfWeek,$D55)</f>
        <v>4630000</v>
      </c>
      <c r="V55" s="33">
        <f>SUMIFS(INDEX(Load,,MATCH('Summarized Source Data'!$B55,Hour,0)),Season,'Summarized Source Data'!$A55,Sector,'Summarized Source Data'!V$2,TimeOfWeek,$D55)</f>
        <v>4630000</v>
      </c>
      <c r="W55" s="27">
        <f>SUMIFS(INDEX(Load,,MATCH('Summarized Source Data'!$B55,Hour,0)),Season,'Summarized Source Data'!$A55,Sector,'Summarized Source Data'!W$2,Subsector,'Summarized Source Data'!W$3,TimeOfWeek,$D55)</f>
        <v>969000000</v>
      </c>
      <c r="X55" s="29">
        <f t="shared" si="6"/>
        <v>969000000</v>
      </c>
      <c r="Y55" s="29">
        <f t="shared" si="6"/>
        <v>969000000</v>
      </c>
    </row>
    <row r="56" spans="1:25" outlineLevel="1" x14ac:dyDescent="0.3">
      <c r="A56" t="s">
        <v>165</v>
      </c>
      <c r="B56" t="s">
        <v>68</v>
      </c>
      <c r="C56" s="6" t="s">
        <v>144</v>
      </c>
      <c r="D56" t="s">
        <v>49</v>
      </c>
      <c r="E56" s="27">
        <f>SUMIFS(INDEX(Load,,MATCH('Summarized Source Data'!$B56,Hour,0)),Season,'Summarized Source Data'!$A56,Sector,'Summarized Source Data'!E$2,Subsector,'Summarized Source Data'!E$3,TimeOfWeek,$D56)</f>
        <v>0</v>
      </c>
      <c r="F56" s="27">
        <f>SUMIFS(INDEX(Load,,MATCH('Summarized Source Data'!$B56,Hour,0)),Season,'Summarized Source Data'!$A56,Sector,'Summarized Source Data'!F$2,Subsector,'Summarized Source Data'!F$3,TimeOfWeek,$D56)</f>
        <v>13370412</v>
      </c>
      <c r="G56" s="27">
        <f>SUMIFS(INDEX(Load,,MATCH('Summarized Source Data'!$B56,Hour,0)),Season,'Summarized Source Data'!$A56,Sector,'Summarized Source Data'!G$2,Subsector,'Summarized Source Data'!G$3,TimeOfWeek,$D56)</f>
        <v>0</v>
      </c>
      <c r="H56" s="27">
        <f>SUMIFS(INDEX(Load,,MATCH('Summarized Source Data'!$B56,Hour,0)),Season,'Summarized Source Data'!$A56,Sector,'Summarized Source Data'!H$2,Subsector,'Summarized Source Data'!H$3,TimeOfWeek,$D56)</f>
        <v>60600000</v>
      </c>
      <c r="I56" s="27">
        <f t="shared" si="0"/>
        <v>60600000</v>
      </c>
      <c r="J56" s="29">
        <f t="shared" si="1"/>
        <v>60600000</v>
      </c>
      <c r="K56" s="27">
        <f>SUMIFS(INDEX(Load,,MATCH('Summarized Source Data'!$B56,Hour,0)),Season,'Summarized Source Data'!$A56,Sector,'Summarized Source Data'!K$2,Subsector,'Summarized Source Data'!K$3,TimeOfWeek,$D56)</f>
        <v>3841705</v>
      </c>
      <c r="L56" s="27">
        <f>SUMIFS(INDEX(Load,,MATCH('Summarized Source Data'!$B56,Hour,0)),Season,'Summarized Source Data'!$A56,Sector,'Summarized Source Data'!L$2,Subsector,'Summarized Source Data'!L$3,TimeOfWeek,$D56)</f>
        <v>37600000</v>
      </c>
      <c r="M56" s="27">
        <f>SUMIFS(INDEX(Load,,MATCH('Summarized Source Data'!$B56,Hour,0)),Season,'Summarized Source Data'!$A56,Sector,'Summarized Source Data'!M$2,Subsector,'Summarized Source Data'!M$3,TimeOfWeek,$D56)</f>
        <v>0</v>
      </c>
      <c r="N56" s="29">
        <f t="shared" si="2"/>
        <v>60600000</v>
      </c>
      <c r="O56" s="27">
        <f t="shared" si="3"/>
        <v>60600000</v>
      </c>
      <c r="P56" s="29">
        <f t="shared" si="4"/>
        <v>60600000</v>
      </c>
      <c r="Q56" s="33">
        <f>SUMIFS(INDEX(Load,,MATCH('Summarized Source Data'!$B56,Hour,0)),Season,'Summarized Source Data'!$A56,Sector,'Summarized Source Data'!Q$2,TimeOfWeek,$D56)</f>
        <v>4620000</v>
      </c>
      <c r="R56" s="33">
        <f>SUMIFS(INDEX(Load,,MATCH('Summarized Source Data'!$B56,Hour,0)),Season,'Summarized Source Data'!$A56,Sector,'Summarized Source Data'!R$2,TimeOfWeek,$D56)</f>
        <v>4620000</v>
      </c>
      <c r="S56" s="33">
        <f>SUMIFS(INDEX(Load,,MATCH('Summarized Source Data'!$B56,Hour,0)),Season,'Summarized Source Data'!$A56,Sector,'Summarized Source Data'!S$2,TimeOfWeek,$D56)</f>
        <v>4620000</v>
      </c>
      <c r="T56" s="33">
        <f>SUMIFS(INDEX(Load,,MATCH('Summarized Source Data'!$B56,Hour,0)),Season,'Summarized Source Data'!$A56,Sector,'Summarized Source Data'!T$2,TimeOfWeek,$D56)</f>
        <v>4620000</v>
      </c>
      <c r="U56" s="33">
        <f>SUMIFS(INDEX(Load,,MATCH('Summarized Source Data'!$B56,Hour,0)),Season,'Summarized Source Data'!$A56,Sector,'Summarized Source Data'!U$2,TimeOfWeek,$D56)</f>
        <v>4620000</v>
      </c>
      <c r="V56" s="33">
        <f>SUMIFS(INDEX(Load,,MATCH('Summarized Source Data'!$B56,Hour,0)),Season,'Summarized Source Data'!$A56,Sector,'Summarized Source Data'!V$2,TimeOfWeek,$D56)</f>
        <v>4620000</v>
      </c>
      <c r="W56" s="27">
        <f>SUMIFS(INDEX(Load,,MATCH('Summarized Source Data'!$B56,Hour,0)),Season,'Summarized Source Data'!$A56,Sector,'Summarized Source Data'!W$2,Subsector,'Summarized Source Data'!W$3,TimeOfWeek,$D56)</f>
        <v>970000000</v>
      </c>
      <c r="X56" s="29">
        <f t="shared" si="6"/>
        <v>970000000</v>
      </c>
      <c r="Y56" s="29">
        <f t="shared" si="6"/>
        <v>970000000</v>
      </c>
    </row>
    <row r="57" spans="1:25" outlineLevel="1" x14ac:dyDescent="0.3">
      <c r="A57" t="s">
        <v>165</v>
      </c>
      <c r="B57" t="s">
        <v>69</v>
      </c>
      <c r="C57" s="6" t="s">
        <v>145</v>
      </c>
      <c r="D57" t="s">
        <v>49</v>
      </c>
      <c r="E57" s="27">
        <f>SUMIFS(INDEX(Load,,MATCH('Summarized Source Data'!$B57,Hour,0)),Season,'Summarized Source Data'!$A57,Sector,'Summarized Source Data'!E$2,Subsector,'Summarized Source Data'!E$3,TimeOfWeek,$D57)</f>
        <v>0</v>
      </c>
      <c r="F57" s="27">
        <f>SUMIFS(INDEX(Load,,MATCH('Summarized Source Data'!$B57,Hour,0)),Season,'Summarized Source Data'!$A57,Sector,'Summarized Source Data'!F$2,Subsector,'Summarized Source Data'!F$3,TimeOfWeek,$D57)</f>
        <v>14832805</v>
      </c>
      <c r="G57" s="27">
        <f>SUMIFS(INDEX(Load,,MATCH('Summarized Source Data'!$B57,Hour,0)),Season,'Summarized Source Data'!$A57,Sector,'Summarized Source Data'!G$2,Subsector,'Summarized Source Data'!G$3,TimeOfWeek,$D57)</f>
        <v>0</v>
      </c>
      <c r="H57" s="27">
        <f>SUMIFS(INDEX(Load,,MATCH('Summarized Source Data'!$B57,Hour,0)),Season,'Summarized Source Data'!$A57,Sector,'Summarized Source Data'!H$2,Subsector,'Summarized Source Data'!H$3,TimeOfWeek,$D57)</f>
        <v>104200000</v>
      </c>
      <c r="I57" s="27">
        <f t="shared" si="0"/>
        <v>104200000</v>
      </c>
      <c r="J57" s="29">
        <f t="shared" si="1"/>
        <v>104200000</v>
      </c>
      <c r="K57" s="27">
        <f>SUMIFS(INDEX(Load,,MATCH('Summarized Source Data'!$B57,Hour,0)),Season,'Summarized Source Data'!$A57,Sector,'Summarized Source Data'!K$2,Subsector,'Summarized Source Data'!K$3,TimeOfWeek,$D57)</f>
        <v>5535148</v>
      </c>
      <c r="L57" s="27">
        <f>SUMIFS(INDEX(Load,,MATCH('Summarized Source Data'!$B57,Hour,0)),Season,'Summarized Source Data'!$A57,Sector,'Summarized Source Data'!L$2,Subsector,'Summarized Source Data'!L$3,TimeOfWeek,$D57)</f>
        <v>40400000</v>
      </c>
      <c r="M57" s="27">
        <f>SUMIFS(INDEX(Load,,MATCH('Summarized Source Data'!$B57,Hour,0)),Season,'Summarized Source Data'!$A57,Sector,'Summarized Source Data'!M$2,Subsector,'Summarized Source Data'!M$3,TimeOfWeek,$D57)</f>
        <v>0</v>
      </c>
      <c r="N57" s="29">
        <f t="shared" si="2"/>
        <v>104200000</v>
      </c>
      <c r="O57" s="27">
        <f t="shared" si="3"/>
        <v>104200000</v>
      </c>
      <c r="P57" s="29">
        <f t="shared" si="4"/>
        <v>104200000</v>
      </c>
      <c r="Q57" s="33">
        <f>SUMIFS(INDEX(Load,,MATCH('Summarized Source Data'!$B57,Hour,0)),Season,'Summarized Source Data'!$A57,Sector,'Summarized Source Data'!Q$2,TimeOfWeek,$D57)</f>
        <v>4640000</v>
      </c>
      <c r="R57" s="33">
        <f>SUMIFS(INDEX(Load,,MATCH('Summarized Source Data'!$B57,Hour,0)),Season,'Summarized Source Data'!$A57,Sector,'Summarized Source Data'!R$2,TimeOfWeek,$D57)</f>
        <v>4640000</v>
      </c>
      <c r="S57" s="33">
        <f>SUMIFS(INDEX(Load,,MATCH('Summarized Source Data'!$B57,Hour,0)),Season,'Summarized Source Data'!$A57,Sector,'Summarized Source Data'!S$2,TimeOfWeek,$D57)</f>
        <v>4640000</v>
      </c>
      <c r="T57" s="33">
        <f>SUMIFS(INDEX(Load,,MATCH('Summarized Source Data'!$B57,Hour,0)),Season,'Summarized Source Data'!$A57,Sector,'Summarized Source Data'!T$2,TimeOfWeek,$D57)</f>
        <v>4640000</v>
      </c>
      <c r="U57" s="33">
        <f>SUMIFS(INDEX(Load,,MATCH('Summarized Source Data'!$B57,Hour,0)),Season,'Summarized Source Data'!$A57,Sector,'Summarized Source Data'!U$2,TimeOfWeek,$D57)</f>
        <v>4640000</v>
      </c>
      <c r="V57" s="33">
        <f>SUMIFS(INDEX(Load,,MATCH('Summarized Source Data'!$B57,Hour,0)),Season,'Summarized Source Data'!$A57,Sector,'Summarized Source Data'!V$2,TimeOfWeek,$D57)</f>
        <v>4640000</v>
      </c>
      <c r="W57" s="27">
        <f>SUMIFS(INDEX(Load,,MATCH('Summarized Source Data'!$B57,Hour,0)),Season,'Summarized Source Data'!$A57,Sector,'Summarized Source Data'!W$2,Subsector,'Summarized Source Data'!W$3,TimeOfWeek,$D57)</f>
        <v>974000000</v>
      </c>
      <c r="X57" s="29">
        <f t="shared" si="6"/>
        <v>974000000</v>
      </c>
      <c r="Y57" s="29">
        <f t="shared" si="6"/>
        <v>974000000</v>
      </c>
    </row>
    <row r="58" spans="1:25" outlineLevel="1" x14ac:dyDescent="0.3">
      <c r="A58" t="s">
        <v>165</v>
      </c>
      <c r="B58" t="s">
        <v>70</v>
      </c>
      <c r="C58" s="6" t="s">
        <v>146</v>
      </c>
      <c r="D58" t="s">
        <v>49</v>
      </c>
      <c r="E58" s="27">
        <f>SUMIFS(INDEX(Load,,MATCH('Summarized Source Data'!$B58,Hour,0)),Season,'Summarized Source Data'!$A58,Sector,'Summarized Source Data'!E$2,Subsector,'Summarized Source Data'!E$3,TimeOfWeek,$D58)</f>
        <v>0</v>
      </c>
      <c r="F58" s="27">
        <f>SUMIFS(INDEX(Load,,MATCH('Summarized Source Data'!$B58,Hour,0)),Season,'Summarized Source Data'!$A58,Sector,'Summarized Source Data'!F$2,Subsector,'Summarized Source Data'!F$3,TimeOfWeek,$D58)</f>
        <v>15358149</v>
      </c>
      <c r="G58" s="27">
        <f>SUMIFS(INDEX(Load,,MATCH('Summarized Source Data'!$B58,Hour,0)),Season,'Summarized Source Data'!$A58,Sector,'Summarized Source Data'!G$2,Subsector,'Summarized Source Data'!G$3,TimeOfWeek,$D58)</f>
        <v>0</v>
      </c>
      <c r="H58" s="27">
        <f>SUMIFS(INDEX(Load,,MATCH('Summarized Source Data'!$B58,Hour,0)),Season,'Summarized Source Data'!$A58,Sector,'Summarized Source Data'!H$2,Subsector,'Summarized Source Data'!H$3,TimeOfWeek,$D58)</f>
        <v>71100000</v>
      </c>
      <c r="I58" s="27">
        <f t="shared" si="0"/>
        <v>71100000</v>
      </c>
      <c r="J58" s="29">
        <f t="shared" si="1"/>
        <v>71100000</v>
      </c>
      <c r="K58" s="27">
        <f>SUMIFS(INDEX(Load,,MATCH('Summarized Source Data'!$B58,Hour,0)),Season,'Summarized Source Data'!$A58,Sector,'Summarized Source Data'!K$2,Subsector,'Summarized Source Data'!K$3,TimeOfWeek,$D58)</f>
        <v>5667221</v>
      </c>
      <c r="L58" s="27">
        <f>SUMIFS(INDEX(Load,,MATCH('Summarized Source Data'!$B58,Hour,0)),Season,'Summarized Source Data'!$A58,Sector,'Summarized Source Data'!L$2,Subsector,'Summarized Source Data'!L$3,TimeOfWeek,$D58)</f>
        <v>46600000</v>
      </c>
      <c r="M58" s="27">
        <f>SUMIFS(INDEX(Load,,MATCH('Summarized Source Data'!$B58,Hour,0)),Season,'Summarized Source Data'!$A58,Sector,'Summarized Source Data'!M$2,Subsector,'Summarized Source Data'!M$3,TimeOfWeek,$D58)</f>
        <v>0</v>
      </c>
      <c r="N58" s="29">
        <f t="shared" si="2"/>
        <v>71100000</v>
      </c>
      <c r="O58" s="27">
        <f t="shared" si="3"/>
        <v>71100000</v>
      </c>
      <c r="P58" s="29">
        <f t="shared" si="4"/>
        <v>71100000</v>
      </c>
      <c r="Q58" s="33">
        <f>SUMIFS(INDEX(Load,,MATCH('Summarized Source Data'!$B58,Hour,0)),Season,'Summarized Source Data'!$A58,Sector,'Summarized Source Data'!Q$2,TimeOfWeek,$D58)</f>
        <v>6710000</v>
      </c>
      <c r="R58" s="33">
        <f>SUMIFS(INDEX(Load,,MATCH('Summarized Source Data'!$B58,Hour,0)),Season,'Summarized Source Data'!$A58,Sector,'Summarized Source Data'!R$2,TimeOfWeek,$D58)</f>
        <v>6710000</v>
      </c>
      <c r="S58" s="33">
        <f>SUMIFS(INDEX(Load,,MATCH('Summarized Source Data'!$B58,Hour,0)),Season,'Summarized Source Data'!$A58,Sector,'Summarized Source Data'!S$2,TimeOfWeek,$D58)</f>
        <v>6710000</v>
      </c>
      <c r="T58" s="33">
        <f>SUMIFS(INDEX(Load,,MATCH('Summarized Source Data'!$B58,Hour,0)),Season,'Summarized Source Data'!$A58,Sector,'Summarized Source Data'!T$2,TimeOfWeek,$D58)</f>
        <v>6710000</v>
      </c>
      <c r="U58" s="33">
        <f>SUMIFS(INDEX(Load,,MATCH('Summarized Source Data'!$B58,Hour,0)),Season,'Summarized Source Data'!$A58,Sector,'Summarized Source Data'!U$2,TimeOfWeek,$D58)</f>
        <v>6710000</v>
      </c>
      <c r="V58" s="33">
        <f>SUMIFS(INDEX(Load,,MATCH('Summarized Source Data'!$B58,Hour,0)),Season,'Summarized Source Data'!$A58,Sector,'Summarized Source Data'!V$2,TimeOfWeek,$D58)</f>
        <v>6710000</v>
      </c>
      <c r="W58" s="27">
        <f>SUMIFS(INDEX(Load,,MATCH('Summarized Source Data'!$B58,Hour,0)),Season,'Summarized Source Data'!$A58,Sector,'Summarized Source Data'!W$2,Subsector,'Summarized Source Data'!W$3,TimeOfWeek,$D58)</f>
        <v>980000000</v>
      </c>
      <c r="X58" s="29">
        <f t="shared" si="6"/>
        <v>980000000</v>
      </c>
      <c r="Y58" s="29">
        <f t="shared" si="6"/>
        <v>980000000</v>
      </c>
    </row>
    <row r="59" spans="1:25" outlineLevel="1" x14ac:dyDescent="0.3">
      <c r="A59" t="s">
        <v>165</v>
      </c>
      <c r="B59" t="s">
        <v>71</v>
      </c>
      <c r="C59" s="6" t="s">
        <v>147</v>
      </c>
      <c r="D59" t="s">
        <v>49</v>
      </c>
      <c r="E59" s="27">
        <f>SUMIFS(INDEX(Load,,MATCH('Summarized Source Data'!$B59,Hour,0)),Season,'Summarized Source Data'!$A59,Sector,'Summarized Source Data'!E$2,Subsector,'Summarized Source Data'!E$3,TimeOfWeek,$D59)</f>
        <v>0</v>
      </c>
      <c r="F59" s="27">
        <f>SUMIFS(INDEX(Load,,MATCH('Summarized Source Data'!$B59,Hour,0)),Season,'Summarized Source Data'!$A59,Sector,'Summarized Source Data'!F$2,Subsector,'Summarized Source Data'!F$3,TimeOfWeek,$D59)</f>
        <v>14874760</v>
      </c>
      <c r="G59" s="27">
        <f>SUMIFS(INDEX(Load,,MATCH('Summarized Source Data'!$B59,Hour,0)),Season,'Summarized Source Data'!$A59,Sector,'Summarized Source Data'!G$2,Subsector,'Summarized Source Data'!G$3,TimeOfWeek,$D59)</f>
        <v>0</v>
      </c>
      <c r="H59" s="27">
        <f>SUMIFS(INDEX(Load,,MATCH('Summarized Source Data'!$B59,Hour,0)),Season,'Summarized Source Data'!$A59,Sector,'Summarized Source Data'!H$2,Subsector,'Summarized Source Data'!H$3,TimeOfWeek,$D59)</f>
        <v>47200000</v>
      </c>
      <c r="I59" s="27">
        <f t="shared" si="0"/>
        <v>47200000</v>
      </c>
      <c r="J59" s="29">
        <f t="shared" si="1"/>
        <v>47200000</v>
      </c>
      <c r="K59" s="27">
        <f>SUMIFS(INDEX(Load,,MATCH('Summarized Source Data'!$B59,Hour,0)),Season,'Summarized Source Data'!$A59,Sector,'Summarized Source Data'!K$2,Subsector,'Summarized Source Data'!K$3,TimeOfWeek,$D59)</f>
        <v>6069663</v>
      </c>
      <c r="L59" s="27">
        <f>SUMIFS(INDEX(Load,,MATCH('Summarized Source Data'!$B59,Hour,0)),Season,'Summarized Source Data'!$A59,Sector,'Summarized Source Data'!L$2,Subsector,'Summarized Source Data'!L$3,TimeOfWeek,$D59)</f>
        <v>57000000</v>
      </c>
      <c r="M59" s="27">
        <f>SUMIFS(INDEX(Load,,MATCH('Summarized Source Data'!$B59,Hour,0)),Season,'Summarized Source Data'!$A59,Sector,'Summarized Source Data'!M$2,Subsector,'Summarized Source Data'!M$3,TimeOfWeek,$D59)</f>
        <v>0</v>
      </c>
      <c r="N59" s="29">
        <f t="shared" si="2"/>
        <v>47200000</v>
      </c>
      <c r="O59" s="27">
        <f t="shared" si="3"/>
        <v>47200000</v>
      </c>
      <c r="P59" s="29">
        <f t="shared" si="4"/>
        <v>47200000</v>
      </c>
      <c r="Q59" s="33">
        <f>SUMIFS(INDEX(Load,,MATCH('Summarized Source Data'!$B59,Hour,0)),Season,'Summarized Source Data'!$A59,Sector,'Summarized Source Data'!Q$2,TimeOfWeek,$D59)</f>
        <v>13500000</v>
      </c>
      <c r="R59" s="33">
        <f>SUMIFS(INDEX(Load,,MATCH('Summarized Source Data'!$B59,Hour,0)),Season,'Summarized Source Data'!$A59,Sector,'Summarized Source Data'!R$2,TimeOfWeek,$D59)</f>
        <v>13500000</v>
      </c>
      <c r="S59" s="33">
        <f>SUMIFS(INDEX(Load,,MATCH('Summarized Source Data'!$B59,Hour,0)),Season,'Summarized Source Data'!$A59,Sector,'Summarized Source Data'!S$2,TimeOfWeek,$D59)</f>
        <v>13500000</v>
      </c>
      <c r="T59" s="33">
        <f>SUMIFS(INDEX(Load,,MATCH('Summarized Source Data'!$B59,Hour,0)),Season,'Summarized Source Data'!$A59,Sector,'Summarized Source Data'!T$2,TimeOfWeek,$D59)</f>
        <v>13500000</v>
      </c>
      <c r="U59" s="33">
        <f>SUMIFS(INDEX(Load,,MATCH('Summarized Source Data'!$B59,Hour,0)),Season,'Summarized Source Data'!$A59,Sector,'Summarized Source Data'!U$2,TimeOfWeek,$D59)</f>
        <v>13500000</v>
      </c>
      <c r="V59" s="33">
        <f>SUMIFS(INDEX(Load,,MATCH('Summarized Source Data'!$B59,Hour,0)),Season,'Summarized Source Data'!$A59,Sector,'Summarized Source Data'!V$2,TimeOfWeek,$D59)</f>
        <v>13500000</v>
      </c>
      <c r="W59" s="27">
        <f>SUMIFS(INDEX(Load,,MATCH('Summarized Source Data'!$B59,Hour,0)),Season,'Summarized Source Data'!$A59,Sector,'Summarized Source Data'!W$2,Subsector,'Summarized Source Data'!W$3,TimeOfWeek,$D59)</f>
        <v>986000000</v>
      </c>
      <c r="X59" s="29">
        <f t="shared" si="6"/>
        <v>986000000</v>
      </c>
      <c r="Y59" s="29">
        <f t="shared" si="6"/>
        <v>986000000</v>
      </c>
    </row>
    <row r="60" spans="1:25" outlineLevel="1" x14ac:dyDescent="0.3">
      <c r="A60" t="s">
        <v>165</v>
      </c>
      <c r="B60" t="s">
        <v>72</v>
      </c>
      <c r="C60" s="6" t="s">
        <v>148</v>
      </c>
      <c r="D60" t="s">
        <v>49</v>
      </c>
      <c r="E60" s="27">
        <f>SUMIFS(INDEX(Load,,MATCH('Summarized Source Data'!$B60,Hour,0)),Season,'Summarized Source Data'!$A60,Sector,'Summarized Source Data'!E$2,Subsector,'Summarized Source Data'!E$3,TimeOfWeek,$D60)</f>
        <v>0</v>
      </c>
      <c r="F60" s="27">
        <f>SUMIFS(INDEX(Load,,MATCH('Summarized Source Data'!$B60,Hour,0)),Season,'Summarized Source Data'!$A60,Sector,'Summarized Source Data'!F$2,Subsector,'Summarized Source Data'!F$3,TimeOfWeek,$D60)</f>
        <v>15394054</v>
      </c>
      <c r="G60" s="27">
        <f>SUMIFS(INDEX(Load,,MATCH('Summarized Source Data'!$B60,Hour,0)),Season,'Summarized Source Data'!$A60,Sector,'Summarized Source Data'!G$2,Subsector,'Summarized Source Data'!G$3,TimeOfWeek,$D60)</f>
        <v>0</v>
      </c>
      <c r="H60" s="27">
        <f>SUMIFS(INDEX(Load,,MATCH('Summarized Source Data'!$B60,Hour,0)),Season,'Summarized Source Data'!$A60,Sector,'Summarized Source Data'!H$2,Subsector,'Summarized Source Data'!H$3,TimeOfWeek,$D60)</f>
        <v>46200000</v>
      </c>
      <c r="I60" s="27">
        <f t="shared" si="0"/>
        <v>46200000</v>
      </c>
      <c r="J60" s="29">
        <f t="shared" si="1"/>
        <v>46200000</v>
      </c>
      <c r="K60" s="27">
        <f>SUMIFS(INDEX(Load,,MATCH('Summarized Source Data'!$B60,Hour,0)),Season,'Summarized Source Data'!$A60,Sector,'Summarized Source Data'!K$2,Subsector,'Summarized Source Data'!K$3,TimeOfWeek,$D60)</f>
        <v>3834368</v>
      </c>
      <c r="L60" s="27">
        <f>SUMIFS(INDEX(Load,,MATCH('Summarized Source Data'!$B60,Hour,0)),Season,'Summarized Source Data'!$A60,Sector,'Summarized Source Data'!L$2,Subsector,'Summarized Source Data'!L$3,TimeOfWeek,$D60)</f>
        <v>71300000</v>
      </c>
      <c r="M60" s="27">
        <f>SUMIFS(INDEX(Load,,MATCH('Summarized Source Data'!$B60,Hour,0)),Season,'Summarized Source Data'!$A60,Sector,'Summarized Source Data'!M$2,Subsector,'Summarized Source Data'!M$3,TimeOfWeek,$D60)</f>
        <v>0</v>
      </c>
      <c r="N60" s="29">
        <f t="shared" si="2"/>
        <v>46200000</v>
      </c>
      <c r="O60" s="27">
        <f t="shared" si="3"/>
        <v>46200000</v>
      </c>
      <c r="P60" s="29">
        <f t="shared" si="4"/>
        <v>46200000</v>
      </c>
      <c r="Q60" s="33">
        <f>SUMIFS(INDEX(Load,,MATCH('Summarized Source Data'!$B60,Hour,0)),Season,'Summarized Source Data'!$A60,Sector,'Summarized Source Data'!Q$2,TimeOfWeek,$D60)</f>
        <v>13690000</v>
      </c>
      <c r="R60" s="33">
        <f>SUMIFS(INDEX(Load,,MATCH('Summarized Source Data'!$B60,Hour,0)),Season,'Summarized Source Data'!$A60,Sector,'Summarized Source Data'!R$2,TimeOfWeek,$D60)</f>
        <v>13690000</v>
      </c>
      <c r="S60" s="33">
        <f>SUMIFS(INDEX(Load,,MATCH('Summarized Source Data'!$B60,Hour,0)),Season,'Summarized Source Data'!$A60,Sector,'Summarized Source Data'!S$2,TimeOfWeek,$D60)</f>
        <v>13690000</v>
      </c>
      <c r="T60" s="33">
        <f>SUMIFS(INDEX(Load,,MATCH('Summarized Source Data'!$B60,Hour,0)),Season,'Summarized Source Data'!$A60,Sector,'Summarized Source Data'!T$2,TimeOfWeek,$D60)</f>
        <v>13690000</v>
      </c>
      <c r="U60" s="33">
        <f>SUMIFS(INDEX(Load,,MATCH('Summarized Source Data'!$B60,Hour,0)),Season,'Summarized Source Data'!$A60,Sector,'Summarized Source Data'!U$2,TimeOfWeek,$D60)</f>
        <v>13690000</v>
      </c>
      <c r="V60" s="33">
        <f>SUMIFS(INDEX(Load,,MATCH('Summarized Source Data'!$B60,Hour,0)),Season,'Summarized Source Data'!$A60,Sector,'Summarized Source Data'!V$2,TimeOfWeek,$D60)</f>
        <v>13690000</v>
      </c>
      <c r="W60" s="27">
        <f>SUMIFS(INDEX(Load,,MATCH('Summarized Source Data'!$B60,Hour,0)),Season,'Summarized Source Data'!$A60,Sector,'Summarized Source Data'!W$2,Subsector,'Summarized Source Data'!W$3,TimeOfWeek,$D60)</f>
        <v>988000000</v>
      </c>
      <c r="X60" s="29">
        <f t="shared" si="6"/>
        <v>988000000</v>
      </c>
      <c r="Y60" s="29">
        <f t="shared" si="6"/>
        <v>988000000</v>
      </c>
    </row>
    <row r="61" spans="1:25" outlineLevel="1" x14ac:dyDescent="0.3">
      <c r="A61" t="s">
        <v>165</v>
      </c>
      <c r="B61" t="s">
        <v>73</v>
      </c>
      <c r="C61" s="6" t="s">
        <v>149</v>
      </c>
      <c r="D61" t="s">
        <v>49</v>
      </c>
      <c r="E61" s="27">
        <f>SUMIFS(INDEX(Load,,MATCH('Summarized Source Data'!$B61,Hour,0)),Season,'Summarized Source Data'!$A61,Sector,'Summarized Source Data'!E$2,Subsector,'Summarized Source Data'!E$3,TimeOfWeek,$D61)</f>
        <v>0</v>
      </c>
      <c r="F61" s="27">
        <f>SUMIFS(INDEX(Load,,MATCH('Summarized Source Data'!$B61,Hour,0)),Season,'Summarized Source Data'!$A61,Sector,'Summarized Source Data'!F$2,Subsector,'Summarized Source Data'!F$3,TimeOfWeek,$D61)</f>
        <v>16684238</v>
      </c>
      <c r="G61" s="27">
        <f>SUMIFS(INDEX(Load,,MATCH('Summarized Source Data'!$B61,Hour,0)),Season,'Summarized Source Data'!$A61,Sector,'Summarized Source Data'!G$2,Subsector,'Summarized Source Data'!G$3,TimeOfWeek,$D61)</f>
        <v>0</v>
      </c>
      <c r="H61" s="27">
        <f>SUMIFS(INDEX(Load,,MATCH('Summarized Source Data'!$B61,Hour,0)),Season,'Summarized Source Data'!$A61,Sector,'Summarized Source Data'!H$2,Subsector,'Summarized Source Data'!H$3,TimeOfWeek,$D61)</f>
        <v>44500000</v>
      </c>
      <c r="I61" s="27">
        <f t="shared" si="0"/>
        <v>44500000</v>
      </c>
      <c r="J61" s="29">
        <f t="shared" si="1"/>
        <v>44500000</v>
      </c>
      <c r="K61" s="27">
        <f>SUMIFS(INDEX(Load,,MATCH('Summarized Source Data'!$B61,Hour,0)),Season,'Summarized Source Data'!$A61,Sector,'Summarized Source Data'!K$2,Subsector,'Summarized Source Data'!K$3,TimeOfWeek,$D61)</f>
        <v>2970241</v>
      </c>
      <c r="L61" s="27">
        <f>SUMIFS(INDEX(Load,,MATCH('Summarized Source Data'!$B61,Hour,0)),Season,'Summarized Source Data'!$A61,Sector,'Summarized Source Data'!L$2,Subsector,'Summarized Source Data'!L$3,TimeOfWeek,$D61)</f>
        <v>83100000</v>
      </c>
      <c r="M61" s="27">
        <f>SUMIFS(INDEX(Load,,MATCH('Summarized Source Data'!$B61,Hour,0)),Season,'Summarized Source Data'!$A61,Sector,'Summarized Source Data'!M$2,Subsector,'Summarized Source Data'!M$3,TimeOfWeek,$D61)</f>
        <v>0</v>
      </c>
      <c r="N61" s="29">
        <f t="shared" si="2"/>
        <v>44500000</v>
      </c>
      <c r="O61" s="27">
        <f t="shared" si="3"/>
        <v>44500000</v>
      </c>
      <c r="P61" s="29">
        <f t="shared" si="4"/>
        <v>44500000</v>
      </c>
      <c r="Q61" s="33">
        <f>SUMIFS(INDEX(Load,,MATCH('Summarized Source Data'!$B61,Hour,0)),Season,'Summarized Source Data'!$A61,Sector,'Summarized Source Data'!Q$2,TimeOfWeek,$D61)</f>
        <v>12320000</v>
      </c>
      <c r="R61" s="33">
        <f>SUMIFS(INDEX(Load,,MATCH('Summarized Source Data'!$B61,Hour,0)),Season,'Summarized Source Data'!$A61,Sector,'Summarized Source Data'!R$2,TimeOfWeek,$D61)</f>
        <v>12320000</v>
      </c>
      <c r="S61" s="33">
        <f>SUMIFS(INDEX(Load,,MATCH('Summarized Source Data'!$B61,Hour,0)),Season,'Summarized Source Data'!$A61,Sector,'Summarized Source Data'!S$2,TimeOfWeek,$D61)</f>
        <v>12320000</v>
      </c>
      <c r="T61" s="33">
        <f>SUMIFS(INDEX(Load,,MATCH('Summarized Source Data'!$B61,Hour,0)),Season,'Summarized Source Data'!$A61,Sector,'Summarized Source Data'!T$2,TimeOfWeek,$D61)</f>
        <v>12320000</v>
      </c>
      <c r="U61" s="33">
        <f>SUMIFS(INDEX(Load,,MATCH('Summarized Source Data'!$B61,Hour,0)),Season,'Summarized Source Data'!$A61,Sector,'Summarized Source Data'!U$2,TimeOfWeek,$D61)</f>
        <v>12320000</v>
      </c>
      <c r="V61" s="33">
        <f>SUMIFS(INDEX(Load,,MATCH('Summarized Source Data'!$B61,Hour,0)),Season,'Summarized Source Data'!$A61,Sector,'Summarized Source Data'!V$2,TimeOfWeek,$D61)</f>
        <v>12320000</v>
      </c>
      <c r="W61" s="27">
        <f>SUMIFS(INDEX(Load,,MATCH('Summarized Source Data'!$B61,Hour,0)),Season,'Summarized Source Data'!$A61,Sector,'Summarized Source Data'!W$2,Subsector,'Summarized Source Data'!W$3,TimeOfWeek,$D61)</f>
        <v>986000000</v>
      </c>
      <c r="X61" s="29">
        <f t="shared" si="6"/>
        <v>986000000</v>
      </c>
      <c r="Y61" s="29">
        <f t="shared" si="6"/>
        <v>986000000</v>
      </c>
    </row>
    <row r="62" spans="1:25" outlineLevel="1" x14ac:dyDescent="0.3">
      <c r="A62" t="s">
        <v>165</v>
      </c>
      <c r="B62" t="s">
        <v>74</v>
      </c>
      <c r="C62" s="6" t="s">
        <v>150</v>
      </c>
      <c r="D62" t="s">
        <v>49</v>
      </c>
      <c r="E62" s="27">
        <f>SUMIFS(INDEX(Load,,MATCH('Summarized Source Data'!$B62,Hour,0)),Season,'Summarized Source Data'!$A62,Sector,'Summarized Source Data'!E$2,Subsector,'Summarized Source Data'!E$3,TimeOfWeek,$D62)</f>
        <v>0</v>
      </c>
      <c r="F62" s="27">
        <f>SUMIFS(INDEX(Load,,MATCH('Summarized Source Data'!$B62,Hour,0)),Season,'Summarized Source Data'!$A62,Sector,'Summarized Source Data'!F$2,Subsector,'Summarized Source Data'!F$3,TimeOfWeek,$D62)</f>
        <v>20081153</v>
      </c>
      <c r="G62" s="27">
        <f>SUMIFS(INDEX(Load,,MATCH('Summarized Source Data'!$B62,Hour,0)),Season,'Summarized Source Data'!$A62,Sector,'Summarized Source Data'!G$2,Subsector,'Summarized Source Data'!G$3,TimeOfWeek,$D62)</f>
        <v>0</v>
      </c>
      <c r="H62" s="27">
        <f>SUMIFS(INDEX(Load,,MATCH('Summarized Source Data'!$B62,Hour,0)),Season,'Summarized Source Data'!$A62,Sector,'Summarized Source Data'!H$2,Subsector,'Summarized Source Data'!H$3,TimeOfWeek,$D62)</f>
        <v>45200000</v>
      </c>
      <c r="I62" s="27">
        <f t="shared" si="0"/>
        <v>45200000</v>
      </c>
      <c r="J62" s="29">
        <f t="shared" si="1"/>
        <v>45200000</v>
      </c>
      <c r="K62" s="27">
        <f>SUMIFS(INDEX(Load,,MATCH('Summarized Source Data'!$B62,Hour,0)),Season,'Summarized Source Data'!$A62,Sector,'Summarized Source Data'!K$2,Subsector,'Summarized Source Data'!K$3,TimeOfWeek,$D62)</f>
        <v>2519729</v>
      </c>
      <c r="L62" s="27">
        <f>SUMIFS(INDEX(Load,,MATCH('Summarized Source Data'!$B62,Hour,0)),Season,'Summarized Source Data'!$A62,Sector,'Summarized Source Data'!L$2,Subsector,'Summarized Source Data'!L$3,TimeOfWeek,$D62)</f>
        <v>92500000</v>
      </c>
      <c r="M62" s="27">
        <f>SUMIFS(INDEX(Load,,MATCH('Summarized Source Data'!$B62,Hour,0)),Season,'Summarized Source Data'!$A62,Sector,'Summarized Source Data'!M$2,Subsector,'Summarized Source Data'!M$3,TimeOfWeek,$D62)</f>
        <v>0</v>
      </c>
      <c r="N62" s="29">
        <f t="shared" si="2"/>
        <v>45200000</v>
      </c>
      <c r="O62" s="27">
        <f t="shared" si="3"/>
        <v>45200000</v>
      </c>
      <c r="P62" s="29">
        <f t="shared" si="4"/>
        <v>45200000</v>
      </c>
      <c r="Q62" s="33">
        <f>SUMIFS(INDEX(Load,,MATCH('Summarized Source Data'!$B62,Hour,0)),Season,'Summarized Source Data'!$A62,Sector,'Summarized Source Data'!Q$2,TimeOfWeek,$D62)</f>
        <v>10170000</v>
      </c>
      <c r="R62" s="33">
        <f>SUMIFS(INDEX(Load,,MATCH('Summarized Source Data'!$B62,Hour,0)),Season,'Summarized Source Data'!$A62,Sector,'Summarized Source Data'!R$2,TimeOfWeek,$D62)</f>
        <v>10170000</v>
      </c>
      <c r="S62" s="33">
        <f>SUMIFS(INDEX(Load,,MATCH('Summarized Source Data'!$B62,Hour,0)),Season,'Summarized Source Data'!$A62,Sector,'Summarized Source Data'!S$2,TimeOfWeek,$D62)</f>
        <v>10170000</v>
      </c>
      <c r="T62" s="33">
        <f>SUMIFS(INDEX(Load,,MATCH('Summarized Source Data'!$B62,Hour,0)),Season,'Summarized Source Data'!$A62,Sector,'Summarized Source Data'!T$2,TimeOfWeek,$D62)</f>
        <v>10170000</v>
      </c>
      <c r="U62" s="33">
        <f>SUMIFS(INDEX(Load,,MATCH('Summarized Source Data'!$B62,Hour,0)),Season,'Summarized Source Data'!$A62,Sector,'Summarized Source Data'!U$2,TimeOfWeek,$D62)</f>
        <v>10170000</v>
      </c>
      <c r="V62" s="33">
        <f>SUMIFS(INDEX(Load,,MATCH('Summarized Source Data'!$B62,Hour,0)),Season,'Summarized Source Data'!$A62,Sector,'Summarized Source Data'!V$2,TimeOfWeek,$D62)</f>
        <v>10170000</v>
      </c>
      <c r="W62" s="27">
        <f>SUMIFS(INDEX(Load,,MATCH('Summarized Source Data'!$B62,Hour,0)),Season,'Summarized Source Data'!$A62,Sector,'Summarized Source Data'!W$2,Subsector,'Summarized Source Data'!W$3,TimeOfWeek,$D62)</f>
        <v>985000000</v>
      </c>
      <c r="X62" s="29">
        <f t="shared" si="6"/>
        <v>985000000</v>
      </c>
      <c r="Y62" s="29">
        <f t="shared" si="6"/>
        <v>985000000</v>
      </c>
    </row>
    <row r="63" spans="1:25" outlineLevel="1" x14ac:dyDescent="0.3">
      <c r="A63" t="s">
        <v>165</v>
      </c>
      <c r="B63" t="s">
        <v>75</v>
      </c>
      <c r="C63" s="6" t="s">
        <v>151</v>
      </c>
      <c r="D63" t="s">
        <v>49</v>
      </c>
      <c r="E63" s="27">
        <f>SUMIFS(INDEX(Load,,MATCH('Summarized Source Data'!$B63,Hour,0)),Season,'Summarized Source Data'!$A63,Sector,'Summarized Source Data'!E$2,Subsector,'Summarized Source Data'!E$3,TimeOfWeek,$D63)</f>
        <v>0</v>
      </c>
      <c r="F63" s="27">
        <f>SUMIFS(INDEX(Load,,MATCH('Summarized Source Data'!$B63,Hour,0)),Season,'Summarized Source Data'!$A63,Sector,'Summarized Source Data'!F$2,Subsector,'Summarized Source Data'!F$3,TimeOfWeek,$D63)</f>
        <v>25954583</v>
      </c>
      <c r="G63" s="27">
        <f>SUMIFS(INDEX(Load,,MATCH('Summarized Source Data'!$B63,Hour,0)),Season,'Summarized Source Data'!$A63,Sector,'Summarized Source Data'!G$2,Subsector,'Summarized Source Data'!G$3,TimeOfWeek,$D63)</f>
        <v>0</v>
      </c>
      <c r="H63" s="27">
        <f>SUMIFS(INDEX(Load,,MATCH('Summarized Source Data'!$B63,Hour,0)),Season,'Summarized Source Data'!$A63,Sector,'Summarized Source Data'!H$2,Subsector,'Summarized Source Data'!H$3,TimeOfWeek,$D63)</f>
        <v>49500000</v>
      </c>
      <c r="I63" s="27">
        <f t="shared" si="0"/>
        <v>49500000</v>
      </c>
      <c r="J63" s="29">
        <f t="shared" si="1"/>
        <v>49500000</v>
      </c>
      <c r="K63" s="27">
        <f>SUMIFS(INDEX(Load,,MATCH('Summarized Source Data'!$B63,Hour,0)),Season,'Summarized Source Data'!$A63,Sector,'Summarized Source Data'!K$2,Subsector,'Summarized Source Data'!K$3,TimeOfWeek,$D63)</f>
        <v>2196562</v>
      </c>
      <c r="L63" s="27">
        <f>SUMIFS(INDEX(Load,,MATCH('Summarized Source Data'!$B63,Hour,0)),Season,'Summarized Source Data'!$A63,Sector,'Summarized Source Data'!L$2,Subsector,'Summarized Source Data'!L$3,TimeOfWeek,$D63)</f>
        <v>98700000</v>
      </c>
      <c r="M63" s="27">
        <f>SUMIFS(INDEX(Load,,MATCH('Summarized Source Data'!$B63,Hour,0)),Season,'Summarized Source Data'!$A63,Sector,'Summarized Source Data'!M$2,Subsector,'Summarized Source Data'!M$3,TimeOfWeek,$D63)</f>
        <v>0</v>
      </c>
      <c r="N63" s="29">
        <f t="shared" si="2"/>
        <v>49500000</v>
      </c>
      <c r="O63" s="27">
        <f t="shared" si="3"/>
        <v>49500000</v>
      </c>
      <c r="P63" s="29">
        <f t="shared" si="4"/>
        <v>49500000</v>
      </c>
      <c r="Q63" s="33">
        <f>SUMIFS(INDEX(Load,,MATCH('Summarized Source Data'!$B63,Hour,0)),Season,'Summarized Source Data'!$A63,Sector,'Summarized Source Data'!Q$2,TimeOfWeek,$D63)</f>
        <v>10170000</v>
      </c>
      <c r="R63" s="33">
        <f>SUMIFS(INDEX(Load,,MATCH('Summarized Source Data'!$B63,Hour,0)),Season,'Summarized Source Data'!$A63,Sector,'Summarized Source Data'!R$2,TimeOfWeek,$D63)</f>
        <v>10170000</v>
      </c>
      <c r="S63" s="33">
        <f>SUMIFS(INDEX(Load,,MATCH('Summarized Source Data'!$B63,Hour,0)),Season,'Summarized Source Data'!$A63,Sector,'Summarized Source Data'!S$2,TimeOfWeek,$D63)</f>
        <v>10170000</v>
      </c>
      <c r="T63" s="33">
        <f>SUMIFS(INDEX(Load,,MATCH('Summarized Source Data'!$B63,Hour,0)),Season,'Summarized Source Data'!$A63,Sector,'Summarized Source Data'!T$2,TimeOfWeek,$D63)</f>
        <v>10170000</v>
      </c>
      <c r="U63" s="33">
        <f>SUMIFS(INDEX(Load,,MATCH('Summarized Source Data'!$B63,Hour,0)),Season,'Summarized Source Data'!$A63,Sector,'Summarized Source Data'!U$2,TimeOfWeek,$D63)</f>
        <v>10170000</v>
      </c>
      <c r="V63" s="33">
        <f>SUMIFS(INDEX(Load,,MATCH('Summarized Source Data'!$B63,Hour,0)),Season,'Summarized Source Data'!$A63,Sector,'Summarized Source Data'!V$2,TimeOfWeek,$D63)</f>
        <v>10170000</v>
      </c>
      <c r="W63" s="27">
        <f>SUMIFS(INDEX(Load,,MATCH('Summarized Source Data'!$B63,Hour,0)),Season,'Summarized Source Data'!$A63,Sector,'Summarized Source Data'!W$2,Subsector,'Summarized Source Data'!W$3,TimeOfWeek,$D63)</f>
        <v>983000000</v>
      </c>
      <c r="X63" s="29">
        <f t="shared" si="6"/>
        <v>983000000</v>
      </c>
      <c r="Y63" s="29">
        <f t="shared" si="6"/>
        <v>983000000</v>
      </c>
    </row>
    <row r="64" spans="1:25" outlineLevel="1" x14ac:dyDescent="0.3">
      <c r="A64" t="s">
        <v>165</v>
      </c>
      <c r="B64" t="s">
        <v>76</v>
      </c>
      <c r="C64" s="6" t="s">
        <v>152</v>
      </c>
      <c r="D64" t="s">
        <v>49</v>
      </c>
      <c r="E64" s="27">
        <f>SUMIFS(INDEX(Load,,MATCH('Summarized Source Data'!$B64,Hour,0)),Season,'Summarized Source Data'!$A64,Sector,'Summarized Source Data'!E$2,Subsector,'Summarized Source Data'!E$3,TimeOfWeek,$D64)</f>
        <v>0</v>
      </c>
      <c r="F64" s="27">
        <f>SUMIFS(INDEX(Load,,MATCH('Summarized Source Data'!$B64,Hour,0)),Season,'Summarized Source Data'!$A64,Sector,'Summarized Source Data'!F$2,Subsector,'Summarized Source Data'!F$3,TimeOfWeek,$D64)</f>
        <v>31100000</v>
      </c>
      <c r="G64" s="27">
        <f>SUMIFS(INDEX(Load,,MATCH('Summarized Source Data'!$B64,Hour,0)),Season,'Summarized Source Data'!$A64,Sector,'Summarized Source Data'!G$2,Subsector,'Summarized Source Data'!G$3,TimeOfWeek,$D64)</f>
        <v>0</v>
      </c>
      <c r="H64" s="27">
        <f>SUMIFS(INDEX(Load,,MATCH('Summarized Source Data'!$B64,Hour,0)),Season,'Summarized Source Data'!$A64,Sector,'Summarized Source Data'!H$2,Subsector,'Summarized Source Data'!H$3,TimeOfWeek,$D64)</f>
        <v>52100000</v>
      </c>
      <c r="I64" s="27">
        <f t="shared" si="0"/>
        <v>52100000</v>
      </c>
      <c r="J64" s="29">
        <f t="shared" si="1"/>
        <v>52100000</v>
      </c>
      <c r="K64" s="27">
        <f>SUMIFS(INDEX(Load,,MATCH('Summarized Source Data'!$B64,Hour,0)),Season,'Summarized Source Data'!$A64,Sector,'Summarized Source Data'!K$2,Subsector,'Summarized Source Data'!K$3,TimeOfWeek,$D64)</f>
        <v>1979717</v>
      </c>
      <c r="L64" s="27">
        <f>SUMIFS(INDEX(Load,,MATCH('Summarized Source Data'!$B64,Hour,0)),Season,'Summarized Source Data'!$A64,Sector,'Summarized Source Data'!L$2,Subsector,'Summarized Source Data'!L$3,TimeOfWeek,$D64)</f>
        <v>100800000</v>
      </c>
      <c r="M64" s="27">
        <f>SUMIFS(INDEX(Load,,MATCH('Summarized Source Data'!$B64,Hour,0)),Season,'Summarized Source Data'!$A64,Sector,'Summarized Source Data'!M$2,Subsector,'Summarized Source Data'!M$3,TimeOfWeek,$D64)</f>
        <v>0</v>
      </c>
      <c r="N64" s="29">
        <f t="shared" si="2"/>
        <v>52100000</v>
      </c>
      <c r="O64" s="27">
        <f t="shared" si="3"/>
        <v>52100000</v>
      </c>
      <c r="P64" s="29">
        <f t="shared" si="4"/>
        <v>52100000</v>
      </c>
      <c r="Q64" s="33">
        <f>SUMIFS(INDEX(Load,,MATCH('Summarized Source Data'!$B64,Hour,0)),Season,'Summarized Source Data'!$A64,Sector,'Summarized Source Data'!Q$2,TimeOfWeek,$D64)</f>
        <v>10200000</v>
      </c>
      <c r="R64" s="33">
        <f>SUMIFS(INDEX(Load,,MATCH('Summarized Source Data'!$B64,Hour,0)),Season,'Summarized Source Data'!$A64,Sector,'Summarized Source Data'!R$2,TimeOfWeek,$D64)</f>
        <v>10200000</v>
      </c>
      <c r="S64" s="33">
        <f>SUMIFS(INDEX(Load,,MATCH('Summarized Source Data'!$B64,Hour,0)),Season,'Summarized Source Data'!$A64,Sector,'Summarized Source Data'!S$2,TimeOfWeek,$D64)</f>
        <v>10200000</v>
      </c>
      <c r="T64" s="33">
        <f>SUMIFS(INDEX(Load,,MATCH('Summarized Source Data'!$B64,Hour,0)),Season,'Summarized Source Data'!$A64,Sector,'Summarized Source Data'!T$2,TimeOfWeek,$D64)</f>
        <v>10200000</v>
      </c>
      <c r="U64" s="33">
        <f>SUMIFS(INDEX(Load,,MATCH('Summarized Source Data'!$B64,Hour,0)),Season,'Summarized Source Data'!$A64,Sector,'Summarized Source Data'!U$2,TimeOfWeek,$D64)</f>
        <v>10200000</v>
      </c>
      <c r="V64" s="33">
        <f>SUMIFS(INDEX(Load,,MATCH('Summarized Source Data'!$B64,Hour,0)),Season,'Summarized Source Data'!$A64,Sector,'Summarized Source Data'!V$2,TimeOfWeek,$D64)</f>
        <v>10200000</v>
      </c>
      <c r="W64" s="27">
        <f>SUMIFS(INDEX(Load,,MATCH('Summarized Source Data'!$B64,Hour,0)),Season,'Summarized Source Data'!$A64,Sector,'Summarized Source Data'!W$2,Subsector,'Summarized Source Data'!W$3,TimeOfWeek,$D64)</f>
        <v>980000000</v>
      </c>
      <c r="X64" s="29">
        <f t="shared" si="6"/>
        <v>980000000</v>
      </c>
      <c r="Y64" s="29">
        <f t="shared" si="6"/>
        <v>980000000</v>
      </c>
    </row>
    <row r="65" spans="1:25" outlineLevel="1" x14ac:dyDescent="0.3">
      <c r="A65" t="s">
        <v>165</v>
      </c>
      <c r="B65" t="s">
        <v>77</v>
      </c>
      <c r="C65" s="6" t="s">
        <v>153</v>
      </c>
      <c r="D65" t="s">
        <v>49</v>
      </c>
      <c r="E65" s="27">
        <f>SUMIFS(INDEX(Load,,MATCH('Summarized Source Data'!$B65,Hour,0)),Season,'Summarized Source Data'!$A65,Sector,'Summarized Source Data'!E$2,Subsector,'Summarized Source Data'!E$3,TimeOfWeek,$D65)</f>
        <v>0</v>
      </c>
      <c r="F65" s="27">
        <f>SUMIFS(INDEX(Load,,MATCH('Summarized Source Data'!$B65,Hour,0)),Season,'Summarized Source Data'!$A65,Sector,'Summarized Source Data'!F$2,Subsector,'Summarized Source Data'!F$3,TimeOfWeek,$D65)</f>
        <v>33900000</v>
      </c>
      <c r="G65" s="27">
        <f>SUMIFS(INDEX(Load,,MATCH('Summarized Source Data'!$B65,Hour,0)),Season,'Summarized Source Data'!$A65,Sector,'Summarized Source Data'!G$2,Subsector,'Summarized Source Data'!G$3,TimeOfWeek,$D65)</f>
        <v>0</v>
      </c>
      <c r="H65" s="27">
        <f>SUMIFS(INDEX(Load,,MATCH('Summarized Source Data'!$B65,Hour,0)),Season,'Summarized Source Data'!$A65,Sector,'Summarized Source Data'!H$2,Subsector,'Summarized Source Data'!H$3,TimeOfWeek,$D65)</f>
        <v>53000000</v>
      </c>
      <c r="I65" s="27">
        <f t="shared" si="0"/>
        <v>53000000</v>
      </c>
      <c r="J65" s="29">
        <f t="shared" si="1"/>
        <v>53000000</v>
      </c>
      <c r="K65" s="27">
        <f>SUMIFS(INDEX(Load,,MATCH('Summarized Source Data'!$B65,Hour,0)),Season,'Summarized Source Data'!$A65,Sector,'Summarized Source Data'!K$2,Subsector,'Summarized Source Data'!K$3,TimeOfWeek,$D65)</f>
        <v>1794438</v>
      </c>
      <c r="L65" s="27">
        <f>SUMIFS(INDEX(Load,,MATCH('Summarized Source Data'!$B65,Hour,0)),Season,'Summarized Source Data'!$A65,Sector,'Summarized Source Data'!L$2,Subsector,'Summarized Source Data'!L$3,TimeOfWeek,$D65)</f>
        <v>104900000</v>
      </c>
      <c r="M65" s="27">
        <f>SUMIFS(INDEX(Load,,MATCH('Summarized Source Data'!$B65,Hour,0)),Season,'Summarized Source Data'!$A65,Sector,'Summarized Source Data'!M$2,Subsector,'Summarized Source Data'!M$3,TimeOfWeek,$D65)</f>
        <v>0</v>
      </c>
      <c r="N65" s="29">
        <f t="shared" si="2"/>
        <v>53000000</v>
      </c>
      <c r="O65" s="27">
        <f t="shared" si="3"/>
        <v>53000000</v>
      </c>
      <c r="P65" s="29">
        <f t="shared" si="4"/>
        <v>53000000</v>
      </c>
      <c r="Q65" s="33">
        <f>SUMIFS(INDEX(Load,,MATCH('Summarized Source Data'!$B65,Hour,0)),Season,'Summarized Source Data'!$A65,Sector,'Summarized Source Data'!Q$2,TimeOfWeek,$D65)</f>
        <v>10200000</v>
      </c>
      <c r="R65" s="33">
        <f>SUMIFS(INDEX(Load,,MATCH('Summarized Source Data'!$B65,Hour,0)),Season,'Summarized Source Data'!$A65,Sector,'Summarized Source Data'!R$2,TimeOfWeek,$D65)</f>
        <v>10200000</v>
      </c>
      <c r="S65" s="33">
        <f>SUMIFS(INDEX(Load,,MATCH('Summarized Source Data'!$B65,Hour,0)),Season,'Summarized Source Data'!$A65,Sector,'Summarized Source Data'!S$2,TimeOfWeek,$D65)</f>
        <v>10200000</v>
      </c>
      <c r="T65" s="33">
        <f>SUMIFS(INDEX(Load,,MATCH('Summarized Source Data'!$B65,Hour,0)),Season,'Summarized Source Data'!$A65,Sector,'Summarized Source Data'!T$2,TimeOfWeek,$D65)</f>
        <v>10200000</v>
      </c>
      <c r="U65" s="33">
        <f>SUMIFS(INDEX(Load,,MATCH('Summarized Source Data'!$B65,Hour,0)),Season,'Summarized Source Data'!$A65,Sector,'Summarized Source Data'!U$2,TimeOfWeek,$D65)</f>
        <v>10200000</v>
      </c>
      <c r="V65" s="33">
        <f>SUMIFS(INDEX(Load,,MATCH('Summarized Source Data'!$B65,Hour,0)),Season,'Summarized Source Data'!$A65,Sector,'Summarized Source Data'!V$2,TimeOfWeek,$D65)</f>
        <v>10200000</v>
      </c>
      <c r="W65" s="27">
        <f>SUMIFS(INDEX(Load,,MATCH('Summarized Source Data'!$B65,Hour,0)),Season,'Summarized Source Data'!$A65,Sector,'Summarized Source Data'!W$2,Subsector,'Summarized Source Data'!W$3,TimeOfWeek,$D65)</f>
        <v>980000000</v>
      </c>
      <c r="X65" s="29">
        <f t="shared" si="6"/>
        <v>980000000</v>
      </c>
      <c r="Y65" s="29">
        <f t="shared" si="6"/>
        <v>980000000</v>
      </c>
    </row>
    <row r="66" spans="1:25" outlineLevel="1" x14ac:dyDescent="0.3">
      <c r="A66" t="s">
        <v>165</v>
      </c>
      <c r="B66" t="s">
        <v>78</v>
      </c>
      <c r="C66" s="6" t="s">
        <v>154</v>
      </c>
      <c r="D66" t="s">
        <v>49</v>
      </c>
      <c r="E66" s="27">
        <f>SUMIFS(INDEX(Load,,MATCH('Summarized Source Data'!$B66,Hour,0)),Season,'Summarized Source Data'!$A66,Sector,'Summarized Source Data'!E$2,Subsector,'Summarized Source Data'!E$3,TimeOfWeek,$D66)</f>
        <v>0</v>
      </c>
      <c r="F66" s="27">
        <f>SUMIFS(INDEX(Load,,MATCH('Summarized Source Data'!$B66,Hour,0)),Season,'Summarized Source Data'!$A66,Sector,'Summarized Source Data'!F$2,Subsector,'Summarized Source Data'!F$3,TimeOfWeek,$D66)</f>
        <v>36100000</v>
      </c>
      <c r="G66" s="27">
        <f>SUMIFS(INDEX(Load,,MATCH('Summarized Source Data'!$B66,Hour,0)),Season,'Summarized Source Data'!$A66,Sector,'Summarized Source Data'!G$2,Subsector,'Summarized Source Data'!G$3,TimeOfWeek,$D66)</f>
        <v>0</v>
      </c>
      <c r="H66" s="27">
        <f>SUMIFS(INDEX(Load,,MATCH('Summarized Source Data'!$B66,Hour,0)),Season,'Summarized Source Data'!$A66,Sector,'Summarized Source Data'!H$2,Subsector,'Summarized Source Data'!H$3,TimeOfWeek,$D66)</f>
        <v>54200000</v>
      </c>
      <c r="I66" s="27">
        <f t="shared" si="0"/>
        <v>54200000</v>
      </c>
      <c r="J66" s="29">
        <f t="shared" si="1"/>
        <v>54200000</v>
      </c>
      <c r="K66" s="27">
        <f>SUMIFS(INDEX(Load,,MATCH('Summarized Source Data'!$B66,Hour,0)),Season,'Summarized Source Data'!$A66,Sector,'Summarized Source Data'!K$2,Subsector,'Summarized Source Data'!K$3,TimeOfWeek,$D66)</f>
        <v>1636009</v>
      </c>
      <c r="L66" s="27">
        <f>SUMIFS(INDEX(Load,,MATCH('Summarized Source Data'!$B66,Hour,0)),Season,'Summarized Source Data'!$A66,Sector,'Summarized Source Data'!L$2,Subsector,'Summarized Source Data'!L$3,TimeOfWeek,$D66)</f>
        <v>107100000</v>
      </c>
      <c r="M66" s="27">
        <f>SUMIFS(INDEX(Load,,MATCH('Summarized Source Data'!$B66,Hour,0)),Season,'Summarized Source Data'!$A66,Sector,'Summarized Source Data'!M$2,Subsector,'Summarized Source Data'!M$3,TimeOfWeek,$D66)</f>
        <v>0</v>
      </c>
      <c r="N66" s="29">
        <f t="shared" si="2"/>
        <v>54200000</v>
      </c>
      <c r="O66" s="27">
        <f t="shared" si="3"/>
        <v>54200000</v>
      </c>
      <c r="P66" s="29">
        <f t="shared" si="4"/>
        <v>54200000</v>
      </c>
      <c r="Q66" s="33">
        <f>SUMIFS(INDEX(Load,,MATCH('Summarized Source Data'!$B66,Hour,0)),Season,'Summarized Source Data'!$A66,Sector,'Summarized Source Data'!Q$2,TimeOfWeek,$D66)</f>
        <v>10170000</v>
      </c>
      <c r="R66" s="33">
        <f>SUMIFS(INDEX(Load,,MATCH('Summarized Source Data'!$B66,Hour,0)),Season,'Summarized Source Data'!$A66,Sector,'Summarized Source Data'!R$2,TimeOfWeek,$D66)</f>
        <v>10170000</v>
      </c>
      <c r="S66" s="33">
        <f>SUMIFS(INDEX(Load,,MATCH('Summarized Source Data'!$B66,Hour,0)),Season,'Summarized Source Data'!$A66,Sector,'Summarized Source Data'!S$2,TimeOfWeek,$D66)</f>
        <v>10170000</v>
      </c>
      <c r="T66" s="33">
        <f>SUMIFS(INDEX(Load,,MATCH('Summarized Source Data'!$B66,Hour,0)),Season,'Summarized Source Data'!$A66,Sector,'Summarized Source Data'!T$2,TimeOfWeek,$D66)</f>
        <v>10170000</v>
      </c>
      <c r="U66" s="33">
        <f>SUMIFS(INDEX(Load,,MATCH('Summarized Source Data'!$B66,Hour,0)),Season,'Summarized Source Data'!$A66,Sector,'Summarized Source Data'!U$2,TimeOfWeek,$D66)</f>
        <v>10170000</v>
      </c>
      <c r="V66" s="33">
        <f>SUMIFS(INDEX(Load,,MATCH('Summarized Source Data'!$B66,Hour,0)),Season,'Summarized Source Data'!$A66,Sector,'Summarized Source Data'!V$2,TimeOfWeek,$D66)</f>
        <v>10170000</v>
      </c>
      <c r="W66" s="27">
        <f>SUMIFS(INDEX(Load,,MATCH('Summarized Source Data'!$B66,Hour,0)),Season,'Summarized Source Data'!$A66,Sector,'Summarized Source Data'!W$2,Subsector,'Summarized Source Data'!W$3,TimeOfWeek,$D66)</f>
        <v>981000000</v>
      </c>
      <c r="X66" s="29">
        <f t="shared" si="6"/>
        <v>981000000</v>
      </c>
      <c r="Y66" s="29">
        <f t="shared" si="6"/>
        <v>981000000</v>
      </c>
    </row>
    <row r="67" spans="1:25" outlineLevel="1" x14ac:dyDescent="0.3">
      <c r="A67" t="s">
        <v>165</v>
      </c>
      <c r="B67" t="s">
        <v>79</v>
      </c>
      <c r="C67" s="6" t="s">
        <v>155</v>
      </c>
      <c r="D67" t="s">
        <v>49</v>
      </c>
      <c r="E67" s="27">
        <f>SUMIFS(INDEX(Load,,MATCH('Summarized Source Data'!$B67,Hour,0)),Season,'Summarized Source Data'!$A67,Sector,'Summarized Source Data'!E$2,Subsector,'Summarized Source Data'!E$3,TimeOfWeek,$D67)</f>
        <v>0</v>
      </c>
      <c r="F67" s="27">
        <f>SUMIFS(INDEX(Load,,MATCH('Summarized Source Data'!$B67,Hour,0)),Season,'Summarized Source Data'!$A67,Sector,'Summarized Source Data'!F$2,Subsector,'Summarized Source Data'!F$3,TimeOfWeek,$D67)</f>
        <v>38700000</v>
      </c>
      <c r="G67" s="27">
        <f>SUMIFS(INDEX(Load,,MATCH('Summarized Source Data'!$B67,Hour,0)),Season,'Summarized Source Data'!$A67,Sector,'Summarized Source Data'!G$2,Subsector,'Summarized Source Data'!G$3,TimeOfWeek,$D67)</f>
        <v>0</v>
      </c>
      <c r="H67" s="27">
        <f>SUMIFS(INDEX(Load,,MATCH('Summarized Source Data'!$B67,Hour,0)),Season,'Summarized Source Data'!$A67,Sector,'Summarized Source Data'!H$2,Subsector,'Summarized Source Data'!H$3,TimeOfWeek,$D67)</f>
        <v>58700000</v>
      </c>
      <c r="I67" s="27">
        <f t="shared" si="0"/>
        <v>58700000</v>
      </c>
      <c r="J67" s="29">
        <f t="shared" si="1"/>
        <v>58700000</v>
      </c>
      <c r="K67" s="27">
        <f>SUMIFS(INDEX(Load,,MATCH('Summarized Source Data'!$B67,Hour,0)),Season,'Summarized Source Data'!$A67,Sector,'Summarized Source Data'!K$2,Subsector,'Summarized Source Data'!K$3,TimeOfWeek,$D67)</f>
        <v>1486060</v>
      </c>
      <c r="L67" s="27">
        <f>SUMIFS(INDEX(Load,,MATCH('Summarized Source Data'!$B67,Hour,0)),Season,'Summarized Source Data'!$A67,Sector,'Summarized Source Data'!L$2,Subsector,'Summarized Source Data'!L$3,TimeOfWeek,$D67)</f>
        <v>106200000</v>
      </c>
      <c r="M67" s="27">
        <f>SUMIFS(INDEX(Load,,MATCH('Summarized Source Data'!$B67,Hour,0)),Season,'Summarized Source Data'!$A67,Sector,'Summarized Source Data'!M$2,Subsector,'Summarized Source Data'!M$3,TimeOfWeek,$D67)</f>
        <v>0</v>
      </c>
      <c r="N67" s="29">
        <f t="shared" si="2"/>
        <v>58700000</v>
      </c>
      <c r="O67" s="27">
        <f t="shared" si="3"/>
        <v>58700000</v>
      </c>
      <c r="P67" s="29">
        <f t="shared" si="4"/>
        <v>58700000</v>
      </c>
      <c r="Q67" s="33">
        <f>SUMIFS(INDEX(Load,,MATCH('Summarized Source Data'!$B67,Hour,0)),Season,'Summarized Source Data'!$A67,Sector,'Summarized Source Data'!Q$2,TimeOfWeek,$D67)</f>
        <v>12230000</v>
      </c>
      <c r="R67" s="33">
        <f>SUMIFS(INDEX(Load,,MATCH('Summarized Source Data'!$B67,Hour,0)),Season,'Summarized Source Data'!$A67,Sector,'Summarized Source Data'!R$2,TimeOfWeek,$D67)</f>
        <v>12230000</v>
      </c>
      <c r="S67" s="33">
        <f>SUMIFS(INDEX(Load,,MATCH('Summarized Source Data'!$B67,Hour,0)),Season,'Summarized Source Data'!$A67,Sector,'Summarized Source Data'!S$2,TimeOfWeek,$D67)</f>
        <v>12230000</v>
      </c>
      <c r="T67" s="33">
        <f>SUMIFS(INDEX(Load,,MATCH('Summarized Source Data'!$B67,Hour,0)),Season,'Summarized Source Data'!$A67,Sector,'Summarized Source Data'!T$2,TimeOfWeek,$D67)</f>
        <v>12230000</v>
      </c>
      <c r="U67" s="33">
        <f>SUMIFS(INDEX(Load,,MATCH('Summarized Source Data'!$B67,Hour,0)),Season,'Summarized Source Data'!$A67,Sector,'Summarized Source Data'!U$2,TimeOfWeek,$D67)</f>
        <v>12230000</v>
      </c>
      <c r="V67" s="33">
        <f>SUMIFS(INDEX(Load,,MATCH('Summarized Source Data'!$B67,Hour,0)),Season,'Summarized Source Data'!$A67,Sector,'Summarized Source Data'!V$2,TimeOfWeek,$D67)</f>
        <v>12230000</v>
      </c>
      <c r="W67" s="27">
        <f>SUMIFS(INDEX(Load,,MATCH('Summarized Source Data'!$B67,Hour,0)),Season,'Summarized Source Data'!$A67,Sector,'Summarized Source Data'!W$2,Subsector,'Summarized Source Data'!W$3,TimeOfWeek,$D67)</f>
        <v>986000000</v>
      </c>
      <c r="X67" s="29">
        <f t="shared" si="6"/>
        <v>986000000</v>
      </c>
      <c r="Y67" s="29">
        <f t="shared" si="6"/>
        <v>986000000</v>
      </c>
    </row>
    <row r="68" spans="1:25" outlineLevel="1" x14ac:dyDescent="0.3">
      <c r="A68" t="s">
        <v>165</v>
      </c>
      <c r="B68" t="s">
        <v>80</v>
      </c>
      <c r="C68" s="6" t="s">
        <v>156</v>
      </c>
      <c r="D68" t="s">
        <v>49</v>
      </c>
      <c r="E68" s="27">
        <f>SUMIFS(INDEX(Load,,MATCH('Summarized Source Data'!$B68,Hour,0)),Season,'Summarized Source Data'!$A68,Sector,'Summarized Source Data'!E$2,Subsector,'Summarized Source Data'!E$3,TimeOfWeek,$D68)</f>
        <v>0</v>
      </c>
      <c r="F68" s="27">
        <f>SUMIFS(INDEX(Load,,MATCH('Summarized Source Data'!$B68,Hour,0)),Season,'Summarized Source Data'!$A68,Sector,'Summarized Source Data'!F$2,Subsector,'Summarized Source Data'!F$3,TimeOfWeek,$D68)</f>
        <v>39900000</v>
      </c>
      <c r="G68" s="27">
        <f>SUMIFS(INDEX(Load,,MATCH('Summarized Source Data'!$B68,Hour,0)),Season,'Summarized Source Data'!$A68,Sector,'Summarized Source Data'!G$2,Subsector,'Summarized Source Data'!G$3,TimeOfWeek,$D68)</f>
        <v>0</v>
      </c>
      <c r="H68" s="27">
        <f>SUMIFS(INDEX(Load,,MATCH('Summarized Source Data'!$B68,Hour,0)),Season,'Summarized Source Data'!$A68,Sector,'Summarized Source Data'!H$2,Subsector,'Summarized Source Data'!H$3,TimeOfWeek,$D68)</f>
        <v>63900000</v>
      </c>
      <c r="I68" s="27">
        <f t="shared" si="0"/>
        <v>63900000</v>
      </c>
      <c r="J68" s="29">
        <f t="shared" si="1"/>
        <v>63900000</v>
      </c>
      <c r="K68" s="27">
        <f>SUMIFS(INDEX(Load,,MATCH('Summarized Source Data'!$B68,Hour,0)),Season,'Summarized Source Data'!$A68,Sector,'Summarized Source Data'!K$2,Subsector,'Summarized Source Data'!K$3,TimeOfWeek,$D68)</f>
        <v>1384424</v>
      </c>
      <c r="L68" s="27">
        <f>SUMIFS(INDEX(Load,,MATCH('Summarized Source Data'!$B68,Hour,0)),Season,'Summarized Source Data'!$A68,Sector,'Summarized Source Data'!L$2,Subsector,'Summarized Source Data'!L$3,TimeOfWeek,$D68)</f>
        <v>102500000</v>
      </c>
      <c r="M68" s="27">
        <f>SUMIFS(INDEX(Load,,MATCH('Summarized Source Data'!$B68,Hour,0)),Season,'Summarized Source Data'!$A68,Sector,'Summarized Source Data'!M$2,Subsector,'Summarized Source Data'!M$3,TimeOfWeek,$D68)</f>
        <v>0</v>
      </c>
      <c r="N68" s="29">
        <f t="shared" si="2"/>
        <v>63900000</v>
      </c>
      <c r="O68" s="27">
        <f t="shared" si="3"/>
        <v>63900000</v>
      </c>
      <c r="P68" s="29">
        <f t="shared" si="4"/>
        <v>63900000</v>
      </c>
      <c r="Q68" s="33">
        <f>SUMIFS(INDEX(Load,,MATCH('Summarized Source Data'!$B68,Hour,0)),Season,'Summarized Source Data'!$A68,Sector,'Summarized Source Data'!Q$2,TimeOfWeek,$D68)</f>
        <v>13650000</v>
      </c>
      <c r="R68" s="33">
        <f>SUMIFS(INDEX(Load,,MATCH('Summarized Source Data'!$B68,Hour,0)),Season,'Summarized Source Data'!$A68,Sector,'Summarized Source Data'!R$2,TimeOfWeek,$D68)</f>
        <v>13650000</v>
      </c>
      <c r="S68" s="33">
        <f>SUMIFS(INDEX(Load,,MATCH('Summarized Source Data'!$B68,Hour,0)),Season,'Summarized Source Data'!$A68,Sector,'Summarized Source Data'!S$2,TimeOfWeek,$D68)</f>
        <v>13650000</v>
      </c>
      <c r="T68" s="33">
        <f>SUMIFS(INDEX(Load,,MATCH('Summarized Source Data'!$B68,Hour,0)),Season,'Summarized Source Data'!$A68,Sector,'Summarized Source Data'!T$2,TimeOfWeek,$D68)</f>
        <v>13650000</v>
      </c>
      <c r="U68" s="33">
        <f>SUMIFS(INDEX(Load,,MATCH('Summarized Source Data'!$B68,Hour,0)),Season,'Summarized Source Data'!$A68,Sector,'Summarized Source Data'!U$2,TimeOfWeek,$D68)</f>
        <v>13650000</v>
      </c>
      <c r="V68" s="33">
        <f>SUMIFS(INDEX(Load,,MATCH('Summarized Source Data'!$B68,Hour,0)),Season,'Summarized Source Data'!$A68,Sector,'Summarized Source Data'!V$2,TimeOfWeek,$D68)</f>
        <v>13650000</v>
      </c>
      <c r="W68" s="27">
        <f>SUMIFS(INDEX(Load,,MATCH('Summarized Source Data'!$B68,Hour,0)),Season,'Summarized Source Data'!$A68,Sector,'Summarized Source Data'!W$2,Subsector,'Summarized Source Data'!W$3,TimeOfWeek,$D68)</f>
        <v>992000000</v>
      </c>
      <c r="X68" s="29">
        <f t="shared" si="6"/>
        <v>992000000</v>
      </c>
      <c r="Y68" s="29">
        <f t="shared" si="6"/>
        <v>992000000</v>
      </c>
    </row>
    <row r="69" spans="1:25" outlineLevel="1" x14ac:dyDescent="0.3">
      <c r="A69" t="s">
        <v>165</v>
      </c>
      <c r="B69" t="s">
        <v>81</v>
      </c>
      <c r="C69" s="6" t="s">
        <v>157</v>
      </c>
      <c r="D69" t="s">
        <v>49</v>
      </c>
      <c r="E69" s="27">
        <f>SUMIFS(INDEX(Load,,MATCH('Summarized Source Data'!$B69,Hour,0)),Season,'Summarized Source Data'!$A69,Sector,'Summarized Source Data'!E$2,Subsector,'Summarized Source Data'!E$3,TimeOfWeek,$D69)</f>
        <v>0</v>
      </c>
      <c r="F69" s="27">
        <f>SUMIFS(INDEX(Load,,MATCH('Summarized Source Data'!$B69,Hour,0)),Season,'Summarized Source Data'!$A69,Sector,'Summarized Source Data'!F$2,Subsector,'Summarized Source Data'!F$3,TimeOfWeek,$D69)</f>
        <v>39700000</v>
      </c>
      <c r="G69" s="27">
        <f>SUMIFS(INDEX(Load,,MATCH('Summarized Source Data'!$B69,Hour,0)),Season,'Summarized Source Data'!$A69,Sector,'Summarized Source Data'!G$2,Subsector,'Summarized Source Data'!G$3,TimeOfWeek,$D69)</f>
        <v>0</v>
      </c>
      <c r="H69" s="27">
        <f>SUMIFS(INDEX(Load,,MATCH('Summarized Source Data'!$B69,Hour,0)),Season,'Summarized Source Data'!$A69,Sector,'Summarized Source Data'!H$2,Subsector,'Summarized Source Data'!H$3,TimeOfWeek,$D69)</f>
        <v>108700000</v>
      </c>
      <c r="I69" s="27">
        <f t="shared" ref="I69:I132" si="7">H69</f>
        <v>108700000</v>
      </c>
      <c r="J69" s="29">
        <f t="shared" ref="J69:J132" si="8">H69</f>
        <v>108700000</v>
      </c>
      <c r="K69" s="27">
        <f>SUMIFS(INDEX(Load,,MATCH('Summarized Source Data'!$B69,Hour,0)),Season,'Summarized Source Data'!$A69,Sector,'Summarized Source Data'!K$2,Subsector,'Summarized Source Data'!K$3,TimeOfWeek,$D69)</f>
        <v>1388997</v>
      </c>
      <c r="L69" s="27">
        <f>SUMIFS(INDEX(Load,,MATCH('Summarized Source Data'!$B69,Hour,0)),Season,'Summarized Source Data'!$A69,Sector,'Summarized Source Data'!L$2,Subsector,'Summarized Source Data'!L$3,TimeOfWeek,$D69)</f>
        <v>95500000</v>
      </c>
      <c r="M69" s="27">
        <f>SUMIFS(INDEX(Load,,MATCH('Summarized Source Data'!$B69,Hour,0)),Season,'Summarized Source Data'!$A69,Sector,'Summarized Source Data'!M$2,Subsector,'Summarized Source Data'!M$3,TimeOfWeek,$D69)</f>
        <v>0</v>
      </c>
      <c r="N69" s="29">
        <f t="shared" ref="N69:N132" si="9">H69</f>
        <v>108700000</v>
      </c>
      <c r="O69" s="27">
        <f t="shared" ref="O69:O132" si="10">N69</f>
        <v>108700000</v>
      </c>
      <c r="P69" s="29">
        <f t="shared" ref="P69:P132" si="11">N69</f>
        <v>108700000</v>
      </c>
      <c r="Q69" s="33">
        <f>SUMIFS(INDEX(Load,,MATCH('Summarized Source Data'!$B69,Hour,0)),Season,'Summarized Source Data'!$A69,Sector,'Summarized Source Data'!Q$2,TimeOfWeek,$D69)</f>
        <v>13780000</v>
      </c>
      <c r="R69" s="33">
        <f>SUMIFS(INDEX(Load,,MATCH('Summarized Source Data'!$B69,Hour,0)),Season,'Summarized Source Data'!$A69,Sector,'Summarized Source Data'!R$2,TimeOfWeek,$D69)</f>
        <v>13780000</v>
      </c>
      <c r="S69" s="33">
        <f>SUMIFS(INDEX(Load,,MATCH('Summarized Source Data'!$B69,Hour,0)),Season,'Summarized Source Data'!$A69,Sector,'Summarized Source Data'!S$2,TimeOfWeek,$D69)</f>
        <v>13780000</v>
      </c>
      <c r="T69" s="33">
        <f>SUMIFS(INDEX(Load,,MATCH('Summarized Source Data'!$B69,Hour,0)),Season,'Summarized Source Data'!$A69,Sector,'Summarized Source Data'!T$2,TimeOfWeek,$D69)</f>
        <v>13780000</v>
      </c>
      <c r="U69" s="33">
        <f>SUMIFS(INDEX(Load,,MATCH('Summarized Source Data'!$B69,Hour,0)),Season,'Summarized Source Data'!$A69,Sector,'Summarized Source Data'!U$2,TimeOfWeek,$D69)</f>
        <v>13780000</v>
      </c>
      <c r="V69" s="33">
        <f>SUMIFS(INDEX(Load,,MATCH('Summarized Source Data'!$B69,Hour,0)),Season,'Summarized Source Data'!$A69,Sector,'Summarized Source Data'!V$2,TimeOfWeek,$D69)</f>
        <v>13780000</v>
      </c>
      <c r="W69" s="27">
        <f>SUMIFS(INDEX(Load,,MATCH('Summarized Source Data'!$B69,Hour,0)),Season,'Summarized Source Data'!$A69,Sector,'Summarized Source Data'!W$2,Subsector,'Summarized Source Data'!W$3,TimeOfWeek,$D69)</f>
        <v>992000000</v>
      </c>
      <c r="X69" s="29">
        <f t="shared" ref="X69:Y100" si="12">$W69</f>
        <v>992000000</v>
      </c>
      <c r="Y69" s="29">
        <f t="shared" si="12"/>
        <v>992000000</v>
      </c>
    </row>
    <row r="70" spans="1:25" outlineLevel="1" x14ac:dyDescent="0.3">
      <c r="A70" t="s">
        <v>165</v>
      </c>
      <c r="B70" t="s">
        <v>82</v>
      </c>
      <c r="C70" s="6" t="s">
        <v>158</v>
      </c>
      <c r="D70" t="s">
        <v>49</v>
      </c>
      <c r="E70" s="27">
        <f>SUMIFS(INDEX(Load,,MATCH('Summarized Source Data'!$B70,Hour,0)),Season,'Summarized Source Data'!$A70,Sector,'Summarized Source Data'!E$2,Subsector,'Summarized Source Data'!E$3,TimeOfWeek,$D70)</f>
        <v>0</v>
      </c>
      <c r="F70" s="27">
        <f>SUMIFS(INDEX(Load,,MATCH('Summarized Source Data'!$B70,Hour,0)),Season,'Summarized Source Data'!$A70,Sector,'Summarized Source Data'!F$2,Subsector,'Summarized Source Data'!F$3,TimeOfWeek,$D70)</f>
        <v>38000000</v>
      </c>
      <c r="G70" s="27">
        <f>SUMIFS(INDEX(Load,,MATCH('Summarized Source Data'!$B70,Hour,0)),Season,'Summarized Source Data'!$A70,Sector,'Summarized Source Data'!G$2,Subsector,'Summarized Source Data'!G$3,TimeOfWeek,$D70)</f>
        <v>0</v>
      </c>
      <c r="H70" s="27">
        <f>SUMIFS(INDEX(Load,,MATCH('Summarized Source Data'!$B70,Hour,0)),Season,'Summarized Source Data'!$A70,Sector,'Summarized Source Data'!H$2,Subsector,'Summarized Source Data'!H$3,TimeOfWeek,$D70)</f>
        <v>254900000</v>
      </c>
      <c r="I70" s="27">
        <f t="shared" si="7"/>
        <v>254900000</v>
      </c>
      <c r="J70" s="29">
        <f t="shared" si="8"/>
        <v>254900000</v>
      </c>
      <c r="K70" s="27">
        <f>SUMIFS(INDEX(Load,,MATCH('Summarized Source Data'!$B70,Hour,0)),Season,'Summarized Source Data'!$A70,Sector,'Summarized Source Data'!K$2,Subsector,'Summarized Source Data'!K$3,TimeOfWeek,$D70)</f>
        <v>1656686</v>
      </c>
      <c r="L70" s="27">
        <f>SUMIFS(INDEX(Load,,MATCH('Summarized Source Data'!$B70,Hour,0)),Season,'Summarized Source Data'!$A70,Sector,'Summarized Source Data'!L$2,Subsector,'Summarized Source Data'!L$3,TimeOfWeek,$D70)</f>
        <v>87700000</v>
      </c>
      <c r="M70" s="27">
        <f>SUMIFS(INDEX(Load,,MATCH('Summarized Source Data'!$B70,Hour,0)),Season,'Summarized Source Data'!$A70,Sector,'Summarized Source Data'!M$2,Subsector,'Summarized Source Data'!M$3,TimeOfWeek,$D70)</f>
        <v>0</v>
      </c>
      <c r="N70" s="29">
        <f t="shared" si="9"/>
        <v>254900000</v>
      </c>
      <c r="O70" s="27">
        <f t="shared" si="10"/>
        <v>254900000</v>
      </c>
      <c r="P70" s="29">
        <f t="shared" si="11"/>
        <v>254900000</v>
      </c>
      <c r="Q70" s="33">
        <f>SUMIFS(INDEX(Load,,MATCH('Summarized Source Data'!$B70,Hour,0)),Season,'Summarized Source Data'!$A70,Sector,'Summarized Source Data'!Q$2,TimeOfWeek,$D70)</f>
        <v>12480000</v>
      </c>
      <c r="R70" s="33">
        <f>SUMIFS(INDEX(Load,,MATCH('Summarized Source Data'!$B70,Hour,0)),Season,'Summarized Source Data'!$A70,Sector,'Summarized Source Data'!R$2,TimeOfWeek,$D70)</f>
        <v>12480000</v>
      </c>
      <c r="S70" s="33">
        <f>SUMIFS(INDEX(Load,,MATCH('Summarized Source Data'!$B70,Hour,0)),Season,'Summarized Source Data'!$A70,Sector,'Summarized Source Data'!S$2,TimeOfWeek,$D70)</f>
        <v>12480000</v>
      </c>
      <c r="T70" s="33">
        <f>SUMIFS(INDEX(Load,,MATCH('Summarized Source Data'!$B70,Hour,0)),Season,'Summarized Source Data'!$A70,Sector,'Summarized Source Data'!T$2,TimeOfWeek,$D70)</f>
        <v>12480000</v>
      </c>
      <c r="U70" s="33">
        <f>SUMIFS(INDEX(Load,,MATCH('Summarized Source Data'!$B70,Hour,0)),Season,'Summarized Source Data'!$A70,Sector,'Summarized Source Data'!U$2,TimeOfWeek,$D70)</f>
        <v>12480000</v>
      </c>
      <c r="V70" s="33">
        <f>SUMIFS(INDEX(Load,,MATCH('Summarized Source Data'!$B70,Hour,0)),Season,'Summarized Source Data'!$A70,Sector,'Summarized Source Data'!V$2,TimeOfWeek,$D70)</f>
        <v>12480000</v>
      </c>
      <c r="W70" s="27">
        <f>SUMIFS(INDEX(Load,,MATCH('Summarized Source Data'!$B70,Hour,0)),Season,'Summarized Source Data'!$A70,Sector,'Summarized Source Data'!W$2,Subsector,'Summarized Source Data'!W$3,TimeOfWeek,$D70)</f>
        <v>989000000</v>
      </c>
      <c r="X70" s="29">
        <f t="shared" si="12"/>
        <v>989000000</v>
      </c>
      <c r="Y70" s="29">
        <f t="shared" si="12"/>
        <v>989000000</v>
      </c>
    </row>
    <row r="71" spans="1:25" outlineLevel="1" x14ac:dyDescent="0.3">
      <c r="A71" t="s">
        <v>165</v>
      </c>
      <c r="B71" t="s">
        <v>83</v>
      </c>
      <c r="C71" s="6" t="s">
        <v>159</v>
      </c>
      <c r="D71" t="s">
        <v>49</v>
      </c>
      <c r="E71" s="27">
        <f>SUMIFS(INDEX(Load,,MATCH('Summarized Source Data'!$B71,Hour,0)),Season,'Summarized Source Data'!$A71,Sector,'Summarized Source Data'!E$2,Subsector,'Summarized Source Data'!E$3,TimeOfWeek,$D71)</f>
        <v>0</v>
      </c>
      <c r="F71" s="27">
        <f>SUMIFS(INDEX(Load,,MATCH('Summarized Source Data'!$B71,Hour,0)),Season,'Summarized Source Data'!$A71,Sector,'Summarized Source Data'!F$2,Subsector,'Summarized Source Data'!F$3,TimeOfWeek,$D71)</f>
        <v>34400000</v>
      </c>
      <c r="G71" s="27">
        <f>SUMIFS(INDEX(Load,,MATCH('Summarized Source Data'!$B71,Hour,0)),Season,'Summarized Source Data'!$A71,Sector,'Summarized Source Data'!G$2,Subsector,'Summarized Source Data'!G$3,TimeOfWeek,$D71)</f>
        <v>0</v>
      </c>
      <c r="H71" s="27">
        <f>SUMIFS(INDEX(Load,,MATCH('Summarized Source Data'!$B71,Hour,0)),Season,'Summarized Source Data'!$A71,Sector,'Summarized Source Data'!H$2,Subsector,'Summarized Source Data'!H$3,TimeOfWeek,$D71)</f>
        <v>274300000</v>
      </c>
      <c r="I71" s="27">
        <f t="shared" si="7"/>
        <v>274300000</v>
      </c>
      <c r="J71" s="29">
        <f t="shared" si="8"/>
        <v>274300000</v>
      </c>
      <c r="K71" s="27">
        <f>SUMIFS(INDEX(Load,,MATCH('Summarized Source Data'!$B71,Hour,0)),Season,'Summarized Source Data'!$A71,Sector,'Summarized Source Data'!K$2,Subsector,'Summarized Source Data'!K$3,TimeOfWeek,$D71)</f>
        <v>1982151</v>
      </c>
      <c r="L71" s="27">
        <f>SUMIFS(INDEX(Load,,MATCH('Summarized Source Data'!$B71,Hour,0)),Season,'Summarized Source Data'!$A71,Sector,'Summarized Source Data'!L$2,Subsector,'Summarized Source Data'!L$3,TimeOfWeek,$D71)</f>
        <v>78100000</v>
      </c>
      <c r="M71" s="27">
        <f>SUMIFS(INDEX(Load,,MATCH('Summarized Source Data'!$B71,Hour,0)),Season,'Summarized Source Data'!$A71,Sector,'Summarized Source Data'!M$2,Subsector,'Summarized Source Data'!M$3,TimeOfWeek,$D71)</f>
        <v>0</v>
      </c>
      <c r="N71" s="29">
        <f t="shared" si="9"/>
        <v>274300000</v>
      </c>
      <c r="O71" s="27">
        <f t="shared" si="10"/>
        <v>274300000</v>
      </c>
      <c r="P71" s="29">
        <f t="shared" si="11"/>
        <v>274300000</v>
      </c>
      <c r="Q71" s="33">
        <f>SUMIFS(INDEX(Load,,MATCH('Summarized Source Data'!$B71,Hour,0)),Season,'Summarized Source Data'!$A71,Sector,'Summarized Source Data'!Q$2,TimeOfWeek,$D71)</f>
        <v>10320000</v>
      </c>
      <c r="R71" s="33">
        <f>SUMIFS(INDEX(Load,,MATCH('Summarized Source Data'!$B71,Hour,0)),Season,'Summarized Source Data'!$A71,Sector,'Summarized Source Data'!R$2,TimeOfWeek,$D71)</f>
        <v>10320000</v>
      </c>
      <c r="S71" s="33">
        <f>SUMIFS(INDEX(Load,,MATCH('Summarized Source Data'!$B71,Hour,0)),Season,'Summarized Source Data'!$A71,Sector,'Summarized Source Data'!S$2,TimeOfWeek,$D71)</f>
        <v>10320000</v>
      </c>
      <c r="T71" s="33">
        <f>SUMIFS(INDEX(Load,,MATCH('Summarized Source Data'!$B71,Hour,0)),Season,'Summarized Source Data'!$A71,Sector,'Summarized Source Data'!T$2,TimeOfWeek,$D71)</f>
        <v>10320000</v>
      </c>
      <c r="U71" s="33">
        <f>SUMIFS(INDEX(Load,,MATCH('Summarized Source Data'!$B71,Hour,0)),Season,'Summarized Source Data'!$A71,Sector,'Summarized Source Data'!U$2,TimeOfWeek,$D71)</f>
        <v>10320000</v>
      </c>
      <c r="V71" s="33">
        <f>SUMIFS(INDEX(Load,,MATCH('Summarized Source Data'!$B71,Hour,0)),Season,'Summarized Source Data'!$A71,Sector,'Summarized Source Data'!V$2,TimeOfWeek,$D71)</f>
        <v>10320000</v>
      </c>
      <c r="W71" s="27">
        <f>SUMIFS(INDEX(Load,,MATCH('Summarized Source Data'!$B71,Hour,0)),Season,'Summarized Source Data'!$A71,Sector,'Summarized Source Data'!W$2,Subsector,'Summarized Source Data'!W$3,TimeOfWeek,$D71)</f>
        <v>986000000</v>
      </c>
      <c r="X71" s="29">
        <f t="shared" si="12"/>
        <v>986000000</v>
      </c>
      <c r="Y71" s="29">
        <f t="shared" si="12"/>
        <v>986000000</v>
      </c>
    </row>
    <row r="72" spans="1:25" outlineLevel="1" x14ac:dyDescent="0.3">
      <c r="A72" t="s">
        <v>165</v>
      </c>
      <c r="B72" t="s">
        <v>84</v>
      </c>
      <c r="C72" s="6" t="s">
        <v>160</v>
      </c>
      <c r="D72" t="s">
        <v>49</v>
      </c>
      <c r="E72" s="27">
        <f>SUMIFS(INDEX(Load,,MATCH('Summarized Source Data'!$B72,Hour,0)),Season,'Summarized Source Data'!$A72,Sector,'Summarized Source Data'!E$2,Subsector,'Summarized Source Data'!E$3,TimeOfWeek,$D72)</f>
        <v>0</v>
      </c>
      <c r="F72" s="27">
        <f>SUMIFS(INDEX(Load,,MATCH('Summarized Source Data'!$B72,Hour,0)),Season,'Summarized Source Data'!$A72,Sector,'Summarized Source Data'!F$2,Subsector,'Summarized Source Data'!F$3,TimeOfWeek,$D72)</f>
        <v>29720986</v>
      </c>
      <c r="G72" s="27">
        <f>SUMIFS(INDEX(Load,,MATCH('Summarized Source Data'!$B72,Hour,0)),Season,'Summarized Source Data'!$A72,Sector,'Summarized Source Data'!G$2,Subsector,'Summarized Source Data'!G$3,TimeOfWeek,$D72)</f>
        <v>0</v>
      </c>
      <c r="H72" s="27">
        <f>SUMIFS(INDEX(Load,,MATCH('Summarized Source Data'!$B72,Hour,0)),Season,'Summarized Source Data'!$A72,Sector,'Summarized Source Data'!H$2,Subsector,'Summarized Source Data'!H$3,TimeOfWeek,$D72)</f>
        <v>278700000</v>
      </c>
      <c r="I72" s="27">
        <f t="shared" si="7"/>
        <v>278700000</v>
      </c>
      <c r="J72" s="29">
        <f t="shared" si="8"/>
        <v>278700000</v>
      </c>
      <c r="K72" s="27">
        <f>SUMIFS(INDEX(Load,,MATCH('Summarized Source Data'!$B72,Hour,0)),Season,'Summarized Source Data'!$A72,Sector,'Summarized Source Data'!K$2,Subsector,'Summarized Source Data'!K$3,TimeOfWeek,$D72)</f>
        <v>2754961</v>
      </c>
      <c r="L72" s="27">
        <f>SUMIFS(INDEX(Load,,MATCH('Summarized Source Data'!$B72,Hour,0)),Season,'Summarized Source Data'!$A72,Sector,'Summarized Source Data'!L$2,Subsector,'Summarized Source Data'!L$3,TimeOfWeek,$D72)</f>
        <v>69300000</v>
      </c>
      <c r="M72" s="27">
        <f>SUMIFS(INDEX(Load,,MATCH('Summarized Source Data'!$B72,Hour,0)),Season,'Summarized Source Data'!$A72,Sector,'Summarized Source Data'!M$2,Subsector,'Summarized Source Data'!M$3,TimeOfWeek,$D72)</f>
        <v>0</v>
      </c>
      <c r="N72" s="29">
        <f t="shared" si="9"/>
        <v>278700000</v>
      </c>
      <c r="O72" s="27">
        <f t="shared" si="10"/>
        <v>278700000</v>
      </c>
      <c r="P72" s="29">
        <f t="shared" si="11"/>
        <v>278700000</v>
      </c>
      <c r="Q72" s="33">
        <f>SUMIFS(INDEX(Load,,MATCH('Summarized Source Data'!$B72,Hour,0)),Season,'Summarized Source Data'!$A72,Sector,'Summarized Source Data'!Q$2,TimeOfWeek,$D72)</f>
        <v>10170000</v>
      </c>
      <c r="R72" s="33">
        <f>SUMIFS(INDEX(Load,,MATCH('Summarized Source Data'!$B72,Hour,0)),Season,'Summarized Source Data'!$A72,Sector,'Summarized Source Data'!R$2,TimeOfWeek,$D72)</f>
        <v>10170000</v>
      </c>
      <c r="S72" s="33">
        <f>SUMIFS(INDEX(Load,,MATCH('Summarized Source Data'!$B72,Hour,0)),Season,'Summarized Source Data'!$A72,Sector,'Summarized Source Data'!S$2,TimeOfWeek,$D72)</f>
        <v>10170000</v>
      </c>
      <c r="T72" s="33">
        <f>SUMIFS(INDEX(Load,,MATCH('Summarized Source Data'!$B72,Hour,0)),Season,'Summarized Source Data'!$A72,Sector,'Summarized Source Data'!T$2,TimeOfWeek,$D72)</f>
        <v>10170000</v>
      </c>
      <c r="U72" s="33">
        <f>SUMIFS(INDEX(Load,,MATCH('Summarized Source Data'!$B72,Hour,0)),Season,'Summarized Source Data'!$A72,Sector,'Summarized Source Data'!U$2,TimeOfWeek,$D72)</f>
        <v>10170000</v>
      </c>
      <c r="V72" s="33">
        <f>SUMIFS(INDEX(Load,,MATCH('Summarized Source Data'!$B72,Hour,0)),Season,'Summarized Source Data'!$A72,Sector,'Summarized Source Data'!V$2,TimeOfWeek,$D72)</f>
        <v>10170000</v>
      </c>
      <c r="W72" s="27">
        <f>SUMIFS(INDEX(Load,,MATCH('Summarized Source Data'!$B72,Hour,0)),Season,'Summarized Source Data'!$A72,Sector,'Summarized Source Data'!W$2,Subsector,'Summarized Source Data'!W$3,TimeOfWeek,$D72)</f>
        <v>983000000</v>
      </c>
      <c r="X72" s="29">
        <f t="shared" si="12"/>
        <v>983000000</v>
      </c>
      <c r="Y72" s="29">
        <f t="shared" si="12"/>
        <v>983000000</v>
      </c>
    </row>
    <row r="73" spans="1:25" outlineLevel="1" x14ac:dyDescent="0.3">
      <c r="A73" t="s">
        <v>165</v>
      </c>
      <c r="B73" t="s">
        <v>85</v>
      </c>
      <c r="C73" s="6" t="s">
        <v>161</v>
      </c>
      <c r="D73" t="s">
        <v>49</v>
      </c>
      <c r="E73" s="27">
        <f>SUMIFS(INDEX(Load,,MATCH('Summarized Source Data'!$B73,Hour,0)),Season,'Summarized Source Data'!$A73,Sector,'Summarized Source Data'!E$2,Subsector,'Summarized Source Data'!E$3,TimeOfWeek,$D73)</f>
        <v>0</v>
      </c>
      <c r="F73" s="27">
        <f>SUMIFS(INDEX(Load,,MATCH('Summarized Source Data'!$B73,Hour,0)),Season,'Summarized Source Data'!$A73,Sector,'Summarized Source Data'!F$2,Subsector,'Summarized Source Data'!F$3,TimeOfWeek,$D73)</f>
        <v>24708888</v>
      </c>
      <c r="G73" s="27">
        <f>SUMIFS(INDEX(Load,,MATCH('Summarized Source Data'!$B73,Hour,0)),Season,'Summarized Source Data'!$A73,Sector,'Summarized Source Data'!G$2,Subsector,'Summarized Source Data'!G$3,TimeOfWeek,$D73)</f>
        <v>0</v>
      </c>
      <c r="H73" s="27">
        <f>SUMIFS(INDEX(Load,,MATCH('Summarized Source Data'!$B73,Hour,0)),Season,'Summarized Source Data'!$A73,Sector,'Summarized Source Data'!H$2,Subsector,'Summarized Source Data'!H$3,TimeOfWeek,$D73)</f>
        <v>228200000</v>
      </c>
      <c r="I73" s="27">
        <f t="shared" si="7"/>
        <v>228200000</v>
      </c>
      <c r="J73" s="29">
        <f t="shared" si="8"/>
        <v>228200000</v>
      </c>
      <c r="K73" s="27">
        <f>SUMIFS(INDEX(Load,,MATCH('Summarized Source Data'!$B73,Hour,0)),Season,'Summarized Source Data'!$A73,Sector,'Summarized Source Data'!K$2,Subsector,'Summarized Source Data'!K$3,TimeOfWeek,$D73)</f>
        <v>3076183</v>
      </c>
      <c r="L73" s="27">
        <f>SUMIFS(INDEX(Load,,MATCH('Summarized Source Data'!$B73,Hour,0)),Season,'Summarized Source Data'!$A73,Sector,'Summarized Source Data'!L$2,Subsector,'Summarized Source Data'!L$3,TimeOfWeek,$D73)</f>
        <v>61400000</v>
      </c>
      <c r="M73" s="27">
        <f>SUMIFS(INDEX(Load,,MATCH('Summarized Source Data'!$B73,Hour,0)),Season,'Summarized Source Data'!$A73,Sector,'Summarized Source Data'!M$2,Subsector,'Summarized Source Data'!M$3,TimeOfWeek,$D73)</f>
        <v>0</v>
      </c>
      <c r="N73" s="29">
        <f t="shared" si="9"/>
        <v>228200000</v>
      </c>
      <c r="O73" s="27">
        <f t="shared" si="10"/>
        <v>228200000</v>
      </c>
      <c r="P73" s="29">
        <f t="shared" si="11"/>
        <v>228200000</v>
      </c>
      <c r="Q73" s="33">
        <f>SUMIFS(INDEX(Load,,MATCH('Summarized Source Data'!$B73,Hour,0)),Season,'Summarized Source Data'!$A73,Sector,'Summarized Source Data'!Q$2,TimeOfWeek,$D73)</f>
        <v>10070000</v>
      </c>
      <c r="R73" s="33">
        <f>SUMIFS(INDEX(Load,,MATCH('Summarized Source Data'!$B73,Hour,0)),Season,'Summarized Source Data'!$A73,Sector,'Summarized Source Data'!R$2,TimeOfWeek,$D73)</f>
        <v>10070000</v>
      </c>
      <c r="S73" s="33">
        <f>SUMIFS(INDEX(Load,,MATCH('Summarized Source Data'!$B73,Hour,0)),Season,'Summarized Source Data'!$A73,Sector,'Summarized Source Data'!S$2,TimeOfWeek,$D73)</f>
        <v>10070000</v>
      </c>
      <c r="T73" s="33">
        <f>SUMIFS(INDEX(Load,,MATCH('Summarized Source Data'!$B73,Hour,0)),Season,'Summarized Source Data'!$A73,Sector,'Summarized Source Data'!T$2,TimeOfWeek,$D73)</f>
        <v>10070000</v>
      </c>
      <c r="U73" s="33">
        <f>SUMIFS(INDEX(Load,,MATCH('Summarized Source Data'!$B73,Hour,0)),Season,'Summarized Source Data'!$A73,Sector,'Summarized Source Data'!U$2,TimeOfWeek,$D73)</f>
        <v>10070000</v>
      </c>
      <c r="V73" s="33">
        <f>SUMIFS(INDEX(Load,,MATCH('Summarized Source Data'!$B73,Hour,0)),Season,'Summarized Source Data'!$A73,Sector,'Summarized Source Data'!V$2,TimeOfWeek,$D73)</f>
        <v>10070000</v>
      </c>
      <c r="W73" s="27">
        <f>SUMIFS(INDEX(Load,,MATCH('Summarized Source Data'!$B73,Hour,0)),Season,'Summarized Source Data'!$A73,Sector,'Summarized Source Data'!W$2,Subsector,'Summarized Source Data'!W$3,TimeOfWeek,$D73)</f>
        <v>978000000</v>
      </c>
      <c r="X73" s="29">
        <f t="shared" si="12"/>
        <v>978000000</v>
      </c>
      <c r="Y73" s="29">
        <f t="shared" si="12"/>
        <v>978000000</v>
      </c>
    </row>
    <row r="74" spans="1:25" outlineLevel="1" x14ac:dyDescent="0.3">
      <c r="A74" t="s">
        <v>165</v>
      </c>
      <c r="B74" t="s">
        <v>86</v>
      </c>
      <c r="C74" s="6" t="s">
        <v>162</v>
      </c>
      <c r="D74" t="s">
        <v>49</v>
      </c>
      <c r="E74" s="27">
        <f>SUMIFS(INDEX(Load,,MATCH('Summarized Source Data'!$B74,Hour,0)),Season,'Summarized Source Data'!$A74,Sector,'Summarized Source Data'!E$2,Subsector,'Summarized Source Data'!E$3,TimeOfWeek,$D74)</f>
        <v>0</v>
      </c>
      <c r="F74" s="27">
        <f>SUMIFS(INDEX(Load,,MATCH('Summarized Source Data'!$B74,Hour,0)),Season,'Summarized Source Data'!$A74,Sector,'Summarized Source Data'!F$2,Subsector,'Summarized Source Data'!F$3,TimeOfWeek,$D74)</f>
        <v>19958398</v>
      </c>
      <c r="G74" s="27">
        <f>SUMIFS(INDEX(Load,,MATCH('Summarized Source Data'!$B74,Hour,0)),Season,'Summarized Source Data'!$A74,Sector,'Summarized Source Data'!G$2,Subsector,'Summarized Source Data'!G$3,TimeOfWeek,$D74)</f>
        <v>0</v>
      </c>
      <c r="H74" s="27">
        <f>SUMIFS(INDEX(Load,,MATCH('Summarized Source Data'!$B74,Hour,0)),Season,'Summarized Source Data'!$A74,Sector,'Summarized Source Data'!H$2,Subsector,'Summarized Source Data'!H$3,TimeOfWeek,$D74)</f>
        <v>135600000</v>
      </c>
      <c r="I74" s="27">
        <f t="shared" si="7"/>
        <v>135600000</v>
      </c>
      <c r="J74" s="29">
        <f t="shared" si="8"/>
        <v>135600000</v>
      </c>
      <c r="K74" s="27">
        <f>SUMIFS(INDEX(Load,,MATCH('Summarized Source Data'!$B74,Hour,0)),Season,'Summarized Source Data'!$A74,Sector,'Summarized Source Data'!K$2,Subsector,'Summarized Source Data'!K$3,TimeOfWeek,$D74)</f>
        <v>3163145</v>
      </c>
      <c r="L74" s="27">
        <f>SUMIFS(INDEX(Load,,MATCH('Summarized Source Data'!$B74,Hour,0)),Season,'Summarized Source Data'!$A74,Sector,'Summarized Source Data'!L$2,Subsector,'Summarized Source Data'!L$3,TimeOfWeek,$D74)</f>
        <v>54000000</v>
      </c>
      <c r="M74" s="27">
        <f>SUMIFS(INDEX(Load,,MATCH('Summarized Source Data'!$B74,Hour,0)),Season,'Summarized Source Data'!$A74,Sector,'Summarized Source Data'!M$2,Subsector,'Summarized Source Data'!M$3,TimeOfWeek,$D74)</f>
        <v>0</v>
      </c>
      <c r="N74" s="29">
        <f t="shared" si="9"/>
        <v>135600000</v>
      </c>
      <c r="O74" s="27">
        <f t="shared" si="10"/>
        <v>135600000</v>
      </c>
      <c r="P74" s="29">
        <f t="shared" si="11"/>
        <v>135600000</v>
      </c>
      <c r="Q74" s="33">
        <f>SUMIFS(INDEX(Load,,MATCH('Summarized Source Data'!$B74,Hour,0)),Season,'Summarized Source Data'!$A74,Sector,'Summarized Source Data'!Q$2,TimeOfWeek,$D74)</f>
        <v>9980000</v>
      </c>
      <c r="R74" s="33">
        <f>SUMIFS(INDEX(Load,,MATCH('Summarized Source Data'!$B74,Hour,0)),Season,'Summarized Source Data'!$A74,Sector,'Summarized Source Data'!R$2,TimeOfWeek,$D74)</f>
        <v>9980000</v>
      </c>
      <c r="S74" s="33">
        <f>SUMIFS(INDEX(Load,,MATCH('Summarized Source Data'!$B74,Hour,0)),Season,'Summarized Source Data'!$A74,Sector,'Summarized Source Data'!S$2,TimeOfWeek,$D74)</f>
        <v>9980000</v>
      </c>
      <c r="T74" s="33">
        <f>SUMIFS(INDEX(Load,,MATCH('Summarized Source Data'!$B74,Hour,0)),Season,'Summarized Source Data'!$A74,Sector,'Summarized Source Data'!T$2,TimeOfWeek,$D74)</f>
        <v>9980000</v>
      </c>
      <c r="U74" s="33">
        <f>SUMIFS(INDEX(Load,,MATCH('Summarized Source Data'!$B74,Hour,0)),Season,'Summarized Source Data'!$A74,Sector,'Summarized Source Data'!U$2,TimeOfWeek,$D74)</f>
        <v>9980000</v>
      </c>
      <c r="V74" s="33">
        <f>SUMIFS(INDEX(Load,,MATCH('Summarized Source Data'!$B74,Hour,0)),Season,'Summarized Source Data'!$A74,Sector,'Summarized Source Data'!V$2,TimeOfWeek,$D74)</f>
        <v>9980000</v>
      </c>
      <c r="W74" s="27">
        <f>SUMIFS(INDEX(Load,,MATCH('Summarized Source Data'!$B74,Hour,0)),Season,'Summarized Source Data'!$A74,Sector,'Summarized Source Data'!W$2,Subsector,'Summarized Source Data'!W$3,TimeOfWeek,$D74)</f>
        <v>973000000</v>
      </c>
      <c r="X74" s="29">
        <f t="shared" si="12"/>
        <v>973000000</v>
      </c>
      <c r="Y74" s="29">
        <f t="shared" si="12"/>
        <v>973000000</v>
      </c>
    </row>
    <row r="75" spans="1:25" outlineLevel="1" x14ac:dyDescent="0.3">
      <c r="A75" t="s">
        <v>165</v>
      </c>
      <c r="B75" t="s">
        <v>87</v>
      </c>
      <c r="C75" s="6" t="s">
        <v>163</v>
      </c>
      <c r="D75" t="s">
        <v>49</v>
      </c>
      <c r="E75" s="27">
        <f>SUMIFS(INDEX(Load,,MATCH('Summarized Source Data'!$B75,Hour,0)),Season,'Summarized Source Data'!$A75,Sector,'Summarized Source Data'!E$2,Subsector,'Summarized Source Data'!E$3,TimeOfWeek,$D75)</f>
        <v>0</v>
      </c>
      <c r="F75" s="27">
        <f>SUMIFS(INDEX(Load,,MATCH('Summarized Source Data'!$B75,Hour,0)),Season,'Summarized Source Data'!$A75,Sector,'Summarized Source Data'!F$2,Subsector,'Summarized Source Data'!F$3,TimeOfWeek,$D75)</f>
        <v>16179722</v>
      </c>
      <c r="G75" s="27">
        <f>SUMIFS(INDEX(Load,,MATCH('Summarized Source Data'!$B75,Hour,0)),Season,'Summarized Source Data'!$A75,Sector,'Summarized Source Data'!G$2,Subsector,'Summarized Source Data'!G$3,TimeOfWeek,$D75)</f>
        <v>0</v>
      </c>
      <c r="H75" s="27">
        <f>SUMIFS(INDEX(Load,,MATCH('Summarized Source Data'!$B75,Hour,0)),Season,'Summarized Source Data'!$A75,Sector,'Summarized Source Data'!H$2,Subsector,'Summarized Source Data'!H$3,TimeOfWeek,$D75)</f>
        <v>71400000</v>
      </c>
      <c r="I75" s="27">
        <f t="shared" si="7"/>
        <v>71400000</v>
      </c>
      <c r="J75" s="29">
        <f t="shared" si="8"/>
        <v>71400000</v>
      </c>
      <c r="K75" s="27">
        <f>SUMIFS(INDEX(Load,,MATCH('Summarized Source Data'!$B75,Hour,0)),Season,'Summarized Source Data'!$A75,Sector,'Summarized Source Data'!K$2,Subsector,'Summarized Source Data'!K$3,TimeOfWeek,$D75)</f>
        <v>3403737</v>
      </c>
      <c r="L75" s="27">
        <f>SUMIFS(INDEX(Load,,MATCH('Summarized Source Data'!$B75,Hour,0)),Season,'Summarized Source Data'!$A75,Sector,'Summarized Source Data'!L$2,Subsector,'Summarized Source Data'!L$3,TimeOfWeek,$D75)</f>
        <v>46300000</v>
      </c>
      <c r="M75" s="27">
        <f>SUMIFS(INDEX(Load,,MATCH('Summarized Source Data'!$B75,Hour,0)),Season,'Summarized Source Data'!$A75,Sector,'Summarized Source Data'!M$2,Subsector,'Summarized Source Data'!M$3,TimeOfWeek,$D75)</f>
        <v>0</v>
      </c>
      <c r="N75" s="29">
        <f t="shared" si="9"/>
        <v>71400000</v>
      </c>
      <c r="O75" s="27">
        <f t="shared" si="10"/>
        <v>71400000</v>
      </c>
      <c r="P75" s="29">
        <f t="shared" si="11"/>
        <v>71400000</v>
      </c>
      <c r="Q75" s="33">
        <f>SUMIFS(INDEX(Load,,MATCH('Summarized Source Data'!$B75,Hour,0)),Season,'Summarized Source Data'!$A75,Sector,'Summarized Source Data'!Q$2,TimeOfWeek,$D75)</f>
        <v>6700000</v>
      </c>
      <c r="R75" s="33">
        <f>SUMIFS(INDEX(Load,,MATCH('Summarized Source Data'!$B75,Hour,0)),Season,'Summarized Source Data'!$A75,Sector,'Summarized Source Data'!R$2,TimeOfWeek,$D75)</f>
        <v>6700000</v>
      </c>
      <c r="S75" s="33">
        <f>SUMIFS(INDEX(Load,,MATCH('Summarized Source Data'!$B75,Hour,0)),Season,'Summarized Source Data'!$A75,Sector,'Summarized Source Data'!S$2,TimeOfWeek,$D75)</f>
        <v>6700000</v>
      </c>
      <c r="T75" s="33">
        <f>SUMIFS(INDEX(Load,,MATCH('Summarized Source Data'!$B75,Hour,0)),Season,'Summarized Source Data'!$A75,Sector,'Summarized Source Data'!T$2,TimeOfWeek,$D75)</f>
        <v>6700000</v>
      </c>
      <c r="U75" s="33">
        <f>SUMIFS(INDEX(Load,,MATCH('Summarized Source Data'!$B75,Hour,0)),Season,'Summarized Source Data'!$A75,Sector,'Summarized Source Data'!U$2,TimeOfWeek,$D75)</f>
        <v>6700000</v>
      </c>
      <c r="V75" s="33">
        <f>SUMIFS(INDEX(Load,,MATCH('Summarized Source Data'!$B75,Hour,0)),Season,'Summarized Source Data'!$A75,Sector,'Summarized Source Data'!V$2,TimeOfWeek,$D75)</f>
        <v>6700000</v>
      </c>
      <c r="W75" s="27">
        <f>SUMIFS(INDEX(Load,,MATCH('Summarized Source Data'!$B75,Hour,0)),Season,'Summarized Source Data'!$A75,Sector,'Summarized Source Data'!W$2,Subsector,'Summarized Source Data'!W$3,TimeOfWeek,$D75)</f>
        <v>970000000</v>
      </c>
      <c r="X75" s="29">
        <f t="shared" si="12"/>
        <v>970000000</v>
      </c>
      <c r="Y75" s="29">
        <f t="shared" si="12"/>
        <v>970000000</v>
      </c>
    </row>
    <row r="76" spans="1:25" outlineLevel="1" x14ac:dyDescent="0.3">
      <c r="A76" t="s">
        <v>166</v>
      </c>
      <c r="B76" t="s">
        <v>64</v>
      </c>
      <c r="C76" s="6" t="s">
        <v>140</v>
      </c>
      <c r="D76" t="s">
        <v>49</v>
      </c>
      <c r="E76" s="27">
        <f>SUMIFS(INDEX(Load,,MATCH('Summarized Source Data'!$B76,Hour,0)),Season,'Summarized Source Data'!$A76,Sector,'Summarized Source Data'!E$2,Subsector,'Summarized Source Data'!E$3,TimeOfWeek,$D76)</f>
        <v>0</v>
      </c>
      <c r="F76" s="27">
        <f>SUMIFS(INDEX(Load,,MATCH('Summarized Source Data'!$B76,Hour,0)),Season,'Summarized Source Data'!$A76,Sector,'Summarized Source Data'!F$2,Subsector,'Summarized Source Data'!F$3,TimeOfWeek,$D76)</f>
        <v>5722129</v>
      </c>
      <c r="G76" s="27">
        <f>SUMIFS(INDEX(Load,,MATCH('Summarized Source Data'!$B76,Hour,0)),Season,'Summarized Source Data'!$A76,Sector,'Summarized Source Data'!G$2,Subsector,'Summarized Source Data'!G$3,TimeOfWeek,$D76)</f>
        <v>0</v>
      </c>
      <c r="H76" s="27">
        <f>SUMIFS(INDEX(Load,,MATCH('Summarized Source Data'!$B76,Hour,0)),Season,'Summarized Source Data'!$A76,Sector,'Summarized Source Data'!H$2,Subsector,'Summarized Source Data'!H$3,TimeOfWeek,$D76)</f>
        <v>34600000</v>
      </c>
      <c r="I76" s="27">
        <f t="shared" si="7"/>
        <v>34600000</v>
      </c>
      <c r="J76" s="29">
        <f t="shared" si="8"/>
        <v>34600000</v>
      </c>
      <c r="K76" s="27">
        <f>SUMIFS(INDEX(Load,,MATCH('Summarized Source Data'!$B76,Hour,0)),Season,'Summarized Source Data'!$A76,Sector,'Summarized Source Data'!K$2,Subsector,'Summarized Source Data'!K$3,TimeOfWeek,$D76)</f>
        <v>4292038</v>
      </c>
      <c r="L76" s="27">
        <f>SUMIFS(INDEX(Load,,MATCH('Summarized Source Data'!$B76,Hour,0)),Season,'Summarized Source Data'!$A76,Sector,'Summarized Source Data'!L$2,Subsector,'Summarized Source Data'!L$3,TimeOfWeek,$D76)</f>
        <v>19461717</v>
      </c>
      <c r="M76" s="27">
        <f>SUMIFS(INDEX(Load,,MATCH('Summarized Source Data'!$B76,Hour,0)),Season,'Summarized Source Data'!$A76,Sector,'Summarized Source Data'!M$2,Subsector,'Summarized Source Data'!M$3,TimeOfWeek,$D76)</f>
        <v>0</v>
      </c>
      <c r="N76" s="29">
        <f t="shared" si="9"/>
        <v>34600000</v>
      </c>
      <c r="O76" s="27">
        <f t="shared" si="10"/>
        <v>34600000</v>
      </c>
      <c r="P76" s="29">
        <f t="shared" si="11"/>
        <v>34600000</v>
      </c>
      <c r="Q76" s="33">
        <f>SUMIFS(INDEX(Load,,MATCH('Summarized Source Data'!$B76,Hour,0)),Season,'Summarized Source Data'!$A76,Sector,'Summarized Source Data'!Q$2,TimeOfWeek,$D76)</f>
        <v>3380000</v>
      </c>
      <c r="R76" s="33">
        <f>SUMIFS(INDEX(Load,,MATCH('Summarized Source Data'!$B76,Hour,0)),Season,'Summarized Source Data'!$A76,Sector,'Summarized Source Data'!R$2,TimeOfWeek,$D76)</f>
        <v>3380000</v>
      </c>
      <c r="S76" s="33">
        <f>SUMIFS(INDEX(Load,,MATCH('Summarized Source Data'!$B76,Hour,0)),Season,'Summarized Source Data'!$A76,Sector,'Summarized Source Data'!S$2,TimeOfWeek,$D76)</f>
        <v>3380000</v>
      </c>
      <c r="T76" s="33">
        <f>SUMIFS(INDEX(Load,,MATCH('Summarized Source Data'!$B76,Hour,0)),Season,'Summarized Source Data'!$A76,Sector,'Summarized Source Data'!T$2,TimeOfWeek,$D76)</f>
        <v>3380000</v>
      </c>
      <c r="U76" s="33">
        <f>SUMIFS(INDEX(Load,,MATCH('Summarized Source Data'!$B76,Hour,0)),Season,'Summarized Source Data'!$A76,Sector,'Summarized Source Data'!U$2,TimeOfWeek,$D76)</f>
        <v>3380000</v>
      </c>
      <c r="V76" s="33">
        <f>SUMIFS(INDEX(Load,,MATCH('Summarized Source Data'!$B76,Hour,0)),Season,'Summarized Source Data'!$A76,Sector,'Summarized Source Data'!V$2,TimeOfWeek,$D76)</f>
        <v>3380000</v>
      </c>
      <c r="W76" s="27">
        <f>SUMIFS(INDEX(Load,,MATCH('Summarized Source Data'!$B76,Hour,0)),Season,'Summarized Source Data'!$A76,Sector,'Summarized Source Data'!W$2,Subsector,'Summarized Source Data'!W$3,TimeOfWeek,$D76)</f>
        <v>655000000</v>
      </c>
      <c r="X76" s="29">
        <f t="shared" si="12"/>
        <v>655000000</v>
      </c>
      <c r="Y76" s="29">
        <f t="shared" si="12"/>
        <v>655000000</v>
      </c>
    </row>
    <row r="77" spans="1:25" outlineLevel="1" x14ac:dyDescent="0.3">
      <c r="A77" t="s">
        <v>166</v>
      </c>
      <c r="B77" t="s">
        <v>65</v>
      </c>
      <c r="C77" s="6" t="s">
        <v>141</v>
      </c>
      <c r="D77" t="s">
        <v>49</v>
      </c>
      <c r="E77" s="27">
        <f>SUMIFS(INDEX(Load,,MATCH('Summarized Source Data'!$B77,Hour,0)),Season,'Summarized Source Data'!$A77,Sector,'Summarized Source Data'!E$2,Subsector,'Summarized Source Data'!E$3,TimeOfWeek,$D77)</f>
        <v>0</v>
      </c>
      <c r="F77" s="27">
        <f>SUMIFS(INDEX(Load,,MATCH('Summarized Source Data'!$B77,Hour,0)),Season,'Summarized Source Data'!$A77,Sector,'Summarized Source Data'!F$2,Subsector,'Summarized Source Data'!F$3,TimeOfWeek,$D77)</f>
        <v>5020617</v>
      </c>
      <c r="G77" s="27">
        <f>SUMIFS(INDEX(Load,,MATCH('Summarized Source Data'!$B77,Hour,0)),Season,'Summarized Source Data'!$A77,Sector,'Summarized Source Data'!G$2,Subsector,'Summarized Source Data'!G$3,TimeOfWeek,$D77)</f>
        <v>0</v>
      </c>
      <c r="H77" s="27">
        <f>SUMIFS(INDEX(Load,,MATCH('Summarized Source Data'!$B77,Hour,0)),Season,'Summarized Source Data'!$A77,Sector,'Summarized Source Data'!H$2,Subsector,'Summarized Source Data'!H$3,TimeOfWeek,$D77)</f>
        <v>31800000</v>
      </c>
      <c r="I77" s="27">
        <f t="shared" si="7"/>
        <v>31800000</v>
      </c>
      <c r="J77" s="29">
        <f t="shared" si="8"/>
        <v>31800000</v>
      </c>
      <c r="K77" s="27">
        <f>SUMIFS(INDEX(Load,,MATCH('Summarized Source Data'!$B77,Hour,0)),Season,'Summarized Source Data'!$A77,Sector,'Summarized Source Data'!K$2,Subsector,'Summarized Source Data'!K$3,TimeOfWeek,$D77)</f>
        <v>4007365</v>
      </c>
      <c r="L77" s="27">
        <f>SUMIFS(INDEX(Load,,MATCH('Summarized Source Data'!$B77,Hour,0)),Season,'Summarized Source Data'!$A77,Sector,'Summarized Source Data'!L$2,Subsector,'Summarized Source Data'!L$3,TimeOfWeek,$D77)</f>
        <v>18078706</v>
      </c>
      <c r="M77" s="27">
        <f>SUMIFS(INDEX(Load,,MATCH('Summarized Source Data'!$B77,Hour,0)),Season,'Summarized Source Data'!$A77,Sector,'Summarized Source Data'!M$2,Subsector,'Summarized Source Data'!M$3,TimeOfWeek,$D77)</f>
        <v>0</v>
      </c>
      <c r="N77" s="29">
        <f t="shared" si="9"/>
        <v>31800000</v>
      </c>
      <c r="O77" s="27">
        <f t="shared" si="10"/>
        <v>31800000</v>
      </c>
      <c r="P77" s="29">
        <f t="shared" si="11"/>
        <v>31800000</v>
      </c>
      <c r="Q77" s="33">
        <f>SUMIFS(INDEX(Load,,MATCH('Summarized Source Data'!$B77,Hour,0)),Season,'Summarized Source Data'!$A77,Sector,'Summarized Source Data'!Q$2,TimeOfWeek,$D77)</f>
        <v>3370000</v>
      </c>
      <c r="R77" s="33">
        <f>SUMIFS(INDEX(Load,,MATCH('Summarized Source Data'!$B77,Hour,0)),Season,'Summarized Source Data'!$A77,Sector,'Summarized Source Data'!R$2,TimeOfWeek,$D77)</f>
        <v>3370000</v>
      </c>
      <c r="S77" s="33">
        <f>SUMIFS(INDEX(Load,,MATCH('Summarized Source Data'!$B77,Hour,0)),Season,'Summarized Source Data'!$A77,Sector,'Summarized Source Data'!S$2,TimeOfWeek,$D77)</f>
        <v>3370000</v>
      </c>
      <c r="T77" s="33">
        <f>SUMIFS(INDEX(Load,,MATCH('Summarized Source Data'!$B77,Hour,0)),Season,'Summarized Source Data'!$A77,Sector,'Summarized Source Data'!T$2,TimeOfWeek,$D77)</f>
        <v>3370000</v>
      </c>
      <c r="U77" s="33">
        <f>SUMIFS(INDEX(Load,,MATCH('Summarized Source Data'!$B77,Hour,0)),Season,'Summarized Source Data'!$A77,Sector,'Summarized Source Data'!U$2,TimeOfWeek,$D77)</f>
        <v>3370000</v>
      </c>
      <c r="V77" s="33">
        <f>SUMIFS(INDEX(Load,,MATCH('Summarized Source Data'!$B77,Hour,0)),Season,'Summarized Source Data'!$A77,Sector,'Summarized Source Data'!V$2,TimeOfWeek,$D77)</f>
        <v>3370000</v>
      </c>
      <c r="W77" s="27">
        <f>SUMIFS(INDEX(Load,,MATCH('Summarized Source Data'!$B77,Hour,0)),Season,'Summarized Source Data'!$A77,Sector,'Summarized Source Data'!W$2,Subsector,'Summarized Source Data'!W$3,TimeOfWeek,$D77)</f>
        <v>655000000</v>
      </c>
      <c r="X77" s="29">
        <f t="shared" si="12"/>
        <v>655000000</v>
      </c>
      <c r="Y77" s="29">
        <f t="shared" si="12"/>
        <v>655000000</v>
      </c>
    </row>
    <row r="78" spans="1:25" outlineLevel="1" x14ac:dyDescent="0.3">
      <c r="A78" t="s">
        <v>166</v>
      </c>
      <c r="B78" t="s">
        <v>66</v>
      </c>
      <c r="C78" s="6" t="s">
        <v>142</v>
      </c>
      <c r="D78" t="s">
        <v>49</v>
      </c>
      <c r="E78" s="27">
        <f>SUMIFS(INDEX(Load,,MATCH('Summarized Source Data'!$B78,Hour,0)),Season,'Summarized Source Data'!$A78,Sector,'Summarized Source Data'!E$2,Subsector,'Summarized Source Data'!E$3,TimeOfWeek,$D78)</f>
        <v>0</v>
      </c>
      <c r="F78" s="27">
        <f>SUMIFS(INDEX(Load,,MATCH('Summarized Source Data'!$B78,Hour,0)),Season,'Summarized Source Data'!$A78,Sector,'Summarized Source Data'!F$2,Subsector,'Summarized Source Data'!F$3,TimeOfWeek,$D78)</f>
        <v>4804759</v>
      </c>
      <c r="G78" s="27">
        <f>SUMIFS(INDEX(Load,,MATCH('Summarized Source Data'!$B78,Hour,0)),Season,'Summarized Source Data'!$A78,Sector,'Summarized Source Data'!G$2,Subsector,'Summarized Source Data'!G$3,TimeOfWeek,$D78)</f>
        <v>0</v>
      </c>
      <c r="H78" s="27">
        <f>SUMIFS(INDEX(Load,,MATCH('Summarized Source Data'!$B78,Hour,0)),Season,'Summarized Source Data'!$A78,Sector,'Summarized Source Data'!H$2,Subsector,'Summarized Source Data'!H$3,TimeOfWeek,$D78)</f>
        <v>31500000</v>
      </c>
      <c r="I78" s="27">
        <f t="shared" si="7"/>
        <v>31500000</v>
      </c>
      <c r="J78" s="29">
        <f t="shared" si="8"/>
        <v>31500000</v>
      </c>
      <c r="K78" s="27">
        <f>SUMIFS(INDEX(Load,,MATCH('Summarized Source Data'!$B78,Hour,0)),Season,'Summarized Source Data'!$A78,Sector,'Summarized Source Data'!K$2,Subsector,'Summarized Source Data'!K$3,TimeOfWeek,$D78)</f>
        <v>4075078</v>
      </c>
      <c r="L78" s="27">
        <f>SUMIFS(INDEX(Load,,MATCH('Summarized Source Data'!$B78,Hour,0)),Season,'Summarized Source Data'!$A78,Sector,'Summarized Source Data'!L$2,Subsector,'Summarized Source Data'!L$3,TimeOfWeek,$D78)</f>
        <v>17555931</v>
      </c>
      <c r="M78" s="27">
        <f>SUMIFS(INDEX(Load,,MATCH('Summarized Source Data'!$B78,Hour,0)),Season,'Summarized Source Data'!$A78,Sector,'Summarized Source Data'!M$2,Subsector,'Summarized Source Data'!M$3,TimeOfWeek,$D78)</f>
        <v>0</v>
      </c>
      <c r="N78" s="29">
        <f t="shared" si="9"/>
        <v>31500000</v>
      </c>
      <c r="O78" s="27">
        <f t="shared" si="10"/>
        <v>31500000</v>
      </c>
      <c r="P78" s="29">
        <f t="shared" si="11"/>
        <v>31500000</v>
      </c>
      <c r="Q78" s="33">
        <f>SUMIFS(INDEX(Load,,MATCH('Summarized Source Data'!$B78,Hour,0)),Season,'Summarized Source Data'!$A78,Sector,'Summarized Source Data'!Q$2,TimeOfWeek,$D78)</f>
        <v>3370000</v>
      </c>
      <c r="R78" s="33">
        <f>SUMIFS(INDEX(Load,,MATCH('Summarized Source Data'!$B78,Hour,0)),Season,'Summarized Source Data'!$A78,Sector,'Summarized Source Data'!R$2,TimeOfWeek,$D78)</f>
        <v>3370000</v>
      </c>
      <c r="S78" s="33">
        <f>SUMIFS(INDEX(Load,,MATCH('Summarized Source Data'!$B78,Hour,0)),Season,'Summarized Source Data'!$A78,Sector,'Summarized Source Data'!S$2,TimeOfWeek,$D78)</f>
        <v>3370000</v>
      </c>
      <c r="T78" s="33">
        <f>SUMIFS(INDEX(Load,,MATCH('Summarized Source Data'!$B78,Hour,0)),Season,'Summarized Source Data'!$A78,Sector,'Summarized Source Data'!T$2,TimeOfWeek,$D78)</f>
        <v>3370000</v>
      </c>
      <c r="U78" s="33">
        <f>SUMIFS(INDEX(Load,,MATCH('Summarized Source Data'!$B78,Hour,0)),Season,'Summarized Source Data'!$A78,Sector,'Summarized Source Data'!U$2,TimeOfWeek,$D78)</f>
        <v>3370000</v>
      </c>
      <c r="V78" s="33">
        <f>SUMIFS(INDEX(Load,,MATCH('Summarized Source Data'!$B78,Hour,0)),Season,'Summarized Source Data'!$A78,Sector,'Summarized Source Data'!V$2,TimeOfWeek,$D78)</f>
        <v>3370000</v>
      </c>
      <c r="W78" s="27">
        <f>SUMIFS(INDEX(Load,,MATCH('Summarized Source Data'!$B78,Hour,0)),Season,'Summarized Source Data'!$A78,Sector,'Summarized Source Data'!W$2,Subsector,'Summarized Source Data'!W$3,TimeOfWeek,$D78)</f>
        <v>655000000</v>
      </c>
      <c r="X78" s="29">
        <f t="shared" si="12"/>
        <v>655000000</v>
      </c>
      <c r="Y78" s="29">
        <f t="shared" si="12"/>
        <v>655000000</v>
      </c>
    </row>
    <row r="79" spans="1:25" outlineLevel="1" x14ac:dyDescent="0.3">
      <c r="A79" t="s">
        <v>166</v>
      </c>
      <c r="B79" t="s">
        <v>67</v>
      </c>
      <c r="C79" s="6" t="s">
        <v>143</v>
      </c>
      <c r="D79" t="s">
        <v>49</v>
      </c>
      <c r="E79" s="27">
        <f>SUMIFS(INDEX(Load,,MATCH('Summarized Source Data'!$B79,Hour,0)),Season,'Summarized Source Data'!$A79,Sector,'Summarized Source Data'!E$2,Subsector,'Summarized Source Data'!E$3,TimeOfWeek,$D79)</f>
        <v>0</v>
      </c>
      <c r="F79" s="27">
        <f>SUMIFS(INDEX(Load,,MATCH('Summarized Source Data'!$B79,Hour,0)),Season,'Summarized Source Data'!$A79,Sector,'Summarized Source Data'!F$2,Subsector,'Summarized Source Data'!F$3,TimeOfWeek,$D79)</f>
        <v>5042638</v>
      </c>
      <c r="G79" s="27">
        <f>SUMIFS(INDEX(Load,,MATCH('Summarized Source Data'!$B79,Hour,0)),Season,'Summarized Source Data'!$A79,Sector,'Summarized Source Data'!G$2,Subsector,'Summarized Source Data'!G$3,TimeOfWeek,$D79)</f>
        <v>0</v>
      </c>
      <c r="H79" s="27">
        <f>SUMIFS(INDEX(Load,,MATCH('Summarized Source Data'!$B79,Hour,0)),Season,'Summarized Source Data'!$A79,Sector,'Summarized Source Data'!H$2,Subsector,'Summarized Source Data'!H$3,TimeOfWeek,$D79)</f>
        <v>32200000</v>
      </c>
      <c r="I79" s="27">
        <f t="shared" si="7"/>
        <v>32200000</v>
      </c>
      <c r="J79" s="29">
        <f t="shared" si="8"/>
        <v>32200000</v>
      </c>
      <c r="K79" s="27">
        <f>SUMIFS(INDEX(Load,,MATCH('Summarized Source Data'!$B79,Hour,0)),Season,'Summarized Source Data'!$A79,Sector,'Summarized Source Data'!K$2,Subsector,'Summarized Source Data'!K$3,TimeOfWeek,$D79)</f>
        <v>4144958</v>
      </c>
      <c r="L79" s="27">
        <f>SUMIFS(INDEX(Load,,MATCH('Summarized Source Data'!$B79,Hour,0)),Season,'Summarized Source Data'!$A79,Sector,'Summarized Source Data'!L$2,Subsector,'Summarized Source Data'!L$3,TimeOfWeek,$D79)</f>
        <v>17514861</v>
      </c>
      <c r="M79" s="27">
        <f>SUMIFS(INDEX(Load,,MATCH('Summarized Source Data'!$B79,Hour,0)),Season,'Summarized Source Data'!$A79,Sector,'Summarized Source Data'!M$2,Subsector,'Summarized Source Data'!M$3,TimeOfWeek,$D79)</f>
        <v>0</v>
      </c>
      <c r="N79" s="29">
        <f t="shared" si="9"/>
        <v>32200000</v>
      </c>
      <c r="O79" s="27">
        <f t="shared" si="10"/>
        <v>32200000</v>
      </c>
      <c r="P79" s="29">
        <f t="shared" si="11"/>
        <v>32200000</v>
      </c>
      <c r="Q79" s="33">
        <f>SUMIFS(INDEX(Load,,MATCH('Summarized Source Data'!$B79,Hour,0)),Season,'Summarized Source Data'!$A79,Sector,'Summarized Source Data'!Q$2,TimeOfWeek,$D79)</f>
        <v>3370000</v>
      </c>
      <c r="R79" s="33">
        <f>SUMIFS(INDEX(Load,,MATCH('Summarized Source Data'!$B79,Hour,0)),Season,'Summarized Source Data'!$A79,Sector,'Summarized Source Data'!R$2,TimeOfWeek,$D79)</f>
        <v>3370000</v>
      </c>
      <c r="S79" s="33">
        <f>SUMIFS(INDEX(Load,,MATCH('Summarized Source Data'!$B79,Hour,0)),Season,'Summarized Source Data'!$A79,Sector,'Summarized Source Data'!S$2,TimeOfWeek,$D79)</f>
        <v>3370000</v>
      </c>
      <c r="T79" s="33">
        <f>SUMIFS(INDEX(Load,,MATCH('Summarized Source Data'!$B79,Hour,0)),Season,'Summarized Source Data'!$A79,Sector,'Summarized Source Data'!T$2,TimeOfWeek,$D79)</f>
        <v>3370000</v>
      </c>
      <c r="U79" s="33">
        <f>SUMIFS(INDEX(Load,,MATCH('Summarized Source Data'!$B79,Hour,0)),Season,'Summarized Source Data'!$A79,Sector,'Summarized Source Data'!U$2,TimeOfWeek,$D79)</f>
        <v>3370000</v>
      </c>
      <c r="V79" s="33">
        <f>SUMIFS(INDEX(Load,,MATCH('Summarized Source Data'!$B79,Hour,0)),Season,'Summarized Source Data'!$A79,Sector,'Summarized Source Data'!V$2,TimeOfWeek,$D79)</f>
        <v>3370000</v>
      </c>
      <c r="W79" s="27">
        <f>SUMIFS(INDEX(Load,,MATCH('Summarized Source Data'!$B79,Hour,0)),Season,'Summarized Source Data'!$A79,Sector,'Summarized Source Data'!W$2,Subsector,'Summarized Source Data'!W$3,TimeOfWeek,$D79)</f>
        <v>655000000</v>
      </c>
      <c r="X79" s="29">
        <f t="shared" si="12"/>
        <v>655000000</v>
      </c>
      <c r="Y79" s="29">
        <f t="shared" si="12"/>
        <v>655000000</v>
      </c>
    </row>
    <row r="80" spans="1:25" outlineLevel="1" x14ac:dyDescent="0.3">
      <c r="A80" t="s">
        <v>166</v>
      </c>
      <c r="B80" t="s">
        <v>68</v>
      </c>
      <c r="C80" s="6" t="s">
        <v>144</v>
      </c>
      <c r="D80" t="s">
        <v>49</v>
      </c>
      <c r="E80" s="27">
        <f>SUMIFS(INDEX(Load,,MATCH('Summarized Source Data'!$B80,Hour,0)),Season,'Summarized Source Data'!$A80,Sector,'Summarized Source Data'!E$2,Subsector,'Summarized Source Data'!E$3,TimeOfWeek,$D80)</f>
        <v>0</v>
      </c>
      <c r="F80" s="27">
        <f>SUMIFS(INDEX(Load,,MATCH('Summarized Source Data'!$B80,Hour,0)),Season,'Summarized Source Data'!$A80,Sector,'Summarized Source Data'!F$2,Subsector,'Summarized Source Data'!F$3,TimeOfWeek,$D80)</f>
        <v>5633316</v>
      </c>
      <c r="G80" s="27">
        <f>SUMIFS(INDEX(Load,,MATCH('Summarized Source Data'!$B80,Hour,0)),Season,'Summarized Source Data'!$A80,Sector,'Summarized Source Data'!G$2,Subsector,'Summarized Source Data'!G$3,TimeOfWeek,$D80)</f>
        <v>0</v>
      </c>
      <c r="H80" s="27">
        <f>SUMIFS(INDEX(Load,,MATCH('Summarized Source Data'!$B80,Hour,0)),Season,'Summarized Source Data'!$A80,Sector,'Summarized Source Data'!H$2,Subsector,'Summarized Source Data'!H$3,TimeOfWeek,$D80)</f>
        <v>41500000</v>
      </c>
      <c r="I80" s="27">
        <f t="shared" si="7"/>
        <v>41500000</v>
      </c>
      <c r="J80" s="29">
        <f t="shared" si="8"/>
        <v>41500000</v>
      </c>
      <c r="K80" s="27">
        <f>SUMIFS(INDEX(Load,,MATCH('Summarized Source Data'!$B80,Hour,0)),Season,'Summarized Source Data'!$A80,Sector,'Summarized Source Data'!K$2,Subsector,'Summarized Source Data'!K$3,TimeOfWeek,$D80)</f>
        <v>4014631</v>
      </c>
      <c r="L80" s="27">
        <f>SUMIFS(INDEX(Load,,MATCH('Summarized Source Data'!$B80,Hour,0)),Season,'Summarized Source Data'!$A80,Sector,'Summarized Source Data'!L$2,Subsector,'Summarized Source Data'!L$3,TimeOfWeek,$D80)</f>
        <v>17873118</v>
      </c>
      <c r="M80" s="27">
        <f>SUMIFS(INDEX(Load,,MATCH('Summarized Source Data'!$B80,Hour,0)),Season,'Summarized Source Data'!$A80,Sector,'Summarized Source Data'!M$2,Subsector,'Summarized Source Data'!M$3,TimeOfWeek,$D80)</f>
        <v>0</v>
      </c>
      <c r="N80" s="29">
        <f t="shared" si="9"/>
        <v>41500000</v>
      </c>
      <c r="O80" s="27">
        <f t="shared" si="10"/>
        <v>41500000</v>
      </c>
      <c r="P80" s="29">
        <f t="shared" si="11"/>
        <v>41500000</v>
      </c>
      <c r="Q80" s="33">
        <f>SUMIFS(INDEX(Load,,MATCH('Summarized Source Data'!$B80,Hour,0)),Season,'Summarized Source Data'!$A80,Sector,'Summarized Source Data'!Q$2,TimeOfWeek,$D80)</f>
        <v>3370000</v>
      </c>
      <c r="R80" s="33">
        <f>SUMIFS(INDEX(Load,,MATCH('Summarized Source Data'!$B80,Hour,0)),Season,'Summarized Source Data'!$A80,Sector,'Summarized Source Data'!R$2,TimeOfWeek,$D80)</f>
        <v>3370000</v>
      </c>
      <c r="S80" s="33">
        <f>SUMIFS(INDEX(Load,,MATCH('Summarized Source Data'!$B80,Hour,0)),Season,'Summarized Source Data'!$A80,Sector,'Summarized Source Data'!S$2,TimeOfWeek,$D80)</f>
        <v>3370000</v>
      </c>
      <c r="T80" s="33">
        <f>SUMIFS(INDEX(Load,,MATCH('Summarized Source Data'!$B80,Hour,0)),Season,'Summarized Source Data'!$A80,Sector,'Summarized Source Data'!T$2,TimeOfWeek,$D80)</f>
        <v>3370000</v>
      </c>
      <c r="U80" s="33">
        <f>SUMIFS(INDEX(Load,,MATCH('Summarized Source Data'!$B80,Hour,0)),Season,'Summarized Source Data'!$A80,Sector,'Summarized Source Data'!U$2,TimeOfWeek,$D80)</f>
        <v>3370000</v>
      </c>
      <c r="V80" s="33">
        <f>SUMIFS(INDEX(Load,,MATCH('Summarized Source Data'!$B80,Hour,0)),Season,'Summarized Source Data'!$A80,Sector,'Summarized Source Data'!V$2,TimeOfWeek,$D80)</f>
        <v>3370000</v>
      </c>
      <c r="W80" s="27">
        <f>SUMIFS(INDEX(Load,,MATCH('Summarized Source Data'!$B80,Hour,0)),Season,'Summarized Source Data'!$A80,Sector,'Summarized Source Data'!W$2,Subsector,'Summarized Source Data'!W$3,TimeOfWeek,$D80)</f>
        <v>655000000</v>
      </c>
      <c r="X80" s="29">
        <f t="shared" si="12"/>
        <v>655000000</v>
      </c>
      <c r="Y80" s="29">
        <f t="shared" si="12"/>
        <v>655000000</v>
      </c>
    </row>
    <row r="81" spans="1:25" outlineLevel="1" x14ac:dyDescent="0.3">
      <c r="A81" t="s">
        <v>166</v>
      </c>
      <c r="B81" t="s">
        <v>69</v>
      </c>
      <c r="C81" s="6" t="s">
        <v>145</v>
      </c>
      <c r="D81" t="s">
        <v>49</v>
      </c>
      <c r="E81" s="27">
        <f>SUMIFS(INDEX(Load,,MATCH('Summarized Source Data'!$B81,Hour,0)),Season,'Summarized Source Data'!$A81,Sector,'Summarized Source Data'!E$2,Subsector,'Summarized Source Data'!E$3,TimeOfWeek,$D81)</f>
        <v>0</v>
      </c>
      <c r="F81" s="27">
        <f>SUMIFS(INDEX(Load,,MATCH('Summarized Source Data'!$B81,Hour,0)),Season,'Summarized Source Data'!$A81,Sector,'Summarized Source Data'!F$2,Subsector,'Summarized Source Data'!F$3,TimeOfWeek,$D81)</f>
        <v>6369319</v>
      </c>
      <c r="G81" s="27">
        <f>SUMIFS(INDEX(Load,,MATCH('Summarized Source Data'!$B81,Hour,0)),Season,'Summarized Source Data'!$A81,Sector,'Summarized Source Data'!G$2,Subsector,'Summarized Source Data'!G$3,TimeOfWeek,$D81)</f>
        <v>0</v>
      </c>
      <c r="H81" s="27">
        <f>SUMIFS(INDEX(Load,,MATCH('Summarized Source Data'!$B81,Hour,0)),Season,'Summarized Source Data'!$A81,Sector,'Summarized Source Data'!H$2,Subsector,'Summarized Source Data'!H$3,TimeOfWeek,$D81)</f>
        <v>71300000</v>
      </c>
      <c r="I81" s="27">
        <f t="shared" si="7"/>
        <v>71300000</v>
      </c>
      <c r="J81" s="29">
        <f t="shared" si="8"/>
        <v>71300000</v>
      </c>
      <c r="K81" s="27">
        <f>SUMIFS(INDEX(Load,,MATCH('Summarized Source Data'!$B81,Hour,0)),Season,'Summarized Source Data'!$A81,Sector,'Summarized Source Data'!K$2,Subsector,'Summarized Source Data'!K$3,TimeOfWeek,$D81)</f>
        <v>6402258</v>
      </c>
      <c r="L81" s="27">
        <f>SUMIFS(INDEX(Load,,MATCH('Summarized Source Data'!$B81,Hour,0)),Season,'Summarized Source Data'!$A81,Sector,'Summarized Source Data'!L$2,Subsector,'Summarized Source Data'!L$3,TimeOfWeek,$D81)</f>
        <v>19181836</v>
      </c>
      <c r="M81" s="27">
        <f>SUMIFS(INDEX(Load,,MATCH('Summarized Source Data'!$B81,Hour,0)),Season,'Summarized Source Data'!$A81,Sector,'Summarized Source Data'!M$2,Subsector,'Summarized Source Data'!M$3,TimeOfWeek,$D81)</f>
        <v>0</v>
      </c>
      <c r="N81" s="29">
        <f t="shared" si="9"/>
        <v>71300000</v>
      </c>
      <c r="O81" s="27">
        <f t="shared" si="10"/>
        <v>71300000</v>
      </c>
      <c r="P81" s="29">
        <f t="shared" si="11"/>
        <v>71300000</v>
      </c>
      <c r="Q81" s="33">
        <f>SUMIFS(INDEX(Load,,MATCH('Summarized Source Data'!$B81,Hour,0)),Season,'Summarized Source Data'!$A81,Sector,'Summarized Source Data'!Q$2,TimeOfWeek,$D81)</f>
        <v>3390000</v>
      </c>
      <c r="R81" s="33">
        <f>SUMIFS(INDEX(Load,,MATCH('Summarized Source Data'!$B81,Hour,0)),Season,'Summarized Source Data'!$A81,Sector,'Summarized Source Data'!R$2,TimeOfWeek,$D81)</f>
        <v>3390000</v>
      </c>
      <c r="S81" s="33">
        <f>SUMIFS(INDEX(Load,,MATCH('Summarized Source Data'!$B81,Hour,0)),Season,'Summarized Source Data'!$A81,Sector,'Summarized Source Data'!S$2,TimeOfWeek,$D81)</f>
        <v>3390000</v>
      </c>
      <c r="T81" s="33">
        <f>SUMIFS(INDEX(Load,,MATCH('Summarized Source Data'!$B81,Hour,0)),Season,'Summarized Source Data'!$A81,Sector,'Summarized Source Data'!T$2,TimeOfWeek,$D81)</f>
        <v>3390000</v>
      </c>
      <c r="U81" s="33">
        <f>SUMIFS(INDEX(Load,,MATCH('Summarized Source Data'!$B81,Hour,0)),Season,'Summarized Source Data'!$A81,Sector,'Summarized Source Data'!U$2,TimeOfWeek,$D81)</f>
        <v>3390000</v>
      </c>
      <c r="V81" s="33">
        <f>SUMIFS(INDEX(Load,,MATCH('Summarized Source Data'!$B81,Hour,0)),Season,'Summarized Source Data'!$A81,Sector,'Summarized Source Data'!V$2,TimeOfWeek,$D81)</f>
        <v>3390000</v>
      </c>
      <c r="W81" s="27">
        <f>SUMIFS(INDEX(Load,,MATCH('Summarized Source Data'!$B81,Hour,0)),Season,'Summarized Source Data'!$A81,Sector,'Summarized Source Data'!W$2,Subsector,'Summarized Source Data'!W$3,TimeOfWeek,$D81)</f>
        <v>659000000</v>
      </c>
      <c r="X81" s="29">
        <f t="shared" si="12"/>
        <v>659000000</v>
      </c>
      <c r="Y81" s="29">
        <f t="shared" si="12"/>
        <v>659000000</v>
      </c>
    </row>
    <row r="82" spans="1:25" outlineLevel="1" x14ac:dyDescent="0.3">
      <c r="A82" t="s">
        <v>166</v>
      </c>
      <c r="B82" t="s">
        <v>70</v>
      </c>
      <c r="C82" s="6" t="s">
        <v>146</v>
      </c>
      <c r="D82" t="s">
        <v>49</v>
      </c>
      <c r="E82" s="27">
        <f>SUMIFS(INDEX(Load,,MATCH('Summarized Source Data'!$B82,Hour,0)),Season,'Summarized Source Data'!$A82,Sector,'Summarized Source Data'!E$2,Subsector,'Summarized Source Data'!E$3,TimeOfWeek,$D82)</f>
        <v>0</v>
      </c>
      <c r="F82" s="27">
        <f>SUMIFS(INDEX(Load,,MATCH('Summarized Source Data'!$B82,Hour,0)),Season,'Summarized Source Data'!$A82,Sector,'Summarized Source Data'!F$2,Subsector,'Summarized Source Data'!F$3,TimeOfWeek,$D82)</f>
        <v>6693394</v>
      </c>
      <c r="G82" s="27">
        <f>SUMIFS(INDEX(Load,,MATCH('Summarized Source Data'!$B82,Hour,0)),Season,'Summarized Source Data'!$A82,Sector,'Summarized Source Data'!G$2,Subsector,'Summarized Source Data'!G$3,TimeOfWeek,$D82)</f>
        <v>0</v>
      </c>
      <c r="H82" s="27">
        <f>SUMIFS(INDEX(Load,,MATCH('Summarized Source Data'!$B82,Hour,0)),Season,'Summarized Source Data'!$A82,Sector,'Summarized Source Data'!H$2,Subsector,'Summarized Source Data'!H$3,TimeOfWeek,$D82)</f>
        <v>88600000</v>
      </c>
      <c r="I82" s="27">
        <f t="shared" si="7"/>
        <v>88600000</v>
      </c>
      <c r="J82" s="29">
        <f t="shared" si="8"/>
        <v>88600000</v>
      </c>
      <c r="K82" s="27">
        <f>SUMIFS(INDEX(Load,,MATCH('Summarized Source Data'!$B82,Hour,0)),Season,'Summarized Source Data'!$A82,Sector,'Summarized Source Data'!K$2,Subsector,'Summarized Source Data'!K$3,TimeOfWeek,$D82)</f>
        <v>8945064</v>
      </c>
      <c r="L82" s="27">
        <f>SUMIFS(INDEX(Load,,MATCH('Summarized Source Data'!$B82,Hour,0)),Season,'Summarized Source Data'!$A82,Sector,'Summarized Source Data'!L$2,Subsector,'Summarized Source Data'!L$3,TimeOfWeek,$D82)</f>
        <v>21971993</v>
      </c>
      <c r="M82" s="27">
        <f>SUMIFS(INDEX(Load,,MATCH('Summarized Source Data'!$B82,Hour,0)),Season,'Summarized Source Data'!$A82,Sector,'Summarized Source Data'!M$2,Subsector,'Summarized Source Data'!M$3,TimeOfWeek,$D82)</f>
        <v>0</v>
      </c>
      <c r="N82" s="29">
        <f t="shared" si="9"/>
        <v>88600000</v>
      </c>
      <c r="O82" s="27">
        <f t="shared" si="10"/>
        <v>88600000</v>
      </c>
      <c r="P82" s="29">
        <f t="shared" si="11"/>
        <v>88600000</v>
      </c>
      <c r="Q82" s="33">
        <f>SUMIFS(INDEX(Load,,MATCH('Summarized Source Data'!$B82,Hour,0)),Season,'Summarized Source Data'!$A82,Sector,'Summarized Source Data'!Q$2,TimeOfWeek,$D82)</f>
        <v>4900000</v>
      </c>
      <c r="R82" s="33">
        <f>SUMIFS(INDEX(Load,,MATCH('Summarized Source Data'!$B82,Hour,0)),Season,'Summarized Source Data'!$A82,Sector,'Summarized Source Data'!R$2,TimeOfWeek,$D82)</f>
        <v>4900000</v>
      </c>
      <c r="S82" s="33">
        <f>SUMIFS(INDEX(Load,,MATCH('Summarized Source Data'!$B82,Hour,0)),Season,'Summarized Source Data'!$A82,Sector,'Summarized Source Data'!S$2,TimeOfWeek,$D82)</f>
        <v>4900000</v>
      </c>
      <c r="T82" s="33">
        <f>SUMIFS(INDEX(Load,,MATCH('Summarized Source Data'!$B82,Hour,0)),Season,'Summarized Source Data'!$A82,Sector,'Summarized Source Data'!T$2,TimeOfWeek,$D82)</f>
        <v>4900000</v>
      </c>
      <c r="U82" s="33">
        <f>SUMIFS(INDEX(Load,,MATCH('Summarized Source Data'!$B82,Hour,0)),Season,'Summarized Source Data'!$A82,Sector,'Summarized Source Data'!U$2,TimeOfWeek,$D82)</f>
        <v>4900000</v>
      </c>
      <c r="V82" s="33">
        <f>SUMIFS(INDEX(Load,,MATCH('Summarized Source Data'!$B82,Hour,0)),Season,'Summarized Source Data'!$A82,Sector,'Summarized Source Data'!V$2,TimeOfWeek,$D82)</f>
        <v>4900000</v>
      </c>
      <c r="W82" s="27">
        <f>SUMIFS(INDEX(Load,,MATCH('Summarized Source Data'!$B82,Hour,0)),Season,'Summarized Source Data'!$A82,Sector,'Summarized Source Data'!W$2,Subsector,'Summarized Source Data'!W$3,TimeOfWeek,$D82)</f>
        <v>663000000</v>
      </c>
      <c r="X82" s="29">
        <f t="shared" si="12"/>
        <v>663000000</v>
      </c>
      <c r="Y82" s="29">
        <f t="shared" si="12"/>
        <v>663000000</v>
      </c>
    </row>
    <row r="83" spans="1:25" outlineLevel="1" x14ac:dyDescent="0.3">
      <c r="A83" t="s">
        <v>166</v>
      </c>
      <c r="B83" t="s">
        <v>71</v>
      </c>
      <c r="C83" s="6" t="s">
        <v>147</v>
      </c>
      <c r="D83" t="s">
        <v>49</v>
      </c>
      <c r="E83" s="27">
        <f>SUMIFS(INDEX(Load,,MATCH('Summarized Source Data'!$B83,Hour,0)),Season,'Summarized Source Data'!$A83,Sector,'Summarized Source Data'!E$2,Subsector,'Summarized Source Data'!E$3,TimeOfWeek,$D83)</f>
        <v>0</v>
      </c>
      <c r="F83" s="27">
        <f>SUMIFS(INDEX(Load,,MATCH('Summarized Source Data'!$B83,Hour,0)),Season,'Summarized Source Data'!$A83,Sector,'Summarized Source Data'!F$2,Subsector,'Summarized Source Data'!F$3,TimeOfWeek,$D83)</f>
        <v>6629378</v>
      </c>
      <c r="G83" s="27">
        <f>SUMIFS(INDEX(Load,,MATCH('Summarized Source Data'!$B83,Hour,0)),Season,'Summarized Source Data'!$A83,Sector,'Summarized Source Data'!G$2,Subsector,'Summarized Source Data'!G$3,TimeOfWeek,$D83)</f>
        <v>0</v>
      </c>
      <c r="H83" s="27">
        <f>SUMIFS(INDEX(Load,,MATCH('Summarized Source Data'!$B83,Hour,0)),Season,'Summarized Source Data'!$A83,Sector,'Summarized Source Data'!H$2,Subsector,'Summarized Source Data'!H$3,TimeOfWeek,$D83)</f>
        <v>34100000</v>
      </c>
      <c r="I83" s="27">
        <f t="shared" si="7"/>
        <v>34100000</v>
      </c>
      <c r="J83" s="29">
        <f t="shared" si="8"/>
        <v>34100000</v>
      </c>
      <c r="K83" s="27">
        <f>SUMIFS(INDEX(Load,,MATCH('Summarized Source Data'!$B83,Hour,0)),Season,'Summarized Source Data'!$A83,Sector,'Summarized Source Data'!K$2,Subsector,'Summarized Source Data'!K$3,TimeOfWeek,$D83)</f>
        <v>8006301</v>
      </c>
      <c r="L83" s="27">
        <f>SUMIFS(INDEX(Load,,MATCH('Summarized Source Data'!$B83,Hour,0)),Season,'Summarized Source Data'!$A83,Sector,'Summarized Source Data'!L$2,Subsector,'Summarized Source Data'!L$3,TimeOfWeek,$D83)</f>
        <v>26900000</v>
      </c>
      <c r="M83" s="27">
        <f>SUMIFS(INDEX(Load,,MATCH('Summarized Source Data'!$B83,Hour,0)),Season,'Summarized Source Data'!$A83,Sector,'Summarized Source Data'!M$2,Subsector,'Summarized Source Data'!M$3,TimeOfWeek,$D83)</f>
        <v>0</v>
      </c>
      <c r="N83" s="29">
        <f t="shared" si="9"/>
        <v>34100000</v>
      </c>
      <c r="O83" s="27">
        <f t="shared" si="10"/>
        <v>34100000</v>
      </c>
      <c r="P83" s="29">
        <f t="shared" si="11"/>
        <v>34100000</v>
      </c>
      <c r="Q83" s="33">
        <f>SUMIFS(INDEX(Load,,MATCH('Summarized Source Data'!$B83,Hour,0)),Season,'Summarized Source Data'!$A83,Sector,'Summarized Source Data'!Q$2,TimeOfWeek,$D83)</f>
        <v>9830000</v>
      </c>
      <c r="R83" s="33">
        <f>SUMIFS(INDEX(Load,,MATCH('Summarized Source Data'!$B83,Hour,0)),Season,'Summarized Source Data'!$A83,Sector,'Summarized Source Data'!R$2,TimeOfWeek,$D83)</f>
        <v>9830000</v>
      </c>
      <c r="S83" s="33">
        <f>SUMIFS(INDEX(Load,,MATCH('Summarized Source Data'!$B83,Hour,0)),Season,'Summarized Source Data'!$A83,Sector,'Summarized Source Data'!S$2,TimeOfWeek,$D83)</f>
        <v>9830000</v>
      </c>
      <c r="T83" s="33">
        <f>SUMIFS(INDEX(Load,,MATCH('Summarized Source Data'!$B83,Hour,0)),Season,'Summarized Source Data'!$A83,Sector,'Summarized Source Data'!T$2,TimeOfWeek,$D83)</f>
        <v>9830000</v>
      </c>
      <c r="U83" s="33">
        <f>SUMIFS(INDEX(Load,,MATCH('Summarized Source Data'!$B83,Hour,0)),Season,'Summarized Source Data'!$A83,Sector,'Summarized Source Data'!U$2,TimeOfWeek,$D83)</f>
        <v>9830000</v>
      </c>
      <c r="V83" s="33">
        <f>SUMIFS(INDEX(Load,,MATCH('Summarized Source Data'!$B83,Hour,0)),Season,'Summarized Source Data'!$A83,Sector,'Summarized Source Data'!V$2,TimeOfWeek,$D83)</f>
        <v>9830000</v>
      </c>
      <c r="W83" s="27">
        <f>SUMIFS(INDEX(Load,,MATCH('Summarized Source Data'!$B83,Hour,0)),Season,'Summarized Source Data'!$A83,Sector,'Summarized Source Data'!W$2,Subsector,'Summarized Source Data'!W$3,TimeOfWeek,$D83)</f>
        <v>666000000</v>
      </c>
      <c r="X83" s="29">
        <f t="shared" si="12"/>
        <v>666000000</v>
      </c>
      <c r="Y83" s="29">
        <f t="shared" si="12"/>
        <v>666000000</v>
      </c>
    </row>
    <row r="84" spans="1:25" outlineLevel="1" x14ac:dyDescent="0.3">
      <c r="A84" t="s">
        <v>166</v>
      </c>
      <c r="B84" t="s">
        <v>72</v>
      </c>
      <c r="C84" s="6" t="s">
        <v>148</v>
      </c>
      <c r="D84" t="s">
        <v>49</v>
      </c>
      <c r="E84" s="27">
        <f>SUMIFS(INDEX(Load,,MATCH('Summarized Source Data'!$B84,Hour,0)),Season,'Summarized Source Data'!$A84,Sector,'Summarized Source Data'!E$2,Subsector,'Summarized Source Data'!E$3,TimeOfWeek,$D84)</f>
        <v>0</v>
      </c>
      <c r="F84" s="27">
        <f>SUMIFS(INDEX(Load,,MATCH('Summarized Source Data'!$B84,Hour,0)),Season,'Summarized Source Data'!$A84,Sector,'Summarized Source Data'!F$2,Subsector,'Summarized Source Data'!F$3,TimeOfWeek,$D84)</f>
        <v>7055381</v>
      </c>
      <c r="G84" s="27">
        <f>SUMIFS(INDEX(Load,,MATCH('Summarized Source Data'!$B84,Hour,0)),Season,'Summarized Source Data'!$A84,Sector,'Summarized Source Data'!G$2,Subsector,'Summarized Source Data'!G$3,TimeOfWeek,$D84)</f>
        <v>0</v>
      </c>
      <c r="H84" s="27">
        <f>SUMIFS(INDEX(Load,,MATCH('Summarized Source Data'!$B84,Hour,0)),Season,'Summarized Source Data'!$A84,Sector,'Summarized Source Data'!H$2,Subsector,'Summarized Source Data'!H$3,TimeOfWeek,$D84)</f>
        <v>31600000</v>
      </c>
      <c r="I84" s="27">
        <f t="shared" si="7"/>
        <v>31600000</v>
      </c>
      <c r="J84" s="29">
        <f t="shared" si="8"/>
        <v>31600000</v>
      </c>
      <c r="K84" s="27">
        <f>SUMIFS(INDEX(Load,,MATCH('Summarized Source Data'!$B84,Hour,0)),Season,'Summarized Source Data'!$A84,Sector,'Summarized Source Data'!K$2,Subsector,'Summarized Source Data'!K$3,TimeOfWeek,$D84)</f>
        <v>5385581</v>
      </c>
      <c r="L84" s="27">
        <f>SUMIFS(INDEX(Load,,MATCH('Summarized Source Data'!$B84,Hour,0)),Season,'Summarized Source Data'!$A84,Sector,'Summarized Source Data'!L$2,Subsector,'Summarized Source Data'!L$3,TimeOfWeek,$D84)</f>
        <v>33800000</v>
      </c>
      <c r="M84" s="27">
        <f>SUMIFS(INDEX(Load,,MATCH('Summarized Source Data'!$B84,Hour,0)),Season,'Summarized Source Data'!$A84,Sector,'Summarized Source Data'!M$2,Subsector,'Summarized Source Data'!M$3,TimeOfWeek,$D84)</f>
        <v>0</v>
      </c>
      <c r="N84" s="29">
        <f t="shared" si="9"/>
        <v>31600000</v>
      </c>
      <c r="O84" s="27">
        <f t="shared" si="10"/>
        <v>31600000</v>
      </c>
      <c r="P84" s="29">
        <f t="shared" si="11"/>
        <v>31600000</v>
      </c>
      <c r="Q84" s="33">
        <f>SUMIFS(INDEX(Load,,MATCH('Summarized Source Data'!$B84,Hour,0)),Season,'Summarized Source Data'!$A84,Sector,'Summarized Source Data'!Q$2,TimeOfWeek,$D84)</f>
        <v>9950000</v>
      </c>
      <c r="R84" s="33">
        <f>SUMIFS(INDEX(Load,,MATCH('Summarized Source Data'!$B84,Hour,0)),Season,'Summarized Source Data'!$A84,Sector,'Summarized Source Data'!R$2,TimeOfWeek,$D84)</f>
        <v>9950000</v>
      </c>
      <c r="S84" s="33">
        <f>SUMIFS(INDEX(Load,,MATCH('Summarized Source Data'!$B84,Hour,0)),Season,'Summarized Source Data'!$A84,Sector,'Summarized Source Data'!S$2,TimeOfWeek,$D84)</f>
        <v>9950000</v>
      </c>
      <c r="T84" s="33">
        <f>SUMIFS(INDEX(Load,,MATCH('Summarized Source Data'!$B84,Hour,0)),Season,'Summarized Source Data'!$A84,Sector,'Summarized Source Data'!T$2,TimeOfWeek,$D84)</f>
        <v>9950000</v>
      </c>
      <c r="U84" s="33">
        <f>SUMIFS(INDEX(Load,,MATCH('Summarized Source Data'!$B84,Hour,0)),Season,'Summarized Source Data'!$A84,Sector,'Summarized Source Data'!U$2,TimeOfWeek,$D84)</f>
        <v>9950000</v>
      </c>
      <c r="V84" s="33">
        <f>SUMIFS(INDEX(Load,,MATCH('Summarized Source Data'!$B84,Hour,0)),Season,'Summarized Source Data'!$A84,Sector,'Summarized Source Data'!V$2,TimeOfWeek,$D84)</f>
        <v>9950000</v>
      </c>
      <c r="W84" s="27">
        <f>SUMIFS(INDEX(Load,,MATCH('Summarized Source Data'!$B84,Hour,0)),Season,'Summarized Source Data'!$A84,Sector,'Summarized Source Data'!W$2,Subsector,'Summarized Source Data'!W$3,TimeOfWeek,$D84)</f>
        <v>667000000</v>
      </c>
      <c r="X84" s="29">
        <f t="shared" si="12"/>
        <v>667000000</v>
      </c>
      <c r="Y84" s="29">
        <f t="shared" si="12"/>
        <v>667000000</v>
      </c>
    </row>
    <row r="85" spans="1:25" outlineLevel="1" x14ac:dyDescent="0.3">
      <c r="A85" t="s">
        <v>166</v>
      </c>
      <c r="B85" t="s">
        <v>73</v>
      </c>
      <c r="C85" s="6" t="s">
        <v>149</v>
      </c>
      <c r="D85" t="s">
        <v>49</v>
      </c>
      <c r="E85" s="27">
        <f>SUMIFS(INDEX(Load,,MATCH('Summarized Source Data'!$B85,Hour,0)),Season,'Summarized Source Data'!$A85,Sector,'Summarized Source Data'!E$2,Subsector,'Summarized Source Data'!E$3,TimeOfWeek,$D85)</f>
        <v>0</v>
      </c>
      <c r="F85" s="27">
        <f>SUMIFS(INDEX(Load,,MATCH('Summarized Source Data'!$B85,Hour,0)),Season,'Summarized Source Data'!$A85,Sector,'Summarized Source Data'!F$2,Subsector,'Summarized Source Data'!F$3,TimeOfWeek,$D85)</f>
        <v>7905785</v>
      </c>
      <c r="G85" s="27">
        <f>SUMIFS(INDEX(Load,,MATCH('Summarized Source Data'!$B85,Hour,0)),Season,'Summarized Source Data'!$A85,Sector,'Summarized Source Data'!G$2,Subsector,'Summarized Source Data'!G$3,TimeOfWeek,$D85)</f>
        <v>0</v>
      </c>
      <c r="H85" s="27">
        <f>SUMIFS(INDEX(Load,,MATCH('Summarized Source Data'!$B85,Hour,0)),Season,'Summarized Source Data'!$A85,Sector,'Summarized Source Data'!H$2,Subsector,'Summarized Source Data'!H$3,TimeOfWeek,$D85)</f>
        <v>30400000</v>
      </c>
      <c r="I85" s="27">
        <f t="shared" si="7"/>
        <v>30400000</v>
      </c>
      <c r="J85" s="29">
        <f t="shared" si="8"/>
        <v>30400000</v>
      </c>
      <c r="K85" s="27">
        <f>SUMIFS(INDEX(Load,,MATCH('Summarized Source Data'!$B85,Hour,0)),Season,'Summarized Source Data'!$A85,Sector,'Summarized Source Data'!K$2,Subsector,'Summarized Source Data'!K$3,TimeOfWeek,$D85)</f>
        <v>4069439</v>
      </c>
      <c r="L85" s="27">
        <f>SUMIFS(INDEX(Load,,MATCH('Summarized Source Data'!$B85,Hour,0)),Season,'Summarized Source Data'!$A85,Sector,'Summarized Source Data'!L$2,Subsector,'Summarized Source Data'!L$3,TimeOfWeek,$D85)</f>
        <v>39600000</v>
      </c>
      <c r="M85" s="27">
        <f>SUMIFS(INDEX(Load,,MATCH('Summarized Source Data'!$B85,Hour,0)),Season,'Summarized Source Data'!$A85,Sector,'Summarized Source Data'!M$2,Subsector,'Summarized Source Data'!M$3,TimeOfWeek,$D85)</f>
        <v>0</v>
      </c>
      <c r="N85" s="29">
        <f t="shared" si="9"/>
        <v>30400000</v>
      </c>
      <c r="O85" s="27">
        <f t="shared" si="10"/>
        <v>30400000</v>
      </c>
      <c r="P85" s="29">
        <f t="shared" si="11"/>
        <v>30400000</v>
      </c>
      <c r="Q85" s="33">
        <f>SUMIFS(INDEX(Load,,MATCH('Summarized Source Data'!$B85,Hour,0)),Season,'Summarized Source Data'!$A85,Sector,'Summarized Source Data'!Q$2,TimeOfWeek,$D85)</f>
        <v>8960000</v>
      </c>
      <c r="R85" s="33">
        <f>SUMIFS(INDEX(Load,,MATCH('Summarized Source Data'!$B85,Hour,0)),Season,'Summarized Source Data'!$A85,Sector,'Summarized Source Data'!R$2,TimeOfWeek,$D85)</f>
        <v>8960000</v>
      </c>
      <c r="S85" s="33">
        <f>SUMIFS(INDEX(Load,,MATCH('Summarized Source Data'!$B85,Hour,0)),Season,'Summarized Source Data'!$A85,Sector,'Summarized Source Data'!S$2,TimeOfWeek,$D85)</f>
        <v>8960000</v>
      </c>
      <c r="T85" s="33">
        <f>SUMIFS(INDEX(Load,,MATCH('Summarized Source Data'!$B85,Hour,0)),Season,'Summarized Source Data'!$A85,Sector,'Summarized Source Data'!T$2,TimeOfWeek,$D85)</f>
        <v>8960000</v>
      </c>
      <c r="U85" s="33">
        <f>SUMIFS(INDEX(Load,,MATCH('Summarized Source Data'!$B85,Hour,0)),Season,'Summarized Source Data'!$A85,Sector,'Summarized Source Data'!U$2,TimeOfWeek,$D85)</f>
        <v>8960000</v>
      </c>
      <c r="V85" s="33">
        <f>SUMIFS(INDEX(Load,,MATCH('Summarized Source Data'!$B85,Hour,0)),Season,'Summarized Source Data'!$A85,Sector,'Summarized Source Data'!V$2,TimeOfWeek,$D85)</f>
        <v>8960000</v>
      </c>
      <c r="W85" s="27">
        <f>SUMIFS(INDEX(Load,,MATCH('Summarized Source Data'!$B85,Hour,0)),Season,'Summarized Source Data'!$A85,Sector,'Summarized Source Data'!W$2,Subsector,'Summarized Source Data'!W$3,TimeOfWeek,$D85)</f>
        <v>667000000</v>
      </c>
      <c r="X85" s="29">
        <f t="shared" si="12"/>
        <v>667000000</v>
      </c>
      <c r="Y85" s="29">
        <f t="shared" si="12"/>
        <v>667000000</v>
      </c>
    </row>
    <row r="86" spans="1:25" outlineLevel="1" x14ac:dyDescent="0.3">
      <c r="A86" t="s">
        <v>166</v>
      </c>
      <c r="B86" t="s">
        <v>74</v>
      </c>
      <c r="C86" s="6" t="s">
        <v>150</v>
      </c>
      <c r="D86" t="s">
        <v>49</v>
      </c>
      <c r="E86" s="27">
        <f>SUMIFS(INDEX(Load,,MATCH('Summarized Source Data'!$B86,Hour,0)),Season,'Summarized Source Data'!$A86,Sector,'Summarized Source Data'!E$2,Subsector,'Summarized Source Data'!E$3,TimeOfWeek,$D86)</f>
        <v>0</v>
      </c>
      <c r="F86" s="27">
        <f>SUMIFS(INDEX(Load,,MATCH('Summarized Source Data'!$B86,Hour,0)),Season,'Summarized Source Data'!$A86,Sector,'Summarized Source Data'!F$2,Subsector,'Summarized Source Data'!F$3,TimeOfWeek,$D86)</f>
        <v>9859675</v>
      </c>
      <c r="G86" s="27">
        <f>SUMIFS(INDEX(Load,,MATCH('Summarized Source Data'!$B86,Hour,0)),Season,'Summarized Source Data'!$A86,Sector,'Summarized Source Data'!G$2,Subsector,'Summarized Source Data'!G$3,TimeOfWeek,$D86)</f>
        <v>0</v>
      </c>
      <c r="H86" s="27">
        <f>SUMIFS(INDEX(Load,,MATCH('Summarized Source Data'!$B86,Hour,0)),Season,'Summarized Source Data'!$A86,Sector,'Summarized Source Data'!H$2,Subsector,'Summarized Source Data'!H$3,TimeOfWeek,$D86)</f>
        <v>30900000</v>
      </c>
      <c r="I86" s="27">
        <f t="shared" si="7"/>
        <v>30900000</v>
      </c>
      <c r="J86" s="29">
        <f t="shared" si="8"/>
        <v>30900000</v>
      </c>
      <c r="K86" s="27">
        <f>SUMIFS(INDEX(Load,,MATCH('Summarized Source Data'!$B86,Hour,0)),Season,'Summarized Source Data'!$A86,Sector,'Summarized Source Data'!K$2,Subsector,'Summarized Source Data'!K$3,TimeOfWeek,$D86)</f>
        <v>3263877</v>
      </c>
      <c r="L86" s="27">
        <f>SUMIFS(INDEX(Load,,MATCH('Summarized Source Data'!$B86,Hour,0)),Season,'Summarized Source Data'!$A86,Sector,'Summarized Source Data'!L$2,Subsector,'Summarized Source Data'!L$3,TimeOfWeek,$D86)</f>
        <v>44300000</v>
      </c>
      <c r="M86" s="27">
        <f>SUMIFS(INDEX(Load,,MATCH('Summarized Source Data'!$B86,Hour,0)),Season,'Summarized Source Data'!$A86,Sector,'Summarized Source Data'!M$2,Subsector,'Summarized Source Data'!M$3,TimeOfWeek,$D86)</f>
        <v>0</v>
      </c>
      <c r="N86" s="29">
        <f t="shared" si="9"/>
        <v>30900000</v>
      </c>
      <c r="O86" s="27">
        <f t="shared" si="10"/>
        <v>30900000</v>
      </c>
      <c r="P86" s="29">
        <f t="shared" si="11"/>
        <v>30900000</v>
      </c>
      <c r="Q86" s="33">
        <f>SUMIFS(INDEX(Load,,MATCH('Summarized Source Data'!$B86,Hour,0)),Season,'Summarized Source Data'!$A86,Sector,'Summarized Source Data'!Q$2,TimeOfWeek,$D86)</f>
        <v>7400000</v>
      </c>
      <c r="R86" s="33">
        <f>SUMIFS(INDEX(Load,,MATCH('Summarized Source Data'!$B86,Hour,0)),Season,'Summarized Source Data'!$A86,Sector,'Summarized Source Data'!R$2,TimeOfWeek,$D86)</f>
        <v>7400000</v>
      </c>
      <c r="S86" s="33">
        <f>SUMIFS(INDEX(Load,,MATCH('Summarized Source Data'!$B86,Hour,0)),Season,'Summarized Source Data'!$A86,Sector,'Summarized Source Data'!S$2,TimeOfWeek,$D86)</f>
        <v>7400000</v>
      </c>
      <c r="T86" s="33">
        <f>SUMIFS(INDEX(Load,,MATCH('Summarized Source Data'!$B86,Hour,0)),Season,'Summarized Source Data'!$A86,Sector,'Summarized Source Data'!T$2,TimeOfWeek,$D86)</f>
        <v>7400000</v>
      </c>
      <c r="U86" s="33">
        <f>SUMIFS(INDEX(Load,,MATCH('Summarized Source Data'!$B86,Hour,0)),Season,'Summarized Source Data'!$A86,Sector,'Summarized Source Data'!U$2,TimeOfWeek,$D86)</f>
        <v>7400000</v>
      </c>
      <c r="V86" s="33">
        <f>SUMIFS(INDEX(Load,,MATCH('Summarized Source Data'!$B86,Hour,0)),Season,'Summarized Source Data'!$A86,Sector,'Summarized Source Data'!V$2,TimeOfWeek,$D86)</f>
        <v>7400000</v>
      </c>
      <c r="W86" s="27">
        <f>SUMIFS(INDEX(Load,,MATCH('Summarized Source Data'!$B86,Hour,0)),Season,'Summarized Source Data'!$A86,Sector,'Summarized Source Data'!W$2,Subsector,'Summarized Source Data'!W$3,TimeOfWeek,$D86)</f>
        <v>665000000</v>
      </c>
      <c r="X86" s="29">
        <f t="shared" si="12"/>
        <v>665000000</v>
      </c>
      <c r="Y86" s="29">
        <f t="shared" si="12"/>
        <v>665000000</v>
      </c>
    </row>
    <row r="87" spans="1:25" outlineLevel="1" x14ac:dyDescent="0.3">
      <c r="A87" t="s">
        <v>166</v>
      </c>
      <c r="B87" t="s">
        <v>75</v>
      </c>
      <c r="C87" s="6" t="s">
        <v>151</v>
      </c>
      <c r="D87" t="s">
        <v>49</v>
      </c>
      <c r="E87" s="27">
        <f>SUMIFS(INDEX(Load,,MATCH('Summarized Source Data'!$B87,Hour,0)),Season,'Summarized Source Data'!$A87,Sector,'Summarized Source Data'!E$2,Subsector,'Summarized Source Data'!E$3,TimeOfWeek,$D87)</f>
        <v>0</v>
      </c>
      <c r="F87" s="27">
        <f>SUMIFS(INDEX(Load,,MATCH('Summarized Source Data'!$B87,Hour,0)),Season,'Summarized Source Data'!$A87,Sector,'Summarized Source Data'!F$2,Subsector,'Summarized Source Data'!F$3,TimeOfWeek,$D87)</f>
        <v>13115648</v>
      </c>
      <c r="G87" s="27">
        <f>SUMIFS(INDEX(Load,,MATCH('Summarized Source Data'!$B87,Hour,0)),Season,'Summarized Source Data'!$A87,Sector,'Summarized Source Data'!G$2,Subsector,'Summarized Source Data'!G$3,TimeOfWeek,$D87)</f>
        <v>0</v>
      </c>
      <c r="H87" s="27">
        <f>SUMIFS(INDEX(Load,,MATCH('Summarized Source Data'!$B87,Hour,0)),Season,'Summarized Source Data'!$A87,Sector,'Summarized Source Data'!H$2,Subsector,'Summarized Source Data'!H$3,TimeOfWeek,$D87)</f>
        <v>33900000</v>
      </c>
      <c r="I87" s="27">
        <f t="shared" si="7"/>
        <v>33900000</v>
      </c>
      <c r="J87" s="29">
        <f t="shared" si="8"/>
        <v>33900000</v>
      </c>
      <c r="K87" s="27">
        <f>SUMIFS(INDEX(Load,,MATCH('Summarized Source Data'!$B87,Hour,0)),Season,'Summarized Source Data'!$A87,Sector,'Summarized Source Data'!K$2,Subsector,'Summarized Source Data'!K$3,TimeOfWeek,$D87)</f>
        <v>2654075</v>
      </c>
      <c r="L87" s="27">
        <f>SUMIFS(INDEX(Load,,MATCH('Summarized Source Data'!$B87,Hour,0)),Season,'Summarized Source Data'!$A87,Sector,'Summarized Source Data'!L$2,Subsector,'Summarized Source Data'!L$3,TimeOfWeek,$D87)</f>
        <v>47500000</v>
      </c>
      <c r="M87" s="27">
        <f>SUMIFS(INDEX(Load,,MATCH('Summarized Source Data'!$B87,Hour,0)),Season,'Summarized Source Data'!$A87,Sector,'Summarized Source Data'!M$2,Subsector,'Summarized Source Data'!M$3,TimeOfWeek,$D87)</f>
        <v>0</v>
      </c>
      <c r="N87" s="29">
        <f t="shared" si="9"/>
        <v>33900000</v>
      </c>
      <c r="O87" s="27">
        <f t="shared" si="10"/>
        <v>33900000</v>
      </c>
      <c r="P87" s="29">
        <f t="shared" si="11"/>
        <v>33900000</v>
      </c>
      <c r="Q87" s="33">
        <f>SUMIFS(INDEX(Load,,MATCH('Summarized Source Data'!$B87,Hour,0)),Season,'Summarized Source Data'!$A87,Sector,'Summarized Source Data'!Q$2,TimeOfWeek,$D87)</f>
        <v>7400000</v>
      </c>
      <c r="R87" s="33">
        <f>SUMIFS(INDEX(Load,,MATCH('Summarized Source Data'!$B87,Hour,0)),Season,'Summarized Source Data'!$A87,Sector,'Summarized Source Data'!R$2,TimeOfWeek,$D87)</f>
        <v>7400000</v>
      </c>
      <c r="S87" s="33">
        <f>SUMIFS(INDEX(Load,,MATCH('Summarized Source Data'!$B87,Hour,0)),Season,'Summarized Source Data'!$A87,Sector,'Summarized Source Data'!S$2,TimeOfWeek,$D87)</f>
        <v>7400000</v>
      </c>
      <c r="T87" s="33">
        <f>SUMIFS(INDEX(Load,,MATCH('Summarized Source Data'!$B87,Hour,0)),Season,'Summarized Source Data'!$A87,Sector,'Summarized Source Data'!T$2,TimeOfWeek,$D87)</f>
        <v>7400000</v>
      </c>
      <c r="U87" s="33">
        <f>SUMIFS(INDEX(Load,,MATCH('Summarized Source Data'!$B87,Hour,0)),Season,'Summarized Source Data'!$A87,Sector,'Summarized Source Data'!U$2,TimeOfWeek,$D87)</f>
        <v>7400000</v>
      </c>
      <c r="V87" s="33">
        <f>SUMIFS(INDEX(Load,,MATCH('Summarized Source Data'!$B87,Hour,0)),Season,'Summarized Source Data'!$A87,Sector,'Summarized Source Data'!V$2,TimeOfWeek,$D87)</f>
        <v>7400000</v>
      </c>
      <c r="W87" s="27">
        <f>SUMIFS(INDEX(Load,,MATCH('Summarized Source Data'!$B87,Hour,0)),Season,'Summarized Source Data'!$A87,Sector,'Summarized Source Data'!W$2,Subsector,'Summarized Source Data'!W$3,TimeOfWeek,$D87)</f>
        <v>663000000</v>
      </c>
      <c r="X87" s="29">
        <f t="shared" si="12"/>
        <v>663000000</v>
      </c>
      <c r="Y87" s="29">
        <f t="shared" si="12"/>
        <v>663000000</v>
      </c>
    </row>
    <row r="88" spans="1:25" outlineLevel="1" x14ac:dyDescent="0.3">
      <c r="A88" t="s">
        <v>166</v>
      </c>
      <c r="B88" t="s">
        <v>76</v>
      </c>
      <c r="C88" s="6" t="s">
        <v>152</v>
      </c>
      <c r="D88" t="s">
        <v>49</v>
      </c>
      <c r="E88" s="27">
        <f>SUMIFS(INDEX(Load,,MATCH('Summarized Source Data'!$B88,Hour,0)),Season,'Summarized Source Data'!$A88,Sector,'Summarized Source Data'!E$2,Subsector,'Summarized Source Data'!E$3,TimeOfWeek,$D88)</f>
        <v>0</v>
      </c>
      <c r="F88" s="27">
        <f>SUMIFS(INDEX(Load,,MATCH('Summarized Source Data'!$B88,Hour,0)),Season,'Summarized Source Data'!$A88,Sector,'Summarized Source Data'!F$2,Subsector,'Summarized Source Data'!F$3,TimeOfWeek,$D88)</f>
        <v>15977158</v>
      </c>
      <c r="G88" s="27">
        <f>SUMIFS(INDEX(Load,,MATCH('Summarized Source Data'!$B88,Hour,0)),Season,'Summarized Source Data'!$A88,Sector,'Summarized Source Data'!G$2,Subsector,'Summarized Source Data'!G$3,TimeOfWeek,$D88)</f>
        <v>0</v>
      </c>
      <c r="H88" s="27">
        <f>SUMIFS(INDEX(Load,,MATCH('Summarized Source Data'!$B88,Hour,0)),Season,'Summarized Source Data'!$A88,Sector,'Summarized Source Data'!H$2,Subsector,'Summarized Source Data'!H$3,TimeOfWeek,$D88)</f>
        <v>35700000</v>
      </c>
      <c r="I88" s="27">
        <f t="shared" si="7"/>
        <v>35700000</v>
      </c>
      <c r="J88" s="29">
        <f t="shared" si="8"/>
        <v>35700000</v>
      </c>
      <c r="K88" s="27">
        <f>SUMIFS(INDEX(Load,,MATCH('Summarized Source Data'!$B88,Hour,0)),Season,'Summarized Source Data'!$A88,Sector,'Summarized Source Data'!K$2,Subsector,'Summarized Source Data'!K$3,TimeOfWeek,$D88)</f>
        <v>2384901</v>
      </c>
      <c r="L88" s="27">
        <f>SUMIFS(INDEX(Load,,MATCH('Summarized Source Data'!$B88,Hour,0)),Season,'Summarized Source Data'!$A88,Sector,'Summarized Source Data'!L$2,Subsector,'Summarized Source Data'!L$3,TimeOfWeek,$D88)</f>
        <v>48700000</v>
      </c>
      <c r="M88" s="27">
        <f>SUMIFS(INDEX(Load,,MATCH('Summarized Source Data'!$B88,Hour,0)),Season,'Summarized Source Data'!$A88,Sector,'Summarized Source Data'!M$2,Subsector,'Summarized Source Data'!M$3,TimeOfWeek,$D88)</f>
        <v>0</v>
      </c>
      <c r="N88" s="29">
        <f t="shared" si="9"/>
        <v>35700000</v>
      </c>
      <c r="O88" s="27">
        <f t="shared" si="10"/>
        <v>35700000</v>
      </c>
      <c r="P88" s="29">
        <f t="shared" si="11"/>
        <v>35700000</v>
      </c>
      <c r="Q88" s="33">
        <f>SUMIFS(INDEX(Load,,MATCH('Summarized Source Data'!$B88,Hour,0)),Season,'Summarized Source Data'!$A88,Sector,'Summarized Source Data'!Q$2,TimeOfWeek,$D88)</f>
        <v>7420000</v>
      </c>
      <c r="R88" s="33">
        <f>SUMIFS(INDEX(Load,,MATCH('Summarized Source Data'!$B88,Hour,0)),Season,'Summarized Source Data'!$A88,Sector,'Summarized Source Data'!R$2,TimeOfWeek,$D88)</f>
        <v>7420000</v>
      </c>
      <c r="S88" s="33">
        <f>SUMIFS(INDEX(Load,,MATCH('Summarized Source Data'!$B88,Hour,0)),Season,'Summarized Source Data'!$A88,Sector,'Summarized Source Data'!S$2,TimeOfWeek,$D88)</f>
        <v>7420000</v>
      </c>
      <c r="T88" s="33">
        <f>SUMIFS(INDEX(Load,,MATCH('Summarized Source Data'!$B88,Hour,0)),Season,'Summarized Source Data'!$A88,Sector,'Summarized Source Data'!T$2,TimeOfWeek,$D88)</f>
        <v>7420000</v>
      </c>
      <c r="U88" s="33">
        <f>SUMIFS(INDEX(Load,,MATCH('Summarized Source Data'!$B88,Hour,0)),Season,'Summarized Source Data'!$A88,Sector,'Summarized Source Data'!U$2,TimeOfWeek,$D88)</f>
        <v>7420000</v>
      </c>
      <c r="V88" s="33">
        <f>SUMIFS(INDEX(Load,,MATCH('Summarized Source Data'!$B88,Hour,0)),Season,'Summarized Source Data'!$A88,Sector,'Summarized Source Data'!V$2,TimeOfWeek,$D88)</f>
        <v>7420000</v>
      </c>
      <c r="W88" s="27">
        <f>SUMIFS(INDEX(Load,,MATCH('Summarized Source Data'!$B88,Hour,0)),Season,'Summarized Source Data'!$A88,Sector,'Summarized Source Data'!W$2,Subsector,'Summarized Source Data'!W$3,TimeOfWeek,$D88)</f>
        <v>663000000</v>
      </c>
      <c r="X88" s="29">
        <f t="shared" si="12"/>
        <v>663000000</v>
      </c>
      <c r="Y88" s="29">
        <f t="shared" si="12"/>
        <v>663000000</v>
      </c>
    </row>
    <row r="89" spans="1:25" outlineLevel="1" x14ac:dyDescent="0.3">
      <c r="A89" t="s">
        <v>166</v>
      </c>
      <c r="B89" t="s">
        <v>77</v>
      </c>
      <c r="C89" s="6" t="s">
        <v>153</v>
      </c>
      <c r="D89" t="s">
        <v>49</v>
      </c>
      <c r="E89" s="27">
        <f>SUMIFS(INDEX(Load,,MATCH('Summarized Source Data'!$B89,Hour,0)),Season,'Summarized Source Data'!$A89,Sector,'Summarized Source Data'!E$2,Subsector,'Summarized Source Data'!E$3,TimeOfWeek,$D89)</f>
        <v>0</v>
      </c>
      <c r="F89" s="27">
        <f>SUMIFS(INDEX(Load,,MATCH('Summarized Source Data'!$B89,Hour,0)),Season,'Summarized Source Data'!$A89,Sector,'Summarized Source Data'!F$2,Subsector,'Summarized Source Data'!F$3,TimeOfWeek,$D89)</f>
        <v>17608615</v>
      </c>
      <c r="G89" s="27">
        <f>SUMIFS(INDEX(Load,,MATCH('Summarized Source Data'!$B89,Hour,0)),Season,'Summarized Source Data'!$A89,Sector,'Summarized Source Data'!G$2,Subsector,'Summarized Source Data'!G$3,TimeOfWeek,$D89)</f>
        <v>0</v>
      </c>
      <c r="H89" s="27">
        <f>SUMIFS(INDEX(Load,,MATCH('Summarized Source Data'!$B89,Hour,0)),Season,'Summarized Source Data'!$A89,Sector,'Summarized Source Data'!H$2,Subsector,'Summarized Source Data'!H$3,TimeOfWeek,$D89)</f>
        <v>36200000</v>
      </c>
      <c r="I89" s="27">
        <f t="shared" si="7"/>
        <v>36200000</v>
      </c>
      <c r="J89" s="29">
        <f t="shared" si="8"/>
        <v>36200000</v>
      </c>
      <c r="K89" s="27">
        <f>SUMIFS(INDEX(Load,,MATCH('Summarized Source Data'!$B89,Hour,0)),Season,'Summarized Source Data'!$A89,Sector,'Summarized Source Data'!K$2,Subsector,'Summarized Source Data'!K$3,TimeOfWeek,$D89)</f>
        <v>2173477</v>
      </c>
      <c r="L89" s="27">
        <f>SUMIFS(INDEX(Load,,MATCH('Summarized Source Data'!$B89,Hour,0)),Season,'Summarized Source Data'!$A89,Sector,'Summarized Source Data'!L$2,Subsector,'Summarized Source Data'!L$3,TimeOfWeek,$D89)</f>
        <v>50700000</v>
      </c>
      <c r="M89" s="27">
        <f>SUMIFS(INDEX(Load,,MATCH('Summarized Source Data'!$B89,Hour,0)),Season,'Summarized Source Data'!$A89,Sector,'Summarized Source Data'!M$2,Subsector,'Summarized Source Data'!M$3,TimeOfWeek,$D89)</f>
        <v>0</v>
      </c>
      <c r="N89" s="29">
        <f t="shared" si="9"/>
        <v>36200000</v>
      </c>
      <c r="O89" s="27">
        <f t="shared" si="10"/>
        <v>36200000</v>
      </c>
      <c r="P89" s="29">
        <f t="shared" si="11"/>
        <v>36200000</v>
      </c>
      <c r="Q89" s="33">
        <f>SUMIFS(INDEX(Load,,MATCH('Summarized Source Data'!$B89,Hour,0)),Season,'Summarized Source Data'!$A89,Sector,'Summarized Source Data'!Q$2,TimeOfWeek,$D89)</f>
        <v>7420000</v>
      </c>
      <c r="R89" s="33">
        <f>SUMIFS(INDEX(Load,,MATCH('Summarized Source Data'!$B89,Hour,0)),Season,'Summarized Source Data'!$A89,Sector,'Summarized Source Data'!R$2,TimeOfWeek,$D89)</f>
        <v>7420000</v>
      </c>
      <c r="S89" s="33">
        <f>SUMIFS(INDEX(Load,,MATCH('Summarized Source Data'!$B89,Hour,0)),Season,'Summarized Source Data'!$A89,Sector,'Summarized Source Data'!S$2,TimeOfWeek,$D89)</f>
        <v>7420000</v>
      </c>
      <c r="T89" s="33">
        <f>SUMIFS(INDEX(Load,,MATCH('Summarized Source Data'!$B89,Hour,0)),Season,'Summarized Source Data'!$A89,Sector,'Summarized Source Data'!T$2,TimeOfWeek,$D89)</f>
        <v>7420000</v>
      </c>
      <c r="U89" s="33">
        <f>SUMIFS(INDEX(Load,,MATCH('Summarized Source Data'!$B89,Hour,0)),Season,'Summarized Source Data'!$A89,Sector,'Summarized Source Data'!U$2,TimeOfWeek,$D89)</f>
        <v>7420000</v>
      </c>
      <c r="V89" s="33">
        <f>SUMIFS(INDEX(Load,,MATCH('Summarized Source Data'!$B89,Hour,0)),Season,'Summarized Source Data'!$A89,Sector,'Summarized Source Data'!V$2,TimeOfWeek,$D89)</f>
        <v>7420000</v>
      </c>
      <c r="W89" s="27">
        <f>SUMIFS(INDEX(Load,,MATCH('Summarized Source Data'!$B89,Hour,0)),Season,'Summarized Source Data'!$A89,Sector,'Summarized Source Data'!W$2,Subsector,'Summarized Source Data'!W$3,TimeOfWeek,$D89)</f>
        <v>662000000</v>
      </c>
      <c r="X89" s="29">
        <f t="shared" si="12"/>
        <v>662000000</v>
      </c>
      <c r="Y89" s="29">
        <f t="shared" si="12"/>
        <v>662000000</v>
      </c>
    </row>
    <row r="90" spans="1:25" outlineLevel="1" x14ac:dyDescent="0.3">
      <c r="A90" t="s">
        <v>166</v>
      </c>
      <c r="B90" t="s">
        <v>78</v>
      </c>
      <c r="C90" s="6" t="s">
        <v>154</v>
      </c>
      <c r="D90" t="s">
        <v>49</v>
      </c>
      <c r="E90" s="27">
        <f>SUMIFS(INDEX(Load,,MATCH('Summarized Source Data'!$B90,Hour,0)),Season,'Summarized Source Data'!$A90,Sector,'Summarized Source Data'!E$2,Subsector,'Summarized Source Data'!E$3,TimeOfWeek,$D90)</f>
        <v>0</v>
      </c>
      <c r="F90" s="27">
        <f>SUMIFS(INDEX(Load,,MATCH('Summarized Source Data'!$B90,Hour,0)),Season,'Summarized Source Data'!$A90,Sector,'Summarized Source Data'!F$2,Subsector,'Summarized Source Data'!F$3,TimeOfWeek,$D90)</f>
        <v>18794724</v>
      </c>
      <c r="G90" s="27">
        <f>SUMIFS(INDEX(Load,,MATCH('Summarized Source Data'!$B90,Hour,0)),Season,'Summarized Source Data'!$A90,Sector,'Summarized Source Data'!G$2,Subsector,'Summarized Source Data'!G$3,TimeOfWeek,$D90)</f>
        <v>0</v>
      </c>
      <c r="H90" s="27">
        <f>SUMIFS(INDEX(Load,,MATCH('Summarized Source Data'!$B90,Hour,0)),Season,'Summarized Source Data'!$A90,Sector,'Summarized Source Data'!H$2,Subsector,'Summarized Source Data'!H$3,TimeOfWeek,$D90)</f>
        <v>37200000</v>
      </c>
      <c r="I90" s="27">
        <f t="shared" si="7"/>
        <v>37200000</v>
      </c>
      <c r="J90" s="29">
        <f t="shared" si="8"/>
        <v>37200000</v>
      </c>
      <c r="K90" s="27">
        <f>SUMIFS(INDEX(Load,,MATCH('Summarized Source Data'!$B90,Hour,0)),Season,'Summarized Source Data'!$A90,Sector,'Summarized Source Data'!K$2,Subsector,'Summarized Source Data'!K$3,TimeOfWeek,$D90)</f>
        <v>2021926</v>
      </c>
      <c r="L90" s="27">
        <f>SUMIFS(INDEX(Load,,MATCH('Summarized Source Data'!$B90,Hour,0)),Season,'Summarized Source Data'!$A90,Sector,'Summarized Source Data'!L$2,Subsector,'Summarized Source Data'!L$3,TimeOfWeek,$D90)</f>
        <v>51900000</v>
      </c>
      <c r="M90" s="27">
        <f>SUMIFS(INDEX(Load,,MATCH('Summarized Source Data'!$B90,Hour,0)),Season,'Summarized Source Data'!$A90,Sector,'Summarized Source Data'!M$2,Subsector,'Summarized Source Data'!M$3,TimeOfWeek,$D90)</f>
        <v>0</v>
      </c>
      <c r="N90" s="29">
        <f t="shared" si="9"/>
        <v>37200000</v>
      </c>
      <c r="O90" s="27">
        <f t="shared" si="10"/>
        <v>37200000</v>
      </c>
      <c r="P90" s="29">
        <f t="shared" si="11"/>
        <v>37200000</v>
      </c>
      <c r="Q90" s="33">
        <f>SUMIFS(INDEX(Load,,MATCH('Summarized Source Data'!$B90,Hour,0)),Season,'Summarized Source Data'!$A90,Sector,'Summarized Source Data'!Q$2,TimeOfWeek,$D90)</f>
        <v>7400000</v>
      </c>
      <c r="R90" s="33">
        <f>SUMIFS(INDEX(Load,,MATCH('Summarized Source Data'!$B90,Hour,0)),Season,'Summarized Source Data'!$A90,Sector,'Summarized Source Data'!R$2,TimeOfWeek,$D90)</f>
        <v>7400000</v>
      </c>
      <c r="S90" s="33">
        <f>SUMIFS(INDEX(Load,,MATCH('Summarized Source Data'!$B90,Hour,0)),Season,'Summarized Source Data'!$A90,Sector,'Summarized Source Data'!S$2,TimeOfWeek,$D90)</f>
        <v>7400000</v>
      </c>
      <c r="T90" s="33">
        <f>SUMIFS(INDEX(Load,,MATCH('Summarized Source Data'!$B90,Hour,0)),Season,'Summarized Source Data'!$A90,Sector,'Summarized Source Data'!T$2,TimeOfWeek,$D90)</f>
        <v>7400000</v>
      </c>
      <c r="U90" s="33">
        <f>SUMIFS(INDEX(Load,,MATCH('Summarized Source Data'!$B90,Hour,0)),Season,'Summarized Source Data'!$A90,Sector,'Summarized Source Data'!U$2,TimeOfWeek,$D90)</f>
        <v>7400000</v>
      </c>
      <c r="V90" s="33">
        <f>SUMIFS(INDEX(Load,,MATCH('Summarized Source Data'!$B90,Hour,0)),Season,'Summarized Source Data'!$A90,Sector,'Summarized Source Data'!V$2,TimeOfWeek,$D90)</f>
        <v>7400000</v>
      </c>
      <c r="W90" s="27">
        <f>SUMIFS(INDEX(Load,,MATCH('Summarized Source Data'!$B90,Hour,0)),Season,'Summarized Source Data'!$A90,Sector,'Summarized Source Data'!W$2,Subsector,'Summarized Source Data'!W$3,TimeOfWeek,$D90)</f>
        <v>663000000</v>
      </c>
      <c r="X90" s="29">
        <f t="shared" si="12"/>
        <v>663000000</v>
      </c>
      <c r="Y90" s="29">
        <f t="shared" si="12"/>
        <v>663000000</v>
      </c>
    </row>
    <row r="91" spans="1:25" outlineLevel="1" x14ac:dyDescent="0.3">
      <c r="A91" t="s">
        <v>166</v>
      </c>
      <c r="B91" t="s">
        <v>79</v>
      </c>
      <c r="C91" s="6" t="s">
        <v>155</v>
      </c>
      <c r="D91" t="s">
        <v>49</v>
      </c>
      <c r="E91" s="27">
        <f>SUMIFS(INDEX(Load,,MATCH('Summarized Source Data'!$B91,Hour,0)),Season,'Summarized Source Data'!$A91,Sector,'Summarized Source Data'!E$2,Subsector,'Summarized Source Data'!E$3,TimeOfWeek,$D91)</f>
        <v>0</v>
      </c>
      <c r="F91" s="27">
        <f>SUMIFS(INDEX(Load,,MATCH('Summarized Source Data'!$B91,Hour,0)),Season,'Summarized Source Data'!$A91,Sector,'Summarized Source Data'!F$2,Subsector,'Summarized Source Data'!F$3,TimeOfWeek,$D91)</f>
        <v>20069525</v>
      </c>
      <c r="G91" s="27">
        <f>SUMIFS(INDEX(Load,,MATCH('Summarized Source Data'!$B91,Hour,0)),Season,'Summarized Source Data'!$A91,Sector,'Summarized Source Data'!G$2,Subsector,'Summarized Source Data'!G$3,TimeOfWeek,$D91)</f>
        <v>0</v>
      </c>
      <c r="H91" s="27">
        <f>SUMIFS(INDEX(Load,,MATCH('Summarized Source Data'!$B91,Hour,0)),Season,'Summarized Source Data'!$A91,Sector,'Summarized Source Data'!H$2,Subsector,'Summarized Source Data'!H$3,TimeOfWeek,$D91)</f>
        <v>40200000</v>
      </c>
      <c r="I91" s="27">
        <f t="shared" si="7"/>
        <v>40200000</v>
      </c>
      <c r="J91" s="29">
        <f t="shared" si="8"/>
        <v>40200000</v>
      </c>
      <c r="K91" s="27">
        <f>SUMIFS(INDEX(Load,,MATCH('Summarized Source Data'!$B91,Hour,0)),Season,'Summarized Source Data'!$A91,Sector,'Summarized Source Data'!K$2,Subsector,'Summarized Source Data'!K$3,TimeOfWeek,$D91)</f>
        <v>1886106</v>
      </c>
      <c r="L91" s="27">
        <f>SUMIFS(INDEX(Load,,MATCH('Summarized Source Data'!$B91,Hour,0)),Season,'Summarized Source Data'!$A91,Sector,'Summarized Source Data'!L$2,Subsector,'Summarized Source Data'!L$3,TimeOfWeek,$D91)</f>
        <v>51400000</v>
      </c>
      <c r="M91" s="27">
        <f>SUMIFS(INDEX(Load,,MATCH('Summarized Source Data'!$B91,Hour,0)),Season,'Summarized Source Data'!$A91,Sector,'Summarized Source Data'!M$2,Subsector,'Summarized Source Data'!M$3,TimeOfWeek,$D91)</f>
        <v>0</v>
      </c>
      <c r="N91" s="29">
        <f t="shared" si="9"/>
        <v>40200000</v>
      </c>
      <c r="O91" s="27">
        <f t="shared" si="10"/>
        <v>40200000</v>
      </c>
      <c r="P91" s="29">
        <f t="shared" si="11"/>
        <v>40200000</v>
      </c>
      <c r="Q91" s="33">
        <f>SUMIFS(INDEX(Load,,MATCH('Summarized Source Data'!$B91,Hour,0)),Season,'Summarized Source Data'!$A91,Sector,'Summarized Source Data'!Q$2,TimeOfWeek,$D91)</f>
        <v>8900000</v>
      </c>
      <c r="R91" s="33">
        <f>SUMIFS(INDEX(Load,,MATCH('Summarized Source Data'!$B91,Hour,0)),Season,'Summarized Source Data'!$A91,Sector,'Summarized Source Data'!R$2,TimeOfWeek,$D91)</f>
        <v>8900000</v>
      </c>
      <c r="S91" s="33">
        <f>SUMIFS(INDEX(Load,,MATCH('Summarized Source Data'!$B91,Hour,0)),Season,'Summarized Source Data'!$A91,Sector,'Summarized Source Data'!S$2,TimeOfWeek,$D91)</f>
        <v>8900000</v>
      </c>
      <c r="T91" s="33">
        <f>SUMIFS(INDEX(Load,,MATCH('Summarized Source Data'!$B91,Hour,0)),Season,'Summarized Source Data'!$A91,Sector,'Summarized Source Data'!T$2,TimeOfWeek,$D91)</f>
        <v>8900000</v>
      </c>
      <c r="U91" s="33">
        <f>SUMIFS(INDEX(Load,,MATCH('Summarized Source Data'!$B91,Hour,0)),Season,'Summarized Source Data'!$A91,Sector,'Summarized Source Data'!U$2,TimeOfWeek,$D91)</f>
        <v>8900000</v>
      </c>
      <c r="V91" s="33">
        <f>SUMIFS(INDEX(Load,,MATCH('Summarized Source Data'!$B91,Hour,0)),Season,'Summarized Source Data'!$A91,Sector,'Summarized Source Data'!V$2,TimeOfWeek,$D91)</f>
        <v>8900000</v>
      </c>
      <c r="W91" s="27">
        <f>SUMIFS(INDEX(Load,,MATCH('Summarized Source Data'!$B91,Hour,0)),Season,'Summarized Source Data'!$A91,Sector,'Summarized Source Data'!W$2,Subsector,'Summarized Source Data'!W$3,TimeOfWeek,$D91)</f>
        <v>666000000</v>
      </c>
      <c r="X91" s="29">
        <f t="shared" si="12"/>
        <v>666000000</v>
      </c>
      <c r="Y91" s="29">
        <f t="shared" si="12"/>
        <v>666000000</v>
      </c>
    </row>
    <row r="92" spans="1:25" outlineLevel="1" x14ac:dyDescent="0.3">
      <c r="A92" t="s">
        <v>166</v>
      </c>
      <c r="B92" t="s">
        <v>80</v>
      </c>
      <c r="C92" s="6" t="s">
        <v>156</v>
      </c>
      <c r="D92" t="s">
        <v>49</v>
      </c>
      <c r="E92" s="27">
        <f>SUMIFS(INDEX(Load,,MATCH('Summarized Source Data'!$B92,Hour,0)),Season,'Summarized Source Data'!$A92,Sector,'Summarized Source Data'!E$2,Subsector,'Summarized Source Data'!E$3,TimeOfWeek,$D92)</f>
        <v>0</v>
      </c>
      <c r="F92" s="27">
        <f>SUMIFS(INDEX(Load,,MATCH('Summarized Source Data'!$B92,Hour,0)),Season,'Summarized Source Data'!$A92,Sector,'Summarized Source Data'!F$2,Subsector,'Summarized Source Data'!F$3,TimeOfWeek,$D92)</f>
        <v>20513698</v>
      </c>
      <c r="G92" s="27">
        <f>SUMIFS(INDEX(Load,,MATCH('Summarized Source Data'!$B92,Hour,0)),Season,'Summarized Source Data'!$A92,Sector,'Summarized Source Data'!G$2,Subsector,'Summarized Source Data'!G$3,TimeOfWeek,$D92)</f>
        <v>0</v>
      </c>
      <c r="H92" s="27">
        <f>SUMIFS(INDEX(Load,,MATCH('Summarized Source Data'!$B92,Hour,0)),Season,'Summarized Source Data'!$A92,Sector,'Summarized Source Data'!H$2,Subsector,'Summarized Source Data'!H$3,TimeOfWeek,$D92)</f>
        <v>46200000</v>
      </c>
      <c r="I92" s="27">
        <f t="shared" si="7"/>
        <v>46200000</v>
      </c>
      <c r="J92" s="29">
        <f t="shared" si="8"/>
        <v>46200000</v>
      </c>
      <c r="K92" s="27">
        <f>SUMIFS(INDEX(Load,,MATCH('Summarized Source Data'!$B92,Hour,0)),Season,'Summarized Source Data'!$A92,Sector,'Summarized Source Data'!K$2,Subsector,'Summarized Source Data'!K$3,TimeOfWeek,$D92)</f>
        <v>1767418</v>
      </c>
      <c r="L92" s="27">
        <f>SUMIFS(INDEX(Load,,MATCH('Summarized Source Data'!$B92,Hour,0)),Season,'Summarized Source Data'!$A92,Sector,'Summarized Source Data'!L$2,Subsector,'Summarized Source Data'!L$3,TimeOfWeek,$D92)</f>
        <v>49400000</v>
      </c>
      <c r="M92" s="27">
        <f>SUMIFS(INDEX(Load,,MATCH('Summarized Source Data'!$B92,Hour,0)),Season,'Summarized Source Data'!$A92,Sector,'Summarized Source Data'!M$2,Subsector,'Summarized Source Data'!M$3,TimeOfWeek,$D92)</f>
        <v>0</v>
      </c>
      <c r="N92" s="29">
        <f t="shared" si="9"/>
        <v>46200000</v>
      </c>
      <c r="O92" s="27">
        <f t="shared" si="10"/>
        <v>46200000</v>
      </c>
      <c r="P92" s="29">
        <f t="shared" si="11"/>
        <v>46200000</v>
      </c>
      <c r="Q92" s="33">
        <f>SUMIFS(INDEX(Load,,MATCH('Summarized Source Data'!$B92,Hour,0)),Season,'Summarized Source Data'!$A92,Sector,'Summarized Source Data'!Q$2,TimeOfWeek,$D92)</f>
        <v>9930000</v>
      </c>
      <c r="R92" s="33">
        <f>SUMIFS(INDEX(Load,,MATCH('Summarized Source Data'!$B92,Hour,0)),Season,'Summarized Source Data'!$A92,Sector,'Summarized Source Data'!R$2,TimeOfWeek,$D92)</f>
        <v>9930000</v>
      </c>
      <c r="S92" s="33">
        <f>SUMIFS(INDEX(Load,,MATCH('Summarized Source Data'!$B92,Hour,0)),Season,'Summarized Source Data'!$A92,Sector,'Summarized Source Data'!S$2,TimeOfWeek,$D92)</f>
        <v>9930000</v>
      </c>
      <c r="T92" s="33">
        <f>SUMIFS(INDEX(Load,,MATCH('Summarized Source Data'!$B92,Hour,0)),Season,'Summarized Source Data'!$A92,Sector,'Summarized Source Data'!T$2,TimeOfWeek,$D92)</f>
        <v>9930000</v>
      </c>
      <c r="U92" s="33">
        <f>SUMIFS(INDEX(Load,,MATCH('Summarized Source Data'!$B92,Hour,0)),Season,'Summarized Source Data'!$A92,Sector,'Summarized Source Data'!U$2,TimeOfWeek,$D92)</f>
        <v>9930000</v>
      </c>
      <c r="V92" s="33">
        <f>SUMIFS(INDEX(Load,,MATCH('Summarized Source Data'!$B92,Hour,0)),Season,'Summarized Source Data'!$A92,Sector,'Summarized Source Data'!V$2,TimeOfWeek,$D92)</f>
        <v>9930000</v>
      </c>
      <c r="W92" s="27">
        <f>SUMIFS(INDEX(Load,,MATCH('Summarized Source Data'!$B92,Hour,0)),Season,'Summarized Source Data'!$A92,Sector,'Summarized Source Data'!W$2,Subsector,'Summarized Source Data'!W$3,TimeOfWeek,$D92)</f>
        <v>669000000</v>
      </c>
      <c r="X92" s="29">
        <f t="shared" si="12"/>
        <v>669000000</v>
      </c>
      <c r="Y92" s="29">
        <f t="shared" si="12"/>
        <v>669000000</v>
      </c>
    </row>
    <row r="93" spans="1:25" outlineLevel="1" x14ac:dyDescent="0.3">
      <c r="A93" t="s">
        <v>166</v>
      </c>
      <c r="B93" t="s">
        <v>81</v>
      </c>
      <c r="C93" s="6" t="s">
        <v>157</v>
      </c>
      <c r="D93" t="s">
        <v>49</v>
      </c>
      <c r="E93" s="27">
        <f>SUMIFS(INDEX(Load,,MATCH('Summarized Source Data'!$B93,Hour,0)),Season,'Summarized Source Data'!$A93,Sector,'Summarized Source Data'!E$2,Subsector,'Summarized Source Data'!E$3,TimeOfWeek,$D93)</f>
        <v>0</v>
      </c>
      <c r="F93" s="27">
        <f>SUMIFS(INDEX(Load,,MATCH('Summarized Source Data'!$B93,Hour,0)),Season,'Summarized Source Data'!$A93,Sector,'Summarized Source Data'!F$2,Subsector,'Summarized Source Data'!F$3,TimeOfWeek,$D93)</f>
        <v>20089812</v>
      </c>
      <c r="G93" s="27">
        <f>SUMIFS(INDEX(Load,,MATCH('Summarized Source Data'!$B93,Hour,0)),Season,'Summarized Source Data'!$A93,Sector,'Summarized Source Data'!G$2,Subsector,'Summarized Source Data'!G$3,TimeOfWeek,$D93)</f>
        <v>0</v>
      </c>
      <c r="H93" s="27">
        <f>SUMIFS(INDEX(Load,,MATCH('Summarized Source Data'!$B93,Hour,0)),Season,'Summarized Source Data'!$A93,Sector,'Summarized Source Data'!H$2,Subsector,'Summarized Source Data'!H$3,TimeOfWeek,$D93)</f>
        <v>135600000</v>
      </c>
      <c r="I93" s="27">
        <f t="shared" si="7"/>
        <v>135600000</v>
      </c>
      <c r="J93" s="29">
        <f t="shared" si="8"/>
        <v>135600000</v>
      </c>
      <c r="K93" s="27">
        <f>SUMIFS(INDEX(Load,,MATCH('Summarized Source Data'!$B93,Hour,0)),Season,'Summarized Source Data'!$A93,Sector,'Summarized Source Data'!K$2,Subsector,'Summarized Source Data'!K$3,TimeOfWeek,$D93)</f>
        <v>2001746</v>
      </c>
      <c r="L93" s="27">
        <f>SUMIFS(INDEX(Load,,MATCH('Summarized Source Data'!$B93,Hour,0)),Season,'Summarized Source Data'!$A93,Sector,'Summarized Source Data'!L$2,Subsector,'Summarized Source Data'!L$3,TimeOfWeek,$D93)</f>
        <v>45900000</v>
      </c>
      <c r="M93" s="27">
        <f>SUMIFS(INDEX(Load,,MATCH('Summarized Source Data'!$B93,Hour,0)),Season,'Summarized Source Data'!$A93,Sector,'Summarized Source Data'!M$2,Subsector,'Summarized Source Data'!M$3,TimeOfWeek,$D93)</f>
        <v>0</v>
      </c>
      <c r="N93" s="29">
        <f t="shared" si="9"/>
        <v>135600000</v>
      </c>
      <c r="O93" s="27">
        <f t="shared" si="10"/>
        <v>135600000</v>
      </c>
      <c r="P93" s="29">
        <f t="shared" si="11"/>
        <v>135600000</v>
      </c>
      <c r="Q93" s="33">
        <f>SUMIFS(INDEX(Load,,MATCH('Summarized Source Data'!$B93,Hour,0)),Season,'Summarized Source Data'!$A93,Sector,'Summarized Source Data'!Q$2,TimeOfWeek,$D93)</f>
        <v>10010000</v>
      </c>
      <c r="R93" s="33">
        <f>SUMIFS(INDEX(Load,,MATCH('Summarized Source Data'!$B93,Hour,0)),Season,'Summarized Source Data'!$A93,Sector,'Summarized Source Data'!R$2,TimeOfWeek,$D93)</f>
        <v>10010000</v>
      </c>
      <c r="S93" s="33">
        <f>SUMIFS(INDEX(Load,,MATCH('Summarized Source Data'!$B93,Hour,0)),Season,'Summarized Source Data'!$A93,Sector,'Summarized Source Data'!S$2,TimeOfWeek,$D93)</f>
        <v>10010000</v>
      </c>
      <c r="T93" s="33">
        <f>SUMIFS(INDEX(Load,,MATCH('Summarized Source Data'!$B93,Hour,0)),Season,'Summarized Source Data'!$A93,Sector,'Summarized Source Data'!T$2,TimeOfWeek,$D93)</f>
        <v>10010000</v>
      </c>
      <c r="U93" s="33">
        <f>SUMIFS(INDEX(Load,,MATCH('Summarized Source Data'!$B93,Hour,0)),Season,'Summarized Source Data'!$A93,Sector,'Summarized Source Data'!U$2,TimeOfWeek,$D93)</f>
        <v>10010000</v>
      </c>
      <c r="V93" s="33">
        <f>SUMIFS(INDEX(Load,,MATCH('Summarized Source Data'!$B93,Hour,0)),Season,'Summarized Source Data'!$A93,Sector,'Summarized Source Data'!V$2,TimeOfWeek,$D93)</f>
        <v>10010000</v>
      </c>
      <c r="W93" s="27">
        <f>SUMIFS(INDEX(Load,,MATCH('Summarized Source Data'!$B93,Hour,0)),Season,'Summarized Source Data'!$A93,Sector,'Summarized Source Data'!W$2,Subsector,'Summarized Source Data'!W$3,TimeOfWeek,$D93)</f>
        <v>671000000</v>
      </c>
      <c r="X93" s="29">
        <f t="shared" si="12"/>
        <v>671000000</v>
      </c>
      <c r="Y93" s="29">
        <f t="shared" si="12"/>
        <v>671000000</v>
      </c>
    </row>
    <row r="94" spans="1:25" outlineLevel="1" x14ac:dyDescent="0.3">
      <c r="A94" t="s">
        <v>166</v>
      </c>
      <c r="B94" t="s">
        <v>82</v>
      </c>
      <c r="C94" s="6" t="s">
        <v>158</v>
      </c>
      <c r="D94" t="s">
        <v>49</v>
      </c>
      <c r="E94" s="27">
        <f>SUMIFS(INDEX(Load,,MATCH('Summarized Source Data'!$B94,Hour,0)),Season,'Summarized Source Data'!$A94,Sector,'Summarized Source Data'!E$2,Subsector,'Summarized Source Data'!E$3,TimeOfWeek,$D94)</f>
        <v>0</v>
      </c>
      <c r="F94" s="27">
        <f>SUMIFS(INDEX(Load,,MATCH('Summarized Source Data'!$B94,Hour,0)),Season,'Summarized Source Data'!$A94,Sector,'Summarized Source Data'!F$2,Subsector,'Summarized Source Data'!F$3,TimeOfWeek,$D94)</f>
        <v>18717012</v>
      </c>
      <c r="G94" s="27">
        <f>SUMIFS(INDEX(Load,,MATCH('Summarized Source Data'!$B94,Hour,0)),Season,'Summarized Source Data'!$A94,Sector,'Summarized Source Data'!G$2,Subsector,'Summarized Source Data'!G$3,TimeOfWeek,$D94)</f>
        <v>0</v>
      </c>
      <c r="H94" s="27">
        <f>SUMIFS(INDEX(Load,,MATCH('Summarized Source Data'!$B94,Hour,0)),Season,'Summarized Source Data'!$A94,Sector,'Summarized Source Data'!H$2,Subsector,'Summarized Source Data'!H$3,TimeOfWeek,$D94)</f>
        <v>174500000</v>
      </c>
      <c r="I94" s="27">
        <f t="shared" si="7"/>
        <v>174500000</v>
      </c>
      <c r="J94" s="29">
        <f t="shared" si="8"/>
        <v>174500000</v>
      </c>
      <c r="K94" s="27">
        <f>SUMIFS(INDEX(Load,,MATCH('Summarized Source Data'!$B94,Hour,0)),Season,'Summarized Source Data'!$A94,Sector,'Summarized Source Data'!K$2,Subsector,'Summarized Source Data'!K$3,TimeOfWeek,$D94)</f>
        <v>2467570</v>
      </c>
      <c r="L94" s="27">
        <f>SUMIFS(INDEX(Load,,MATCH('Summarized Source Data'!$B94,Hour,0)),Season,'Summarized Source Data'!$A94,Sector,'Summarized Source Data'!L$2,Subsector,'Summarized Source Data'!L$3,TimeOfWeek,$D94)</f>
        <v>41800000</v>
      </c>
      <c r="M94" s="27">
        <f>SUMIFS(INDEX(Load,,MATCH('Summarized Source Data'!$B94,Hour,0)),Season,'Summarized Source Data'!$A94,Sector,'Summarized Source Data'!M$2,Subsector,'Summarized Source Data'!M$3,TimeOfWeek,$D94)</f>
        <v>0</v>
      </c>
      <c r="N94" s="29">
        <f t="shared" si="9"/>
        <v>174500000</v>
      </c>
      <c r="O94" s="27">
        <f t="shared" si="10"/>
        <v>174500000</v>
      </c>
      <c r="P94" s="29">
        <f t="shared" si="11"/>
        <v>174500000</v>
      </c>
      <c r="Q94" s="33">
        <f>SUMIFS(INDEX(Load,,MATCH('Summarized Source Data'!$B94,Hour,0)),Season,'Summarized Source Data'!$A94,Sector,'Summarized Source Data'!Q$2,TimeOfWeek,$D94)</f>
        <v>9060000</v>
      </c>
      <c r="R94" s="33">
        <f>SUMIFS(INDEX(Load,,MATCH('Summarized Source Data'!$B94,Hour,0)),Season,'Summarized Source Data'!$A94,Sector,'Summarized Source Data'!R$2,TimeOfWeek,$D94)</f>
        <v>9060000</v>
      </c>
      <c r="S94" s="33">
        <f>SUMIFS(INDEX(Load,,MATCH('Summarized Source Data'!$B94,Hour,0)),Season,'Summarized Source Data'!$A94,Sector,'Summarized Source Data'!S$2,TimeOfWeek,$D94)</f>
        <v>9060000</v>
      </c>
      <c r="T94" s="33">
        <f>SUMIFS(INDEX(Load,,MATCH('Summarized Source Data'!$B94,Hour,0)),Season,'Summarized Source Data'!$A94,Sector,'Summarized Source Data'!T$2,TimeOfWeek,$D94)</f>
        <v>9060000</v>
      </c>
      <c r="U94" s="33">
        <f>SUMIFS(INDEX(Load,,MATCH('Summarized Source Data'!$B94,Hour,0)),Season,'Summarized Source Data'!$A94,Sector,'Summarized Source Data'!U$2,TimeOfWeek,$D94)</f>
        <v>9060000</v>
      </c>
      <c r="V94" s="33">
        <f>SUMIFS(INDEX(Load,,MATCH('Summarized Source Data'!$B94,Hour,0)),Season,'Summarized Source Data'!$A94,Sector,'Summarized Source Data'!V$2,TimeOfWeek,$D94)</f>
        <v>9060000</v>
      </c>
      <c r="W94" s="27">
        <f>SUMIFS(INDEX(Load,,MATCH('Summarized Source Data'!$B94,Hour,0)),Season,'Summarized Source Data'!$A94,Sector,'Summarized Source Data'!W$2,Subsector,'Summarized Source Data'!W$3,TimeOfWeek,$D94)</f>
        <v>669000000</v>
      </c>
      <c r="X94" s="29">
        <f t="shared" si="12"/>
        <v>669000000</v>
      </c>
      <c r="Y94" s="29">
        <f t="shared" si="12"/>
        <v>669000000</v>
      </c>
    </row>
    <row r="95" spans="1:25" outlineLevel="1" x14ac:dyDescent="0.3">
      <c r="A95" t="s">
        <v>166</v>
      </c>
      <c r="B95" t="s">
        <v>83</v>
      </c>
      <c r="C95" s="6" t="s">
        <v>159</v>
      </c>
      <c r="D95" t="s">
        <v>49</v>
      </c>
      <c r="E95" s="27">
        <f>SUMIFS(INDEX(Load,,MATCH('Summarized Source Data'!$B95,Hour,0)),Season,'Summarized Source Data'!$A95,Sector,'Summarized Source Data'!E$2,Subsector,'Summarized Source Data'!E$3,TimeOfWeek,$D95)</f>
        <v>0</v>
      </c>
      <c r="F95" s="27">
        <f>SUMIFS(INDEX(Load,,MATCH('Summarized Source Data'!$B95,Hour,0)),Season,'Summarized Source Data'!$A95,Sector,'Summarized Source Data'!F$2,Subsector,'Summarized Source Data'!F$3,TimeOfWeek,$D95)</f>
        <v>16330122</v>
      </c>
      <c r="G95" s="27">
        <f>SUMIFS(INDEX(Load,,MATCH('Summarized Source Data'!$B95,Hour,0)),Season,'Summarized Source Data'!$A95,Sector,'Summarized Source Data'!G$2,Subsector,'Summarized Source Data'!G$3,TimeOfWeek,$D95)</f>
        <v>0</v>
      </c>
      <c r="H95" s="27">
        <f>SUMIFS(INDEX(Load,,MATCH('Summarized Source Data'!$B95,Hour,0)),Season,'Summarized Source Data'!$A95,Sector,'Summarized Source Data'!H$2,Subsector,'Summarized Source Data'!H$3,TimeOfWeek,$D95)</f>
        <v>187800000</v>
      </c>
      <c r="I95" s="27">
        <f t="shared" si="7"/>
        <v>187800000</v>
      </c>
      <c r="J95" s="29">
        <f t="shared" si="8"/>
        <v>187800000</v>
      </c>
      <c r="K95" s="27">
        <f>SUMIFS(INDEX(Load,,MATCH('Summarized Source Data'!$B95,Hour,0)),Season,'Summarized Source Data'!$A95,Sector,'Summarized Source Data'!K$2,Subsector,'Summarized Source Data'!K$3,TimeOfWeek,$D95)</f>
        <v>2985757</v>
      </c>
      <c r="L95" s="27">
        <f>SUMIFS(INDEX(Load,,MATCH('Summarized Source Data'!$B95,Hour,0)),Season,'Summarized Source Data'!$A95,Sector,'Summarized Source Data'!L$2,Subsector,'Summarized Source Data'!L$3,TimeOfWeek,$D95)</f>
        <v>37000000</v>
      </c>
      <c r="M95" s="27">
        <f>SUMIFS(INDEX(Load,,MATCH('Summarized Source Data'!$B95,Hour,0)),Season,'Summarized Source Data'!$A95,Sector,'Summarized Source Data'!M$2,Subsector,'Summarized Source Data'!M$3,TimeOfWeek,$D95)</f>
        <v>0</v>
      </c>
      <c r="N95" s="29">
        <f t="shared" si="9"/>
        <v>187800000</v>
      </c>
      <c r="O95" s="27">
        <f t="shared" si="10"/>
        <v>187800000</v>
      </c>
      <c r="P95" s="29">
        <f t="shared" si="11"/>
        <v>187800000</v>
      </c>
      <c r="Q95" s="33">
        <f>SUMIFS(INDEX(Load,,MATCH('Summarized Source Data'!$B95,Hour,0)),Season,'Summarized Source Data'!$A95,Sector,'Summarized Source Data'!Q$2,TimeOfWeek,$D95)</f>
        <v>7500000</v>
      </c>
      <c r="R95" s="33">
        <f>SUMIFS(INDEX(Load,,MATCH('Summarized Source Data'!$B95,Hour,0)),Season,'Summarized Source Data'!$A95,Sector,'Summarized Source Data'!R$2,TimeOfWeek,$D95)</f>
        <v>7500000</v>
      </c>
      <c r="S95" s="33">
        <f>SUMIFS(INDEX(Load,,MATCH('Summarized Source Data'!$B95,Hour,0)),Season,'Summarized Source Data'!$A95,Sector,'Summarized Source Data'!S$2,TimeOfWeek,$D95)</f>
        <v>7500000</v>
      </c>
      <c r="T95" s="33">
        <f>SUMIFS(INDEX(Load,,MATCH('Summarized Source Data'!$B95,Hour,0)),Season,'Summarized Source Data'!$A95,Sector,'Summarized Source Data'!T$2,TimeOfWeek,$D95)</f>
        <v>7500000</v>
      </c>
      <c r="U95" s="33">
        <f>SUMIFS(INDEX(Load,,MATCH('Summarized Source Data'!$B95,Hour,0)),Season,'Summarized Source Data'!$A95,Sector,'Summarized Source Data'!U$2,TimeOfWeek,$D95)</f>
        <v>7500000</v>
      </c>
      <c r="V95" s="33">
        <f>SUMIFS(INDEX(Load,,MATCH('Summarized Source Data'!$B95,Hour,0)),Season,'Summarized Source Data'!$A95,Sector,'Summarized Source Data'!V$2,TimeOfWeek,$D95)</f>
        <v>7500000</v>
      </c>
      <c r="W95" s="27">
        <f>SUMIFS(INDEX(Load,,MATCH('Summarized Source Data'!$B95,Hour,0)),Season,'Summarized Source Data'!$A95,Sector,'Summarized Source Data'!W$2,Subsector,'Summarized Source Data'!W$3,TimeOfWeek,$D95)</f>
        <v>667000000</v>
      </c>
      <c r="X95" s="29">
        <f t="shared" si="12"/>
        <v>667000000</v>
      </c>
      <c r="Y95" s="29">
        <f t="shared" si="12"/>
        <v>667000000</v>
      </c>
    </row>
    <row r="96" spans="1:25" outlineLevel="1" x14ac:dyDescent="0.3">
      <c r="A96" t="s">
        <v>166</v>
      </c>
      <c r="B96" t="s">
        <v>84</v>
      </c>
      <c r="C96" s="6" t="s">
        <v>160</v>
      </c>
      <c r="D96" t="s">
        <v>49</v>
      </c>
      <c r="E96" s="27">
        <f>SUMIFS(INDEX(Load,,MATCH('Summarized Source Data'!$B96,Hour,0)),Season,'Summarized Source Data'!$A96,Sector,'Summarized Source Data'!E$2,Subsector,'Summarized Source Data'!E$3,TimeOfWeek,$D96)</f>
        <v>0</v>
      </c>
      <c r="F96" s="27">
        <f>SUMIFS(INDEX(Load,,MATCH('Summarized Source Data'!$B96,Hour,0)),Season,'Summarized Source Data'!$A96,Sector,'Summarized Source Data'!F$2,Subsector,'Summarized Source Data'!F$3,TimeOfWeek,$D96)</f>
        <v>13636838</v>
      </c>
      <c r="G96" s="27">
        <f>SUMIFS(INDEX(Load,,MATCH('Summarized Source Data'!$B96,Hour,0)),Season,'Summarized Source Data'!$A96,Sector,'Summarized Source Data'!G$2,Subsector,'Summarized Source Data'!G$3,TimeOfWeek,$D96)</f>
        <v>0</v>
      </c>
      <c r="H96" s="27">
        <f>SUMIFS(INDEX(Load,,MATCH('Summarized Source Data'!$B96,Hour,0)),Season,'Summarized Source Data'!$A96,Sector,'Summarized Source Data'!H$2,Subsector,'Summarized Source Data'!H$3,TimeOfWeek,$D96)</f>
        <v>190800000</v>
      </c>
      <c r="I96" s="27">
        <f t="shared" si="7"/>
        <v>190800000</v>
      </c>
      <c r="J96" s="29">
        <f t="shared" si="8"/>
        <v>190800000</v>
      </c>
      <c r="K96" s="27">
        <f>SUMIFS(INDEX(Load,,MATCH('Summarized Source Data'!$B96,Hour,0)),Season,'Summarized Source Data'!$A96,Sector,'Summarized Source Data'!K$2,Subsector,'Summarized Source Data'!K$3,TimeOfWeek,$D96)</f>
        <v>3760945</v>
      </c>
      <c r="L96" s="27">
        <f>SUMIFS(INDEX(Load,,MATCH('Summarized Source Data'!$B96,Hour,0)),Season,'Summarized Source Data'!$A96,Sector,'Summarized Source Data'!L$2,Subsector,'Summarized Source Data'!L$3,TimeOfWeek,$D96)</f>
        <v>32900000</v>
      </c>
      <c r="M96" s="27">
        <f>SUMIFS(INDEX(Load,,MATCH('Summarized Source Data'!$B96,Hour,0)),Season,'Summarized Source Data'!$A96,Sector,'Summarized Source Data'!M$2,Subsector,'Summarized Source Data'!M$3,TimeOfWeek,$D96)</f>
        <v>0</v>
      </c>
      <c r="N96" s="29">
        <f t="shared" si="9"/>
        <v>190800000</v>
      </c>
      <c r="O96" s="27">
        <f t="shared" si="10"/>
        <v>190800000</v>
      </c>
      <c r="P96" s="29">
        <f t="shared" si="11"/>
        <v>190800000</v>
      </c>
      <c r="Q96" s="33">
        <f>SUMIFS(INDEX(Load,,MATCH('Summarized Source Data'!$B96,Hour,0)),Season,'Summarized Source Data'!$A96,Sector,'Summarized Source Data'!Q$2,TimeOfWeek,$D96)</f>
        <v>7400000</v>
      </c>
      <c r="R96" s="33">
        <f>SUMIFS(INDEX(Load,,MATCH('Summarized Source Data'!$B96,Hour,0)),Season,'Summarized Source Data'!$A96,Sector,'Summarized Source Data'!R$2,TimeOfWeek,$D96)</f>
        <v>7400000</v>
      </c>
      <c r="S96" s="33">
        <f>SUMIFS(INDEX(Load,,MATCH('Summarized Source Data'!$B96,Hour,0)),Season,'Summarized Source Data'!$A96,Sector,'Summarized Source Data'!S$2,TimeOfWeek,$D96)</f>
        <v>7400000</v>
      </c>
      <c r="T96" s="33">
        <f>SUMIFS(INDEX(Load,,MATCH('Summarized Source Data'!$B96,Hour,0)),Season,'Summarized Source Data'!$A96,Sector,'Summarized Source Data'!T$2,TimeOfWeek,$D96)</f>
        <v>7400000</v>
      </c>
      <c r="U96" s="33">
        <f>SUMIFS(INDEX(Load,,MATCH('Summarized Source Data'!$B96,Hour,0)),Season,'Summarized Source Data'!$A96,Sector,'Summarized Source Data'!U$2,TimeOfWeek,$D96)</f>
        <v>7400000</v>
      </c>
      <c r="V96" s="33">
        <f>SUMIFS(INDEX(Load,,MATCH('Summarized Source Data'!$B96,Hour,0)),Season,'Summarized Source Data'!$A96,Sector,'Summarized Source Data'!V$2,TimeOfWeek,$D96)</f>
        <v>7400000</v>
      </c>
      <c r="W96" s="27">
        <f>SUMIFS(INDEX(Load,,MATCH('Summarized Source Data'!$B96,Hour,0)),Season,'Summarized Source Data'!$A96,Sector,'Summarized Source Data'!W$2,Subsector,'Summarized Source Data'!W$3,TimeOfWeek,$D96)</f>
        <v>663000000</v>
      </c>
      <c r="X96" s="29">
        <f t="shared" si="12"/>
        <v>663000000</v>
      </c>
      <c r="Y96" s="29">
        <f t="shared" si="12"/>
        <v>663000000</v>
      </c>
    </row>
    <row r="97" spans="1:25" outlineLevel="1" x14ac:dyDescent="0.3">
      <c r="A97" t="s">
        <v>166</v>
      </c>
      <c r="B97" t="s">
        <v>85</v>
      </c>
      <c r="C97" s="6" t="s">
        <v>161</v>
      </c>
      <c r="D97" t="s">
        <v>49</v>
      </c>
      <c r="E97" s="27">
        <f>SUMIFS(INDEX(Load,,MATCH('Summarized Source Data'!$B97,Hour,0)),Season,'Summarized Source Data'!$A97,Sector,'Summarized Source Data'!E$2,Subsector,'Summarized Source Data'!E$3,TimeOfWeek,$D97)</f>
        <v>0</v>
      </c>
      <c r="F97" s="27">
        <f>SUMIFS(INDEX(Load,,MATCH('Summarized Source Data'!$B97,Hour,0)),Season,'Summarized Source Data'!$A97,Sector,'Summarized Source Data'!F$2,Subsector,'Summarized Source Data'!F$3,TimeOfWeek,$D97)</f>
        <v>11012251</v>
      </c>
      <c r="G97" s="27">
        <f>SUMIFS(INDEX(Load,,MATCH('Summarized Source Data'!$B97,Hour,0)),Season,'Summarized Source Data'!$A97,Sector,'Summarized Source Data'!G$2,Subsector,'Summarized Source Data'!G$3,TimeOfWeek,$D97)</f>
        <v>0</v>
      </c>
      <c r="H97" s="27">
        <f>SUMIFS(INDEX(Load,,MATCH('Summarized Source Data'!$B97,Hour,0)),Season,'Summarized Source Data'!$A97,Sector,'Summarized Source Data'!H$2,Subsector,'Summarized Source Data'!H$3,TimeOfWeek,$D97)</f>
        <v>156200000</v>
      </c>
      <c r="I97" s="27">
        <f t="shared" si="7"/>
        <v>156200000</v>
      </c>
      <c r="J97" s="29">
        <f t="shared" si="8"/>
        <v>156200000</v>
      </c>
      <c r="K97" s="27">
        <f>SUMIFS(INDEX(Load,,MATCH('Summarized Source Data'!$B97,Hour,0)),Season,'Summarized Source Data'!$A97,Sector,'Summarized Source Data'!K$2,Subsector,'Summarized Source Data'!K$3,TimeOfWeek,$D97)</f>
        <v>3012345</v>
      </c>
      <c r="L97" s="27">
        <f>SUMIFS(INDEX(Load,,MATCH('Summarized Source Data'!$B97,Hour,0)),Season,'Summarized Source Data'!$A97,Sector,'Summarized Source Data'!L$2,Subsector,'Summarized Source Data'!L$3,TimeOfWeek,$D97)</f>
        <v>29200000</v>
      </c>
      <c r="M97" s="27">
        <f>SUMIFS(INDEX(Load,,MATCH('Summarized Source Data'!$B97,Hour,0)),Season,'Summarized Source Data'!$A97,Sector,'Summarized Source Data'!M$2,Subsector,'Summarized Source Data'!M$3,TimeOfWeek,$D97)</f>
        <v>0</v>
      </c>
      <c r="N97" s="29">
        <f t="shared" si="9"/>
        <v>156200000</v>
      </c>
      <c r="O97" s="27">
        <f t="shared" si="10"/>
        <v>156200000</v>
      </c>
      <c r="P97" s="29">
        <f t="shared" si="11"/>
        <v>156200000</v>
      </c>
      <c r="Q97" s="33">
        <f>SUMIFS(INDEX(Load,,MATCH('Summarized Source Data'!$B97,Hour,0)),Season,'Summarized Source Data'!$A97,Sector,'Summarized Source Data'!Q$2,TimeOfWeek,$D97)</f>
        <v>7340000</v>
      </c>
      <c r="R97" s="33">
        <f>SUMIFS(INDEX(Load,,MATCH('Summarized Source Data'!$B97,Hour,0)),Season,'Summarized Source Data'!$A97,Sector,'Summarized Source Data'!R$2,TimeOfWeek,$D97)</f>
        <v>7340000</v>
      </c>
      <c r="S97" s="33">
        <f>SUMIFS(INDEX(Load,,MATCH('Summarized Source Data'!$B97,Hour,0)),Season,'Summarized Source Data'!$A97,Sector,'Summarized Source Data'!S$2,TimeOfWeek,$D97)</f>
        <v>7340000</v>
      </c>
      <c r="T97" s="33">
        <f>SUMIFS(INDEX(Load,,MATCH('Summarized Source Data'!$B97,Hour,0)),Season,'Summarized Source Data'!$A97,Sector,'Summarized Source Data'!T$2,TimeOfWeek,$D97)</f>
        <v>7340000</v>
      </c>
      <c r="U97" s="33">
        <f>SUMIFS(INDEX(Load,,MATCH('Summarized Source Data'!$B97,Hour,0)),Season,'Summarized Source Data'!$A97,Sector,'Summarized Source Data'!U$2,TimeOfWeek,$D97)</f>
        <v>7340000</v>
      </c>
      <c r="V97" s="33">
        <f>SUMIFS(INDEX(Load,,MATCH('Summarized Source Data'!$B97,Hour,0)),Season,'Summarized Source Data'!$A97,Sector,'Summarized Source Data'!V$2,TimeOfWeek,$D97)</f>
        <v>7340000</v>
      </c>
      <c r="W97" s="27">
        <f>SUMIFS(INDEX(Load,,MATCH('Summarized Source Data'!$B97,Hour,0)),Season,'Summarized Source Data'!$A97,Sector,'Summarized Source Data'!W$2,Subsector,'Summarized Source Data'!W$3,TimeOfWeek,$D97)</f>
        <v>661000000</v>
      </c>
      <c r="X97" s="29">
        <f t="shared" si="12"/>
        <v>661000000</v>
      </c>
      <c r="Y97" s="29">
        <f t="shared" si="12"/>
        <v>661000000</v>
      </c>
    </row>
    <row r="98" spans="1:25" outlineLevel="1" x14ac:dyDescent="0.3">
      <c r="A98" t="s">
        <v>166</v>
      </c>
      <c r="B98" t="s">
        <v>86</v>
      </c>
      <c r="C98" s="6" t="s">
        <v>162</v>
      </c>
      <c r="D98" t="s">
        <v>49</v>
      </c>
      <c r="E98" s="27">
        <f>SUMIFS(INDEX(Load,,MATCH('Summarized Source Data'!$B98,Hour,0)),Season,'Summarized Source Data'!$A98,Sector,'Summarized Source Data'!E$2,Subsector,'Summarized Source Data'!E$3,TimeOfWeek,$D98)</f>
        <v>0</v>
      </c>
      <c r="F98" s="27">
        <f>SUMIFS(INDEX(Load,,MATCH('Summarized Source Data'!$B98,Hour,0)),Season,'Summarized Source Data'!$A98,Sector,'Summarized Source Data'!F$2,Subsector,'Summarized Source Data'!F$3,TimeOfWeek,$D98)</f>
        <v>8698275</v>
      </c>
      <c r="G98" s="27">
        <f>SUMIFS(INDEX(Load,,MATCH('Summarized Source Data'!$B98,Hour,0)),Season,'Summarized Source Data'!$A98,Sector,'Summarized Source Data'!G$2,Subsector,'Summarized Source Data'!G$3,TimeOfWeek,$D98)</f>
        <v>0</v>
      </c>
      <c r="H98" s="27">
        <f>SUMIFS(INDEX(Load,,MATCH('Summarized Source Data'!$B98,Hour,0)),Season,'Summarized Source Data'!$A98,Sector,'Summarized Source Data'!H$2,Subsector,'Summarized Source Data'!H$3,TimeOfWeek,$D98)</f>
        <v>92800000</v>
      </c>
      <c r="I98" s="27">
        <f t="shared" si="7"/>
        <v>92800000</v>
      </c>
      <c r="J98" s="29">
        <f t="shared" si="8"/>
        <v>92800000</v>
      </c>
      <c r="K98" s="27">
        <f>SUMIFS(INDEX(Load,,MATCH('Summarized Source Data'!$B98,Hour,0)),Season,'Summarized Source Data'!$A98,Sector,'Summarized Source Data'!K$2,Subsector,'Summarized Source Data'!K$3,TimeOfWeek,$D98)</f>
        <v>3025376</v>
      </c>
      <c r="L98" s="27">
        <f>SUMIFS(INDEX(Load,,MATCH('Summarized Source Data'!$B98,Hour,0)),Season,'Summarized Source Data'!$A98,Sector,'Summarized Source Data'!L$2,Subsector,'Summarized Source Data'!L$3,TimeOfWeek,$D98)</f>
        <v>25700000</v>
      </c>
      <c r="M98" s="27">
        <f>SUMIFS(INDEX(Load,,MATCH('Summarized Source Data'!$B98,Hour,0)),Season,'Summarized Source Data'!$A98,Sector,'Summarized Source Data'!M$2,Subsector,'Summarized Source Data'!M$3,TimeOfWeek,$D98)</f>
        <v>0</v>
      </c>
      <c r="N98" s="29">
        <f t="shared" si="9"/>
        <v>92800000</v>
      </c>
      <c r="O98" s="27">
        <f t="shared" si="10"/>
        <v>92800000</v>
      </c>
      <c r="P98" s="29">
        <f t="shared" si="11"/>
        <v>92800000</v>
      </c>
      <c r="Q98" s="33">
        <f>SUMIFS(INDEX(Load,,MATCH('Summarized Source Data'!$B98,Hour,0)),Season,'Summarized Source Data'!$A98,Sector,'Summarized Source Data'!Q$2,TimeOfWeek,$D98)</f>
        <v>7280000</v>
      </c>
      <c r="R98" s="33">
        <f>SUMIFS(INDEX(Load,,MATCH('Summarized Source Data'!$B98,Hour,0)),Season,'Summarized Source Data'!$A98,Sector,'Summarized Source Data'!R$2,TimeOfWeek,$D98)</f>
        <v>7280000</v>
      </c>
      <c r="S98" s="33">
        <f>SUMIFS(INDEX(Load,,MATCH('Summarized Source Data'!$B98,Hour,0)),Season,'Summarized Source Data'!$A98,Sector,'Summarized Source Data'!S$2,TimeOfWeek,$D98)</f>
        <v>7280000</v>
      </c>
      <c r="T98" s="33">
        <f>SUMIFS(INDEX(Load,,MATCH('Summarized Source Data'!$B98,Hour,0)),Season,'Summarized Source Data'!$A98,Sector,'Summarized Source Data'!T$2,TimeOfWeek,$D98)</f>
        <v>7280000</v>
      </c>
      <c r="U98" s="33">
        <f>SUMIFS(INDEX(Load,,MATCH('Summarized Source Data'!$B98,Hour,0)),Season,'Summarized Source Data'!$A98,Sector,'Summarized Source Data'!U$2,TimeOfWeek,$D98)</f>
        <v>7280000</v>
      </c>
      <c r="V98" s="33">
        <f>SUMIFS(INDEX(Load,,MATCH('Summarized Source Data'!$B98,Hour,0)),Season,'Summarized Source Data'!$A98,Sector,'Summarized Source Data'!V$2,TimeOfWeek,$D98)</f>
        <v>7280000</v>
      </c>
      <c r="W98" s="27">
        <f>SUMIFS(INDEX(Load,,MATCH('Summarized Source Data'!$B98,Hour,0)),Season,'Summarized Source Data'!$A98,Sector,'Summarized Source Data'!W$2,Subsector,'Summarized Source Data'!W$3,TimeOfWeek,$D98)</f>
        <v>657000000</v>
      </c>
      <c r="X98" s="29">
        <f t="shared" si="12"/>
        <v>657000000</v>
      </c>
      <c r="Y98" s="29">
        <f t="shared" si="12"/>
        <v>657000000</v>
      </c>
    </row>
    <row r="99" spans="1:25" outlineLevel="1" x14ac:dyDescent="0.3">
      <c r="A99" t="s">
        <v>166</v>
      </c>
      <c r="B99" t="s">
        <v>87</v>
      </c>
      <c r="C99" s="6" t="s">
        <v>163</v>
      </c>
      <c r="D99" t="s">
        <v>49</v>
      </c>
      <c r="E99" s="27">
        <f>SUMIFS(INDEX(Load,,MATCH('Summarized Source Data'!$B99,Hour,0)),Season,'Summarized Source Data'!$A99,Sector,'Summarized Source Data'!E$2,Subsector,'Summarized Source Data'!E$3,TimeOfWeek,$D99)</f>
        <v>0</v>
      </c>
      <c r="F99" s="27">
        <f>SUMIFS(INDEX(Load,,MATCH('Summarized Source Data'!$B99,Hour,0)),Season,'Summarized Source Data'!$A99,Sector,'Summarized Source Data'!F$2,Subsector,'Summarized Source Data'!F$3,TimeOfWeek,$D99)</f>
        <v>6947695</v>
      </c>
      <c r="G99" s="27">
        <f>SUMIFS(INDEX(Load,,MATCH('Summarized Source Data'!$B99,Hour,0)),Season,'Summarized Source Data'!$A99,Sector,'Summarized Source Data'!G$2,Subsector,'Summarized Source Data'!G$3,TimeOfWeek,$D99)</f>
        <v>0</v>
      </c>
      <c r="H99" s="27">
        <f>SUMIFS(INDEX(Load,,MATCH('Summarized Source Data'!$B99,Hour,0)),Season,'Summarized Source Data'!$A99,Sector,'Summarized Source Data'!H$2,Subsector,'Summarized Source Data'!H$3,TimeOfWeek,$D99)</f>
        <v>48800000</v>
      </c>
      <c r="I99" s="27">
        <f t="shared" si="7"/>
        <v>48800000</v>
      </c>
      <c r="J99" s="29">
        <f t="shared" si="8"/>
        <v>48800000</v>
      </c>
      <c r="K99" s="27">
        <f>SUMIFS(INDEX(Load,,MATCH('Summarized Source Data'!$B99,Hour,0)),Season,'Summarized Source Data'!$A99,Sector,'Summarized Source Data'!K$2,Subsector,'Summarized Source Data'!K$3,TimeOfWeek,$D99)</f>
        <v>3189645</v>
      </c>
      <c r="L99" s="27">
        <f>SUMIFS(INDEX(Load,,MATCH('Summarized Source Data'!$B99,Hour,0)),Season,'Summarized Source Data'!$A99,Sector,'Summarized Source Data'!L$2,Subsector,'Summarized Source Data'!L$3,TimeOfWeek,$D99)</f>
        <v>22110050</v>
      </c>
      <c r="M99" s="27">
        <f>SUMIFS(INDEX(Load,,MATCH('Summarized Source Data'!$B99,Hour,0)),Season,'Summarized Source Data'!$A99,Sector,'Summarized Source Data'!M$2,Subsector,'Summarized Source Data'!M$3,TimeOfWeek,$D99)</f>
        <v>0</v>
      </c>
      <c r="N99" s="29">
        <f t="shared" si="9"/>
        <v>48800000</v>
      </c>
      <c r="O99" s="27">
        <f t="shared" si="10"/>
        <v>48800000</v>
      </c>
      <c r="P99" s="29">
        <f t="shared" si="11"/>
        <v>48800000</v>
      </c>
      <c r="Q99" s="33">
        <f>SUMIFS(INDEX(Load,,MATCH('Summarized Source Data'!$B99,Hour,0)),Season,'Summarized Source Data'!$A99,Sector,'Summarized Source Data'!Q$2,TimeOfWeek,$D99)</f>
        <v>4880000</v>
      </c>
      <c r="R99" s="33">
        <f>SUMIFS(INDEX(Load,,MATCH('Summarized Source Data'!$B99,Hour,0)),Season,'Summarized Source Data'!$A99,Sector,'Summarized Source Data'!R$2,TimeOfWeek,$D99)</f>
        <v>4880000</v>
      </c>
      <c r="S99" s="33">
        <f>SUMIFS(INDEX(Load,,MATCH('Summarized Source Data'!$B99,Hour,0)),Season,'Summarized Source Data'!$A99,Sector,'Summarized Source Data'!S$2,TimeOfWeek,$D99)</f>
        <v>4880000</v>
      </c>
      <c r="T99" s="33">
        <f>SUMIFS(INDEX(Load,,MATCH('Summarized Source Data'!$B99,Hour,0)),Season,'Summarized Source Data'!$A99,Sector,'Summarized Source Data'!T$2,TimeOfWeek,$D99)</f>
        <v>4880000</v>
      </c>
      <c r="U99" s="33">
        <f>SUMIFS(INDEX(Load,,MATCH('Summarized Source Data'!$B99,Hour,0)),Season,'Summarized Source Data'!$A99,Sector,'Summarized Source Data'!U$2,TimeOfWeek,$D99)</f>
        <v>4880000</v>
      </c>
      <c r="V99" s="33">
        <f>SUMIFS(INDEX(Load,,MATCH('Summarized Source Data'!$B99,Hour,0)),Season,'Summarized Source Data'!$A99,Sector,'Summarized Source Data'!V$2,TimeOfWeek,$D99)</f>
        <v>4880000</v>
      </c>
      <c r="W99" s="27">
        <f>SUMIFS(INDEX(Load,,MATCH('Summarized Source Data'!$B99,Hour,0)),Season,'Summarized Source Data'!$A99,Sector,'Summarized Source Data'!W$2,Subsector,'Summarized Source Data'!W$3,TimeOfWeek,$D99)</f>
        <v>655000000</v>
      </c>
      <c r="X99" s="29">
        <f t="shared" si="12"/>
        <v>655000000</v>
      </c>
      <c r="Y99" s="29">
        <f t="shared" si="12"/>
        <v>655000000</v>
      </c>
    </row>
    <row r="100" spans="1:25" outlineLevel="1" x14ac:dyDescent="0.3">
      <c r="A100" t="s">
        <v>139</v>
      </c>
      <c r="B100" t="s">
        <v>64</v>
      </c>
      <c r="C100" s="6" t="s">
        <v>140</v>
      </c>
      <c r="D100" t="s">
        <v>48</v>
      </c>
      <c r="E100" s="27">
        <f>SUMIFS(INDEX(Load,,MATCH('Summarized Source Data'!$B100,Hour,0)),Season,'Summarized Source Data'!$A100,Sector,'Summarized Source Data'!E$2,Subsector,'Summarized Source Data'!E$3,TimeOfWeek,$D100)</f>
        <v>0</v>
      </c>
      <c r="F100" s="27">
        <f>SUMIFS(INDEX(Load,,MATCH('Summarized Source Data'!$B100,Hour,0)),Season,'Summarized Source Data'!$A100,Sector,'Summarized Source Data'!F$2,Subsector,'Summarized Source Data'!F$3,TimeOfWeek,$D100)</f>
        <v>880970</v>
      </c>
      <c r="G100" s="27">
        <f>SUMIFS(INDEX(Load,,MATCH('Summarized Source Data'!$B100,Hour,0)),Season,'Summarized Source Data'!$A100,Sector,'Summarized Source Data'!G$2,Subsector,'Summarized Source Data'!G$3,TimeOfWeek,$D100)</f>
        <v>0</v>
      </c>
      <c r="H100" s="27">
        <f>SUMIFS(INDEX(Load,,MATCH('Summarized Source Data'!$B100,Hour,0)),Season,'Summarized Source Data'!$A100,Sector,'Summarized Source Data'!H$2,Subsector,'Summarized Source Data'!H$3,TimeOfWeek,$D100)</f>
        <v>42900000</v>
      </c>
      <c r="I100" s="27">
        <f t="shared" si="7"/>
        <v>42900000</v>
      </c>
      <c r="J100" s="29">
        <f t="shared" si="8"/>
        <v>42900000</v>
      </c>
      <c r="K100" s="27">
        <f>SUMIFS(INDEX(Load,,MATCH('Summarized Source Data'!$B100,Hour,0)),Season,'Summarized Source Data'!$A100,Sector,'Summarized Source Data'!K$2,Subsector,'Summarized Source Data'!K$3,TimeOfWeek,$D100)</f>
        <v>4672066</v>
      </c>
      <c r="L100" s="27">
        <f>SUMIFS(INDEX(Load,,MATCH('Summarized Source Data'!$B100,Hour,0)),Season,'Summarized Source Data'!$A100,Sector,'Summarized Source Data'!L$2,Subsector,'Summarized Source Data'!L$3,TimeOfWeek,$D100)</f>
        <v>7576580</v>
      </c>
      <c r="M100" s="27">
        <f>SUMIFS(INDEX(Load,,MATCH('Summarized Source Data'!$B100,Hour,0)),Season,'Summarized Source Data'!$A100,Sector,'Summarized Source Data'!M$2,Subsector,'Summarized Source Data'!M$3,TimeOfWeek,$D100)</f>
        <v>0</v>
      </c>
      <c r="N100" s="29">
        <f t="shared" si="9"/>
        <v>42900000</v>
      </c>
      <c r="O100" s="27">
        <f t="shared" si="10"/>
        <v>42900000</v>
      </c>
      <c r="P100" s="29">
        <f t="shared" si="11"/>
        <v>42900000</v>
      </c>
      <c r="Q100" s="33">
        <f>SUMIFS(INDEX(Load,,MATCH('Summarized Source Data'!$B100,Hour,0)),Season,'Summarized Source Data'!$A100,Sector,'Summarized Source Data'!Q$2,TimeOfWeek,$D100)</f>
        <v>3739000</v>
      </c>
      <c r="R100" s="33">
        <f>SUMIFS(INDEX(Load,,MATCH('Summarized Source Data'!$B100,Hour,0)),Season,'Summarized Source Data'!$A100,Sector,'Summarized Source Data'!R$2,TimeOfWeek,$D100)</f>
        <v>3739000</v>
      </c>
      <c r="S100" s="33">
        <f>SUMIFS(INDEX(Load,,MATCH('Summarized Source Data'!$B100,Hour,0)),Season,'Summarized Source Data'!$A100,Sector,'Summarized Source Data'!S$2,TimeOfWeek,$D100)</f>
        <v>3739000</v>
      </c>
      <c r="T100" s="33">
        <f>SUMIFS(INDEX(Load,,MATCH('Summarized Source Data'!$B100,Hour,0)),Season,'Summarized Source Data'!$A100,Sector,'Summarized Source Data'!T$2,TimeOfWeek,$D100)</f>
        <v>3739000</v>
      </c>
      <c r="U100" s="33">
        <f>SUMIFS(INDEX(Load,,MATCH('Summarized Source Data'!$B100,Hour,0)),Season,'Summarized Source Data'!$A100,Sector,'Summarized Source Data'!U$2,TimeOfWeek,$D100)</f>
        <v>3739000</v>
      </c>
      <c r="V100" s="33">
        <f>SUMIFS(INDEX(Load,,MATCH('Summarized Source Data'!$B100,Hour,0)),Season,'Summarized Source Data'!$A100,Sector,'Summarized Source Data'!V$2,TimeOfWeek,$D100)</f>
        <v>3739000</v>
      </c>
      <c r="W100" s="27">
        <f>SUMIFS(INDEX(Load,,MATCH('Summarized Source Data'!$B100,Hour,0)),Season,'Summarized Source Data'!$A100,Sector,'Summarized Source Data'!W$2,Subsector,'Summarized Source Data'!W$3,TimeOfWeek,$D100)</f>
        <v>676000000</v>
      </c>
      <c r="X100" s="29">
        <f t="shared" si="12"/>
        <v>676000000</v>
      </c>
      <c r="Y100" s="29">
        <f t="shared" si="12"/>
        <v>676000000</v>
      </c>
    </row>
    <row r="101" spans="1:25" outlineLevel="1" x14ac:dyDescent="0.3">
      <c r="A101" t="s">
        <v>139</v>
      </c>
      <c r="B101" t="s">
        <v>65</v>
      </c>
      <c r="C101" s="6" t="s">
        <v>141</v>
      </c>
      <c r="D101" t="s">
        <v>48</v>
      </c>
      <c r="E101" s="27">
        <f>SUMIFS(INDEX(Load,,MATCH('Summarized Source Data'!$B101,Hour,0)),Season,'Summarized Source Data'!$A101,Sector,'Summarized Source Data'!E$2,Subsector,'Summarized Source Data'!E$3,TimeOfWeek,$D101)</f>
        <v>0</v>
      </c>
      <c r="F101" s="27">
        <f>SUMIFS(INDEX(Load,,MATCH('Summarized Source Data'!$B101,Hour,0)),Season,'Summarized Source Data'!$A101,Sector,'Summarized Source Data'!F$2,Subsector,'Summarized Source Data'!F$3,TimeOfWeek,$D101)</f>
        <v>707899</v>
      </c>
      <c r="G101" s="27">
        <f>SUMIFS(INDEX(Load,,MATCH('Summarized Source Data'!$B101,Hour,0)),Season,'Summarized Source Data'!$A101,Sector,'Summarized Source Data'!G$2,Subsector,'Summarized Source Data'!G$3,TimeOfWeek,$D101)</f>
        <v>0</v>
      </c>
      <c r="H101" s="27">
        <f>SUMIFS(INDEX(Load,,MATCH('Summarized Source Data'!$B101,Hour,0)),Season,'Summarized Source Data'!$A101,Sector,'Summarized Source Data'!H$2,Subsector,'Summarized Source Data'!H$3,TimeOfWeek,$D101)</f>
        <v>37075061</v>
      </c>
      <c r="I101" s="27">
        <f t="shared" si="7"/>
        <v>37075061</v>
      </c>
      <c r="J101" s="29">
        <f t="shared" si="8"/>
        <v>37075061</v>
      </c>
      <c r="K101" s="27">
        <f>SUMIFS(INDEX(Load,,MATCH('Summarized Source Data'!$B101,Hour,0)),Season,'Summarized Source Data'!$A101,Sector,'Summarized Source Data'!K$2,Subsector,'Summarized Source Data'!K$3,TimeOfWeek,$D101)</f>
        <v>4385012</v>
      </c>
      <c r="L101" s="27">
        <f>SUMIFS(INDEX(Load,,MATCH('Summarized Source Data'!$B101,Hour,0)),Season,'Summarized Source Data'!$A101,Sector,'Summarized Source Data'!L$2,Subsector,'Summarized Source Data'!L$3,TimeOfWeek,$D101)</f>
        <v>7335498</v>
      </c>
      <c r="M101" s="27">
        <f>SUMIFS(INDEX(Load,,MATCH('Summarized Source Data'!$B101,Hour,0)),Season,'Summarized Source Data'!$A101,Sector,'Summarized Source Data'!M$2,Subsector,'Summarized Source Data'!M$3,TimeOfWeek,$D101)</f>
        <v>0</v>
      </c>
      <c r="N101" s="29">
        <f t="shared" si="9"/>
        <v>37075061</v>
      </c>
      <c r="O101" s="27">
        <f t="shared" si="10"/>
        <v>37075061</v>
      </c>
      <c r="P101" s="29">
        <f t="shared" si="11"/>
        <v>37075061</v>
      </c>
      <c r="Q101" s="33">
        <f>SUMIFS(INDEX(Load,,MATCH('Summarized Source Data'!$B101,Hour,0)),Season,'Summarized Source Data'!$A101,Sector,'Summarized Source Data'!Q$2,TimeOfWeek,$D101)</f>
        <v>3715000</v>
      </c>
      <c r="R101" s="33">
        <f>SUMIFS(INDEX(Load,,MATCH('Summarized Source Data'!$B101,Hour,0)),Season,'Summarized Source Data'!$A101,Sector,'Summarized Source Data'!R$2,TimeOfWeek,$D101)</f>
        <v>3715000</v>
      </c>
      <c r="S101" s="33">
        <f>SUMIFS(INDEX(Load,,MATCH('Summarized Source Data'!$B101,Hour,0)),Season,'Summarized Source Data'!$A101,Sector,'Summarized Source Data'!S$2,TimeOfWeek,$D101)</f>
        <v>3715000</v>
      </c>
      <c r="T101" s="33">
        <f>SUMIFS(INDEX(Load,,MATCH('Summarized Source Data'!$B101,Hour,0)),Season,'Summarized Source Data'!$A101,Sector,'Summarized Source Data'!T$2,TimeOfWeek,$D101)</f>
        <v>3715000</v>
      </c>
      <c r="U101" s="33">
        <f>SUMIFS(INDEX(Load,,MATCH('Summarized Source Data'!$B101,Hour,0)),Season,'Summarized Source Data'!$A101,Sector,'Summarized Source Data'!U$2,TimeOfWeek,$D101)</f>
        <v>3715000</v>
      </c>
      <c r="V101" s="33">
        <f>SUMIFS(INDEX(Load,,MATCH('Summarized Source Data'!$B101,Hour,0)),Season,'Summarized Source Data'!$A101,Sector,'Summarized Source Data'!V$2,TimeOfWeek,$D101)</f>
        <v>3715000</v>
      </c>
      <c r="W101" s="27">
        <f>SUMIFS(INDEX(Load,,MATCH('Summarized Source Data'!$B101,Hour,0)),Season,'Summarized Source Data'!$A101,Sector,'Summarized Source Data'!W$2,Subsector,'Summarized Source Data'!W$3,TimeOfWeek,$D101)</f>
        <v>676000000</v>
      </c>
      <c r="X101" s="29">
        <f t="shared" ref="X101:Y132" si="13">$W101</f>
        <v>676000000</v>
      </c>
      <c r="Y101" s="29">
        <f t="shared" si="13"/>
        <v>676000000</v>
      </c>
    </row>
    <row r="102" spans="1:25" outlineLevel="1" x14ac:dyDescent="0.3">
      <c r="A102" t="s">
        <v>139</v>
      </c>
      <c r="B102" t="s">
        <v>66</v>
      </c>
      <c r="C102" s="6" t="s">
        <v>142</v>
      </c>
      <c r="D102" t="s">
        <v>48</v>
      </c>
      <c r="E102" s="27">
        <f>SUMIFS(INDEX(Load,,MATCH('Summarized Source Data'!$B102,Hour,0)),Season,'Summarized Source Data'!$A102,Sector,'Summarized Source Data'!E$2,Subsector,'Summarized Source Data'!E$3,TimeOfWeek,$D102)</f>
        <v>0</v>
      </c>
      <c r="F102" s="27">
        <f>SUMIFS(INDEX(Load,,MATCH('Summarized Source Data'!$B102,Hour,0)),Season,'Summarized Source Data'!$A102,Sector,'Summarized Source Data'!F$2,Subsector,'Summarized Source Data'!F$3,TimeOfWeek,$D102)</f>
        <v>659328</v>
      </c>
      <c r="G102" s="27">
        <f>SUMIFS(INDEX(Load,,MATCH('Summarized Source Data'!$B102,Hour,0)),Season,'Summarized Source Data'!$A102,Sector,'Summarized Source Data'!G$2,Subsector,'Summarized Source Data'!G$3,TimeOfWeek,$D102)</f>
        <v>0</v>
      </c>
      <c r="H102" s="27">
        <f>SUMIFS(INDEX(Load,,MATCH('Summarized Source Data'!$B102,Hour,0)),Season,'Summarized Source Data'!$A102,Sector,'Summarized Source Data'!H$2,Subsector,'Summarized Source Data'!H$3,TimeOfWeek,$D102)</f>
        <v>35807841</v>
      </c>
      <c r="I102" s="27">
        <f t="shared" si="7"/>
        <v>35807841</v>
      </c>
      <c r="J102" s="29">
        <f t="shared" si="8"/>
        <v>35807841</v>
      </c>
      <c r="K102" s="27">
        <f>SUMIFS(INDEX(Load,,MATCH('Summarized Source Data'!$B102,Hour,0)),Season,'Summarized Source Data'!$A102,Sector,'Summarized Source Data'!K$2,Subsector,'Summarized Source Data'!K$3,TimeOfWeek,$D102)</f>
        <v>3942951</v>
      </c>
      <c r="L102" s="27">
        <f>SUMIFS(INDEX(Load,,MATCH('Summarized Source Data'!$B102,Hour,0)),Season,'Summarized Source Data'!$A102,Sector,'Summarized Source Data'!L$2,Subsector,'Summarized Source Data'!L$3,TimeOfWeek,$D102)</f>
        <v>7244744</v>
      </c>
      <c r="M102" s="27">
        <f>SUMIFS(INDEX(Load,,MATCH('Summarized Source Data'!$B102,Hour,0)),Season,'Summarized Source Data'!$A102,Sector,'Summarized Source Data'!M$2,Subsector,'Summarized Source Data'!M$3,TimeOfWeek,$D102)</f>
        <v>0</v>
      </c>
      <c r="N102" s="29">
        <f t="shared" si="9"/>
        <v>35807841</v>
      </c>
      <c r="O102" s="27">
        <f t="shared" si="10"/>
        <v>35807841</v>
      </c>
      <c r="P102" s="29">
        <f t="shared" si="11"/>
        <v>35807841</v>
      </c>
      <c r="Q102" s="33">
        <f>SUMIFS(INDEX(Load,,MATCH('Summarized Source Data'!$B102,Hour,0)),Season,'Summarized Source Data'!$A102,Sector,'Summarized Source Data'!Q$2,TimeOfWeek,$D102)</f>
        <v>3708000</v>
      </c>
      <c r="R102" s="33">
        <f>SUMIFS(INDEX(Load,,MATCH('Summarized Source Data'!$B102,Hour,0)),Season,'Summarized Source Data'!$A102,Sector,'Summarized Source Data'!R$2,TimeOfWeek,$D102)</f>
        <v>3708000</v>
      </c>
      <c r="S102" s="33">
        <f>SUMIFS(INDEX(Load,,MATCH('Summarized Source Data'!$B102,Hour,0)),Season,'Summarized Source Data'!$A102,Sector,'Summarized Source Data'!S$2,TimeOfWeek,$D102)</f>
        <v>3708000</v>
      </c>
      <c r="T102" s="33">
        <f>SUMIFS(INDEX(Load,,MATCH('Summarized Source Data'!$B102,Hour,0)),Season,'Summarized Source Data'!$A102,Sector,'Summarized Source Data'!T$2,TimeOfWeek,$D102)</f>
        <v>3708000</v>
      </c>
      <c r="U102" s="33">
        <f>SUMIFS(INDEX(Load,,MATCH('Summarized Source Data'!$B102,Hour,0)),Season,'Summarized Source Data'!$A102,Sector,'Summarized Source Data'!U$2,TimeOfWeek,$D102)</f>
        <v>3708000</v>
      </c>
      <c r="V102" s="33">
        <f>SUMIFS(INDEX(Load,,MATCH('Summarized Source Data'!$B102,Hour,0)),Season,'Summarized Source Data'!$A102,Sector,'Summarized Source Data'!V$2,TimeOfWeek,$D102)</f>
        <v>3708000</v>
      </c>
      <c r="W102" s="27">
        <f>SUMIFS(INDEX(Load,,MATCH('Summarized Source Data'!$B102,Hour,0)),Season,'Summarized Source Data'!$A102,Sector,'Summarized Source Data'!W$2,Subsector,'Summarized Source Data'!W$3,TimeOfWeek,$D102)</f>
        <v>676000000</v>
      </c>
      <c r="X102" s="29">
        <f t="shared" si="13"/>
        <v>676000000</v>
      </c>
      <c r="Y102" s="29">
        <f t="shared" si="13"/>
        <v>676000000</v>
      </c>
    </row>
    <row r="103" spans="1:25" outlineLevel="1" x14ac:dyDescent="0.3">
      <c r="A103" t="s">
        <v>139</v>
      </c>
      <c r="B103" t="s">
        <v>67</v>
      </c>
      <c r="C103" s="6" t="s">
        <v>143</v>
      </c>
      <c r="D103" t="s">
        <v>48</v>
      </c>
      <c r="E103" s="27">
        <f>SUMIFS(INDEX(Load,,MATCH('Summarized Source Data'!$B103,Hour,0)),Season,'Summarized Source Data'!$A103,Sector,'Summarized Source Data'!E$2,Subsector,'Summarized Source Data'!E$3,TimeOfWeek,$D103)</f>
        <v>0</v>
      </c>
      <c r="F103" s="27">
        <f>SUMIFS(INDEX(Load,,MATCH('Summarized Source Data'!$B103,Hour,0)),Season,'Summarized Source Data'!$A103,Sector,'Summarized Source Data'!F$2,Subsector,'Summarized Source Data'!F$3,TimeOfWeek,$D103)</f>
        <v>718663</v>
      </c>
      <c r="G103" s="27">
        <f>SUMIFS(INDEX(Load,,MATCH('Summarized Source Data'!$B103,Hour,0)),Season,'Summarized Source Data'!$A103,Sector,'Summarized Source Data'!G$2,Subsector,'Summarized Source Data'!G$3,TimeOfWeek,$D103)</f>
        <v>0</v>
      </c>
      <c r="H103" s="27">
        <f>SUMIFS(INDEX(Load,,MATCH('Summarized Source Data'!$B103,Hour,0)),Season,'Summarized Source Data'!$A103,Sector,'Summarized Source Data'!H$2,Subsector,'Summarized Source Data'!H$3,TimeOfWeek,$D103)</f>
        <v>35777616</v>
      </c>
      <c r="I103" s="27">
        <f t="shared" si="7"/>
        <v>35777616</v>
      </c>
      <c r="J103" s="29">
        <f t="shared" si="8"/>
        <v>35777616</v>
      </c>
      <c r="K103" s="27">
        <f>SUMIFS(INDEX(Load,,MATCH('Summarized Source Data'!$B103,Hour,0)),Season,'Summarized Source Data'!$A103,Sector,'Summarized Source Data'!K$2,Subsector,'Summarized Source Data'!K$3,TimeOfWeek,$D103)</f>
        <v>4123412</v>
      </c>
      <c r="L103" s="27">
        <f>SUMIFS(INDEX(Load,,MATCH('Summarized Source Data'!$B103,Hour,0)),Season,'Summarized Source Data'!$A103,Sector,'Summarized Source Data'!L$2,Subsector,'Summarized Source Data'!L$3,TimeOfWeek,$D103)</f>
        <v>7236345</v>
      </c>
      <c r="M103" s="27">
        <f>SUMIFS(INDEX(Load,,MATCH('Summarized Source Data'!$B103,Hour,0)),Season,'Summarized Source Data'!$A103,Sector,'Summarized Source Data'!M$2,Subsector,'Summarized Source Data'!M$3,TimeOfWeek,$D103)</f>
        <v>0</v>
      </c>
      <c r="N103" s="29">
        <f t="shared" si="9"/>
        <v>35777616</v>
      </c>
      <c r="O103" s="27">
        <f t="shared" si="10"/>
        <v>35777616</v>
      </c>
      <c r="P103" s="29">
        <f t="shared" si="11"/>
        <v>35777616</v>
      </c>
      <c r="Q103" s="33">
        <f>SUMIFS(INDEX(Load,,MATCH('Summarized Source Data'!$B103,Hour,0)),Season,'Summarized Source Data'!$A103,Sector,'Summarized Source Data'!Q$2,TimeOfWeek,$D103)</f>
        <v>3708000</v>
      </c>
      <c r="R103" s="33">
        <f>SUMIFS(INDEX(Load,,MATCH('Summarized Source Data'!$B103,Hour,0)),Season,'Summarized Source Data'!$A103,Sector,'Summarized Source Data'!R$2,TimeOfWeek,$D103)</f>
        <v>3708000</v>
      </c>
      <c r="S103" s="33">
        <f>SUMIFS(INDEX(Load,,MATCH('Summarized Source Data'!$B103,Hour,0)),Season,'Summarized Source Data'!$A103,Sector,'Summarized Source Data'!S$2,TimeOfWeek,$D103)</f>
        <v>3708000</v>
      </c>
      <c r="T103" s="33">
        <f>SUMIFS(INDEX(Load,,MATCH('Summarized Source Data'!$B103,Hour,0)),Season,'Summarized Source Data'!$A103,Sector,'Summarized Source Data'!T$2,TimeOfWeek,$D103)</f>
        <v>3708000</v>
      </c>
      <c r="U103" s="33">
        <f>SUMIFS(INDEX(Load,,MATCH('Summarized Source Data'!$B103,Hour,0)),Season,'Summarized Source Data'!$A103,Sector,'Summarized Source Data'!U$2,TimeOfWeek,$D103)</f>
        <v>3708000</v>
      </c>
      <c r="V103" s="33">
        <f>SUMIFS(INDEX(Load,,MATCH('Summarized Source Data'!$B103,Hour,0)),Season,'Summarized Source Data'!$A103,Sector,'Summarized Source Data'!V$2,TimeOfWeek,$D103)</f>
        <v>3708000</v>
      </c>
      <c r="W103" s="27">
        <f>SUMIFS(INDEX(Load,,MATCH('Summarized Source Data'!$B103,Hour,0)),Season,'Summarized Source Data'!$A103,Sector,'Summarized Source Data'!W$2,Subsector,'Summarized Source Data'!W$3,TimeOfWeek,$D103)</f>
        <v>679000000</v>
      </c>
      <c r="X103" s="29">
        <f t="shared" si="13"/>
        <v>679000000</v>
      </c>
      <c r="Y103" s="29">
        <f t="shared" si="13"/>
        <v>679000000</v>
      </c>
    </row>
    <row r="104" spans="1:25" outlineLevel="1" x14ac:dyDescent="0.3">
      <c r="A104" t="s">
        <v>139</v>
      </c>
      <c r="B104" t="s">
        <v>68</v>
      </c>
      <c r="C104" s="6" t="s">
        <v>144</v>
      </c>
      <c r="D104" t="s">
        <v>48</v>
      </c>
      <c r="E104" s="27">
        <f>SUMIFS(INDEX(Load,,MATCH('Summarized Source Data'!$B104,Hour,0)),Season,'Summarized Source Data'!$A104,Sector,'Summarized Source Data'!E$2,Subsector,'Summarized Source Data'!E$3,TimeOfWeek,$D104)</f>
        <v>0</v>
      </c>
      <c r="F104" s="27">
        <f>SUMIFS(INDEX(Load,,MATCH('Summarized Source Data'!$B104,Hour,0)),Season,'Summarized Source Data'!$A104,Sector,'Summarized Source Data'!F$2,Subsector,'Summarized Source Data'!F$3,TimeOfWeek,$D104)</f>
        <v>905140</v>
      </c>
      <c r="G104" s="27">
        <f>SUMIFS(INDEX(Load,,MATCH('Summarized Source Data'!$B104,Hour,0)),Season,'Summarized Source Data'!$A104,Sector,'Summarized Source Data'!G$2,Subsector,'Summarized Source Data'!G$3,TimeOfWeek,$D104)</f>
        <v>0</v>
      </c>
      <c r="H104" s="27">
        <f>SUMIFS(INDEX(Load,,MATCH('Summarized Source Data'!$B104,Hour,0)),Season,'Summarized Source Data'!$A104,Sector,'Summarized Source Data'!H$2,Subsector,'Summarized Source Data'!H$3,TimeOfWeek,$D104)</f>
        <v>37659374</v>
      </c>
      <c r="I104" s="27">
        <f t="shared" si="7"/>
        <v>37659374</v>
      </c>
      <c r="J104" s="29">
        <f t="shared" si="8"/>
        <v>37659374</v>
      </c>
      <c r="K104" s="27">
        <f>SUMIFS(INDEX(Load,,MATCH('Summarized Source Data'!$B104,Hour,0)),Season,'Summarized Source Data'!$A104,Sector,'Summarized Source Data'!K$2,Subsector,'Summarized Source Data'!K$3,TimeOfWeek,$D104)</f>
        <v>4299208</v>
      </c>
      <c r="L104" s="27">
        <f>SUMIFS(INDEX(Load,,MATCH('Summarized Source Data'!$B104,Hour,0)),Season,'Summarized Source Data'!$A104,Sector,'Summarized Source Data'!L$2,Subsector,'Summarized Source Data'!L$3,TimeOfWeek,$D104)</f>
        <v>7317801</v>
      </c>
      <c r="M104" s="27">
        <f>SUMIFS(INDEX(Load,,MATCH('Summarized Source Data'!$B104,Hour,0)),Season,'Summarized Source Data'!$A104,Sector,'Summarized Source Data'!M$2,Subsector,'Summarized Source Data'!M$3,TimeOfWeek,$D104)</f>
        <v>0</v>
      </c>
      <c r="N104" s="29">
        <f t="shared" si="9"/>
        <v>37659374</v>
      </c>
      <c r="O104" s="27">
        <f t="shared" si="10"/>
        <v>37659374</v>
      </c>
      <c r="P104" s="29">
        <f t="shared" si="11"/>
        <v>37659374</v>
      </c>
      <c r="Q104" s="33">
        <f>SUMIFS(INDEX(Load,,MATCH('Summarized Source Data'!$B104,Hour,0)),Season,'Summarized Source Data'!$A104,Sector,'Summarized Source Data'!Q$2,TimeOfWeek,$D104)</f>
        <v>3705000</v>
      </c>
      <c r="R104" s="33">
        <f>SUMIFS(INDEX(Load,,MATCH('Summarized Source Data'!$B104,Hour,0)),Season,'Summarized Source Data'!$A104,Sector,'Summarized Source Data'!R$2,TimeOfWeek,$D104)</f>
        <v>3705000</v>
      </c>
      <c r="S104" s="33">
        <f>SUMIFS(INDEX(Load,,MATCH('Summarized Source Data'!$B104,Hour,0)),Season,'Summarized Source Data'!$A104,Sector,'Summarized Source Data'!S$2,TimeOfWeek,$D104)</f>
        <v>3705000</v>
      </c>
      <c r="T104" s="33">
        <f>SUMIFS(INDEX(Load,,MATCH('Summarized Source Data'!$B104,Hour,0)),Season,'Summarized Source Data'!$A104,Sector,'Summarized Source Data'!T$2,TimeOfWeek,$D104)</f>
        <v>3705000</v>
      </c>
      <c r="U104" s="33">
        <f>SUMIFS(INDEX(Load,,MATCH('Summarized Source Data'!$B104,Hour,0)),Season,'Summarized Source Data'!$A104,Sector,'Summarized Source Data'!U$2,TimeOfWeek,$D104)</f>
        <v>3705000</v>
      </c>
      <c r="V104" s="33">
        <f>SUMIFS(INDEX(Load,,MATCH('Summarized Source Data'!$B104,Hour,0)),Season,'Summarized Source Data'!$A104,Sector,'Summarized Source Data'!V$2,TimeOfWeek,$D104)</f>
        <v>3705000</v>
      </c>
      <c r="W104" s="27">
        <f>SUMIFS(INDEX(Load,,MATCH('Summarized Source Data'!$B104,Hour,0)),Season,'Summarized Source Data'!$A104,Sector,'Summarized Source Data'!W$2,Subsector,'Summarized Source Data'!W$3,TimeOfWeek,$D104)</f>
        <v>680000000</v>
      </c>
      <c r="X104" s="29">
        <f t="shared" si="13"/>
        <v>680000000</v>
      </c>
      <c r="Y104" s="29">
        <f t="shared" si="13"/>
        <v>680000000</v>
      </c>
    </row>
    <row r="105" spans="1:25" outlineLevel="1" x14ac:dyDescent="0.3">
      <c r="A105" t="s">
        <v>139</v>
      </c>
      <c r="B105" t="s">
        <v>69</v>
      </c>
      <c r="C105" s="6" t="s">
        <v>145</v>
      </c>
      <c r="D105" t="s">
        <v>48</v>
      </c>
      <c r="E105" s="27">
        <f>SUMIFS(INDEX(Load,,MATCH('Summarized Source Data'!$B105,Hour,0)),Season,'Summarized Source Data'!$A105,Sector,'Summarized Source Data'!E$2,Subsector,'Summarized Source Data'!E$3,TimeOfWeek,$D105)</f>
        <v>0</v>
      </c>
      <c r="F105" s="27">
        <f>SUMIFS(INDEX(Load,,MATCH('Summarized Source Data'!$B105,Hour,0)),Season,'Summarized Source Data'!$A105,Sector,'Summarized Source Data'!F$2,Subsector,'Summarized Source Data'!F$3,TimeOfWeek,$D105)</f>
        <v>1242112</v>
      </c>
      <c r="G105" s="27">
        <f>SUMIFS(INDEX(Load,,MATCH('Summarized Source Data'!$B105,Hour,0)),Season,'Summarized Source Data'!$A105,Sector,'Summarized Source Data'!G$2,Subsector,'Summarized Source Data'!G$3,TimeOfWeek,$D105)</f>
        <v>0</v>
      </c>
      <c r="H105" s="27">
        <f>SUMIFS(INDEX(Load,,MATCH('Summarized Source Data'!$B105,Hour,0)),Season,'Summarized Source Data'!$A105,Sector,'Summarized Source Data'!H$2,Subsector,'Summarized Source Data'!H$3,TimeOfWeek,$D105)</f>
        <v>48800000</v>
      </c>
      <c r="I105" s="27">
        <f t="shared" si="7"/>
        <v>48800000</v>
      </c>
      <c r="J105" s="29">
        <f t="shared" si="8"/>
        <v>48800000</v>
      </c>
      <c r="K105" s="27">
        <f>SUMIFS(INDEX(Load,,MATCH('Summarized Source Data'!$B105,Hour,0)),Season,'Summarized Source Data'!$A105,Sector,'Summarized Source Data'!K$2,Subsector,'Summarized Source Data'!K$3,TimeOfWeek,$D105)</f>
        <v>4486165</v>
      </c>
      <c r="L105" s="27">
        <f>SUMIFS(INDEX(Load,,MATCH('Summarized Source Data'!$B105,Hour,0)),Season,'Summarized Source Data'!$A105,Sector,'Summarized Source Data'!L$2,Subsector,'Summarized Source Data'!L$3,TimeOfWeek,$D105)</f>
        <v>7563354</v>
      </c>
      <c r="M105" s="27">
        <f>SUMIFS(INDEX(Load,,MATCH('Summarized Source Data'!$B105,Hour,0)),Season,'Summarized Source Data'!$A105,Sector,'Summarized Source Data'!M$2,Subsector,'Summarized Source Data'!M$3,TimeOfWeek,$D105)</f>
        <v>0</v>
      </c>
      <c r="N105" s="29">
        <f t="shared" si="9"/>
        <v>48800000</v>
      </c>
      <c r="O105" s="27">
        <f t="shared" si="10"/>
        <v>48800000</v>
      </c>
      <c r="P105" s="29">
        <f t="shared" si="11"/>
        <v>48800000</v>
      </c>
      <c r="Q105" s="33">
        <f>SUMIFS(INDEX(Load,,MATCH('Summarized Source Data'!$B105,Hour,0)),Season,'Summarized Source Data'!$A105,Sector,'Summarized Source Data'!Q$2,TimeOfWeek,$D105)</f>
        <v>3709000</v>
      </c>
      <c r="R105" s="33">
        <f>SUMIFS(INDEX(Load,,MATCH('Summarized Source Data'!$B105,Hour,0)),Season,'Summarized Source Data'!$A105,Sector,'Summarized Source Data'!R$2,TimeOfWeek,$D105)</f>
        <v>3709000</v>
      </c>
      <c r="S105" s="33">
        <f>SUMIFS(INDEX(Load,,MATCH('Summarized Source Data'!$B105,Hour,0)),Season,'Summarized Source Data'!$A105,Sector,'Summarized Source Data'!S$2,TimeOfWeek,$D105)</f>
        <v>3709000</v>
      </c>
      <c r="T105" s="33">
        <f>SUMIFS(INDEX(Load,,MATCH('Summarized Source Data'!$B105,Hour,0)),Season,'Summarized Source Data'!$A105,Sector,'Summarized Source Data'!T$2,TimeOfWeek,$D105)</f>
        <v>3709000</v>
      </c>
      <c r="U105" s="33">
        <f>SUMIFS(INDEX(Load,,MATCH('Summarized Source Data'!$B105,Hour,0)),Season,'Summarized Source Data'!$A105,Sector,'Summarized Source Data'!U$2,TimeOfWeek,$D105)</f>
        <v>3709000</v>
      </c>
      <c r="V105" s="33">
        <f>SUMIFS(INDEX(Load,,MATCH('Summarized Source Data'!$B105,Hour,0)),Season,'Summarized Source Data'!$A105,Sector,'Summarized Source Data'!V$2,TimeOfWeek,$D105)</f>
        <v>3709000</v>
      </c>
      <c r="W105" s="27">
        <f>SUMIFS(INDEX(Load,,MATCH('Summarized Source Data'!$B105,Hour,0)),Season,'Summarized Source Data'!$A105,Sector,'Summarized Source Data'!W$2,Subsector,'Summarized Source Data'!W$3,TimeOfWeek,$D105)</f>
        <v>684000000</v>
      </c>
      <c r="X105" s="29">
        <f t="shared" si="13"/>
        <v>684000000</v>
      </c>
      <c r="Y105" s="29">
        <f t="shared" si="13"/>
        <v>684000000</v>
      </c>
    </row>
    <row r="106" spans="1:25" outlineLevel="1" x14ac:dyDescent="0.3">
      <c r="A106" t="s">
        <v>139</v>
      </c>
      <c r="B106" t="s">
        <v>70</v>
      </c>
      <c r="C106" s="6" t="s">
        <v>146</v>
      </c>
      <c r="D106" t="s">
        <v>48</v>
      </c>
      <c r="E106" s="27">
        <f>SUMIFS(INDEX(Load,,MATCH('Summarized Source Data'!$B106,Hour,0)),Season,'Summarized Source Data'!$A106,Sector,'Summarized Source Data'!E$2,Subsector,'Summarized Source Data'!E$3,TimeOfWeek,$D106)</f>
        <v>0</v>
      </c>
      <c r="F106" s="27">
        <f>SUMIFS(INDEX(Load,,MATCH('Summarized Source Data'!$B106,Hour,0)),Season,'Summarized Source Data'!$A106,Sector,'Summarized Source Data'!F$2,Subsector,'Summarized Source Data'!F$3,TimeOfWeek,$D106)</f>
        <v>1762754</v>
      </c>
      <c r="G106" s="27">
        <f>SUMIFS(INDEX(Load,,MATCH('Summarized Source Data'!$B106,Hour,0)),Season,'Summarized Source Data'!$A106,Sector,'Summarized Source Data'!G$2,Subsector,'Summarized Source Data'!G$3,TimeOfWeek,$D106)</f>
        <v>0</v>
      </c>
      <c r="H106" s="27">
        <f>SUMIFS(INDEX(Load,,MATCH('Summarized Source Data'!$B106,Hour,0)),Season,'Summarized Source Data'!$A106,Sector,'Summarized Source Data'!H$2,Subsector,'Summarized Source Data'!H$3,TimeOfWeek,$D106)</f>
        <v>84200000</v>
      </c>
      <c r="I106" s="27">
        <f t="shared" si="7"/>
        <v>84200000</v>
      </c>
      <c r="J106" s="29">
        <f t="shared" si="8"/>
        <v>84200000</v>
      </c>
      <c r="K106" s="27">
        <f>SUMIFS(INDEX(Load,,MATCH('Summarized Source Data'!$B106,Hour,0)),Season,'Summarized Source Data'!$A106,Sector,'Summarized Source Data'!K$2,Subsector,'Summarized Source Data'!K$3,TimeOfWeek,$D106)</f>
        <v>5620490</v>
      </c>
      <c r="L106" s="27">
        <f>SUMIFS(INDEX(Load,,MATCH('Summarized Source Data'!$B106,Hour,0)),Season,'Summarized Source Data'!$A106,Sector,'Summarized Source Data'!L$2,Subsector,'Summarized Source Data'!L$3,TimeOfWeek,$D106)</f>
        <v>8119673</v>
      </c>
      <c r="M106" s="27">
        <f>SUMIFS(INDEX(Load,,MATCH('Summarized Source Data'!$B106,Hour,0)),Season,'Summarized Source Data'!$A106,Sector,'Summarized Source Data'!M$2,Subsector,'Summarized Source Data'!M$3,TimeOfWeek,$D106)</f>
        <v>0</v>
      </c>
      <c r="N106" s="29">
        <f t="shared" si="9"/>
        <v>84200000</v>
      </c>
      <c r="O106" s="27">
        <f t="shared" si="10"/>
        <v>84200000</v>
      </c>
      <c r="P106" s="29">
        <f t="shared" si="11"/>
        <v>84200000</v>
      </c>
      <c r="Q106" s="33">
        <f>SUMIFS(INDEX(Load,,MATCH('Summarized Source Data'!$B106,Hour,0)),Season,'Summarized Source Data'!$A106,Sector,'Summarized Source Data'!Q$2,TimeOfWeek,$D106)</f>
        <v>4530000</v>
      </c>
      <c r="R106" s="33">
        <f>SUMIFS(INDEX(Load,,MATCH('Summarized Source Data'!$B106,Hour,0)),Season,'Summarized Source Data'!$A106,Sector,'Summarized Source Data'!R$2,TimeOfWeek,$D106)</f>
        <v>4530000</v>
      </c>
      <c r="S106" s="33">
        <f>SUMIFS(INDEX(Load,,MATCH('Summarized Source Data'!$B106,Hour,0)),Season,'Summarized Source Data'!$A106,Sector,'Summarized Source Data'!S$2,TimeOfWeek,$D106)</f>
        <v>4530000</v>
      </c>
      <c r="T106" s="33">
        <f>SUMIFS(INDEX(Load,,MATCH('Summarized Source Data'!$B106,Hour,0)),Season,'Summarized Source Data'!$A106,Sector,'Summarized Source Data'!T$2,TimeOfWeek,$D106)</f>
        <v>4530000</v>
      </c>
      <c r="U106" s="33">
        <f>SUMIFS(INDEX(Load,,MATCH('Summarized Source Data'!$B106,Hour,0)),Season,'Summarized Source Data'!$A106,Sector,'Summarized Source Data'!U$2,TimeOfWeek,$D106)</f>
        <v>4530000</v>
      </c>
      <c r="V106" s="33">
        <f>SUMIFS(INDEX(Load,,MATCH('Summarized Source Data'!$B106,Hour,0)),Season,'Summarized Source Data'!$A106,Sector,'Summarized Source Data'!V$2,TimeOfWeek,$D106)</f>
        <v>4530000</v>
      </c>
      <c r="W106" s="27">
        <f>SUMIFS(INDEX(Load,,MATCH('Summarized Source Data'!$B106,Hour,0)),Season,'Summarized Source Data'!$A106,Sector,'Summarized Source Data'!W$2,Subsector,'Summarized Source Data'!W$3,TimeOfWeek,$D106)</f>
        <v>686000000</v>
      </c>
      <c r="X106" s="29">
        <f t="shared" si="13"/>
        <v>686000000</v>
      </c>
      <c r="Y106" s="29">
        <f t="shared" si="13"/>
        <v>686000000</v>
      </c>
    </row>
    <row r="107" spans="1:25" outlineLevel="1" x14ac:dyDescent="0.3">
      <c r="A107" t="s">
        <v>139</v>
      </c>
      <c r="B107" t="s">
        <v>71</v>
      </c>
      <c r="C107" s="6" t="s">
        <v>147</v>
      </c>
      <c r="D107" t="s">
        <v>48</v>
      </c>
      <c r="E107" s="27">
        <f>SUMIFS(INDEX(Load,,MATCH('Summarized Source Data'!$B107,Hour,0)),Season,'Summarized Source Data'!$A107,Sector,'Summarized Source Data'!E$2,Subsector,'Summarized Source Data'!E$3,TimeOfWeek,$D107)</f>
        <v>0</v>
      </c>
      <c r="F107" s="27">
        <f>SUMIFS(INDEX(Load,,MATCH('Summarized Source Data'!$B107,Hour,0)),Season,'Summarized Source Data'!$A107,Sector,'Summarized Source Data'!F$2,Subsector,'Summarized Source Data'!F$3,TimeOfWeek,$D107)</f>
        <v>2488515</v>
      </c>
      <c r="G107" s="27">
        <f>SUMIFS(INDEX(Load,,MATCH('Summarized Source Data'!$B107,Hour,0)),Season,'Summarized Source Data'!$A107,Sector,'Summarized Source Data'!G$2,Subsector,'Summarized Source Data'!G$3,TimeOfWeek,$D107)</f>
        <v>0</v>
      </c>
      <c r="H107" s="27">
        <f>SUMIFS(INDEX(Load,,MATCH('Summarized Source Data'!$B107,Hour,0)),Season,'Summarized Source Data'!$A107,Sector,'Summarized Source Data'!H$2,Subsector,'Summarized Source Data'!H$3,TimeOfWeek,$D107)</f>
        <v>53200000</v>
      </c>
      <c r="I107" s="27">
        <f t="shared" si="7"/>
        <v>53200000</v>
      </c>
      <c r="J107" s="29">
        <f t="shared" si="8"/>
        <v>53200000</v>
      </c>
      <c r="K107" s="27">
        <f>SUMIFS(INDEX(Load,,MATCH('Summarized Source Data'!$B107,Hour,0)),Season,'Summarized Source Data'!$A107,Sector,'Summarized Source Data'!K$2,Subsector,'Summarized Source Data'!K$3,TimeOfWeek,$D107)</f>
        <v>10931701</v>
      </c>
      <c r="L107" s="27">
        <f>SUMIFS(INDEX(Load,,MATCH('Summarized Source Data'!$B107,Hour,0)),Season,'Summarized Source Data'!$A107,Sector,'Summarized Source Data'!L$2,Subsector,'Summarized Source Data'!L$3,TimeOfWeek,$D107)</f>
        <v>9107155</v>
      </c>
      <c r="M107" s="27">
        <f>SUMIFS(INDEX(Load,,MATCH('Summarized Source Data'!$B107,Hour,0)),Season,'Summarized Source Data'!$A107,Sector,'Summarized Source Data'!M$2,Subsector,'Summarized Source Data'!M$3,TimeOfWeek,$D107)</f>
        <v>0</v>
      </c>
      <c r="N107" s="29">
        <f t="shared" si="9"/>
        <v>53200000</v>
      </c>
      <c r="O107" s="27">
        <f t="shared" si="10"/>
        <v>53200000</v>
      </c>
      <c r="P107" s="29">
        <f t="shared" si="11"/>
        <v>53200000</v>
      </c>
      <c r="Q107" s="33">
        <f>SUMIFS(INDEX(Load,,MATCH('Summarized Source Data'!$B107,Hour,0)),Season,'Summarized Source Data'!$A107,Sector,'Summarized Source Data'!Q$2,TimeOfWeek,$D107)</f>
        <v>5860000</v>
      </c>
      <c r="R107" s="33">
        <f>SUMIFS(INDEX(Load,,MATCH('Summarized Source Data'!$B107,Hour,0)),Season,'Summarized Source Data'!$A107,Sector,'Summarized Source Data'!R$2,TimeOfWeek,$D107)</f>
        <v>5860000</v>
      </c>
      <c r="S107" s="33">
        <f>SUMIFS(INDEX(Load,,MATCH('Summarized Source Data'!$B107,Hour,0)),Season,'Summarized Source Data'!$A107,Sector,'Summarized Source Data'!S$2,TimeOfWeek,$D107)</f>
        <v>5860000</v>
      </c>
      <c r="T107" s="33">
        <f>SUMIFS(INDEX(Load,,MATCH('Summarized Source Data'!$B107,Hour,0)),Season,'Summarized Source Data'!$A107,Sector,'Summarized Source Data'!T$2,TimeOfWeek,$D107)</f>
        <v>5860000</v>
      </c>
      <c r="U107" s="33">
        <f>SUMIFS(INDEX(Load,,MATCH('Summarized Source Data'!$B107,Hour,0)),Season,'Summarized Source Data'!$A107,Sector,'Summarized Source Data'!U$2,TimeOfWeek,$D107)</f>
        <v>5860000</v>
      </c>
      <c r="V107" s="33">
        <f>SUMIFS(INDEX(Load,,MATCH('Summarized Source Data'!$B107,Hour,0)),Season,'Summarized Source Data'!$A107,Sector,'Summarized Source Data'!V$2,TimeOfWeek,$D107)</f>
        <v>5860000</v>
      </c>
      <c r="W107" s="27">
        <f>SUMIFS(INDEX(Load,,MATCH('Summarized Source Data'!$B107,Hour,0)),Season,'Summarized Source Data'!$A107,Sector,'Summarized Source Data'!W$2,Subsector,'Summarized Source Data'!W$3,TimeOfWeek,$D107)</f>
        <v>688000000</v>
      </c>
      <c r="X107" s="29">
        <f t="shared" si="13"/>
        <v>688000000</v>
      </c>
      <c r="Y107" s="29">
        <f t="shared" si="13"/>
        <v>688000000</v>
      </c>
    </row>
    <row r="108" spans="1:25" outlineLevel="1" x14ac:dyDescent="0.3">
      <c r="A108" t="s">
        <v>139</v>
      </c>
      <c r="B108" t="s">
        <v>72</v>
      </c>
      <c r="C108" s="6" t="s">
        <v>148</v>
      </c>
      <c r="D108" t="s">
        <v>48</v>
      </c>
      <c r="E108" s="27">
        <f>SUMIFS(INDEX(Load,,MATCH('Summarized Source Data'!$B108,Hour,0)),Season,'Summarized Source Data'!$A108,Sector,'Summarized Source Data'!E$2,Subsector,'Summarized Source Data'!E$3,TimeOfWeek,$D108)</f>
        <v>0</v>
      </c>
      <c r="F108" s="27">
        <f>SUMIFS(INDEX(Load,,MATCH('Summarized Source Data'!$B108,Hour,0)),Season,'Summarized Source Data'!$A108,Sector,'Summarized Source Data'!F$2,Subsector,'Summarized Source Data'!F$3,TimeOfWeek,$D108)</f>
        <v>3363829</v>
      </c>
      <c r="G108" s="27">
        <f>SUMIFS(INDEX(Load,,MATCH('Summarized Source Data'!$B108,Hour,0)),Season,'Summarized Source Data'!$A108,Sector,'Summarized Source Data'!G$2,Subsector,'Summarized Source Data'!G$3,TimeOfWeek,$D108)</f>
        <v>0</v>
      </c>
      <c r="H108" s="27">
        <f>SUMIFS(INDEX(Load,,MATCH('Summarized Source Data'!$B108,Hour,0)),Season,'Summarized Source Data'!$A108,Sector,'Summarized Source Data'!H$2,Subsector,'Summarized Source Data'!H$3,TimeOfWeek,$D108)</f>
        <v>47500000</v>
      </c>
      <c r="I108" s="27">
        <f t="shared" si="7"/>
        <v>47500000</v>
      </c>
      <c r="J108" s="29">
        <f t="shared" si="8"/>
        <v>47500000</v>
      </c>
      <c r="K108" s="27">
        <f>SUMIFS(INDEX(Load,,MATCH('Summarized Source Data'!$B108,Hour,0)),Season,'Summarized Source Data'!$A108,Sector,'Summarized Source Data'!K$2,Subsector,'Summarized Source Data'!K$3,TimeOfWeek,$D108)</f>
        <v>13283299</v>
      </c>
      <c r="L108" s="27">
        <f>SUMIFS(INDEX(Load,,MATCH('Summarized Source Data'!$B108,Hour,0)),Season,'Summarized Source Data'!$A108,Sector,'Summarized Source Data'!L$2,Subsector,'Summarized Source Data'!L$3,TimeOfWeek,$D108)</f>
        <v>10571621</v>
      </c>
      <c r="M108" s="27">
        <f>SUMIFS(INDEX(Load,,MATCH('Summarized Source Data'!$B108,Hour,0)),Season,'Summarized Source Data'!$A108,Sector,'Summarized Source Data'!M$2,Subsector,'Summarized Source Data'!M$3,TimeOfWeek,$D108)</f>
        <v>0</v>
      </c>
      <c r="N108" s="29">
        <f t="shared" si="9"/>
        <v>47500000</v>
      </c>
      <c r="O108" s="27">
        <f t="shared" si="10"/>
        <v>47500000</v>
      </c>
      <c r="P108" s="29">
        <f t="shared" si="11"/>
        <v>47500000</v>
      </c>
      <c r="Q108" s="33">
        <f>SUMIFS(INDEX(Load,,MATCH('Summarized Source Data'!$B108,Hour,0)),Season,'Summarized Source Data'!$A108,Sector,'Summarized Source Data'!Q$2,TimeOfWeek,$D108)</f>
        <v>6720000</v>
      </c>
      <c r="R108" s="33">
        <f>SUMIFS(INDEX(Load,,MATCH('Summarized Source Data'!$B108,Hour,0)),Season,'Summarized Source Data'!$A108,Sector,'Summarized Source Data'!R$2,TimeOfWeek,$D108)</f>
        <v>6720000</v>
      </c>
      <c r="S108" s="33">
        <f>SUMIFS(INDEX(Load,,MATCH('Summarized Source Data'!$B108,Hour,0)),Season,'Summarized Source Data'!$A108,Sector,'Summarized Source Data'!S$2,TimeOfWeek,$D108)</f>
        <v>6720000</v>
      </c>
      <c r="T108" s="33">
        <f>SUMIFS(INDEX(Load,,MATCH('Summarized Source Data'!$B108,Hour,0)),Season,'Summarized Source Data'!$A108,Sector,'Summarized Source Data'!T$2,TimeOfWeek,$D108)</f>
        <v>6720000</v>
      </c>
      <c r="U108" s="33">
        <f>SUMIFS(INDEX(Load,,MATCH('Summarized Source Data'!$B108,Hour,0)),Season,'Summarized Source Data'!$A108,Sector,'Summarized Source Data'!U$2,TimeOfWeek,$D108)</f>
        <v>6720000</v>
      </c>
      <c r="V108" s="33">
        <f>SUMIFS(INDEX(Load,,MATCH('Summarized Source Data'!$B108,Hour,0)),Season,'Summarized Source Data'!$A108,Sector,'Summarized Source Data'!V$2,TimeOfWeek,$D108)</f>
        <v>6720000</v>
      </c>
      <c r="W108" s="27">
        <f>SUMIFS(INDEX(Load,,MATCH('Summarized Source Data'!$B108,Hour,0)),Season,'Summarized Source Data'!$A108,Sector,'Summarized Source Data'!W$2,Subsector,'Summarized Source Data'!W$3,TimeOfWeek,$D108)</f>
        <v>686000000</v>
      </c>
      <c r="X108" s="29">
        <f t="shared" si="13"/>
        <v>686000000</v>
      </c>
      <c r="Y108" s="29">
        <f t="shared" si="13"/>
        <v>686000000</v>
      </c>
    </row>
    <row r="109" spans="1:25" outlineLevel="1" x14ac:dyDescent="0.3">
      <c r="A109" t="s">
        <v>139</v>
      </c>
      <c r="B109" t="s">
        <v>73</v>
      </c>
      <c r="C109" s="6" t="s">
        <v>149</v>
      </c>
      <c r="D109" t="s">
        <v>48</v>
      </c>
      <c r="E109" s="27">
        <f>SUMIFS(INDEX(Load,,MATCH('Summarized Source Data'!$B109,Hour,0)),Season,'Summarized Source Data'!$A109,Sector,'Summarized Source Data'!E$2,Subsector,'Summarized Source Data'!E$3,TimeOfWeek,$D109)</f>
        <v>0</v>
      </c>
      <c r="F109" s="27">
        <f>SUMIFS(INDEX(Load,,MATCH('Summarized Source Data'!$B109,Hour,0)),Season,'Summarized Source Data'!$A109,Sector,'Summarized Source Data'!F$2,Subsector,'Summarized Source Data'!F$3,TimeOfWeek,$D109)</f>
        <v>4358390</v>
      </c>
      <c r="G109" s="27">
        <f>SUMIFS(INDEX(Load,,MATCH('Summarized Source Data'!$B109,Hour,0)),Season,'Summarized Source Data'!$A109,Sector,'Summarized Source Data'!G$2,Subsector,'Summarized Source Data'!G$3,TimeOfWeek,$D109)</f>
        <v>0</v>
      </c>
      <c r="H109" s="27">
        <f>SUMIFS(INDEX(Load,,MATCH('Summarized Source Data'!$B109,Hour,0)),Season,'Summarized Source Data'!$A109,Sector,'Summarized Source Data'!H$2,Subsector,'Summarized Source Data'!H$3,TimeOfWeek,$D109)</f>
        <v>49300000</v>
      </c>
      <c r="I109" s="27">
        <f t="shared" si="7"/>
        <v>49300000</v>
      </c>
      <c r="J109" s="29">
        <f t="shared" si="8"/>
        <v>49300000</v>
      </c>
      <c r="K109" s="27">
        <f>SUMIFS(INDEX(Load,,MATCH('Summarized Source Data'!$B109,Hour,0)),Season,'Summarized Source Data'!$A109,Sector,'Summarized Source Data'!K$2,Subsector,'Summarized Source Data'!K$3,TimeOfWeek,$D109)</f>
        <v>10785787</v>
      </c>
      <c r="L109" s="27">
        <f>SUMIFS(INDEX(Load,,MATCH('Summarized Source Data'!$B109,Hour,0)),Season,'Summarized Source Data'!$A109,Sector,'Summarized Source Data'!L$2,Subsector,'Summarized Source Data'!L$3,TimeOfWeek,$D109)</f>
        <v>12054806</v>
      </c>
      <c r="M109" s="27">
        <f>SUMIFS(INDEX(Load,,MATCH('Summarized Source Data'!$B109,Hour,0)),Season,'Summarized Source Data'!$A109,Sector,'Summarized Source Data'!M$2,Subsector,'Summarized Source Data'!M$3,TimeOfWeek,$D109)</f>
        <v>0</v>
      </c>
      <c r="N109" s="29">
        <f t="shared" si="9"/>
        <v>49300000</v>
      </c>
      <c r="O109" s="27">
        <f t="shared" si="10"/>
        <v>49300000</v>
      </c>
      <c r="P109" s="29">
        <f t="shared" si="11"/>
        <v>49300000</v>
      </c>
      <c r="Q109" s="33">
        <f>SUMIFS(INDEX(Load,,MATCH('Summarized Source Data'!$B109,Hour,0)),Season,'Summarized Source Data'!$A109,Sector,'Summarized Source Data'!Q$2,TimeOfWeek,$D109)</f>
        <v>7320000</v>
      </c>
      <c r="R109" s="33">
        <f>SUMIFS(INDEX(Load,,MATCH('Summarized Source Data'!$B109,Hour,0)),Season,'Summarized Source Data'!$A109,Sector,'Summarized Source Data'!R$2,TimeOfWeek,$D109)</f>
        <v>7320000</v>
      </c>
      <c r="S109" s="33">
        <f>SUMIFS(INDEX(Load,,MATCH('Summarized Source Data'!$B109,Hour,0)),Season,'Summarized Source Data'!$A109,Sector,'Summarized Source Data'!S$2,TimeOfWeek,$D109)</f>
        <v>7320000</v>
      </c>
      <c r="T109" s="33">
        <f>SUMIFS(INDEX(Load,,MATCH('Summarized Source Data'!$B109,Hour,0)),Season,'Summarized Source Data'!$A109,Sector,'Summarized Source Data'!T$2,TimeOfWeek,$D109)</f>
        <v>7320000</v>
      </c>
      <c r="U109" s="33">
        <f>SUMIFS(INDEX(Load,,MATCH('Summarized Source Data'!$B109,Hour,0)),Season,'Summarized Source Data'!$A109,Sector,'Summarized Source Data'!U$2,TimeOfWeek,$D109)</f>
        <v>7320000</v>
      </c>
      <c r="V109" s="33">
        <f>SUMIFS(INDEX(Load,,MATCH('Summarized Source Data'!$B109,Hour,0)),Season,'Summarized Source Data'!$A109,Sector,'Summarized Source Data'!V$2,TimeOfWeek,$D109)</f>
        <v>7320000</v>
      </c>
      <c r="W109" s="27">
        <f>SUMIFS(INDEX(Load,,MATCH('Summarized Source Data'!$B109,Hour,0)),Season,'Summarized Source Data'!$A109,Sector,'Summarized Source Data'!W$2,Subsector,'Summarized Source Data'!W$3,TimeOfWeek,$D109)</f>
        <v>684000000</v>
      </c>
      <c r="X109" s="29">
        <f t="shared" si="13"/>
        <v>684000000</v>
      </c>
      <c r="Y109" s="29">
        <f t="shared" si="13"/>
        <v>684000000</v>
      </c>
    </row>
    <row r="110" spans="1:25" outlineLevel="1" x14ac:dyDescent="0.3">
      <c r="A110" t="s">
        <v>139</v>
      </c>
      <c r="B110" t="s">
        <v>74</v>
      </c>
      <c r="C110" s="6" t="s">
        <v>150</v>
      </c>
      <c r="D110" t="s">
        <v>48</v>
      </c>
      <c r="E110" s="27">
        <f>SUMIFS(INDEX(Load,,MATCH('Summarized Source Data'!$B110,Hour,0)),Season,'Summarized Source Data'!$A110,Sector,'Summarized Source Data'!E$2,Subsector,'Summarized Source Data'!E$3,TimeOfWeek,$D110)</f>
        <v>0</v>
      </c>
      <c r="F110" s="27">
        <f>SUMIFS(INDEX(Load,,MATCH('Summarized Source Data'!$B110,Hour,0)),Season,'Summarized Source Data'!$A110,Sector,'Summarized Source Data'!F$2,Subsector,'Summarized Source Data'!F$3,TimeOfWeek,$D110)</f>
        <v>5779720</v>
      </c>
      <c r="G110" s="27">
        <f>SUMIFS(INDEX(Load,,MATCH('Summarized Source Data'!$B110,Hour,0)),Season,'Summarized Source Data'!$A110,Sector,'Summarized Source Data'!G$2,Subsector,'Summarized Source Data'!G$3,TimeOfWeek,$D110)</f>
        <v>0</v>
      </c>
      <c r="H110" s="27">
        <f>SUMIFS(INDEX(Load,,MATCH('Summarized Source Data'!$B110,Hour,0)),Season,'Summarized Source Data'!$A110,Sector,'Summarized Source Data'!H$2,Subsector,'Summarized Source Data'!H$3,TimeOfWeek,$D110)</f>
        <v>49500000</v>
      </c>
      <c r="I110" s="27">
        <f t="shared" si="7"/>
        <v>49500000</v>
      </c>
      <c r="J110" s="29">
        <f t="shared" si="8"/>
        <v>49500000</v>
      </c>
      <c r="K110" s="27">
        <f>SUMIFS(INDEX(Load,,MATCH('Summarized Source Data'!$B110,Hour,0)),Season,'Summarized Source Data'!$A110,Sector,'Summarized Source Data'!K$2,Subsector,'Summarized Source Data'!K$3,TimeOfWeek,$D110)</f>
        <v>9151683</v>
      </c>
      <c r="L110" s="27">
        <f>SUMIFS(INDEX(Load,,MATCH('Summarized Source Data'!$B110,Hour,0)),Season,'Summarized Source Data'!$A110,Sector,'Summarized Source Data'!L$2,Subsector,'Summarized Source Data'!L$3,TimeOfWeek,$D110)</f>
        <v>13581206</v>
      </c>
      <c r="M110" s="27">
        <f>SUMIFS(INDEX(Load,,MATCH('Summarized Source Data'!$B110,Hour,0)),Season,'Summarized Source Data'!$A110,Sector,'Summarized Source Data'!M$2,Subsector,'Summarized Source Data'!M$3,TimeOfWeek,$D110)</f>
        <v>0</v>
      </c>
      <c r="N110" s="29">
        <f t="shared" si="9"/>
        <v>49500000</v>
      </c>
      <c r="O110" s="27">
        <f t="shared" si="10"/>
        <v>49500000</v>
      </c>
      <c r="P110" s="29">
        <f t="shared" si="11"/>
        <v>49500000</v>
      </c>
      <c r="Q110" s="33">
        <f>SUMIFS(INDEX(Load,,MATCH('Summarized Source Data'!$B110,Hour,0)),Season,'Summarized Source Data'!$A110,Sector,'Summarized Source Data'!Q$2,TimeOfWeek,$D110)</f>
        <v>7610000</v>
      </c>
      <c r="R110" s="33">
        <f>SUMIFS(INDEX(Load,,MATCH('Summarized Source Data'!$B110,Hour,0)),Season,'Summarized Source Data'!$A110,Sector,'Summarized Source Data'!R$2,TimeOfWeek,$D110)</f>
        <v>7610000</v>
      </c>
      <c r="S110" s="33">
        <f>SUMIFS(INDEX(Load,,MATCH('Summarized Source Data'!$B110,Hour,0)),Season,'Summarized Source Data'!$A110,Sector,'Summarized Source Data'!S$2,TimeOfWeek,$D110)</f>
        <v>7610000</v>
      </c>
      <c r="T110" s="33">
        <f>SUMIFS(INDEX(Load,,MATCH('Summarized Source Data'!$B110,Hour,0)),Season,'Summarized Source Data'!$A110,Sector,'Summarized Source Data'!T$2,TimeOfWeek,$D110)</f>
        <v>7610000</v>
      </c>
      <c r="U110" s="33">
        <f>SUMIFS(INDEX(Load,,MATCH('Summarized Source Data'!$B110,Hour,0)),Season,'Summarized Source Data'!$A110,Sector,'Summarized Source Data'!U$2,TimeOfWeek,$D110)</f>
        <v>7610000</v>
      </c>
      <c r="V110" s="33">
        <f>SUMIFS(INDEX(Load,,MATCH('Summarized Source Data'!$B110,Hour,0)),Season,'Summarized Source Data'!$A110,Sector,'Summarized Source Data'!V$2,TimeOfWeek,$D110)</f>
        <v>7610000</v>
      </c>
      <c r="W110" s="27">
        <f>SUMIFS(INDEX(Load,,MATCH('Summarized Source Data'!$B110,Hour,0)),Season,'Summarized Source Data'!$A110,Sector,'Summarized Source Data'!W$2,Subsector,'Summarized Source Data'!W$3,TimeOfWeek,$D110)</f>
        <v>684000000</v>
      </c>
      <c r="X110" s="29">
        <f t="shared" si="13"/>
        <v>684000000</v>
      </c>
      <c r="Y110" s="29">
        <f t="shared" si="13"/>
        <v>684000000</v>
      </c>
    </row>
    <row r="111" spans="1:25" outlineLevel="1" x14ac:dyDescent="0.3">
      <c r="A111" t="s">
        <v>139</v>
      </c>
      <c r="B111" t="s">
        <v>75</v>
      </c>
      <c r="C111" s="6" t="s">
        <v>151</v>
      </c>
      <c r="D111" t="s">
        <v>48</v>
      </c>
      <c r="E111" s="27">
        <f>SUMIFS(INDEX(Load,,MATCH('Summarized Source Data'!$B111,Hour,0)),Season,'Summarized Source Data'!$A111,Sector,'Summarized Source Data'!E$2,Subsector,'Summarized Source Data'!E$3,TimeOfWeek,$D111)</f>
        <v>0</v>
      </c>
      <c r="F111" s="27">
        <f>SUMIFS(INDEX(Load,,MATCH('Summarized Source Data'!$B111,Hour,0)),Season,'Summarized Source Data'!$A111,Sector,'Summarized Source Data'!F$2,Subsector,'Summarized Source Data'!F$3,TimeOfWeek,$D111)</f>
        <v>8067890</v>
      </c>
      <c r="G111" s="27">
        <f>SUMIFS(INDEX(Load,,MATCH('Summarized Source Data'!$B111,Hour,0)),Season,'Summarized Source Data'!$A111,Sector,'Summarized Source Data'!G$2,Subsector,'Summarized Source Data'!G$3,TimeOfWeek,$D111)</f>
        <v>0</v>
      </c>
      <c r="H111" s="27">
        <f>SUMIFS(INDEX(Load,,MATCH('Summarized Source Data'!$B111,Hour,0)),Season,'Summarized Source Data'!$A111,Sector,'Summarized Source Data'!H$2,Subsector,'Summarized Source Data'!H$3,TimeOfWeek,$D111)</f>
        <v>52700000</v>
      </c>
      <c r="I111" s="27">
        <f t="shared" si="7"/>
        <v>52700000</v>
      </c>
      <c r="J111" s="29">
        <f t="shared" si="8"/>
        <v>52700000</v>
      </c>
      <c r="K111" s="27">
        <f>SUMIFS(INDEX(Load,,MATCH('Summarized Source Data'!$B111,Hour,0)),Season,'Summarized Source Data'!$A111,Sector,'Summarized Source Data'!K$2,Subsector,'Summarized Source Data'!K$3,TimeOfWeek,$D111)</f>
        <v>8096330</v>
      </c>
      <c r="L111" s="27">
        <f>SUMIFS(INDEX(Load,,MATCH('Summarized Source Data'!$B111,Hour,0)),Season,'Summarized Source Data'!$A111,Sector,'Summarized Source Data'!L$2,Subsector,'Summarized Source Data'!L$3,TimeOfWeek,$D111)</f>
        <v>15127901</v>
      </c>
      <c r="M111" s="27">
        <f>SUMIFS(INDEX(Load,,MATCH('Summarized Source Data'!$B111,Hour,0)),Season,'Summarized Source Data'!$A111,Sector,'Summarized Source Data'!M$2,Subsector,'Summarized Source Data'!M$3,TimeOfWeek,$D111)</f>
        <v>0</v>
      </c>
      <c r="N111" s="29">
        <f t="shared" si="9"/>
        <v>52700000</v>
      </c>
      <c r="O111" s="27">
        <f t="shared" si="10"/>
        <v>52700000</v>
      </c>
      <c r="P111" s="29">
        <f t="shared" si="11"/>
        <v>52700000</v>
      </c>
      <c r="Q111" s="33">
        <f>SUMIFS(INDEX(Load,,MATCH('Summarized Source Data'!$B111,Hour,0)),Season,'Summarized Source Data'!$A111,Sector,'Summarized Source Data'!Q$2,TimeOfWeek,$D111)</f>
        <v>7640000</v>
      </c>
      <c r="R111" s="33">
        <f>SUMIFS(INDEX(Load,,MATCH('Summarized Source Data'!$B111,Hour,0)),Season,'Summarized Source Data'!$A111,Sector,'Summarized Source Data'!R$2,TimeOfWeek,$D111)</f>
        <v>7640000</v>
      </c>
      <c r="S111" s="33">
        <f>SUMIFS(INDEX(Load,,MATCH('Summarized Source Data'!$B111,Hour,0)),Season,'Summarized Source Data'!$A111,Sector,'Summarized Source Data'!S$2,TimeOfWeek,$D111)</f>
        <v>7640000</v>
      </c>
      <c r="T111" s="33">
        <f>SUMIFS(INDEX(Load,,MATCH('Summarized Source Data'!$B111,Hour,0)),Season,'Summarized Source Data'!$A111,Sector,'Summarized Source Data'!T$2,TimeOfWeek,$D111)</f>
        <v>7640000</v>
      </c>
      <c r="U111" s="33">
        <f>SUMIFS(INDEX(Load,,MATCH('Summarized Source Data'!$B111,Hour,0)),Season,'Summarized Source Data'!$A111,Sector,'Summarized Source Data'!U$2,TimeOfWeek,$D111)</f>
        <v>7640000</v>
      </c>
      <c r="V111" s="33">
        <f>SUMIFS(INDEX(Load,,MATCH('Summarized Source Data'!$B111,Hour,0)),Season,'Summarized Source Data'!$A111,Sector,'Summarized Source Data'!V$2,TimeOfWeek,$D111)</f>
        <v>7640000</v>
      </c>
      <c r="W111" s="27">
        <f>SUMIFS(INDEX(Load,,MATCH('Summarized Source Data'!$B111,Hour,0)),Season,'Summarized Source Data'!$A111,Sector,'Summarized Source Data'!W$2,Subsector,'Summarized Source Data'!W$3,TimeOfWeek,$D111)</f>
        <v>684000000</v>
      </c>
      <c r="X111" s="29">
        <f t="shared" si="13"/>
        <v>684000000</v>
      </c>
      <c r="Y111" s="29">
        <f t="shared" si="13"/>
        <v>684000000</v>
      </c>
    </row>
    <row r="112" spans="1:25" outlineLevel="1" x14ac:dyDescent="0.3">
      <c r="A112" t="s">
        <v>139</v>
      </c>
      <c r="B112" t="s">
        <v>76</v>
      </c>
      <c r="C112" s="6" t="s">
        <v>152</v>
      </c>
      <c r="D112" t="s">
        <v>48</v>
      </c>
      <c r="E112" s="27">
        <f>SUMIFS(INDEX(Load,,MATCH('Summarized Source Data'!$B112,Hour,0)),Season,'Summarized Source Data'!$A112,Sector,'Summarized Source Data'!E$2,Subsector,'Summarized Source Data'!E$3,TimeOfWeek,$D112)</f>
        <v>0</v>
      </c>
      <c r="F112" s="27">
        <f>SUMIFS(INDEX(Load,,MATCH('Summarized Source Data'!$B112,Hour,0)),Season,'Summarized Source Data'!$A112,Sector,'Summarized Source Data'!F$2,Subsector,'Summarized Source Data'!F$3,TimeOfWeek,$D112)</f>
        <v>10311106</v>
      </c>
      <c r="G112" s="27">
        <f>SUMIFS(INDEX(Load,,MATCH('Summarized Source Data'!$B112,Hour,0)),Season,'Summarized Source Data'!$A112,Sector,'Summarized Source Data'!G$2,Subsector,'Summarized Source Data'!G$3,TimeOfWeek,$D112)</f>
        <v>0</v>
      </c>
      <c r="H112" s="27">
        <f>SUMIFS(INDEX(Load,,MATCH('Summarized Source Data'!$B112,Hour,0)),Season,'Summarized Source Data'!$A112,Sector,'Summarized Source Data'!H$2,Subsector,'Summarized Source Data'!H$3,TimeOfWeek,$D112)</f>
        <v>54300000</v>
      </c>
      <c r="I112" s="27">
        <f t="shared" si="7"/>
        <v>54300000</v>
      </c>
      <c r="J112" s="29">
        <f t="shared" si="8"/>
        <v>54300000</v>
      </c>
      <c r="K112" s="27">
        <f>SUMIFS(INDEX(Load,,MATCH('Summarized Source Data'!$B112,Hour,0)),Season,'Summarized Source Data'!$A112,Sector,'Summarized Source Data'!K$2,Subsector,'Summarized Source Data'!K$3,TimeOfWeek,$D112)</f>
        <v>7346103</v>
      </c>
      <c r="L112" s="27">
        <f>SUMIFS(INDEX(Load,,MATCH('Summarized Source Data'!$B112,Hour,0)),Season,'Summarized Source Data'!$A112,Sector,'Summarized Source Data'!L$2,Subsector,'Summarized Source Data'!L$3,TimeOfWeek,$D112)</f>
        <v>16459650</v>
      </c>
      <c r="M112" s="27">
        <f>SUMIFS(INDEX(Load,,MATCH('Summarized Source Data'!$B112,Hour,0)),Season,'Summarized Source Data'!$A112,Sector,'Summarized Source Data'!M$2,Subsector,'Summarized Source Data'!M$3,TimeOfWeek,$D112)</f>
        <v>0</v>
      </c>
      <c r="N112" s="29">
        <f t="shared" si="9"/>
        <v>54300000</v>
      </c>
      <c r="O112" s="27">
        <f t="shared" si="10"/>
        <v>54300000</v>
      </c>
      <c r="P112" s="29">
        <f t="shared" si="11"/>
        <v>54300000</v>
      </c>
      <c r="Q112" s="33">
        <f>SUMIFS(INDEX(Load,,MATCH('Summarized Source Data'!$B112,Hour,0)),Season,'Summarized Source Data'!$A112,Sector,'Summarized Source Data'!Q$2,TimeOfWeek,$D112)</f>
        <v>7380000</v>
      </c>
      <c r="R112" s="33">
        <f>SUMIFS(INDEX(Load,,MATCH('Summarized Source Data'!$B112,Hour,0)),Season,'Summarized Source Data'!$A112,Sector,'Summarized Source Data'!R$2,TimeOfWeek,$D112)</f>
        <v>7380000</v>
      </c>
      <c r="S112" s="33">
        <f>SUMIFS(INDEX(Load,,MATCH('Summarized Source Data'!$B112,Hour,0)),Season,'Summarized Source Data'!$A112,Sector,'Summarized Source Data'!S$2,TimeOfWeek,$D112)</f>
        <v>7380000</v>
      </c>
      <c r="T112" s="33">
        <f>SUMIFS(INDEX(Load,,MATCH('Summarized Source Data'!$B112,Hour,0)),Season,'Summarized Source Data'!$A112,Sector,'Summarized Source Data'!T$2,TimeOfWeek,$D112)</f>
        <v>7380000</v>
      </c>
      <c r="U112" s="33">
        <f>SUMIFS(INDEX(Load,,MATCH('Summarized Source Data'!$B112,Hour,0)),Season,'Summarized Source Data'!$A112,Sector,'Summarized Source Data'!U$2,TimeOfWeek,$D112)</f>
        <v>7380000</v>
      </c>
      <c r="V112" s="33">
        <f>SUMIFS(INDEX(Load,,MATCH('Summarized Source Data'!$B112,Hour,0)),Season,'Summarized Source Data'!$A112,Sector,'Summarized Source Data'!V$2,TimeOfWeek,$D112)</f>
        <v>7380000</v>
      </c>
      <c r="W112" s="27">
        <f>SUMIFS(INDEX(Load,,MATCH('Summarized Source Data'!$B112,Hour,0)),Season,'Summarized Source Data'!$A112,Sector,'Summarized Source Data'!W$2,Subsector,'Summarized Source Data'!W$3,TimeOfWeek,$D112)</f>
        <v>683000000</v>
      </c>
      <c r="X112" s="29">
        <f t="shared" si="13"/>
        <v>683000000</v>
      </c>
      <c r="Y112" s="29">
        <f t="shared" si="13"/>
        <v>683000000</v>
      </c>
    </row>
    <row r="113" spans="1:25" outlineLevel="1" x14ac:dyDescent="0.3">
      <c r="A113" t="s">
        <v>139</v>
      </c>
      <c r="B113" t="s">
        <v>77</v>
      </c>
      <c r="C113" s="6" t="s">
        <v>153</v>
      </c>
      <c r="D113" t="s">
        <v>48</v>
      </c>
      <c r="E113" s="27">
        <f>SUMIFS(INDEX(Load,,MATCH('Summarized Source Data'!$B113,Hour,0)),Season,'Summarized Source Data'!$A113,Sector,'Summarized Source Data'!E$2,Subsector,'Summarized Source Data'!E$3,TimeOfWeek,$D113)</f>
        <v>0</v>
      </c>
      <c r="F113" s="27">
        <f>SUMIFS(INDEX(Load,,MATCH('Summarized Source Data'!$B113,Hour,0)),Season,'Summarized Source Data'!$A113,Sector,'Summarized Source Data'!F$2,Subsector,'Summarized Source Data'!F$3,TimeOfWeek,$D113)</f>
        <v>11638550</v>
      </c>
      <c r="G113" s="27">
        <f>SUMIFS(INDEX(Load,,MATCH('Summarized Source Data'!$B113,Hour,0)),Season,'Summarized Source Data'!$A113,Sector,'Summarized Source Data'!G$2,Subsector,'Summarized Source Data'!G$3,TimeOfWeek,$D113)</f>
        <v>0</v>
      </c>
      <c r="H113" s="27">
        <f>SUMIFS(INDEX(Load,,MATCH('Summarized Source Data'!$B113,Hour,0)),Season,'Summarized Source Data'!$A113,Sector,'Summarized Source Data'!H$2,Subsector,'Summarized Source Data'!H$3,TimeOfWeek,$D113)</f>
        <v>54300000</v>
      </c>
      <c r="I113" s="27">
        <f t="shared" si="7"/>
        <v>54300000</v>
      </c>
      <c r="J113" s="29">
        <f t="shared" si="8"/>
        <v>54300000</v>
      </c>
      <c r="K113" s="27">
        <f>SUMIFS(INDEX(Load,,MATCH('Summarized Source Data'!$B113,Hour,0)),Season,'Summarized Source Data'!$A113,Sector,'Summarized Source Data'!K$2,Subsector,'Summarized Source Data'!K$3,TimeOfWeek,$D113)</f>
        <v>6795346</v>
      </c>
      <c r="L113" s="27">
        <f>SUMIFS(INDEX(Load,,MATCH('Summarized Source Data'!$B113,Hour,0)),Season,'Summarized Source Data'!$A113,Sector,'Summarized Source Data'!L$2,Subsector,'Summarized Source Data'!L$3,TimeOfWeek,$D113)</f>
        <v>17279437</v>
      </c>
      <c r="M113" s="27">
        <f>SUMIFS(INDEX(Load,,MATCH('Summarized Source Data'!$B113,Hour,0)),Season,'Summarized Source Data'!$A113,Sector,'Summarized Source Data'!M$2,Subsector,'Summarized Source Data'!M$3,TimeOfWeek,$D113)</f>
        <v>0</v>
      </c>
      <c r="N113" s="29">
        <f t="shared" si="9"/>
        <v>54300000</v>
      </c>
      <c r="O113" s="27">
        <f t="shared" si="10"/>
        <v>54300000</v>
      </c>
      <c r="P113" s="29">
        <f t="shared" si="11"/>
        <v>54300000</v>
      </c>
      <c r="Q113" s="33">
        <f>SUMIFS(INDEX(Load,,MATCH('Summarized Source Data'!$B113,Hour,0)),Season,'Summarized Source Data'!$A113,Sector,'Summarized Source Data'!Q$2,TimeOfWeek,$D113)</f>
        <v>6850000</v>
      </c>
      <c r="R113" s="33">
        <f>SUMIFS(INDEX(Load,,MATCH('Summarized Source Data'!$B113,Hour,0)),Season,'Summarized Source Data'!$A113,Sector,'Summarized Source Data'!R$2,TimeOfWeek,$D113)</f>
        <v>6850000</v>
      </c>
      <c r="S113" s="33">
        <f>SUMIFS(INDEX(Load,,MATCH('Summarized Source Data'!$B113,Hour,0)),Season,'Summarized Source Data'!$A113,Sector,'Summarized Source Data'!S$2,TimeOfWeek,$D113)</f>
        <v>6850000</v>
      </c>
      <c r="T113" s="33">
        <f>SUMIFS(INDEX(Load,,MATCH('Summarized Source Data'!$B113,Hour,0)),Season,'Summarized Source Data'!$A113,Sector,'Summarized Source Data'!T$2,TimeOfWeek,$D113)</f>
        <v>6850000</v>
      </c>
      <c r="U113" s="33">
        <f>SUMIFS(INDEX(Load,,MATCH('Summarized Source Data'!$B113,Hour,0)),Season,'Summarized Source Data'!$A113,Sector,'Summarized Source Data'!U$2,TimeOfWeek,$D113)</f>
        <v>6850000</v>
      </c>
      <c r="V113" s="33">
        <f>SUMIFS(INDEX(Load,,MATCH('Summarized Source Data'!$B113,Hour,0)),Season,'Summarized Source Data'!$A113,Sector,'Summarized Source Data'!V$2,TimeOfWeek,$D113)</f>
        <v>6850000</v>
      </c>
      <c r="W113" s="27">
        <f>SUMIFS(INDEX(Load,,MATCH('Summarized Source Data'!$B113,Hour,0)),Season,'Summarized Source Data'!$A113,Sector,'Summarized Source Data'!W$2,Subsector,'Summarized Source Data'!W$3,TimeOfWeek,$D113)</f>
        <v>684000000</v>
      </c>
      <c r="X113" s="29">
        <f t="shared" si="13"/>
        <v>684000000</v>
      </c>
      <c r="Y113" s="29">
        <f t="shared" si="13"/>
        <v>684000000</v>
      </c>
    </row>
    <row r="114" spans="1:25" outlineLevel="1" x14ac:dyDescent="0.3">
      <c r="A114" t="s">
        <v>139</v>
      </c>
      <c r="B114" t="s">
        <v>78</v>
      </c>
      <c r="C114" s="6" t="s">
        <v>154</v>
      </c>
      <c r="D114" t="s">
        <v>48</v>
      </c>
      <c r="E114" s="27">
        <f>SUMIFS(INDEX(Load,,MATCH('Summarized Source Data'!$B114,Hour,0)),Season,'Summarized Source Data'!$A114,Sector,'Summarized Source Data'!E$2,Subsector,'Summarized Source Data'!E$3,TimeOfWeek,$D114)</f>
        <v>0</v>
      </c>
      <c r="F114" s="27">
        <f>SUMIFS(INDEX(Load,,MATCH('Summarized Source Data'!$B114,Hour,0)),Season,'Summarized Source Data'!$A114,Sector,'Summarized Source Data'!F$2,Subsector,'Summarized Source Data'!F$3,TimeOfWeek,$D114)</f>
        <v>12035272</v>
      </c>
      <c r="G114" s="27">
        <f>SUMIFS(INDEX(Load,,MATCH('Summarized Source Data'!$B114,Hour,0)),Season,'Summarized Source Data'!$A114,Sector,'Summarized Source Data'!G$2,Subsector,'Summarized Source Data'!G$3,TimeOfWeek,$D114)</f>
        <v>0</v>
      </c>
      <c r="H114" s="27">
        <f>SUMIFS(INDEX(Load,,MATCH('Summarized Source Data'!$B114,Hour,0)),Season,'Summarized Source Data'!$A114,Sector,'Summarized Source Data'!H$2,Subsector,'Summarized Source Data'!H$3,TimeOfWeek,$D114)</f>
        <v>53900000</v>
      </c>
      <c r="I114" s="27">
        <f t="shared" si="7"/>
        <v>53900000</v>
      </c>
      <c r="J114" s="29">
        <f t="shared" si="8"/>
        <v>53900000</v>
      </c>
      <c r="K114" s="27">
        <f>SUMIFS(INDEX(Load,,MATCH('Summarized Source Data'!$B114,Hour,0)),Season,'Summarized Source Data'!$A114,Sector,'Summarized Source Data'!K$2,Subsector,'Summarized Source Data'!K$3,TimeOfWeek,$D114)</f>
        <v>6455803</v>
      </c>
      <c r="L114" s="27">
        <f>SUMIFS(INDEX(Load,,MATCH('Summarized Source Data'!$B114,Hour,0)),Season,'Summarized Source Data'!$A114,Sector,'Summarized Source Data'!L$2,Subsector,'Summarized Source Data'!L$3,TimeOfWeek,$D114)</f>
        <v>17560746</v>
      </c>
      <c r="M114" s="27">
        <f>SUMIFS(INDEX(Load,,MATCH('Summarized Source Data'!$B114,Hour,0)),Season,'Summarized Source Data'!$A114,Sector,'Summarized Source Data'!M$2,Subsector,'Summarized Source Data'!M$3,TimeOfWeek,$D114)</f>
        <v>0</v>
      </c>
      <c r="N114" s="29">
        <f t="shared" si="9"/>
        <v>53900000</v>
      </c>
      <c r="O114" s="27">
        <f t="shared" si="10"/>
        <v>53900000</v>
      </c>
      <c r="P114" s="29">
        <f t="shared" si="11"/>
        <v>53900000</v>
      </c>
      <c r="Q114" s="33">
        <f>SUMIFS(INDEX(Load,,MATCH('Summarized Source Data'!$B114,Hour,0)),Season,'Summarized Source Data'!$A114,Sector,'Summarized Source Data'!Q$2,TimeOfWeek,$D114)</f>
        <v>6840000</v>
      </c>
      <c r="R114" s="33">
        <f>SUMIFS(INDEX(Load,,MATCH('Summarized Source Data'!$B114,Hour,0)),Season,'Summarized Source Data'!$A114,Sector,'Summarized Source Data'!R$2,TimeOfWeek,$D114)</f>
        <v>6840000</v>
      </c>
      <c r="S114" s="33">
        <f>SUMIFS(INDEX(Load,,MATCH('Summarized Source Data'!$B114,Hour,0)),Season,'Summarized Source Data'!$A114,Sector,'Summarized Source Data'!S$2,TimeOfWeek,$D114)</f>
        <v>6840000</v>
      </c>
      <c r="T114" s="33">
        <f>SUMIFS(INDEX(Load,,MATCH('Summarized Source Data'!$B114,Hour,0)),Season,'Summarized Source Data'!$A114,Sector,'Summarized Source Data'!T$2,TimeOfWeek,$D114)</f>
        <v>6840000</v>
      </c>
      <c r="U114" s="33">
        <f>SUMIFS(INDEX(Load,,MATCH('Summarized Source Data'!$B114,Hour,0)),Season,'Summarized Source Data'!$A114,Sector,'Summarized Source Data'!U$2,TimeOfWeek,$D114)</f>
        <v>6840000</v>
      </c>
      <c r="V114" s="33">
        <f>SUMIFS(INDEX(Load,,MATCH('Summarized Source Data'!$B114,Hour,0)),Season,'Summarized Source Data'!$A114,Sector,'Summarized Source Data'!V$2,TimeOfWeek,$D114)</f>
        <v>6840000</v>
      </c>
      <c r="W114" s="27">
        <f>SUMIFS(INDEX(Load,,MATCH('Summarized Source Data'!$B114,Hour,0)),Season,'Summarized Source Data'!$A114,Sector,'Summarized Source Data'!W$2,Subsector,'Summarized Source Data'!W$3,TimeOfWeek,$D114)</f>
        <v>684000000</v>
      </c>
      <c r="X114" s="29">
        <f t="shared" si="13"/>
        <v>684000000</v>
      </c>
      <c r="Y114" s="29">
        <f t="shared" si="13"/>
        <v>684000000</v>
      </c>
    </row>
    <row r="115" spans="1:25" outlineLevel="1" x14ac:dyDescent="0.3">
      <c r="A115" t="s">
        <v>139</v>
      </c>
      <c r="B115" t="s">
        <v>79</v>
      </c>
      <c r="C115" s="6" t="s">
        <v>155</v>
      </c>
      <c r="D115" t="s">
        <v>48</v>
      </c>
      <c r="E115" s="27">
        <f>SUMIFS(INDEX(Load,,MATCH('Summarized Source Data'!$B115,Hour,0)),Season,'Summarized Source Data'!$A115,Sector,'Summarized Source Data'!E$2,Subsector,'Summarized Source Data'!E$3,TimeOfWeek,$D115)</f>
        <v>0</v>
      </c>
      <c r="F115" s="27">
        <f>SUMIFS(INDEX(Load,,MATCH('Summarized Source Data'!$B115,Hour,0)),Season,'Summarized Source Data'!$A115,Sector,'Summarized Source Data'!F$2,Subsector,'Summarized Source Data'!F$3,TimeOfWeek,$D115)</f>
        <v>11577142</v>
      </c>
      <c r="G115" s="27">
        <f>SUMIFS(INDEX(Load,,MATCH('Summarized Source Data'!$B115,Hour,0)),Season,'Summarized Source Data'!$A115,Sector,'Summarized Source Data'!G$2,Subsector,'Summarized Source Data'!G$3,TimeOfWeek,$D115)</f>
        <v>0</v>
      </c>
      <c r="H115" s="27">
        <f>SUMIFS(INDEX(Load,,MATCH('Summarized Source Data'!$B115,Hour,0)),Season,'Summarized Source Data'!$A115,Sector,'Summarized Source Data'!H$2,Subsector,'Summarized Source Data'!H$3,TimeOfWeek,$D115)</f>
        <v>53900000</v>
      </c>
      <c r="I115" s="27">
        <f t="shared" si="7"/>
        <v>53900000</v>
      </c>
      <c r="J115" s="29">
        <f t="shared" si="8"/>
        <v>53900000</v>
      </c>
      <c r="K115" s="27">
        <f>SUMIFS(INDEX(Load,,MATCH('Summarized Source Data'!$B115,Hour,0)),Season,'Summarized Source Data'!$A115,Sector,'Summarized Source Data'!K$2,Subsector,'Summarized Source Data'!K$3,TimeOfWeek,$D115)</f>
        <v>6626967</v>
      </c>
      <c r="L115" s="27">
        <f>SUMIFS(INDEX(Load,,MATCH('Summarized Source Data'!$B115,Hour,0)),Season,'Summarized Source Data'!$A115,Sector,'Summarized Source Data'!L$2,Subsector,'Summarized Source Data'!L$3,TimeOfWeek,$D115)</f>
        <v>17281515</v>
      </c>
      <c r="M115" s="27">
        <f>SUMIFS(INDEX(Load,,MATCH('Summarized Source Data'!$B115,Hour,0)),Season,'Summarized Source Data'!$A115,Sector,'Summarized Source Data'!M$2,Subsector,'Summarized Source Data'!M$3,TimeOfWeek,$D115)</f>
        <v>0</v>
      </c>
      <c r="N115" s="29">
        <f t="shared" si="9"/>
        <v>53900000</v>
      </c>
      <c r="O115" s="27">
        <f t="shared" si="10"/>
        <v>53900000</v>
      </c>
      <c r="P115" s="29">
        <f t="shared" si="11"/>
        <v>53900000</v>
      </c>
      <c r="Q115" s="33">
        <f>SUMIFS(INDEX(Load,,MATCH('Summarized Source Data'!$B115,Hour,0)),Season,'Summarized Source Data'!$A115,Sector,'Summarized Source Data'!Q$2,TimeOfWeek,$D115)</f>
        <v>6820000</v>
      </c>
      <c r="R115" s="33">
        <f>SUMIFS(INDEX(Load,,MATCH('Summarized Source Data'!$B115,Hour,0)),Season,'Summarized Source Data'!$A115,Sector,'Summarized Source Data'!R$2,TimeOfWeek,$D115)</f>
        <v>6820000</v>
      </c>
      <c r="S115" s="33">
        <f>SUMIFS(INDEX(Load,,MATCH('Summarized Source Data'!$B115,Hour,0)),Season,'Summarized Source Data'!$A115,Sector,'Summarized Source Data'!S$2,TimeOfWeek,$D115)</f>
        <v>6820000</v>
      </c>
      <c r="T115" s="33">
        <f>SUMIFS(INDEX(Load,,MATCH('Summarized Source Data'!$B115,Hour,0)),Season,'Summarized Source Data'!$A115,Sector,'Summarized Source Data'!T$2,TimeOfWeek,$D115)</f>
        <v>6820000</v>
      </c>
      <c r="U115" s="33">
        <f>SUMIFS(INDEX(Load,,MATCH('Summarized Source Data'!$B115,Hour,0)),Season,'Summarized Source Data'!$A115,Sector,'Summarized Source Data'!U$2,TimeOfWeek,$D115)</f>
        <v>6820000</v>
      </c>
      <c r="V115" s="33">
        <f>SUMIFS(INDEX(Load,,MATCH('Summarized Source Data'!$B115,Hour,0)),Season,'Summarized Source Data'!$A115,Sector,'Summarized Source Data'!V$2,TimeOfWeek,$D115)</f>
        <v>6820000</v>
      </c>
      <c r="W115" s="27">
        <f>SUMIFS(INDEX(Load,,MATCH('Summarized Source Data'!$B115,Hour,0)),Season,'Summarized Source Data'!$A115,Sector,'Summarized Source Data'!W$2,Subsector,'Summarized Source Data'!W$3,TimeOfWeek,$D115)</f>
        <v>688000000</v>
      </c>
      <c r="X115" s="29">
        <f t="shared" si="13"/>
        <v>688000000</v>
      </c>
      <c r="Y115" s="29">
        <f t="shared" si="13"/>
        <v>688000000</v>
      </c>
    </row>
    <row r="116" spans="1:25" outlineLevel="1" x14ac:dyDescent="0.3">
      <c r="A116" t="s">
        <v>139</v>
      </c>
      <c r="B116" t="s">
        <v>80</v>
      </c>
      <c r="C116" s="6" t="s">
        <v>156</v>
      </c>
      <c r="D116" t="s">
        <v>48</v>
      </c>
      <c r="E116" s="27">
        <f>SUMIFS(INDEX(Load,,MATCH('Summarized Source Data'!$B116,Hour,0)),Season,'Summarized Source Data'!$A116,Sector,'Summarized Source Data'!E$2,Subsector,'Summarized Source Data'!E$3,TimeOfWeek,$D116)</f>
        <v>0</v>
      </c>
      <c r="F116" s="27">
        <f>SUMIFS(INDEX(Load,,MATCH('Summarized Source Data'!$B116,Hour,0)),Season,'Summarized Source Data'!$A116,Sector,'Summarized Source Data'!F$2,Subsector,'Summarized Source Data'!F$3,TimeOfWeek,$D116)</f>
        <v>10435506</v>
      </c>
      <c r="G116" s="27">
        <f>SUMIFS(INDEX(Load,,MATCH('Summarized Source Data'!$B116,Hour,0)),Season,'Summarized Source Data'!$A116,Sector,'Summarized Source Data'!G$2,Subsector,'Summarized Source Data'!G$3,TimeOfWeek,$D116)</f>
        <v>0</v>
      </c>
      <c r="H116" s="27">
        <f>SUMIFS(INDEX(Load,,MATCH('Summarized Source Data'!$B116,Hour,0)),Season,'Summarized Source Data'!$A116,Sector,'Summarized Source Data'!H$2,Subsector,'Summarized Source Data'!H$3,TimeOfWeek,$D116)</f>
        <v>75600000</v>
      </c>
      <c r="I116" s="27">
        <f t="shared" si="7"/>
        <v>75600000</v>
      </c>
      <c r="J116" s="29">
        <f t="shared" si="8"/>
        <v>75600000</v>
      </c>
      <c r="K116" s="27">
        <f>SUMIFS(INDEX(Load,,MATCH('Summarized Source Data'!$B116,Hour,0)),Season,'Summarized Source Data'!$A116,Sector,'Summarized Source Data'!K$2,Subsector,'Summarized Source Data'!K$3,TimeOfWeek,$D116)</f>
        <v>6601469</v>
      </c>
      <c r="L116" s="27">
        <f>SUMIFS(INDEX(Load,,MATCH('Summarized Source Data'!$B116,Hour,0)),Season,'Summarized Source Data'!$A116,Sector,'Summarized Source Data'!L$2,Subsector,'Summarized Source Data'!L$3,TimeOfWeek,$D116)</f>
        <v>16360581</v>
      </c>
      <c r="M116" s="27">
        <f>SUMIFS(INDEX(Load,,MATCH('Summarized Source Data'!$B116,Hour,0)),Season,'Summarized Source Data'!$A116,Sector,'Summarized Source Data'!M$2,Subsector,'Summarized Source Data'!M$3,TimeOfWeek,$D116)</f>
        <v>0</v>
      </c>
      <c r="N116" s="29">
        <f t="shared" si="9"/>
        <v>75600000</v>
      </c>
      <c r="O116" s="27">
        <f t="shared" si="10"/>
        <v>75600000</v>
      </c>
      <c r="P116" s="29">
        <f t="shared" si="11"/>
        <v>75600000</v>
      </c>
      <c r="Q116" s="33">
        <f>SUMIFS(INDEX(Load,,MATCH('Summarized Source Data'!$B116,Hour,0)),Season,'Summarized Source Data'!$A116,Sector,'Summarized Source Data'!Q$2,TimeOfWeek,$D116)</f>
        <v>8110000</v>
      </c>
      <c r="R116" s="33">
        <f>SUMIFS(INDEX(Load,,MATCH('Summarized Source Data'!$B116,Hour,0)),Season,'Summarized Source Data'!$A116,Sector,'Summarized Source Data'!R$2,TimeOfWeek,$D116)</f>
        <v>8110000</v>
      </c>
      <c r="S116" s="33">
        <f>SUMIFS(INDEX(Load,,MATCH('Summarized Source Data'!$B116,Hour,0)),Season,'Summarized Source Data'!$A116,Sector,'Summarized Source Data'!S$2,TimeOfWeek,$D116)</f>
        <v>8110000</v>
      </c>
      <c r="T116" s="33">
        <f>SUMIFS(INDEX(Load,,MATCH('Summarized Source Data'!$B116,Hour,0)),Season,'Summarized Source Data'!$A116,Sector,'Summarized Source Data'!T$2,TimeOfWeek,$D116)</f>
        <v>8110000</v>
      </c>
      <c r="U116" s="33">
        <f>SUMIFS(INDEX(Load,,MATCH('Summarized Source Data'!$B116,Hour,0)),Season,'Summarized Source Data'!$A116,Sector,'Summarized Source Data'!U$2,TimeOfWeek,$D116)</f>
        <v>8110000</v>
      </c>
      <c r="V116" s="33">
        <f>SUMIFS(INDEX(Load,,MATCH('Summarized Source Data'!$B116,Hour,0)),Season,'Summarized Source Data'!$A116,Sector,'Summarized Source Data'!V$2,TimeOfWeek,$D116)</f>
        <v>8110000</v>
      </c>
      <c r="W116" s="27">
        <f>SUMIFS(INDEX(Load,,MATCH('Summarized Source Data'!$B116,Hour,0)),Season,'Summarized Source Data'!$A116,Sector,'Summarized Source Data'!W$2,Subsector,'Summarized Source Data'!W$3,TimeOfWeek,$D116)</f>
        <v>692000000</v>
      </c>
      <c r="X116" s="29">
        <f t="shared" si="13"/>
        <v>692000000</v>
      </c>
      <c r="Y116" s="29">
        <f t="shared" si="13"/>
        <v>692000000</v>
      </c>
    </row>
    <row r="117" spans="1:25" outlineLevel="1" x14ac:dyDescent="0.3">
      <c r="A117" t="s">
        <v>139</v>
      </c>
      <c r="B117" t="s">
        <v>81</v>
      </c>
      <c r="C117" s="6" t="s">
        <v>157</v>
      </c>
      <c r="D117" t="s">
        <v>48</v>
      </c>
      <c r="E117" s="27">
        <f>SUMIFS(INDEX(Load,,MATCH('Summarized Source Data'!$B117,Hour,0)),Season,'Summarized Source Data'!$A117,Sector,'Summarized Source Data'!E$2,Subsector,'Summarized Source Data'!E$3,TimeOfWeek,$D117)</f>
        <v>0</v>
      </c>
      <c r="F117" s="27">
        <f>SUMIFS(INDEX(Load,,MATCH('Summarized Source Data'!$B117,Hour,0)),Season,'Summarized Source Data'!$A117,Sector,'Summarized Source Data'!F$2,Subsector,'Summarized Source Data'!F$3,TimeOfWeek,$D117)</f>
        <v>8850245</v>
      </c>
      <c r="G117" s="27">
        <f>SUMIFS(INDEX(Load,,MATCH('Summarized Source Data'!$B117,Hour,0)),Season,'Summarized Source Data'!$A117,Sector,'Summarized Source Data'!G$2,Subsector,'Summarized Source Data'!G$3,TimeOfWeek,$D117)</f>
        <v>0</v>
      </c>
      <c r="H117" s="27">
        <f>SUMIFS(INDEX(Load,,MATCH('Summarized Source Data'!$B117,Hour,0)),Season,'Summarized Source Data'!$A117,Sector,'Summarized Source Data'!H$2,Subsector,'Summarized Source Data'!H$3,TimeOfWeek,$D117)</f>
        <v>193800000</v>
      </c>
      <c r="I117" s="27">
        <f t="shared" si="7"/>
        <v>193800000</v>
      </c>
      <c r="J117" s="29">
        <f t="shared" si="8"/>
        <v>193800000</v>
      </c>
      <c r="K117" s="27">
        <f>SUMIFS(INDEX(Load,,MATCH('Summarized Source Data'!$B117,Hour,0)),Season,'Summarized Source Data'!$A117,Sector,'Summarized Source Data'!K$2,Subsector,'Summarized Source Data'!K$3,TimeOfWeek,$D117)</f>
        <v>7176016</v>
      </c>
      <c r="L117" s="27">
        <f>SUMIFS(INDEX(Load,,MATCH('Summarized Source Data'!$B117,Hour,0)),Season,'Summarized Source Data'!$A117,Sector,'Summarized Source Data'!L$2,Subsector,'Summarized Source Data'!L$3,TimeOfWeek,$D117)</f>
        <v>14855372</v>
      </c>
      <c r="M117" s="27">
        <f>SUMIFS(INDEX(Load,,MATCH('Summarized Source Data'!$B117,Hour,0)),Season,'Summarized Source Data'!$A117,Sector,'Summarized Source Data'!M$2,Subsector,'Summarized Source Data'!M$3,TimeOfWeek,$D117)</f>
        <v>0</v>
      </c>
      <c r="N117" s="29">
        <f t="shared" si="9"/>
        <v>193800000</v>
      </c>
      <c r="O117" s="27">
        <f t="shared" si="10"/>
        <v>193800000</v>
      </c>
      <c r="P117" s="29">
        <f t="shared" si="11"/>
        <v>193800000</v>
      </c>
      <c r="Q117" s="33">
        <f>SUMIFS(INDEX(Load,,MATCH('Summarized Source Data'!$B117,Hour,0)),Season,'Summarized Source Data'!$A117,Sector,'Summarized Source Data'!Q$2,TimeOfWeek,$D117)</f>
        <v>8120000</v>
      </c>
      <c r="R117" s="33">
        <f>SUMIFS(INDEX(Load,,MATCH('Summarized Source Data'!$B117,Hour,0)),Season,'Summarized Source Data'!$A117,Sector,'Summarized Source Data'!R$2,TimeOfWeek,$D117)</f>
        <v>8120000</v>
      </c>
      <c r="S117" s="33">
        <f>SUMIFS(INDEX(Load,,MATCH('Summarized Source Data'!$B117,Hour,0)),Season,'Summarized Source Data'!$A117,Sector,'Summarized Source Data'!S$2,TimeOfWeek,$D117)</f>
        <v>8120000</v>
      </c>
      <c r="T117" s="33">
        <f>SUMIFS(INDEX(Load,,MATCH('Summarized Source Data'!$B117,Hour,0)),Season,'Summarized Source Data'!$A117,Sector,'Summarized Source Data'!T$2,TimeOfWeek,$D117)</f>
        <v>8120000</v>
      </c>
      <c r="U117" s="33">
        <f>SUMIFS(INDEX(Load,,MATCH('Summarized Source Data'!$B117,Hour,0)),Season,'Summarized Source Data'!$A117,Sector,'Summarized Source Data'!U$2,TimeOfWeek,$D117)</f>
        <v>8120000</v>
      </c>
      <c r="V117" s="33">
        <f>SUMIFS(INDEX(Load,,MATCH('Summarized Source Data'!$B117,Hour,0)),Season,'Summarized Source Data'!$A117,Sector,'Summarized Source Data'!V$2,TimeOfWeek,$D117)</f>
        <v>8120000</v>
      </c>
      <c r="W117" s="27">
        <f>SUMIFS(INDEX(Load,,MATCH('Summarized Source Data'!$B117,Hour,0)),Season,'Summarized Source Data'!$A117,Sector,'Summarized Source Data'!W$2,Subsector,'Summarized Source Data'!W$3,TimeOfWeek,$D117)</f>
        <v>694000000</v>
      </c>
      <c r="X117" s="29">
        <f t="shared" si="13"/>
        <v>694000000</v>
      </c>
      <c r="Y117" s="29">
        <f t="shared" si="13"/>
        <v>694000000</v>
      </c>
    </row>
    <row r="118" spans="1:25" outlineLevel="1" x14ac:dyDescent="0.3">
      <c r="A118" t="s">
        <v>139</v>
      </c>
      <c r="B118" t="s">
        <v>82</v>
      </c>
      <c r="C118" s="6" t="s">
        <v>158</v>
      </c>
      <c r="D118" t="s">
        <v>48</v>
      </c>
      <c r="E118" s="27">
        <f>SUMIFS(INDEX(Load,,MATCH('Summarized Source Data'!$B118,Hour,0)),Season,'Summarized Source Data'!$A118,Sector,'Summarized Source Data'!E$2,Subsector,'Summarized Source Data'!E$3,TimeOfWeek,$D118)</f>
        <v>0</v>
      </c>
      <c r="F118" s="27">
        <f>SUMIFS(INDEX(Load,,MATCH('Summarized Source Data'!$B118,Hour,0)),Season,'Summarized Source Data'!$A118,Sector,'Summarized Source Data'!F$2,Subsector,'Summarized Source Data'!F$3,TimeOfWeek,$D118)</f>
        <v>6962600</v>
      </c>
      <c r="G118" s="27">
        <f>SUMIFS(INDEX(Load,,MATCH('Summarized Source Data'!$B118,Hour,0)),Season,'Summarized Source Data'!$A118,Sector,'Summarized Source Data'!G$2,Subsector,'Summarized Source Data'!G$3,TimeOfWeek,$D118)</f>
        <v>0</v>
      </c>
      <c r="H118" s="27">
        <f>SUMIFS(INDEX(Load,,MATCH('Summarized Source Data'!$B118,Hour,0)),Season,'Summarized Source Data'!$A118,Sector,'Summarized Source Data'!H$2,Subsector,'Summarized Source Data'!H$3,TimeOfWeek,$D118)</f>
        <v>204700000</v>
      </c>
      <c r="I118" s="27">
        <f t="shared" si="7"/>
        <v>204700000</v>
      </c>
      <c r="J118" s="29">
        <f t="shared" si="8"/>
        <v>204700000</v>
      </c>
      <c r="K118" s="27">
        <f>SUMIFS(INDEX(Load,,MATCH('Summarized Source Data'!$B118,Hour,0)),Season,'Summarized Source Data'!$A118,Sector,'Summarized Source Data'!K$2,Subsector,'Summarized Source Data'!K$3,TimeOfWeek,$D118)</f>
        <v>8257507</v>
      </c>
      <c r="L118" s="27">
        <f>SUMIFS(INDEX(Load,,MATCH('Summarized Source Data'!$B118,Hour,0)),Season,'Summarized Source Data'!$A118,Sector,'Summarized Source Data'!L$2,Subsector,'Summarized Source Data'!L$3,TimeOfWeek,$D118)</f>
        <v>13174509</v>
      </c>
      <c r="M118" s="27">
        <f>SUMIFS(INDEX(Load,,MATCH('Summarized Source Data'!$B118,Hour,0)),Season,'Summarized Source Data'!$A118,Sector,'Summarized Source Data'!M$2,Subsector,'Summarized Source Data'!M$3,TimeOfWeek,$D118)</f>
        <v>0</v>
      </c>
      <c r="N118" s="29">
        <f t="shared" si="9"/>
        <v>204700000</v>
      </c>
      <c r="O118" s="27">
        <f t="shared" si="10"/>
        <v>204700000</v>
      </c>
      <c r="P118" s="29">
        <f t="shared" si="11"/>
        <v>204700000</v>
      </c>
      <c r="Q118" s="33">
        <f>SUMIFS(INDEX(Load,,MATCH('Summarized Source Data'!$B118,Hour,0)),Season,'Summarized Source Data'!$A118,Sector,'Summarized Source Data'!Q$2,TimeOfWeek,$D118)</f>
        <v>8110000</v>
      </c>
      <c r="R118" s="33">
        <f>SUMIFS(INDEX(Load,,MATCH('Summarized Source Data'!$B118,Hour,0)),Season,'Summarized Source Data'!$A118,Sector,'Summarized Source Data'!R$2,TimeOfWeek,$D118)</f>
        <v>8110000</v>
      </c>
      <c r="S118" s="33">
        <f>SUMIFS(INDEX(Load,,MATCH('Summarized Source Data'!$B118,Hour,0)),Season,'Summarized Source Data'!$A118,Sector,'Summarized Source Data'!S$2,TimeOfWeek,$D118)</f>
        <v>8110000</v>
      </c>
      <c r="T118" s="33">
        <f>SUMIFS(INDEX(Load,,MATCH('Summarized Source Data'!$B118,Hour,0)),Season,'Summarized Source Data'!$A118,Sector,'Summarized Source Data'!T$2,TimeOfWeek,$D118)</f>
        <v>8110000</v>
      </c>
      <c r="U118" s="33">
        <f>SUMIFS(INDEX(Load,,MATCH('Summarized Source Data'!$B118,Hour,0)),Season,'Summarized Source Data'!$A118,Sector,'Summarized Source Data'!U$2,TimeOfWeek,$D118)</f>
        <v>8110000</v>
      </c>
      <c r="V118" s="33">
        <f>SUMIFS(INDEX(Load,,MATCH('Summarized Source Data'!$B118,Hour,0)),Season,'Summarized Source Data'!$A118,Sector,'Summarized Source Data'!V$2,TimeOfWeek,$D118)</f>
        <v>8110000</v>
      </c>
      <c r="W118" s="27">
        <f>SUMIFS(INDEX(Load,,MATCH('Summarized Source Data'!$B118,Hour,0)),Season,'Summarized Source Data'!$A118,Sector,'Summarized Source Data'!W$2,Subsector,'Summarized Source Data'!W$3,TimeOfWeek,$D118)</f>
        <v>692000000</v>
      </c>
      <c r="X118" s="29">
        <f t="shared" si="13"/>
        <v>692000000</v>
      </c>
      <c r="Y118" s="29">
        <f t="shared" si="13"/>
        <v>692000000</v>
      </c>
    </row>
    <row r="119" spans="1:25" outlineLevel="1" x14ac:dyDescent="0.3">
      <c r="A119" t="s">
        <v>139</v>
      </c>
      <c r="B119" t="s">
        <v>83</v>
      </c>
      <c r="C119" s="6" t="s">
        <v>159</v>
      </c>
      <c r="D119" t="s">
        <v>48</v>
      </c>
      <c r="E119" s="27">
        <f>SUMIFS(INDEX(Load,,MATCH('Summarized Source Data'!$B119,Hour,0)),Season,'Summarized Source Data'!$A119,Sector,'Summarized Source Data'!E$2,Subsector,'Summarized Source Data'!E$3,TimeOfWeek,$D119)</f>
        <v>0</v>
      </c>
      <c r="F119" s="27">
        <f>SUMIFS(INDEX(Load,,MATCH('Summarized Source Data'!$B119,Hour,0)),Season,'Summarized Source Data'!$A119,Sector,'Summarized Source Data'!F$2,Subsector,'Summarized Source Data'!F$3,TimeOfWeek,$D119)</f>
        <v>5206318</v>
      </c>
      <c r="G119" s="27">
        <f>SUMIFS(INDEX(Load,,MATCH('Summarized Source Data'!$B119,Hour,0)),Season,'Summarized Source Data'!$A119,Sector,'Summarized Source Data'!G$2,Subsector,'Summarized Source Data'!G$3,TimeOfWeek,$D119)</f>
        <v>0</v>
      </c>
      <c r="H119" s="27">
        <f>SUMIFS(INDEX(Load,,MATCH('Summarized Source Data'!$B119,Hour,0)),Season,'Summarized Source Data'!$A119,Sector,'Summarized Source Data'!H$2,Subsector,'Summarized Source Data'!H$3,TimeOfWeek,$D119)</f>
        <v>214400000</v>
      </c>
      <c r="I119" s="27">
        <f t="shared" si="7"/>
        <v>214400000</v>
      </c>
      <c r="J119" s="29">
        <f t="shared" si="8"/>
        <v>214400000</v>
      </c>
      <c r="K119" s="27">
        <f>SUMIFS(INDEX(Load,,MATCH('Summarized Source Data'!$B119,Hour,0)),Season,'Summarized Source Data'!$A119,Sector,'Summarized Source Data'!K$2,Subsector,'Summarized Source Data'!K$3,TimeOfWeek,$D119)</f>
        <v>5850661</v>
      </c>
      <c r="L119" s="27">
        <f>SUMIFS(INDEX(Load,,MATCH('Summarized Source Data'!$B119,Hour,0)),Season,'Summarized Source Data'!$A119,Sector,'Summarized Source Data'!L$2,Subsector,'Summarized Source Data'!L$3,TimeOfWeek,$D119)</f>
        <v>11628773</v>
      </c>
      <c r="M119" s="27">
        <f>SUMIFS(INDEX(Load,,MATCH('Summarized Source Data'!$B119,Hour,0)),Season,'Summarized Source Data'!$A119,Sector,'Summarized Source Data'!M$2,Subsector,'Summarized Source Data'!M$3,TimeOfWeek,$D119)</f>
        <v>0</v>
      </c>
      <c r="N119" s="29">
        <f t="shared" si="9"/>
        <v>214400000</v>
      </c>
      <c r="O119" s="27">
        <f t="shared" si="10"/>
        <v>214400000</v>
      </c>
      <c r="P119" s="29">
        <f t="shared" si="11"/>
        <v>214400000</v>
      </c>
      <c r="Q119" s="33">
        <f>SUMIFS(INDEX(Load,,MATCH('Summarized Source Data'!$B119,Hour,0)),Season,'Summarized Source Data'!$A119,Sector,'Summarized Source Data'!Q$2,TimeOfWeek,$D119)</f>
        <v>8090000</v>
      </c>
      <c r="R119" s="33">
        <f>SUMIFS(INDEX(Load,,MATCH('Summarized Source Data'!$B119,Hour,0)),Season,'Summarized Source Data'!$A119,Sector,'Summarized Source Data'!R$2,TimeOfWeek,$D119)</f>
        <v>8090000</v>
      </c>
      <c r="S119" s="33">
        <f>SUMIFS(INDEX(Load,,MATCH('Summarized Source Data'!$B119,Hour,0)),Season,'Summarized Source Data'!$A119,Sector,'Summarized Source Data'!S$2,TimeOfWeek,$D119)</f>
        <v>8090000</v>
      </c>
      <c r="T119" s="33">
        <f>SUMIFS(INDEX(Load,,MATCH('Summarized Source Data'!$B119,Hour,0)),Season,'Summarized Source Data'!$A119,Sector,'Summarized Source Data'!T$2,TimeOfWeek,$D119)</f>
        <v>8090000</v>
      </c>
      <c r="U119" s="33">
        <f>SUMIFS(INDEX(Load,,MATCH('Summarized Source Data'!$B119,Hour,0)),Season,'Summarized Source Data'!$A119,Sector,'Summarized Source Data'!U$2,TimeOfWeek,$D119)</f>
        <v>8090000</v>
      </c>
      <c r="V119" s="33">
        <f>SUMIFS(INDEX(Load,,MATCH('Summarized Source Data'!$B119,Hour,0)),Season,'Summarized Source Data'!$A119,Sector,'Summarized Source Data'!V$2,TimeOfWeek,$D119)</f>
        <v>8090000</v>
      </c>
      <c r="W119" s="27">
        <f>SUMIFS(INDEX(Load,,MATCH('Summarized Source Data'!$B119,Hour,0)),Season,'Summarized Source Data'!$A119,Sector,'Summarized Source Data'!W$2,Subsector,'Summarized Source Data'!W$3,TimeOfWeek,$D119)</f>
        <v>690000000</v>
      </c>
      <c r="X119" s="29">
        <f t="shared" si="13"/>
        <v>690000000</v>
      </c>
      <c r="Y119" s="29">
        <f t="shared" si="13"/>
        <v>690000000</v>
      </c>
    </row>
    <row r="120" spans="1:25" outlineLevel="1" x14ac:dyDescent="0.3">
      <c r="A120" t="s">
        <v>139</v>
      </c>
      <c r="B120" t="s">
        <v>84</v>
      </c>
      <c r="C120" s="6" t="s">
        <v>160</v>
      </c>
      <c r="D120" t="s">
        <v>48</v>
      </c>
      <c r="E120" s="27">
        <f>SUMIFS(INDEX(Load,,MATCH('Summarized Source Data'!$B120,Hour,0)),Season,'Summarized Source Data'!$A120,Sector,'Summarized Source Data'!E$2,Subsector,'Summarized Source Data'!E$3,TimeOfWeek,$D120)</f>
        <v>0</v>
      </c>
      <c r="F120" s="27">
        <f>SUMIFS(INDEX(Load,,MATCH('Summarized Source Data'!$B120,Hour,0)),Season,'Summarized Source Data'!$A120,Sector,'Summarized Source Data'!F$2,Subsector,'Summarized Source Data'!F$3,TimeOfWeek,$D120)</f>
        <v>3666832</v>
      </c>
      <c r="G120" s="27">
        <f>SUMIFS(INDEX(Load,,MATCH('Summarized Source Data'!$B120,Hour,0)),Season,'Summarized Source Data'!$A120,Sector,'Summarized Source Data'!G$2,Subsector,'Summarized Source Data'!G$3,TimeOfWeek,$D120)</f>
        <v>0</v>
      </c>
      <c r="H120" s="27">
        <f>SUMIFS(INDEX(Load,,MATCH('Summarized Source Data'!$B120,Hour,0)),Season,'Summarized Source Data'!$A120,Sector,'Summarized Source Data'!H$2,Subsector,'Summarized Source Data'!H$3,TimeOfWeek,$D120)</f>
        <v>213200000</v>
      </c>
      <c r="I120" s="27">
        <f t="shared" si="7"/>
        <v>213200000</v>
      </c>
      <c r="J120" s="29">
        <f t="shared" si="8"/>
        <v>213200000</v>
      </c>
      <c r="K120" s="27">
        <f>SUMIFS(INDEX(Load,,MATCH('Summarized Source Data'!$B120,Hour,0)),Season,'Summarized Source Data'!$A120,Sector,'Summarized Source Data'!K$2,Subsector,'Summarized Source Data'!K$3,TimeOfWeek,$D120)</f>
        <v>5974405</v>
      </c>
      <c r="L120" s="27">
        <f>SUMIFS(INDEX(Load,,MATCH('Summarized Source Data'!$B120,Hour,0)),Season,'Summarized Source Data'!$A120,Sector,'Summarized Source Data'!L$2,Subsector,'Summarized Source Data'!L$3,TimeOfWeek,$D120)</f>
        <v>10409477</v>
      </c>
      <c r="M120" s="27">
        <f>SUMIFS(INDEX(Load,,MATCH('Summarized Source Data'!$B120,Hour,0)),Season,'Summarized Source Data'!$A120,Sector,'Summarized Source Data'!M$2,Subsector,'Summarized Source Data'!M$3,TimeOfWeek,$D120)</f>
        <v>0</v>
      </c>
      <c r="N120" s="29">
        <f t="shared" si="9"/>
        <v>213200000</v>
      </c>
      <c r="O120" s="27">
        <f t="shared" si="10"/>
        <v>213200000</v>
      </c>
      <c r="P120" s="29">
        <f t="shared" si="11"/>
        <v>213200000</v>
      </c>
      <c r="Q120" s="33">
        <f>SUMIFS(INDEX(Load,,MATCH('Summarized Source Data'!$B120,Hour,0)),Season,'Summarized Source Data'!$A120,Sector,'Summarized Source Data'!Q$2,TimeOfWeek,$D120)</f>
        <v>8050000</v>
      </c>
      <c r="R120" s="33">
        <f>SUMIFS(INDEX(Load,,MATCH('Summarized Source Data'!$B120,Hour,0)),Season,'Summarized Source Data'!$A120,Sector,'Summarized Source Data'!R$2,TimeOfWeek,$D120)</f>
        <v>8050000</v>
      </c>
      <c r="S120" s="33">
        <f>SUMIFS(INDEX(Load,,MATCH('Summarized Source Data'!$B120,Hour,0)),Season,'Summarized Source Data'!$A120,Sector,'Summarized Source Data'!S$2,TimeOfWeek,$D120)</f>
        <v>8050000</v>
      </c>
      <c r="T120" s="33">
        <f>SUMIFS(INDEX(Load,,MATCH('Summarized Source Data'!$B120,Hour,0)),Season,'Summarized Source Data'!$A120,Sector,'Summarized Source Data'!T$2,TimeOfWeek,$D120)</f>
        <v>8050000</v>
      </c>
      <c r="U120" s="33">
        <f>SUMIFS(INDEX(Load,,MATCH('Summarized Source Data'!$B120,Hour,0)),Season,'Summarized Source Data'!$A120,Sector,'Summarized Source Data'!U$2,TimeOfWeek,$D120)</f>
        <v>8050000</v>
      </c>
      <c r="V120" s="33">
        <f>SUMIFS(INDEX(Load,,MATCH('Summarized Source Data'!$B120,Hour,0)),Season,'Summarized Source Data'!$A120,Sector,'Summarized Source Data'!V$2,TimeOfWeek,$D120)</f>
        <v>8050000</v>
      </c>
      <c r="W120" s="27">
        <f>SUMIFS(INDEX(Load,,MATCH('Summarized Source Data'!$B120,Hour,0)),Season,'Summarized Source Data'!$A120,Sector,'Summarized Source Data'!W$2,Subsector,'Summarized Source Data'!W$3,TimeOfWeek,$D120)</f>
        <v>688000000</v>
      </c>
      <c r="X120" s="29">
        <f t="shared" si="13"/>
        <v>688000000</v>
      </c>
      <c r="Y120" s="29">
        <f t="shared" si="13"/>
        <v>688000000</v>
      </c>
    </row>
    <row r="121" spans="1:25" outlineLevel="1" x14ac:dyDescent="0.3">
      <c r="A121" t="s">
        <v>139</v>
      </c>
      <c r="B121" t="s">
        <v>85</v>
      </c>
      <c r="C121" s="6" t="s">
        <v>161</v>
      </c>
      <c r="D121" t="s">
        <v>48</v>
      </c>
      <c r="E121" s="27">
        <f>SUMIFS(INDEX(Load,,MATCH('Summarized Source Data'!$B121,Hour,0)),Season,'Summarized Source Data'!$A121,Sector,'Summarized Source Data'!E$2,Subsector,'Summarized Source Data'!E$3,TimeOfWeek,$D121)</f>
        <v>0</v>
      </c>
      <c r="F121" s="27">
        <f>SUMIFS(INDEX(Load,,MATCH('Summarized Source Data'!$B121,Hour,0)),Season,'Summarized Source Data'!$A121,Sector,'Summarized Source Data'!F$2,Subsector,'Summarized Source Data'!F$3,TimeOfWeek,$D121)</f>
        <v>2529648</v>
      </c>
      <c r="G121" s="27">
        <f>SUMIFS(INDEX(Load,,MATCH('Summarized Source Data'!$B121,Hour,0)),Season,'Summarized Source Data'!$A121,Sector,'Summarized Source Data'!G$2,Subsector,'Summarized Source Data'!G$3,TimeOfWeek,$D121)</f>
        <v>0</v>
      </c>
      <c r="H121" s="27">
        <f>SUMIFS(INDEX(Load,,MATCH('Summarized Source Data'!$B121,Hour,0)),Season,'Summarized Source Data'!$A121,Sector,'Summarized Source Data'!H$2,Subsector,'Summarized Source Data'!H$3,TimeOfWeek,$D121)</f>
        <v>176300000</v>
      </c>
      <c r="I121" s="27">
        <f t="shared" si="7"/>
        <v>176300000</v>
      </c>
      <c r="J121" s="29">
        <f t="shared" si="8"/>
        <v>176300000</v>
      </c>
      <c r="K121" s="27">
        <f>SUMIFS(INDEX(Load,,MATCH('Summarized Source Data'!$B121,Hour,0)),Season,'Summarized Source Data'!$A121,Sector,'Summarized Source Data'!K$2,Subsector,'Summarized Source Data'!K$3,TimeOfWeek,$D121)</f>
        <v>6432631</v>
      </c>
      <c r="L121" s="27">
        <f>SUMIFS(INDEX(Load,,MATCH('Summarized Source Data'!$B121,Hour,0)),Season,'Summarized Source Data'!$A121,Sector,'Summarized Source Data'!L$2,Subsector,'Summarized Source Data'!L$3,TimeOfWeek,$D121)</f>
        <v>9485874</v>
      </c>
      <c r="M121" s="27">
        <f>SUMIFS(INDEX(Load,,MATCH('Summarized Source Data'!$B121,Hour,0)),Season,'Summarized Source Data'!$A121,Sector,'Summarized Source Data'!M$2,Subsector,'Summarized Source Data'!M$3,TimeOfWeek,$D121)</f>
        <v>0</v>
      </c>
      <c r="N121" s="29">
        <f t="shared" si="9"/>
        <v>176300000</v>
      </c>
      <c r="O121" s="27">
        <f t="shared" si="10"/>
        <v>176300000</v>
      </c>
      <c r="P121" s="29">
        <f t="shared" si="11"/>
        <v>176300000</v>
      </c>
      <c r="Q121" s="33">
        <f>SUMIFS(INDEX(Load,,MATCH('Summarized Source Data'!$B121,Hour,0)),Season,'Summarized Source Data'!$A121,Sector,'Summarized Source Data'!Q$2,TimeOfWeek,$D121)</f>
        <v>8010000</v>
      </c>
      <c r="R121" s="33">
        <f>SUMIFS(INDEX(Load,,MATCH('Summarized Source Data'!$B121,Hour,0)),Season,'Summarized Source Data'!$A121,Sector,'Summarized Source Data'!R$2,TimeOfWeek,$D121)</f>
        <v>8010000</v>
      </c>
      <c r="S121" s="33">
        <f>SUMIFS(INDEX(Load,,MATCH('Summarized Source Data'!$B121,Hour,0)),Season,'Summarized Source Data'!$A121,Sector,'Summarized Source Data'!S$2,TimeOfWeek,$D121)</f>
        <v>8010000</v>
      </c>
      <c r="T121" s="33">
        <f>SUMIFS(INDEX(Load,,MATCH('Summarized Source Data'!$B121,Hour,0)),Season,'Summarized Source Data'!$A121,Sector,'Summarized Source Data'!T$2,TimeOfWeek,$D121)</f>
        <v>8010000</v>
      </c>
      <c r="U121" s="33">
        <f>SUMIFS(INDEX(Load,,MATCH('Summarized Source Data'!$B121,Hour,0)),Season,'Summarized Source Data'!$A121,Sector,'Summarized Source Data'!U$2,TimeOfWeek,$D121)</f>
        <v>8010000</v>
      </c>
      <c r="V121" s="33">
        <f>SUMIFS(INDEX(Load,,MATCH('Summarized Source Data'!$B121,Hour,0)),Season,'Summarized Source Data'!$A121,Sector,'Summarized Source Data'!V$2,TimeOfWeek,$D121)</f>
        <v>8010000</v>
      </c>
      <c r="W121" s="27">
        <f>SUMIFS(INDEX(Load,,MATCH('Summarized Source Data'!$B121,Hour,0)),Season,'Summarized Source Data'!$A121,Sector,'Summarized Source Data'!W$2,Subsector,'Summarized Source Data'!W$3,TimeOfWeek,$D121)</f>
        <v>684000000</v>
      </c>
      <c r="X121" s="29">
        <f t="shared" si="13"/>
        <v>684000000</v>
      </c>
      <c r="Y121" s="29">
        <f t="shared" si="13"/>
        <v>684000000</v>
      </c>
    </row>
    <row r="122" spans="1:25" outlineLevel="1" x14ac:dyDescent="0.3">
      <c r="A122" t="s">
        <v>139</v>
      </c>
      <c r="B122" t="s">
        <v>86</v>
      </c>
      <c r="C122" s="6" t="s">
        <v>162</v>
      </c>
      <c r="D122" t="s">
        <v>48</v>
      </c>
      <c r="E122" s="27">
        <f>SUMIFS(INDEX(Load,,MATCH('Summarized Source Data'!$B122,Hour,0)),Season,'Summarized Source Data'!$A122,Sector,'Summarized Source Data'!E$2,Subsector,'Summarized Source Data'!E$3,TimeOfWeek,$D122)</f>
        <v>0</v>
      </c>
      <c r="F122" s="27">
        <f>SUMIFS(INDEX(Load,,MATCH('Summarized Source Data'!$B122,Hour,0)),Season,'Summarized Source Data'!$A122,Sector,'Summarized Source Data'!F$2,Subsector,'Summarized Source Data'!F$3,TimeOfWeek,$D122)</f>
        <v>1728652</v>
      </c>
      <c r="G122" s="27">
        <f>SUMIFS(INDEX(Load,,MATCH('Summarized Source Data'!$B122,Hour,0)),Season,'Summarized Source Data'!$A122,Sector,'Summarized Source Data'!G$2,Subsector,'Summarized Source Data'!G$3,TimeOfWeek,$D122)</f>
        <v>0</v>
      </c>
      <c r="H122" s="27">
        <f>SUMIFS(INDEX(Load,,MATCH('Summarized Source Data'!$B122,Hour,0)),Season,'Summarized Source Data'!$A122,Sector,'Summarized Source Data'!H$2,Subsector,'Summarized Source Data'!H$3,TimeOfWeek,$D122)</f>
        <v>113800000</v>
      </c>
      <c r="I122" s="27">
        <f t="shared" si="7"/>
        <v>113800000</v>
      </c>
      <c r="J122" s="29">
        <f t="shared" si="8"/>
        <v>113800000</v>
      </c>
      <c r="K122" s="27">
        <f>SUMIFS(INDEX(Load,,MATCH('Summarized Source Data'!$B122,Hour,0)),Season,'Summarized Source Data'!$A122,Sector,'Summarized Source Data'!K$2,Subsector,'Summarized Source Data'!K$3,TimeOfWeek,$D122)</f>
        <v>6514052</v>
      </c>
      <c r="L122" s="27">
        <f>SUMIFS(INDEX(Load,,MATCH('Summarized Source Data'!$B122,Hour,0)),Season,'Summarized Source Data'!$A122,Sector,'Summarized Source Data'!L$2,Subsector,'Summarized Source Data'!L$3,TimeOfWeek,$D122)</f>
        <v>8741797</v>
      </c>
      <c r="M122" s="27">
        <f>SUMIFS(INDEX(Load,,MATCH('Summarized Source Data'!$B122,Hour,0)),Season,'Summarized Source Data'!$A122,Sector,'Summarized Source Data'!M$2,Subsector,'Summarized Source Data'!M$3,TimeOfWeek,$D122)</f>
        <v>0</v>
      </c>
      <c r="N122" s="29">
        <f t="shared" si="9"/>
        <v>113800000</v>
      </c>
      <c r="O122" s="27">
        <f t="shared" si="10"/>
        <v>113800000</v>
      </c>
      <c r="P122" s="29">
        <f t="shared" si="11"/>
        <v>113800000</v>
      </c>
      <c r="Q122" s="33">
        <f>SUMIFS(INDEX(Load,,MATCH('Summarized Source Data'!$B122,Hour,0)),Season,'Summarized Source Data'!$A122,Sector,'Summarized Source Data'!Q$2,TimeOfWeek,$D122)</f>
        <v>8000000</v>
      </c>
      <c r="R122" s="33">
        <f>SUMIFS(INDEX(Load,,MATCH('Summarized Source Data'!$B122,Hour,0)),Season,'Summarized Source Data'!$A122,Sector,'Summarized Source Data'!R$2,TimeOfWeek,$D122)</f>
        <v>8000000</v>
      </c>
      <c r="S122" s="33">
        <f>SUMIFS(INDEX(Load,,MATCH('Summarized Source Data'!$B122,Hour,0)),Season,'Summarized Source Data'!$A122,Sector,'Summarized Source Data'!S$2,TimeOfWeek,$D122)</f>
        <v>8000000</v>
      </c>
      <c r="T122" s="33">
        <f>SUMIFS(INDEX(Load,,MATCH('Summarized Source Data'!$B122,Hour,0)),Season,'Summarized Source Data'!$A122,Sector,'Summarized Source Data'!T$2,TimeOfWeek,$D122)</f>
        <v>8000000</v>
      </c>
      <c r="U122" s="33">
        <f>SUMIFS(INDEX(Load,,MATCH('Summarized Source Data'!$B122,Hour,0)),Season,'Summarized Source Data'!$A122,Sector,'Summarized Source Data'!U$2,TimeOfWeek,$D122)</f>
        <v>8000000</v>
      </c>
      <c r="V122" s="33">
        <f>SUMIFS(INDEX(Load,,MATCH('Summarized Source Data'!$B122,Hour,0)),Season,'Summarized Source Data'!$A122,Sector,'Summarized Source Data'!V$2,TimeOfWeek,$D122)</f>
        <v>8000000</v>
      </c>
      <c r="W122" s="27">
        <f>SUMIFS(INDEX(Load,,MATCH('Summarized Source Data'!$B122,Hour,0)),Season,'Summarized Source Data'!$A122,Sector,'Summarized Source Data'!W$2,Subsector,'Summarized Source Data'!W$3,TimeOfWeek,$D122)</f>
        <v>680000000</v>
      </c>
      <c r="X122" s="29">
        <f t="shared" si="13"/>
        <v>680000000</v>
      </c>
      <c r="Y122" s="29">
        <f t="shared" si="13"/>
        <v>680000000</v>
      </c>
    </row>
    <row r="123" spans="1:25" outlineLevel="1" x14ac:dyDescent="0.3">
      <c r="A123" t="s">
        <v>139</v>
      </c>
      <c r="B123" t="s">
        <v>87</v>
      </c>
      <c r="C123" s="6" t="s">
        <v>163</v>
      </c>
      <c r="D123" t="s">
        <v>48</v>
      </c>
      <c r="E123" s="27">
        <f>SUMIFS(INDEX(Load,,MATCH('Summarized Source Data'!$B123,Hour,0)),Season,'Summarized Source Data'!$A123,Sector,'Summarized Source Data'!E$2,Subsector,'Summarized Source Data'!E$3,TimeOfWeek,$D123)</f>
        <v>0</v>
      </c>
      <c r="F123" s="27">
        <f>SUMIFS(INDEX(Load,,MATCH('Summarized Source Data'!$B123,Hour,0)),Season,'Summarized Source Data'!$A123,Sector,'Summarized Source Data'!F$2,Subsector,'Summarized Source Data'!F$3,TimeOfWeek,$D123)</f>
        <v>1205896</v>
      </c>
      <c r="G123" s="27">
        <f>SUMIFS(INDEX(Load,,MATCH('Summarized Source Data'!$B123,Hour,0)),Season,'Summarized Source Data'!$A123,Sector,'Summarized Source Data'!G$2,Subsector,'Summarized Source Data'!G$3,TimeOfWeek,$D123)</f>
        <v>0</v>
      </c>
      <c r="H123" s="27">
        <f>SUMIFS(INDEX(Load,,MATCH('Summarized Source Data'!$B123,Hour,0)),Season,'Summarized Source Data'!$A123,Sector,'Summarized Source Data'!H$2,Subsector,'Summarized Source Data'!H$3,TimeOfWeek,$D123)</f>
        <v>63700000</v>
      </c>
      <c r="I123" s="27">
        <f t="shared" si="7"/>
        <v>63700000</v>
      </c>
      <c r="J123" s="29">
        <f t="shared" si="8"/>
        <v>63700000</v>
      </c>
      <c r="K123" s="27">
        <f>SUMIFS(INDEX(Load,,MATCH('Summarized Source Data'!$B123,Hour,0)),Season,'Summarized Source Data'!$A123,Sector,'Summarized Source Data'!K$2,Subsector,'Summarized Source Data'!K$3,TimeOfWeek,$D123)</f>
        <v>5410561</v>
      </c>
      <c r="L123" s="27">
        <f>SUMIFS(INDEX(Load,,MATCH('Summarized Source Data'!$B123,Hour,0)),Season,'Summarized Source Data'!$A123,Sector,'Summarized Source Data'!L$2,Subsector,'Summarized Source Data'!L$3,TimeOfWeek,$D123)</f>
        <v>8062503</v>
      </c>
      <c r="M123" s="27">
        <f>SUMIFS(INDEX(Load,,MATCH('Summarized Source Data'!$B123,Hour,0)),Season,'Summarized Source Data'!$A123,Sector,'Summarized Source Data'!M$2,Subsector,'Summarized Source Data'!M$3,TimeOfWeek,$D123)</f>
        <v>0</v>
      </c>
      <c r="N123" s="29">
        <f t="shared" si="9"/>
        <v>63700000</v>
      </c>
      <c r="O123" s="27">
        <f t="shared" si="10"/>
        <v>63700000</v>
      </c>
      <c r="P123" s="29">
        <f t="shared" si="11"/>
        <v>63700000</v>
      </c>
      <c r="Q123" s="33">
        <f>SUMIFS(INDEX(Load,,MATCH('Summarized Source Data'!$B123,Hour,0)),Season,'Summarized Source Data'!$A123,Sector,'Summarized Source Data'!Q$2,TimeOfWeek,$D123)</f>
        <v>5380000</v>
      </c>
      <c r="R123" s="33">
        <f>SUMIFS(INDEX(Load,,MATCH('Summarized Source Data'!$B123,Hour,0)),Season,'Summarized Source Data'!$A123,Sector,'Summarized Source Data'!R$2,TimeOfWeek,$D123)</f>
        <v>5380000</v>
      </c>
      <c r="S123" s="33">
        <f>SUMIFS(INDEX(Load,,MATCH('Summarized Source Data'!$B123,Hour,0)),Season,'Summarized Source Data'!$A123,Sector,'Summarized Source Data'!S$2,TimeOfWeek,$D123)</f>
        <v>5380000</v>
      </c>
      <c r="T123" s="33">
        <f>SUMIFS(INDEX(Load,,MATCH('Summarized Source Data'!$B123,Hour,0)),Season,'Summarized Source Data'!$A123,Sector,'Summarized Source Data'!T$2,TimeOfWeek,$D123)</f>
        <v>5380000</v>
      </c>
      <c r="U123" s="33">
        <f>SUMIFS(INDEX(Load,,MATCH('Summarized Source Data'!$B123,Hour,0)),Season,'Summarized Source Data'!$A123,Sector,'Summarized Source Data'!U$2,TimeOfWeek,$D123)</f>
        <v>5380000</v>
      </c>
      <c r="V123" s="33">
        <f>SUMIFS(INDEX(Load,,MATCH('Summarized Source Data'!$B123,Hour,0)),Season,'Summarized Source Data'!$A123,Sector,'Summarized Source Data'!V$2,TimeOfWeek,$D123)</f>
        <v>5380000</v>
      </c>
      <c r="W123" s="27">
        <f>SUMIFS(INDEX(Load,,MATCH('Summarized Source Data'!$B123,Hour,0)),Season,'Summarized Source Data'!$A123,Sector,'Summarized Source Data'!W$2,Subsector,'Summarized Source Data'!W$3,TimeOfWeek,$D123)</f>
        <v>679000000</v>
      </c>
      <c r="X123" s="29">
        <f t="shared" si="13"/>
        <v>679000000</v>
      </c>
      <c r="Y123" s="29">
        <f t="shared" si="13"/>
        <v>679000000</v>
      </c>
    </row>
    <row r="124" spans="1:25" outlineLevel="1" x14ac:dyDescent="0.3">
      <c r="A124" t="s">
        <v>164</v>
      </c>
      <c r="B124" t="s">
        <v>64</v>
      </c>
      <c r="C124" s="6" t="s">
        <v>140</v>
      </c>
      <c r="D124" t="s">
        <v>48</v>
      </c>
      <c r="E124" s="27">
        <f>SUMIFS(INDEX(Load,,MATCH('Summarized Source Data'!$B124,Hour,0)),Season,'Summarized Source Data'!$A124,Sector,'Summarized Source Data'!E$2,Subsector,'Summarized Source Data'!E$3,TimeOfWeek,$D124)</f>
        <v>0</v>
      </c>
      <c r="F124" s="27">
        <f>SUMIFS(INDEX(Load,,MATCH('Summarized Source Data'!$B124,Hour,0)),Season,'Summarized Source Data'!$A124,Sector,'Summarized Source Data'!F$2,Subsector,'Summarized Source Data'!F$3,TimeOfWeek,$D124)</f>
        <v>2915052</v>
      </c>
      <c r="G124" s="27">
        <f>SUMIFS(INDEX(Load,,MATCH('Summarized Source Data'!$B124,Hour,0)),Season,'Summarized Source Data'!$A124,Sector,'Summarized Source Data'!G$2,Subsector,'Summarized Source Data'!G$3,TimeOfWeek,$D124)</f>
        <v>0</v>
      </c>
      <c r="H124" s="27">
        <f>SUMIFS(INDEX(Load,,MATCH('Summarized Source Data'!$B124,Hour,0)),Season,'Summarized Source Data'!$A124,Sector,'Summarized Source Data'!H$2,Subsector,'Summarized Source Data'!H$3,TimeOfWeek,$D124)</f>
        <v>30370108</v>
      </c>
      <c r="I124" s="27">
        <f t="shared" si="7"/>
        <v>30370108</v>
      </c>
      <c r="J124" s="29">
        <f t="shared" si="8"/>
        <v>30370108</v>
      </c>
      <c r="K124" s="27">
        <f>SUMIFS(INDEX(Load,,MATCH('Summarized Source Data'!$B124,Hour,0)),Season,'Summarized Source Data'!$A124,Sector,'Summarized Source Data'!K$2,Subsector,'Summarized Source Data'!K$3,TimeOfWeek,$D124)</f>
        <v>1031250</v>
      </c>
      <c r="L124" s="27">
        <f>SUMIFS(INDEX(Load,,MATCH('Summarized Source Data'!$B124,Hour,0)),Season,'Summarized Source Data'!$A124,Sector,'Summarized Source Data'!L$2,Subsector,'Summarized Source Data'!L$3,TimeOfWeek,$D124)</f>
        <v>14369992</v>
      </c>
      <c r="M124" s="27">
        <f>SUMIFS(INDEX(Load,,MATCH('Summarized Source Data'!$B124,Hour,0)),Season,'Summarized Source Data'!$A124,Sector,'Summarized Source Data'!M$2,Subsector,'Summarized Source Data'!M$3,TimeOfWeek,$D124)</f>
        <v>0</v>
      </c>
      <c r="N124" s="29">
        <f t="shared" si="9"/>
        <v>30370108</v>
      </c>
      <c r="O124" s="27">
        <f t="shared" si="10"/>
        <v>30370108</v>
      </c>
      <c r="P124" s="29">
        <f t="shared" si="11"/>
        <v>30370108</v>
      </c>
      <c r="Q124" s="33">
        <f>SUMIFS(INDEX(Load,,MATCH('Summarized Source Data'!$B124,Hour,0)),Season,'Summarized Source Data'!$A124,Sector,'Summarized Source Data'!Q$2,TimeOfWeek,$D124)</f>
        <v>2617000</v>
      </c>
      <c r="R124" s="33">
        <f>SUMIFS(INDEX(Load,,MATCH('Summarized Source Data'!$B124,Hour,0)),Season,'Summarized Source Data'!$A124,Sector,'Summarized Source Data'!R$2,TimeOfWeek,$D124)</f>
        <v>2617000</v>
      </c>
      <c r="S124" s="33">
        <f>SUMIFS(INDEX(Load,,MATCH('Summarized Source Data'!$B124,Hour,0)),Season,'Summarized Source Data'!$A124,Sector,'Summarized Source Data'!S$2,TimeOfWeek,$D124)</f>
        <v>2617000</v>
      </c>
      <c r="T124" s="33">
        <f>SUMIFS(INDEX(Load,,MATCH('Summarized Source Data'!$B124,Hour,0)),Season,'Summarized Source Data'!$A124,Sector,'Summarized Source Data'!T$2,TimeOfWeek,$D124)</f>
        <v>2617000</v>
      </c>
      <c r="U124" s="33">
        <f>SUMIFS(INDEX(Load,,MATCH('Summarized Source Data'!$B124,Hour,0)),Season,'Summarized Source Data'!$A124,Sector,'Summarized Source Data'!U$2,TimeOfWeek,$D124)</f>
        <v>2617000</v>
      </c>
      <c r="V124" s="33">
        <f>SUMIFS(INDEX(Load,,MATCH('Summarized Source Data'!$B124,Hour,0)),Season,'Summarized Source Data'!$A124,Sector,'Summarized Source Data'!V$2,TimeOfWeek,$D124)</f>
        <v>2617000</v>
      </c>
      <c r="W124" s="27">
        <f>SUMIFS(INDEX(Load,,MATCH('Summarized Source Data'!$B124,Hour,0)),Season,'Summarized Source Data'!$A124,Sector,'Summarized Source Data'!W$2,Subsector,'Summarized Source Data'!W$3,TimeOfWeek,$D124)</f>
        <v>507000000</v>
      </c>
      <c r="X124" s="29">
        <f t="shared" si="13"/>
        <v>507000000</v>
      </c>
      <c r="Y124" s="29">
        <f t="shared" si="13"/>
        <v>507000000</v>
      </c>
    </row>
    <row r="125" spans="1:25" outlineLevel="1" x14ac:dyDescent="0.3">
      <c r="A125" t="s">
        <v>164</v>
      </c>
      <c r="B125" t="s">
        <v>65</v>
      </c>
      <c r="C125" s="6" t="s">
        <v>141</v>
      </c>
      <c r="D125" t="s">
        <v>48</v>
      </c>
      <c r="E125" s="27">
        <f>SUMIFS(INDEX(Load,,MATCH('Summarized Source Data'!$B125,Hour,0)),Season,'Summarized Source Data'!$A125,Sector,'Summarized Source Data'!E$2,Subsector,'Summarized Source Data'!E$3,TimeOfWeek,$D125)</f>
        <v>0</v>
      </c>
      <c r="F125" s="27">
        <f>SUMIFS(INDEX(Load,,MATCH('Summarized Source Data'!$B125,Hour,0)),Season,'Summarized Source Data'!$A125,Sector,'Summarized Source Data'!F$2,Subsector,'Summarized Source Data'!F$3,TimeOfWeek,$D125)</f>
        <v>2468269</v>
      </c>
      <c r="G125" s="27">
        <f>SUMIFS(INDEX(Load,,MATCH('Summarized Source Data'!$B125,Hour,0)),Season,'Summarized Source Data'!$A125,Sector,'Summarized Source Data'!G$2,Subsector,'Summarized Source Data'!G$3,TimeOfWeek,$D125)</f>
        <v>0</v>
      </c>
      <c r="H125" s="27">
        <f>SUMIFS(INDEX(Load,,MATCH('Summarized Source Data'!$B125,Hour,0)),Season,'Summarized Source Data'!$A125,Sector,'Summarized Source Data'!H$2,Subsector,'Summarized Source Data'!H$3,TimeOfWeek,$D125)</f>
        <v>26237681</v>
      </c>
      <c r="I125" s="27">
        <f t="shared" si="7"/>
        <v>26237681</v>
      </c>
      <c r="J125" s="29">
        <f t="shared" si="8"/>
        <v>26237681</v>
      </c>
      <c r="K125" s="27">
        <f>SUMIFS(INDEX(Load,,MATCH('Summarized Source Data'!$B125,Hour,0)),Season,'Summarized Source Data'!$A125,Sector,'Summarized Source Data'!K$2,Subsector,'Summarized Source Data'!K$3,TimeOfWeek,$D125)</f>
        <v>928518</v>
      </c>
      <c r="L125" s="27">
        <f>SUMIFS(INDEX(Load,,MATCH('Summarized Source Data'!$B125,Hour,0)),Season,'Summarized Source Data'!$A125,Sector,'Summarized Source Data'!L$2,Subsector,'Summarized Source Data'!L$3,TimeOfWeek,$D125)</f>
        <v>13742345</v>
      </c>
      <c r="M125" s="27">
        <f>SUMIFS(INDEX(Load,,MATCH('Summarized Source Data'!$B125,Hour,0)),Season,'Summarized Source Data'!$A125,Sector,'Summarized Source Data'!M$2,Subsector,'Summarized Source Data'!M$3,TimeOfWeek,$D125)</f>
        <v>0</v>
      </c>
      <c r="N125" s="29">
        <f t="shared" si="9"/>
        <v>26237681</v>
      </c>
      <c r="O125" s="27">
        <f t="shared" si="10"/>
        <v>26237681</v>
      </c>
      <c r="P125" s="29">
        <f t="shared" si="11"/>
        <v>26237681</v>
      </c>
      <c r="Q125" s="33">
        <f>SUMIFS(INDEX(Load,,MATCH('Summarized Source Data'!$B125,Hour,0)),Season,'Summarized Source Data'!$A125,Sector,'Summarized Source Data'!Q$2,TimeOfWeek,$D125)</f>
        <v>2599000</v>
      </c>
      <c r="R125" s="33">
        <f>SUMIFS(INDEX(Load,,MATCH('Summarized Source Data'!$B125,Hour,0)),Season,'Summarized Source Data'!$A125,Sector,'Summarized Source Data'!R$2,TimeOfWeek,$D125)</f>
        <v>2599000</v>
      </c>
      <c r="S125" s="33">
        <f>SUMIFS(INDEX(Load,,MATCH('Summarized Source Data'!$B125,Hour,0)),Season,'Summarized Source Data'!$A125,Sector,'Summarized Source Data'!S$2,TimeOfWeek,$D125)</f>
        <v>2599000</v>
      </c>
      <c r="T125" s="33">
        <f>SUMIFS(INDEX(Load,,MATCH('Summarized Source Data'!$B125,Hour,0)),Season,'Summarized Source Data'!$A125,Sector,'Summarized Source Data'!T$2,TimeOfWeek,$D125)</f>
        <v>2599000</v>
      </c>
      <c r="U125" s="33">
        <f>SUMIFS(INDEX(Load,,MATCH('Summarized Source Data'!$B125,Hour,0)),Season,'Summarized Source Data'!$A125,Sector,'Summarized Source Data'!U$2,TimeOfWeek,$D125)</f>
        <v>2599000</v>
      </c>
      <c r="V125" s="33">
        <f>SUMIFS(INDEX(Load,,MATCH('Summarized Source Data'!$B125,Hour,0)),Season,'Summarized Source Data'!$A125,Sector,'Summarized Source Data'!V$2,TimeOfWeek,$D125)</f>
        <v>2599000</v>
      </c>
      <c r="W125" s="27">
        <f>SUMIFS(INDEX(Load,,MATCH('Summarized Source Data'!$B125,Hour,0)),Season,'Summarized Source Data'!$A125,Sector,'Summarized Source Data'!W$2,Subsector,'Summarized Source Data'!W$3,TimeOfWeek,$D125)</f>
        <v>506000000</v>
      </c>
      <c r="X125" s="29">
        <f t="shared" si="13"/>
        <v>506000000</v>
      </c>
      <c r="Y125" s="29">
        <f t="shared" si="13"/>
        <v>506000000</v>
      </c>
    </row>
    <row r="126" spans="1:25" outlineLevel="1" x14ac:dyDescent="0.3">
      <c r="A126" t="s">
        <v>164</v>
      </c>
      <c r="B126" t="s">
        <v>66</v>
      </c>
      <c r="C126" s="6" t="s">
        <v>142</v>
      </c>
      <c r="D126" t="s">
        <v>48</v>
      </c>
      <c r="E126" s="27">
        <f>SUMIFS(INDEX(Load,,MATCH('Summarized Source Data'!$B126,Hour,0)),Season,'Summarized Source Data'!$A126,Sector,'Summarized Source Data'!E$2,Subsector,'Summarized Source Data'!E$3,TimeOfWeek,$D126)</f>
        <v>0</v>
      </c>
      <c r="F126" s="27">
        <f>SUMIFS(INDEX(Load,,MATCH('Summarized Source Data'!$B126,Hour,0)),Season,'Summarized Source Data'!$A126,Sector,'Summarized Source Data'!F$2,Subsector,'Summarized Source Data'!F$3,TimeOfWeek,$D126)</f>
        <v>2358746</v>
      </c>
      <c r="G126" s="27">
        <f>SUMIFS(INDEX(Load,,MATCH('Summarized Source Data'!$B126,Hour,0)),Season,'Summarized Source Data'!$A126,Sector,'Summarized Source Data'!G$2,Subsector,'Summarized Source Data'!G$3,TimeOfWeek,$D126)</f>
        <v>0</v>
      </c>
      <c r="H126" s="27">
        <f>SUMIFS(INDEX(Load,,MATCH('Summarized Source Data'!$B126,Hour,0)),Season,'Summarized Source Data'!$A126,Sector,'Summarized Source Data'!H$2,Subsector,'Summarized Source Data'!H$3,TimeOfWeek,$D126)</f>
        <v>25340882</v>
      </c>
      <c r="I126" s="27">
        <f t="shared" si="7"/>
        <v>25340882</v>
      </c>
      <c r="J126" s="29">
        <f t="shared" si="8"/>
        <v>25340882</v>
      </c>
      <c r="K126" s="27">
        <f>SUMIFS(INDEX(Load,,MATCH('Summarized Source Data'!$B126,Hour,0)),Season,'Summarized Source Data'!$A126,Sector,'Summarized Source Data'!K$2,Subsector,'Summarized Source Data'!K$3,TimeOfWeek,$D126)</f>
        <v>916707</v>
      </c>
      <c r="L126" s="27">
        <f>SUMIFS(INDEX(Load,,MATCH('Summarized Source Data'!$B126,Hour,0)),Season,'Summarized Source Data'!$A126,Sector,'Summarized Source Data'!L$2,Subsector,'Summarized Source Data'!L$3,TimeOfWeek,$D126)</f>
        <v>13528941</v>
      </c>
      <c r="M126" s="27">
        <f>SUMIFS(INDEX(Load,,MATCH('Summarized Source Data'!$B126,Hour,0)),Season,'Summarized Source Data'!$A126,Sector,'Summarized Source Data'!M$2,Subsector,'Summarized Source Data'!M$3,TimeOfWeek,$D126)</f>
        <v>0</v>
      </c>
      <c r="N126" s="29">
        <f t="shared" si="9"/>
        <v>25340882</v>
      </c>
      <c r="O126" s="27">
        <f t="shared" si="10"/>
        <v>25340882</v>
      </c>
      <c r="P126" s="29">
        <f t="shared" si="11"/>
        <v>25340882</v>
      </c>
      <c r="Q126" s="33">
        <f>SUMIFS(INDEX(Load,,MATCH('Summarized Source Data'!$B126,Hour,0)),Season,'Summarized Source Data'!$A126,Sector,'Summarized Source Data'!Q$2,TimeOfWeek,$D126)</f>
        <v>2594000</v>
      </c>
      <c r="R126" s="33">
        <f>SUMIFS(INDEX(Load,,MATCH('Summarized Source Data'!$B126,Hour,0)),Season,'Summarized Source Data'!$A126,Sector,'Summarized Source Data'!R$2,TimeOfWeek,$D126)</f>
        <v>2594000</v>
      </c>
      <c r="S126" s="33">
        <f>SUMIFS(INDEX(Load,,MATCH('Summarized Source Data'!$B126,Hour,0)),Season,'Summarized Source Data'!$A126,Sector,'Summarized Source Data'!S$2,TimeOfWeek,$D126)</f>
        <v>2594000</v>
      </c>
      <c r="T126" s="33">
        <f>SUMIFS(INDEX(Load,,MATCH('Summarized Source Data'!$B126,Hour,0)),Season,'Summarized Source Data'!$A126,Sector,'Summarized Source Data'!T$2,TimeOfWeek,$D126)</f>
        <v>2594000</v>
      </c>
      <c r="U126" s="33">
        <f>SUMIFS(INDEX(Load,,MATCH('Summarized Source Data'!$B126,Hour,0)),Season,'Summarized Source Data'!$A126,Sector,'Summarized Source Data'!U$2,TimeOfWeek,$D126)</f>
        <v>2594000</v>
      </c>
      <c r="V126" s="33">
        <f>SUMIFS(INDEX(Load,,MATCH('Summarized Source Data'!$B126,Hour,0)),Season,'Summarized Source Data'!$A126,Sector,'Summarized Source Data'!V$2,TimeOfWeek,$D126)</f>
        <v>2594000</v>
      </c>
      <c r="W126" s="27">
        <f>SUMIFS(INDEX(Load,,MATCH('Summarized Source Data'!$B126,Hour,0)),Season,'Summarized Source Data'!$A126,Sector,'Summarized Source Data'!W$2,Subsector,'Summarized Source Data'!W$3,TimeOfWeek,$D126)</f>
        <v>506000000</v>
      </c>
      <c r="X126" s="29">
        <f t="shared" si="13"/>
        <v>506000000</v>
      </c>
      <c r="Y126" s="29">
        <f t="shared" si="13"/>
        <v>506000000</v>
      </c>
    </row>
    <row r="127" spans="1:25" outlineLevel="1" x14ac:dyDescent="0.3">
      <c r="A127" t="s">
        <v>164</v>
      </c>
      <c r="B127" t="s">
        <v>67</v>
      </c>
      <c r="C127" s="6" t="s">
        <v>143</v>
      </c>
      <c r="D127" t="s">
        <v>48</v>
      </c>
      <c r="E127" s="27">
        <f>SUMIFS(INDEX(Load,,MATCH('Summarized Source Data'!$B127,Hour,0)),Season,'Summarized Source Data'!$A127,Sector,'Summarized Source Data'!E$2,Subsector,'Summarized Source Data'!E$3,TimeOfWeek,$D127)</f>
        <v>0</v>
      </c>
      <c r="F127" s="27">
        <f>SUMIFS(INDEX(Load,,MATCH('Summarized Source Data'!$B127,Hour,0)),Season,'Summarized Source Data'!$A127,Sector,'Summarized Source Data'!F$2,Subsector,'Summarized Source Data'!F$3,TimeOfWeek,$D127)</f>
        <v>2505795</v>
      </c>
      <c r="G127" s="27">
        <f>SUMIFS(INDEX(Load,,MATCH('Summarized Source Data'!$B127,Hour,0)),Season,'Summarized Source Data'!$A127,Sector,'Summarized Source Data'!G$2,Subsector,'Summarized Source Data'!G$3,TimeOfWeek,$D127)</f>
        <v>0</v>
      </c>
      <c r="H127" s="27">
        <f>SUMIFS(INDEX(Load,,MATCH('Summarized Source Data'!$B127,Hour,0)),Season,'Summarized Source Data'!$A127,Sector,'Summarized Source Data'!H$2,Subsector,'Summarized Source Data'!H$3,TimeOfWeek,$D127)</f>
        <v>25319491</v>
      </c>
      <c r="I127" s="27">
        <f t="shared" si="7"/>
        <v>25319491</v>
      </c>
      <c r="J127" s="29">
        <f t="shared" si="8"/>
        <v>25319491</v>
      </c>
      <c r="K127" s="27">
        <f>SUMIFS(INDEX(Load,,MATCH('Summarized Source Data'!$B127,Hour,0)),Season,'Summarized Source Data'!$A127,Sector,'Summarized Source Data'!K$2,Subsector,'Summarized Source Data'!K$3,TimeOfWeek,$D127)</f>
        <v>939595</v>
      </c>
      <c r="L127" s="27">
        <f>SUMIFS(INDEX(Load,,MATCH('Summarized Source Data'!$B127,Hour,0)),Season,'Summarized Source Data'!$A127,Sector,'Summarized Source Data'!L$2,Subsector,'Summarized Source Data'!L$3,TimeOfWeek,$D127)</f>
        <v>13574178</v>
      </c>
      <c r="M127" s="27">
        <f>SUMIFS(INDEX(Load,,MATCH('Summarized Source Data'!$B127,Hour,0)),Season,'Summarized Source Data'!$A127,Sector,'Summarized Source Data'!M$2,Subsector,'Summarized Source Data'!M$3,TimeOfWeek,$D127)</f>
        <v>0</v>
      </c>
      <c r="N127" s="29">
        <f t="shared" si="9"/>
        <v>25319491</v>
      </c>
      <c r="O127" s="27">
        <f t="shared" si="10"/>
        <v>25319491</v>
      </c>
      <c r="P127" s="29">
        <f t="shared" si="11"/>
        <v>25319491</v>
      </c>
      <c r="Q127" s="33">
        <f>SUMIFS(INDEX(Load,,MATCH('Summarized Source Data'!$B127,Hour,0)),Season,'Summarized Source Data'!$A127,Sector,'Summarized Source Data'!Q$2,TimeOfWeek,$D127)</f>
        <v>2594000</v>
      </c>
      <c r="R127" s="33">
        <f>SUMIFS(INDEX(Load,,MATCH('Summarized Source Data'!$B127,Hour,0)),Season,'Summarized Source Data'!$A127,Sector,'Summarized Source Data'!R$2,TimeOfWeek,$D127)</f>
        <v>2594000</v>
      </c>
      <c r="S127" s="33">
        <f>SUMIFS(INDEX(Load,,MATCH('Summarized Source Data'!$B127,Hour,0)),Season,'Summarized Source Data'!$A127,Sector,'Summarized Source Data'!S$2,TimeOfWeek,$D127)</f>
        <v>2594000</v>
      </c>
      <c r="T127" s="33">
        <f>SUMIFS(INDEX(Load,,MATCH('Summarized Source Data'!$B127,Hour,0)),Season,'Summarized Source Data'!$A127,Sector,'Summarized Source Data'!T$2,TimeOfWeek,$D127)</f>
        <v>2594000</v>
      </c>
      <c r="U127" s="33">
        <f>SUMIFS(INDEX(Load,,MATCH('Summarized Source Data'!$B127,Hour,0)),Season,'Summarized Source Data'!$A127,Sector,'Summarized Source Data'!U$2,TimeOfWeek,$D127)</f>
        <v>2594000</v>
      </c>
      <c r="V127" s="33">
        <f>SUMIFS(INDEX(Load,,MATCH('Summarized Source Data'!$B127,Hour,0)),Season,'Summarized Source Data'!$A127,Sector,'Summarized Source Data'!V$2,TimeOfWeek,$D127)</f>
        <v>2594000</v>
      </c>
      <c r="W127" s="27">
        <f>SUMIFS(INDEX(Load,,MATCH('Summarized Source Data'!$B127,Hour,0)),Season,'Summarized Source Data'!$A127,Sector,'Summarized Source Data'!W$2,Subsector,'Summarized Source Data'!W$3,TimeOfWeek,$D127)</f>
        <v>507000000</v>
      </c>
      <c r="X127" s="29">
        <f t="shared" si="13"/>
        <v>507000000</v>
      </c>
      <c r="Y127" s="29">
        <f t="shared" si="13"/>
        <v>507000000</v>
      </c>
    </row>
    <row r="128" spans="1:25" outlineLevel="1" x14ac:dyDescent="0.3">
      <c r="A128" t="s">
        <v>164</v>
      </c>
      <c r="B128" t="s">
        <v>68</v>
      </c>
      <c r="C128" s="6" t="s">
        <v>144</v>
      </c>
      <c r="D128" t="s">
        <v>48</v>
      </c>
      <c r="E128" s="27">
        <f>SUMIFS(INDEX(Load,,MATCH('Summarized Source Data'!$B128,Hour,0)),Season,'Summarized Source Data'!$A128,Sector,'Summarized Source Data'!E$2,Subsector,'Summarized Source Data'!E$3,TimeOfWeek,$D128)</f>
        <v>0</v>
      </c>
      <c r="F128" s="27">
        <f>SUMIFS(INDEX(Load,,MATCH('Summarized Source Data'!$B128,Hour,0)),Season,'Summarized Source Data'!$A128,Sector,'Summarized Source Data'!F$2,Subsector,'Summarized Source Data'!F$3,TimeOfWeek,$D128)</f>
        <v>2995026</v>
      </c>
      <c r="G128" s="27">
        <f>SUMIFS(INDEX(Load,,MATCH('Summarized Source Data'!$B128,Hour,0)),Season,'Summarized Source Data'!$A128,Sector,'Summarized Source Data'!G$2,Subsector,'Summarized Source Data'!G$3,TimeOfWeek,$D128)</f>
        <v>0</v>
      </c>
      <c r="H128" s="27">
        <f>SUMIFS(INDEX(Load,,MATCH('Summarized Source Data'!$B128,Hour,0)),Season,'Summarized Source Data'!$A128,Sector,'Summarized Source Data'!H$2,Subsector,'Summarized Source Data'!H$3,TimeOfWeek,$D128)</f>
        <v>26651195</v>
      </c>
      <c r="I128" s="27">
        <f t="shared" si="7"/>
        <v>26651195</v>
      </c>
      <c r="J128" s="29">
        <f t="shared" si="8"/>
        <v>26651195</v>
      </c>
      <c r="K128" s="27">
        <f>SUMIFS(INDEX(Load,,MATCH('Summarized Source Data'!$B128,Hour,0)),Season,'Summarized Source Data'!$A128,Sector,'Summarized Source Data'!K$2,Subsector,'Summarized Source Data'!K$3,TimeOfWeek,$D128)</f>
        <v>952026</v>
      </c>
      <c r="L128" s="27">
        <f>SUMIFS(INDEX(Load,,MATCH('Summarized Source Data'!$B128,Hour,0)),Season,'Summarized Source Data'!$A128,Sector,'Summarized Source Data'!L$2,Subsector,'Summarized Source Data'!L$3,TimeOfWeek,$D128)</f>
        <v>13931103</v>
      </c>
      <c r="M128" s="27">
        <f>SUMIFS(INDEX(Load,,MATCH('Summarized Source Data'!$B128,Hour,0)),Season,'Summarized Source Data'!$A128,Sector,'Summarized Source Data'!M$2,Subsector,'Summarized Source Data'!M$3,TimeOfWeek,$D128)</f>
        <v>0</v>
      </c>
      <c r="N128" s="29">
        <f t="shared" si="9"/>
        <v>26651195</v>
      </c>
      <c r="O128" s="27">
        <f t="shared" si="10"/>
        <v>26651195</v>
      </c>
      <c r="P128" s="29">
        <f t="shared" si="11"/>
        <v>26651195</v>
      </c>
      <c r="Q128" s="33">
        <f>SUMIFS(INDEX(Load,,MATCH('Summarized Source Data'!$B128,Hour,0)),Season,'Summarized Source Data'!$A128,Sector,'Summarized Source Data'!Q$2,TimeOfWeek,$D128)</f>
        <v>2592000</v>
      </c>
      <c r="R128" s="33">
        <f>SUMIFS(INDEX(Load,,MATCH('Summarized Source Data'!$B128,Hour,0)),Season,'Summarized Source Data'!$A128,Sector,'Summarized Source Data'!R$2,TimeOfWeek,$D128)</f>
        <v>2592000</v>
      </c>
      <c r="S128" s="33">
        <f>SUMIFS(INDEX(Load,,MATCH('Summarized Source Data'!$B128,Hour,0)),Season,'Summarized Source Data'!$A128,Sector,'Summarized Source Data'!S$2,TimeOfWeek,$D128)</f>
        <v>2592000</v>
      </c>
      <c r="T128" s="33">
        <f>SUMIFS(INDEX(Load,,MATCH('Summarized Source Data'!$B128,Hour,0)),Season,'Summarized Source Data'!$A128,Sector,'Summarized Source Data'!T$2,TimeOfWeek,$D128)</f>
        <v>2592000</v>
      </c>
      <c r="U128" s="33">
        <f>SUMIFS(INDEX(Load,,MATCH('Summarized Source Data'!$B128,Hour,0)),Season,'Summarized Source Data'!$A128,Sector,'Summarized Source Data'!U$2,TimeOfWeek,$D128)</f>
        <v>2592000</v>
      </c>
      <c r="V128" s="33">
        <f>SUMIFS(INDEX(Load,,MATCH('Summarized Source Data'!$B128,Hour,0)),Season,'Summarized Source Data'!$A128,Sector,'Summarized Source Data'!V$2,TimeOfWeek,$D128)</f>
        <v>2592000</v>
      </c>
      <c r="W128" s="27">
        <f>SUMIFS(INDEX(Load,,MATCH('Summarized Source Data'!$B128,Hour,0)),Season,'Summarized Source Data'!$A128,Sector,'Summarized Source Data'!W$2,Subsector,'Summarized Source Data'!W$3,TimeOfWeek,$D128)</f>
        <v>509000000</v>
      </c>
      <c r="X128" s="29">
        <f t="shared" si="13"/>
        <v>509000000</v>
      </c>
      <c r="Y128" s="29">
        <f t="shared" si="13"/>
        <v>509000000</v>
      </c>
    </row>
    <row r="129" spans="1:25" outlineLevel="1" x14ac:dyDescent="0.3">
      <c r="A129" t="s">
        <v>164</v>
      </c>
      <c r="B129" t="s">
        <v>69</v>
      </c>
      <c r="C129" s="6" t="s">
        <v>145</v>
      </c>
      <c r="D129" t="s">
        <v>48</v>
      </c>
      <c r="E129" s="27">
        <f>SUMIFS(INDEX(Load,,MATCH('Summarized Source Data'!$B129,Hour,0)),Season,'Summarized Source Data'!$A129,Sector,'Summarized Source Data'!E$2,Subsector,'Summarized Source Data'!E$3,TimeOfWeek,$D129)</f>
        <v>0</v>
      </c>
      <c r="F129" s="27">
        <f>SUMIFS(INDEX(Load,,MATCH('Summarized Source Data'!$B129,Hour,0)),Season,'Summarized Source Data'!$A129,Sector,'Summarized Source Data'!F$2,Subsector,'Summarized Source Data'!F$3,TimeOfWeek,$D129)</f>
        <v>3847917</v>
      </c>
      <c r="G129" s="27">
        <f>SUMIFS(INDEX(Load,,MATCH('Summarized Source Data'!$B129,Hour,0)),Season,'Summarized Source Data'!$A129,Sector,'Summarized Source Data'!G$2,Subsector,'Summarized Source Data'!G$3,TimeOfWeek,$D129)</f>
        <v>0</v>
      </c>
      <c r="H129" s="27">
        <f>SUMIFS(INDEX(Load,,MATCH('Summarized Source Data'!$B129,Hour,0)),Season,'Summarized Source Data'!$A129,Sector,'Summarized Source Data'!H$2,Subsector,'Summarized Source Data'!H$3,TimeOfWeek,$D129)</f>
        <v>34500000</v>
      </c>
      <c r="I129" s="27">
        <f t="shared" si="7"/>
        <v>34500000</v>
      </c>
      <c r="J129" s="29">
        <f t="shared" si="8"/>
        <v>34500000</v>
      </c>
      <c r="K129" s="27">
        <f>SUMIFS(INDEX(Load,,MATCH('Summarized Source Data'!$B129,Hour,0)),Season,'Summarized Source Data'!$A129,Sector,'Summarized Source Data'!K$2,Subsector,'Summarized Source Data'!K$3,TimeOfWeek,$D129)</f>
        <v>1090767</v>
      </c>
      <c r="L129" s="27">
        <f>SUMIFS(INDEX(Load,,MATCH('Summarized Source Data'!$B129,Hour,0)),Season,'Summarized Source Data'!$A129,Sector,'Summarized Source Data'!L$2,Subsector,'Summarized Source Data'!L$3,TimeOfWeek,$D129)</f>
        <v>14746900</v>
      </c>
      <c r="M129" s="27">
        <f>SUMIFS(INDEX(Load,,MATCH('Summarized Source Data'!$B129,Hour,0)),Season,'Summarized Source Data'!$A129,Sector,'Summarized Source Data'!M$2,Subsector,'Summarized Source Data'!M$3,TimeOfWeek,$D129)</f>
        <v>0</v>
      </c>
      <c r="N129" s="29">
        <f t="shared" si="9"/>
        <v>34500000</v>
      </c>
      <c r="O129" s="27">
        <f t="shared" si="10"/>
        <v>34500000</v>
      </c>
      <c r="P129" s="29">
        <f t="shared" si="11"/>
        <v>34500000</v>
      </c>
      <c r="Q129" s="33">
        <f>SUMIFS(INDEX(Load,,MATCH('Summarized Source Data'!$B129,Hour,0)),Season,'Summarized Source Data'!$A129,Sector,'Summarized Source Data'!Q$2,TimeOfWeek,$D129)</f>
        <v>2594000</v>
      </c>
      <c r="R129" s="33">
        <f>SUMIFS(INDEX(Load,,MATCH('Summarized Source Data'!$B129,Hour,0)),Season,'Summarized Source Data'!$A129,Sector,'Summarized Source Data'!R$2,TimeOfWeek,$D129)</f>
        <v>2594000</v>
      </c>
      <c r="S129" s="33">
        <f>SUMIFS(INDEX(Load,,MATCH('Summarized Source Data'!$B129,Hour,0)),Season,'Summarized Source Data'!$A129,Sector,'Summarized Source Data'!S$2,TimeOfWeek,$D129)</f>
        <v>2594000</v>
      </c>
      <c r="T129" s="33">
        <f>SUMIFS(INDEX(Load,,MATCH('Summarized Source Data'!$B129,Hour,0)),Season,'Summarized Source Data'!$A129,Sector,'Summarized Source Data'!T$2,TimeOfWeek,$D129)</f>
        <v>2594000</v>
      </c>
      <c r="U129" s="33">
        <f>SUMIFS(INDEX(Load,,MATCH('Summarized Source Data'!$B129,Hour,0)),Season,'Summarized Source Data'!$A129,Sector,'Summarized Source Data'!U$2,TimeOfWeek,$D129)</f>
        <v>2594000</v>
      </c>
      <c r="V129" s="33">
        <f>SUMIFS(INDEX(Load,,MATCH('Summarized Source Data'!$B129,Hour,0)),Season,'Summarized Source Data'!$A129,Sector,'Summarized Source Data'!V$2,TimeOfWeek,$D129)</f>
        <v>2594000</v>
      </c>
      <c r="W129" s="27">
        <f>SUMIFS(INDEX(Load,,MATCH('Summarized Source Data'!$B129,Hour,0)),Season,'Summarized Source Data'!$A129,Sector,'Summarized Source Data'!W$2,Subsector,'Summarized Source Data'!W$3,TimeOfWeek,$D129)</f>
        <v>512000000</v>
      </c>
      <c r="X129" s="29">
        <f t="shared" si="13"/>
        <v>512000000</v>
      </c>
      <c r="Y129" s="29">
        <f t="shared" si="13"/>
        <v>512000000</v>
      </c>
    </row>
    <row r="130" spans="1:25" outlineLevel="1" x14ac:dyDescent="0.3">
      <c r="A130" t="s">
        <v>164</v>
      </c>
      <c r="B130" t="s">
        <v>70</v>
      </c>
      <c r="C130" s="6" t="s">
        <v>146</v>
      </c>
      <c r="D130" t="s">
        <v>48</v>
      </c>
      <c r="E130" s="27">
        <f>SUMIFS(INDEX(Load,,MATCH('Summarized Source Data'!$B130,Hour,0)),Season,'Summarized Source Data'!$A130,Sector,'Summarized Source Data'!E$2,Subsector,'Summarized Source Data'!E$3,TimeOfWeek,$D130)</f>
        <v>0</v>
      </c>
      <c r="F130" s="27">
        <f>SUMIFS(INDEX(Load,,MATCH('Summarized Source Data'!$B130,Hour,0)),Season,'Summarized Source Data'!$A130,Sector,'Summarized Source Data'!F$2,Subsector,'Summarized Source Data'!F$3,TimeOfWeek,$D130)</f>
        <v>5141237</v>
      </c>
      <c r="G130" s="27">
        <f>SUMIFS(INDEX(Load,,MATCH('Summarized Source Data'!$B130,Hour,0)),Season,'Summarized Source Data'!$A130,Sector,'Summarized Source Data'!G$2,Subsector,'Summarized Source Data'!G$3,TimeOfWeek,$D130)</f>
        <v>0</v>
      </c>
      <c r="H130" s="27">
        <f>SUMIFS(INDEX(Load,,MATCH('Summarized Source Data'!$B130,Hour,0)),Season,'Summarized Source Data'!$A130,Sector,'Summarized Source Data'!H$2,Subsector,'Summarized Source Data'!H$3,TimeOfWeek,$D130)</f>
        <v>39550494</v>
      </c>
      <c r="I130" s="27">
        <f t="shared" si="7"/>
        <v>39550494</v>
      </c>
      <c r="J130" s="29">
        <f t="shared" si="8"/>
        <v>39550494</v>
      </c>
      <c r="K130" s="27">
        <f>SUMIFS(INDEX(Load,,MATCH('Summarized Source Data'!$B130,Hour,0)),Season,'Summarized Source Data'!$A130,Sector,'Summarized Source Data'!K$2,Subsector,'Summarized Source Data'!K$3,TimeOfWeek,$D130)</f>
        <v>1889551</v>
      </c>
      <c r="L130" s="27">
        <f>SUMIFS(INDEX(Load,,MATCH('Summarized Source Data'!$B130,Hour,0)),Season,'Summarized Source Data'!$A130,Sector,'Summarized Source Data'!L$2,Subsector,'Summarized Source Data'!L$3,TimeOfWeek,$D130)</f>
        <v>16349766</v>
      </c>
      <c r="M130" s="27">
        <f>SUMIFS(INDEX(Load,,MATCH('Summarized Source Data'!$B130,Hour,0)),Season,'Summarized Source Data'!$A130,Sector,'Summarized Source Data'!M$2,Subsector,'Summarized Source Data'!M$3,TimeOfWeek,$D130)</f>
        <v>0</v>
      </c>
      <c r="N130" s="29">
        <f t="shared" si="9"/>
        <v>39550494</v>
      </c>
      <c r="O130" s="27">
        <f t="shared" si="10"/>
        <v>39550494</v>
      </c>
      <c r="P130" s="29">
        <f t="shared" si="11"/>
        <v>39550494</v>
      </c>
      <c r="Q130" s="33">
        <f>SUMIFS(INDEX(Load,,MATCH('Summarized Source Data'!$B130,Hour,0)),Season,'Summarized Source Data'!$A130,Sector,'Summarized Source Data'!Q$2,TimeOfWeek,$D130)</f>
        <v>3170000</v>
      </c>
      <c r="R130" s="33">
        <f>SUMIFS(INDEX(Load,,MATCH('Summarized Source Data'!$B130,Hour,0)),Season,'Summarized Source Data'!$A130,Sector,'Summarized Source Data'!R$2,TimeOfWeek,$D130)</f>
        <v>3170000</v>
      </c>
      <c r="S130" s="33">
        <f>SUMIFS(INDEX(Load,,MATCH('Summarized Source Data'!$B130,Hour,0)),Season,'Summarized Source Data'!$A130,Sector,'Summarized Source Data'!S$2,TimeOfWeek,$D130)</f>
        <v>3170000</v>
      </c>
      <c r="T130" s="33">
        <f>SUMIFS(INDEX(Load,,MATCH('Summarized Source Data'!$B130,Hour,0)),Season,'Summarized Source Data'!$A130,Sector,'Summarized Source Data'!T$2,TimeOfWeek,$D130)</f>
        <v>3170000</v>
      </c>
      <c r="U130" s="33">
        <f>SUMIFS(INDEX(Load,,MATCH('Summarized Source Data'!$B130,Hour,0)),Season,'Summarized Source Data'!$A130,Sector,'Summarized Source Data'!U$2,TimeOfWeek,$D130)</f>
        <v>3170000</v>
      </c>
      <c r="V130" s="33">
        <f>SUMIFS(INDEX(Load,,MATCH('Summarized Source Data'!$B130,Hour,0)),Season,'Summarized Source Data'!$A130,Sector,'Summarized Source Data'!V$2,TimeOfWeek,$D130)</f>
        <v>3170000</v>
      </c>
      <c r="W130" s="27">
        <f>SUMIFS(INDEX(Load,,MATCH('Summarized Source Data'!$B130,Hour,0)),Season,'Summarized Source Data'!$A130,Sector,'Summarized Source Data'!W$2,Subsector,'Summarized Source Data'!W$3,TimeOfWeek,$D130)</f>
        <v>513000000</v>
      </c>
      <c r="X130" s="29">
        <f t="shared" si="13"/>
        <v>513000000</v>
      </c>
      <c r="Y130" s="29">
        <f t="shared" si="13"/>
        <v>513000000</v>
      </c>
    </row>
    <row r="131" spans="1:25" outlineLevel="1" x14ac:dyDescent="0.3">
      <c r="A131" t="s">
        <v>164</v>
      </c>
      <c r="B131" t="s">
        <v>71</v>
      </c>
      <c r="C131" s="6" t="s">
        <v>147</v>
      </c>
      <c r="D131" t="s">
        <v>48</v>
      </c>
      <c r="E131" s="27">
        <f>SUMIFS(INDEX(Load,,MATCH('Summarized Source Data'!$B131,Hour,0)),Season,'Summarized Source Data'!$A131,Sector,'Summarized Source Data'!E$2,Subsector,'Summarized Source Data'!E$3,TimeOfWeek,$D131)</f>
        <v>0</v>
      </c>
      <c r="F131" s="27">
        <f>SUMIFS(INDEX(Load,,MATCH('Summarized Source Data'!$B131,Hour,0)),Season,'Summarized Source Data'!$A131,Sector,'Summarized Source Data'!F$2,Subsector,'Summarized Source Data'!F$3,TimeOfWeek,$D131)</f>
        <v>6888832</v>
      </c>
      <c r="G131" s="27">
        <f>SUMIFS(INDEX(Load,,MATCH('Summarized Source Data'!$B131,Hour,0)),Season,'Summarized Source Data'!$A131,Sector,'Summarized Source Data'!G$2,Subsector,'Summarized Source Data'!G$3,TimeOfWeek,$D131)</f>
        <v>0</v>
      </c>
      <c r="H131" s="27">
        <f>SUMIFS(INDEX(Load,,MATCH('Summarized Source Data'!$B131,Hour,0)),Season,'Summarized Source Data'!$A131,Sector,'Summarized Source Data'!H$2,Subsector,'Summarized Source Data'!H$3,TimeOfWeek,$D131)</f>
        <v>27978278</v>
      </c>
      <c r="I131" s="27">
        <f t="shared" si="7"/>
        <v>27978278</v>
      </c>
      <c r="J131" s="29">
        <f t="shared" si="8"/>
        <v>27978278</v>
      </c>
      <c r="K131" s="27">
        <f>SUMIFS(INDEX(Load,,MATCH('Summarized Source Data'!$B131,Hour,0)),Season,'Summarized Source Data'!$A131,Sector,'Summarized Source Data'!K$2,Subsector,'Summarized Source Data'!K$3,TimeOfWeek,$D131)</f>
        <v>2420891</v>
      </c>
      <c r="L131" s="27">
        <f>SUMIFS(INDEX(Load,,MATCH('Summarized Source Data'!$B131,Hour,0)),Season,'Summarized Source Data'!$A131,Sector,'Summarized Source Data'!L$2,Subsector,'Summarized Source Data'!L$3,TimeOfWeek,$D131)</f>
        <v>19034615</v>
      </c>
      <c r="M131" s="27">
        <f>SUMIFS(INDEX(Load,,MATCH('Summarized Source Data'!$B131,Hour,0)),Season,'Summarized Source Data'!$A131,Sector,'Summarized Source Data'!M$2,Subsector,'Summarized Source Data'!M$3,TimeOfWeek,$D131)</f>
        <v>0</v>
      </c>
      <c r="N131" s="29">
        <f t="shared" si="9"/>
        <v>27978278</v>
      </c>
      <c r="O131" s="27">
        <f t="shared" si="10"/>
        <v>27978278</v>
      </c>
      <c r="P131" s="29">
        <f t="shared" si="11"/>
        <v>27978278</v>
      </c>
      <c r="Q131" s="33">
        <f>SUMIFS(INDEX(Load,,MATCH('Summarized Source Data'!$B131,Hour,0)),Season,'Summarized Source Data'!$A131,Sector,'Summarized Source Data'!Q$2,TimeOfWeek,$D131)</f>
        <v>4100000</v>
      </c>
      <c r="R131" s="33">
        <f>SUMIFS(INDEX(Load,,MATCH('Summarized Source Data'!$B131,Hour,0)),Season,'Summarized Source Data'!$A131,Sector,'Summarized Source Data'!R$2,TimeOfWeek,$D131)</f>
        <v>4100000</v>
      </c>
      <c r="S131" s="33">
        <f>SUMIFS(INDEX(Load,,MATCH('Summarized Source Data'!$B131,Hour,0)),Season,'Summarized Source Data'!$A131,Sector,'Summarized Source Data'!S$2,TimeOfWeek,$D131)</f>
        <v>4100000</v>
      </c>
      <c r="T131" s="33">
        <f>SUMIFS(INDEX(Load,,MATCH('Summarized Source Data'!$B131,Hour,0)),Season,'Summarized Source Data'!$A131,Sector,'Summarized Source Data'!T$2,TimeOfWeek,$D131)</f>
        <v>4100000</v>
      </c>
      <c r="U131" s="33">
        <f>SUMIFS(INDEX(Load,,MATCH('Summarized Source Data'!$B131,Hour,0)),Season,'Summarized Source Data'!$A131,Sector,'Summarized Source Data'!U$2,TimeOfWeek,$D131)</f>
        <v>4100000</v>
      </c>
      <c r="V131" s="33">
        <f>SUMIFS(INDEX(Load,,MATCH('Summarized Source Data'!$B131,Hour,0)),Season,'Summarized Source Data'!$A131,Sector,'Summarized Source Data'!V$2,TimeOfWeek,$D131)</f>
        <v>4100000</v>
      </c>
      <c r="W131" s="27">
        <f>SUMIFS(INDEX(Load,,MATCH('Summarized Source Data'!$B131,Hour,0)),Season,'Summarized Source Data'!$A131,Sector,'Summarized Source Data'!W$2,Subsector,'Summarized Source Data'!W$3,TimeOfWeek,$D131)</f>
        <v>514000000</v>
      </c>
      <c r="X131" s="29">
        <f t="shared" si="13"/>
        <v>514000000</v>
      </c>
      <c r="Y131" s="29">
        <f t="shared" si="13"/>
        <v>514000000</v>
      </c>
    </row>
    <row r="132" spans="1:25" outlineLevel="1" x14ac:dyDescent="0.3">
      <c r="A132" t="s">
        <v>164</v>
      </c>
      <c r="B132" t="s">
        <v>72</v>
      </c>
      <c r="C132" s="6" t="s">
        <v>148</v>
      </c>
      <c r="D132" t="s">
        <v>48</v>
      </c>
      <c r="E132" s="27">
        <f>SUMIFS(INDEX(Load,,MATCH('Summarized Source Data'!$B132,Hour,0)),Season,'Summarized Source Data'!$A132,Sector,'Summarized Source Data'!E$2,Subsector,'Summarized Source Data'!E$3,TimeOfWeek,$D132)</f>
        <v>0</v>
      </c>
      <c r="F132" s="27">
        <f>SUMIFS(INDEX(Load,,MATCH('Summarized Source Data'!$B132,Hour,0)),Season,'Summarized Source Data'!$A132,Sector,'Summarized Source Data'!F$2,Subsector,'Summarized Source Data'!F$3,TimeOfWeek,$D132)</f>
        <v>8798915</v>
      </c>
      <c r="G132" s="27">
        <f>SUMIFS(INDEX(Load,,MATCH('Summarized Source Data'!$B132,Hour,0)),Season,'Summarized Source Data'!$A132,Sector,'Summarized Source Data'!G$2,Subsector,'Summarized Source Data'!G$3,TimeOfWeek,$D132)</f>
        <v>0</v>
      </c>
      <c r="H132" s="27">
        <f>SUMIFS(INDEX(Load,,MATCH('Summarized Source Data'!$B132,Hour,0)),Season,'Summarized Source Data'!$A132,Sector,'Summarized Source Data'!H$2,Subsector,'Summarized Source Data'!H$3,TimeOfWeek,$D132)</f>
        <v>33700000</v>
      </c>
      <c r="I132" s="27">
        <f t="shared" si="7"/>
        <v>33700000</v>
      </c>
      <c r="J132" s="29">
        <f t="shared" si="8"/>
        <v>33700000</v>
      </c>
      <c r="K132" s="27">
        <f>SUMIFS(INDEX(Load,,MATCH('Summarized Source Data'!$B132,Hour,0)),Season,'Summarized Source Data'!$A132,Sector,'Summarized Source Data'!K$2,Subsector,'Summarized Source Data'!K$3,TimeOfWeek,$D132)</f>
        <v>2260954</v>
      </c>
      <c r="L132" s="27">
        <f>SUMIFS(INDEX(Load,,MATCH('Summarized Source Data'!$B132,Hour,0)),Season,'Summarized Source Data'!$A132,Sector,'Summarized Source Data'!L$2,Subsector,'Summarized Source Data'!L$3,TimeOfWeek,$D132)</f>
        <v>22813381</v>
      </c>
      <c r="M132" s="27">
        <f>SUMIFS(INDEX(Load,,MATCH('Summarized Source Data'!$B132,Hour,0)),Season,'Summarized Source Data'!$A132,Sector,'Summarized Source Data'!M$2,Subsector,'Summarized Source Data'!M$3,TimeOfWeek,$D132)</f>
        <v>0</v>
      </c>
      <c r="N132" s="29">
        <f t="shared" si="9"/>
        <v>33700000</v>
      </c>
      <c r="O132" s="27">
        <f t="shared" si="10"/>
        <v>33700000</v>
      </c>
      <c r="P132" s="29">
        <f t="shared" si="11"/>
        <v>33700000</v>
      </c>
      <c r="Q132" s="33">
        <f>SUMIFS(INDEX(Load,,MATCH('Summarized Source Data'!$B132,Hour,0)),Season,'Summarized Source Data'!$A132,Sector,'Summarized Source Data'!Q$2,TimeOfWeek,$D132)</f>
        <v>4700000</v>
      </c>
      <c r="R132" s="33">
        <f>SUMIFS(INDEX(Load,,MATCH('Summarized Source Data'!$B132,Hour,0)),Season,'Summarized Source Data'!$A132,Sector,'Summarized Source Data'!R$2,TimeOfWeek,$D132)</f>
        <v>4700000</v>
      </c>
      <c r="S132" s="33">
        <f>SUMIFS(INDEX(Load,,MATCH('Summarized Source Data'!$B132,Hour,0)),Season,'Summarized Source Data'!$A132,Sector,'Summarized Source Data'!S$2,TimeOfWeek,$D132)</f>
        <v>4700000</v>
      </c>
      <c r="T132" s="33">
        <f>SUMIFS(INDEX(Load,,MATCH('Summarized Source Data'!$B132,Hour,0)),Season,'Summarized Source Data'!$A132,Sector,'Summarized Source Data'!T$2,TimeOfWeek,$D132)</f>
        <v>4700000</v>
      </c>
      <c r="U132" s="33">
        <f>SUMIFS(INDEX(Load,,MATCH('Summarized Source Data'!$B132,Hour,0)),Season,'Summarized Source Data'!$A132,Sector,'Summarized Source Data'!U$2,TimeOfWeek,$D132)</f>
        <v>4700000</v>
      </c>
      <c r="V132" s="33">
        <f>SUMIFS(INDEX(Load,,MATCH('Summarized Source Data'!$B132,Hour,0)),Season,'Summarized Source Data'!$A132,Sector,'Summarized Source Data'!V$2,TimeOfWeek,$D132)</f>
        <v>4700000</v>
      </c>
      <c r="W132" s="27">
        <f>SUMIFS(INDEX(Load,,MATCH('Summarized Source Data'!$B132,Hour,0)),Season,'Summarized Source Data'!$A132,Sector,'Summarized Source Data'!W$2,Subsector,'Summarized Source Data'!W$3,TimeOfWeek,$D132)</f>
        <v>513000000</v>
      </c>
      <c r="X132" s="29">
        <f t="shared" si="13"/>
        <v>513000000</v>
      </c>
      <c r="Y132" s="29">
        <f t="shared" si="13"/>
        <v>513000000</v>
      </c>
    </row>
    <row r="133" spans="1:25" outlineLevel="1" x14ac:dyDescent="0.3">
      <c r="A133" t="s">
        <v>164</v>
      </c>
      <c r="B133" t="s">
        <v>73</v>
      </c>
      <c r="C133" s="6" t="s">
        <v>149</v>
      </c>
      <c r="D133" t="s">
        <v>48</v>
      </c>
      <c r="E133" s="27">
        <f>SUMIFS(INDEX(Load,,MATCH('Summarized Source Data'!$B133,Hour,0)),Season,'Summarized Source Data'!$A133,Sector,'Summarized Source Data'!E$2,Subsector,'Summarized Source Data'!E$3,TimeOfWeek,$D133)</f>
        <v>0</v>
      </c>
      <c r="F133" s="27">
        <f>SUMIFS(INDEX(Load,,MATCH('Summarized Source Data'!$B133,Hour,0)),Season,'Summarized Source Data'!$A133,Sector,'Summarized Source Data'!F$2,Subsector,'Summarized Source Data'!F$3,TimeOfWeek,$D133)</f>
        <v>10623976</v>
      </c>
      <c r="G133" s="27">
        <f>SUMIFS(INDEX(Load,,MATCH('Summarized Source Data'!$B133,Hour,0)),Season,'Summarized Source Data'!$A133,Sector,'Summarized Source Data'!G$2,Subsector,'Summarized Source Data'!G$3,TimeOfWeek,$D133)</f>
        <v>0</v>
      </c>
      <c r="H133" s="27">
        <f>SUMIFS(INDEX(Load,,MATCH('Summarized Source Data'!$B133,Hour,0)),Season,'Summarized Source Data'!$A133,Sector,'Summarized Source Data'!H$2,Subsector,'Summarized Source Data'!H$3,TimeOfWeek,$D133)</f>
        <v>34900000</v>
      </c>
      <c r="I133" s="27">
        <f t="shared" ref="I133:I195" si="14">H133</f>
        <v>34900000</v>
      </c>
      <c r="J133" s="29">
        <f t="shared" ref="J133:J195" si="15">H133</f>
        <v>34900000</v>
      </c>
      <c r="K133" s="27">
        <f>SUMIFS(INDEX(Load,,MATCH('Summarized Source Data'!$B133,Hour,0)),Season,'Summarized Source Data'!$A133,Sector,'Summarized Source Data'!K$2,Subsector,'Summarized Source Data'!K$3,TimeOfWeek,$D133)</f>
        <v>1836909</v>
      </c>
      <c r="L133" s="27">
        <f>SUMIFS(INDEX(Load,,MATCH('Summarized Source Data'!$B133,Hour,0)),Season,'Summarized Source Data'!$A133,Sector,'Summarized Source Data'!L$2,Subsector,'Summarized Source Data'!L$3,TimeOfWeek,$D133)</f>
        <v>26867955</v>
      </c>
      <c r="M133" s="27">
        <f>SUMIFS(INDEX(Load,,MATCH('Summarized Source Data'!$B133,Hour,0)),Season,'Summarized Source Data'!$A133,Sector,'Summarized Source Data'!M$2,Subsector,'Summarized Source Data'!M$3,TimeOfWeek,$D133)</f>
        <v>0</v>
      </c>
      <c r="N133" s="29">
        <f t="shared" ref="N133:N195" si="16">H133</f>
        <v>34900000</v>
      </c>
      <c r="O133" s="27">
        <f t="shared" ref="O133:O195" si="17">N133</f>
        <v>34900000</v>
      </c>
      <c r="P133" s="29">
        <f t="shared" ref="P133:P195" si="18">N133</f>
        <v>34900000</v>
      </c>
      <c r="Q133" s="33">
        <f>SUMIFS(INDEX(Load,,MATCH('Summarized Source Data'!$B133,Hour,0)),Season,'Summarized Source Data'!$A133,Sector,'Summarized Source Data'!Q$2,TimeOfWeek,$D133)</f>
        <v>5120000</v>
      </c>
      <c r="R133" s="33">
        <f>SUMIFS(INDEX(Load,,MATCH('Summarized Source Data'!$B133,Hour,0)),Season,'Summarized Source Data'!$A133,Sector,'Summarized Source Data'!R$2,TimeOfWeek,$D133)</f>
        <v>5120000</v>
      </c>
      <c r="S133" s="33">
        <f>SUMIFS(INDEX(Load,,MATCH('Summarized Source Data'!$B133,Hour,0)),Season,'Summarized Source Data'!$A133,Sector,'Summarized Source Data'!S$2,TimeOfWeek,$D133)</f>
        <v>5120000</v>
      </c>
      <c r="T133" s="33">
        <f>SUMIFS(INDEX(Load,,MATCH('Summarized Source Data'!$B133,Hour,0)),Season,'Summarized Source Data'!$A133,Sector,'Summarized Source Data'!T$2,TimeOfWeek,$D133)</f>
        <v>5120000</v>
      </c>
      <c r="U133" s="33">
        <f>SUMIFS(INDEX(Load,,MATCH('Summarized Source Data'!$B133,Hour,0)),Season,'Summarized Source Data'!$A133,Sector,'Summarized Source Data'!U$2,TimeOfWeek,$D133)</f>
        <v>5120000</v>
      </c>
      <c r="V133" s="33">
        <f>SUMIFS(INDEX(Load,,MATCH('Summarized Source Data'!$B133,Hour,0)),Season,'Summarized Source Data'!$A133,Sector,'Summarized Source Data'!V$2,TimeOfWeek,$D133)</f>
        <v>5120000</v>
      </c>
      <c r="W133" s="27">
        <f>SUMIFS(INDEX(Load,,MATCH('Summarized Source Data'!$B133,Hour,0)),Season,'Summarized Source Data'!$A133,Sector,'Summarized Source Data'!W$2,Subsector,'Summarized Source Data'!W$3,TimeOfWeek,$D133)</f>
        <v>512000000</v>
      </c>
      <c r="X133" s="29">
        <f t="shared" ref="X133:Y164" si="19">$W133</f>
        <v>512000000</v>
      </c>
      <c r="Y133" s="29">
        <f t="shared" si="19"/>
        <v>512000000</v>
      </c>
    </row>
    <row r="134" spans="1:25" outlineLevel="1" x14ac:dyDescent="0.3">
      <c r="A134" t="s">
        <v>164</v>
      </c>
      <c r="B134" t="s">
        <v>74</v>
      </c>
      <c r="C134" s="6" t="s">
        <v>150</v>
      </c>
      <c r="D134" t="s">
        <v>48</v>
      </c>
      <c r="E134" s="27">
        <f>SUMIFS(INDEX(Load,,MATCH('Summarized Source Data'!$B134,Hour,0)),Season,'Summarized Source Data'!$A134,Sector,'Summarized Source Data'!E$2,Subsector,'Summarized Source Data'!E$3,TimeOfWeek,$D134)</f>
        <v>0</v>
      </c>
      <c r="F134" s="27">
        <f>SUMIFS(INDEX(Load,,MATCH('Summarized Source Data'!$B134,Hour,0)),Season,'Summarized Source Data'!$A134,Sector,'Summarized Source Data'!F$2,Subsector,'Summarized Source Data'!F$3,TimeOfWeek,$D134)</f>
        <v>12976681</v>
      </c>
      <c r="G134" s="27">
        <f>SUMIFS(INDEX(Load,,MATCH('Summarized Source Data'!$B134,Hour,0)),Season,'Summarized Source Data'!$A134,Sector,'Summarized Source Data'!G$2,Subsector,'Summarized Source Data'!G$3,TimeOfWeek,$D134)</f>
        <v>0</v>
      </c>
      <c r="H134" s="27">
        <f>SUMIFS(INDEX(Load,,MATCH('Summarized Source Data'!$B134,Hour,0)),Season,'Summarized Source Data'!$A134,Sector,'Summarized Source Data'!H$2,Subsector,'Summarized Source Data'!H$3,TimeOfWeek,$D134)</f>
        <v>35100000</v>
      </c>
      <c r="I134" s="27">
        <f t="shared" si="14"/>
        <v>35100000</v>
      </c>
      <c r="J134" s="29">
        <f t="shared" si="15"/>
        <v>35100000</v>
      </c>
      <c r="K134" s="27">
        <f>SUMIFS(INDEX(Load,,MATCH('Summarized Source Data'!$B134,Hour,0)),Season,'Summarized Source Data'!$A134,Sector,'Summarized Source Data'!K$2,Subsector,'Summarized Source Data'!K$3,TimeOfWeek,$D134)</f>
        <v>1560110</v>
      </c>
      <c r="L134" s="27">
        <f>SUMIFS(INDEX(Load,,MATCH('Summarized Source Data'!$B134,Hour,0)),Season,'Summarized Source Data'!$A134,Sector,'Summarized Source Data'!L$2,Subsector,'Summarized Source Data'!L$3,TimeOfWeek,$D134)</f>
        <v>30790967</v>
      </c>
      <c r="M134" s="27">
        <f>SUMIFS(INDEX(Load,,MATCH('Summarized Source Data'!$B134,Hour,0)),Season,'Summarized Source Data'!$A134,Sector,'Summarized Source Data'!M$2,Subsector,'Summarized Source Data'!M$3,TimeOfWeek,$D134)</f>
        <v>0</v>
      </c>
      <c r="N134" s="29">
        <f t="shared" si="16"/>
        <v>35100000</v>
      </c>
      <c r="O134" s="27">
        <f t="shared" si="17"/>
        <v>35100000</v>
      </c>
      <c r="P134" s="29">
        <f t="shared" si="18"/>
        <v>35100000</v>
      </c>
      <c r="Q134" s="33">
        <f>SUMIFS(INDEX(Load,,MATCH('Summarized Source Data'!$B134,Hour,0)),Season,'Summarized Source Data'!$A134,Sector,'Summarized Source Data'!Q$2,TimeOfWeek,$D134)</f>
        <v>5330000</v>
      </c>
      <c r="R134" s="33">
        <f>SUMIFS(INDEX(Load,,MATCH('Summarized Source Data'!$B134,Hour,0)),Season,'Summarized Source Data'!$A134,Sector,'Summarized Source Data'!R$2,TimeOfWeek,$D134)</f>
        <v>5330000</v>
      </c>
      <c r="S134" s="33">
        <f>SUMIFS(INDEX(Load,,MATCH('Summarized Source Data'!$B134,Hour,0)),Season,'Summarized Source Data'!$A134,Sector,'Summarized Source Data'!S$2,TimeOfWeek,$D134)</f>
        <v>5330000</v>
      </c>
      <c r="T134" s="33">
        <f>SUMIFS(INDEX(Load,,MATCH('Summarized Source Data'!$B134,Hour,0)),Season,'Summarized Source Data'!$A134,Sector,'Summarized Source Data'!T$2,TimeOfWeek,$D134)</f>
        <v>5330000</v>
      </c>
      <c r="U134" s="33">
        <f>SUMIFS(INDEX(Load,,MATCH('Summarized Source Data'!$B134,Hour,0)),Season,'Summarized Source Data'!$A134,Sector,'Summarized Source Data'!U$2,TimeOfWeek,$D134)</f>
        <v>5330000</v>
      </c>
      <c r="V134" s="33">
        <f>SUMIFS(INDEX(Load,,MATCH('Summarized Source Data'!$B134,Hour,0)),Season,'Summarized Source Data'!$A134,Sector,'Summarized Source Data'!V$2,TimeOfWeek,$D134)</f>
        <v>5330000</v>
      </c>
      <c r="W134" s="27">
        <f>SUMIFS(INDEX(Load,,MATCH('Summarized Source Data'!$B134,Hour,0)),Season,'Summarized Source Data'!$A134,Sector,'Summarized Source Data'!W$2,Subsector,'Summarized Source Data'!W$3,TimeOfWeek,$D134)</f>
        <v>512000000</v>
      </c>
      <c r="X134" s="29">
        <f t="shared" si="19"/>
        <v>512000000</v>
      </c>
      <c r="Y134" s="29">
        <f t="shared" si="19"/>
        <v>512000000</v>
      </c>
    </row>
    <row r="135" spans="1:25" outlineLevel="1" x14ac:dyDescent="0.3">
      <c r="A135" t="s">
        <v>164</v>
      </c>
      <c r="B135" t="s">
        <v>75</v>
      </c>
      <c r="C135" s="6" t="s">
        <v>151</v>
      </c>
      <c r="D135" t="s">
        <v>48</v>
      </c>
      <c r="E135" s="27">
        <f>SUMIFS(INDEX(Load,,MATCH('Summarized Source Data'!$B135,Hour,0)),Season,'Summarized Source Data'!$A135,Sector,'Summarized Source Data'!E$2,Subsector,'Summarized Source Data'!E$3,TimeOfWeek,$D135)</f>
        <v>0</v>
      </c>
      <c r="F135" s="27">
        <f>SUMIFS(INDEX(Load,,MATCH('Summarized Source Data'!$B135,Hour,0)),Season,'Summarized Source Data'!$A135,Sector,'Summarized Source Data'!F$2,Subsector,'Summarized Source Data'!F$3,TimeOfWeek,$D135)</f>
        <v>16200359</v>
      </c>
      <c r="G135" s="27">
        <f>SUMIFS(INDEX(Load,,MATCH('Summarized Source Data'!$B135,Hour,0)),Season,'Summarized Source Data'!$A135,Sector,'Summarized Source Data'!G$2,Subsector,'Summarized Source Data'!G$3,TimeOfWeek,$D135)</f>
        <v>0</v>
      </c>
      <c r="H135" s="27">
        <f>SUMIFS(INDEX(Load,,MATCH('Summarized Source Data'!$B135,Hour,0)),Season,'Summarized Source Data'!$A135,Sector,'Summarized Source Data'!H$2,Subsector,'Summarized Source Data'!H$3,TimeOfWeek,$D135)</f>
        <v>37200000</v>
      </c>
      <c r="I135" s="27">
        <f t="shared" si="14"/>
        <v>37200000</v>
      </c>
      <c r="J135" s="29">
        <f t="shared" si="15"/>
        <v>37200000</v>
      </c>
      <c r="K135" s="27">
        <f>SUMIFS(INDEX(Load,,MATCH('Summarized Source Data'!$B135,Hour,0)),Season,'Summarized Source Data'!$A135,Sector,'Summarized Source Data'!K$2,Subsector,'Summarized Source Data'!K$3,TimeOfWeek,$D135)</f>
        <v>1381969</v>
      </c>
      <c r="L135" s="27">
        <f>SUMIFS(INDEX(Load,,MATCH('Summarized Source Data'!$B135,Hour,0)),Season,'Summarized Source Data'!$A135,Sector,'Summarized Source Data'!L$2,Subsector,'Summarized Source Data'!L$3,TimeOfWeek,$D135)</f>
        <v>34020576</v>
      </c>
      <c r="M135" s="27">
        <f>SUMIFS(INDEX(Load,,MATCH('Summarized Source Data'!$B135,Hour,0)),Season,'Summarized Source Data'!$A135,Sector,'Summarized Source Data'!M$2,Subsector,'Summarized Source Data'!M$3,TimeOfWeek,$D135)</f>
        <v>0</v>
      </c>
      <c r="N135" s="29">
        <f t="shared" si="16"/>
        <v>37200000</v>
      </c>
      <c r="O135" s="27">
        <f t="shared" si="17"/>
        <v>37200000</v>
      </c>
      <c r="P135" s="29">
        <f t="shared" si="18"/>
        <v>37200000</v>
      </c>
      <c r="Q135" s="33">
        <f>SUMIFS(INDEX(Load,,MATCH('Summarized Source Data'!$B135,Hour,0)),Season,'Summarized Source Data'!$A135,Sector,'Summarized Source Data'!Q$2,TimeOfWeek,$D135)</f>
        <v>5360000</v>
      </c>
      <c r="R135" s="33">
        <f>SUMIFS(INDEX(Load,,MATCH('Summarized Source Data'!$B135,Hour,0)),Season,'Summarized Source Data'!$A135,Sector,'Summarized Source Data'!R$2,TimeOfWeek,$D135)</f>
        <v>5360000</v>
      </c>
      <c r="S135" s="33">
        <f>SUMIFS(INDEX(Load,,MATCH('Summarized Source Data'!$B135,Hour,0)),Season,'Summarized Source Data'!$A135,Sector,'Summarized Source Data'!S$2,TimeOfWeek,$D135)</f>
        <v>5360000</v>
      </c>
      <c r="T135" s="33">
        <f>SUMIFS(INDEX(Load,,MATCH('Summarized Source Data'!$B135,Hour,0)),Season,'Summarized Source Data'!$A135,Sector,'Summarized Source Data'!T$2,TimeOfWeek,$D135)</f>
        <v>5360000</v>
      </c>
      <c r="U135" s="33">
        <f>SUMIFS(INDEX(Load,,MATCH('Summarized Source Data'!$B135,Hour,0)),Season,'Summarized Source Data'!$A135,Sector,'Summarized Source Data'!U$2,TimeOfWeek,$D135)</f>
        <v>5360000</v>
      </c>
      <c r="V135" s="33">
        <f>SUMIFS(INDEX(Load,,MATCH('Summarized Source Data'!$B135,Hour,0)),Season,'Summarized Source Data'!$A135,Sector,'Summarized Source Data'!V$2,TimeOfWeek,$D135)</f>
        <v>5360000</v>
      </c>
      <c r="W135" s="27">
        <f>SUMIFS(INDEX(Load,,MATCH('Summarized Source Data'!$B135,Hour,0)),Season,'Summarized Source Data'!$A135,Sector,'Summarized Source Data'!W$2,Subsector,'Summarized Source Data'!W$3,TimeOfWeek,$D135)</f>
        <v>511000000</v>
      </c>
      <c r="X135" s="29">
        <f t="shared" si="19"/>
        <v>511000000</v>
      </c>
      <c r="Y135" s="29">
        <f t="shared" si="19"/>
        <v>511000000</v>
      </c>
    </row>
    <row r="136" spans="1:25" outlineLevel="1" x14ac:dyDescent="0.3">
      <c r="A136" t="s">
        <v>164</v>
      </c>
      <c r="B136" t="s">
        <v>76</v>
      </c>
      <c r="C136" s="6" t="s">
        <v>152</v>
      </c>
      <c r="D136" t="s">
        <v>48</v>
      </c>
      <c r="E136" s="27">
        <f>SUMIFS(INDEX(Load,,MATCH('Summarized Source Data'!$B136,Hour,0)),Season,'Summarized Source Data'!$A136,Sector,'Summarized Source Data'!E$2,Subsector,'Summarized Source Data'!E$3,TimeOfWeek,$D136)</f>
        <v>0</v>
      </c>
      <c r="F136" s="27">
        <f>SUMIFS(INDEX(Load,,MATCH('Summarized Source Data'!$B136,Hour,0)),Season,'Summarized Source Data'!$A136,Sector,'Summarized Source Data'!F$2,Subsector,'Summarized Source Data'!F$3,TimeOfWeek,$D136)</f>
        <v>19113428</v>
      </c>
      <c r="G136" s="27">
        <f>SUMIFS(INDEX(Load,,MATCH('Summarized Source Data'!$B136,Hour,0)),Season,'Summarized Source Data'!$A136,Sector,'Summarized Source Data'!G$2,Subsector,'Summarized Source Data'!G$3,TimeOfWeek,$D136)</f>
        <v>0</v>
      </c>
      <c r="H136" s="27">
        <f>SUMIFS(INDEX(Load,,MATCH('Summarized Source Data'!$B136,Hour,0)),Season,'Summarized Source Data'!$A136,Sector,'Summarized Source Data'!H$2,Subsector,'Summarized Source Data'!H$3,TimeOfWeek,$D136)</f>
        <v>38500000</v>
      </c>
      <c r="I136" s="27">
        <f t="shared" si="14"/>
        <v>38500000</v>
      </c>
      <c r="J136" s="29">
        <f t="shared" si="15"/>
        <v>38500000</v>
      </c>
      <c r="K136" s="27">
        <f>SUMIFS(INDEX(Load,,MATCH('Summarized Source Data'!$B136,Hour,0)),Season,'Summarized Source Data'!$A136,Sector,'Summarized Source Data'!K$2,Subsector,'Summarized Source Data'!K$3,TimeOfWeek,$D136)</f>
        <v>1253017</v>
      </c>
      <c r="L136" s="27">
        <f>SUMIFS(INDEX(Load,,MATCH('Summarized Source Data'!$B136,Hour,0)),Season,'Summarized Source Data'!$A136,Sector,'Summarized Source Data'!L$2,Subsector,'Summarized Source Data'!L$3,TimeOfWeek,$D136)</f>
        <v>36384195</v>
      </c>
      <c r="M136" s="27">
        <f>SUMIFS(INDEX(Load,,MATCH('Summarized Source Data'!$B136,Hour,0)),Season,'Summarized Source Data'!$A136,Sector,'Summarized Source Data'!M$2,Subsector,'Summarized Source Data'!M$3,TimeOfWeek,$D136)</f>
        <v>0</v>
      </c>
      <c r="N136" s="29">
        <f t="shared" si="16"/>
        <v>38500000</v>
      </c>
      <c r="O136" s="27">
        <f t="shared" si="17"/>
        <v>38500000</v>
      </c>
      <c r="P136" s="29">
        <f t="shared" si="18"/>
        <v>38500000</v>
      </c>
      <c r="Q136" s="33">
        <f>SUMIFS(INDEX(Load,,MATCH('Summarized Source Data'!$B136,Hour,0)),Season,'Summarized Source Data'!$A136,Sector,'Summarized Source Data'!Q$2,TimeOfWeek,$D136)</f>
        <v>5180000</v>
      </c>
      <c r="R136" s="33">
        <f>SUMIFS(INDEX(Load,,MATCH('Summarized Source Data'!$B136,Hour,0)),Season,'Summarized Source Data'!$A136,Sector,'Summarized Source Data'!R$2,TimeOfWeek,$D136)</f>
        <v>5180000</v>
      </c>
      <c r="S136" s="33">
        <f>SUMIFS(INDEX(Load,,MATCH('Summarized Source Data'!$B136,Hour,0)),Season,'Summarized Source Data'!$A136,Sector,'Summarized Source Data'!S$2,TimeOfWeek,$D136)</f>
        <v>5180000</v>
      </c>
      <c r="T136" s="33">
        <f>SUMIFS(INDEX(Load,,MATCH('Summarized Source Data'!$B136,Hour,0)),Season,'Summarized Source Data'!$A136,Sector,'Summarized Source Data'!T$2,TimeOfWeek,$D136)</f>
        <v>5180000</v>
      </c>
      <c r="U136" s="33">
        <f>SUMIFS(INDEX(Load,,MATCH('Summarized Source Data'!$B136,Hour,0)),Season,'Summarized Source Data'!$A136,Sector,'Summarized Source Data'!U$2,TimeOfWeek,$D136)</f>
        <v>5180000</v>
      </c>
      <c r="V136" s="33">
        <f>SUMIFS(INDEX(Load,,MATCH('Summarized Source Data'!$B136,Hour,0)),Season,'Summarized Source Data'!$A136,Sector,'Summarized Source Data'!V$2,TimeOfWeek,$D136)</f>
        <v>5180000</v>
      </c>
      <c r="W136" s="27">
        <f>SUMIFS(INDEX(Load,,MATCH('Summarized Source Data'!$B136,Hour,0)),Season,'Summarized Source Data'!$A136,Sector,'Summarized Source Data'!W$2,Subsector,'Summarized Source Data'!W$3,TimeOfWeek,$D136)</f>
        <v>510000000</v>
      </c>
      <c r="X136" s="29">
        <f t="shared" si="19"/>
        <v>510000000</v>
      </c>
      <c r="Y136" s="29">
        <f t="shared" si="19"/>
        <v>510000000</v>
      </c>
    </row>
    <row r="137" spans="1:25" outlineLevel="1" x14ac:dyDescent="0.3">
      <c r="A137" t="s">
        <v>164</v>
      </c>
      <c r="B137" t="s">
        <v>77</v>
      </c>
      <c r="C137" s="6" t="s">
        <v>153</v>
      </c>
      <c r="D137" t="s">
        <v>48</v>
      </c>
      <c r="E137" s="27">
        <f>SUMIFS(INDEX(Load,,MATCH('Summarized Source Data'!$B137,Hour,0)),Season,'Summarized Source Data'!$A137,Sector,'Summarized Source Data'!E$2,Subsector,'Summarized Source Data'!E$3,TimeOfWeek,$D137)</f>
        <v>0</v>
      </c>
      <c r="F137" s="27">
        <f>SUMIFS(INDEX(Load,,MATCH('Summarized Source Data'!$B137,Hour,0)),Season,'Summarized Source Data'!$A137,Sector,'Summarized Source Data'!F$2,Subsector,'Summarized Source Data'!F$3,TimeOfWeek,$D137)</f>
        <v>20704578</v>
      </c>
      <c r="G137" s="27">
        <f>SUMIFS(INDEX(Load,,MATCH('Summarized Source Data'!$B137,Hour,0)),Season,'Summarized Source Data'!$A137,Sector,'Summarized Source Data'!G$2,Subsector,'Summarized Source Data'!G$3,TimeOfWeek,$D137)</f>
        <v>0</v>
      </c>
      <c r="H137" s="27">
        <f>SUMIFS(INDEX(Load,,MATCH('Summarized Source Data'!$B137,Hour,0)),Season,'Summarized Source Data'!$A137,Sector,'Summarized Source Data'!H$2,Subsector,'Summarized Source Data'!H$3,TimeOfWeek,$D137)</f>
        <v>38400000</v>
      </c>
      <c r="I137" s="27">
        <f t="shared" si="14"/>
        <v>38400000</v>
      </c>
      <c r="J137" s="29">
        <f t="shared" si="15"/>
        <v>38400000</v>
      </c>
      <c r="K137" s="27">
        <f>SUMIFS(INDEX(Load,,MATCH('Summarized Source Data'!$B137,Hour,0)),Season,'Summarized Source Data'!$A137,Sector,'Summarized Source Data'!K$2,Subsector,'Summarized Source Data'!K$3,TimeOfWeek,$D137)</f>
        <v>1167968</v>
      </c>
      <c r="L137" s="27">
        <f>SUMIFS(INDEX(Load,,MATCH('Summarized Source Data'!$B137,Hour,0)),Season,'Summarized Source Data'!$A137,Sector,'Summarized Source Data'!L$2,Subsector,'Summarized Source Data'!L$3,TimeOfWeek,$D137)</f>
        <v>37927102</v>
      </c>
      <c r="M137" s="27">
        <f>SUMIFS(INDEX(Load,,MATCH('Summarized Source Data'!$B137,Hour,0)),Season,'Summarized Source Data'!$A137,Sector,'Summarized Source Data'!M$2,Subsector,'Summarized Source Data'!M$3,TimeOfWeek,$D137)</f>
        <v>0</v>
      </c>
      <c r="N137" s="29">
        <f t="shared" si="16"/>
        <v>38400000</v>
      </c>
      <c r="O137" s="27">
        <f t="shared" si="17"/>
        <v>38400000</v>
      </c>
      <c r="P137" s="29">
        <f t="shared" si="18"/>
        <v>38400000</v>
      </c>
      <c r="Q137" s="33">
        <f>SUMIFS(INDEX(Load,,MATCH('Summarized Source Data'!$B137,Hour,0)),Season,'Summarized Source Data'!$A137,Sector,'Summarized Source Data'!Q$2,TimeOfWeek,$D137)</f>
        <v>4800000</v>
      </c>
      <c r="R137" s="33">
        <f>SUMIFS(INDEX(Load,,MATCH('Summarized Source Data'!$B137,Hour,0)),Season,'Summarized Source Data'!$A137,Sector,'Summarized Source Data'!R$2,TimeOfWeek,$D137)</f>
        <v>4800000</v>
      </c>
      <c r="S137" s="33">
        <f>SUMIFS(INDEX(Load,,MATCH('Summarized Source Data'!$B137,Hour,0)),Season,'Summarized Source Data'!$A137,Sector,'Summarized Source Data'!S$2,TimeOfWeek,$D137)</f>
        <v>4800000</v>
      </c>
      <c r="T137" s="33">
        <f>SUMIFS(INDEX(Load,,MATCH('Summarized Source Data'!$B137,Hour,0)),Season,'Summarized Source Data'!$A137,Sector,'Summarized Source Data'!T$2,TimeOfWeek,$D137)</f>
        <v>4800000</v>
      </c>
      <c r="U137" s="33">
        <f>SUMIFS(INDEX(Load,,MATCH('Summarized Source Data'!$B137,Hour,0)),Season,'Summarized Source Data'!$A137,Sector,'Summarized Source Data'!U$2,TimeOfWeek,$D137)</f>
        <v>4800000</v>
      </c>
      <c r="V137" s="33">
        <f>SUMIFS(INDEX(Load,,MATCH('Summarized Source Data'!$B137,Hour,0)),Season,'Summarized Source Data'!$A137,Sector,'Summarized Source Data'!V$2,TimeOfWeek,$D137)</f>
        <v>4800000</v>
      </c>
      <c r="W137" s="27">
        <f>SUMIFS(INDEX(Load,,MATCH('Summarized Source Data'!$B137,Hour,0)),Season,'Summarized Source Data'!$A137,Sector,'Summarized Source Data'!W$2,Subsector,'Summarized Source Data'!W$3,TimeOfWeek,$D137)</f>
        <v>511000000</v>
      </c>
      <c r="X137" s="29">
        <f t="shared" si="19"/>
        <v>511000000</v>
      </c>
      <c r="Y137" s="29">
        <f t="shared" si="19"/>
        <v>511000000</v>
      </c>
    </row>
    <row r="138" spans="1:25" outlineLevel="1" x14ac:dyDescent="0.3">
      <c r="A138" t="s">
        <v>164</v>
      </c>
      <c r="B138" t="s">
        <v>78</v>
      </c>
      <c r="C138" s="6" t="s">
        <v>154</v>
      </c>
      <c r="D138" t="s">
        <v>48</v>
      </c>
      <c r="E138" s="27">
        <f>SUMIFS(INDEX(Load,,MATCH('Summarized Source Data'!$B138,Hour,0)),Season,'Summarized Source Data'!$A138,Sector,'Summarized Source Data'!E$2,Subsector,'Summarized Source Data'!E$3,TimeOfWeek,$D138)</f>
        <v>0</v>
      </c>
      <c r="F138" s="27">
        <f>SUMIFS(INDEX(Load,,MATCH('Summarized Source Data'!$B138,Hour,0)),Season,'Summarized Source Data'!$A138,Sector,'Summarized Source Data'!F$2,Subsector,'Summarized Source Data'!F$3,TimeOfWeek,$D138)</f>
        <v>21141287</v>
      </c>
      <c r="G138" s="27">
        <f>SUMIFS(INDEX(Load,,MATCH('Summarized Source Data'!$B138,Hour,0)),Season,'Summarized Source Data'!$A138,Sector,'Summarized Source Data'!G$2,Subsector,'Summarized Source Data'!G$3,TimeOfWeek,$D138)</f>
        <v>0</v>
      </c>
      <c r="H138" s="27">
        <f>SUMIFS(INDEX(Load,,MATCH('Summarized Source Data'!$B138,Hour,0)),Season,'Summarized Source Data'!$A138,Sector,'Summarized Source Data'!H$2,Subsector,'Summarized Source Data'!H$3,TimeOfWeek,$D138)</f>
        <v>38100000</v>
      </c>
      <c r="I138" s="27">
        <f t="shared" si="14"/>
        <v>38100000</v>
      </c>
      <c r="J138" s="29">
        <f t="shared" si="15"/>
        <v>38100000</v>
      </c>
      <c r="K138" s="27">
        <f>SUMIFS(INDEX(Load,,MATCH('Summarized Source Data'!$B138,Hour,0)),Season,'Summarized Source Data'!$A138,Sector,'Summarized Source Data'!K$2,Subsector,'Summarized Source Data'!K$3,TimeOfWeek,$D138)</f>
        <v>1144009</v>
      </c>
      <c r="L138" s="27">
        <f>SUMIFS(INDEX(Load,,MATCH('Summarized Source Data'!$B138,Hour,0)),Season,'Summarized Source Data'!$A138,Sector,'Summarized Source Data'!L$2,Subsector,'Summarized Source Data'!L$3,TimeOfWeek,$D138)</f>
        <v>38444300</v>
      </c>
      <c r="M138" s="27">
        <f>SUMIFS(INDEX(Load,,MATCH('Summarized Source Data'!$B138,Hour,0)),Season,'Summarized Source Data'!$A138,Sector,'Summarized Source Data'!M$2,Subsector,'Summarized Source Data'!M$3,TimeOfWeek,$D138)</f>
        <v>0</v>
      </c>
      <c r="N138" s="29">
        <f t="shared" si="16"/>
        <v>38100000</v>
      </c>
      <c r="O138" s="27">
        <f t="shared" si="17"/>
        <v>38100000</v>
      </c>
      <c r="P138" s="29">
        <f t="shared" si="18"/>
        <v>38100000</v>
      </c>
      <c r="Q138" s="33">
        <f>SUMIFS(INDEX(Load,,MATCH('Summarized Source Data'!$B138,Hour,0)),Season,'Summarized Source Data'!$A138,Sector,'Summarized Source Data'!Q$2,TimeOfWeek,$D138)</f>
        <v>4800000</v>
      </c>
      <c r="R138" s="33">
        <f>SUMIFS(INDEX(Load,,MATCH('Summarized Source Data'!$B138,Hour,0)),Season,'Summarized Source Data'!$A138,Sector,'Summarized Source Data'!R$2,TimeOfWeek,$D138)</f>
        <v>4800000</v>
      </c>
      <c r="S138" s="33">
        <f>SUMIFS(INDEX(Load,,MATCH('Summarized Source Data'!$B138,Hour,0)),Season,'Summarized Source Data'!$A138,Sector,'Summarized Source Data'!S$2,TimeOfWeek,$D138)</f>
        <v>4800000</v>
      </c>
      <c r="T138" s="33">
        <f>SUMIFS(INDEX(Load,,MATCH('Summarized Source Data'!$B138,Hour,0)),Season,'Summarized Source Data'!$A138,Sector,'Summarized Source Data'!T$2,TimeOfWeek,$D138)</f>
        <v>4800000</v>
      </c>
      <c r="U138" s="33">
        <f>SUMIFS(INDEX(Load,,MATCH('Summarized Source Data'!$B138,Hour,0)),Season,'Summarized Source Data'!$A138,Sector,'Summarized Source Data'!U$2,TimeOfWeek,$D138)</f>
        <v>4800000</v>
      </c>
      <c r="V138" s="33">
        <f>SUMIFS(INDEX(Load,,MATCH('Summarized Source Data'!$B138,Hour,0)),Season,'Summarized Source Data'!$A138,Sector,'Summarized Source Data'!V$2,TimeOfWeek,$D138)</f>
        <v>4800000</v>
      </c>
      <c r="W138" s="27">
        <f>SUMIFS(INDEX(Load,,MATCH('Summarized Source Data'!$B138,Hour,0)),Season,'Summarized Source Data'!$A138,Sector,'Summarized Source Data'!W$2,Subsector,'Summarized Source Data'!W$3,TimeOfWeek,$D138)</f>
        <v>512000000</v>
      </c>
      <c r="X138" s="29">
        <f t="shared" si="19"/>
        <v>512000000</v>
      </c>
      <c r="Y138" s="29">
        <f t="shared" si="19"/>
        <v>512000000</v>
      </c>
    </row>
    <row r="139" spans="1:25" outlineLevel="1" x14ac:dyDescent="0.3">
      <c r="A139" t="s">
        <v>164</v>
      </c>
      <c r="B139" t="s">
        <v>79</v>
      </c>
      <c r="C139" s="6" t="s">
        <v>155</v>
      </c>
      <c r="D139" t="s">
        <v>48</v>
      </c>
      <c r="E139" s="27">
        <f>SUMIFS(INDEX(Load,,MATCH('Summarized Source Data'!$B139,Hour,0)),Season,'Summarized Source Data'!$A139,Sector,'Summarized Source Data'!E$2,Subsector,'Summarized Source Data'!E$3,TimeOfWeek,$D139)</f>
        <v>0</v>
      </c>
      <c r="F139" s="27">
        <f>SUMIFS(INDEX(Load,,MATCH('Summarized Source Data'!$B139,Hour,0)),Season,'Summarized Source Data'!$A139,Sector,'Summarized Source Data'!F$2,Subsector,'Summarized Source Data'!F$3,TimeOfWeek,$D139)</f>
        <v>20595339</v>
      </c>
      <c r="G139" s="27">
        <f>SUMIFS(INDEX(Load,,MATCH('Summarized Source Data'!$B139,Hour,0)),Season,'Summarized Source Data'!$A139,Sector,'Summarized Source Data'!G$2,Subsector,'Summarized Source Data'!G$3,TimeOfWeek,$D139)</f>
        <v>0</v>
      </c>
      <c r="H139" s="27">
        <f>SUMIFS(INDEX(Load,,MATCH('Summarized Source Data'!$B139,Hour,0)),Season,'Summarized Source Data'!$A139,Sector,'Summarized Source Data'!H$2,Subsector,'Summarized Source Data'!H$3,TimeOfWeek,$D139)</f>
        <v>38100000</v>
      </c>
      <c r="I139" s="27">
        <f t="shared" si="14"/>
        <v>38100000</v>
      </c>
      <c r="J139" s="29">
        <f t="shared" si="15"/>
        <v>38100000</v>
      </c>
      <c r="K139" s="27">
        <f>SUMIFS(INDEX(Load,,MATCH('Summarized Source Data'!$B139,Hour,0)),Season,'Summarized Source Data'!$A139,Sector,'Summarized Source Data'!K$2,Subsector,'Summarized Source Data'!K$3,TimeOfWeek,$D139)</f>
        <v>1080055</v>
      </c>
      <c r="L139" s="27">
        <f>SUMIFS(INDEX(Load,,MATCH('Summarized Source Data'!$B139,Hour,0)),Season,'Summarized Source Data'!$A139,Sector,'Summarized Source Data'!L$2,Subsector,'Summarized Source Data'!L$3,TimeOfWeek,$D139)</f>
        <v>37927901</v>
      </c>
      <c r="M139" s="27">
        <f>SUMIFS(INDEX(Load,,MATCH('Summarized Source Data'!$B139,Hour,0)),Season,'Summarized Source Data'!$A139,Sector,'Summarized Source Data'!M$2,Subsector,'Summarized Source Data'!M$3,TimeOfWeek,$D139)</f>
        <v>0</v>
      </c>
      <c r="N139" s="29">
        <f t="shared" si="16"/>
        <v>38100000</v>
      </c>
      <c r="O139" s="27">
        <f t="shared" si="17"/>
        <v>38100000</v>
      </c>
      <c r="P139" s="29">
        <f t="shared" si="18"/>
        <v>38100000</v>
      </c>
      <c r="Q139" s="33">
        <f>SUMIFS(INDEX(Load,,MATCH('Summarized Source Data'!$B139,Hour,0)),Season,'Summarized Source Data'!$A139,Sector,'Summarized Source Data'!Q$2,TimeOfWeek,$D139)</f>
        <v>4770000</v>
      </c>
      <c r="R139" s="33">
        <f>SUMIFS(INDEX(Load,,MATCH('Summarized Source Data'!$B139,Hour,0)),Season,'Summarized Source Data'!$A139,Sector,'Summarized Source Data'!R$2,TimeOfWeek,$D139)</f>
        <v>4770000</v>
      </c>
      <c r="S139" s="33">
        <f>SUMIFS(INDEX(Load,,MATCH('Summarized Source Data'!$B139,Hour,0)),Season,'Summarized Source Data'!$A139,Sector,'Summarized Source Data'!S$2,TimeOfWeek,$D139)</f>
        <v>4770000</v>
      </c>
      <c r="T139" s="33">
        <f>SUMIFS(INDEX(Load,,MATCH('Summarized Source Data'!$B139,Hour,0)),Season,'Summarized Source Data'!$A139,Sector,'Summarized Source Data'!T$2,TimeOfWeek,$D139)</f>
        <v>4770000</v>
      </c>
      <c r="U139" s="33">
        <f>SUMIFS(INDEX(Load,,MATCH('Summarized Source Data'!$B139,Hour,0)),Season,'Summarized Source Data'!$A139,Sector,'Summarized Source Data'!U$2,TimeOfWeek,$D139)</f>
        <v>4770000</v>
      </c>
      <c r="V139" s="33">
        <f>SUMIFS(INDEX(Load,,MATCH('Summarized Source Data'!$B139,Hour,0)),Season,'Summarized Source Data'!$A139,Sector,'Summarized Source Data'!V$2,TimeOfWeek,$D139)</f>
        <v>4770000</v>
      </c>
      <c r="W139" s="27">
        <f>SUMIFS(INDEX(Load,,MATCH('Summarized Source Data'!$B139,Hour,0)),Season,'Summarized Source Data'!$A139,Sector,'Summarized Source Data'!W$2,Subsector,'Summarized Source Data'!W$3,TimeOfWeek,$D139)</f>
        <v>515000000</v>
      </c>
      <c r="X139" s="29">
        <f t="shared" si="19"/>
        <v>515000000</v>
      </c>
      <c r="Y139" s="29">
        <f t="shared" si="19"/>
        <v>515000000</v>
      </c>
    </row>
    <row r="140" spans="1:25" outlineLevel="1" x14ac:dyDescent="0.3">
      <c r="A140" t="s">
        <v>164</v>
      </c>
      <c r="B140" t="s">
        <v>80</v>
      </c>
      <c r="C140" s="6" t="s">
        <v>156</v>
      </c>
      <c r="D140" t="s">
        <v>48</v>
      </c>
      <c r="E140" s="27">
        <f>SUMIFS(INDEX(Load,,MATCH('Summarized Source Data'!$B140,Hour,0)),Season,'Summarized Source Data'!$A140,Sector,'Summarized Source Data'!E$2,Subsector,'Summarized Source Data'!E$3,TimeOfWeek,$D140)</f>
        <v>0</v>
      </c>
      <c r="F140" s="27">
        <f>SUMIFS(INDEX(Load,,MATCH('Summarized Source Data'!$B140,Hour,0)),Season,'Summarized Source Data'!$A140,Sector,'Summarized Source Data'!F$2,Subsector,'Summarized Source Data'!F$3,TimeOfWeek,$D140)</f>
        <v>19344027</v>
      </c>
      <c r="G140" s="27">
        <f>SUMIFS(INDEX(Load,,MATCH('Summarized Source Data'!$B140,Hour,0)),Season,'Summarized Source Data'!$A140,Sector,'Summarized Source Data'!G$2,Subsector,'Summarized Source Data'!G$3,TimeOfWeek,$D140)</f>
        <v>0</v>
      </c>
      <c r="H140" s="27">
        <f>SUMIFS(INDEX(Load,,MATCH('Summarized Source Data'!$B140,Hour,0)),Season,'Summarized Source Data'!$A140,Sector,'Summarized Source Data'!H$2,Subsector,'Summarized Source Data'!H$3,TimeOfWeek,$D140)</f>
        <v>39700000</v>
      </c>
      <c r="I140" s="27">
        <f t="shared" si="14"/>
        <v>39700000</v>
      </c>
      <c r="J140" s="29">
        <f t="shared" si="15"/>
        <v>39700000</v>
      </c>
      <c r="K140" s="27">
        <f>SUMIFS(INDEX(Load,,MATCH('Summarized Source Data'!$B140,Hour,0)),Season,'Summarized Source Data'!$A140,Sector,'Summarized Source Data'!K$2,Subsector,'Summarized Source Data'!K$3,TimeOfWeek,$D140)</f>
        <v>1065560</v>
      </c>
      <c r="L140" s="27">
        <f>SUMIFS(INDEX(Load,,MATCH('Summarized Source Data'!$B140,Hour,0)),Season,'Summarized Source Data'!$A140,Sector,'Summarized Source Data'!L$2,Subsector,'Summarized Source Data'!L$3,TimeOfWeek,$D140)</f>
        <v>36246112</v>
      </c>
      <c r="M140" s="27">
        <f>SUMIFS(INDEX(Load,,MATCH('Summarized Source Data'!$B140,Hour,0)),Season,'Summarized Source Data'!$A140,Sector,'Summarized Source Data'!M$2,Subsector,'Summarized Source Data'!M$3,TimeOfWeek,$D140)</f>
        <v>0</v>
      </c>
      <c r="N140" s="29">
        <f t="shared" si="16"/>
        <v>39700000</v>
      </c>
      <c r="O140" s="27">
        <f t="shared" si="17"/>
        <v>39700000</v>
      </c>
      <c r="P140" s="29">
        <f t="shared" si="18"/>
        <v>39700000</v>
      </c>
      <c r="Q140" s="33">
        <f>SUMIFS(INDEX(Load,,MATCH('Summarized Source Data'!$B140,Hour,0)),Season,'Summarized Source Data'!$A140,Sector,'Summarized Source Data'!Q$2,TimeOfWeek,$D140)</f>
        <v>5690000</v>
      </c>
      <c r="R140" s="33">
        <f>SUMIFS(INDEX(Load,,MATCH('Summarized Source Data'!$B140,Hour,0)),Season,'Summarized Source Data'!$A140,Sector,'Summarized Source Data'!R$2,TimeOfWeek,$D140)</f>
        <v>5690000</v>
      </c>
      <c r="S140" s="33">
        <f>SUMIFS(INDEX(Load,,MATCH('Summarized Source Data'!$B140,Hour,0)),Season,'Summarized Source Data'!$A140,Sector,'Summarized Source Data'!S$2,TimeOfWeek,$D140)</f>
        <v>5690000</v>
      </c>
      <c r="T140" s="33">
        <f>SUMIFS(INDEX(Load,,MATCH('Summarized Source Data'!$B140,Hour,0)),Season,'Summarized Source Data'!$A140,Sector,'Summarized Source Data'!T$2,TimeOfWeek,$D140)</f>
        <v>5690000</v>
      </c>
      <c r="U140" s="33">
        <f>SUMIFS(INDEX(Load,,MATCH('Summarized Source Data'!$B140,Hour,0)),Season,'Summarized Source Data'!$A140,Sector,'Summarized Source Data'!U$2,TimeOfWeek,$D140)</f>
        <v>5690000</v>
      </c>
      <c r="V140" s="33">
        <f>SUMIFS(INDEX(Load,,MATCH('Summarized Source Data'!$B140,Hour,0)),Season,'Summarized Source Data'!$A140,Sector,'Summarized Source Data'!V$2,TimeOfWeek,$D140)</f>
        <v>5690000</v>
      </c>
      <c r="W140" s="27">
        <f>SUMIFS(INDEX(Load,,MATCH('Summarized Source Data'!$B140,Hour,0)),Season,'Summarized Source Data'!$A140,Sector,'Summarized Source Data'!W$2,Subsector,'Summarized Source Data'!W$3,TimeOfWeek,$D140)</f>
        <v>518000000</v>
      </c>
      <c r="X140" s="29">
        <f t="shared" si="19"/>
        <v>518000000</v>
      </c>
      <c r="Y140" s="29">
        <f t="shared" si="19"/>
        <v>518000000</v>
      </c>
    </row>
    <row r="141" spans="1:25" outlineLevel="1" x14ac:dyDescent="0.3">
      <c r="A141" t="s">
        <v>164</v>
      </c>
      <c r="B141" t="s">
        <v>81</v>
      </c>
      <c r="C141" s="6" t="s">
        <v>157</v>
      </c>
      <c r="D141" t="s">
        <v>48</v>
      </c>
      <c r="E141" s="27">
        <f>SUMIFS(INDEX(Load,,MATCH('Summarized Source Data'!$B141,Hour,0)),Season,'Summarized Source Data'!$A141,Sector,'Summarized Source Data'!E$2,Subsector,'Summarized Source Data'!E$3,TimeOfWeek,$D141)</f>
        <v>0</v>
      </c>
      <c r="F141" s="27">
        <f>SUMIFS(INDEX(Load,,MATCH('Summarized Source Data'!$B141,Hour,0)),Season,'Summarized Source Data'!$A141,Sector,'Summarized Source Data'!F$2,Subsector,'Summarized Source Data'!F$3,TimeOfWeek,$D141)</f>
        <v>17771332</v>
      </c>
      <c r="G141" s="27">
        <f>SUMIFS(INDEX(Load,,MATCH('Summarized Source Data'!$B141,Hour,0)),Season,'Summarized Source Data'!$A141,Sector,'Summarized Source Data'!G$2,Subsector,'Summarized Source Data'!G$3,TimeOfWeek,$D141)</f>
        <v>0</v>
      </c>
      <c r="H141" s="27">
        <f>SUMIFS(INDEX(Load,,MATCH('Summarized Source Data'!$B141,Hour,0)),Season,'Summarized Source Data'!$A141,Sector,'Summarized Source Data'!H$2,Subsector,'Summarized Source Data'!H$3,TimeOfWeek,$D141)</f>
        <v>91100000</v>
      </c>
      <c r="I141" s="27">
        <f t="shared" si="14"/>
        <v>91100000</v>
      </c>
      <c r="J141" s="29">
        <f t="shared" si="15"/>
        <v>91100000</v>
      </c>
      <c r="K141" s="27">
        <f>SUMIFS(INDEX(Load,,MATCH('Summarized Source Data'!$B141,Hour,0)),Season,'Summarized Source Data'!$A141,Sector,'Summarized Source Data'!K$2,Subsector,'Summarized Source Data'!K$3,TimeOfWeek,$D141)</f>
        <v>1160293</v>
      </c>
      <c r="L141" s="27">
        <f>SUMIFS(INDEX(Load,,MATCH('Summarized Source Data'!$B141,Hour,0)),Season,'Summarized Source Data'!$A141,Sector,'Summarized Source Data'!L$2,Subsector,'Summarized Source Data'!L$3,TimeOfWeek,$D141)</f>
        <v>33515814</v>
      </c>
      <c r="M141" s="27">
        <f>SUMIFS(INDEX(Load,,MATCH('Summarized Source Data'!$B141,Hour,0)),Season,'Summarized Source Data'!$A141,Sector,'Summarized Source Data'!M$2,Subsector,'Summarized Source Data'!M$3,TimeOfWeek,$D141)</f>
        <v>0</v>
      </c>
      <c r="N141" s="29">
        <f t="shared" si="16"/>
        <v>91100000</v>
      </c>
      <c r="O141" s="27">
        <f t="shared" si="17"/>
        <v>91100000</v>
      </c>
      <c r="P141" s="29">
        <f t="shared" si="18"/>
        <v>91100000</v>
      </c>
      <c r="Q141" s="33">
        <f>SUMIFS(INDEX(Load,,MATCH('Summarized Source Data'!$B141,Hour,0)),Season,'Summarized Source Data'!$A141,Sector,'Summarized Source Data'!Q$2,TimeOfWeek,$D141)</f>
        <v>5690000</v>
      </c>
      <c r="R141" s="33">
        <f>SUMIFS(INDEX(Load,,MATCH('Summarized Source Data'!$B141,Hour,0)),Season,'Summarized Source Data'!$A141,Sector,'Summarized Source Data'!R$2,TimeOfWeek,$D141)</f>
        <v>5690000</v>
      </c>
      <c r="S141" s="33">
        <f>SUMIFS(INDEX(Load,,MATCH('Summarized Source Data'!$B141,Hour,0)),Season,'Summarized Source Data'!$A141,Sector,'Summarized Source Data'!S$2,TimeOfWeek,$D141)</f>
        <v>5690000</v>
      </c>
      <c r="T141" s="33">
        <f>SUMIFS(INDEX(Load,,MATCH('Summarized Source Data'!$B141,Hour,0)),Season,'Summarized Source Data'!$A141,Sector,'Summarized Source Data'!T$2,TimeOfWeek,$D141)</f>
        <v>5690000</v>
      </c>
      <c r="U141" s="33">
        <f>SUMIFS(INDEX(Load,,MATCH('Summarized Source Data'!$B141,Hour,0)),Season,'Summarized Source Data'!$A141,Sector,'Summarized Source Data'!U$2,TimeOfWeek,$D141)</f>
        <v>5690000</v>
      </c>
      <c r="V141" s="33">
        <f>SUMIFS(INDEX(Load,,MATCH('Summarized Source Data'!$B141,Hour,0)),Season,'Summarized Source Data'!$A141,Sector,'Summarized Source Data'!V$2,TimeOfWeek,$D141)</f>
        <v>5690000</v>
      </c>
      <c r="W141" s="27">
        <f>SUMIFS(INDEX(Load,,MATCH('Summarized Source Data'!$B141,Hour,0)),Season,'Summarized Source Data'!$A141,Sector,'Summarized Source Data'!W$2,Subsector,'Summarized Source Data'!W$3,TimeOfWeek,$D141)</f>
        <v>519000000</v>
      </c>
      <c r="X141" s="29">
        <f t="shared" si="19"/>
        <v>519000000</v>
      </c>
      <c r="Y141" s="29">
        <f t="shared" si="19"/>
        <v>519000000</v>
      </c>
    </row>
    <row r="142" spans="1:25" outlineLevel="1" x14ac:dyDescent="0.3">
      <c r="A142" t="s">
        <v>164</v>
      </c>
      <c r="B142" t="s">
        <v>82</v>
      </c>
      <c r="C142" s="6" t="s">
        <v>158</v>
      </c>
      <c r="D142" t="s">
        <v>48</v>
      </c>
      <c r="E142" s="27">
        <f>SUMIFS(INDEX(Load,,MATCH('Summarized Source Data'!$B142,Hour,0)),Season,'Summarized Source Data'!$A142,Sector,'Summarized Source Data'!E$2,Subsector,'Summarized Source Data'!E$3,TimeOfWeek,$D142)</f>
        <v>0</v>
      </c>
      <c r="F142" s="27">
        <f>SUMIFS(INDEX(Load,,MATCH('Summarized Source Data'!$B142,Hour,0)),Season,'Summarized Source Data'!$A142,Sector,'Summarized Source Data'!F$2,Subsector,'Summarized Source Data'!F$3,TimeOfWeek,$D142)</f>
        <v>15632492</v>
      </c>
      <c r="G142" s="27">
        <f>SUMIFS(INDEX(Load,,MATCH('Summarized Source Data'!$B142,Hour,0)),Season,'Summarized Source Data'!$A142,Sector,'Summarized Source Data'!G$2,Subsector,'Summarized Source Data'!G$3,TimeOfWeek,$D142)</f>
        <v>0</v>
      </c>
      <c r="H142" s="27">
        <f>SUMIFS(INDEX(Load,,MATCH('Summarized Source Data'!$B142,Hour,0)),Season,'Summarized Source Data'!$A142,Sector,'Summarized Source Data'!H$2,Subsector,'Summarized Source Data'!H$3,TimeOfWeek,$D142)</f>
        <v>144900000</v>
      </c>
      <c r="I142" s="27">
        <f t="shared" si="14"/>
        <v>144900000</v>
      </c>
      <c r="J142" s="29">
        <f t="shared" si="15"/>
        <v>144900000</v>
      </c>
      <c r="K142" s="27">
        <f>SUMIFS(INDEX(Load,,MATCH('Summarized Source Data'!$B142,Hour,0)),Season,'Summarized Source Data'!$A142,Sector,'Summarized Source Data'!K$2,Subsector,'Summarized Source Data'!K$3,TimeOfWeek,$D142)</f>
        <v>1140214</v>
      </c>
      <c r="L142" s="27">
        <f>SUMIFS(INDEX(Load,,MATCH('Summarized Source Data'!$B142,Hour,0)),Season,'Summarized Source Data'!$A142,Sector,'Summarized Source Data'!L$2,Subsector,'Summarized Source Data'!L$3,TimeOfWeek,$D142)</f>
        <v>30134630</v>
      </c>
      <c r="M142" s="27">
        <f>SUMIFS(INDEX(Load,,MATCH('Summarized Source Data'!$B142,Hour,0)),Season,'Summarized Source Data'!$A142,Sector,'Summarized Source Data'!M$2,Subsector,'Summarized Source Data'!M$3,TimeOfWeek,$D142)</f>
        <v>0</v>
      </c>
      <c r="N142" s="29">
        <f t="shared" si="16"/>
        <v>144900000</v>
      </c>
      <c r="O142" s="27">
        <f t="shared" si="17"/>
        <v>144900000</v>
      </c>
      <c r="P142" s="29">
        <f t="shared" si="18"/>
        <v>144900000</v>
      </c>
      <c r="Q142" s="33">
        <f>SUMIFS(INDEX(Load,,MATCH('Summarized Source Data'!$B142,Hour,0)),Season,'Summarized Source Data'!$A142,Sector,'Summarized Source Data'!Q$2,TimeOfWeek,$D142)</f>
        <v>5670000</v>
      </c>
      <c r="R142" s="33">
        <f>SUMIFS(INDEX(Load,,MATCH('Summarized Source Data'!$B142,Hour,0)),Season,'Summarized Source Data'!$A142,Sector,'Summarized Source Data'!R$2,TimeOfWeek,$D142)</f>
        <v>5670000</v>
      </c>
      <c r="S142" s="33">
        <f>SUMIFS(INDEX(Load,,MATCH('Summarized Source Data'!$B142,Hour,0)),Season,'Summarized Source Data'!$A142,Sector,'Summarized Source Data'!S$2,TimeOfWeek,$D142)</f>
        <v>5670000</v>
      </c>
      <c r="T142" s="33">
        <f>SUMIFS(INDEX(Load,,MATCH('Summarized Source Data'!$B142,Hour,0)),Season,'Summarized Source Data'!$A142,Sector,'Summarized Source Data'!T$2,TimeOfWeek,$D142)</f>
        <v>5670000</v>
      </c>
      <c r="U142" s="33">
        <f>SUMIFS(INDEX(Load,,MATCH('Summarized Source Data'!$B142,Hour,0)),Season,'Summarized Source Data'!$A142,Sector,'Summarized Source Data'!U$2,TimeOfWeek,$D142)</f>
        <v>5670000</v>
      </c>
      <c r="V142" s="33">
        <f>SUMIFS(INDEX(Load,,MATCH('Summarized Source Data'!$B142,Hour,0)),Season,'Summarized Source Data'!$A142,Sector,'Summarized Source Data'!V$2,TimeOfWeek,$D142)</f>
        <v>5670000</v>
      </c>
      <c r="W142" s="27">
        <f>SUMIFS(INDEX(Load,,MATCH('Summarized Source Data'!$B142,Hour,0)),Season,'Summarized Source Data'!$A142,Sector,'Summarized Source Data'!W$2,Subsector,'Summarized Source Data'!W$3,TimeOfWeek,$D142)</f>
        <v>518000000</v>
      </c>
      <c r="X142" s="29">
        <f t="shared" si="19"/>
        <v>518000000</v>
      </c>
      <c r="Y142" s="29">
        <f t="shared" si="19"/>
        <v>518000000</v>
      </c>
    </row>
    <row r="143" spans="1:25" outlineLevel="1" x14ac:dyDescent="0.3">
      <c r="A143" t="s">
        <v>164</v>
      </c>
      <c r="B143" t="s">
        <v>83</v>
      </c>
      <c r="C143" s="6" t="s">
        <v>159</v>
      </c>
      <c r="D143" t="s">
        <v>48</v>
      </c>
      <c r="E143" s="27">
        <f>SUMIFS(INDEX(Load,,MATCH('Summarized Source Data'!$B143,Hour,0)),Season,'Summarized Source Data'!$A143,Sector,'Summarized Source Data'!E$2,Subsector,'Summarized Source Data'!E$3,TimeOfWeek,$D143)</f>
        <v>0</v>
      </c>
      <c r="F143" s="27">
        <f>SUMIFS(INDEX(Load,,MATCH('Summarized Source Data'!$B143,Hour,0)),Season,'Summarized Source Data'!$A143,Sector,'Summarized Source Data'!F$2,Subsector,'Summarized Source Data'!F$3,TimeOfWeek,$D143)</f>
        <v>12690876</v>
      </c>
      <c r="G143" s="27">
        <f>SUMIFS(INDEX(Load,,MATCH('Summarized Source Data'!$B143,Hour,0)),Season,'Summarized Source Data'!$A143,Sector,'Summarized Source Data'!G$2,Subsector,'Summarized Source Data'!G$3,TimeOfWeek,$D143)</f>
        <v>0</v>
      </c>
      <c r="H143" s="27">
        <f>SUMIFS(INDEX(Load,,MATCH('Summarized Source Data'!$B143,Hour,0)),Season,'Summarized Source Data'!$A143,Sector,'Summarized Source Data'!H$2,Subsector,'Summarized Source Data'!H$3,TimeOfWeek,$D143)</f>
        <v>151700000</v>
      </c>
      <c r="I143" s="27">
        <f t="shared" si="14"/>
        <v>151700000</v>
      </c>
      <c r="J143" s="29">
        <f t="shared" si="15"/>
        <v>151700000</v>
      </c>
      <c r="K143" s="27">
        <f>SUMIFS(INDEX(Load,,MATCH('Summarized Source Data'!$B143,Hour,0)),Season,'Summarized Source Data'!$A143,Sector,'Summarized Source Data'!K$2,Subsector,'Summarized Source Data'!K$3,TimeOfWeek,$D143)</f>
        <v>1059878</v>
      </c>
      <c r="L143" s="27">
        <f>SUMIFS(INDEX(Load,,MATCH('Summarized Source Data'!$B143,Hour,0)),Season,'Summarized Source Data'!$A143,Sector,'Summarized Source Data'!L$2,Subsector,'Summarized Source Data'!L$3,TimeOfWeek,$D143)</f>
        <v>26142098</v>
      </c>
      <c r="M143" s="27">
        <f>SUMIFS(INDEX(Load,,MATCH('Summarized Source Data'!$B143,Hour,0)),Season,'Summarized Source Data'!$A143,Sector,'Summarized Source Data'!M$2,Subsector,'Summarized Source Data'!M$3,TimeOfWeek,$D143)</f>
        <v>0</v>
      </c>
      <c r="N143" s="29">
        <f t="shared" si="16"/>
        <v>151700000</v>
      </c>
      <c r="O143" s="27">
        <f t="shared" si="17"/>
        <v>151700000</v>
      </c>
      <c r="P143" s="29">
        <f t="shared" si="18"/>
        <v>151700000</v>
      </c>
      <c r="Q143" s="33">
        <f>SUMIFS(INDEX(Load,,MATCH('Summarized Source Data'!$B143,Hour,0)),Season,'Summarized Source Data'!$A143,Sector,'Summarized Source Data'!Q$2,TimeOfWeek,$D143)</f>
        <v>5660000</v>
      </c>
      <c r="R143" s="33">
        <f>SUMIFS(INDEX(Load,,MATCH('Summarized Source Data'!$B143,Hour,0)),Season,'Summarized Source Data'!$A143,Sector,'Summarized Source Data'!R$2,TimeOfWeek,$D143)</f>
        <v>5660000</v>
      </c>
      <c r="S143" s="33">
        <f>SUMIFS(INDEX(Load,,MATCH('Summarized Source Data'!$B143,Hour,0)),Season,'Summarized Source Data'!$A143,Sector,'Summarized Source Data'!S$2,TimeOfWeek,$D143)</f>
        <v>5660000</v>
      </c>
      <c r="T143" s="33">
        <f>SUMIFS(INDEX(Load,,MATCH('Summarized Source Data'!$B143,Hour,0)),Season,'Summarized Source Data'!$A143,Sector,'Summarized Source Data'!T$2,TimeOfWeek,$D143)</f>
        <v>5660000</v>
      </c>
      <c r="U143" s="33">
        <f>SUMIFS(INDEX(Load,,MATCH('Summarized Source Data'!$B143,Hour,0)),Season,'Summarized Source Data'!$A143,Sector,'Summarized Source Data'!U$2,TimeOfWeek,$D143)</f>
        <v>5660000</v>
      </c>
      <c r="V143" s="33">
        <f>SUMIFS(INDEX(Load,,MATCH('Summarized Source Data'!$B143,Hour,0)),Season,'Summarized Source Data'!$A143,Sector,'Summarized Source Data'!V$2,TimeOfWeek,$D143)</f>
        <v>5660000</v>
      </c>
      <c r="W143" s="27">
        <f>SUMIFS(INDEX(Load,,MATCH('Summarized Source Data'!$B143,Hour,0)),Season,'Summarized Source Data'!$A143,Sector,'Summarized Source Data'!W$2,Subsector,'Summarized Source Data'!W$3,TimeOfWeek,$D143)</f>
        <v>516000000</v>
      </c>
      <c r="X143" s="29">
        <f t="shared" si="19"/>
        <v>516000000</v>
      </c>
      <c r="Y143" s="29">
        <f t="shared" si="19"/>
        <v>516000000</v>
      </c>
    </row>
    <row r="144" spans="1:25" outlineLevel="1" x14ac:dyDescent="0.3">
      <c r="A144" t="s">
        <v>164</v>
      </c>
      <c r="B144" t="s">
        <v>84</v>
      </c>
      <c r="C144" s="6" t="s">
        <v>160</v>
      </c>
      <c r="D144" t="s">
        <v>48</v>
      </c>
      <c r="E144" s="27">
        <f>SUMIFS(INDEX(Load,,MATCH('Summarized Source Data'!$B144,Hour,0)),Season,'Summarized Source Data'!$A144,Sector,'Summarized Source Data'!E$2,Subsector,'Summarized Source Data'!E$3,TimeOfWeek,$D144)</f>
        <v>0</v>
      </c>
      <c r="F144" s="27">
        <f>SUMIFS(INDEX(Load,,MATCH('Summarized Source Data'!$B144,Hour,0)),Season,'Summarized Source Data'!$A144,Sector,'Summarized Source Data'!F$2,Subsector,'Summarized Source Data'!F$3,TimeOfWeek,$D144)</f>
        <v>9591497</v>
      </c>
      <c r="G144" s="27">
        <f>SUMIFS(INDEX(Load,,MATCH('Summarized Source Data'!$B144,Hour,0)),Season,'Summarized Source Data'!$A144,Sector,'Summarized Source Data'!G$2,Subsector,'Summarized Source Data'!G$3,TimeOfWeek,$D144)</f>
        <v>0</v>
      </c>
      <c r="H144" s="27">
        <f>SUMIFS(INDEX(Load,,MATCH('Summarized Source Data'!$B144,Hour,0)),Season,'Summarized Source Data'!$A144,Sector,'Summarized Source Data'!H$2,Subsector,'Summarized Source Data'!H$3,TimeOfWeek,$D144)</f>
        <v>151000000</v>
      </c>
      <c r="I144" s="27">
        <f t="shared" si="14"/>
        <v>151000000</v>
      </c>
      <c r="J144" s="29">
        <f t="shared" si="15"/>
        <v>151000000</v>
      </c>
      <c r="K144" s="27">
        <f>SUMIFS(INDEX(Load,,MATCH('Summarized Source Data'!$B144,Hour,0)),Season,'Summarized Source Data'!$A144,Sector,'Summarized Source Data'!K$2,Subsector,'Summarized Source Data'!K$3,TimeOfWeek,$D144)</f>
        <v>1199824</v>
      </c>
      <c r="L144" s="27">
        <f>SUMIFS(INDEX(Load,,MATCH('Summarized Source Data'!$B144,Hour,0)),Season,'Summarized Source Data'!$A144,Sector,'Summarized Source Data'!L$2,Subsector,'Summarized Source Data'!L$3,TimeOfWeek,$D144)</f>
        <v>22551305</v>
      </c>
      <c r="M144" s="27">
        <f>SUMIFS(INDEX(Load,,MATCH('Summarized Source Data'!$B144,Hour,0)),Season,'Summarized Source Data'!$A144,Sector,'Summarized Source Data'!M$2,Subsector,'Summarized Source Data'!M$3,TimeOfWeek,$D144)</f>
        <v>0</v>
      </c>
      <c r="N144" s="29">
        <f t="shared" si="16"/>
        <v>151000000</v>
      </c>
      <c r="O144" s="27">
        <f t="shared" si="17"/>
        <v>151000000</v>
      </c>
      <c r="P144" s="29">
        <f t="shared" si="18"/>
        <v>151000000</v>
      </c>
      <c r="Q144" s="33">
        <f>SUMIFS(INDEX(Load,,MATCH('Summarized Source Data'!$B144,Hour,0)),Season,'Summarized Source Data'!$A144,Sector,'Summarized Source Data'!Q$2,TimeOfWeek,$D144)</f>
        <v>5640000</v>
      </c>
      <c r="R144" s="33">
        <f>SUMIFS(INDEX(Load,,MATCH('Summarized Source Data'!$B144,Hour,0)),Season,'Summarized Source Data'!$A144,Sector,'Summarized Source Data'!R$2,TimeOfWeek,$D144)</f>
        <v>5640000</v>
      </c>
      <c r="S144" s="33">
        <f>SUMIFS(INDEX(Load,,MATCH('Summarized Source Data'!$B144,Hour,0)),Season,'Summarized Source Data'!$A144,Sector,'Summarized Source Data'!S$2,TimeOfWeek,$D144)</f>
        <v>5640000</v>
      </c>
      <c r="T144" s="33">
        <f>SUMIFS(INDEX(Load,,MATCH('Summarized Source Data'!$B144,Hour,0)),Season,'Summarized Source Data'!$A144,Sector,'Summarized Source Data'!T$2,TimeOfWeek,$D144)</f>
        <v>5640000</v>
      </c>
      <c r="U144" s="33">
        <f>SUMIFS(INDEX(Load,,MATCH('Summarized Source Data'!$B144,Hour,0)),Season,'Summarized Source Data'!$A144,Sector,'Summarized Source Data'!U$2,TimeOfWeek,$D144)</f>
        <v>5640000</v>
      </c>
      <c r="V144" s="33">
        <f>SUMIFS(INDEX(Load,,MATCH('Summarized Source Data'!$B144,Hour,0)),Season,'Summarized Source Data'!$A144,Sector,'Summarized Source Data'!V$2,TimeOfWeek,$D144)</f>
        <v>5640000</v>
      </c>
      <c r="W144" s="27">
        <f>SUMIFS(INDEX(Load,,MATCH('Summarized Source Data'!$B144,Hour,0)),Season,'Summarized Source Data'!$A144,Sector,'Summarized Source Data'!W$2,Subsector,'Summarized Source Data'!W$3,TimeOfWeek,$D144)</f>
        <v>515000000</v>
      </c>
      <c r="X144" s="29">
        <f t="shared" si="19"/>
        <v>515000000</v>
      </c>
      <c r="Y144" s="29">
        <f t="shared" si="19"/>
        <v>515000000</v>
      </c>
    </row>
    <row r="145" spans="1:25" outlineLevel="1" x14ac:dyDescent="0.3">
      <c r="A145" t="s">
        <v>164</v>
      </c>
      <c r="B145" t="s">
        <v>85</v>
      </c>
      <c r="C145" s="6" t="s">
        <v>161</v>
      </c>
      <c r="D145" t="s">
        <v>48</v>
      </c>
      <c r="E145" s="27">
        <f>SUMIFS(INDEX(Load,,MATCH('Summarized Source Data'!$B145,Hour,0)),Season,'Summarized Source Data'!$A145,Sector,'Summarized Source Data'!E$2,Subsector,'Summarized Source Data'!E$3,TimeOfWeek,$D145)</f>
        <v>0</v>
      </c>
      <c r="F145" s="27">
        <f>SUMIFS(INDEX(Load,,MATCH('Summarized Source Data'!$B145,Hour,0)),Season,'Summarized Source Data'!$A145,Sector,'Summarized Source Data'!F$2,Subsector,'Summarized Source Data'!F$3,TimeOfWeek,$D145)</f>
        <v>7002699</v>
      </c>
      <c r="G145" s="27">
        <f>SUMIFS(INDEX(Load,,MATCH('Summarized Source Data'!$B145,Hour,0)),Season,'Summarized Source Data'!$A145,Sector,'Summarized Source Data'!G$2,Subsector,'Summarized Source Data'!G$3,TimeOfWeek,$D145)</f>
        <v>0</v>
      </c>
      <c r="H145" s="27">
        <f>SUMIFS(INDEX(Load,,MATCH('Summarized Source Data'!$B145,Hour,0)),Season,'Summarized Source Data'!$A145,Sector,'Summarized Source Data'!H$2,Subsector,'Summarized Source Data'!H$3,TimeOfWeek,$D145)</f>
        <v>124900000</v>
      </c>
      <c r="I145" s="27">
        <f t="shared" si="14"/>
        <v>124900000</v>
      </c>
      <c r="J145" s="29">
        <f t="shared" si="15"/>
        <v>124900000</v>
      </c>
      <c r="K145" s="27">
        <f>SUMIFS(INDEX(Load,,MATCH('Summarized Source Data'!$B145,Hour,0)),Season,'Summarized Source Data'!$A145,Sector,'Summarized Source Data'!K$2,Subsector,'Summarized Source Data'!K$3,TimeOfWeek,$D145)</f>
        <v>1241364</v>
      </c>
      <c r="L145" s="27">
        <f>SUMIFS(INDEX(Load,,MATCH('Summarized Source Data'!$B145,Hour,0)),Season,'Summarized Source Data'!$A145,Sector,'Summarized Source Data'!L$2,Subsector,'Summarized Source Data'!L$3,TimeOfWeek,$D145)</f>
        <v>19676922</v>
      </c>
      <c r="M145" s="27">
        <f>SUMIFS(INDEX(Load,,MATCH('Summarized Source Data'!$B145,Hour,0)),Season,'Summarized Source Data'!$A145,Sector,'Summarized Source Data'!M$2,Subsector,'Summarized Source Data'!M$3,TimeOfWeek,$D145)</f>
        <v>0</v>
      </c>
      <c r="N145" s="29">
        <f t="shared" si="16"/>
        <v>124900000</v>
      </c>
      <c r="O145" s="27">
        <f t="shared" si="17"/>
        <v>124900000</v>
      </c>
      <c r="P145" s="29">
        <f t="shared" si="18"/>
        <v>124900000</v>
      </c>
      <c r="Q145" s="33">
        <f>SUMIFS(INDEX(Load,,MATCH('Summarized Source Data'!$B145,Hour,0)),Season,'Summarized Source Data'!$A145,Sector,'Summarized Source Data'!Q$2,TimeOfWeek,$D145)</f>
        <v>5610000</v>
      </c>
      <c r="R145" s="33">
        <f>SUMIFS(INDEX(Load,,MATCH('Summarized Source Data'!$B145,Hour,0)),Season,'Summarized Source Data'!$A145,Sector,'Summarized Source Data'!R$2,TimeOfWeek,$D145)</f>
        <v>5610000</v>
      </c>
      <c r="S145" s="33">
        <f>SUMIFS(INDEX(Load,,MATCH('Summarized Source Data'!$B145,Hour,0)),Season,'Summarized Source Data'!$A145,Sector,'Summarized Source Data'!S$2,TimeOfWeek,$D145)</f>
        <v>5610000</v>
      </c>
      <c r="T145" s="33">
        <f>SUMIFS(INDEX(Load,,MATCH('Summarized Source Data'!$B145,Hour,0)),Season,'Summarized Source Data'!$A145,Sector,'Summarized Source Data'!T$2,TimeOfWeek,$D145)</f>
        <v>5610000</v>
      </c>
      <c r="U145" s="33">
        <f>SUMIFS(INDEX(Load,,MATCH('Summarized Source Data'!$B145,Hour,0)),Season,'Summarized Source Data'!$A145,Sector,'Summarized Source Data'!U$2,TimeOfWeek,$D145)</f>
        <v>5610000</v>
      </c>
      <c r="V145" s="33">
        <f>SUMIFS(INDEX(Load,,MATCH('Summarized Source Data'!$B145,Hour,0)),Season,'Summarized Source Data'!$A145,Sector,'Summarized Source Data'!V$2,TimeOfWeek,$D145)</f>
        <v>5610000</v>
      </c>
      <c r="W145" s="27">
        <f>SUMIFS(INDEX(Load,,MATCH('Summarized Source Data'!$B145,Hour,0)),Season,'Summarized Source Data'!$A145,Sector,'Summarized Source Data'!W$2,Subsector,'Summarized Source Data'!W$3,TimeOfWeek,$D145)</f>
        <v>512000000</v>
      </c>
      <c r="X145" s="29">
        <f t="shared" si="19"/>
        <v>512000000</v>
      </c>
      <c r="Y145" s="29">
        <f t="shared" si="19"/>
        <v>512000000</v>
      </c>
    </row>
    <row r="146" spans="1:25" outlineLevel="1" x14ac:dyDescent="0.3">
      <c r="A146" t="s">
        <v>164</v>
      </c>
      <c r="B146" t="s">
        <v>86</v>
      </c>
      <c r="C146" s="6" t="s">
        <v>162</v>
      </c>
      <c r="D146" t="s">
        <v>48</v>
      </c>
      <c r="E146" s="27">
        <f>SUMIFS(INDEX(Load,,MATCH('Summarized Source Data'!$B146,Hour,0)),Season,'Summarized Source Data'!$A146,Sector,'Summarized Source Data'!E$2,Subsector,'Summarized Source Data'!E$3,TimeOfWeek,$D146)</f>
        <v>0</v>
      </c>
      <c r="F146" s="27">
        <f>SUMIFS(INDEX(Load,,MATCH('Summarized Source Data'!$B146,Hour,0)),Season,'Summarized Source Data'!$A146,Sector,'Summarized Source Data'!F$2,Subsector,'Summarized Source Data'!F$3,TimeOfWeek,$D146)</f>
        <v>5041774</v>
      </c>
      <c r="G146" s="27">
        <f>SUMIFS(INDEX(Load,,MATCH('Summarized Source Data'!$B146,Hour,0)),Season,'Summarized Source Data'!$A146,Sector,'Summarized Source Data'!G$2,Subsector,'Summarized Source Data'!G$3,TimeOfWeek,$D146)</f>
        <v>0</v>
      </c>
      <c r="H146" s="27">
        <f>SUMIFS(INDEX(Load,,MATCH('Summarized Source Data'!$B146,Hour,0)),Season,'Summarized Source Data'!$A146,Sector,'Summarized Source Data'!H$2,Subsector,'Summarized Source Data'!H$3,TimeOfWeek,$D146)</f>
        <v>80500000</v>
      </c>
      <c r="I146" s="27">
        <f t="shared" si="14"/>
        <v>80500000</v>
      </c>
      <c r="J146" s="29">
        <f t="shared" si="15"/>
        <v>80500000</v>
      </c>
      <c r="K146" s="27">
        <f>SUMIFS(INDEX(Load,,MATCH('Summarized Source Data'!$B146,Hour,0)),Season,'Summarized Source Data'!$A146,Sector,'Summarized Source Data'!K$2,Subsector,'Summarized Source Data'!K$3,TimeOfWeek,$D146)</f>
        <v>1119693</v>
      </c>
      <c r="L146" s="27">
        <f>SUMIFS(INDEX(Load,,MATCH('Summarized Source Data'!$B146,Hour,0)),Season,'Summarized Source Data'!$A146,Sector,'Summarized Source Data'!L$2,Subsector,'Summarized Source Data'!L$3,TimeOfWeek,$D146)</f>
        <v>17404889</v>
      </c>
      <c r="M146" s="27">
        <f>SUMIFS(INDEX(Load,,MATCH('Summarized Source Data'!$B146,Hour,0)),Season,'Summarized Source Data'!$A146,Sector,'Summarized Source Data'!M$2,Subsector,'Summarized Source Data'!M$3,TimeOfWeek,$D146)</f>
        <v>0</v>
      </c>
      <c r="N146" s="29">
        <f t="shared" si="16"/>
        <v>80500000</v>
      </c>
      <c r="O146" s="27">
        <f t="shared" si="17"/>
        <v>80500000</v>
      </c>
      <c r="P146" s="29">
        <f t="shared" si="18"/>
        <v>80500000</v>
      </c>
      <c r="Q146" s="33">
        <f>SUMIFS(INDEX(Load,,MATCH('Summarized Source Data'!$B146,Hour,0)),Season,'Summarized Source Data'!$A146,Sector,'Summarized Source Data'!Q$2,TimeOfWeek,$D146)</f>
        <v>5600000</v>
      </c>
      <c r="R146" s="33">
        <f>SUMIFS(INDEX(Load,,MATCH('Summarized Source Data'!$B146,Hour,0)),Season,'Summarized Source Data'!$A146,Sector,'Summarized Source Data'!R$2,TimeOfWeek,$D146)</f>
        <v>5600000</v>
      </c>
      <c r="S146" s="33">
        <f>SUMIFS(INDEX(Load,,MATCH('Summarized Source Data'!$B146,Hour,0)),Season,'Summarized Source Data'!$A146,Sector,'Summarized Source Data'!S$2,TimeOfWeek,$D146)</f>
        <v>5600000</v>
      </c>
      <c r="T146" s="33">
        <f>SUMIFS(INDEX(Load,,MATCH('Summarized Source Data'!$B146,Hour,0)),Season,'Summarized Source Data'!$A146,Sector,'Summarized Source Data'!T$2,TimeOfWeek,$D146)</f>
        <v>5600000</v>
      </c>
      <c r="U146" s="33">
        <f>SUMIFS(INDEX(Load,,MATCH('Summarized Source Data'!$B146,Hour,0)),Season,'Summarized Source Data'!$A146,Sector,'Summarized Source Data'!U$2,TimeOfWeek,$D146)</f>
        <v>5600000</v>
      </c>
      <c r="V146" s="33">
        <f>SUMIFS(INDEX(Load,,MATCH('Summarized Source Data'!$B146,Hour,0)),Season,'Summarized Source Data'!$A146,Sector,'Summarized Source Data'!V$2,TimeOfWeek,$D146)</f>
        <v>5600000</v>
      </c>
      <c r="W146" s="27">
        <f>SUMIFS(INDEX(Load,,MATCH('Summarized Source Data'!$B146,Hour,0)),Season,'Summarized Source Data'!$A146,Sector,'Summarized Source Data'!W$2,Subsector,'Summarized Source Data'!W$3,TimeOfWeek,$D146)</f>
        <v>509000000</v>
      </c>
      <c r="X146" s="29">
        <f t="shared" si="19"/>
        <v>509000000</v>
      </c>
      <c r="Y146" s="29">
        <f t="shared" si="19"/>
        <v>509000000</v>
      </c>
    </row>
    <row r="147" spans="1:25" outlineLevel="1" x14ac:dyDescent="0.3">
      <c r="A147" t="s">
        <v>164</v>
      </c>
      <c r="B147" t="s">
        <v>87</v>
      </c>
      <c r="C147" s="6" t="s">
        <v>163</v>
      </c>
      <c r="D147" t="s">
        <v>48</v>
      </c>
      <c r="E147" s="27">
        <f>SUMIFS(INDEX(Load,,MATCH('Summarized Source Data'!$B147,Hour,0)),Season,'Summarized Source Data'!$A147,Sector,'Summarized Source Data'!E$2,Subsector,'Summarized Source Data'!E$3,TimeOfWeek,$D147)</f>
        <v>0</v>
      </c>
      <c r="F147" s="27">
        <f>SUMIFS(INDEX(Load,,MATCH('Summarized Source Data'!$B147,Hour,0)),Season,'Summarized Source Data'!$A147,Sector,'Summarized Source Data'!F$2,Subsector,'Summarized Source Data'!F$3,TimeOfWeek,$D147)</f>
        <v>3735725</v>
      </c>
      <c r="G147" s="27">
        <f>SUMIFS(INDEX(Load,,MATCH('Summarized Source Data'!$B147,Hour,0)),Season,'Summarized Source Data'!$A147,Sector,'Summarized Source Data'!G$2,Subsector,'Summarized Source Data'!G$3,TimeOfWeek,$D147)</f>
        <v>0</v>
      </c>
      <c r="H147" s="27">
        <f>SUMIFS(INDEX(Load,,MATCH('Summarized Source Data'!$B147,Hour,0)),Season,'Summarized Source Data'!$A147,Sector,'Summarized Source Data'!H$2,Subsector,'Summarized Source Data'!H$3,TimeOfWeek,$D147)</f>
        <v>45000000</v>
      </c>
      <c r="I147" s="27">
        <f t="shared" si="14"/>
        <v>45000000</v>
      </c>
      <c r="J147" s="29">
        <f t="shared" si="15"/>
        <v>45000000</v>
      </c>
      <c r="K147" s="27">
        <f>SUMIFS(INDEX(Load,,MATCH('Summarized Source Data'!$B147,Hour,0)),Season,'Summarized Source Data'!$A147,Sector,'Summarized Source Data'!K$2,Subsector,'Summarized Source Data'!K$3,TimeOfWeek,$D147)</f>
        <v>1103102</v>
      </c>
      <c r="L147" s="27">
        <f>SUMIFS(INDEX(Load,,MATCH('Summarized Source Data'!$B147,Hour,0)),Season,'Summarized Source Data'!$A147,Sector,'Summarized Source Data'!L$2,Subsector,'Summarized Source Data'!L$3,TimeOfWeek,$D147)</f>
        <v>15593456</v>
      </c>
      <c r="M147" s="27">
        <f>SUMIFS(INDEX(Load,,MATCH('Summarized Source Data'!$B147,Hour,0)),Season,'Summarized Source Data'!$A147,Sector,'Summarized Source Data'!M$2,Subsector,'Summarized Source Data'!M$3,TimeOfWeek,$D147)</f>
        <v>0</v>
      </c>
      <c r="N147" s="29">
        <f t="shared" si="16"/>
        <v>45000000</v>
      </c>
      <c r="O147" s="27">
        <f t="shared" si="17"/>
        <v>45000000</v>
      </c>
      <c r="P147" s="29">
        <f t="shared" si="18"/>
        <v>45000000</v>
      </c>
      <c r="Q147" s="33">
        <f>SUMIFS(INDEX(Load,,MATCH('Summarized Source Data'!$B147,Hour,0)),Season,'Summarized Source Data'!$A147,Sector,'Summarized Source Data'!Q$2,TimeOfWeek,$D147)</f>
        <v>3750000</v>
      </c>
      <c r="R147" s="33">
        <f>SUMIFS(INDEX(Load,,MATCH('Summarized Source Data'!$B147,Hour,0)),Season,'Summarized Source Data'!$A147,Sector,'Summarized Source Data'!R$2,TimeOfWeek,$D147)</f>
        <v>3750000</v>
      </c>
      <c r="S147" s="33">
        <f>SUMIFS(INDEX(Load,,MATCH('Summarized Source Data'!$B147,Hour,0)),Season,'Summarized Source Data'!$A147,Sector,'Summarized Source Data'!S$2,TimeOfWeek,$D147)</f>
        <v>3750000</v>
      </c>
      <c r="T147" s="33">
        <f>SUMIFS(INDEX(Load,,MATCH('Summarized Source Data'!$B147,Hour,0)),Season,'Summarized Source Data'!$A147,Sector,'Summarized Source Data'!T$2,TimeOfWeek,$D147)</f>
        <v>3750000</v>
      </c>
      <c r="U147" s="33">
        <f>SUMIFS(INDEX(Load,,MATCH('Summarized Source Data'!$B147,Hour,0)),Season,'Summarized Source Data'!$A147,Sector,'Summarized Source Data'!U$2,TimeOfWeek,$D147)</f>
        <v>3750000</v>
      </c>
      <c r="V147" s="33">
        <f>SUMIFS(INDEX(Load,,MATCH('Summarized Source Data'!$B147,Hour,0)),Season,'Summarized Source Data'!$A147,Sector,'Summarized Source Data'!V$2,TimeOfWeek,$D147)</f>
        <v>3750000</v>
      </c>
      <c r="W147" s="27">
        <f>SUMIFS(INDEX(Load,,MATCH('Summarized Source Data'!$B147,Hour,0)),Season,'Summarized Source Data'!$A147,Sector,'Summarized Source Data'!W$2,Subsector,'Summarized Source Data'!W$3,TimeOfWeek,$D147)</f>
        <v>508000000</v>
      </c>
      <c r="X147" s="29">
        <f t="shared" si="19"/>
        <v>508000000</v>
      </c>
      <c r="Y147" s="29">
        <f t="shared" si="19"/>
        <v>508000000</v>
      </c>
    </row>
    <row r="148" spans="1:25" outlineLevel="1" x14ac:dyDescent="0.3">
      <c r="A148" t="s">
        <v>165</v>
      </c>
      <c r="B148" t="s">
        <v>64</v>
      </c>
      <c r="C148" s="6" t="s">
        <v>140</v>
      </c>
      <c r="D148" t="s">
        <v>48</v>
      </c>
      <c r="E148" s="27">
        <f>SUMIFS(INDEX(Load,,MATCH('Summarized Source Data'!$B148,Hour,0)),Season,'Summarized Source Data'!$A148,Sector,'Summarized Source Data'!E$2,Subsector,'Summarized Source Data'!E$3,TimeOfWeek,$D148)</f>
        <v>0</v>
      </c>
      <c r="F148" s="27">
        <f>SUMIFS(INDEX(Load,,MATCH('Summarized Source Data'!$B148,Hour,0)),Season,'Summarized Source Data'!$A148,Sector,'Summarized Source Data'!F$2,Subsector,'Summarized Source Data'!F$3,TimeOfWeek,$D148)</f>
        <v>6070000</v>
      </c>
      <c r="G148" s="27">
        <f>SUMIFS(INDEX(Load,,MATCH('Summarized Source Data'!$B148,Hour,0)),Season,'Summarized Source Data'!$A148,Sector,'Summarized Source Data'!G$2,Subsector,'Summarized Source Data'!G$3,TimeOfWeek,$D148)</f>
        <v>0</v>
      </c>
      <c r="H148" s="27">
        <f>SUMIFS(INDEX(Load,,MATCH('Summarized Source Data'!$B148,Hour,0)),Season,'Summarized Source Data'!$A148,Sector,'Summarized Source Data'!H$2,Subsector,'Summarized Source Data'!H$3,TimeOfWeek,$D148)</f>
        <v>29807643</v>
      </c>
      <c r="I148" s="27">
        <f t="shared" si="14"/>
        <v>29807643</v>
      </c>
      <c r="J148" s="29">
        <f t="shared" si="15"/>
        <v>29807643</v>
      </c>
      <c r="K148" s="27">
        <f>SUMIFS(INDEX(Load,,MATCH('Summarized Source Data'!$B148,Hour,0)),Season,'Summarized Source Data'!$A148,Sector,'Summarized Source Data'!K$2,Subsector,'Summarized Source Data'!K$3,TimeOfWeek,$D148)</f>
        <v>1129716</v>
      </c>
      <c r="L148" s="27">
        <f>SUMIFS(INDEX(Load,,MATCH('Summarized Source Data'!$B148,Hour,0)),Season,'Summarized Source Data'!$A148,Sector,'Summarized Source Data'!L$2,Subsector,'Summarized Source Data'!L$3,TimeOfWeek,$D148)</f>
        <v>19977026</v>
      </c>
      <c r="M148" s="27">
        <f>SUMIFS(INDEX(Load,,MATCH('Summarized Source Data'!$B148,Hour,0)),Season,'Summarized Source Data'!$A148,Sector,'Summarized Source Data'!M$2,Subsector,'Summarized Source Data'!M$3,TimeOfWeek,$D148)</f>
        <v>0</v>
      </c>
      <c r="N148" s="29">
        <f t="shared" si="16"/>
        <v>29807643</v>
      </c>
      <c r="O148" s="27">
        <f t="shared" si="17"/>
        <v>29807643</v>
      </c>
      <c r="P148" s="29">
        <f t="shared" si="18"/>
        <v>29807643</v>
      </c>
      <c r="Q148" s="33">
        <f>SUMIFS(INDEX(Load,,MATCH('Summarized Source Data'!$B148,Hour,0)),Season,'Summarized Source Data'!$A148,Sector,'Summarized Source Data'!Q$2,TimeOfWeek,$D148)</f>
        <v>2438000</v>
      </c>
      <c r="R148" s="33">
        <f>SUMIFS(INDEX(Load,,MATCH('Summarized Source Data'!$B148,Hour,0)),Season,'Summarized Source Data'!$A148,Sector,'Summarized Source Data'!R$2,TimeOfWeek,$D148)</f>
        <v>2438000</v>
      </c>
      <c r="S148" s="33">
        <f>SUMIFS(INDEX(Load,,MATCH('Summarized Source Data'!$B148,Hour,0)),Season,'Summarized Source Data'!$A148,Sector,'Summarized Source Data'!S$2,TimeOfWeek,$D148)</f>
        <v>2438000</v>
      </c>
      <c r="T148" s="33">
        <f>SUMIFS(INDEX(Load,,MATCH('Summarized Source Data'!$B148,Hour,0)),Season,'Summarized Source Data'!$A148,Sector,'Summarized Source Data'!T$2,TimeOfWeek,$D148)</f>
        <v>2438000</v>
      </c>
      <c r="U148" s="33">
        <f>SUMIFS(INDEX(Load,,MATCH('Summarized Source Data'!$B148,Hour,0)),Season,'Summarized Source Data'!$A148,Sector,'Summarized Source Data'!U$2,TimeOfWeek,$D148)</f>
        <v>2438000</v>
      </c>
      <c r="V148" s="33">
        <f>SUMIFS(INDEX(Load,,MATCH('Summarized Source Data'!$B148,Hour,0)),Season,'Summarized Source Data'!$A148,Sector,'Summarized Source Data'!V$2,TimeOfWeek,$D148)</f>
        <v>2438000</v>
      </c>
      <c r="W148" s="27">
        <f>SUMIFS(INDEX(Load,,MATCH('Summarized Source Data'!$B148,Hour,0)),Season,'Summarized Source Data'!$A148,Sector,'Summarized Source Data'!W$2,Subsector,'Summarized Source Data'!W$3,TimeOfWeek,$D148)</f>
        <v>503000000</v>
      </c>
      <c r="X148" s="29">
        <f t="shared" si="19"/>
        <v>503000000</v>
      </c>
      <c r="Y148" s="29">
        <f t="shared" si="19"/>
        <v>503000000</v>
      </c>
    </row>
    <row r="149" spans="1:25" outlineLevel="1" x14ac:dyDescent="0.3">
      <c r="A149" t="s">
        <v>165</v>
      </c>
      <c r="B149" t="s">
        <v>65</v>
      </c>
      <c r="C149" s="6" t="s">
        <v>141</v>
      </c>
      <c r="D149" t="s">
        <v>48</v>
      </c>
      <c r="E149" s="27">
        <f>SUMIFS(INDEX(Load,,MATCH('Summarized Source Data'!$B149,Hour,0)),Season,'Summarized Source Data'!$A149,Sector,'Summarized Source Data'!E$2,Subsector,'Summarized Source Data'!E$3,TimeOfWeek,$D149)</f>
        <v>0</v>
      </c>
      <c r="F149" s="27">
        <f>SUMIFS(INDEX(Load,,MATCH('Summarized Source Data'!$B149,Hour,0)),Season,'Summarized Source Data'!$A149,Sector,'Summarized Source Data'!F$2,Subsector,'Summarized Source Data'!F$3,TimeOfWeek,$D149)</f>
        <v>5450729</v>
      </c>
      <c r="G149" s="27">
        <f>SUMIFS(INDEX(Load,,MATCH('Summarized Source Data'!$B149,Hour,0)),Season,'Summarized Source Data'!$A149,Sector,'Summarized Source Data'!G$2,Subsector,'Summarized Source Data'!G$3,TimeOfWeek,$D149)</f>
        <v>0</v>
      </c>
      <c r="H149" s="27">
        <f>SUMIFS(INDEX(Load,,MATCH('Summarized Source Data'!$B149,Hour,0)),Season,'Summarized Source Data'!$A149,Sector,'Summarized Source Data'!H$2,Subsector,'Summarized Source Data'!H$3,TimeOfWeek,$D149)</f>
        <v>25727149</v>
      </c>
      <c r="I149" s="27">
        <f t="shared" si="14"/>
        <v>25727149</v>
      </c>
      <c r="J149" s="29">
        <f t="shared" si="15"/>
        <v>25727149</v>
      </c>
      <c r="K149" s="27">
        <f>SUMIFS(INDEX(Load,,MATCH('Summarized Source Data'!$B149,Hour,0)),Season,'Summarized Source Data'!$A149,Sector,'Summarized Source Data'!K$2,Subsector,'Summarized Source Data'!K$3,TimeOfWeek,$D149)</f>
        <v>1150963</v>
      </c>
      <c r="L149" s="27">
        <f>SUMIFS(INDEX(Load,,MATCH('Summarized Source Data'!$B149,Hour,0)),Season,'Summarized Source Data'!$A149,Sector,'Summarized Source Data'!L$2,Subsector,'Summarized Source Data'!L$3,TimeOfWeek,$D149)</f>
        <v>19087164</v>
      </c>
      <c r="M149" s="27">
        <f>SUMIFS(INDEX(Load,,MATCH('Summarized Source Data'!$B149,Hour,0)),Season,'Summarized Source Data'!$A149,Sector,'Summarized Source Data'!M$2,Subsector,'Summarized Source Data'!M$3,TimeOfWeek,$D149)</f>
        <v>0</v>
      </c>
      <c r="N149" s="29">
        <f t="shared" si="16"/>
        <v>25727149</v>
      </c>
      <c r="O149" s="27">
        <f t="shared" si="17"/>
        <v>25727149</v>
      </c>
      <c r="P149" s="29">
        <f t="shared" si="18"/>
        <v>25727149</v>
      </c>
      <c r="Q149" s="33">
        <f>SUMIFS(INDEX(Load,,MATCH('Summarized Source Data'!$B149,Hour,0)),Season,'Summarized Source Data'!$A149,Sector,'Summarized Source Data'!Q$2,TimeOfWeek,$D149)</f>
        <v>2420000</v>
      </c>
      <c r="R149" s="33">
        <f>SUMIFS(INDEX(Load,,MATCH('Summarized Source Data'!$B149,Hour,0)),Season,'Summarized Source Data'!$A149,Sector,'Summarized Source Data'!R$2,TimeOfWeek,$D149)</f>
        <v>2420000</v>
      </c>
      <c r="S149" s="33">
        <f>SUMIFS(INDEX(Load,,MATCH('Summarized Source Data'!$B149,Hour,0)),Season,'Summarized Source Data'!$A149,Sector,'Summarized Source Data'!S$2,TimeOfWeek,$D149)</f>
        <v>2420000</v>
      </c>
      <c r="T149" s="33">
        <f>SUMIFS(INDEX(Load,,MATCH('Summarized Source Data'!$B149,Hour,0)),Season,'Summarized Source Data'!$A149,Sector,'Summarized Source Data'!T$2,TimeOfWeek,$D149)</f>
        <v>2420000</v>
      </c>
      <c r="U149" s="33">
        <f>SUMIFS(INDEX(Load,,MATCH('Summarized Source Data'!$B149,Hour,0)),Season,'Summarized Source Data'!$A149,Sector,'Summarized Source Data'!U$2,TimeOfWeek,$D149)</f>
        <v>2420000</v>
      </c>
      <c r="V149" s="33">
        <f>SUMIFS(INDEX(Load,,MATCH('Summarized Source Data'!$B149,Hour,0)),Season,'Summarized Source Data'!$A149,Sector,'Summarized Source Data'!V$2,TimeOfWeek,$D149)</f>
        <v>2420000</v>
      </c>
      <c r="W149" s="27">
        <f>SUMIFS(INDEX(Load,,MATCH('Summarized Source Data'!$B149,Hour,0)),Season,'Summarized Source Data'!$A149,Sector,'Summarized Source Data'!W$2,Subsector,'Summarized Source Data'!W$3,TimeOfWeek,$D149)</f>
        <v>503000000</v>
      </c>
      <c r="X149" s="29">
        <f t="shared" si="19"/>
        <v>503000000</v>
      </c>
      <c r="Y149" s="29">
        <f t="shared" si="19"/>
        <v>503000000</v>
      </c>
    </row>
    <row r="150" spans="1:25" outlineLevel="1" x14ac:dyDescent="0.3">
      <c r="A150" t="s">
        <v>165</v>
      </c>
      <c r="B150" t="s">
        <v>66</v>
      </c>
      <c r="C150" s="6" t="s">
        <v>142</v>
      </c>
      <c r="D150" t="s">
        <v>48</v>
      </c>
      <c r="E150" s="27">
        <f>SUMIFS(INDEX(Load,,MATCH('Summarized Source Data'!$B150,Hour,0)),Season,'Summarized Source Data'!$A150,Sector,'Summarized Source Data'!E$2,Subsector,'Summarized Source Data'!E$3,TimeOfWeek,$D150)</f>
        <v>0</v>
      </c>
      <c r="F150" s="27">
        <f>SUMIFS(INDEX(Load,,MATCH('Summarized Source Data'!$B150,Hour,0)),Season,'Summarized Source Data'!$A150,Sector,'Summarized Source Data'!F$2,Subsector,'Summarized Source Data'!F$3,TimeOfWeek,$D150)</f>
        <v>5283870</v>
      </c>
      <c r="G150" s="27">
        <f>SUMIFS(INDEX(Load,,MATCH('Summarized Source Data'!$B150,Hour,0)),Season,'Summarized Source Data'!$A150,Sector,'Summarized Source Data'!G$2,Subsector,'Summarized Source Data'!G$3,TimeOfWeek,$D150)</f>
        <v>0</v>
      </c>
      <c r="H150" s="27">
        <f>SUMIFS(INDEX(Load,,MATCH('Summarized Source Data'!$B150,Hour,0)),Season,'Summarized Source Data'!$A150,Sector,'Summarized Source Data'!H$2,Subsector,'Summarized Source Data'!H$3,TimeOfWeek,$D150)</f>
        <v>24847802</v>
      </c>
      <c r="I150" s="27">
        <f t="shared" si="14"/>
        <v>24847802</v>
      </c>
      <c r="J150" s="29">
        <f t="shared" si="15"/>
        <v>24847802</v>
      </c>
      <c r="K150" s="27">
        <f>SUMIFS(INDEX(Load,,MATCH('Summarized Source Data'!$B150,Hour,0)),Season,'Summarized Source Data'!$A150,Sector,'Summarized Source Data'!K$2,Subsector,'Summarized Source Data'!K$3,TimeOfWeek,$D150)</f>
        <v>1191459</v>
      </c>
      <c r="L150" s="27">
        <f>SUMIFS(INDEX(Load,,MATCH('Summarized Source Data'!$B150,Hour,0)),Season,'Summarized Source Data'!$A150,Sector,'Summarized Source Data'!L$2,Subsector,'Summarized Source Data'!L$3,TimeOfWeek,$D150)</f>
        <v>18764809</v>
      </c>
      <c r="M150" s="27">
        <f>SUMIFS(INDEX(Load,,MATCH('Summarized Source Data'!$B150,Hour,0)),Season,'Summarized Source Data'!$A150,Sector,'Summarized Source Data'!M$2,Subsector,'Summarized Source Data'!M$3,TimeOfWeek,$D150)</f>
        <v>0</v>
      </c>
      <c r="N150" s="29">
        <f t="shared" si="16"/>
        <v>24847802</v>
      </c>
      <c r="O150" s="27">
        <f t="shared" si="17"/>
        <v>24847802</v>
      </c>
      <c r="P150" s="29">
        <f t="shared" si="18"/>
        <v>24847802</v>
      </c>
      <c r="Q150" s="33">
        <f>SUMIFS(INDEX(Load,,MATCH('Summarized Source Data'!$B150,Hour,0)),Season,'Summarized Source Data'!$A150,Sector,'Summarized Source Data'!Q$2,TimeOfWeek,$D150)</f>
        <v>2414000</v>
      </c>
      <c r="R150" s="33">
        <f>SUMIFS(INDEX(Load,,MATCH('Summarized Source Data'!$B150,Hour,0)),Season,'Summarized Source Data'!$A150,Sector,'Summarized Source Data'!R$2,TimeOfWeek,$D150)</f>
        <v>2414000</v>
      </c>
      <c r="S150" s="33">
        <f>SUMIFS(INDEX(Load,,MATCH('Summarized Source Data'!$B150,Hour,0)),Season,'Summarized Source Data'!$A150,Sector,'Summarized Source Data'!S$2,TimeOfWeek,$D150)</f>
        <v>2414000</v>
      </c>
      <c r="T150" s="33">
        <f>SUMIFS(INDEX(Load,,MATCH('Summarized Source Data'!$B150,Hour,0)),Season,'Summarized Source Data'!$A150,Sector,'Summarized Source Data'!T$2,TimeOfWeek,$D150)</f>
        <v>2414000</v>
      </c>
      <c r="U150" s="33">
        <f>SUMIFS(INDEX(Load,,MATCH('Summarized Source Data'!$B150,Hour,0)),Season,'Summarized Source Data'!$A150,Sector,'Summarized Source Data'!U$2,TimeOfWeek,$D150)</f>
        <v>2414000</v>
      </c>
      <c r="V150" s="33">
        <f>SUMIFS(INDEX(Load,,MATCH('Summarized Source Data'!$B150,Hour,0)),Season,'Summarized Source Data'!$A150,Sector,'Summarized Source Data'!V$2,TimeOfWeek,$D150)</f>
        <v>2414000</v>
      </c>
      <c r="W150" s="27">
        <f>SUMIFS(INDEX(Load,,MATCH('Summarized Source Data'!$B150,Hour,0)),Season,'Summarized Source Data'!$A150,Sector,'Summarized Source Data'!W$2,Subsector,'Summarized Source Data'!W$3,TimeOfWeek,$D150)</f>
        <v>503000000</v>
      </c>
      <c r="X150" s="29">
        <f t="shared" si="19"/>
        <v>503000000</v>
      </c>
      <c r="Y150" s="29">
        <f t="shared" si="19"/>
        <v>503000000</v>
      </c>
    </row>
    <row r="151" spans="1:25" outlineLevel="1" x14ac:dyDescent="0.3">
      <c r="A151" t="s">
        <v>165</v>
      </c>
      <c r="B151" t="s">
        <v>67</v>
      </c>
      <c r="C151" s="6" t="s">
        <v>143</v>
      </c>
      <c r="D151" t="s">
        <v>48</v>
      </c>
      <c r="E151" s="27">
        <f>SUMIFS(INDEX(Load,,MATCH('Summarized Source Data'!$B151,Hour,0)),Season,'Summarized Source Data'!$A151,Sector,'Summarized Source Data'!E$2,Subsector,'Summarized Source Data'!E$3,TimeOfWeek,$D151)</f>
        <v>0</v>
      </c>
      <c r="F151" s="27">
        <f>SUMIFS(INDEX(Load,,MATCH('Summarized Source Data'!$B151,Hour,0)),Season,'Summarized Source Data'!$A151,Sector,'Summarized Source Data'!F$2,Subsector,'Summarized Source Data'!F$3,TimeOfWeek,$D151)</f>
        <v>5533598</v>
      </c>
      <c r="G151" s="27">
        <f>SUMIFS(INDEX(Load,,MATCH('Summarized Source Data'!$B151,Hour,0)),Season,'Summarized Source Data'!$A151,Sector,'Summarized Source Data'!G$2,Subsector,'Summarized Source Data'!G$3,TimeOfWeek,$D151)</f>
        <v>0</v>
      </c>
      <c r="H151" s="27">
        <f>SUMIFS(INDEX(Load,,MATCH('Summarized Source Data'!$B151,Hour,0)),Season,'Summarized Source Data'!$A151,Sector,'Summarized Source Data'!H$2,Subsector,'Summarized Source Data'!H$3,TimeOfWeek,$D151)</f>
        <v>24826827</v>
      </c>
      <c r="I151" s="27">
        <f t="shared" si="14"/>
        <v>24826827</v>
      </c>
      <c r="J151" s="29">
        <f t="shared" si="15"/>
        <v>24826827</v>
      </c>
      <c r="K151" s="27">
        <f>SUMIFS(INDEX(Load,,MATCH('Summarized Source Data'!$B151,Hour,0)),Season,'Summarized Source Data'!$A151,Sector,'Summarized Source Data'!K$2,Subsector,'Summarized Source Data'!K$3,TimeOfWeek,$D151)</f>
        <v>1228737</v>
      </c>
      <c r="L151" s="27">
        <f>SUMIFS(INDEX(Load,,MATCH('Summarized Source Data'!$B151,Hour,0)),Season,'Summarized Source Data'!$A151,Sector,'Summarized Source Data'!L$2,Subsector,'Summarized Source Data'!L$3,TimeOfWeek,$D151)</f>
        <v>18878171</v>
      </c>
      <c r="M151" s="27">
        <f>SUMIFS(INDEX(Load,,MATCH('Summarized Source Data'!$B151,Hour,0)),Season,'Summarized Source Data'!$A151,Sector,'Summarized Source Data'!M$2,Subsector,'Summarized Source Data'!M$3,TimeOfWeek,$D151)</f>
        <v>0</v>
      </c>
      <c r="N151" s="29">
        <f t="shared" si="16"/>
        <v>24826827</v>
      </c>
      <c r="O151" s="27">
        <f t="shared" si="17"/>
        <v>24826827</v>
      </c>
      <c r="P151" s="29">
        <f t="shared" si="18"/>
        <v>24826827</v>
      </c>
      <c r="Q151" s="33">
        <f>SUMIFS(INDEX(Load,,MATCH('Summarized Source Data'!$B151,Hour,0)),Season,'Summarized Source Data'!$A151,Sector,'Summarized Source Data'!Q$2,TimeOfWeek,$D151)</f>
        <v>2414000</v>
      </c>
      <c r="R151" s="33">
        <f>SUMIFS(INDEX(Load,,MATCH('Summarized Source Data'!$B151,Hour,0)),Season,'Summarized Source Data'!$A151,Sector,'Summarized Source Data'!R$2,TimeOfWeek,$D151)</f>
        <v>2414000</v>
      </c>
      <c r="S151" s="33">
        <f>SUMIFS(INDEX(Load,,MATCH('Summarized Source Data'!$B151,Hour,0)),Season,'Summarized Source Data'!$A151,Sector,'Summarized Source Data'!S$2,TimeOfWeek,$D151)</f>
        <v>2414000</v>
      </c>
      <c r="T151" s="33">
        <f>SUMIFS(INDEX(Load,,MATCH('Summarized Source Data'!$B151,Hour,0)),Season,'Summarized Source Data'!$A151,Sector,'Summarized Source Data'!T$2,TimeOfWeek,$D151)</f>
        <v>2414000</v>
      </c>
      <c r="U151" s="33">
        <f>SUMIFS(INDEX(Load,,MATCH('Summarized Source Data'!$B151,Hour,0)),Season,'Summarized Source Data'!$A151,Sector,'Summarized Source Data'!U$2,TimeOfWeek,$D151)</f>
        <v>2414000</v>
      </c>
      <c r="V151" s="33">
        <f>SUMIFS(INDEX(Load,,MATCH('Summarized Source Data'!$B151,Hour,0)),Season,'Summarized Source Data'!$A151,Sector,'Summarized Source Data'!V$2,TimeOfWeek,$D151)</f>
        <v>2414000</v>
      </c>
      <c r="W151" s="27">
        <f>SUMIFS(INDEX(Load,,MATCH('Summarized Source Data'!$B151,Hour,0)),Season,'Summarized Source Data'!$A151,Sector,'Summarized Source Data'!W$2,Subsector,'Summarized Source Data'!W$3,TimeOfWeek,$D151)</f>
        <v>504000000</v>
      </c>
      <c r="X151" s="29">
        <f t="shared" si="19"/>
        <v>504000000</v>
      </c>
      <c r="Y151" s="29">
        <f t="shared" si="19"/>
        <v>504000000</v>
      </c>
    </row>
    <row r="152" spans="1:25" outlineLevel="1" x14ac:dyDescent="0.3">
      <c r="A152" t="s">
        <v>165</v>
      </c>
      <c r="B152" t="s">
        <v>68</v>
      </c>
      <c r="C152" s="6" t="s">
        <v>144</v>
      </c>
      <c r="D152" t="s">
        <v>48</v>
      </c>
      <c r="E152" s="27">
        <f>SUMIFS(INDEX(Load,,MATCH('Summarized Source Data'!$B152,Hour,0)),Season,'Summarized Source Data'!$A152,Sector,'Summarized Source Data'!E$2,Subsector,'Summarized Source Data'!E$3,TimeOfWeek,$D152)</f>
        <v>0</v>
      </c>
      <c r="F152" s="27">
        <f>SUMIFS(INDEX(Load,,MATCH('Summarized Source Data'!$B152,Hour,0)),Season,'Summarized Source Data'!$A152,Sector,'Summarized Source Data'!F$2,Subsector,'Summarized Source Data'!F$3,TimeOfWeek,$D152)</f>
        <v>6236530</v>
      </c>
      <c r="G152" s="27">
        <f>SUMIFS(INDEX(Load,,MATCH('Summarized Source Data'!$B152,Hour,0)),Season,'Summarized Source Data'!$A152,Sector,'Summarized Source Data'!G$2,Subsector,'Summarized Source Data'!G$3,TimeOfWeek,$D152)</f>
        <v>0</v>
      </c>
      <c r="H152" s="27">
        <f>SUMIFS(INDEX(Load,,MATCH('Summarized Source Data'!$B152,Hour,0)),Season,'Summarized Source Data'!$A152,Sector,'Summarized Source Data'!H$2,Subsector,'Summarized Source Data'!H$3,TimeOfWeek,$D152)</f>
        <v>26132619</v>
      </c>
      <c r="I152" s="27">
        <f t="shared" si="14"/>
        <v>26132619</v>
      </c>
      <c r="J152" s="29">
        <f t="shared" si="15"/>
        <v>26132619</v>
      </c>
      <c r="K152" s="27">
        <f>SUMIFS(INDEX(Load,,MATCH('Summarized Source Data'!$B152,Hour,0)),Season,'Summarized Source Data'!$A152,Sector,'Summarized Source Data'!K$2,Subsector,'Summarized Source Data'!K$3,TimeOfWeek,$D152)</f>
        <v>1222345</v>
      </c>
      <c r="L152" s="27">
        <f>SUMIFS(INDEX(Load,,MATCH('Summarized Source Data'!$B152,Hour,0)),Season,'Summarized Source Data'!$A152,Sector,'Summarized Source Data'!L$2,Subsector,'Summarized Source Data'!L$3,TimeOfWeek,$D152)</f>
        <v>19431585</v>
      </c>
      <c r="M152" s="27">
        <f>SUMIFS(INDEX(Load,,MATCH('Summarized Source Data'!$B152,Hour,0)),Season,'Summarized Source Data'!$A152,Sector,'Summarized Source Data'!M$2,Subsector,'Summarized Source Data'!M$3,TimeOfWeek,$D152)</f>
        <v>0</v>
      </c>
      <c r="N152" s="29">
        <f t="shared" si="16"/>
        <v>26132619</v>
      </c>
      <c r="O152" s="27">
        <f t="shared" si="17"/>
        <v>26132619</v>
      </c>
      <c r="P152" s="29">
        <f t="shared" si="18"/>
        <v>26132619</v>
      </c>
      <c r="Q152" s="33">
        <f>SUMIFS(INDEX(Load,,MATCH('Summarized Source Data'!$B152,Hour,0)),Season,'Summarized Source Data'!$A152,Sector,'Summarized Source Data'!Q$2,TimeOfWeek,$D152)</f>
        <v>2412000</v>
      </c>
      <c r="R152" s="33">
        <f>SUMIFS(INDEX(Load,,MATCH('Summarized Source Data'!$B152,Hour,0)),Season,'Summarized Source Data'!$A152,Sector,'Summarized Source Data'!R$2,TimeOfWeek,$D152)</f>
        <v>2412000</v>
      </c>
      <c r="S152" s="33">
        <f>SUMIFS(INDEX(Load,,MATCH('Summarized Source Data'!$B152,Hour,0)),Season,'Summarized Source Data'!$A152,Sector,'Summarized Source Data'!S$2,TimeOfWeek,$D152)</f>
        <v>2412000</v>
      </c>
      <c r="T152" s="33">
        <f>SUMIFS(INDEX(Load,,MATCH('Summarized Source Data'!$B152,Hour,0)),Season,'Summarized Source Data'!$A152,Sector,'Summarized Source Data'!T$2,TimeOfWeek,$D152)</f>
        <v>2412000</v>
      </c>
      <c r="U152" s="33">
        <f>SUMIFS(INDEX(Load,,MATCH('Summarized Source Data'!$B152,Hour,0)),Season,'Summarized Source Data'!$A152,Sector,'Summarized Source Data'!U$2,TimeOfWeek,$D152)</f>
        <v>2412000</v>
      </c>
      <c r="V152" s="33">
        <f>SUMIFS(INDEX(Load,,MATCH('Summarized Source Data'!$B152,Hour,0)),Season,'Summarized Source Data'!$A152,Sector,'Summarized Source Data'!V$2,TimeOfWeek,$D152)</f>
        <v>2412000</v>
      </c>
      <c r="W152" s="27">
        <f>SUMIFS(INDEX(Load,,MATCH('Summarized Source Data'!$B152,Hour,0)),Season,'Summarized Source Data'!$A152,Sector,'Summarized Source Data'!W$2,Subsector,'Summarized Source Data'!W$3,TimeOfWeek,$D152)</f>
        <v>506000000</v>
      </c>
      <c r="X152" s="29">
        <f t="shared" si="19"/>
        <v>506000000</v>
      </c>
      <c r="Y152" s="29">
        <f t="shared" si="19"/>
        <v>506000000</v>
      </c>
    </row>
    <row r="153" spans="1:25" outlineLevel="1" x14ac:dyDescent="0.3">
      <c r="A153" t="s">
        <v>165</v>
      </c>
      <c r="B153" t="s">
        <v>69</v>
      </c>
      <c r="C153" s="6" t="s">
        <v>145</v>
      </c>
      <c r="D153" t="s">
        <v>48</v>
      </c>
      <c r="E153" s="27">
        <f>SUMIFS(INDEX(Load,,MATCH('Summarized Source Data'!$B153,Hour,0)),Season,'Summarized Source Data'!$A153,Sector,'Summarized Source Data'!E$2,Subsector,'Summarized Source Data'!E$3,TimeOfWeek,$D153)</f>
        <v>0</v>
      </c>
      <c r="F153" s="27">
        <f>SUMIFS(INDEX(Load,,MATCH('Summarized Source Data'!$B153,Hour,0)),Season,'Summarized Source Data'!$A153,Sector,'Summarized Source Data'!F$2,Subsector,'Summarized Source Data'!F$3,TimeOfWeek,$D153)</f>
        <v>7389606</v>
      </c>
      <c r="G153" s="27">
        <f>SUMIFS(INDEX(Load,,MATCH('Summarized Source Data'!$B153,Hour,0)),Season,'Summarized Source Data'!$A153,Sector,'Summarized Source Data'!G$2,Subsector,'Summarized Source Data'!G$3,TimeOfWeek,$D153)</f>
        <v>0</v>
      </c>
      <c r="H153" s="27">
        <f>SUMIFS(INDEX(Load,,MATCH('Summarized Source Data'!$B153,Hour,0)),Season,'Summarized Source Data'!$A153,Sector,'Summarized Source Data'!H$2,Subsector,'Summarized Source Data'!H$3,TimeOfWeek,$D153)</f>
        <v>33900000</v>
      </c>
      <c r="I153" s="27">
        <f t="shared" si="14"/>
        <v>33900000</v>
      </c>
      <c r="J153" s="29">
        <f t="shared" si="15"/>
        <v>33900000</v>
      </c>
      <c r="K153" s="27">
        <f>SUMIFS(INDEX(Load,,MATCH('Summarized Source Data'!$B153,Hour,0)),Season,'Summarized Source Data'!$A153,Sector,'Summarized Source Data'!K$2,Subsector,'Summarized Source Data'!K$3,TimeOfWeek,$D153)</f>
        <v>1294145</v>
      </c>
      <c r="L153" s="27">
        <f>SUMIFS(INDEX(Load,,MATCH('Summarized Source Data'!$B153,Hour,0)),Season,'Summarized Source Data'!$A153,Sector,'Summarized Source Data'!L$2,Subsector,'Summarized Source Data'!L$3,TimeOfWeek,$D153)</f>
        <v>20607686</v>
      </c>
      <c r="M153" s="27">
        <f>SUMIFS(INDEX(Load,,MATCH('Summarized Source Data'!$B153,Hour,0)),Season,'Summarized Source Data'!$A153,Sector,'Summarized Source Data'!M$2,Subsector,'Summarized Source Data'!M$3,TimeOfWeek,$D153)</f>
        <v>0</v>
      </c>
      <c r="N153" s="29">
        <f t="shared" si="16"/>
        <v>33900000</v>
      </c>
      <c r="O153" s="27">
        <f t="shared" si="17"/>
        <v>33900000</v>
      </c>
      <c r="P153" s="29">
        <f t="shared" si="18"/>
        <v>33900000</v>
      </c>
      <c r="Q153" s="33">
        <f>SUMIFS(INDEX(Load,,MATCH('Summarized Source Data'!$B153,Hour,0)),Season,'Summarized Source Data'!$A153,Sector,'Summarized Source Data'!Q$2,TimeOfWeek,$D153)</f>
        <v>2414000</v>
      </c>
      <c r="R153" s="33">
        <f>SUMIFS(INDEX(Load,,MATCH('Summarized Source Data'!$B153,Hour,0)),Season,'Summarized Source Data'!$A153,Sector,'Summarized Source Data'!R$2,TimeOfWeek,$D153)</f>
        <v>2414000</v>
      </c>
      <c r="S153" s="33">
        <f>SUMIFS(INDEX(Load,,MATCH('Summarized Source Data'!$B153,Hour,0)),Season,'Summarized Source Data'!$A153,Sector,'Summarized Source Data'!S$2,TimeOfWeek,$D153)</f>
        <v>2414000</v>
      </c>
      <c r="T153" s="33">
        <f>SUMIFS(INDEX(Load,,MATCH('Summarized Source Data'!$B153,Hour,0)),Season,'Summarized Source Data'!$A153,Sector,'Summarized Source Data'!T$2,TimeOfWeek,$D153)</f>
        <v>2414000</v>
      </c>
      <c r="U153" s="33">
        <f>SUMIFS(INDEX(Load,,MATCH('Summarized Source Data'!$B153,Hour,0)),Season,'Summarized Source Data'!$A153,Sector,'Summarized Source Data'!U$2,TimeOfWeek,$D153)</f>
        <v>2414000</v>
      </c>
      <c r="V153" s="33">
        <f>SUMIFS(INDEX(Load,,MATCH('Summarized Source Data'!$B153,Hour,0)),Season,'Summarized Source Data'!$A153,Sector,'Summarized Source Data'!V$2,TimeOfWeek,$D153)</f>
        <v>2414000</v>
      </c>
      <c r="W153" s="27">
        <f>SUMIFS(INDEX(Load,,MATCH('Summarized Source Data'!$B153,Hour,0)),Season,'Summarized Source Data'!$A153,Sector,'Summarized Source Data'!W$2,Subsector,'Summarized Source Data'!W$3,TimeOfWeek,$D153)</f>
        <v>509000000</v>
      </c>
      <c r="X153" s="29">
        <f t="shared" si="19"/>
        <v>509000000</v>
      </c>
      <c r="Y153" s="29">
        <f t="shared" si="19"/>
        <v>509000000</v>
      </c>
    </row>
    <row r="154" spans="1:25" outlineLevel="1" x14ac:dyDescent="0.3">
      <c r="A154" t="s">
        <v>165</v>
      </c>
      <c r="B154" t="s">
        <v>70</v>
      </c>
      <c r="C154" s="6" t="s">
        <v>146</v>
      </c>
      <c r="D154" t="s">
        <v>48</v>
      </c>
      <c r="E154" s="27">
        <f>SUMIFS(INDEX(Load,,MATCH('Summarized Source Data'!$B154,Hour,0)),Season,'Summarized Source Data'!$A154,Sector,'Summarized Source Data'!E$2,Subsector,'Summarized Source Data'!E$3,TimeOfWeek,$D154)</f>
        <v>0</v>
      </c>
      <c r="F154" s="27">
        <f>SUMIFS(INDEX(Load,,MATCH('Summarized Source Data'!$B154,Hour,0)),Season,'Summarized Source Data'!$A154,Sector,'Summarized Source Data'!F$2,Subsector,'Summarized Source Data'!F$3,TimeOfWeek,$D154)</f>
        <v>8991132</v>
      </c>
      <c r="G154" s="27">
        <f>SUMIFS(INDEX(Load,,MATCH('Summarized Source Data'!$B154,Hour,0)),Season,'Summarized Source Data'!$A154,Sector,'Summarized Source Data'!G$2,Subsector,'Summarized Source Data'!G$3,TimeOfWeek,$D154)</f>
        <v>0</v>
      </c>
      <c r="H154" s="27">
        <f>SUMIFS(INDEX(Load,,MATCH('Summarized Source Data'!$B154,Hour,0)),Season,'Summarized Source Data'!$A154,Sector,'Summarized Source Data'!H$2,Subsector,'Summarized Source Data'!H$3,TimeOfWeek,$D154)</f>
        <v>27299570</v>
      </c>
      <c r="I154" s="27">
        <f t="shared" si="14"/>
        <v>27299570</v>
      </c>
      <c r="J154" s="29">
        <f t="shared" si="15"/>
        <v>27299570</v>
      </c>
      <c r="K154" s="27">
        <f>SUMIFS(INDEX(Load,,MATCH('Summarized Source Data'!$B154,Hour,0)),Season,'Summarized Source Data'!$A154,Sector,'Summarized Source Data'!K$2,Subsector,'Summarized Source Data'!K$3,TimeOfWeek,$D154)</f>
        <v>1346275</v>
      </c>
      <c r="L154" s="27">
        <f>SUMIFS(INDEX(Load,,MATCH('Summarized Source Data'!$B154,Hour,0)),Season,'Summarized Source Data'!$A154,Sector,'Summarized Source Data'!L$2,Subsector,'Summarized Source Data'!L$3,TimeOfWeek,$D154)</f>
        <v>22764171</v>
      </c>
      <c r="M154" s="27">
        <f>SUMIFS(INDEX(Load,,MATCH('Summarized Source Data'!$B154,Hour,0)),Season,'Summarized Source Data'!$A154,Sector,'Summarized Source Data'!M$2,Subsector,'Summarized Source Data'!M$3,TimeOfWeek,$D154)</f>
        <v>0</v>
      </c>
      <c r="N154" s="29">
        <f t="shared" si="16"/>
        <v>27299570</v>
      </c>
      <c r="O154" s="27">
        <f t="shared" si="17"/>
        <v>27299570</v>
      </c>
      <c r="P154" s="29">
        <f t="shared" si="18"/>
        <v>27299570</v>
      </c>
      <c r="Q154" s="33">
        <f>SUMIFS(INDEX(Load,,MATCH('Summarized Source Data'!$B154,Hour,0)),Season,'Summarized Source Data'!$A154,Sector,'Summarized Source Data'!Q$2,TimeOfWeek,$D154)</f>
        <v>2951000</v>
      </c>
      <c r="R154" s="33">
        <f>SUMIFS(INDEX(Load,,MATCH('Summarized Source Data'!$B154,Hour,0)),Season,'Summarized Source Data'!$A154,Sector,'Summarized Source Data'!R$2,TimeOfWeek,$D154)</f>
        <v>2951000</v>
      </c>
      <c r="S154" s="33">
        <f>SUMIFS(INDEX(Load,,MATCH('Summarized Source Data'!$B154,Hour,0)),Season,'Summarized Source Data'!$A154,Sector,'Summarized Source Data'!S$2,TimeOfWeek,$D154)</f>
        <v>2951000</v>
      </c>
      <c r="T154" s="33">
        <f>SUMIFS(INDEX(Load,,MATCH('Summarized Source Data'!$B154,Hour,0)),Season,'Summarized Source Data'!$A154,Sector,'Summarized Source Data'!T$2,TimeOfWeek,$D154)</f>
        <v>2951000</v>
      </c>
      <c r="U154" s="33">
        <f>SUMIFS(INDEX(Load,,MATCH('Summarized Source Data'!$B154,Hour,0)),Season,'Summarized Source Data'!$A154,Sector,'Summarized Source Data'!U$2,TimeOfWeek,$D154)</f>
        <v>2951000</v>
      </c>
      <c r="V154" s="33">
        <f>SUMIFS(INDEX(Load,,MATCH('Summarized Source Data'!$B154,Hour,0)),Season,'Summarized Source Data'!$A154,Sector,'Summarized Source Data'!V$2,TimeOfWeek,$D154)</f>
        <v>2951000</v>
      </c>
      <c r="W154" s="27">
        <f>SUMIFS(INDEX(Load,,MATCH('Summarized Source Data'!$B154,Hour,0)),Season,'Summarized Source Data'!$A154,Sector,'Summarized Source Data'!W$2,Subsector,'Summarized Source Data'!W$3,TimeOfWeek,$D154)</f>
        <v>510000000</v>
      </c>
      <c r="X154" s="29">
        <f t="shared" si="19"/>
        <v>510000000</v>
      </c>
      <c r="Y154" s="29">
        <f t="shared" si="19"/>
        <v>510000000</v>
      </c>
    </row>
    <row r="155" spans="1:25" outlineLevel="1" x14ac:dyDescent="0.3">
      <c r="A155" t="s">
        <v>165</v>
      </c>
      <c r="B155" t="s">
        <v>71</v>
      </c>
      <c r="C155" s="6" t="s">
        <v>147</v>
      </c>
      <c r="D155" t="s">
        <v>48</v>
      </c>
      <c r="E155" s="27">
        <f>SUMIFS(INDEX(Load,,MATCH('Summarized Source Data'!$B155,Hour,0)),Season,'Summarized Source Data'!$A155,Sector,'Summarized Source Data'!E$2,Subsector,'Summarized Source Data'!E$3,TimeOfWeek,$D155)</f>
        <v>0</v>
      </c>
      <c r="F155" s="27">
        <f>SUMIFS(INDEX(Load,,MATCH('Summarized Source Data'!$B155,Hour,0)),Season,'Summarized Source Data'!$A155,Sector,'Summarized Source Data'!F$2,Subsector,'Summarized Source Data'!F$3,TimeOfWeek,$D155)</f>
        <v>10786100</v>
      </c>
      <c r="G155" s="27">
        <f>SUMIFS(INDEX(Load,,MATCH('Summarized Source Data'!$B155,Hour,0)),Season,'Summarized Source Data'!$A155,Sector,'Summarized Source Data'!G$2,Subsector,'Summarized Source Data'!G$3,TimeOfWeek,$D155)</f>
        <v>0</v>
      </c>
      <c r="H155" s="27">
        <f>SUMIFS(INDEX(Load,,MATCH('Summarized Source Data'!$B155,Hour,0)),Season,'Summarized Source Data'!$A155,Sector,'Summarized Source Data'!H$2,Subsector,'Summarized Source Data'!H$3,TimeOfWeek,$D155)</f>
        <v>27053301</v>
      </c>
      <c r="I155" s="27">
        <f t="shared" si="14"/>
        <v>27053301</v>
      </c>
      <c r="J155" s="29">
        <f t="shared" si="15"/>
        <v>27053301</v>
      </c>
      <c r="K155" s="27">
        <f>SUMIFS(INDEX(Load,,MATCH('Summarized Source Data'!$B155,Hour,0)),Season,'Summarized Source Data'!$A155,Sector,'Summarized Source Data'!K$2,Subsector,'Summarized Source Data'!K$3,TimeOfWeek,$D155)</f>
        <v>1504283</v>
      </c>
      <c r="L155" s="27">
        <f>SUMIFS(INDEX(Load,,MATCH('Summarized Source Data'!$B155,Hour,0)),Season,'Summarized Source Data'!$A155,Sector,'Summarized Source Data'!L$2,Subsector,'Summarized Source Data'!L$3,TimeOfWeek,$D155)</f>
        <v>26071683</v>
      </c>
      <c r="M155" s="27">
        <f>SUMIFS(INDEX(Load,,MATCH('Summarized Source Data'!$B155,Hour,0)),Season,'Summarized Source Data'!$A155,Sector,'Summarized Source Data'!M$2,Subsector,'Summarized Source Data'!M$3,TimeOfWeek,$D155)</f>
        <v>0</v>
      </c>
      <c r="N155" s="29">
        <f t="shared" si="16"/>
        <v>27053301</v>
      </c>
      <c r="O155" s="27">
        <f t="shared" si="17"/>
        <v>27053301</v>
      </c>
      <c r="P155" s="29">
        <f t="shared" si="18"/>
        <v>27053301</v>
      </c>
      <c r="Q155" s="33">
        <f>SUMIFS(INDEX(Load,,MATCH('Summarized Source Data'!$B155,Hour,0)),Season,'Summarized Source Data'!$A155,Sector,'Summarized Source Data'!Q$2,TimeOfWeek,$D155)</f>
        <v>3810000</v>
      </c>
      <c r="R155" s="33">
        <f>SUMIFS(INDEX(Load,,MATCH('Summarized Source Data'!$B155,Hour,0)),Season,'Summarized Source Data'!$A155,Sector,'Summarized Source Data'!R$2,TimeOfWeek,$D155)</f>
        <v>3810000</v>
      </c>
      <c r="S155" s="33">
        <f>SUMIFS(INDEX(Load,,MATCH('Summarized Source Data'!$B155,Hour,0)),Season,'Summarized Source Data'!$A155,Sector,'Summarized Source Data'!S$2,TimeOfWeek,$D155)</f>
        <v>3810000</v>
      </c>
      <c r="T155" s="33">
        <f>SUMIFS(INDEX(Load,,MATCH('Summarized Source Data'!$B155,Hour,0)),Season,'Summarized Source Data'!$A155,Sector,'Summarized Source Data'!T$2,TimeOfWeek,$D155)</f>
        <v>3810000</v>
      </c>
      <c r="U155" s="33">
        <f>SUMIFS(INDEX(Load,,MATCH('Summarized Source Data'!$B155,Hour,0)),Season,'Summarized Source Data'!$A155,Sector,'Summarized Source Data'!U$2,TimeOfWeek,$D155)</f>
        <v>3810000</v>
      </c>
      <c r="V155" s="33">
        <f>SUMIFS(INDEX(Load,,MATCH('Summarized Source Data'!$B155,Hour,0)),Season,'Summarized Source Data'!$A155,Sector,'Summarized Source Data'!V$2,TimeOfWeek,$D155)</f>
        <v>3810000</v>
      </c>
      <c r="W155" s="27">
        <f>SUMIFS(INDEX(Load,,MATCH('Summarized Source Data'!$B155,Hour,0)),Season,'Summarized Source Data'!$A155,Sector,'Summarized Source Data'!W$2,Subsector,'Summarized Source Data'!W$3,TimeOfWeek,$D155)</f>
        <v>511000000</v>
      </c>
      <c r="X155" s="29">
        <f t="shared" si="19"/>
        <v>511000000</v>
      </c>
      <c r="Y155" s="29">
        <f t="shared" si="19"/>
        <v>511000000</v>
      </c>
    </row>
    <row r="156" spans="1:25" outlineLevel="1" x14ac:dyDescent="0.3">
      <c r="A156" t="s">
        <v>165</v>
      </c>
      <c r="B156" t="s">
        <v>72</v>
      </c>
      <c r="C156" s="6" t="s">
        <v>148</v>
      </c>
      <c r="D156" t="s">
        <v>48</v>
      </c>
      <c r="E156" s="27">
        <f>SUMIFS(INDEX(Load,,MATCH('Summarized Source Data'!$B156,Hour,0)),Season,'Summarized Source Data'!$A156,Sector,'Summarized Source Data'!E$2,Subsector,'Summarized Source Data'!E$3,TimeOfWeek,$D156)</f>
        <v>0</v>
      </c>
      <c r="F156" s="27">
        <f>SUMIFS(INDEX(Load,,MATCH('Summarized Source Data'!$B156,Hour,0)),Season,'Summarized Source Data'!$A156,Sector,'Summarized Source Data'!F$2,Subsector,'Summarized Source Data'!F$3,TimeOfWeek,$D156)</f>
        <v>12355042</v>
      </c>
      <c r="G156" s="27">
        <f>SUMIFS(INDEX(Load,,MATCH('Summarized Source Data'!$B156,Hour,0)),Season,'Summarized Source Data'!$A156,Sector,'Summarized Source Data'!G$2,Subsector,'Summarized Source Data'!G$3,TimeOfWeek,$D156)</f>
        <v>0</v>
      </c>
      <c r="H156" s="27">
        <f>SUMIFS(INDEX(Load,,MATCH('Summarized Source Data'!$B156,Hour,0)),Season,'Summarized Source Data'!$A156,Sector,'Summarized Source Data'!H$2,Subsector,'Summarized Source Data'!H$3,TimeOfWeek,$D156)</f>
        <v>33000000</v>
      </c>
      <c r="I156" s="27">
        <f t="shared" si="14"/>
        <v>33000000</v>
      </c>
      <c r="J156" s="29">
        <f t="shared" si="15"/>
        <v>33000000</v>
      </c>
      <c r="K156" s="27">
        <f>SUMIFS(INDEX(Load,,MATCH('Summarized Source Data'!$B156,Hour,0)),Season,'Summarized Source Data'!$A156,Sector,'Summarized Source Data'!K$2,Subsector,'Summarized Source Data'!K$3,TimeOfWeek,$D156)</f>
        <v>1215671</v>
      </c>
      <c r="L156" s="27">
        <f>SUMIFS(INDEX(Load,,MATCH('Summarized Source Data'!$B156,Hour,0)),Season,'Summarized Source Data'!$A156,Sector,'Summarized Source Data'!L$2,Subsector,'Summarized Source Data'!L$3,TimeOfWeek,$D156)</f>
        <v>30400000</v>
      </c>
      <c r="M156" s="27">
        <f>SUMIFS(INDEX(Load,,MATCH('Summarized Source Data'!$B156,Hour,0)),Season,'Summarized Source Data'!$A156,Sector,'Summarized Source Data'!M$2,Subsector,'Summarized Source Data'!M$3,TimeOfWeek,$D156)</f>
        <v>0</v>
      </c>
      <c r="N156" s="29">
        <f t="shared" si="16"/>
        <v>33000000</v>
      </c>
      <c r="O156" s="27">
        <f t="shared" si="17"/>
        <v>33000000</v>
      </c>
      <c r="P156" s="29">
        <f t="shared" si="18"/>
        <v>33000000</v>
      </c>
      <c r="Q156" s="33">
        <f>SUMIFS(INDEX(Load,,MATCH('Summarized Source Data'!$B156,Hour,0)),Season,'Summarized Source Data'!$A156,Sector,'Summarized Source Data'!Q$2,TimeOfWeek,$D156)</f>
        <v>4380000</v>
      </c>
      <c r="R156" s="33">
        <f>SUMIFS(INDEX(Load,,MATCH('Summarized Source Data'!$B156,Hour,0)),Season,'Summarized Source Data'!$A156,Sector,'Summarized Source Data'!R$2,TimeOfWeek,$D156)</f>
        <v>4380000</v>
      </c>
      <c r="S156" s="33">
        <f>SUMIFS(INDEX(Load,,MATCH('Summarized Source Data'!$B156,Hour,0)),Season,'Summarized Source Data'!$A156,Sector,'Summarized Source Data'!S$2,TimeOfWeek,$D156)</f>
        <v>4380000</v>
      </c>
      <c r="T156" s="33">
        <f>SUMIFS(INDEX(Load,,MATCH('Summarized Source Data'!$B156,Hour,0)),Season,'Summarized Source Data'!$A156,Sector,'Summarized Source Data'!T$2,TimeOfWeek,$D156)</f>
        <v>4380000</v>
      </c>
      <c r="U156" s="33">
        <f>SUMIFS(INDEX(Load,,MATCH('Summarized Source Data'!$B156,Hour,0)),Season,'Summarized Source Data'!$A156,Sector,'Summarized Source Data'!U$2,TimeOfWeek,$D156)</f>
        <v>4380000</v>
      </c>
      <c r="V156" s="33">
        <f>SUMIFS(INDEX(Load,,MATCH('Summarized Source Data'!$B156,Hour,0)),Season,'Summarized Source Data'!$A156,Sector,'Summarized Source Data'!V$2,TimeOfWeek,$D156)</f>
        <v>4380000</v>
      </c>
      <c r="W156" s="27">
        <f>SUMIFS(INDEX(Load,,MATCH('Summarized Source Data'!$B156,Hour,0)),Season,'Summarized Source Data'!$A156,Sector,'Summarized Source Data'!W$2,Subsector,'Summarized Source Data'!W$3,TimeOfWeek,$D156)</f>
        <v>510000000</v>
      </c>
      <c r="X156" s="29">
        <f t="shared" si="19"/>
        <v>510000000</v>
      </c>
      <c r="Y156" s="29">
        <f t="shared" si="19"/>
        <v>510000000</v>
      </c>
    </row>
    <row r="157" spans="1:25" outlineLevel="1" x14ac:dyDescent="0.3">
      <c r="A157" t="s">
        <v>165</v>
      </c>
      <c r="B157" t="s">
        <v>73</v>
      </c>
      <c r="C157" s="6" t="s">
        <v>149</v>
      </c>
      <c r="D157" t="s">
        <v>48</v>
      </c>
      <c r="E157" s="27">
        <f>SUMIFS(INDEX(Load,,MATCH('Summarized Source Data'!$B157,Hour,0)),Season,'Summarized Source Data'!$A157,Sector,'Summarized Source Data'!E$2,Subsector,'Summarized Source Data'!E$3,TimeOfWeek,$D157)</f>
        <v>0</v>
      </c>
      <c r="F157" s="27">
        <f>SUMIFS(INDEX(Load,,MATCH('Summarized Source Data'!$B157,Hour,0)),Season,'Summarized Source Data'!$A157,Sector,'Summarized Source Data'!F$2,Subsector,'Summarized Source Data'!F$3,TimeOfWeek,$D157)</f>
        <v>13499799</v>
      </c>
      <c r="G157" s="27">
        <f>SUMIFS(INDEX(Load,,MATCH('Summarized Source Data'!$B157,Hour,0)),Season,'Summarized Source Data'!$A157,Sector,'Summarized Source Data'!G$2,Subsector,'Summarized Source Data'!G$3,TimeOfWeek,$D157)</f>
        <v>0</v>
      </c>
      <c r="H157" s="27">
        <f>SUMIFS(INDEX(Load,,MATCH('Summarized Source Data'!$B157,Hour,0)),Season,'Summarized Source Data'!$A157,Sector,'Summarized Source Data'!H$2,Subsector,'Summarized Source Data'!H$3,TimeOfWeek,$D157)</f>
        <v>34200000</v>
      </c>
      <c r="I157" s="27">
        <f t="shared" si="14"/>
        <v>34200000</v>
      </c>
      <c r="J157" s="29">
        <f t="shared" si="15"/>
        <v>34200000</v>
      </c>
      <c r="K157" s="27">
        <f>SUMIFS(INDEX(Load,,MATCH('Summarized Source Data'!$B157,Hour,0)),Season,'Summarized Source Data'!$A157,Sector,'Summarized Source Data'!K$2,Subsector,'Summarized Source Data'!K$3,TimeOfWeek,$D157)</f>
        <v>1012575</v>
      </c>
      <c r="L157" s="27">
        <f>SUMIFS(INDEX(Load,,MATCH('Summarized Source Data'!$B157,Hour,0)),Season,'Summarized Source Data'!$A157,Sector,'Summarized Source Data'!L$2,Subsector,'Summarized Source Data'!L$3,TimeOfWeek,$D157)</f>
        <v>34700000</v>
      </c>
      <c r="M157" s="27">
        <f>SUMIFS(INDEX(Load,,MATCH('Summarized Source Data'!$B157,Hour,0)),Season,'Summarized Source Data'!$A157,Sector,'Summarized Source Data'!M$2,Subsector,'Summarized Source Data'!M$3,TimeOfWeek,$D157)</f>
        <v>0</v>
      </c>
      <c r="N157" s="29">
        <f t="shared" si="16"/>
        <v>34200000</v>
      </c>
      <c r="O157" s="27">
        <f t="shared" si="17"/>
        <v>34200000</v>
      </c>
      <c r="P157" s="29">
        <f t="shared" si="18"/>
        <v>34200000</v>
      </c>
      <c r="Q157" s="33">
        <f>SUMIFS(INDEX(Load,,MATCH('Summarized Source Data'!$B157,Hour,0)),Season,'Summarized Source Data'!$A157,Sector,'Summarized Source Data'!Q$2,TimeOfWeek,$D157)</f>
        <v>4770000</v>
      </c>
      <c r="R157" s="33">
        <f>SUMIFS(INDEX(Load,,MATCH('Summarized Source Data'!$B157,Hour,0)),Season,'Summarized Source Data'!$A157,Sector,'Summarized Source Data'!R$2,TimeOfWeek,$D157)</f>
        <v>4770000</v>
      </c>
      <c r="S157" s="33">
        <f>SUMIFS(INDEX(Load,,MATCH('Summarized Source Data'!$B157,Hour,0)),Season,'Summarized Source Data'!$A157,Sector,'Summarized Source Data'!S$2,TimeOfWeek,$D157)</f>
        <v>4770000</v>
      </c>
      <c r="T157" s="33">
        <f>SUMIFS(INDEX(Load,,MATCH('Summarized Source Data'!$B157,Hour,0)),Season,'Summarized Source Data'!$A157,Sector,'Summarized Source Data'!T$2,TimeOfWeek,$D157)</f>
        <v>4770000</v>
      </c>
      <c r="U157" s="33">
        <f>SUMIFS(INDEX(Load,,MATCH('Summarized Source Data'!$B157,Hour,0)),Season,'Summarized Source Data'!$A157,Sector,'Summarized Source Data'!U$2,TimeOfWeek,$D157)</f>
        <v>4770000</v>
      </c>
      <c r="V157" s="33">
        <f>SUMIFS(INDEX(Load,,MATCH('Summarized Source Data'!$B157,Hour,0)),Season,'Summarized Source Data'!$A157,Sector,'Summarized Source Data'!V$2,TimeOfWeek,$D157)</f>
        <v>4770000</v>
      </c>
      <c r="W157" s="27">
        <f>SUMIFS(INDEX(Load,,MATCH('Summarized Source Data'!$B157,Hour,0)),Season,'Summarized Source Data'!$A157,Sector,'Summarized Source Data'!W$2,Subsector,'Summarized Source Data'!W$3,TimeOfWeek,$D157)</f>
        <v>509000000</v>
      </c>
      <c r="X157" s="29">
        <f t="shared" si="19"/>
        <v>509000000</v>
      </c>
      <c r="Y157" s="29">
        <f t="shared" si="19"/>
        <v>509000000</v>
      </c>
    </row>
    <row r="158" spans="1:25" outlineLevel="1" x14ac:dyDescent="0.3">
      <c r="A158" t="s">
        <v>165</v>
      </c>
      <c r="B158" t="s">
        <v>74</v>
      </c>
      <c r="C158" s="6" t="s">
        <v>150</v>
      </c>
      <c r="D158" t="s">
        <v>48</v>
      </c>
      <c r="E158" s="27">
        <f>SUMIFS(INDEX(Load,,MATCH('Summarized Source Data'!$B158,Hour,0)),Season,'Summarized Source Data'!$A158,Sector,'Summarized Source Data'!E$2,Subsector,'Summarized Source Data'!E$3,TimeOfWeek,$D158)</f>
        <v>0</v>
      </c>
      <c r="F158" s="27">
        <f>SUMIFS(INDEX(Load,,MATCH('Summarized Source Data'!$B158,Hour,0)),Season,'Summarized Source Data'!$A158,Sector,'Summarized Source Data'!F$2,Subsector,'Summarized Source Data'!F$3,TimeOfWeek,$D158)</f>
        <v>15343471</v>
      </c>
      <c r="G158" s="27">
        <f>SUMIFS(INDEX(Load,,MATCH('Summarized Source Data'!$B158,Hour,0)),Season,'Summarized Source Data'!$A158,Sector,'Summarized Source Data'!G$2,Subsector,'Summarized Source Data'!G$3,TimeOfWeek,$D158)</f>
        <v>0</v>
      </c>
      <c r="H158" s="27">
        <f>SUMIFS(INDEX(Load,,MATCH('Summarized Source Data'!$B158,Hour,0)),Season,'Summarized Source Data'!$A158,Sector,'Summarized Source Data'!H$2,Subsector,'Summarized Source Data'!H$3,TimeOfWeek,$D158)</f>
        <v>34400000</v>
      </c>
      <c r="I158" s="27">
        <f t="shared" si="14"/>
        <v>34400000</v>
      </c>
      <c r="J158" s="29">
        <f t="shared" si="15"/>
        <v>34400000</v>
      </c>
      <c r="K158" s="27">
        <f>SUMIFS(INDEX(Load,,MATCH('Summarized Source Data'!$B158,Hour,0)),Season,'Summarized Source Data'!$A158,Sector,'Summarized Source Data'!K$2,Subsector,'Summarized Source Data'!K$3,TimeOfWeek,$D158)</f>
        <v>879360</v>
      </c>
      <c r="L158" s="27">
        <f>SUMIFS(INDEX(Load,,MATCH('Summarized Source Data'!$B158,Hour,0)),Season,'Summarized Source Data'!$A158,Sector,'Summarized Source Data'!L$2,Subsector,'Summarized Source Data'!L$3,TimeOfWeek,$D158)</f>
        <v>38500000</v>
      </c>
      <c r="M158" s="27">
        <f>SUMIFS(INDEX(Load,,MATCH('Summarized Source Data'!$B158,Hour,0)),Season,'Summarized Source Data'!$A158,Sector,'Summarized Source Data'!M$2,Subsector,'Summarized Source Data'!M$3,TimeOfWeek,$D158)</f>
        <v>0</v>
      </c>
      <c r="N158" s="29">
        <f t="shared" si="16"/>
        <v>34400000</v>
      </c>
      <c r="O158" s="27">
        <f t="shared" si="17"/>
        <v>34400000</v>
      </c>
      <c r="P158" s="29">
        <f t="shared" si="18"/>
        <v>34400000</v>
      </c>
      <c r="Q158" s="33">
        <f>SUMIFS(INDEX(Load,,MATCH('Summarized Source Data'!$B158,Hour,0)),Season,'Summarized Source Data'!$A158,Sector,'Summarized Source Data'!Q$2,TimeOfWeek,$D158)</f>
        <v>4960000</v>
      </c>
      <c r="R158" s="33">
        <f>SUMIFS(INDEX(Load,,MATCH('Summarized Source Data'!$B158,Hour,0)),Season,'Summarized Source Data'!$A158,Sector,'Summarized Source Data'!R$2,TimeOfWeek,$D158)</f>
        <v>4960000</v>
      </c>
      <c r="S158" s="33">
        <f>SUMIFS(INDEX(Load,,MATCH('Summarized Source Data'!$B158,Hour,0)),Season,'Summarized Source Data'!$A158,Sector,'Summarized Source Data'!S$2,TimeOfWeek,$D158)</f>
        <v>4960000</v>
      </c>
      <c r="T158" s="33">
        <f>SUMIFS(INDEX(Load,,MATCH('Summarized Source Data'!$B158,Hour,0)),Season,'Summarized Source Data'!$A158,Sector,'Summarized Source Data'!T$2,TimeOfWeek,$D158)</f>
        <v>4960000</v>
      </c>
      <c r="U158" s="33">
        <f>SUMIFS(INDEX(Load,,MATCH('Summarized Source Data'!$B158,Hour,0)),Season,'Summarized Source Data'!$A158,Sector,'Summarized Source Data'!U$2,TimeOfWeek,$D158)</f>
        <v>4960000</v>
      </c>
      <c r="V158" s="33">
        <f>SUMIFS(INDEX(Load,,MATCH('Summarized Source Data'!$B158,Hour,0)),Season,'Summarized Source Data'!$A158,Sector,'Summarized Source Data'!V$2,TimeOfWeek,$D158)</f>
        <v>4960000</v>
      </c>
      <c r="W158" s="27">
        <f>SUMIFS(INDEX(Load,,MATCH('Summarized Source Data'!$B158,Hour,0)),Season,'Summarized Source Data'!$A158,Sector,'Summarized Source Data'!W$2,Subsector,'Summarized Source Data'!W$3,TimeOfWeek,$D158)</f>
        <v>509000000</v>
      </c>
      <c r="X158" s="29">
        <f t="shared" si="19"/>
        <v>509000000</v>
      </c>
      <c r="Y158" s="29">
        <f t="shared" si="19"/>
        <v>509000000</v>
      </c>
    </row>
    <row r="159" spans="1:25" outlineLevel="1" x14ac:dyDescent="0.3">
      <c r="A159" t="s">
        <v>165</v>
      </c>
      <c r="B159" t="s">
        <v>75</v>
      </c>
      <c r="C159" s="6" t="s">
        <v>151</v>
      </c>
      <c r="D159" t="s">
        <v>48</v>
      </c>
      <c r="E159" s="27">
        <f>SUMIFS(INDEX(Load,,MATCH('Summarized Source Data'!$B159,Hour,0)),Season,'Summarized Source Data'!$A159,Sector,'Summarized Source Data'!E$2,Subsector,'Summarized Source Data'!E$3,TimeOfWeek,$D159)</f>
        <v>0</v>
      </c>
      <c r="F159" s="27">
        <f>SUMIFS(INDEX(Load,,MATCH('Summarized Source Data'!$B159,Hour,0)),Season,'Summarized Source Data'!$A159,Sector,'Summarized Source Data'!F$2,Subsector,'Summarized Source Data'!F$3,TimeOfWeek,$D159)</f>
        <v>18344273</v>
      </c>
      <c r="G159" s="27">
        <f>SUMIFS(INDEX(Load,,MATCH('Summarized Source Data'!$B159,Hour,0)),Season,'Summarized Source Data'!$A159,Sector,'Summarized Source Data'!G$2,Subsector,'Summarized Source Data'!G$3,TimeOfWeek,$D159)</f>
        <v>0</v>
      </c>
      <c r="H159" s="27">
        <f>SUMIFS(INDEX(Load,,MATCH('Summarized Source Data'!$B159,Hour,0)),Season,'Summarized Source Data'!$A159,Sector,'Summarized Source Data'!H$2,Subsector,'Summarized Source Data'!H$3,TimeOfWeek,$D159)</f>
        <v>36500000</v>
      </c>
      <c r="I159" s="27">
        <f t="shared" si="14"/>
        <v>36500000</v>
      </c>
      <c r="J159" s="29">
        <f t="shared" si="15"/>
        <v>36500000</v>
      </c>
      <c r="K159" s="27">
        <f>SUMIFS(INDEX(Load,,MATCH('Summarized Source Data'!$B159,Hour,0)),Season,'Summarized Source Data'!$A159,Sector,'Summarized Source Data'!K$2,Subsector,'Summarized Source Data'!K$3,TimeOfWeek,$D159)</f>
        <v>796920</v>
      </c>
      <c r="L159" s="27">
        <f>SUMIFS(INDEX(Load,,MATCH('Summarized Source Data'!$B159,Hour,0)),Season,'Summarized Source Data'!$A159,Sector,'Summarized Source Data'!L$2,Subsector,'Summarized Source Data'!L$3,TimeOfWeek,$D159)</f>
        <v>41700000</v>
      </c>
      <c r="M159" s="27">
        <f>SUMIFS(INDEX(Load,,MATCH('Summarized Source Data'!$B159,Hour,0)),Season,'Summarized Source Data'!$A159,Sector,'Summarized Source Data'!M$2,Subsector,'Summarized Source Data'!M$3,TimeOfWeek,$D159)</f>
        <v>0</v>
      </c>
      <c r="N159" s="29">
        <f t="shared" si="16"/>
        <v>36500000</v>
      </c>
      <c r="O159" s="27">
        <f t="shared" si="17"/>
        <v>36500000</v>
      </c>
      <c r="P159" s="29">
        <f t="shared" si="18"/>
        <v>36500000</v>
      </c>
      <c r="Q159" s="33">
        <f>SUMIFS(INDEX(Load,,MATCH('Summarized Source Data'!$B159,Hour,0)),Season,'Summarized Source Data'!$A159,Sector,'Summarized Source Data'!Q$2,TimeOfWeek,$D159)</f>
        <v>4990000</v>
      </c>
      <c r="R159" s="33">
        <f>SUMIFS(INDEX(Load,,MATCH('Summarized Source Data'!$B159,Hour,0)),Season,'Summarized Source Data'!$A159,Sector,'Summarized Source Data'!R$2,TimeOfWeek,$D159)</f>
        <v>4990000</v>
      </c>
      <c r="S159" s="33">
        <f>SUMIFS(INDEX(Load,,MATCH('Summarized Source Data'!$B159,Hour,0)),Season,'Summarized Source Data'!$A159,Sector,'Summarized Source Data'!S$2,TimeOfWeek,$D159)</f>
        <v>4990000</v>
      </c>
      <c r="T159" s="33">
        <f>SUMIFS(INDEX(Load,,MATCH('Summarized Source Data'!$B159,Hour,0)),Season,'Summarized Source Data'!$A159,Sector,'Summarized Source Data'!T$2,TimeOfWeek,$D159)</f>
        <v>4990000</v>
      </c>
      <c r="U159" s="33">
        <f>SUMIFS(INDEX(Load,,MATCH('Summarized Source Data'!$B159,Hour,0)),Season,'Summarized Source Data'!$A159,Sector,'Summarized Source Data'!U$2,TimeOfWeek,$D159)</f>
        <v>4990000</v>
      </c>
      <c r="V159" s="33">
        <f>SUMIFS(INDEX(Load,,MATCH('Summarized Source Data'!$B159,Hour,0)),Season,'Summarized Source Data'!$A159,Sector,'Summarized Source Data'!V$2,TimeOfWeek,$D159)</f>
        <v>4990000</v>
      </c>
      <c r="W159" s="27">
        <f>SUMIFS(INDEX(Load,,MATCH('Summarized Source Data'!$B159,Hour,0)),Season,'Summarized Source Data'!$A159,Sector,'Summarized Source Data'!W$2,Subsector,'Summarized Source Data'!W$3,TimeOfWeek,$D159)</f>
        <v>507000000</v>
      </c>
      <c r="X159" s="29">
        <f t="shared" si="19"/>
        <v>507000000</v>
      </c>
      <c r="Y159" s="29">
        <f t="shared" si="19"/>
        <v>507000000</v>
      </c>
    </row>
    <row r="160" spans="1:25" outlineLevel="1" x14ac:dyDescent="0.3">
      <c r="A160" t="s">
        <v>165</v>
      </c>
      <c r="B160" t="s">
        <v>76</v>
      </c>
      <c r="C160" s="6" t="s">
        <v>152</v>
      </c>
      <c r="D160" t="s">
        <v>48</v>
      </c>
      <c r="E160" s="27">
        <f>SUMIFS(INDEX(Load,,MATCH('Summarized Source Data'!$B160,Hour,0)),Season,'Summarized Source Data'!$A160,Sector,'Summarized Source Data'!E$2,Subsector,'Summarized Source Data'!E$3,TimeOfWeek,$D160)</f>
        <v>0</v>
      </c>
      <c r="F160" s="27">
        <f>SUMIFS(INDEX(Load,,MATCH('Summarized Source Data'!$B160,Hour,0)),Season,'Summarized Source Data'!$A160,Sector,'Summarized Source Data'!F$2,Subsector,'Summarized Source Data'!F$3,TimeOfWeek,$D160)</f>
        <v>21102588</v>
      </c>
      <c r="G160" s="27">
        <f>SUMIFS(INDEX(Load,,MATCH('Summarized Source Data'!$B160,Hour,0)),Season,'Summarized Source Data'!$A160,Sector,'Summarized Source Data'!G$2,Subsector,'Summarized Source Data'!G$3,TimeOfWeek,$D160)</f>
        <v>0</v>
      </c>
      <c r="H160" s="27">
        <f>SUMIFS(INDEX(Load,,MATCH('Summarized Source Data'!$B160,Hour,0)),Season,'Summarized Source Data'!$A160,Sector,'Summarized Source Data'!H$2,Subsector,'Summarized Source Data'!H$3,TimeOfWeek,$D160)</f>
        <v>37800000</v>
      </c>
      <c r="I160" s="27">
        <f t="shared" si="14"/>
        <v>37800000</v>
      </c>
      <c r="J160" s="29">
        <f t="shared" si="15"/>
        <v>37800000</v>
      </c>
      <c r="K160" s="27">
        <f>SUMIFS(INDEX(Load,,MATCH('Summarized Source Data'!$B160,Hour,0)),Season,'Summarized Source Data'!$A160,Sector,'Summarized Source Data'!K$2,Subsector,'Summarized Source Data'!K$3,TimeOfWeek,$D160)</f>
        <v>734794</v>
      </c>
      <c r="L160" s="27">
        <f>SUMIFS(INDEX(Load,,MATCH('Summarized Source Data'!$B160,Hour,0)),Season,'Summarized Source Data'!$A160,Sector,'Summarized Source Data'!L$2,Subsector,'Summarized Source Data'!L$3,TimeOfWeek,$D160)</f>
        <v>44100000</v>
      </c>
      <c r="M160" s="27">
        <f>SUMIFS(INDEX(Load,,MATCH('Summarized Source Data'!$B160,Hour,0)),Season,'Summarized Source Data'!$A160,Sector,'Summarized Source Data'!M$2,Subsector,'Summarized Source Data'!M$3,TimeOfWeek,$D160)</f>
        <v>0</v>
      </c>
      <c r="N160" s="29">
        <f t="shared" si="16"/>
        <v>37800000</v>
      </c>
      <c r="O160" s="27">
        <f t="shared" si="17"/>
        <v>37800000</v>
      </c>
      <c r="P160" s="29">
        <f t="shared" si="18"/>
        <v>37800000</v>
      </c>
      <c r="Q160" s="33">
        <f>SUMIFS(INDEX(Load,,MATCH('Summarized Source Data'!$B160,Hour,0)),Season,'Summarized Source Data'!$A160,Sector,'Summarized Source Data'!Q$2,TimeOfWeek,$D160)</f>
        <v>4830000</v>
      </c>
      <c r="R160" s="33">
        <f>SUMIFS(INDEX(Load,,MATCH('Summarized Source Data'!$B160,Hour,0)),Season,'Summarized Source Data'!$A160,Sector,'Summarized Source Data'!R$2,TimeOfWeek,$D160)</f>
        <v>4830000</v>
      </c>
      <c r="S160" s="33">
        <f>SUMIFS(INDEX(Load,,MATCH('Summarized Source Data'!$B160,Hour,0)),Season,'Summarized Source Data'!$A160,Sector,'Summarized Source Data'!S$2,TimeOfWeek,$D160)</f>
        <v>4830000</v>
      </c>
      <c r="T160" s="33">
        <f>SUMIFS(INDEX(Load,,MATCH('Summarized Source Data'!$B160,Hour,0)),Season,'Summarized Source Data'!$A160,Sector,'Summarized Source Data'!T$2,TimeOfWeek,$D160)</f>
        <v>4830000</v>
      </c>
      <c r="U160" s="33">
        <f>SUMIFS(INDEX(Load,,MATCH('Summarized Source Data'!$B160,Hour,0)),Season,'Summarized Source Data'!$A160,Sector,'Summarized Source Data'!U$2,TimeOfWeek,$D160)</f>
        <v>4830000</v>
      </c>
      <c r="V160" s="33">
        <f>SUMIFS(INDEX(Load,,MATCH('Summarized Source Data'!$B160,Hour,0)),Season,'Summarized Source Data'!$A160,Sector,'Summarized Source Data'!V$2,TimeOfWeek,$D160)</f>
        <v>4830000</v>
      </c>
      <c r="W160" s="27">
        <f>SUMIFS(INDEX(Load,,MATCH('Summarized Source Data'!$B160,Hour,0)),Season,'Summarized Source Data'!$A160,Sector,'Summarized Source Data'!W$2,Subsector,'Summarized Source Data'!W$3,TimeOfWeek,$D160)</f>
        <v>507000000</v>
      </c>
      <c r="X160" s="29">
        <f t="shared" si="19"/>
        <v>507000000</v>
      </c>
      <c r="Y160" s="29">
        <f t="shared" si="19"/>
        <v>507000000</v>
      </c>
    </row>
    <row r="161" spans="1:25" outlineLevel="1" x14ac:dyDescent="0.3">
      <c r="A161" t="s">
        <v>165</v>
      </c>
      <c r="B161" t="s">
        <v>77</v>
      </c>
      <c r="C161" s="6" t="s">
        <v>153</v>
      </c>
      <c r="D161" t="s">
        <v>48</v>
      </c>
      <c r="E161" s="27">
        <f>SUMIFS(INDEX(Load,,MATCH('Summarized Source Data'!$B161,Hour,0)),Season,'Summarized Source Data'!$A161,Sector,'Summarized Source Data'!E$2,Subsector,'Summarized Source Data'!E$3,TimeOfWeek,$D161)</f>
        <v>0</v>
      </c>
      <c r="F161" s="27">
        <f>SUMIFS(INDEX(Load,,MATCH('Summarized Source Data'!$B161,Hour,0)),Season,'Summarized Source Data'!$A161,Sector,'Summarized Source Data'!F$2,Subsector,'Summarized Source Data'!F$3,TimeOfWeek,$D161)</f>
        <v>22555626</v>
      </c>
      <c r="G161" s="27">
        <f>SUMIFS(INDEX(Load,,MATCH('Summarized Source Data'!$B161,Hour,0)),Season,'Summarized Source Data'!$A161,Sector,'Summarized Source Data'!G$2,Subsector,'Summarized Source Data'!G$3,TimeOfWeek,$D161)</f>
        <v>0</v>
      </c>
      <c r="H161" s="27">
        <f>SUMIFS(INDEX(Load,,MATCH('Summarized Source Data'!$B161,Hour,0)),Season,'Summarized Source Data'!$A161,Sector,'Summarized Source Data'!H$2,Subsector,'Summarized Source Data'!H$3,TimeOfWeek,$D161)</f>
        <v>37800000</v>
      </c>
      <c r="I161" s="27">
        <f t="shared" si="14"/>
        <v>37800000</v>
      </c>
      <c r="J161" s="29">
        <f t="shared" si="15"/>
        <v>37800000</v>
      </c>
      <c r="K161" s="27">
        <f>SUMIFS(INDEX(Load,,MATCH('Summarized Source Data'!$B161,Hour,0)),Season,'Summarized Source Data'!$A161,Sector,'Summarized Source Data'!K$2,Subsector,'Summarized Source Data'!K$3,TimeOfWeek,$D161)</f>
        <v>689772</v>
      </c>
      <c r="L161" s="27">
        <f>SUMIFS(INDEX(Load,,MATCH('Summarized Source Data'!$B161,Hour,0)),Season,'Summarized Source Data'!$A161,Sector,'Summarized Source Data'!L$2,Subsector,'Summarized Source Data'!L$3,TimeOfWeek,$D161)</f>
        <v>45400000</v>
      </c>
      <c r="M161" s="27">
        <f>SUMIFS(INDEX(Load,,MATCH('Summarized Source Data'!$B161,Hour,0)),Season,'Summarized Source Data'!$A161,Sector,'Summarized Source Data'!M$2,Subsector,'Summarized Source Data'!M$3,TimeOfWeek,$D161)</f>
        <v>0</v>
      </c>
      <c r="N161" s="29">
        <f t="shared" si="16"/>
        <v>37800000</v>
      </c>
      <c r="O161" s="27">
        <f t="shared" si="17"/>
        <v>37800000</v>
      </c>
      <c r="P161" s="29">
        <f t="shared" si="18"/>
        <v>37800000</v>
      </c>
      <c r="Q161" s="33">
        <f>SUMIFS(INDEX(Load,,MATCH('Summarized Source Data'!$B161,Hour,0)),Season,'Summarized Source Data'!$A161,Sector,'Summarized Source Data'!Q$2,TimeOfWeek,$D161)</f>
        <v>4480000</v>
      </c>
      <c r="R161" s="33">
        <f>SUMIFS(INDEX(Load,,MATCH('Summarized Source Data'!$B161,Hour,0)),Season,'Summarized Source Data'!$A161,Sector,'Summarized Source Data'!R$2,TimeOfWeek,$D161)</f>
        <v>4480000</v>
      </c>
      <c r="S161" s="33">
        <f>SUMIFS(INDEX(Load,,MATCH('Summarized Source Data'!$B161,Hour,0)),Season,'Summarized Source Data'!$A161,Sector,'Summarized Source Data'!S$2,TimeOfWeek,$D161)</f>
        <v>4480000</v>
      </c>
      <c r="T161" s="33">
        <f>SUMIFS(INDEX(Load,,MATCH('Summarized Source Data'!$B161,Hour,0)),Season,'Summarized Source Data'!$A161,Sector,'Summarized Source Data'!T$2,TimeOfWeek,$D161)</f>
        <v>4480000</v>
      </c>
      <c r="U161" s="33">
        <f>SUMIFS(INDEX(Load,,MATCH('Summarized Source Data'!$B161,Hour,0)),Season,'Summarized Source Data'!$A161,Sector,'Summarized Source Data'!U$2,TimeOfWeek,$D161)</f>
        <v>4480000</v>
      </c>
      <c r="V161" s="33">
        <f>SUMIFS(INDEX(Load,,MATCH('Summarized Source Data'!$B161,Hour,0)),Season,'Summarized Source Data'!$A161,Sector,'Summarized Source Data'!V$2,TimeOfWeek,$D161)</f>
        <v>4480000</v>
      </c>
      <c r="W161" s="27">
        <f>SUMIFS(INDEX(Load,,MATCH('Summarized Source Data'!$B161,Hour,0)),Season,'Summarized Source Data'!$A161,Sector,'Summarized Source Data'!W$2,Subsector,'Summarized Source Data'!W$3,TimeOfWeek,$D161)</f>
        <v>507000000</v>
      </c>
      <c r="X161" s="29">
        <f t="shared" si="19"/>
        <v>507000000</v>
      </c>
      <c r="Y161" s="29">
        <f t="shared" si="19"/>
        <v>507000000</v>
      </c>
    </row>
    <row r="162" spans="1:25" outlineLevel="1" x14ac:dyDescent="0.3">
      <c r="A162" t="s">
        <v>165</v>
      </c>
      <c r="B162" t="s">
        <v>78</v>
      </c>
      <c r="C162" s="6" t="s">
        <v>154</v>
      </c>
      <c r="D162" t="s">
        <v>48</v>
      </c>
      <c r="E162" s="27">
        <f>SUMIFS(INDEX(Load,,MATCH('Summarized Source Data'!$B162,Hour,0)),Season,'Summarized Source Data'!$A162,Sector,'Summarized Source Data'!E$2,Subsector,'Summarized Source Data'!E$3,TimeOfWeek,$D162)</f>
        <v>0</v>
      </c>
      <c r="F162" s="27">
        <f>SUMIFS(INDEX(Load,,MATCH('Summarized Source Data'!$B162,Hour,0)),Season,'Summarized Source Data'!$A162,Sector,'Summarized Source Data'!F$2,Subsector,'Summarized Source Data'!F$3,TimeOfWeek,$D162)</f>
        <v>22933380</v>
      </c>
      <c r="G162" s="27">
        <f>SUMIFS(INDEX(Load,,MATCH('Summarized Source Data'!$B162,Hour,0)),Season,'Summarized Source Data'!$A162,Sector,'Summarized Source Data'!G$2,Subsector,'Summarized Source Data'!G$3,TimeOfWeek,$D162)</f>
        <v>0</v>
      </c>
      <c r="H162" s="27">
        <f>SUMIFS(INDEX(Load,,MATCH('Summarized Source Data'!$B162,Hour,0)),Season,'Summarized Source Data'!$A162,Sector,'Summarized Source Data'!H$2,Subsector,'Summarized Source Data'!H$3,TimeOfWeek,$D162)</f>
        <v>37300000</v>
      </c>
      <c r="I162" s="27">
        <f t="shared" si="14"/>
        <v>37300000</v>
      </c>
      <c r="J162" s="29">
        <f t="shared" si="15"/>
        <v>37300000</v>
      </c>
      <c r="K162" s="27">
        <f>SUMIFS(INDEX(Load,,MATCH('Summarized Source Data'!$B162,Hour,0)),Season,'Summarized Source Data'!$A162,Sector,'Summarized Source Data'!K$2,Subsector,'Summarized Source Data'!K$3,TimeOfWeek,$D162)</f>
        <v>657344</v>
      </c>
      <c r="L162" s="27">
        <f>SUMIFS(INDEX(Load,,MATCH('Summarized Source Data'!$B162,Hour,0)),Season,'Summarized Source Data'!$A162,Sector,'Summarized Source Data'!L$2,Subsector,'Summarized Source Data'!L$3,TimeOfWeek,$D162)</f>
        <v>46000000</v>
      </c>
      <c r="M162" s="27">
        <f>SUMIFS(INDEX(Load,,MATCH('Summarized Source Data'!$B162,Hour,0)),Season,'Summarized Source Data'!$A162,Sector,'Summarized Source Data'!M$2,Subsector,'Summarized Source Data'!M$3,TimeOfWeek,$D162)</f>
        <v>0</v>
      </c>
      <c r="N162" s="29">
        <f t="shared" si="16"/>
        <v>37300000</v>
      </c>
      <c r="O162" s="27">
        <f t="shared" si="17"/>
        <v>37300000</v>
      </c>
      <c r="P162" s="29">
        <f t="shared" si="18"/>
        <v>37300000</v>
      </c>
      <c r="Q162" s="33">
        <f>SUMIFS(INDEX(Load,,MATCH('Summarized Source Data'!$B162,Hour,0)),Season,'Summarized Source Data'!$A162,Sector,'Summarized Source Data'!Q$2,TimeOfWeek,$D162)</f>
        <v>4470000</v>
      </c>
      <c r="R162" s="33">
        <f>SUMIFS(INDEX(Load,,MATCH('Summarized Source Data'!$B162,Hour,0)),Season,'Summarized Source Data'!$A162,Sector,'Summarized Source Data'!R$2,TimeOfWeek,$D162)</f>
        <v>4470000</v>
      </c>
      <c r="S162" s="33">
        <f>SUMIFS(INDEX(Load,,MATCH('Summarized Source Data'!$B162,Hour,0)),Season,'Summarized Source Data'!$A162,Sector,'Summarized Source Data'!S$2,TimeOfWeek,$D162)</f>
        <v>4470000</v>
      </c>
      <c r="T162" s="33">
        <f>SUMIFS(INDEX(Load,,MATCH('Summarized Source Data'!$B162,Hour,0)),Season,'Summarized Source Data'!$A162,Sector,'Summarized Source Data'!T$2,TimeOfWeek,$D162)</f>
        <v>4470000</v>
      </c>
      <c r="U162" s="33">
        <f>SUMIFS(INDEX(Load,,MATCH('Summarized Source Data'!$B162,Hour,0)),Season,'Summarized Source Data'!$A162,Sector,'Summarized Source Data'!U$2,TimeOfWeek,$D162)</f>
        <v>4470000</v>
      </c>
      <c r="V162" s="33">
        <f>SUMIFS(INDEX(Load,,MATCH('Summarized Source Data'!$B162,Hour,0)),Season,'Summarized Source Data'!$A162,Sector,'Summarized Source Data'!V$2,TimeOfWeek,$D162)</f>
        <v>4470000</v>
      </c>
      <c r="W162" s="27">
        <f>SUMIFS(INDEX(Load,,MATCH('Summarized Source Data'!$B162,Hour,0)),Season,'Summarized Source Data'!$A162,Sector,'Summarized Source Data'!W$2,Subsector,'Summarized Source Data'!W$3,TimeOfWeek,$D162)</f>
        <v>509000000</v>
      </c>
      <c r="X162" s="29">
        <f t="shared" si="19"/>
        <v>509000000</v>
      </c>
      <c r="Y162" s="29">
        <f t="shared" si="19"/>
        <v>509000000</v>
      </c>
    </row>
    <row r="163" spans="1:25" outlineLevel="1" x14ac:dyDescent="0.3">
      <c r="A163" t="s">
        <v>165</v>
      </c>
      <c r="B163" t="s">
        <v>79</v>
      </c>
      <c r="C163" s="6" t="s">
        <v>155</v>
      </c>
      <c r="D163" t="s">
        <v>48</v>
      </c>
      <c r="E163" s="27">
        <f>SUMIFS(INDEX(Load,,MATCH('Summarized Source Data'!$B163,Hour,0)),Season,'Summarized Source Data'!$A163,Sector,'Summarized Source Data'!E$2,Subsector,'Summarized Source Data'!E$3,TimeOfWeek,$D163)</f>
        <v>0</v>
      </c>
      <c r="F163" s="27">
        <f>SUMIFS(INDEX(Load,,MATCH('Summarized Source Data'!$B163,Hour,0)),Season,'Summarized Source Data'!$A163,Sector,'Summarized Source Data'!F$2,Subsector,'Summarized Source Data'!F$3,TimeOfWeek,$D163)</f>
        <v>22436620</v>
      </c>
      <c r="G163" s="27">
        <f>SUMIFS(INDEX(Load,,MATCH('Summarized Source Data'!$B163,Hour,0)),Season,'Summarized Source Data'!$A163,Sector,'Summarized Source Data'!G$2,Subsector,'Summarized Source Data'!G$3,TimeOfWeek,$D163)</f>
        <v>0</v>
      </c>
      <c r="H163" s="27">
        <f>SUMIFS(INDEX(Load,,MATCH('Summarized Source Data'!$B163,Hour,0)),Season,'Summarized Source Data'!$A163,Sector,'Summarized Source Data'!H$2,Subsector,'Summarized Source Data'!H$3,TimeOfWeek,$D163)</f>
        <v>37500000</v>
      </c>
      <c r="I163" s="27">
        <f t="shared" si="14"/>
        <v>37500000</v>
      </c>
      <c r="J163" s="29">
        <f t="shared" si="15"/>
        <v>37500000</v>
      </c>
      <c r="K163" s="27">
        <f>SUMIFS(INDEX(Load,,MATCH('Summarized Source Data'!$B163,Hour,0)),Season,'Summarized Source Data'!$A163,Sector,'Summarized Source Data'!K$2,Subsector,'Summarized Source Data'!K$3,TimeOfWeek,$D163)</f>
        <v>556713</v>
      </c>
      <c r="L163" s="27">
        <f>SUMIFS(INDEX(Load,,MATCH('Summarized Source Data'!$B163,Hour,0)),Season,'Summarized Source Data'!$A163,Sector,'Summarized Source Data'!L$2,Subsector,'Summarized Source Data'!L$3,TimeOfWeek,$D163)</f>
        <v>45400000</v>
      </c>
      <c r="M163" s="27">
        <f>SUMIFS(INDEX(Load,,MATCH('Summarized Source Data'!$B163,Hour,0)),Season,'Summarized Source Data'!$A163,Sector,'Summarized Source Data'!M$2,Subsector,'Summarized Source Data'!M$3,TimeOfWeek,$D163)</f>
        <v>0</v>
      </c>
      <c r="N163" s="29">
        <f t="shared" si="16"/>
        <v>37500000</v>
      </c>
      <c r="O163" s="27">
        <f t="shared" si="17"/>
        <v>37500000</v>
      </c>
      <c r="P163" s="29">
        <f t="shared" si="18"/>
        <v>37500000</v>
      </c>
      <c r="Q163" s="33">
        <f>SUMIFS(INDEX(Load,,MATCH('Summarized Source Data'!$B163,Hour,0)),Season,'Summarized Source Data'!$A163,Sector,'Summarized Source Data'!Q$2,TimeOfWeek,$D163)</f>
        <v>4460000</v>
      </c>
      <c r="R163" s="33">
        <f>SUMIFS(INDEX(Load,,MATCH('Summarized Source Data'!$B163,Hour,0)),Season,'Summarized Source Data'!$A163,Sector,'Summarized Source Data'!R$2,TimeOfWeek,$D163)</f>
        <v>4460000</v>
      </c>
      <c r="S163" s="33">
        <f>SUMIFS(INDEX(Load,,MATCH('Summarized Source Data'!$B163,Hour,0)),Season,'Summarized Source Data'!$A163,Sector,'Summarized Source Data'!S$2,TimeOfWeek,$D163)</f>
        <v>4460000</v>
      </c>
      <c r="T163" s="33">
        <f>SUMIFS(INDEX(Load,,MATCH('Summarized Source Data'!$B163,Hour,0)),Season,'Summarized Source Data'!$A163,Sector,'Summarized Source Data'!T$2,TimeOfWeek,$D163)</f>
        <v>4460000</v>
      </c>
      <c r="U163" s="33">
        <f>SUMIFS(INDEX(Load,,MATCH('Summarized Source Data'!$B163,Hour,0)),Season,'Summarized Source Data'!$A163,Sector,'Summarized Source Data'!U$2,TimeOfWeek,$D163)</f>
        <v>4460000</v>
      </c>
      <c r="V163" s="33">
        <f>SUMIFS(INDEX(Load,,MATCH('Summarized Source Data'!$B163,Hour,0)),Season,'Summarized Source Data'!$A163,Sector,'Summarized Source Data'!V$2,TimeOfWeek,$D163)</f>
        <v>4460000</v>
      </c>
      <c r="W163" s="27">
        <f>SUMIFS(INDEX(Load,,MATCH('Summarized Source Data'!$B163,Hour,0)),Season,'Summarized Source Data'!$A163,Sector,'Summarized Source Data'!W$2,Subsector,'Summarized Source Data'!W$3,TimeOfWeek,$D163)</f>
        <v>512000000</v>
      </c>
      <c r="X163" s="29">
        <f t="shared" si="19"/>
        <v>512000000</v>
      </c>
      <c r="Y163" s="29">
        <f t="shared" si="19"/>
        <v>512000000</v>
      </c>
    </row>
    <row r="164" spans="1:25" outlineLevel="1" x14ac:dyDescent="0.3">
      <c r="A164" t="s">
        <v>165</v>
      </c>
      <c r="B164" t="s">
        <v>80</v>
      </c>
      <c r="C164" s="6" t="s">
        <v>156</v>
      </c>
      <c r="D164" t="s">
        <v>48</v>
      </c>
      <c r="E164" s="27">
        <f>SUMIFS(INDEX(Load,,MATCH('Summarized Source Data'!$B164,Hour,0)),Season,'Summarized Source Data'!$A164,Sector,'Summarized Source Data'!E$2,Subsector,'Summarized Source Data'!E$3,TimeOfWeek,$D164)</f>
        <v>0</v>
      </c>
      <c r="F164" s="27">
        <f>SUMIFS(INDEX(Load,,MATCH('Summarized Source Data'!$B164,Hour,0)),Season,'Summarized Source Data'!$A164,Sector,'Summarized Source Data'!F$2,Subsector,'Summarized Source Data'!F$3,TimeOfWeek,$D164)</f>
        <v>21357187</v>
      </c>
      <c r="G164" s="27">
        <f>SUMIFS(INDEX(Load,,MATCH('Summarized Source Data'!$B164,Hour,0)),Season,'Summarized Source Data'!$A164,Sector,'Summarized Source Data'!G$2,Subsector,'Summarized Source Data'!G$3,TimeOfWeek,$D164)</f>
        <v>0</v>
      </c>
      <c r="H164" s="27">
        <f>SUMIFS(INDEX(Load,,MATCH('Summarized Source Data'!$B164,Hour,0)),Season,'Summarized Source Data'!$A164,Sector,'Summarized Source Data'!H$2,Subsector,'Summarized Source Data'!H$3,TimeOfWeek,$D164)</f>
        <v>38400000</v>
      </c>
      <c r="I164" s="27">
        <f t="shared" si="14"/>
        <v>38400000</v>
      </c>
      <c r="J164" s="29">
        <f t="shared" si="15"/>
        <v>38400000</v>
      </c>
      <c r="K164" s="27">
        <f>SUMIFS(INDEX(Load,,MATCH('Summarized Source Data'!$B164,Hour,0)),Season,'Summarized Source Data'!$A164,Sector,'Summarized Source Data'!K$2,Subsector,'Summarized Source Data'!K$3,TimeOfWeek,$D164)</f>
        <v>549847</v>
      </c>
      <c r="L164" s="27">
        <f>SUMIFS(INDEX(Load,,MATCH('Summarized Source Data'!$B164,Hour,0)),Season,'Summarized Source Data'!$A164,Sector,'Summarized Source Data'!L$2,Subsector,'Summarized Source Data'!L$3,TimeOfWeek,$D164)</f>
        <v>43900000</v>
      </c>
      <c r="M164" s="27">
        <f>SUMIFS(INDEX(Load,,MATCH('Summarized Source Data'!$B164,Hour,0)),Season,'Summarized Source Data'!$A164,Sector,'Summarized Source Data'!M$2,Subsector,'Summarized Source Data'!M$3,TimeOfWeek,$D164)</f>
        <v>0</v>
      </c>
      <c r="N164" s="29">
        <f t="shared" si="16"/>
        <v>38400000</v>
      </c>
      <c r="O164" s="27">
        <f t="shared" si="17"/>
        <v>38400000</v>
      </c>
      <c r="P164" s="29">
        <f t="shared" si="18"/>
        <v>38400000</v>
      </c>
      <c r="Q164" s="33">
        <f>SUMIFS(INDEX(Load,,MATCH('Summarized Source Data'!$B164,Hour,0)),Season,'Summarized Source Data'!$A164,Sector,'Summarized Source Data'!Q$2,TimeOfWeek,$D164)</f>
        <v>5300000</v>
      </c>
      <c r="R164" s="33">
        <f>SUMIFS(INDEX(Load,,MATCH('Summarized Source Data'!$B164,Hour,0)),Season,'Summarized Source Data'!$A164,Sector,'Summarized Source Data'!R$2,TimeOfWeek,$D164)</f>
        <v>5300000</v>
      </c>
      <c r="S164" s="33">
        <f>SUMIFS(INDEX(Load,,MATCH('Summarized Source Data'!$B164,Hour,0)),Season,'Summarized Source Data'!$A164,Sector,'Summarized Source Data'!S$2,TimeOfWeek,$D164)</f>
        <v>5300000</v>
      </c>
      <c r="T164" s="33">
        <f>SUMIFS(INDEX(Load,,MATCH('Summarized Source Data'!$B164,Hour,0)),Season,'Summarized Source Data'!$A164,Sector,'Summarized Source Data'!T$2,TimeOfWeek,$D164)</f>
        <v>5300000</v>
      </c>
      <c r="U164" s="33">
        <f>SUMIFS(INDEX(Load,,MATCH('Summarized Source Data'!$B164,Hour,0)),Season,'Summarized Source Data'!$A164,Sector,'Summarized Source Data'!U$2,TimeOfWeek,$D164)</f>
        <v>5300000</v>
      </c>
      <c r="V164" s="33">
        <f>SUMIFS(INDEX(Load,,MATCH('Summarized Source Data'!$B164,Hour,0)),Season,'Summarized Source Data'!$A164,Sector,'Summarized Source Data'!V$2,TimeOfWeek,$D164)</f>
        <v>5300000</v>
      </c>
      <c r="W164" s="27">
        <f>SUMIFS(INDEX(Load,,MATCH('Summarized Source Data'!$B164,Hour,0)),Season,'Summarized Source Data'!$A164,Sector,'Summarized Source Data'!W$2,Subsector,'Summarized Source Data'!W$3,TimeOfWeek,$D164)</f>
        <v>515000000</v>
      </c>
      <c r="X164" s="29">
        <f t="shared" si="19"/>
        <v>515000000</v>
      </c>
      <c r="Y164" s="29">
        <f t="shared" si="19"/>
        <v>515000000</v>
      </c>
    </row>
    <row r="165" spans="1:25" outlineLevel="1" x14ac:dyDescent="0.3">
      <c r="A165" t="s">
        <v>165</v>
      </c>
      <c r="B165" t="s">
        <v>81</v>
      </c>
      <c r="C165" s="6" t="s">
        <v>157</v>
      </c>
      <c r="D165" t="s">
        <v>48</v>
      </c>
      <c r="E165" s="27">
        <f>SUMIFS(INDEX(Load,,MATCH('Summarized Source Data'!$B165,Hour,0)),Season,'Summarized Source Data'!$A165,Sector,'Summarized Source Data'!E$2,Subsector,'Summarized Source Data'!E$3,TimeOfWeek,$D165)</f>
        <v>0</v>
      </c>
      <c r="F165" s="27">
        <f>SUMIFS(INDEX(Load,,MATCH('Summarized Source Data'!$B165,Hour,0)),Season,'Summarized Source Data'!$A165,Sector,'Summarized Source Data'!F$2,Subsector,'Summarized Source Data'!F$3,TimeOfWeek,$D165)</f>
        <v>20123144</v>
      </c>
      <c r="G165" s="27">
        <f>SUMIFS(INDEX(Load,,MATCH('Summarized Source Data'!$B165,Hour,0)),Season,'Summarized Source Data'!$A165,Sector,'Summarized Source Data'!G$2,Subsector,'Summarized Source Data'!G$3,TimeOfWeek,$D165)</f>
        <v>0</v>
      </c>
      <c r="H165" s="27">
        <f>SUMIFS(INDEX(Load,,MATCH('Summarized Source Data'!$B165,Hour,0)),Season,'Summarized Source Data'!$A165,Sector,'Summarized Source Data'!H$2,Subsector,'Summarized Source Data'!H$3,TimeOfWeek,$D165)</f>
        <v>62800000</v>
      </c>
      <c r="I165" s="27">
        <f t="shared" si="14"/>
        <v>62800000</v>
      </c>
      <c r="J165" s="29">
        <f t="shared" si="15"/>
        <v>62800000</v>
      </c>
      <c r="K165" s="27">
        <f>SUMIFS(INDEX(Load,,MATCH('Summarized Source Data'!$B165,Hour,0)),Season,'Summarized Source Data'!$A165,Sector,'Summarized Source Data'!K$2,Subsector,'Summarized Source Data'!K$3,TimeOfWeek,$D165)</f>
        <v>592541</v>
      </c>
      <c r="L165" s="27">
        <f>SUMIFS(INDEX(Load,,MATCH('Summarized Source Data'!$B165,Hour,0)),Season,'Summarized Source Data'!$A165,Sector,'Summarized Source Data'!L$2,Subsector,'Summarized Source Data'!L$3,TimeOfWeek,$D165)</f>
        <v>41100000</v>
      </c>
      <c r="M165" s="27">
        <f>SUMIFS(INDEX(Load,,MATCH('Summarized Source Data'!$B165,Hour,0)),Season,'Summarized Source Data'!$A165,Sector,'Summarized Source Data'!M$2,Subsector,'Summarized Source Data'!M$3,TimeOfWeek,$D165)</f>
        <v>0</v>
      </c>
      <c r="N165" s="29">
        <f t="shared" si="16"/>
        <v>62800000</v>
      </c>
      <c r="O165" s="27">
        <f t="shared" si="17"/>
        <v>62800000</v>
      </c>
      <c r="P165" s="29">
        <f t="shared" si="18"/>
        <v>62800000</v>
      </c>
      <c r="Q165" s="33">
        <f>SUMIFS(INDEX(Load,,MATCH('Summarized Source Data'!$B165,Hour,0)),Season,'Summarized Source Data'!$A165,Sector,'Summarized Source Data'!Q$2,TimeOfWeek,$D165)</f>
        <v>5300000</v>
      </c>
      <c r="R165" s="33">
        <f>SUMIFS(INDEX(Load,,MATCH('Summarized Source Data'!$B165,Hour,0)),Season,'Summarized Source Data'!$A165,Sector,'Summarized Source Data'!R$2,TimeOfWeek,$D165)</f>
        <v>5300000</v>
      </c>
      <c r="S165" s="33">
        <f>SUMIFS(INDEX(Load,,MATCH('Summarized Source Data'!$B165,Hour,0)),Season,'Summarized Source Data'!$A165,Sector,'Summarized Source Data'!S$2,TimeOfWeek,$D165)</f>
        <v>5300000</v>
      </c>
      <c r="T165" s="33">
        <f>SUMIFS(INDEX(Load,,MATCH('Summarized Source Data'!$B165,Hour,0)),Season,'Summarized Source Data'!$A165,Sector,'Summarized Source Data'!T$2,TimeOfWeek,$D165)</f>
        <v>5300000</v>
      </c>
      <c r="U165" s="33">
        <f>SUMIFS(INDEX(Load,,MATCH('Summarized Source Data'!$B165,Hour,0)),Season,'Summarized Source Data'!$A165,Sector,'Summarized Source Data'!U$2,TimeOfWeek,$D165)</f>
        <v>5300000</v>
      </c>
      <c r="V165" s="33">
        <f>SUMIFS(INDEX(Load,,MATCH('Summarized Source Data'!$B165,Hour,0)),Season,'Summarized Source Data'!$A165,Sector,'Summarized Source Data'!V$2,TimeOfWeek,$D165)</f>
        <v>5300000</v>
      </c>
      <c r="W165" s="27">
        <f>SUMIFS(INDEX(Load,,MATCH('Summarized Source Data'!$B165,Hour,0)),Season,'Summarized Source Data'!$A165,Sector,'Summarized Source Data'!W$2,Subsector,'Summarized Source Data'!W$3,TimeOfWeek,$D165)</f>
        <v>516000000</v>
      </c>
      <c r="X165" s="29">
        <f t="shared" ref="X165:Y195" si="20">$W165</f>
        <v>516000000</v>
      </c>
      <c r="Y165" s="29">
        <f t="shared" si="20"/>
        <v>516000000</v>
      </c>
    </row>
    <row r="166" spans="1:25" outlineLevel="1" x14ac:dyDescent="0.3">
      <c r="A166" t="s">
        <v>165</v>
      </c>
      <c r="B166" t="s">
        <v>82</v>
      </c>
      <c r="C166" s="6" t="s">
        <v>158</v>
      </c>
      <c r="D166" t="s">
        <v>48</v>
      </c>
      <c r="E166" s="27">
        <f>SUMIFS(INDEX(Load,,MATCH('Summarized Source Data'!$B166,Hour,0)),Season,'Summarized Source Data'!$A166,Sector,'Summarized Source Data'!E$2,Subsector,'Summarized Source Data'!E$3,TimeOfWeek,$D166)</f>
        <v>0</v>
      </c>
      <c r="F166" s="27">
        <f>SUMIFS(INDEX(Load,,MATCH('Summarized Source Data'!$B166,Hour,0)),Season,'Summarized Source Data'!$A166,Sector,'Summarized Source Data'!F$2,Subsector,'Summarized Source Data'!F$3,TimeOfWeek,$D166)</f>
        <v>18483671</v>
      </c>
      <c r="G166" s="27">
        <f>SUMIFS(INDEX(Load,,MATCH('Summarized Source Data'!$B166,Hour,0)),Season,'Summarized Source Data'!$A166,Sector,'Summarized Source Data'!G$2,Subsector,'Summarized Source Data'!G$3,TimeOfWeek,$D166)</f>
        <v>0</v>
      </c>
      <c r="H166" s="27">
        <f>SUMIFS(INDEX(Load,,MATCH('Summarized Source Data'!$B166,Hour,0)),Season,'Summarized Source Data'!$A166,Sector,'Summarized Source Data'!H$2,Subsector,'Summarized Source Data'!H$3,TimeOfWeek,$D166)</f>
        <v>142000000</v>
      </c>
      <c r="I166" s="27">
        <f t="shared" si="14"/>
        <v>142000000</v>
      </c>
      <c r="J166" s="29">
        <f t="shared" si="15"/>
        <v>142000000</v>
      </c>
      <c r="K166" s="27">
        <f>SUMIFS(INDEX(Load,,MATCH('Summarized Source Data'!$B166,Hour,0)),Season,'Summarized Source Data'!$A166,Sector,'Summarized Source Data'!K$2,Subsector,'Summarized Source Data'!K$3,TimeOfWeek,$D166)</f>
        <v>690202</v>
      </c>
      <c r="L166" s="27">
        <f>SUMIFS(INDEX(Load,,MATCH('Summarized Source Data'!$B166,Hour,0)),Season,'Summarized Source Data'!$A166,Sector,'Summarized Source Data'!L$2,Subsector,'Summarized Source Data'!L$3,TimeOfWeek,$D166)</f>
        <v>37700000</v>
      </c>
      <c r="M166" s="27">
        <f>SUMIFS(INDEX(Load,,MATCH('Summarized Source Data'!$B166,Hour,0)),Season,'Summarized Source Data'!$A166,Sector,'Summarized Source Data'!M$2,Subsector,'Summarized Source Data'!M$3,TimeOfWeek,$D166)</f>
        <v>0</v>
      </c>
      <c r="N166" s="29">
        <f t="shared" si="16"/>
        <v>142000000</v>
      </c>
      <c r="O166" s="27">
        <f t="shared" si="17"/>
        <v>142000000</v>
      </c>
      <c r="P166" s="29">
        <f t="shared" si="18"/>
        <v>142000000</v>
      </c>
      <c r="Q166" s="33">
        <f>SUMIFS(INDEX(Load,,MATCH('Summarized Source Data'!$B166,Hour,0)),Season,'Summarized Source Data'!$A166,Sector,'Summarized Source Data'!Q$2,TimeOfWeek,$D166)</f>
        <v>5290000</v>
      </c>
      <c r="R166" s="33">
        <f>SUMIFS(INDEX(Load,,MATCH('Summarized Source Data'!$B166,Hour,0)),Season,'Summarized Source Data'!$A166,Sector,'Summarized Source Data'!R$2,TimeOfWeek,$D166)</f>
        <v>5290000</v>
      </c>
      <c r="S166" s="33">
        <f>SUMIFS(INDEX(Load,,MATCH('Summarized Source Data'!$B166,Hour,0)),Season,'Summarized Source Data'!$A166,Sector,'Summarized Source Data'!S$2,TimeOfWeek,$D166)</f>
        <v>5290000</v>
      </c>
      <c r="T166" s="33">
        <f>SUMIFS(INDEX(Load,,MATCH('Summarized Source Data'!$B166,Hour,0)),Season,'Summarized Source Data'!$A166,Sector,'Summarized Source Data'!T$2,TimeOfWeek,$D166)</f>
        <v>5290000</v>
      </c>
      <c r="U166" s="33">
        <f>SUMIFS(INDEX(Load,,MATCH('Summarized Source Data'!$B166,Hour,0)),Season,'Summarized Source Data'!$A166,Sector,'Summarized Source Data'!U$2,TimeOfWeek,$D166)</f>
        <v>5290000</v>
      </c>
      <c r="V166" s="33">
        <f>SUMIFS(INDEX(Load,,MATCH('Summarized Source Data'!$B166,Hour,0)),Season,'Summarized Source Data'!$A166,Sector,'Summarized Source Data'!V$2,TimeOfWeek,$D166)</f>
        <v>5290000</v>
      </c>
      <c r="W166" s="27">
        <f>SUMIFS(INDEX(Load,,MATCH('Summarized Source Data'!$B166,Hour,0)),Season,'Summarized Source Data'!$A166,Sector,'Summarized Source Data'!W$2,Subsector,'Summarized Source Data'!W$3,TimeOfWeek,$D166)</f>
        <v>515000000</v>
      </c>
      <c r="X166" s="29">
        <f t="shared" si="20"/>
        <v>515000000</v>
      </c>
      <c r="Y166" s="29">
        <f t="shared" si="20"/>
        <v>515000000</v>
      </c>
    </row>
    <row r="167" spans="1:25" outlineLevel="1" x14ac:dyDescent="0.3">
      <c r="A167" t="s">
        <v>165</v>
      </c>
      <c r="B167" t="s">
        <v>83</v>
      </c>
      <c r="C167" s="6" t="s">
        <v>159</v>
      </c>
      <c r="D167" t="s">
        <v>48</v>
      </c>
      <c r="E167" s="27">
        <f>SUMIFS(INDEX(Load,,MATCH('Summarized Source Data'!$B167,Hour,0)),Season,'Summarized Source Data'!$A167,Sector,'Summarized Source Data'!E$2,Subsector,'Summarized Source Data'!E$3,TimeOfWeek,$D167)</f>
        <v>0</v>
      </c>
      <c r="F167" s="27">
        <f>SUMIFS(INDEX(Load,,MATCH('Summarized Source Data'!$B167,Hour,0)),Season,'Summarized Source Data'!$A167,Sector,'Summarized Source Data'!F$2,Subsector,'Summarized Source Data'!F$3,TimeOfWeek,$D167)</f>
        <v>16126192</v>
      </c>
      <c r="G167" s="27">
        <f>SUMIFS(INDEX(Load,,MATCH('Summarized Source Data'!$B167,Hour,0)),Season,'Summarized Source Data'!$A167,Sector,'Summarized Source Data'!G$2,Subsector,'Summarized Source Data'!G$3,TimeOfWeek,$D167)</f>
        <v>0</v>
      </c>
      <c r="H167" s="27">
        <f>SUMIFS(INDEX(Load,,MATCH('Summarized Source Data'!$B167,Hour,0)),Season,'Summarized Source Data'!$A167,Sector,'Summarized Source Data'!H$2,Subsector,'Summarized Source Data'!H$3,TimeOfWeek,$D167)</f>
        <v>148800000</v>
      </c>
      <c r="I167" s="27">
        <f t="shared" si="14"/>
        <v>148800000</v>
      </c>
      <c r="J167" s="29">
        <f t="shared" si="15"/>
        <v>148800000</v>
      </c>
      <c r="K167" s="27">
        <f>SUMIFS(INDEX(Load,,MATCH('Summarized Source Data'!$B167,Hour,0)),Season,'Summarized Source Data'!$A167,Sector,'Summarized Source Data'!K$2,Subsector,'Summarized Source Data'!K$3,TimeOfWeek,$D167)</f>
        <v>762216</v>
      </c>
      <c r="L167" s="27">
        <f>SUMIFS(INDEX(Load,,MATCH('Summarized Source Data'!$B167,Hour,0)),Season,'Summarized Source Data'!$A167,Sector,'Summarized Source Data'!L$2,Subsector,'Summarized Source Data'!L$3,TimeOfWeek,$D167)</f>
        <v>33800000</v>
      </c>
      <c r="M167" s="27">
        <f>SUMIFS(INDEX(Load,,MATCH('Summarized Source Data'!$B167,Hour,0)),Season,'Summarized Source Data'!$A167,Sector,'Summarized Source Data'!M$2,Subsector,'Summarized Source Data'!M$3,TimeOfWeek,$D167)</f>
        <v>0</v>
      </c>
      <c r="N167" s="29">
        <f t="shared" si="16"/>
        <v>148800000</v>
      </c>
      <c r="O167" s="27">
        <f t="shared" si="17"/>
        <v>148800000</v>
      </c>
      <c r="P167" s="29">
        <f t="shared" si="18"/>
        <v>148800000</v>
      </c>
      <c r="Q167" s="33">
        <f>SUMIFS(INDEX(Load,,MATCH('Summarized Source Data'!$B167,Hour,0)),Season,'Summarized Source Data'!$A167,Sector,'Summarized Source Data'!Q$2,TimeOfWeek,$D167)</f>
        <v>5270000</v>
      </c>
      <c r="R167" s="33">
        <f>SUMIFS(INDEX(Load,,MATCH('Summarized Source Data'!$B167,Hour,0)),Season,'Summarized Source Data'!$A167,Sector,'Summarized Source Data'!R$2,TimeOfWeek,$D167)</f>
        <v>5270000</v>
      </c>
      <c r="S167" s="33">
        <f>SUMIFS(INDEX(Load,,MATCH('Summarized Source Data'!$B167,Hour,0)),Season,'Summarized Source Data'!$A167,Sector,'Summarized Source Data'!S$2,TimeOfWeek,$D167)</f>
        <v>5270000</v>
      </c>
      <c r="T167" s="33">
        <f>SUMIFS(INDEX(Load,,MATCH('Summarized Source Data'!$B167,Hour,0)),Season,'Summarized Source Data'!$A167,Sector,'Summarized Source Data'!T$2,TimeOfWeek,$D167)</f>
        <v>5270000</v>
      </c>
      <c r="U167" s="33">
        <f>SUMIFS(INDEX(Load,,MATCH('Summarized Source Data'!$B167,Hour,0)),Season,'Summarized Source Data'!$A167,Sector,'Summarized Source Data'!U$2,TimeOfWeek,$D167)</f>
        <v>5270000</v>
      </c>
      <c r="V167" s="33">
        <f>SUMIFS(INDEX(Load,,MATCH('Summarized Source Data'!$B167,Hour,0)),Season,'Summarized Source Data'!$A167,Sector,'Summarized Source Data'!V$2,TimeOfWeek,$D167)</f>
        <v>5270000</v>
      </c>
      <c r="W167" s="27">
        <f>SUMIFS(INDEX(Load,,MATCH('Summarized Source Data'!$B167,Hour,0)),Season,'Summarized Source Data'!$A167,Sector,'Summarized Source Data'!W$2,Subsector,'Summarized Source Data'!W$3,TimeOfWeek,$D167)</f>
        <v>513000000</v>
      </c>
      <c r="X167" s="29">
        <f t="shared" si="20"/>
        <v>513000000</v>
      </c>
      <c r="Y167" s="29">
        <f t="shared" si="20"/>
        <v>513000000</v>
      </c>
    </row>
    <row r="168" spans="1:25" outlineLevel="1" x14ac:dyDescent="0.3">
      <c r="A168" t="s">
        <v>165</v>
      </c>
      <c r="B168" t="s">
        <v>84</v>
      </c>
      <c r="C168" s="6" t="s">
        <v>160</v>
      </c>
      <c r="D168" t="s">
        <v>48</v>
      </c>
      <c r="E168" s="27">
        <f>SUMIFS(INDEX(Load,,MATCH('Summarized Source Data'!$B168,Hour,0)),Season,'Summarized Source Data'!$A168,Sector,'Summarized Source Data'!E$2,Subsector,'Summarized Source Data'!E$3,TimeOfWeek,$D168)</f>
        <v>0</v>
      </c>
      <c r="F168" s="27">
        <f>SUMIFS(INDEX(Load,,MATCH('Summarized Source Data'!$B168,Hour,0)),Season,'Summarized Source Data'!$A168,Sector,'Summarized Source Data'!F$2,Subsector,'Summarized Source Data'!F$3,TimeOfWeek,$D168)</f>
        <v>13467949</v>
      </c>
      <c r="G168" s="27">
        <f>SUMIFS(INDEX(Load,,MATCH('Summarized Source Data'!$B168,Hour,0)),Season,'Summarized Source Data'!$A168,Sector,'Summarized Source Data'!G$2,Subsector,'Summarized Source Data'!G$3,TimeOfWeek,$D168)</f>
        <v>0</v>
      </c>
      <c r="H168" s="27">
        <f>SUMIFS(INDEX(Load,,MATCH('Summarized Source Data'!$B168,Hour,0)),Season,'Summarized Source Data'!$A168,Sector,'Summarized Source Data'!H$2,Subsector,'Summarized Source Data'!H$3,TimeOfWeek,$D168)</f>
        <v>148000000</v>
      </c>
      <c r="I168" s="27">
        <f t="shared" si="14"/>
        <v>148000000</v>
      </c>
      <c r="J168" s="29">
        <f t="shared" si="15"/>
        <v>148000000</v>
      </c>
      <c r="K168" s="27">
        <f>SUMIFS(INDEX(Load,,MATCH('Summarized Source Data'!$B168,Hour,0)),Season,'Summarized Source Data'!$A168,Sector,'Summarized Source Data'!K$2,Subsector,'Summarized Source Data'!K$3,TimeOfWeek,$D168)</f>
        <v>962758</v>
      </c>
      <c r="L168" s="27">
        <f>SUMIFS(INDEX(Load,,MATCH('Summarized Source Data'!$B168,Hour,0)),Season,'Summarized Source Data'!$A168,Sector,'Summarized Source Data'!L$2,Subsector,'Summarized Source Data'!L$3,TimeOfWeek,$D168)</f>
        <v>30109695</v>
      </c>
      <c r="M168" s="27">
        <f>SUMIFS(INDEX(Load,,MATCH('Summarized Source Data'!$B168,Hour,0)),Season,'Summarized Source Data'!$A168,Sector,'Summarized Source Data'!M$2,Subsector,'Summarized Source Data'!M$3,TimeOfWeek,$D168)</f>
        <v>0</v>
      </c>
      <c r="N168" s="29">
        <f t="shared" si="16"/>
        <v>148000000</v>
      </c>
      <c r="O168" s="27">
        <f t="shared" si="17"/>
        <v>148000000</v>
      </c>
      <c r="P168" s="29">
        <f t="shared" si="18"/>
        <v>148000000</v>
      </c>
      <c r="Q168" s="33">
        <f>SUMIFS(INDEX(Load,,MATCH('Summarized Source Data'!$B168,Hour,0)),Season,'Summarized Source Data'!$A168,Sector,'Summarized Source Data'!Q$2,TimeOfWeek,$D168)</f>
        <v>5250000</v>
      </c>
      <c r="R168" s="33">
        <f>SUMIFS(INDEX(Load,,MATCH('Summarized Source Data'!$B168,Hour,0)),Season,'Summarized Source Data'!$A168,Sector,'Summarized Source Data'!R$2,TimeOfWeek,$D168)</f>
        <v>5250000</v>
      </c>
      <c r="S168" s="33">
        <f>SUMIFS(INDEX(Load,,MATCH('Summarized Source Data'!$B168,Hour,0)),Season,'Summarized Source Data'!$A168,Sector,'Summarized Source Data'!S$2,TimeOfWeek,$D168)</f>
        <v>5250000</v>
      </c>
      <c r="T168" s="33">
        <f>SUMIFS(INDEX(Load,,MATCH('Summarized Source Data'!$B168,Hour,0)),Season,'Summarized Source Data'!$A168,Sector,'Summarized Source Data'!T$2,TimeOfWeek,$D168)</f>
        <v>5250000</v>
      </c>
      <c r="U168" s="33">
        <f>SUMIFS(INDEX(Load,,MATCH('Summarized Source Data'!$B168,Hour,0)),Season,'Summarized Source Data'!$A168,Sector,'Summarized Source Data'!U$2,TimeOfWeek,$D168)</f>
        <v>5250000</v>
      </c>
      <c r="V168" s="33">
        <f>SUMIFS(INDEX(Load,,MATCH('Summarized Source Data'!$B168,Hour,0)),Season,'Summarized Source Data'!$A168,Sector,'Summarized Source Data'!V$2,TimeOfWeek,$D168)</f>
        <v>5250000</v>
      </c>
      <c r="W168" s="27">
        <f>SUMIFS(INDEX(Load,,MATCH('Summarized Source Data'!$B168,Hour,0)),Season,'Summarized Source Data'!$A168,Sector,'Summarized Source Data'!W$2,Subsector,'Summarized Source Data'!W$3,TimeOfWeek,$D168)</f>
        <v>512000000</v>
      </c>
      <c r="X168" s="29">
        <f t="shared" si="20"/>
        <v>512000000</v>
      </c>
      <c r="Y168" s="29">
        <f t="shared" si="20"/>
        <v>512000000</v>
      </c>
    </row>
    <row r="169" spans="1:25" outlineLevel="1" x14ac:dyDescent="0.3">
      <c r="A169" t="s">
        <v>165</v>
      </c>
      <c r="B169" t="s">
        <v>85</v>
      </c>
      <c r="C169" s="6" t="s">
        <v>161</v>
      </c>
      <c r="D169" t="s">
        <v>48</v>
      </c>
      <c r="E169" s="27">
        <f>SUMIFS(INDEX(Load,,MATCH('Summarized Source Data'!$B169,Hour,0)),Season,'Summarized Source Data'!$A169,Sector,'Summarized Source Data'!E$2,Subsector,'Summarized Source Data'!E$3,TimeOfWeek,$D169)</f>
        <v>0</v>
      </c>
      <c r="F169" s="27">
        <f>SUMIFS(INDEX(Load,,MATCH('Summarized Source Data'!$B169,Hour,0)),Season,'Summarized Source Data'!$A169,Sector,'Summarized Source Data'!F$2,Subsector,'Summarized Source Data'!F$3,TimeOfWeek,$D169)</f>
        <v>10964386</v>
      </c>
      <c r="G169" s="27">
        <f>SUMIFS(INDEX(Load,,MATCH('Summarized Source Data'!$B169,Hour,0)),Season,'Summarized Source Data'!$A169,Sector,'Summarized Source Data'!G$2,Subsector,'Summarized Source Data'!G$3,TimeOfWeek,$D169)</f>
        <v>0</v>
      </c>
      <c r="H169" s="27">
        <f>SUMIFS(INDEX(Load,,MATCH('Summarized Source Data'!$B169,Hour,0)),Season,'Summarized Source Data'!$A169,Sector,'Summarized Source Data'!H$2,Subsector,'Summarized Source Data'!H$3,TimeOfWeek,$D169)</f>
        <v>122400000</v>
      </c>
      <c r="I169" s="27">
        <f t="shared" si="14"/>
        <v>122400000</v>
      </c>
      <c r="J169" s="29">
        <f t="shared" si="15"/>
        <v>122400000</v>
      </c>
      <c r="K169" s="27">
        <f>SUMIFS(INDEX(Load,,MATCH('Summarized Source Data'!$B169,Hour,0)),Season,'Summarized Source Data'!$A169,Sector,'Summarized Source Data'!K$2,Subsector,'Summarized Source Data'!K$3,TimeOfWeek,$D169)</f>
        <v>1024027</v>
      </c>
      <c r="L169" s="27">
        <f>SUMIFS(INDEX(Load,,MATCH('Summarized Source Data'!$B169,Hour,0)),Season,'Summarized Source Data'!$A169,Sector,'Summarized Source Data'!L$2,Subsector,'Summarized Source Data'!L$3,TimeOfWeek,$D169)</f>
        <v>26869931</v>
      </c>
      <c r="M169" s="27">
        <f>SUMIFS(INDEX(Load,,MATCH('Summarized Source Data'!$B169,Hour,0)),Season,'Summarized Source Data'!$A169,Sector,'Summarized Source Data'!M$2,Subsector,'Summarized Source Data'!M$3,TimeOfWeek,$D169)</f>
        <v>0</v>
      </c>
      <c r="N169" s="29">
        <f t="shared" si="16"/>
        <v>122400000</v>
      </c>
      <c r="O169" s="27">
        <f t="shared" si="17"/>
        <v>122400000</v>
      </c>
      <c r="P169" s="29">
        <f t="shared" si="18"/>
        <v>122400000</v>
      </c>
      <c r="Q169" s="33">
        <f>SUMIFS(INDEX(Load,,MATCH('Summarized Source Data'!$B169,Hour,0)),Season,'Summarized Source Data'!$A169,Sector,'Summarized Source Data'!Q$2,TimeOfWeek,$D169)</f>
        <v>5220000</v>
      </c>
      <c r="R169" s="33">
        <f>SUMIFS(INDEX(Load,,MATCH('Summarized Source Data'!$B169,Hour,0)),Season,'Summarized Source Data'!$A169,Sector,'Summarized Source Data'!R$2,TimeOfWeek,$D169)</f>
        <v>5220000</v>
      </c>
      <c r="S169" s="33">
        <f>SUMIFS(INDEX(Load,,MATCH('Summarized Source Data'!$B169,Hour,0)),Season,'Summarized Source Data'!$A169,Sector,'Summarized Source Data'!S$2,TimeOfWeek,$D169)</f>
        <v>5220000</v>
      </c>
      <c r="T169" s="33">
        <f>SUMIFS(INDEX(Load,,MATCH('Summarized Source Data'!$B169,Hour,0)),Season,'Summarized Source Data'!$A169,Sector,'Summarized Source Data'!T$2,TimeOfWeek,$D169)</f>
        <v>5220000</v>
      </c>
      <c r="U169" s="33">
        <f>SUMIFS(INDEX(Load,,MATCH('Summarized Source Data'!$B169,Hour,0)),Season,'Summarized Source Data'!$A169,Sector,'Summarized Source Data'!U$2,TimeOfWeek,$D169)</f>
        <v>5220000</v>
      </c>
      <c r="V169" s="33">
        <f>SUMIFS(INDEX(Load,,MATCH('Summarized Source Data'!$B169,Hour,0)),Season,'Summarized Source Data'!$A169,Sector,'Summarized Source Data'!V$2,TimeOfWeek,$D169)</f>
        <v>5220000</v>
      </c>
      <c r="W169" s="27">
        <f>SUMIFS(INDEX(Load,,MATCH('Summarized Source Data'!$B169,Hour,0)),Season,'Summarized Source Data'!$A169,Sector,'Summarized Source Data'!W$2,Subsector,'Summarized Source Data'!W$3,TimeOfWeek,$D169)</f>
        <v>509000000</v>
      </c>
      <c r="X169" s="29">
        <f t="shared" si="20"/>
        <v>509000000</v>
      </c>
      <c r="Y169" s="29">
        <f t="shared" si="20"/>
        <v>509000000</v>
      </c>
    </row>
    <row r="170" spans="1:25" outlineLevel="1" x14ac:dyDescent="0.3">
      <c r="A170" t="s">
        <v>165</v>
      </c>
      <c r="B170" t="s">
        <v>86</v>
      </c>
      <c r="C170" s="6" t="s">
        <v>162</v>
      </c>
      <c r="D170" t="s">
        <v>48</v>
      </c>
      <c r="E170" s="27">
        <f>SUMIFS(INDEX(Load,,MATCH('Summarized Source Data'!$B170,Hour,0)),Season,'Summarized Source Data'!$A170,Sector,'Summarized Source Data'!E$2,Subsector,'Summarized Source Data'!E$3,TimeOfWeek,$D170)</f>
        <v>0</v>
      </c>
      <c r="F170" s="27">
        <f>SUMIFS(INDEX(Load,,MATCH('Summarized Source Data'!$B170,Hour,0)),Season,'Summarized Source Data'!$A170,Sector,'Summarized Source Data'!F$2,Subsector,'Summarized Source Data'!F$3,TimeOfWeek,$D170)</f>
        <v>8817193</v>
      </c>
      <c r="G170" s="27">
        <f>SUMIFS(INDEX(Load,,MATCH('Summarized Source Data'!$B170,Hour,0)),Season,'Summarized Source Data'!$A170,Sector,'Summarized Source Data'!G$2,Subsector,'Summarized Source Data'!G$3,TimeOfWeek,$D170)</f>
        <v>0</v>
      </c>
      <c r="H170" s="27">
        <f>SUMIFS(INDEX(Load,,MATCH('Summarized Source Data'!$B170,Hour,0)),Season,'Summarized Source Data'!$A170,Sector,'Summarized Source Data'!H$2,Subsector,'Summarized Source Data'!H$3,TimeOfWeek,$D170)</f>
        <v>79000000</v>
      </c>
      <c r="I170" s="27">
        <f t="shared" si="14"/>
        <v>79000000</v>
      </c>
      <c r="J170" s="29">
        <f t="shared" si="15"/>
        <v>79000000</v>
      </c>
      <c r="K170" s="27">
        <f>SUMIFS(INDEX(Load,,MATCH('Summarized Source Data'!$B170,Hour,0)),Season,'Summarized Source Data'!$A170,Sector,'Summarized Source Data'!K$2,Subsector,'Summarized Source Data'!K$3,TimeOfWeek,$D170)</f>
        <v>1102761</v>
      </c>
      <c r="L170" s="27">
        <f>SUMIFS(INDEX(Load,,MATCH('Summarized Source Data'!$B170,Hour,0)),Season,'Summarized Source Data'!$A170,Sector,'Summarized Source Data'!L$2,Subsector,'Summarized Source Data'!L$3,TimeOfWeek,$D170)</f>
        <v>24075456</v>
      </c>
      <c r="M170" s="27">
        <f>SUMIFS(INDEX(Load,,MATCH('Summarized Source Data'!$B170,Hour,0)),Season,'Summarized Source Data'!$A170,Sector,'Summarized Source Data'!M$2,Subsector,'Summarized Source Data'!M$3,TimeOfWeek,$D170)</f>
        <v>0</v>
      </c>
      <c r="N170" s="29">
        <f t="shared" si="16"/>
        <v>79000000</v>
      </c>
      <c r="O170" s="27">
        <f t="shared" si="17"/>
        <v>79000000</v>
      </c>
      <c r="P170" s="29">
        <f t="shared" si="18"/>
        <v>79000000</v>
      </c>
      <c r="Q170" s="33">
        <f>SUMIFS(INDEX(Load,,MATCH('Summarized Source Data'!$B170,Hour,0)),Season,'Summarized Source Data'!$A170,Sector,'Summarized Source Data'!Q$2,TimeOfWeek,$D170)</f>
        <v>5210000</v>
      </c>
      <c r="R170" s="33">
        <f>SUMIFS(INDEX(Load,,MATCH('Summarized Source Data'!$B170,Hour,0)),Season,'Summarized Source Data'!$A170,Sector,'Summarized Source Data'!R$2,TimeOfWeek,$D170)</f>
        <v>5210000</v>
      </c>
      <c r="S170" s="33">
        <f>SUMIFS(INDEX(Load,,MATCH('Summarized Source Data'!$B170,Hour,0)),Season,'Summarized Source Data'!$A170,Sector,'Summarized Source Data'!S$2,TimeOfWeek,$D170)</f>
        <v>5210000</v>
      </c>
      <c r="T170" s="33">
        <f>SUMIFS(INDEX(Load,,MATCH('Summarized Source Data'!$B170,Hour,0)),Season,'Summarized Source Data'!$A170,Sector,'Summarized Source Data'!T$2,TimeOfWeek,$D170)</f>
        <v>5210000</v>
      </c>
      <c r="U170" s="33">
        <f>SUMIFS(INDEX(Load,,MATCH('Summarized Source Data'!$B170,Hour,0)),Season,'Summarized Source Data'!$A170,Sector,'Summarized Source Data'!U$2,TimeOfWeek,$D170)</f>
        <v>5210000</v>
      </c>
      <c r="V170" s="33">
        <f>SUMIFS(INDEX(Load,,MATCH('Summarized Source Data'!$B170,Hour,0)),Season,'Summarized Source Data'!$A170,Sector,'Summarized Source Data'!V$2,TimeOfWeek,$D170)</f>
        <v>5210000</v>
      </c>
      <c r="W170" s="27">
        <f>SUMIFS(INDEX(Load,,MATCH('Summarized Source Data'!$B170,Hour,0)),Season,'Summarized Source Data'!$A170,Sector,'Summarized Source Data'!W$2,Subsector,'Summarized Source Data'!W$3,TimeOfWeek,$D170)</f>
        <v>506000000</v>
      </c>
      <c r="X170" s="29">
        <f t="shared" si="20"/>
        <v>506000000</v>
      </c>
      <c r="Y170" s="29">
        <f t="shared" si="20"/>
        <v>506000000</v>
      </c>
    </row>
    <row r="171" spans="1:25" outlineLevel="1" x14ac:dyDescent="0.3">
      <c r="A171" t="s">
        <v>165</v>
      </c>
      <c r="B171" t="s">
        <v>87</v>
      </c>
      <c r="C171" s="6" t="s">
        <v>163</v>
      </c>
      <c r="D171" t="s">
        <v>48</v>
      </c>
      <c r="E171" s="27">
        <f>SUMIFS(INDEX(Load,,MATCH('Summarized Source Data'!$B171,Hour,0)),Season,'Summarized Source Data'!$A171,Sector,'Summarized Source Data'!E$2,Subsector,'Summarized Source Data'!E$3,TimeOfWeek,$D171)</f>
        <v>0</v>
      </c>
      <c r="F171" s="27">
        <f>SUMIFS(INDEX(Load,,MATCH('Summarized Source Data'!$B171,Hour,0)),Season,'Summarized Source Data'!$A171,Sector,'Summarized Source Data'!F$2,Subsector,'Summarized Source Data'!F$3,TimeOfWeek,$D171)</f>
        <v>7174148</v>
      </c>
      <c r="G171" s="27">
        <f>SUMIFS(INDEX(Load,,MATCH('Summarized Source Data'!$B171,Hour,0)),Season,'Summarized Source Data'!$A171,Sector,'Summarized Source Data'!G$2,Subsector,'Summarized Source Data'!G$3,TimeOfWeek,$D171)</f>
        <v>0</v>
      </c>
      <c r="H171" s="27">
        <f>SUMIFS(INDEX(Load,,MATCH('Summarized Source Data'!$B171,Hour,0)),Season,'Summarized Source Data'!$A171,Sector,'Summarized Source Data'!H$2,Subsector,'Summarized Source Data'!H$3,TimeOfWeek,$D171)</f>
        <v>44100000</v>
      </c>
      <c r="I171" s="27">
        <f t="shared" si="14"/>
        <v>44100000</v>
      </c>
      <c r="J171" s="29">
        <f t="shared" si="15"/>
        <v>44100000</v>
      </c>
      <c r="K171" s="27">
        <f>SUMIFS(INDEX(Load,,MATCH('Summarized Source Data'!$B171,Hour,0)),Season,'Summarized Source Data'!$A171,Sector,'Summarized Source Data'!K$2,Subsector,'Summarized Source Data'!K$3,TimeOfWeek,$D171)</f>
        <v>1168812</v>
      </c>
      <c r="L171" s="27">
        <f>SUMIFS(INDEX(Load,,MATCH('Summarized Source Data'!$B171,Hour,0)),Season,'Summarized Source Data'!$A171,Sector,'Summarized Source Data'!L$2,Subsector,'Summarized Source Data'!L$3,TimeOfWeek,$D171)</f>
        <v>21659770</v>
      </c>
      <c r="M171" s="27">
        <f>SUMIFS(INDEX(Load,,MATCH('Summarized Source Data'!$B171,Hour,0)),Season,'Summarized Source Data'!$A171,Sector,'Summarized Source Data'!M$2,Subsector,'Summarized Source Data'!M$3,TimeOfWeek,$D171)</f>
        <v>0</v>
      </c>
      <c r="N171" s="29">
        <f t="shared" si="16"/>
        <v>44100000</v>
      </c>
      <c r="O171" s="27">
        <f t="shared" si="17"/>
        <v>44100000</v>
      </c>
      <c r="P171" s="29">
        <f t="shared" si="18"/>
        <v>44100000</v>
      </c>
      <c r="Q171" s="33">
        <f>SUMIFS(INDEX(Load,,MATCH('Summarized Source Data'!$B171,Hour,0)),Season,'Summarized Source Data'!$A171,Sector,'Summarized Source Data'!Q$2,TimeOfWeek,$D171)</f>
        <v>3490000</v>
      </c>
      <c r="R171" s="33">
        <f>SUMIFS(INDEX(Load,,MATCH('Summarized Source Data'!$B171,Hour,0)),Season,'Summarized Source Data'!$A171,Sector,'Summarized Source Data'!R$2,TimeOfWeek,$D171)</f>
        <v>3490000</v>
      </c>
      <c r="S171" s="33">
        <f>SUMIFS(INDEX(Load,,MATCH('Summarized Source Data'!$B171,Hour,0)),Season,'Summarized Source Data'!$A171,Sector,'Summarized Source Data'!S$2,TimeOfWeek,$D171)</f>
        <v>3490000</v>
      </c>
      <c r="T171" s="33">
        <f>SUMIFS(INDEX(Load,,MATCH('Summarized Source Data'!$B171,Hour,0)),Season,'Summarized Source Data'!$A171,Sector,'Summarized Source Data'!T$2,TimeOfWeek,$D171)</f>
        <v>3490000</v>
      </c>
      <c r="U171" s="33">
        <f>SUMIFS(INDEX(Load,,MATCH('Summarized Source Data'!$B171,Hour,0)),Season,'Summarized Source Data'!$A171,Sector,'Summarized Source Data'!U$2,TimeOfWeek,$D171)</f>
        <v>3490000</v>
      </c>
      <c r="V171" s="33">
        <f>SUMIFS(INDEX(Load,,MATCH('Summarized Source Data'!$B171,Hour,0)),Season,'Summarized Source Data'!$A171,Sector,'Summarized Source Data'!V$2,TimeOfWeek,$D171)</f>
        <v>3490000</v>
      </c>
      <c r="W171" s="27">
        <f>SUMIFS(INDEX(Load,,MATCH('Summarized Source Data'!$B171,Hour,0)),Season,'Summarized Source Data'!$A171,Sector,'Summarized Source Data'!W$2,Subsector,'Summarized Source Data'!W$3,TimeOfWeek,$D171)</f>
        <v>504000000</v>
      </c>
      <c r="X171" s="29">
        <f t="shared" si="20"/>
        <v>504000000</v>
      </c>
      <c r="Y171" s="29">
        <f t="shared" si="20"/>
        <v>504000000</v>
      </c>
    </row>
    <row r="172" spans="1:25" outlineLevel="1" x14ac:dyDescent="0.3">
      <c r="A172" t="s">
        <v>166</v>
      </c>
      <c r="B172" t="s">
        <v>64</v>
      </c>
      <c r="C172" s="6" t="s">
        <v>140</v>
      </c>
      <c r="D172" t="s">
        <v>48</v>
      </c>
      <c r="E172" s="27">
        <f>SUMIFS(INDEX(Load,,MATCH('Summarized Source Data'!$B172,Hour,0)),Season,'Summarized Source Data'!$A172,Sector,'Summarized Source Data'!E$2,Subsector,'Summarized Source Data'!E$3,TimeOfWeek,$D172)</f>
        <v>0</v>
      </c>
      <c r="F172" s="27">
        <f>SUMIFS(INDEX(Load,,MATCH('Summarized Source Data'!$B172,Hour,0)),Season,'Summarized Source Data'!$A172,Sector,'Summarized Source Data'!F$2,Subsector,'Summarized Source Data'!F$3,TimeOfWeek,$D172)</f>
        <v>2541326</v>
      </c>
      <c r="G172" s="27">
        <f>SUMIFS(INDEX(Load,,MATCH('Summarized Source Data'!$B172,Hour,0)),Season,'Summarized Source Data'!$A172,Sector,'Summarized Source Data'!G$2,Subsector,'Summarized Source Data'!G$3,TimeOfWeek,$D172)</f>
        <v>0</v>
      </c>
      <c r="H172" s="27">
        <f>SUMIFS(INDEX(Load,,MATCH('Summarized Source Data'!$B172,Hour,0)),Season,'Summarized Source Data'!$A172,Sector,'Summarized Source Data'!H$2,Subsector,'Summarized Source Data'!H$3,TimeOfWeek,$D172)</f>
        <v>20500000</v>
      </c>
      <c r="I172" s="27">
        <f t="shared" si="14"/>
        <v>20500000</v>
      </c>
      <c r="J172" s="29">
        <f t="shared" si="15"/>
        <v>20500000</v>
      </c>
      <c r="K172" s="27">
        <f>SUMIFS(INDEX(Load,,MATCH('Summarized Source Data'!$B172,Hour,0)),Season,'Summarized Source Data'!$A172,Sector,'Summarized Source Data'!K$2,Subsector,'Summarized Source Data'!K$3,TimeOfWeek,$D172)</f>
        <v>1077192</v>
      </c>
      <c r="L172" s="27">
        <f>SUMIFS(INDEX(Load,,MATCH('Summarized Source Data'!$B172,Hour,0)),Season,'Summarized Source Data'!$A172,Sector,'Summarized Source Data'!L$2,Subsector,'Summarized Source Data'!L$3,TimeOfWeek,$D172)</f>
        <v>9624894</v>
      </c>
      <c r="M172" s="27">
        <f>SUMIFS(INDEX(Load,,MATCH('Summarized Source Data'!$B172,Hour,0)),Season,'Summarized Source Data'!$A172,Sector,'Summarized Source Data'!M$2,Subsector,'Summarized Source Data'!M$3,TimeOfWeek,$D172)</f>
        <v>0</v>
      </c>
      <c r="N172" s="29">
        <f t="shared" si="16"/>
        <v>20500000</v>
      </c>
      <c r="O172" s="27">
        <f t="shared" si="17"/>
        <v>20500000</v>
      </c>
      <c r="P172" s="29">
        <f t="shared" si="18"/>
        <v>20500000</v>
      </c>
      <c r="Q172" s="33">
        <f>SUMIFS(INDEX(Load,,MATCH('Summarized Source Data'!$B172,Hour,0)),Season,'Summarized Source Data'!$A172,Sector,'Summarized Source Data'!Q$2,TimeOfWeek,$D172)</f>
        <v>1776000</v>
      </c>
      <c r="R172" s="33">
        <f>SUMIFS(INDEX(Load,,MATCH('Summarized Source Data'!$B172,Hour,0)),Season,'Summarized Source Data'!$A172,Sector,'Summarized Source Data'!R$2,TimeOfWeek,$D172)</f>
        <v>1776000</v>
      </c>
      <c r="S172" s="33">
        <f>SUMIFS(INDEX(Load,,MATCH('Summarized Source Data'!$B172,Hour,0)),Season,'Summarized Source Data'!$A172,Sector,'Summarized Source Data'!S$2,TimeOfWeek,$D172)</f>
        <v>1776000</v>
      </c>
      <c r="T172" s="33">
        <f>SUMIFS(INDEX(Load,,MATCH('Summarized Source Data'!$B172,Hour,0)),Season,'Summarized Source Data'!$A172,Sector,'Summarized Source Data'!T$2,TimeOfWeek,$D172)</f>
        <v>1776000</v>
      </c>
      <c r="U172" s="33">
        <f>SUMIFS(INDEX(Load,,MATCH('Summarized Source Data'!$B172,Hour,0)),Season,'Summarized Source Data'!$A172,Sector,'Summarized Source Data'!U$2,TimeOfWeek,$D172)</f>
        <v>1776000</v>
      </c>
      <c r="V172" s="33">
        <f>SUMIFS(INDEX(Load,,MATCH('Summarized Source Data'!$B172,Hour,0)),Season,'Summarized Source Data'!$A172,Sector,'Summarized Source Data'!V$2,TimeOfWeek,$D172)</f>
        <v>1776000</v>
      </c>
      <c r="W172" s="27">
        <f>SUMIFS(INDEX(Load,,MATCH('Summarized Source Data'!$B172,Hour,0)),Season,'Summarized Source Data'!$A172,Sector,'Summarized Source Data'!W$2,Subsector,'Summarized Source Data'!W$3,TimeOfWeek,$D172)</f>
        <v>340000000</v>
      </c>
      <c r="X172" s="29">
        <f t="shared" si="20"/>
        <v>340000000</v>
      </c>
      <c r="Y172" s="29">
        <f t="shared" si="20"/>
        <v>340000000</v>
      </c>
    </row>
    <row r="173" spans="1:25" outlineLevel="1" x14ac:dyDescent="0.3">
      <c r="A173" t="s">
        <v>166</v>
      </c>
      <c r="B173" t="s">
        <v>65</v>
      </c>
      <c r="C173" s="6" t="s">
        <v>141</v>
      </c>
      <c r="D173" t="s">
        <v>48</v>
      </c>
      <c r="E173" s="27">
        <f>SUMIFS(INDEX(Load,,MATCH('Summarized Source Data'!$B173,Hour,0)),Season,'Summarized Source Data'!$A173,Sector,'Summarized Source Data'!E$2,Subsector,'Summarized Source Data'!E$3,TimeOfWeek,$D173)</f>
        <v>0</v>
      </c>
      <c r="F173" s="27">
        <f>SUMIFS(INDEX(Load,,MATCH('Summarized Source Data'!$B173,Hour,0)),Season,'Summarized Source Data'!$A173,Sector,'Summarized Source Data'!F$2,Subsector,'Summarized Source Data'!F$3,TimeOfWeek,$D173)</f>
        <v>2251509</v>
      </c>
      <c r="G173" s="27">
        <f>SUMIFS(INDEX(Load,,MATCH('Summarized Source Data'!$B173,Hour,0)),Season,'Summarized Source Data'!$A173,Sector,'Summarized Source Data'!G$2,Subsector,'Summarized Source Data'!G$3,TimeOfWeek,$D173)</f>
        <v>0</v>
      </c>
      <c r="H173" s="27">
        <f>SUMIFS(INDEX(Load,,MATCH('Summarized Source Data'!$B173,Hour,0)),Season,'Summarized Source Data'!$A173,Sector,'Summarized Source Data'!H$2,Subsector,'Summarized Source Data'!H$3,TimeOfWeek,$D173)</f>
        <v>17729864</v>
      </c>
      <c r="I173" s="27">
        <f t="shared" si="14"/>
        <v>17729864</v>
      </c>
      <c r="J173" s="29">
        <f t="shared" si="15"/>
        <v>17729864</v>
      </c>
      <c r="K173" s="27">
        <f>SUMIFS(INDEX(Load,,MATCH('Summarized Source Data'!$B173,Hour,0)),Season,'Summarized Source Data'!$A173,Sector,'Summarized Source Data'!K$2,Subsector,'Summarized Source Data'!K$3,TimeOfWeek,$D173)</f>
        <v>1001825</v>
      </c>
      <c r="L173" s="27">
        <f>SUMIFS(INDEX(Load,,MATCH('Summarized Source Data'!$B173,Hour,0)),Season,'Summarized Source Data'!$A173,Sector,'Summarized Source Data'!L$2,Subsector,'Summarized Source Data'!L$3,TimeOfWeek,$D173)</f>
        <v>9224937</v>
      </c>
      <c r="M173" s="27">
        <f>SUMIFS(INDEX(Load,,MATCH('Summarized Source Data'!$B173,Hour,0)),Season,'Summarized Source Data'!$A173,Sector,'Summarized Source Data'!M$2,Subsector,'Summarized Source Data'!M$3,TimeOfWeek,$D173)</f>
        <v>0</v>
      </c>
      <c r="N173" s="29">
        <f t="shared" si="16"/>
        <v>17729864</v>
      </c>
      <c r="O173" s="27">
        <f t="shared" si="17"/>
        <v>17729864</v>
      </c>
      <c r="P173" s="29">
        <f t="shared" si="18"/>
        <v>17729864</v>
      </c>
      <c r="Q173" s="33">
        <f>SUMIFS(INDEX(Load,,MATCH('Summarized Source Data'!$B173,Hour,0)),Season,'Summarized Source Data'!$A173,Sector,'Summarized Source Data'!Q$2,TimeOfWeek,$D173)</f>
        <v>1764000</v>
      </c>
      <c r="R173" s="33">
        <f>SUMIFS(INDEX(Load,,MATCH('Summarized Source Data'!$B173,Hour,0)),Season,'Summarized Source Data'!$A173,Sector,'Summarized Source Data'!R$2,TimeOfWeek,$D173)</f>
        <v>1764000</v>
      </c>
      <c r="S173" s="33">
        <f>SUMIFS(INDEX(Load,,MATCH('Summarized Source Data'!$B173,Hour,0)),Season,'Summarized Source Data'!$A173,Sector,'Summarized Source Data'!S$2,TimeOfWeek,$D173)</f>
        <v>1764000</v>
      </c>
      <c r="T173" s="33">
        <f>SUMIFS(INDEX(Load,,MATCH('Summarized Source Data'!$B173,Hour,0)),Season,'Summarized Source Data'!$A173,Sector,'Summarized Source Data'!T$2,TimeOfWeek,$D173)</f>
        <v>1764000</v>
      </c>
      <c r="U173" s="33">
        <f>SUMIFS(INDEX(Load,,MATCH('Summarized Source Data'!$B173,Hour,0)),Season,'Summarized Source Data'!$A173,Sector,'Summarized Source Data'!U$2,TimeOfWeek,$D173)</f>
        <v>1764000</v>
      </c>
      <c r="V173" s="33">
        <f>SUMIFS(INDEX(Load,,MATCH('Summarized Source Data'!$B173,Hour,0)),Season,'Summarized Source Data'!$A173,Sector,'Summarized Source Data'!V$2,TimeOfWeek,$D173)</f>
        <v>1764000</v>
      </c>
      <c r="W173" s="27">
        <f>SUMIFS(INDEX(Load,,MATCH('Summarized Source Data'!$B173,Hour,0)),Season,'Summarized Source Data'!$A173,Sector,'Summarized Source Data'!W$2,Subsector,'Summarized Source Data'!W$3,TimeOfWeek,$D173)</f>
        <v>340000000</v>
      </c>
      <c r="X173" s="29">
        <f t="shared" si="20"/>
        <v>340000000</v>
      </c>
      <c r="Y173" s="29">
        <f t="shared" si="20"/>
        <v>340000000</v>
      </c>
    </row>
    <row r="174" spans="1:25" outlineLevel="1" x14ac:dyDescent="0.3">
      <c r="A174" t="s">
        <v>166</v>
      </c>
      <c r="B174" t="s">
        <v>66</v>
      </c>
      <c r="C174" s="6" t="s">
        <v>142</v>
      </c>
      <c r="D174" t="s">
        <v>48</v>
      </c>
      <c r="E174" s="27">
        <f>SUMIFS(INDEX(Load,,MATCH('Summarized Source Data'!$B174,Hour,0)),Season,'Summarized Source Data'!$A174,Sector,'Summarized Source Data'!E$2,Subsector,'Summarized Source Data'!E$3,TimeOfWeek,$D174)</f>
        <v>0</v>
      </c>
      <c r="F174" s="27">
        <f>SUMIFS(INDEX(Load,,MATCH('Summarized Source Data'!$B174,Hour,0)),Season,'Summarized Source Data'!$A174,Sector,'Summarized Source Data'!F$2,Subsector,'Summarized Source Data'!F$3,TimeOfWeek,$D174)</f>
        <v>2175010</v>
      </c>
      <c r="G174" s="27">
        <f>SUMIFS(INDEX(Load,,MATCH('Summarized Source Data'!$B174,Hour,0)),Season,'Summarized Source Data'!$A174,Sector,'Summarized Source Data'!G$2,Subsector,'Summarized Source Data'!G$3,TimeOfWeek,$D174)</f>
        <v>0</v>
      </c>
      <c r="H174" s="27">
        <f>SUMIFS(INDEX(Load,,MATCH('Summarized Source Data'!$B174,Hour,0)),Season,'Summarized Source Data'!$A174,Sector,'Summarized Source Data'!H$2,Subsector,'Summarized Source Data'!H$3,TimeOfWeek,$D174)</f>
        <v>17123860</v>
      </c>
      <c r="I174" s="27">
        <f t="shared" si="14"/>
        <v>17123860</v>
      </c>
      <c r="J174" s="29">
        <f t="shared" si="15"/>
        <v>17123860</v>
      </c>
      <c r="K174" s="27">
        <f>SUMIFS(INDEX(Load,,MATCH('Summarized Source Data'!$B174,Hour,0)),Season,'Summarized Source Data'!$A174,Sector,'Summarized Source Data'!K$2,Subsector,'Summarized Source Data'!K$3,TimeOfWeek,$D174)</f>
        <v>1018896</v>
      </c>
      <c r="L174" s="27">
        <f>SUMIFS(INDEX(Load,,MATCH('Summarized Source Data'!$B174,Hour,0)),Season,'Summarized Source Data'!$A174,Sector,'Summarized Source Data'!L$2,Subsector,'Summarized Source Data'!L$3,TimeOfWeek,$D174)</f>
        <v>9080854</v>
      </c>
      <c r="M174" s="27">
        <f>SUMIFS(INDEX(Load,,MATCH('Summarized Source Data'!$B174,Hour,0)),Season,'Summarized Source Data'!$A174,Sector,'Summarized Source Data'!M$2,Subsector,'Summarized Source Data'!M$3,TimeOfWeek,$D174)</f>
        <v>0</v>
      </c>
      <c r="N174" s="29">
        <f t="shared" si="16"/>
        <v>17123860</v>
      </c>
      <c r="O174" s="27">
        <f t="shared" si="17"/>
        <v>17123860</v>
      </c>
      <c r="P174" s="29">
        <f t="shared" si="18"/>
        <v>17123860</v>
      </c>
      <c r="Q174" s="33">
        <f>SUMIFS(INDEX(Load,,MATCH('Summarized Source Data'!$B174,Hour,0)),Season,'Summarized Source Data'!$A174,Sector,'Summarized Source Data'!Q$2,TimeOfWeek,$D174)</f>
        <v>1761000</v>
      </c>
      <c r="R174" s="33">
        <f>SUMIFS(INDEX(Load,,MATCH('Summarized Source Data'!$B174,Hour,0)),Season,'Summarized Source Data'!$A174,Sector,'Summarized Source Data'!R$2,TimeOfWeek,$D174)</f>
        <v>1761000</v>
      </c>
      <c r="S174" s="33">
        <f>SUMIFS(INDEX(Load,,MATCH('Summarized Source Data'!$B174,Hour,0)),Season,'Summarized Source Data'!$A174,Sector,'Summarized Source Data'!S$2,TimeOfWeek,$D174)</f>
        <v>1761000</v>
      </c>
      <c r="T174" s="33">
        <f>SUMIFS(INDEX(Load,,MATCH('Summarized Source Data'!$B174,Hour,0)),Season,'Summarized Source Data'!$A174,Sector,'Summarized Source Data'!T$2,TimeOfWeek,$D174)</f>
        <v>1761000</v>
      </c>
      <c r="U174" s="33">
        <f>SUMIFS(INDEX(Load,,MATCH('Summarized Source Data'!$B174,Hour,0)),Season,'Summarized Source Data'!$A174,Sector,'Summarized Source Data'!U$2,TimeOfWeek,$D174)</f>
        <v>1761000</v>
      </c>
      <c r="V174" s="33">
        <f>SUMIFS(INDEX(Load,,MATCH('Summarized Source Data'!$B174,Hour,0)),Season,'Summarized Source Data'!$A174,Sector,'Summarized Source Data'!V$2,TimeOfWeek,$D174)</f>
        <v>1761000</v>
      </c>
      <c r="W174" s="27">
        <f>SUMIFS(INDEX(Load,,MATCH('Summarized Source Data'!$B174,Hour,0)),Season,'Summarized Source Data'!$A174,Sector,'Summarized Source Data'!W$2,Subsector,'Summarized Source Data'!W$3,TimeOfWeek,$D174)</f>
        <v>340000000</v>
      </c>
      <c r="X174" s="29">
        <f t="shared" si="20"/>
        <v>340000000</v>
      </c>
      <c r="Y174" s="29">
        <f t="shared" si="20"/>
        <v>340000000</v>
      </c>
    </row>
    <row r="175" spans="1:25" outlineLevel="1" x14ac:dyDescent="0.3">
      <c r="A175" t="s">
        <v>166</v>
      </c>
      <c r="B175" t="s">
        <v>67</v>
      </c>
      <c r="C175" s="6" t="s">
        <v>143</v>
      </c>
      <c r="D175" t="s">
        <v>48</v>
      </c>
      <c r="E175" s="27">
        <f>SUMIFS(INDEX(Load,,MATCH('Summarized Source Data'!$B175,Hour,0)),Season,'Summarized Source Data'!$A175,Sector,'Summarized Source Data'!E$2,Subsector,'Summarized Source Data'!E$3,TimeOfWeek,$D175)</f>
        <v>0</v>
      </c>
      <c r="F175" s="27">
        <f>SUMIFS(INDEX(Load,,MATCH('Summarized Source Data'!$B175,Hour,0)),Season,'Summarized Source Data'!$A175,Sector,'Summarized Source Data'!F$2,Subsector,'Summarized Source Data'!F$3,TimeOfWeek,$D175)</f>
        <v>2285739</v>
      </c>
      <c r="G175" s="27">
        <f>SUMIFS(INDEX(Load,,MATCH('Summarized Source Data'!$B175,Hour,0)),Season,'Summarized Source Data'!$A175,Sector,'Summarized Source Data'!G$2,Subsector,'Summarized Source Data'!G$3,TimeOfWeek,$D175)</f>
        <v>0</v>
      </c>
      <c r="H175" s="27">
        <f>SUMIFS(INDEX(Load,,MATCH('Summarized Source Data'!$B175,Hour,0)),Season,'Summarized Source Data'!$A175,Sector,'Summarized Source Data'!H$2,Subsector,'Summarized Source Data'!H$3,TimeOfWeek,$D175)</f>
        <v>17109406</v>
      </c>
      <c r="I175" s="27">
        <f t="shared" si="14"/>
        <v>17109406</v>
      </c>
      <c r="J175" s="29">
        <f t="shared" si="15"/>
        <v>17109406</v>
      </c>
      <c r="K175" s="27">
        <f>SUMIFS(INDEX(Load,,MATCH('Summarized Source Data'!$B175,Hour,0)),Season,'Summarized Source Data'!$A175,Sector,'Summarized Source Data'!K$2,Subsector,'Summarized Source Data'!K$3,TimeOfWeek,$D175)</f>
        <v>1036539</v>
      </c>
      <c r="L175" s="27">
        <f>SUMIFS(INDEX(Load,,MATCH('Summarized Source Data'!$B175,Hour,0)),Season,'Summarized Source Data'!$A175,Sector,'Summarized Source Data'!L$2,Subsector,'Summarized Source Data'!L$3,TimeOfWeek,$D175)</f>
        <v>9117093</v>
      </c>
      <c r="M175" s="27">
        <f>SUMIFS(INDEX(Load,,MATCH('Summarized Source Data'!$B175,Hour,0)),Season,'Summarized Source Data'!$A175,Sector,'Summarized Source Data'!M$2,Subsector,'Summarized Source Data'!M$3,TimeOfWeek,$D175)</f>
        <v>0</v>
      </c>
      <c r="N175" s="29">
        <f t="shared" si="16"/>
        <v>17109406</v>
      </c>
      <c r="O175" s="27">
        <f t="shared" si="17"/>
        <v>17109406</v>
      </c>
      <c r="P175" s="29">
        <f t="shared" si="18"/>
        <v>17109406</v>
      </c>
      <c r="Q175" s="33">
        <f>SUMIFS(INDEX(Load,,MATCH('Summarized Source Data'!$B175,Hour,0)),Season,'Summarized Source Data'!$A175,Sector,'Summarized Source Data'!Q$2,TimeOfWeek,$D175)</f>
        <v>1761000</v>
      </c>
      <c r="R175" s="33">
        <f>SUMIFS(INDEX(Load,,MATCH('Summarized Source Data'!$B175,Hour,0)),Season,'Summarized Source Data'!$A175,Sector,'Summarized Source Data'!R$2,TimeOfWeek,$D175)</f>
        <v>1761000</v>
      </c>
      <c r="S175" s="33">
        <f>SUMIFS(INDEX(Load,,MATCH('Summarized Source Data'!$B175,Hour,0)),Season,'Summarized Source Data'!$A175,Sector,'Summarized Source Data'!S$2,TimeOfWeek,$D175)</f>
        <v>1761000</v>
      </c>
      <c r="T175" s="33">
        <f>SUMIFS(INDEX(Load,,MATCH('Summarized Source Data'!$B175,Hour,0)),Season,'Summarized Source Data'!$A175,Sector,'Summarized Source Data'!T$2,TimeOfWeek,$D175)</f>
        <v>1761000</v>
      </c>
      <c r="U175" s="33">
        <f>SUMIFS(INDEX(Load,,MATCH('Summarized Source Data'!$B175,Hour,0)),Season,'Summarized Source Data'!$A175,Sector,'Summarized Source Data'!U$2,TimeOfWeek,$D175)</f>
        <v>1761000</v>
      </c>
      <c r="V175" s="33">
        <f>SUMIFS(INDEX(Load,,MATCH('Summarized Source Data'!$B175,Hour,0)),Season,'Summarized Source Data'!$A175,Sector,'Summarized Source Data'!V$2,TimeOfWeek,$D175)</f>
        <v>1761000</v>
      </c>
      <c r="W175" s="27">
        <f>SUMIFS(INDEX(Load,,MATCH('Summarized Source Data'!$B175,Hour,0)),Season,'Summarized Source Data'!$A175,Sector,'Summarized Source Data'!W$2,Subsector,'Summarized Source Data'!W$3,TimeOfWeek,$D175)</f>
        <v>341000000</v>
      </c>
      <c r="X175" s="29">
        <f t="shared" si="20"/>
        <v>341000000</v>
      </c>
      <c r="Y175" s="29">
        <f t="shared" si="20"/>
        <v>341000000</v>
      </c>
    </row>
    <row r="176" spans="1:25" outlineLevel="1" x14ac:dyDescent="0.3">
      <c r="A176" t="s">
        <v>166</v>
      </c>
      <c r="B176" t="s">
        <v>68</v>
      </c>
      <c r="C176" s="6" t="s">
        <v>144</v>
      </c>
      <c r="D176" t="s">
        <v>48</v>
      </c>
      <c r="E176" s="27">
        <f>SUMIFS(INDEX(Load,,MATCH('Summarized Source Data'!$B176,Hour,0)),Season,'Summarized Source Data'!$A176,Sector,'Summarized Source Data'!E$2,Subsector,'Summarized Source Data'!E$3,TimeOfWeek,$D176)</f>
        <v>0</v>
      </c>
      <c r="F176" s="27">
        <f>SUMIFS(INDEX(Load,,MATCH('Summarized Source Data'!$B176,Hour,0)),Season,'Summarized Source Data'!$A176,Sector,'Summarized Source Data'!F$2,Subsector,'Summarized Source Data'!F$3,TimeOfWeek,$D176)</f>
        <v>2611048</v>
      </c>
      <c r="G176" s="27">
        <f>SUMIFS(INDEX(Load,,MATCH('Summarized Source Data'!$B176,Hour,0)),Season,'Summarized Source Data'!$A176,Sector,'Summarized Source Data'!G$2,Subsector,'Summarized Source Data'!G$3,TimeOfWeek,$D176)</f>
        <v>0</v>
      </c>
      <c r="H176" s="27">
        <f>SUMIFS(INDEX(Load,,MATCH('Summarized Source Data'!$B176,Hour,0)),Season,'Summarized Source Data'!$A176,Sector,'Summarized Source Data'!H$2,Subsector,'Summarized Source Data'!H$3,TimeOfWeek,$D176)</f>
        <v>18009291</v>
      </c>
      <c r="I176" s="27">
        <f t="shared" si="14"/>
        <v>18009291</v>
      </c>
      <c r="J176" s="29">
        <f t="shared" si="15"/>
        <v>18009291</v>
      </c>
      <c r="K176" s="27">
        <f>SUMIFS(INDEX(Load,,MATCH('Summarized Source Data'!$B176,Hour,0)),Season,'Summarized Source Data'!$A176,Sector,'Summarized Source Data'!K$2,Subsector,'Summarized Source Data'!K$3,TimeOfWeek,$D176)</f>
        <v>1027897</v>
      </c>
      <c r="L176" s="27">
        <f>SUMIFS(INDEX(Load,,MATCH('Summarized Source Data'!$B176,Hour,0)),Season,'Summarized Source Data'!$A176,Sector,'Summarized Source Data'!L$2,Subsector,'Summarized Source Data'!L$3,TimeOfWeek,$D176)</f>
        <v>9343440</v>
      </c>
      <c r="M176" s="27">
        <f>SUMIFS(INDEX(Load,,MATCH('Summarized Source Data'!$B176,Hour,0)),Season,'Summarized Source Data'!$A176,Sector,'Summarized Source Data'!M$2,Subsector,'Summarized Source Data'!M$3,TimeOfWeek,$D176)</f>
        <v>0</v>
      </c>
      <c r="N176" s="29">
        <f t="shared" si="16"/>
        <v>18009291</v>
      </c>
      <c r="O176" s="27">
        <f t="shared" si="17"/>
        <v>18009291</v>
      </c>
      <c r="P176" s="29">
        <f t="shared" si="18"/>
        <v>18009291</v>
      </c>
      <c r="Q176" s="33">
        <f>SUMIFS(INDEX(Load,,MATCH('Summarized Source Data'!$B176,Hour,0)),Season,'Summarized Source Data'!$A176,Sector,'Summarized Source Data'!Q$2,TimeOfWeek,$D176)</f>
        <v>1759000</v>
      </c>
      <c r="R176" s="33">
        <f>SUMIFS(INDEX(Load,,MATCH('Summarized Source Data'!$B176,Hour,0)),Season,'Summarized Source Data'!$A176,Sector,'Summarized Source Data'!R$2,TimeOfWeek,$D176)</f>
        <v>1759000</v>
      </c>
      <c r="S176" s="33">
        <f>SUMIFS(INDEX(Load,,MATCH('Summarized Source Data'!$B176,Hour,0)),Season,'Summarized Source Data'!$A176,Sector,'Summarized Source Data'!S$2,TimeOfWeek,$D176)</f>
        <v>1759000</v>
      </c>
      <c r="T176" s="33">
        <f>SUMIFS(INDEX(Load,,MATCH('Summarized Source Data'!$B176,Hour,0)),Season,'Summarized Source Data'!$A176,Sector,'Summarized Source Data'!T$2,TimeOfWeek,$D176)</f>
        <v>1759000</v>
      </c>
      <c r="U176" s="33">
        <f>SUMIFS(INDEX(Load,,MATCH('Summarized Source Data'!$B176,Hour,0)),Season,'Summarized Source Data'!$A176,Sector,'Summarized Source Data'!U$2,TimeOfWeek,$D176)</f>
        <v>1759000</v>
      </c>
      <c r="V176" s="33">
        <f>SUMIFS(INDEX(Load,,MATCH('Summarized Source Data'!$B176,Hour,0)),Season,'Summarized Source Data'!$A176,Sector,'Summarized Source Data'!V$2,TimeOfWeek,$D176)</f>
        <v>1759000</v>
      </c>
      <c r="W176" s="27">
        <f>SUMIFS(INDEX(Load,,MATCH('Summarized Source Data'!$B176,Hour,0)),Season,'Summarized Source Data'!$A176,Sector,'Summarized Source Data'!W$2,Subsector,'Summarized Source Data'!W$3,TimeOfWeek,$D176)</f>
        <v>342000000</v>
      </c>
      <c r="X176" s="29">
        <f t="shared" si="20"/>
        <v>342000000</v>
      </c>
      <c r="Y176" s="29">
        <f t="shared" si="20"/>
        <v>342000000</v>
      </c>
    </row>
    <row r="177" spans="1:25" outlineLevel="1" x14ac:dyDescent="0.3">
      <c r="A177" t="s">
        <v>166</v>
      </c>
      <c r="B177" t="s">
        <v>69</v>
      </c>
      <c r="C177" s="6" t="s">
        <v>145</v>
      </c>
      <c r="D177" t="s">
        <v>48</v>
      </c>
      <c r="E177" s="27">
        <f>SUMIFS(INDEX(Load,,MATCH('Summarized Source Data'!$B177,Hour,0)),Season,'Summarized Source Data'!$A177,Sector,'Summarized Source Data'!E$2,Subsector,'Summarized Source Data'!E$3,TimeOfWeek,$D177)</f>
        <v>0</v>
      </c>
      <c r="F177" s="27">
        <f>SUMIFS(INDEX(Load,,MATCH('Summarized Source Data'!$B177,Hour,0)),Season,'Summarized Source Data'!$A177,Sector,'Summarized Source Data'!F$2,Subsector,'Summarized Source Data'!F$3,TimeOfWeek,$D177)</f>
        <v>3152846</v>
      </c>
      <c r="G177" s="27">
        <f>SUMIFS(INDEX(Load,,MATCH('Summarized Source Data'!$B177,Hour,0)),Season,'Summarized Source Data'!$A177,Sector,'Summarized Source Data'!G$2,Subsector,'Summarized Source Data'!G$3,TimeOfWeek,$D177)</f>
        <v>0</v>
      </c>
      <c r="H177" s="27">
        <f>SUMIFS(INDEX(Load,,MATCH('Summarized Source Data'!$B177,Hour,0)),Season,'Summarized Source Data'!$A177,Sector,'Summarized Source Data'!H$2,Subsector,'Summarized Source Data'!H$3,TimeOfWeek,$D177)</f>
        <v>23400000</v>
      </c>
      <c r="I177" s="27">
        <f t="shared" si="14"/>
        <v>23400000</v>
      </c>
      <c r="J177" s="29">
        <f t="shared" si="15"/>
        <v>23400000</v>
      </c>
      <c r="K177" s="27">
        <f>SUMIFS(INDEX(Load,,MATCH('Summarized Source Data'!$B177,Hour,0)),Season,'Summarized Source Data'!$A177,Sector,'Summarized Source Data'!K$2,Subsector,'Summarized Source Data'!K$3,TimeOfWeek,$D177)</f>
        <v>1171003</v>
      </c>
      <c r="L177" s="27">
        <f>SUMIFS(INDEX(Load,,MATCH('Summarized Source Data'!$B177,Hour,0)),Season,'Summarized Source Data'!$A177,Sector,'Summarized Source Data'!L$2,Subsector,'Summarized Source Data'!L$3,TimeOfWeek,$D177)</f>
        <v>9848904</v>
      </c>
      <c r="M177" s="27">
        <f>SUMIFS(INDEX(Load,,MATCH('Summarized Source Data'!$B177,Hour,0)),Season,'Summarized Source Data'!$A177,Sector,'Summarized Source Data'!M$2,Subsector,'Summarized Source Data'!M$3,TimeOfWeek,$D177)</f>
        <v>0</v>
      </c>
      <c r="N177" s="29">
        <f t="shared" si="16"/>
        <v>23400000</v>
      </c>
      <c r="O177" s="27">
        <f t="shared" si="17"/>
        <v>23400000</v>
      </c>
      <c r="P177" s="29">
        <f t="shared" si="18"/>
        <v>23400000</v>
      </c>
      <c r="Q177" s="33">
        <f>SUMIFS(INDEX(Load,,MATCH('Summarized Source Data'!$B177,Hour,0)),Season,'Summarized Source Data'!$A177,Sector,'Summarized Source Data'!Q$2,TimeOfWeek,$D177)</f>
        <v>1761000</v>
      </c>
      <c r="R177" s="33">
        <f>SUMIFS(INDEX(Load,,MATCH('Summarized Source Data'!$B177,Hour,0)),Season,'Summarized Source Data'!$A177,Sector,'Summarized Source Data'!R$2,TimeOfWeek,$D177)</f>
        <v>1761000</v>
      </c>
      <c r="S177" s="33">
        <f>SUMIFS(INDEX(Load,,MATCH('Summarized Source Data'!$B177,Hour,0)),Season,'Summarized Source Data'!$A177,Sector,'Summarized Source Data'!S$2,TimeOfWeek,$D177)</f>
        <v>1761000</v>
      </c>
      <c r="T177" s="33">
        <f>SUMIFS(INDEX(Load,,MATCH('Summarized Source Data'!$B177,Hour,0)),Season,'Summarized Source Data'!$A177,Sector,'Summarized Source Data'!T$2,TimeOfWeek,$D177)</f>
        <v>1761000</v>
      </c>
      <c r="U177" s="33">
        <f>SUMIFS(INDEX(Load,,MATCH('Summarized Source Data'!$B177,Hour,0)),Season,'Summarized Source Data'!$A177,Sector,'Summarized Source Data'!U$2,TimeOfWeek,$D177)</f>
        <v>1761000</v>
      </c>
      <c r="V177" s="33">
        <f>SUMIFS(INDEX(Load,,MATCH('Summarized Source Data'!$B177,Hour,0)),Season,'Summarized Source Data'!$A177,Sector,'Summarized Source Data'!V$2,TimeOfWeek,$D177)</f>
        <v>1761000</v>
      </c>
      <c r="W177" s="27">
        <f>SUMIFS(INDEX(Load,,MATCH('Summarized Source Data'!$B177,Hour,0)),Season,'Summarized Source Data'!$A177,Sector,'Summarized Source Data'!W$2,Subsector,'Summarized Source Data'!W$3,TimeOfWeek,$D177)</f>
        <v>343000000</v>
      </c>
      <c r="X177" s="29">
        <f t="shared" si="20"/>
        <v>343000000</v>
      </c>
      <c r="Y177" s="29">
        <f t="shared" si="20"/>
        <v>343000000</v>
      </c>
    </row>
    <row r="178" spans="1:25" outlineLevel="1" x14ac:dyDescent="0.3">
      <c r="A178" t="s">
        <v>166</v>
      </c>
      <c r="B178" t="s">
        <v>70</v>
      </c>
      <c r="C178" s="6" t="s">
        <v>146</v>
      </c>
      <c r="D178" t="s">
        <v>48</v>
      </c>
      <c r="E178" s="27">
        <f>SUMIFS(INDEX(Load,,MATCH('Summarized Source Data'!$B178,Hour,0)),Season,'Summarized Source Data'!$A178,Sector,'Summarized Source Data'!E$2,Subsector,'Summarized Source Data'!E$3,TimeOfWeek,$D178)</f>
        <v>0</v>
      </c>
      <c r="F178" s="27">
        <f>SUMIFS(INDEX(Load,,MATCH('Summarized Source Data'!$B178,Hour,0)),Season,'Summarized Source Data'!$A178,Sector,'Summarized Source Data'!F$2,Subsector,'Summarized Source Data'!F$3,TimeOfWeek,$D178)</f>
        <v>3893072</v>
      </c>
      <c r="G178" s="27">
        <f>SUMIFS(INDEX(Load,,MATCH('Summarized Source Data'!$B178,Hour,0)),Season,'Summarized Source Data'!$A178,Sector,'Summarized Source Data'!G$2,Subsector,'Summarized Source Data'!G$3,TimeOfWeek,$D178)</f>
        <v>0</v>
      </c>
      <c r="H178" s="27">
        <f>SUMIFS(INDEX(Load,,MATCH('Summarized Source Data'!$B178,Hour,0)),Season,'Summarized Source Data'!$A178,Sector,'Summarized Source Data'!H$2,Subsector,'Summarized Source Data'!H$3,TimeOfWeek,$D178)</f>
        <v>34300000</v>
      </c>
      <c r="I178" s="27">
        <f t="shared" si="14"/>
        <v>34300000</v>
      </c>
      <c r="J178" s="29">
        <f t="shared" si="15"/>
        <v>34300000</v>
      </c>
      <c r="K178" s="27">
        <f>SUMIFS(INDEX(Load,,MATCH('Summarized Source Data'!$B178,Hour,0)),Season,'Summarized Source Data'!$A178,Sector,'Summarized Source Data'!K$2,Subsector,'Summarized Source Data'!K$3,TimeOfWeek,$D178)</f>
        <v>2036937</v>
      </c>
      <c r="L178" s="27">
        <f>SUMIFS(INDEX(Load,,MATCH('Summarized Source Data'!$B178,Hour,0)),Season,'Summarized Source Data'!$A178,Sector,'Summarized Source Data'!L$2,Subsector,'Summarized Source Data'!L$3,TimeOfWeek,$D178)</f>
        <v>10790831</v>
      </c>
      <c r="M178" s="27">
        <f>SUMIFS(INDEX(Load,,MATCH('Summarized Source Data'!$B178,Hour,0)),Season,'Summarized Source Data'!$A178,Sector,'Summarized Source Data'!M$2,Subsector,'Summarized Source Data'!M$3,TimeOfWeek,$D178)</f>
        <v>0</v>
      </c>
      <c r="N178" s="29">
        <f t="shared" si="16"/>
        <v>34300000</v>
      </c>
      <c r="O178" s="27">
        <f t="shared" si="17"/>
        <v>34300000</v>
      </c>
      <c r="P178" s="29">
        <f t="shared" si="18"/>
        <v>34300000</v>
      </c>
      <c r="Q178" s="33">
        <f>SUMIFS(INDEX(Load,,MATCH('Summarized Source Data'!$B178,Hour,0)),Season,'Summarized Source Data'!$A178,Sector,'Summarized Source Data'!Q$2,TimeOfWeek,$D178)</f>
        <v>2160000</v>
      </c>
      <c r="R178" s="33">
        <f>SUMIFS(INDEX(Load,,MATCH('Summarized Source Data'!$B178,Hour,0)),Season,'Summarized Source Data'!$A178,Sector,'Summarized Source Data'!R$2,TimeOfWeek,$D178)</f>
        <v>2160000</v>
      </c>
      <c r="S178" s="33">
        <f>SUMIFS(INDEX(Load,,MATCH('Summarized Source Data'!$B178,Hour,0)),Season,'Summarized Source Data'!$A178,Sector,'Summarized Source Data'!S$2,TimeOfWeek,$D178)</f>
        <v>2160000</v>
      </c>
      <c r="T178" s="33">
        <f>SUMIFS(INDEX(Load,,MATCH('Summarized Source Data'!$B178,Hour,0)),Season,'Summarized Source Data'!$A178,Sector,'Summarized Source Data'!T$2,TimeOfWeek,$D178)</f>
        <v>2160000</v>
      </c>
      <c r="U178" s="33">
        <f>SUMIFS(INDEX(Load,,MATCH('Summarized Source Data'!$B178,Hour,0)),Season,'Summarized Source Data'!$A178,Sector,'Summarized Source Data'!U$2,TimeOfWeek,$D178)</f>
        <v>2160000</v>
      </c>
      <c r="V178" s="33">
        <f>SUMIFS(INDEX(Load,,MATCH('Summarized Source Data'!$B178,Hour,0)),Season,'Summarized Source Data'!$A178,Sector,'Summarized Source Data'!V$2,TimeOfWeek,$D178)</f>
        <v>2160000</v>
      </c>
      <c r="W178" s="27">
        <f>SUMIFS(INDEX(Load,,MATCH('Summarized Source Data'!$B178,Hour,0)),Season,'Summarized Source Data'!$A178,Sector,'Summarized Source Data'!W$2,Subsector,'Summarized Source Data'!W$3,TimeOfWeek,$D178)</f>
        <v>345000000</v>
      </c>
      <c r="X178" s="29">
        <f t="shared" si="20"/>
        <v>345000000</v>
      </c>
      <c r="Y178" s="29">
        <f t="shared" si="20"/>
        <v>345000000</v>
      </c>
    </row>
    <row r="179" spans="1:25" outlineLevel="1" x14ac:dyDescent="0.3">
      <c r="A179" t="s">
        <v>166</v>
      </c>
      <c r="B179" t="s">
        <v>71</v>
      </c>
      <c r="C179" s="6" t="s">
        <v>147</v>
      </c>
      <c r="D179" t="s">
        <v>48</v>
      </c>
      <c r="E179" s="27">
        <f>SUMIFS(INDEX(Load,,MATCH('Summarized Source Data'!$B179,Hour,0)),Season,'Summarized Source Data'!$A179,Sector,'Summarized Source Data'!E$2,Subsector,'Summarized Source Data'!E$3,TimeOfWeek,$D179)</f>
        <v>0</v>
      </c>
      <c r="F179" s="27">
        <f>SUMIFS(INDEX(Load,,MATCH('Summarized Source Data'!$B179,Hour,0)),Season,'Summarized Source Data'!$A179,Sector,'Summarized Source Data'!F$2,Subsector,'Summarized Source Data'!F$3,TimeOfWeek,$D179)</f>
        <v>4775478</v>
      </c>
      <c r="G179" s="27">
        <f>SUMIFS(INDEX(Load,,MATCH('Summarized Source Data'!$B179,Hour,0)),Season,'Summarized Source Data'!$A179,Sector,'Summarized Source Data'!G$2,Subsector,'Summarized Source Data'!G$3,TimeOfWeek,$D179)</f>
        <v>0</v>
      </c>
      <c r="H179" s="27">
        <f>SUMIFS(INDEX(Load,,MATCH('Summarized Source Data'!$B179,Hour,0)),Season,'Summarized Source Data'!$A179,Sector,'Summarized Source Data'!H$2,Subsector,'Summarized Source Data'!H$3,TimeOfWeek,$D179)</f>
        <v>19712114</v>
      </c>
      <c r="I179" s="27">
        <f t="shared" si="14"/>
        <v>19712114</v>
      </c>
      <c r="J179" s="29">
        <f t="shared" si="15"/>
        <v>19712114</v>
      </c>
      <c r="K179" s="27">
        <f>SUMIFS(INDEX(Load,,MATCH('Summarized Source Data'!$B179,Hour,0)),Season,'Summarized Source Data'!$A179,Sector,'Summarized Source Data'!K$2,Subsector,'Summarized Source Data'!K$3,TimeOfWeek,$D179)</f>
        <v>2269407</v>
      </c>
      <c r="L179" s="27">
        <f>SUMIFS(INDEX(Load,,MATCH('Summarized Source Data'!$B179,Hour,0)),Season,'Summarized Source Data'!$A179,Sector,'Summarized Source Data'!L$2,Subsector,'Summarized Source Data'!L$3,TimeOfWeek,$D179)</f>
        <v>12299668</v>
      </c>
      <c r="M179" s="27">
        <f>SUMIFS(INDEX(Load,,MATCH('Summarized Source Data'!$B179,Hour,0)),Season,'Summarized Source Data'!$A179,Sector,'Summarized Source Data'!M$2,Subsector,'Summarized Source Data'!M$3,TimeOfWeek,$D179)</f>
        <v>0</v>
      </c>
      <c r="N179" s="29">
        <f t="shared" si="16"/>
        <v>19712114</v>
      </c>
      <c r="O179" s="27">
        <f t="shared" si="17"/>
        <v>19712114</v>
      </c>
      <c r="P179" s="29">
        <f t="shared" si="18"/>
        <v>19712114</v>
      </c>
      <c r="Q179" s="33">
        <f>SUMIFS(INDEX(Load,,MATCH('Summarized Source Data'!$B179,Hour,0)),Season,'Summarized Source Data'!$A179,Sector,'Summarized Source Data'!Q$2,TimeOfWeek,$D179)</f>
        <v>2780000</v>
      </c>
      <c r="R179" s="33">
        <f>SUMIFS(INDEX(Load,,MATCH('Summarized Source Data'!$B179,Hour,0)),Season,'Summarized Source Data'!$A179,Sector,'Summarized Source Data'!R$2,TimeOfWeek,$D179)</f>
        <v>2780000</v>
      </c>
      <c r="S179" s="33">
        <f>SUMIFS(INDEX(Load,,MATCH('Summarized Source Data'!$B179,Hour,0)),Season,'Summarized Source Data'!$A179,Sector,'Summarized Source Data'!S$2,TimeOfWeek,$D179)</f>
        <v>2780000</v>
      </c>
      <c r="T179" s="33">
        <f>SUMIFS(INDEX(Load,,MATCH('Summarized Source Data'!$B179,Hour,0)),Season,'Summarized Source Data'!$A179,Sector,'Summarized Source Data'!T$2,TimeOfWeek,$D179)</f>
        <v>2780000</v>
      </c>
      <c r="U179" s="33">
        <f>SUMIFS(INDEX(Load,,MATCH('Summarized Source Data'!$B179,Hour,0)),Season,'Summarized Source Data'!$A179,Sector,'Summarized Source Data'!U$2,TimeOfWeek,$D179)</f>
        <v>2780000</v>
      </c>
      <c r="V179" s="33">
        <f>SUMIFS(INDEX(Load,,MATCH('Summarized Source Data'!$B179,Hour,0)),Season,'Summarized Source Data'!$A179,Sector,'Summarized Source Data'!V$2,TimeOfWeek,$D179)</f>
        <v>2780000</v>
      </c>
      <c r="W179" s="27">
        <f>SUMIFS(INDEX(Load,,MATCH('Summarized Source Data'!$B179,Hour,0)),Season,'Summarized Source Data'!$A179,Sector,'Summarized Source Data'!W$2,Subsector,'Summarized Source Data'!W$3,TimeOfWeek,$D179)</f>
        <v>345000000</v>
      </c>
      <c r="X179" s="29">
        <f t="shared" si="20"/>
        <v>345000000</v>
      </c>
      <c r="Y179" s="29">
        <f t="shared" si="20"/>
        <v>345000000</v>
      </c>
    </row>
    <row r="180" spans="1:25" outlineLevel="1" x14ac:dyDescent="0.3">
      <c r="A180" t="s">
        <v>166</v>
      </c>
      <c r="B180" t="s">
        <v>72</v>
      </c>
      <c r="C180" s="6" t="s">
        <v>148</v>
      </c>
      <c r="D180" t="s">
        <v>48</v>
      </c>
      <c r="E180" s="27">
        <f>SUMIFS(INDEX(Load,,MATCH('Summarized Source Data'!$B180,Hour,0)),Season,'Summarized Source Data'!$A180,Sector,'Summarized Source Data'!E$2,Subsector,'Summarized Source Data'!E$3,TimeOfWeek,$D180)</f>
        <v>0</v>
      </c>
      <c r="F180" s="27">
        <f>SUMIFS(INDEX(Load,,MATCH('Summarized Source Data'!$B180,Hour,0)),Season,'Summarized Source Data'!$A180,Sector,'Summarized Source Data'!F$2,Subsector,'Summarized Source Data'!F$3,TimeOfWeek,$D180)</f>
        <v>5624634</v>
      </c>
      <c r="G180" s="27">
        <f>SUMIFS(INDEX(Load,,MATCH('Summarized Source Data'!$B180,Hour,0)),Season,'Summarized Source Data'!$A180,Sector,'Summarized Source Data'!G$2,Subsector,'Summarized Source Data'!G$3,TimeOfWeek,$D180)</f>
        <v>0</v>
      </c>
      <c r="H180" s="27">
        <f>SUMIFS(INDEX(Load,,MATCH('Summarized Source Data'!$B180,Hour,0)),Season,'Summarized Source Data'!$A180,Sector,'Summarized Source Data'!H$2,Subsector,'Summarized Source Data'!H$3,TimeOfWeek,$D180)</f>
        <v>22800000</v>
      </c>
      <c r="I180" s="27">
        <f t="shared" si="14"/>
        <v>22800000</v>
      </c>
      <c r="J180" s="29">
        <f t="shared" si="15"/>
        <v>22800000</v>
      </c>
      <c r="K180" s="27">
        <f>SUMIFS(INDEX(Load,,MATCH('Summarized Source Data'!$B180,Hour,0)),Season,'Summarized Source Data'!$A180,Sector,'Summarized Source Data'!K$2,Subsector,'Summarized Source Data'!K$3,TimeOfWeek,$D180)</f>
        <v>1839418</v>
      </c>
      <c r="L180" s="27">
        <f>SUMIFS(INDEX(Load,,MATCH('Summarized Source Data'!$B180,Hour,0)),Season,'Summarized Source Data'!$A180,Sector,'Summarized Source Data'!L$2,Subsector,'Summarized Source Data'!L$3,TimeOfWeek,$D180)</f>
        <v>14364127</v>
      </c>
      <c r="M180" s="27">
        <f>SUMIFS(INDEX(Load,,MATCH('Summarized Source Data'!$B180,Hour,0)),Season,'Summarized Source Data'!$A180,Sector,'Summarized Source Data'!M$2,Subsector,'Summarized Source Data'!M$3,TimeOfWeek,$D180)</f>
        <v>0</v>
      </c>
      <c r="N180" s="29">
        <f t="shared" si="16"/>
        <v>22800000</v>
      </c>
      <c r="O180" s="27">
        <f t="shared" si="17"/>
        <v>22800000</v>
      </c>
      <c r="P180" s="29">
        <f t="shared" si="18"/>
        <v>22800000</v>
      </c>
      <c r="Q180" s="33">
        <f>SUMIFS(INDEX(Load,,MATCH('Summarized Source Data'!$B180,Hour,0)),Season,'Summarized Source Data'!$A180,Sector,'Summarized Source Data'!Q$2,TimeOfWeek,$D180)</f>
        <v>3190000</v>
      </c>
      <c r="R180" s="33">
        <f>SUMIFS(INDEX(Load,,MATCH('Summarized Source Data'!$B180,Hour,0)),Season,'Summarized Source Data'!$A180,Sector,'Summarized Source Data'!R$2,TimeOfWeek,$D180)</f>
        <v>3190000</v>
      </c>
      <c r="S180" s="33">
        <f>SUMIFS(INDEX(Load,,MATCH('Summarized Source Data'!$B180,Hour,0)),Season,'Summarized Source Data'!$A180,Sector,'Summarized Source Data'!S$2,TimeOfWeek,$D180)</f>
        <v>3190000</v>
      </c>
      <c r="T180" s="33">
        <f>SUMIFS(INDEX(Load,,MATCH('Summarized Source Data'!$B180,Hour,0)),Season,'Summarized Source Data'!$A180,Sector,'Summarized Source Data'!T$2,TimeOfWeek,$D180)</f>
        <v>3190000</v>
      </c>
      <c r="U180" s="33">
        <f>SUMIFS(INDEX(Load,,MATCH('Summarized Source Data'!$B180,Hour,0)),Season,'Summarized Source Data'!$A180,Sector,'Summarized Source Data'!U$2,TimeOfWeek,$D180)</f>
        <v>3190000</v>
      </c>
      <c r="V180" s="33">
        <f>SUMIFS(INDEX(Load,,MATCH('Summarized Source Data'!$B180,Hour,0)),Season,'Summarized Source Data'!$A180,Sector,'Summarized Source Data'!V$2,TimeOfWeek,$D180)</f>
        <v>3190000</v>
      </c>
      <c r="W180" s="27">
        <f>SUMIFS(INDEX(Load,,MATCH('Summarized Source Data'!$B180,Hour,0)),Season,'Summarized Source Data'!$A180,Sector,'Summarized Source Data'!W$2,Subsector,'Summarized Source Data'!W$3,TimeOfWeek,$D180)</f>
        <v>345000000</v>
      </c>
      <c r="X180" s="29">
        <f t="shared" si="20"/>
        <v>345000000</v>
      </c>
      <c r="Y180" s="29">
        <f t="shared" si="20"/>
        <v>345000000</v>
      </c>
    </row>
    <row r="181" spans="1:25" outlineLevel="1" x14ac:dyDescent="0.3">
      <c r="A181" t="s">
        <v>166</v>
      </c>
      <c r="B181" t="s">
        <v>73</v>
      </c>
      <c r="C181" s="6" t="s">
        <v>149</v>
      </c>
      <c r="D181" t="s">
        <v>48</v>
      </c>
      <c r="E181" s="27">
        <f>SUMIFS(INDEX(Load,,MATCH('Summarized Source Data'!$B181,Hour,0)),Season,'Summarized Source Data'!$A181,Sector,'Summarized Source Data'!E$2,Subsector,'Summarized Source Data'!E$3,TimeOfWeek,$D181)</f>
        <v>0</v>
      </c>
      <c r="F181" s="27">
        <f>SUMIFS(INDEX(Load,,MATCH('Summarized Source Data'!$B181,Hour,0)),Season,'Summarized Source Data'!$A181,Sector,'Summarized Source Data'!F$2,Subsector,'Summarized Source Data'!F$3,TimeOfWeek,$D181)</f>
        <v>6353346</v>
      </c>
      <c r="G181" s="27">
        <f>SUMIFS(INDEX(Load,,MATCH('Summarized Source Data'!$B181,Hour,0)),Season,'Summarized Source Data'!$A181,Sector,'Summarized Source Data'!G$2,Subsector,'Summarized Source Data'!G$3,TimeOfWeek,$D181)</f>
        <v>0</v>
      </c>
      <c r="H181" s="27">
        <f>SUMIFS(INDEX(Load,,MATCH('Summarized Source Data'!$B181,Hour,0)),Season,'Summarized Source Data'!$A181,Sector,'Summarized Source Data'!H$2,Subsector,'Summarized Source Data'!H$3,TimeOfWeek,$D181)</f>
        <v>23600000</v>
      </c>
      <c r="I181" s="27">
        <f t="shared" si="14"/>
        <v>23600000</v>
      </c>
      <c r="J181" s="29">
        <f t="shared" si="15"/>
        <v>23600000</v>
      </c>
      <c r="K181" s="27">
        <f>SUMIFS(INDEX(Load,,MATCH('Summarized Source Data'!$B181,Hour,0)),Season,'Summarized Source Data'!$A181,Sector,'Summarized Source Data'!K$2,Subsector,'Summarized Source Data'!K$3,TimeOfWeek,$D181)</f>
        <v>1503174</v>
      </c>
      <c r="L181" s="27">
        <f>SUMIFS(INDEX(Load,,MATCH('Summarized Source Data'!$B181,Hour,0)),Season,'Summarized Source Data'!$A181,Sector,'Summarized Source Data'!L$2,Subsector,'Summarized Source Data'!L$3,TimeOfWeek,$D181)</f>
        <v>16400676</v>
      </c>
      <c r="M181" s="27">
        <f>SUMIFS(INDEX(Load,,MATCH('Summarized Source Data'!$B181,Hour,0)),Season,'Summarized Source Data'!$A181,Sector,'Summarized Source Data'!M$2,Subsector,'Summarized Source Data'!M$3,TimeOfWeek,$D181)</f>
        <v>0</v>
      </c>
      <c r="N181" s="29">
        <f t="shared" si="16"/>
        <v>23600000</v>
      </c>
      <c r="O181" s="27">
        <f t="shared" si="17"/>
        <v>23600000</v>
      </c>
      <c r="P181" s="29">
        <f t="shared" si="18"/>
        <v>23600000</v>
      </c>
      <c r="Q181" s="33">
        <f>SUMIFS(INDEX(Load,,MATCH('Summarized Source Data'!$B181,Hour,0)),Season,'Summarized Source Data'!$A181,Sector,'Summarized Source Data'!Q$2,TimeOfWeek,$D181)</f>
        <v>3470000</v>
      </c>
      <c r="R181" s="33">
        <f>SUMIFS(INDEX(Load,,MATCH('Summarized Source Data'!$B181,Hour,0)),Season,'Summarized Source Data'!$A181,Sector,'Summarized Source Data'!R$2,TimeOfWeek,$D181)</f>
        <v>3470000</v>
      </c>
      <c r="S181" s="33">
        <f>SUMIFS(INDEX(Load,,MATCH('Summarized Source Data'!$B181,Hour,0)),Season,'Summarized Source Data'!$A181,Sector,'Summarized Source Data'!S$2,TimeOfWeek,$D181)</f>
        <v>3470000</v>
      </c>
      <c r="T181" s="33">
        <f>SUMIFS(INDEX(Load,,MATCH('Summarized Source Data'!$B181,Hour,0)),Season,'Summarized Source Data'!$A181,Sector,'Summarized Source Data'!T$2,TimeOfWeek,$D181)</f>
        <v>3470000</v>
      </c>
      <c r="U181" s="33">
        <f>SUMIFS(INDEX(Load,,MATCH('Summarized Source Data'!$B181,Hour,0)),Season,'Summarized Source Data'!$A181,Sector,'Summarized Source Data'!U$2,TimeOfWeek,$D181)</f>
        <v>3470000</v>
      </c>
      <c r="V181" s="33">
        <f>SUMIFS(INDEX(Load,,MATCH('Summarized Source Data'!$B181,Hour,0)),Season,'Summarized Source Data'!$A181,Sector,'Summarized Source Data'!V$2,TimeOfWeek,$D181)</f>
        <v>3470000</v>
      </c>
      <c r="W181" s="27">
        <f>SUMIFS(INDEX(Load,,MATCH('Summarized Source Data'!$B181,Hour,0)),Season,'Summarized Source Data'!$A181,Sector,'Summarized Source Data'!W$2,Subsector,'Summarized Source Data'!W$3,TimeOfWeek,$D181)</f>
        <v>344000000</v>
      </c>
      <c r="X181" s="29">
        <f t="shared" si="20"/>
        <v>344000000</v>
      </c>
      <c r="Y181" s="29">
        <f t="shared" si="20"/>
        <v>344000000</v>
      </c>
    </row>
    <row r="182" spans="1:25" outlineLevel="1" x14ac:dyDescent="0.3">
      <c r="A182" t="s">
        <v>166</v>
      </c>
      <c r="B182" t="s">
        <v>74</v>
      </c>
      <c r="C182" s="6" t="s">
        <v>150</v>
      </c>
      <c r="D182" t="s">
        <v>48</v>
      </c>
      <c r="E182" s="27">
        <f>SUMIFS(INDEX(Load,,MATCH('Summarized Source Data'!$B182,Hour,0)),Season,'Summarized Source Data'!$A182,Sector,'Summarized Source Data'!E$2,Subsector,'Summarized Source Data'!E$3,TimeOfWeek,$D182)</f>
        <v>0</v>
      </c>
      <c r="F182" s="27">
        <f>SUMIFS(INDEX(Load,,MATCH('Summarized Source Data'!$B182,Hour,0)),Season,'Summarized Source Data'!$A182,Sector,'Summarized Source Data'!F$2,Subsector,'Summarized Source Data'!F$3,TimeOfWeek,$D182)</f>
        <v>7481363</v>
      </c>
      <c r="G182" s="27">
        <f>SUMIFS(INDEX(Load,,MATCH('Summarized Source Data'!$B182,Hour,0)),Season,'Summarized Source Data'!$A182,Sector,'Summarized Source Data'!G$2,Subsector,'Summarized Source Data'!G$3,TimeOfWeek,$D182)</f>
        <v>0</v>
      </c>
      <c r="H182" s="27">
        <f>SUMIFS(INDEX(Load,,MATCH('Summarized Source Data'!$B182,Hour,0)),Season,'Summarized Source Data'!$A182,Sector,'Summarized Source Data'!H$2,Subsector,'Summarized Source Data'!H$3,TimeOfWeek,$D182)</f>
        <v>23700000</v>
      </c>
      <c r="I182" s="27">
        <f t="shared" si="14"/>
        <v>23700000</v>
      </c>
      <c r="J182" s="29">
        <f t="shared" si="15"/>
        <v>23700000</v>
      </c>
      <c r="K182" s="27">
        <f>SUMIFS(INDEX(Load,,MATCH('Summarized Source Data'!$B182,Hour,0)),Season,'Summarized Source Data'!$A182,Sector,'Summarized Source Data'!K$2,Subsector,'Summarized Source Data'!K$3,TimeOfWeek,$D182)</f>
        <v>1267663</v>
      </c>
      <c r="L182" s="27">
        <f>SUMIFS(INDEX(Load,,MATCH('Summarized Source Data'!$B182,Hour,0)),Season,'Summarized Source Data'!$A182,Sector,'Summarized Source Data'!L$2,Subsector,'Summarized Source Data'!L$3,TimeOfWeek,$D182)</f>
        <v>18384440</v>
      </c>
      <c r="M182" s="27">
        <f>SUMIFS(INDEX(Load,,MATCH('Summarized Source Data'!$B182,Hour,0)),Season,'Summarized Source Data'!$A182,Sector,'Summarized Source Data'!M$2,Subsector,'Summarized Source Data'!M$3,TimeOfWeek,$D182)</f>
        <v>0</v>
      </c>
      <c r="N182" s="29">
        <f t="shared" si="16"/>
        <v>23700000</v>
      </c>
      <c r="O182" s="27">
        <f t="shared" si="17"/>
        <v>23700000</v>
      </c>
      <c r="P182" s="29">
        <f t="shared" si="18"/>
        <v>23700000</v>
      </c>
      <c r="Q182" s="33">
        <f>SUMIFS(INDEX(Load,,MATCH('Summarized Source Data'!$B182,Hour,0)),Season,'Summarized Source Data'!$A182,Sector,'Summarized Source Data'!Q$2,TimeOfWeek,$D182)</f>
        <v>3620000</v>
      </c>
      <c r="R182" s="33">
        <f>SUMIFS(INDEX(Load,,MATCH('Summarized Source Data'!$B182,Hour,0)),Season,'Summarized Source Data'!$A182,Sector,'Summarized Source Data'!R$2,TimeOfWeek,$D182)</f>
        <v>3620000</v>
      </c>
      <c r="S182" s="33">
        <f>SUMIFS(INDEX(Load,,MATCH('Summarized Source Data'!$B182,Hour,0)),Season,'Summarized Source Data'!$A182,Sector,'Summarized Source Data'!S$2,TimeOfWeek,$D182)</f>
        <v>3620000</v>
      </c>
      <c r="T182" s="33">
        <f>SUMIFS(INDEX(Load,,MATCH('Summarized Source Data'!$B182,Hour,0)),Season,'Summarized Source Data'!$A182,Sector,'Summarized Source Data'!T$2,TimeOfWeek,$D182)</f>
        <v>3620000</v>
      </c>
      <c r="U182" s="33">
        <f>SUMIFS(INDEX(Load,,MATCH('Summarized Source Data'!$B182,Hour,0)),Season,'Summarized Source Data'!$A182,Sector,'Summarized Source Data'!U$2,TimeOfWeek,$D182)</f>
        <v>3620000</v>
      </c>
      <c r="V182" s="33">
        <f>SUMIFS(INDEX(Load,,MATCH('Summarized Source Data'!$B182,Hour,0)),Season,'Summarized Source Data'!$A182,Sector,'Summarized Source Data'!V$2,TimeOfWeek,$D182)</f>
        <v>3620000</v>
      </c>
      <c r="W182" s="27">
        <f>SUMIFS(INDEX(Load,,MATCH('Summarized Source Data'!$B182,Hour,0)),Season,'Summarized Source Data'!$A182,Sector,'Summarized Source Data'!W$2,Subsector,'Summarized Source Data'!W$3,TimeOfWeek,$D182)</f>
        <v>343000000</v>
      </c>
      <c r="X182" s="29">
        <f t="shared" si="20"/>
        <v>343000000</v>
      </c>
      <c r="Y182" s="29">
        <f t="shared" si="20"/>
        <v>343000000</v>
      </c>
    </row>
    <row r="183" spans="1:25" outlineLevel="1" x14ac:dyDescent="0.3">
      <c r="A183" t="s">
        <v>166</v>
      </c>
      <c r="B183" t="s">
        <v>75</v>
      </c>
      <c r="C183" s="6" t="s">
        <v>151</v>
      </c>
      <c r="D183" t="s">
        <v>48</v>
      </c>
      <c r="E183" s="27">
        <f>SUMIFS(INDEX(Load,,MATCH('Summarized Source Data'!$B183,Hour,0)),Season,'Summarized Source Data'!$A183,Sector,'Summarized Source Data'!E$2,Subsector,'Summarized Source Data'!E$3,TimeOfWeek,$D183)</f>
        <v>0</v>
      </c>
      <c r="F183" s="27">
        <f>SUMIFS(INDEX(Load,,MATCH('Summarized Source Data'!$B183,Hour,0)),Season,'Summarized Source Data'!$A183,Sector,'Summarized Source Data'!F$2,Subsector,'Summarized Source Data'!F$3,TimeOfWeek,$D183)</f>
        <v>9204847</v>
      </c>
      <c r="G183" s="27">
        <f>SUMIFS(INDEX(Load,,MATCH('Summarized Source Data'!$B183,Hour,0)),Season,'Summarized Source Data'!$A183,Sector,'Summarized Source Data'!G$2,Subsector,'Summarized Source Data'!G$3,TimeOfWeek,$D183)</f>
        <v>0</v>
      </c>
      <c r="H183" s="27">
        <f>SUMIFS(INDEX(Load,,MATCH('Summarized Source Data'!$B183,Hour,0)),Season,'Summarized Source Data'!$A183,Sector,'Summarized Source Data'!H$2,Subsector,'Summarized Source Data'!H$3,TimeOfWeek,$D183)</f>
        <v>25200000</v>
      </c>
      <c r="I183" s="27">
        <f t="shared" si="14"/>
        <v>25200000</v>
      </c>
      <c r="J183" s="29">
        <f t="shared" si="15"/>
        <v>25200000</v>
      </c>
      <c r="K183" s="27">
        <f>SUMIFS(INDEX(Load,,MATCH('Summarized Source Data'!$B183,Hour,0)),Season,'Summarized Source Data'!$A183,Sector,'Summarized Source Data'!K$2,Subsector,'Summarized Source Data'!K$3,TimeOfWeek,$D183)</f>
        <v>1124747</v>
      </c>
      <c r="L183" s="27">
        <f>SUMIFS(INDEX(Load,,MATCH('Summarized Source Data'!$B183,Hour,0)),Season,'Summarized Source Data'!$A183,Sector,'Summarized Source Data'!L$2,Subsector,'Summarized Source Data'!L$3,TimeOfWeek,$D183)</f>
        <v>20040749</v>
      </c>
      <c r="M183" s="27">
        <f>SUMIFS(INDEX(Load,,MATCH('Summarized Source Data'!$B183,Hour,0)),Season,'Summarized Source Data'!$A183,Sector,'Summarized Source Data'!M$2,Subsector,'Summarized Source Data'!M$3,TimeOfWeek,$D183)</f>
        <v>0</v>
      </c>
      <c r="N183" s="29">
        <f t="shared" si="16"/>
        <v>25200000</v>
      </c>
      <c r="O183" s="27">
        <f t="shared" si="17"/>
        <v>25200000</v>
      </c>
      <c r="P183" s="29">
        <f t="shared" si="18"/>
        <v>25200000</v>
      </c>
      <c r="Q183" s="33">
        <f>SUMIFS(INDEX(Load,,MATCH('Summarized Source Data'!$B183,Hour,0)),Season,'Summarized Source Data'!$A183,Sector,'Summarized Source Data'!Q$2,TimeOfWeek,$D183)</f>
        <v>3640000</v>
      </c>
      <c r="R183" s="33">
        <f>SUMIFS(INDEX(Load,,MATCH('Summarized Source Data'!$B183,Hour,0)),Season,'Summarized Source Data'!$A183,Sector,'Summarized Source Data'!R$2,TimeOfWeek,$D183)</f>
        <v>3640000</v>
      </c>
      <c r="S183" s="33">
        <f>SUMIFS(INDEX(Load,,MATCH('Summarized Source Data'!$B183,Hour,0)),Season,'Summarized Source Data'!$A183,Sector,'Summarized Source Data'!S$2,TimeOfWeek,$D183)</f>
        <v>3640000</v>
      </c>
      <c r="T183" s="33">
        <f>SUMIFS(INDEX(Load,,MATCH('Summarized Source Data'!$B183,Hour,0)),Season,'Summarized Source Data'!$A183,Sector,'Summarized Source Data'!T$2,TimeOfWeek,$D183)</f>
        <v>3640000</v>
      </c>
      <c r="U183" s="33">
        <f>SUMIFS(INDEX(Load,,MATCH('Summarized Source Data'!$B183,Hour,0)),Season,'Summarized Source Data'!$A183,Sector,'Summarized Source Data'!U$2,TimeOfWeek,$D183)</f>
        <v>3640000</v>
      </c>
      <c r="V183" s="33">
        <f>SUMIFS(INDEX(Load,,MATCH('Summarized Source Data'!$B183,Hour,0)),Season,'Summarized Source Data'!$A183,Sector,'Summarized Source Data'!V$2,TimeOfWeek,$D183)</f>
        <v>3640000</v>
      </c>
      <c r="W183" s="27">
        <f>SUMIFS(INDEX(Load,,MATCH('Summarized Source Data'!$B183,Hour,0)),Season,'Summarized Source Data'!$A183,Sector,'Summarized Source Data'!W$2,Subsector,'Summarized Source Data'!W$3,TimeOfWeek,$D183)</f>
        <v>343000000</v>
      </c>
      <c r="X183" s="29">
        <f t="shared" si="20"/>
        <v>343000000</v>
      </c>
      <c r="Y183" s="29">
        <f t="shared" si="20"/>
        <v>343000000</v>
      </c>
    </row>
    <row r="184" spans="1:25" outlineLevel="1" x14ac:dyDescent="0.3">
      <c r="A184" t="s">
        <v>166</v>
      </c>
      <c r="B184" t="s">
        <v>76</v>
      </c>
      <c r="C184" s="6" t="s">
        <v>152</v>
      </c>
      <c r="D184" t="s">
        <v>48</v>
      </c>
      <c r="E184" s="27">
        <f>SUMIFS(INDEX(Load,,MATCH('Summarized Source Data'!$B184,Hour,0)),Season,'Summarized Source Data'!$A184,Sector,'Summarized Source Data'!E$2,Subsector,'Summarized Source Data'!E$3,TimeOfWeek,$D184)</f>
        <v>0</v>
      </c>
      <c r="F184" s="27">
        <f>SUMIFS(INDEX(Load,,MATCH('Summarized Source Data'!$B184,Hour,0)),Season,'Summarized Source Data'!$A184,Sector,'Summarized Source Data'!F$2,Subsector,'Summarized Source Data'!F$3,TimeOfWeek,$D184)</f>
        <v>10769639</v>
      </c>
      <c r="G184" s="27">
        <f>SUMIFS(INDEX(Load,,MATCH('Summarized Source Data'!$B184,Hour,0)),Season,'Summarized Source Data'!$A184,Sector,'Summarized Source Data'!G$2,Subsector,'Summarized Source Data'!G$3,TimeOfWeek,$D184)</f>
        <v>0</v>
      </c>
      <c r="H184" s="27">
        <f>SUMIFS(INDEX(Load,,MATCH('Summarized Source Data'!$B184,Hour,0)),Season,'Summarized Source Data'!$A184,Sector,'Summarized Source Data'!H$2,Subsector,'Summarized Source Data'!H$3,TimeOfWeek,$D184)</f>
        <v>26000000</v>
      </c>
      <c r="I184" s="27">
        <f t="shared" si="14"/>
        <v>26000000</v>
      </c>
      <c r="J184" s="29">
        <f t="shared" si="15"/>
        <v>26000000</v>
      </c>
      <c r="K184" s="27">
        <f>SUMIFS(INDEX(Load,,MATCH('Summarized Source Data'!$B184,Hour,0)),Season,'Summarized Source Data'!$A184,Sector,'Summarized Source Data'!K$2,Subsector,'Summarized Source Data'!K$3,TimeOfWeek,$D184)</f>
        <v>1021856</v>
      </c>
      <c r="L184" s="27">
        <f>SUMIFS(INDEX(Load,,MATCH('Summarized Source Data'!$B184,Hour,0)),Season,'Summarized Source Data'!$A184,Sector,'Summarized Source Data'!L$2,Subsector,'Summarized Source Data'!L$3,TimeOfWeek,$D184)</f>
        <v>21223532</v>
      </c>
      <c r="M184" s="27">
        <f>SUMIFS(INDEX(Load,,MATCH('Summarized Source Data'!$B184,Hour,0)),Season,'Summarized Source Data'!$A184,Sector,'Summarized Source Data'!M$2,Subsector,'Summarized Source Data'!M$3,TimeOfWeek,$D184)</f>
        <v>0</v>
      </c>
      <c r="N184" s="29">
        <f t="shared" si="16"/>
        <v>26000000</v>
      </c>
      <c r="O184" s="27">
        <f t="shared" si="17"/>
        <v>26000000</v>
      </c>
      <c r="P184" s="29">
        <f t="shared" si="18"/>
        <v>26000000</v>
      </c>
      <c r="Q184" s="33">
        <f>SUMIFS(INDEX(Load,,MATCH('Summarized Source Data'!$B184,Hour,0)),Season,'Summarized Source Data'!$A184,Sector,'Summarized Source Data'!Q$2,TimeOfWeek,$D184)</f>
        <v>3510000</v>
      </c>
      <c r="R184" s="33">
        <f>SUMIFS(INDEX(Load,,MATCH('Summarized Source Data'!$B184,Hour,0)),Season,'Summarized Source Data'!$A184,Sector,'Summarized Source Data'!R$2,TimeOfWeek,$D184)</f>
        <v>3510000</v>
      </c>
      <c r="S184" s="33">
        <f>SUMIFS(INDEX(Load,,MATCH('Summarized Source Data'!$B184,Hour,0)),Season,'Summarized Source Data'!$A184,Sector,'Summarized Source Data'!S$2,TimeOfWeek,$D184)</f>
        <v>3510000</v>
      </c>
      <c r="T184" s="33">
        <f>SUMIFS(INDEX(Load,,MATCH('Summarized Source Data'!$B184,Hour,0)),Season,'Summarized Source Data'!$A184,Sector,'Summarized Source Data'!T$2,TimeOfWeek,$D184)</f>
        <v>3510000</v>
      </c>
      <c r="U184" s="33">
        <f>SUMIFS(INDEX(Load,,MATCH('Summarized Source Data'!$B184,Hour,0)),Season,'Summarized Source Data'!$A184,Sector,'Summarized Source Data'!U$2,TimeOfWeek,$D184)</f>
        <v>3510000</v>
      </c>
      <c r="V184" s="33">
        <f>SUMIFS(INDEX(Load,,MATCH('Summarized Source Data'!$B184,Hour,0)),Season,'Summarized Source Data'!$A184,Sector,'Summarized Source Data'!V$2,TimeOfWeek,$D184)</f>
        <v>3510000</v>
      </c>
      <c r="W184" s="27">
        <f>SUMIFS(INDEX(Load,,MATCH('Summarized Source Data'!$B184,Hour,0)),Season,'Summarized Source Data'!$A184,Sector,'Summarized Source Data'!W$2,Subsector,'Summarized Source Data'!W$3,TimeOfWeek,$D184)</f>
        <v>343000000</v>
      </c>
      <c r="X184" s="29">
        <f t="shared" si="20"/>
        <v>343000000</v>
      </c>
      <c r="Y184" s="29">
        <f t="shared" si="20"/>
        <v>343000000</v>
      </c>
    </row>
    <row r="185" spans="1:25" outlineLevel="1" x14ac:dyDescent="0.3">
      <c r="A185" t="s">
        <v>166</v>
      </c>
      <c r="B185" t="s">
        <v>77</v>
      </c>
      <c r="C185" s="6" t="s">
        <v>153</v>
      </c>
      <c r="D185" t="s">
        <v>48</v>
      </c>
      <c r="E185" s="27">
        <f>SUMIFS(INDEX(Load,,MATCH('Summarized Source Data'!$B185,Hour,0)),Season,'Summarized Source Data'!$A185,Sector,'Summarized Source Data'!E$2,Subsector,'Summarized Source Data'!E$3,TimeOfWeek,$D185)</f>
        <v>0</v>
      </c>
      <c r="F185" s="27">
        <f>SUMIFS(INDEX(Load,,MATCH('Summarized Source Data'!$B185,Hour,0)),Season,'Summarized Source Data'!$A185,Sector,'Summarized Source Data'!F$2,Subsector,'Summarized Source Data'!F$3,TimeOfWeek,$D185)</f>
        <v>11614671</v>
      </c>
      <c r="G185" s="27">
        <f>SUMIFS(INDEX(Load,,MATCH('Summarized Source Data'!$B185,Hour,0)),Season,'Summarized Source Data'!$A185,Sector,'Summarized Source Data'!G$2,Subsector,'Summarized Source Data'!G$3,TimeOfWeek,$D185)</f>
        <v>0</v>
      </c>
      <c r="H185" s="27">
        <f>SUMIFS(INDEX(Load,,MATCH('Summarized Source Data'!$B185,Hour,0)),Season,'Summarized Source Data'!$A185,Sector,'Summarized Source Data'!H$2,Subsector,'Summarized Source Data'!H$3,TimeOfWeek,$D185)</f>
        <v>26000000</v>
      </c>
      <c r="I185" s="27">
        <f t="shared" si="14"/>
        <v>26000000</v>
      </c>
      <c r="J185" s="29">
        <f t="shared" si="15"/>
        <v>26000000</v>
      </c>
      <c r="K185" s="27">
        <f>SUMIFS(INDEX(Load,,MATCH('Summarized Source Data'!$B185,Hour,0)),Season,'Summarized Source Data'!$A185,Sector,'Summarized Source Data'!K$2,Subsector,'Summarized Source Data'!K$3,TimeOfWeek,$D185)</f>
        <v>959567</v>
      </c>
      <c r="L185" s="27">
        <f>SUMIFS(INDEX(Load,,MATCH('Summarized Source Data'!$B185,Hour,0)),Season,'Summarized Source Data'!$A185,Sector,'Summarized Source Data'!L$2,Subsector,'Summarized Source Data'!L$3,TimeOfWeek,$D185)</f>
        <v>21974237</v>
      </c>
      <c r="M185" s="27">
        <f>SUMIFS(INDEX(Load,,MATCH('Summarized Source Data'!$B185,Hour,0)),Season,'Summarized Source Data'!$A185,Sector,'Summarized Source Data'!M$2,Subsector,'Summarized Source Data'!M$3,TimeOfWeek,$D185)</f>
        <v>0</v>
      </c>
      <c r="N185" s="29">
        <f t="shared" si="16"/>
        <v>26000000</v>
      </c>
      <c r="O185" s="27">
        <f t="shared" si="17"/>
        <v>26000000</v>
      </c>
      <c r="P185" s="29">
        <f t="shared" si="18"/>
        <v>26000000</v>
      </c>
      <c r="Q185" s="33">
        <f>SUMIFS(INDEX(Load,,MATCH('Summarized Source Data'!$B185,Hour,0)),Season,'Summarized Source Data'!$A185,Sector,'Summarized Source Data'!Q$2,TimeOfWeek,$D185)</f>
        <v>3260000</v>
      </c>
      <c r="R185" s="33">
        <f>SUMIFS(INDEX(Load,,MATCH('Summarized Source Data'!$B185,Hour,0)),Season,'Summarized Source Data'!$A185,Sector,'Summarized Source Data'!R$2,TimeOfWeek,$D185)</f>
        <v>3260000</v>
      </c>
      <c r="S185" s="33">
        <f>SUMIFS(INDEX(Load,,MATCH('Summarized Source Data'!$B185,Hour,0)),Season,'Summarized Source Data'!$A185,Sector,'Summarized Source Data'!S$2,TimeOfWeek,$D185)</f>
        <v>3260000</v>
      </c>
      <c r="T185" s="33">
        <f>SUMIFS(INDEX(Load,,MATCH('Summarized Source Data'!$B185,Hour,0)),Season,'Summarized Source Data'!$A185,Sector,'Summarized Source Data'!T$2,TimeOfWeek,$D185)</f>
        <v>3260000</v>
      </c>
      <c r="U185" s="33">
        <f>SUMIFS(INDEX(Load,,MATCH('Summarized Source Data'!$B185,Hour,0)),Season,'Summarized Source Data'!$A185,Sector,'Summarized Source Data'!U$2,TimeOfWeek,$D185)</f>
        <v>3260000</v>
      </c>
      <c r="V185" s="33">
        <f>SUMIFS(INDEX(Load,,MATCH('Summarized Source Data'!$B185,Hour,0)),Season,'Summarized Source Data'!$A185,Sector,'Summarized Source Data'!V$2,TimeOfWeek,$D185)</f>
        <v>3260000</v>
      </c>
      <c r="W185" s="27">
        <f>SUMIFS(INDEX(Load,,MATCH('Summarized Source Data'!$B185,Hour,0)),Season,'Summarized Source Data'!$A185,Sector,'Summarized Source Data'!W$2,Subsector,'Summarized Source Data'!W$3,TimeOfWeek,$D185)</f>
        <v>343000000</v>
      </c>
      <c r="X185" s="29">
        <f t="shared" si="20"/>
        <v>343000000</v>
      </c>
      <c r="Y185" s="29">
        <f t="shared" si="20"/>
        <v>343000000</v>
      </c>
    </row>
    <row r="186" spans="1:25" outlineLevel="1" x14ac:dyDescent="0.3">
      <c r="A186" t="s">
        <v>166</v>
      </c>
      <c r="B186" t="s">
        <v>78</v>
      </c>
      <c r="C186" s="6" t="s">
        <v>154</v>
      </c>
      <c r="D186" t="s">
        <v>48</v>
      </c>
      <c r="E186" s="27">
        <f>SUMIFS(INDEX(Load,,MATCH('Summarized Source Data'!$B186,Hour,0)),Season,'Summarized Source Data'!$A186,Sector,'Summarized Source Data'!E$2,Subsector,'Summarized Source Data'!E$3,TimeOfWeek,$D186)</f>
        <v>0</v>
      </c>
      <c r="F186" s="27">
        <f>SUMIFS(INDEX(Load,,MATCH('Summarized Source Data'!$B186,Hour,0)),Season,'Summarized Source Data'!$A186,Sector,'Summarized Source Data'!F$2,Subsector,'Summarized Source Data'!F$3,TimeOfWeek,$D186)</f>
        <v>11842741</v>
      </c>
      <c r="G186" s="27">
        <f>SUMIFS(INDEX(Load,,MATCH('Summarized Source Data'!$B186,Hour,0)),Season,'Summarized Source Data'!$A186,Sector,'Summarized Source Data'!G$2,Subsector,'Summarized Source Data'!G$3,TimeOfWeek,$D186)</f>
        <v>0</v>
      </c>
      <c r="H186" s="27">
        <f>SUMIFS(INDEX(Load,,MATCH('Summarized Source Data'!$B186,Hour,0)),Season,'Summarized Source Data'!$A186,Sector,'Summarized Source Data'!H$2,Subsector,'Summarized Source Data'!H$3,TimeOfWeek,$D186)</f>
        <v>25700000</v>
      </c>
      <c r="I186" s="27">
        <f t="shared" si="14"/>
        <v>25700000</v>
      </c>
      <c r="J186" s="29">
        <f t="shared" si="15"/>
        <v>25700000</v>
      </c>
      <c r="K186" s="27">
        <f>SUMIFS(INDEX(Load,,MATCH('Summarized Source Data'!$B186,Hour,0)),Season,'Summarized Source Data'!$A186,Sector,'Summarized Source Data'!K$2,Subsector,'Summarized Source Data'!K$3,TimeOfWeek,$D186)</f>
        <v>956239</v>
      </c>
      <c r="L186" s="27">
        <f>SUMIFS(INDEX(Load,,MATCH('Summarized Source Data'!$B186,Hour,0)),Season,'Summarized Source Data'!$A186,Sector,'Summarized Source Data'!L$2,Subsector,'Summarized Source Data'!L$3,TimeOfWeek,$D186)</f>
        <v>22293894</v>
      </c>
      <c r="M186" s="27">
        <f>SUMIFS(INDEX(Load,,MATCH('Summarized Source Data'!$B186,Hour,0)),Season,'Summarized Source Data'!$A186,Sector,'Summarized Source Data'!M$2,Subsector,'Summarized Source Data'!M$3,TimeOfWeek,$D186)</f>
        <v>0</v>
      </c>
      <c r="N186" s="29">
        <f t="shared" si="16"/>
        <v>25700000</v>
      </c>
      <c r="O186" s="27">
        <f t="shared" si="17"/>
        <v>25700000</v>
      </c>
      <c r="P186" s="29">
        <f t="shared" si="18"/>
        <v>25700000</v>
      </c>
      <c r="Q186" s="33">
        <f>SUMIFS(INDEX(Load,,MATCH('Summarized Source Data'!$B186,Hour,0)),Season,'Summarized Source Data'!$A186,Sector,'Summarized Source Data'!Q$2,TimeOfWeek,$D186)</f>
        <v>3250000</v>
      </c>
      <c r="R186" s="33">
        <f>SUMIFS(INDEX(Load,,MATCH('Summarized Source Data'!$B186,Hour,0)),Season,'Summarized Source Data'!$A186,Sector,'Summarized Source Data'!R$2,TimeOfWeek,$D186)</f>
        <v>3250000</v>
      </c>
      <c r="S186" s="33">
        <f>SUMIFS(INDEX(Load,,MATCH('Summarized Source Data'!$B186,Hour,0)),Season,'Summarized Source Data'!$A186,Sector,'Summarized Source Data'!S$2,TimeOfWeek,$D186)</f>
        <v>3250000</v>
      </c>
      <c r="T186" s="33">
        <f>SUMIFS(INDEX(Load,,MATCH('Summarized Source Data'!$B186,Hour,0)),Season,'Summarized Source Data'!$A186,Sector,'Summarized Source Data'!T$2,TimeOfWeek,$D186)</f>
        <v>3250000</v>
      </c>
      <c r="U186" s="33">
        <f>SUMIFS(INDEX(Load,,MATCH('Summarized Source Data'!$B186,Hour,0)),Season,'Summarized Source Data'!$A186,Sector,'Summarized Source Data'!U$2,TimeOfWeek,$D186)</f>
        <v>3250000</v>
      </c>
      <c r="V186" s="33">
        <f>SUMIFS(INDEX(Load,,MATCH('Summarized Source Data'!$B186,Hour,0)),Season,'Summarized Source Data'!$A186,Sector,'Summarized Source Data'!V$2,TimeOfWeek,$D186)</f>
        <v>3250000</v>
      </c>
      <c r="W186" s="27">
        <f>SUMIFS(INDEX(Load,,MATCH('Summarized Source Data'!$B186,Hour,0)),Season,'Summarized Source Data'!$A186,Sector,'Summarized Source Data'!W$2,Subsector,'Summarized Source Data'!W$3,TimeOfWeek,$D186)</f>
        <v>344000000</v>
      </c>
      <c r="X186" s="29">
        <f t="shared" si="20"/>
        <v>344000000</v>
      </c>
      <c r="Y186" s="29">
        <f t="shared" si="20"/>
        <v>344000000</v>
      </c>
    </row>
    <row r="187" spans="1:25" outlineLevel="1" x14ac:dyDescent="0.3">
      <c r="A187" t="s">
        <v>166</v>
      </c>
      <c r="B187" t="s">
        <v>79</v>
      </c>
      <c r="C187" s="6" t="s">
        <v>155</v>
      </c>
      <c r="D187" t="s">
        <v>48</v>
      </c>
      <c r="E187" s="27">
        <f>SUMIFS(INDEX(Load,,MATCH('Summarized Source Data'!$B187,Hour,0)),Season,'Summarized Source Data'!$A187,Sector,'Summarized Source Data'!E$2,Subsector,'Summarized Source Data'!E$3,TimeOfWeek,$D187)</f>
        <v>0</v>
      </c>
      <c r="F187" s="27">
        <f>SUMIFS(INDEX(Load,,MATCH('Summarized Source Data'!$B187,Hour,0)),Season,'Summarized Source Data'!$A187,Sector,'Summarized Source Data'!F$2,Subsector,'Summarized Source Data'!F$3,TimeOfWeek,$D187)</f>
        <v>11553390</v>
      </c>
      <c r="G187" s="27">
        <f>SUMIFS(INDEX(Load,,MATCH('Summarized Source Data'!$B187,Hour,0)),Season,'Summarized Source Data'!$A187,Sector,'Summarized Source Data'!G$2,Subsector,'Summarized Source Data'!G$3,TimeOfWeek,$D187)</f>
        <v>0</v>
      </c>
      <c r="H187" s="27">
        <f>SUMIFS(INDEX(Load,,MATCH('Summarized Source Data'!$B187,Hour,0)),Season,'Summarized Source Data'!$A187,Sector,'Summarized Source Data'!H$2,Subsector,'Summarized Source Data'!H$3,TimeOfWeek,$D187)</f>
        <v>25800000</v>
      </c>
      <c r="I187" s="27">
        <f t="shared" si="14"/>
        <v>25800000</v>
      </c>
      <c r="J187" s="29">
        <f t="shared" si="15"/>
        <v>25800000</v>
      </c>
      <c r="K187" s="27">
        <f>SUMIFS(INDEX(Load,,MATCH('Summarized Source Data'!$B187,Hour,0)),Season,'Summarized Source Data'!$A187,Sector,'Summarized Source Data'!K$2,Subsector,'Summarized Source Data'!K$3,TimeOfWeek,$D187)</f>
        <v>852561</v>
      </c>
      <c r="L187" s="27">
        <f>SUMIFS(INDEX(Load,,MATCH('Summarized Source Data'!$B187,Hour,0)),Season,'Summarized Source Data'!$A187,Sector,'Summarized Source Data'!L$2,Subsector,'Summarized Source Data'!L$3,TimeOfWeek,$D187)</f>
        <v>21975243</v>
      </c>
      <c r="M187" s="27">
        <f>SUMIFS(INDEX(Load,,MATCH('Summarized Source Data'!$B187,Hour,0)),Season,'Summarized Source Data'!$A187,Sector,'Summarized Source Data'!M$2,Subsector,'Summarized Source Data'!M$3,TimeOfWeek,$D187)</f>
        <v>0</v>
      </c>
      <c r="N187" s="29">
        <f t="shared" si="16"/>
        <v>25800000</v>
      </c>
      <c r="O187" s="27">
        <f t="shared" si="17"/>
        <v>25800000</v>
      </c>
      <c r="P187" s="29">
        <f t="shared" si="18"/>
        <v>25800000</v>
      </c>
      <c r="Q187" s="33">
        <f>SUMIFS(INDEX(Load,,MATCH('Summarized Source Data'!$B187,Hour,0)),Season,'Summarized Source Data'!$A187,Sector,'Summarized Source Data'!Q$2,TimeOfWeek,$D187)</f>
        <v>3240000</v>
      </c>
      <c r="R187" s="33">
        <f>SUMIFS(INDEX(Load,,MATCH('Summarized Source Data'!$B187,Hour,0)),Season,'Summarized Source Data'!$A187,Sector,'Summarized Source Data'!R$2,TimeOfWeek,$D187)</f>
        <v>3240000</v>
      </c>
      <c r="S187" s="33">
        <f>SUMIFS(INDEX(Load,,MATCH('Summarized Source Data'!$B187,Hour,0)),Season,'Summarized Source Data'!$A187,Sector,'Summarized Source Data'!S$2,TimeOfWeek,$D187)</f>
        <v>3240000</v>
      </c>
      <c r="T187" s="33">
        <f>SUMIFS(INDEX(Load,,MATCH('Summarized Source Data'!$B187,Hour,0)),Season,'Summarized Source Data'!$A187,Sector,'Summarized Source Data'!T$2,TimeOfWeek,$D187)</f>
        <v>3240000</v>
      </c>
      <c r="U187" s="33">
        <f>SUMIFS(INDEX(Load,,MATCH('Summarized Source Data'!$B187,Hour,0)),Season,'Summarized Source Data'!$A187,Sector,'Summarized Source Data'!U$2,TimeOfWeek,$D187)</f>
        <v>3240000</v>
      </c>
      <c r="V187" s="33">
        <f>SUMIFS(INDEX(Load,,MATCH('Summarized Source Data'!$B187,Hour,0)),Season,'Summarized Source Data'!$A187,Sector,'Summarized Source Data'!V$2,TimeOfWeek,$D187)</f>
        <v>3240000</v>
      </c>
      <c r="W187" s="27">
        <f>SUMIFS(INDEX(Load,,MATCH('Summarized Source Data'!$B187,Hour,0)),Season,'Summarized Source Data'!$A187,Sector,'Summarized Source Data'!W$2,Subsector,'Summarized Source Data'!W$3,TimeOfWeek,$D187)</f>
        <v>346000000</v>
      </c>
      <c r="X187" s="29">
        <f t="shared" si="20"/>
        <v>346000000</v>
      </c>
      <c r="Y187" s="29">
        <f t="shared" si="20"/>
        <v>346000000</v>
      </c>
    </row>
    <row r="188" spans="1:25" outlineLevel="1" x14ac:dyDescent="0.3">
      <c r="A188" t="s">
        <v>166</v>
      </c>
      <c r="B188" t="s">
        <v>80</v>
      </c>
      <c r="C188" s="6" t="s">
        <v>156</v>
      </c>
      <c r="D188" t="s">
        <v>48</v>
      </c>
      <c r="E188" s="27">
        <f>SUMIFS(INDEX(Load,,MATCH('Summarized Source Data'!$B188,Hour,0)),Season,'Summarized Source Data'!$A188,Sector,'Summarized Source Data'!E$2,Subsector,'Summarized Source Data'!E$3,TimeOfWeek,$D188)</f>
        <v>0</v>
      </c>
      <c r="F188" s="27">
        <f>SUMIFS(INDEX(Load,,MATCH('Summarized Source Data'!$B188,Hour,0)),Season,'Summarized Source Data'!$A188,Sector,'Summarized Source Data'!F$2,Subsector,'Summarized Source Data'!F$3,TimeOfWeek,$D188)</f>
        <v>10899571</v>
      </c>
      <c r="G188" s="27">
        <f>SUMIFS(INDEX(Load,,MATCH('Summarized Source Data'!$B188,Hour,0)),Season,'Summarized Source Data'!$A188,Sector,'Summarized Source Data'!G$2,Subsector,'Summarized Source Data'!G$3,TimeOfWeek,$D188)</f>
        <v>0</v>
      </c>
      <c r="H188" s="27">
        <f>SUMIFS(INDEX(Load,,MATCH('Summarized Source Data'!$B188,Hour,0)),Season,'Summarized Source Data'!$A188,Sector,'Summarized Source Data'!H$2,Subsector,'Summarized Source Data'!H$3,TimeOfWeek,$D188)</f>
        <v>27900000</v>
      </c>
      <c r="I188" s="27">
        <f t="shared" si="14"/>
        <v>27900000</v>
      </c>
      <c r="J188" s="29">
        <f t="shared" si="15"/>
        <v>27900000</v>
      </c>
      <c r="K188" s="27">
        <f>SUMIFS(INDEX(Load,,MATCH('Summarized Source Data'!$B188,Hour,0)),Season,'Summarized Source Data'!$A188,Sector,'Summarized Source Data'!K$2,Subsector,'Summarized Source Data'!K$3,TimeOfWeek,$D188)</f>
        <v>866918</v>
      </c>
      <c r="L188" s="27">
        <f>SUMIFS(INDEX(Load,,MATCH('Summarized Source Data'!$B188,Hour,0)),Season,'Summarized Source Data'!$A188,Sector,'Summarized Source Data'!L$2,Subsector,'Summarized Source Data'!L$3,TimeOfWeek,$D188)</f>
        <v>21175610</v>
      </c>
      <c r="M188" s="27">
        <f>SUMIFS(INDEX(Load,,MATCH('Summarized Source Data'!$B188,Hour,0)),Season,'Summarized Source Data'!$A188,Sector,'Summarized Source Data'!M$2,Subsector,'Summarized Source Data'!M$3,TimeOfWeek,$D188)</f>
        <v>0</v>
      </c>
      <c r="N188" s="29">
        <f t="shared" si="16"/>
        <v>27900000</v>
      </c>
      <c r="O188" s="27">
        <f t="shared" si="17"/>
        <v>27900000</v>
      </c>
      <c r="P188" s="29">
        <f t="shared" si="18"/>
        <v>27900000</v>
      </c>
      <c r="Q188" s="33">
        <f>SUMIFS(INDEX(Load,,MATCH('Summarized Source Data'!$B188,Hour,0)),Season,'Summarized Source Data'!$A188,Sector,'Summarized Source Data'!Q$2,TimeOfWeek,$D188)</f>
        <v>3860000</v>
      </c>
      <c r="R188" s="33">
        <f>SUMIFS(INDEX(Load,,MATCH('Summarized Source Data'!$B188,Hour,0)),Season,'Summarized Source Data'!$A188,Sector,'Summarized Source Data'!R$2,TimeOfWeek,$D188)</f>
        <v>3860000</v>
      </c>
      <c r="S188" s="33">
        <f>SUMIFS(INDEX(Load,,MATCH('Summarized Source Data'!$B188,Hour,0)),Season,'Summarized Source Data'!$A188,Sector,'Summarized Source Data'!S$2,TimeOfWeek,$D188)</f>
        <v>3860000</v>
      </c>
      <c r="T188" s="33">
        <f>SUMIFS(INDEX(Load,,MATCH('Summarized Source Data'!$B188,Hour,0)),Season,'Summarized Source Data'!$A188,Sector,'Summarized Source Data'!T$2,TimeOfWeek,$D188)</f>
        <v>3860000</v>
      </c>
      <c r="U188" s="33">
        <f>SUMIFS(INDEX(Load,,MATCH('Summarized Source Data'!$B188,Hour,0)),Season,'Summarized Source Data'!$A188,Sector,'Summarized Source Data'!U$2,TimeOfWeek,$D188)</f>
        <v>3860000</v>
      </c>
      <c r="V188" s="33">
        <f>SUMIFS(INDEX(Load,,MATCH('Summarized Source Data'!$B188,Hour,0)),Season,'Summarized Source Data'!$A188,Sector,'Summarized Source Data'!V$2,TimeOfWeek,$D188)</f>
        <v>3860000</v>
      </c>
      <c r="W188" s="27">
        <f>SUMIFS(INDEX(Load,,MATCH('Summarized Source Data'!$B188,Hour,0)),Season,'Summarized Source Data'!$A188,Sector,'Summarized Source Data'!W$2,Subsector,'Summarized Source Data'!W$3,TimeOfWeek,$D188)</f>
        <v>348000000</v>
      </c>
      <c r="X188" s="29">
        <f t="shared" si="20"/>
        <v>348000000</v>
      </c>
      <c r="Y188" s="29">
        <f t="shared" si="20"/>
        <v>348000000</v>
      </c>
    </row>
    <row r="189" spans="1:25" outlineLevel="1" x14ac:dyDescent="0.3">
      <c r="A189" t="s">
        <v>166</v>
      </c>
      <c r="B189" t="s">
        <v>81</v>
      </c>
      <c r="C189" s="6" t="s">
        <v>157</v>
      </c>
      <c r="D189" t="s">
        <v>48</v>
      </c>
      <c r="E189" s="27">
        <f>SUMIFS(INDEX(Load,,MATCH('Summarized Source Data'!$B189,Hour,0)),Season,'Summarized Source Data'!$A189,Sector,'Summarized Source Data'!E$2,Subsector,'Summarized Source Data'!E$3,TimeOfWeek,$D189)</f>
        <v>0</v>
      </c>
      <c r="F189" s="27">
        <f>SUMIFS(INDEX(Load,,MATCH('Summarized Source Data'!$B189,Hour,0)),Season,'Summarized Source Data'!$A189,Sector,'Summarized Source Data'!F$2,Subsector,'Summarized Source Data'!F$3,TimeOfWeek,$D189)</f>
        <v>10097454</v>
      </c>
      <c r="G189" s="27">
        <f>SUMIFS(INDEX(Load,,MATCH('Summarized Source Data'!$B189,Hour,0)),Season,'Summarized Source Data'!$A189,Sector,'Summarized Source Data'!G$2,Subsector,'Summarized Source Data'!G$3,TimeOfWeek,$D189)</f>
        <v>0</v>
      </c>
      <c r="H189" s="27">
        <f>SUMIFS(INDEX(Load,,MATCH('Summarized Source Data'!$B189,Hour,0)),Season,'Summarized Source Data'!$A189,Sector,'Summarized Source Data'!H$2,Subsector,'Summarized Source Data'!H$3,TimeOfWeek,$D189)</f>
        <v>78900000</v>
      </c>
      <c r="I189" s="27">
        <f t="shared" si="14"/>
        <v>78900000</v>
      </c>
      <c r="J189" s="29">
        <f t="shared" si="15"/>
        <v>78900000</v>
      </c>
      <c r="K189" s="27">
        <f>SUMIFS(INDEX(Load,,MATCH('Summarized Source Data'!$B189,Hour,0)),Season,'Summarized Source Data'!$A189,Sector,'Summarized Source Data'!K$2,Subsector,'Summarized Source Data'!K$3,TimeOfWeek,$D189)</f>
        <v>992204</v>
      </c>
      <c r="L189" s="27">
        <f>SUMIFS(INDEX(Load,,MATCH('Summarized Source Data'!$B189,Hour,0)),Season,'Summarized Source Data'!$A189,Sector,'Summarized Source Data'!L$2,Subsector,'Summarized Source Data'!L$3,TimeOfWeek,$D189)</f>
        <v>19708919</v>
      </c>
      <c r="M189" s="27">
        <f>SUMIFS(INDEX(Load,,MATCH('Summarized Source Data'!$B189,Hour,0)),Season,'Summarized Source Data'!$A189,Sector,'Summarized Source Data'!M$2,Subsector,'Summarized Source Data'!M$3,TimeOfWeek,$D189)</f>
        <v>0</v>
      </c>
      <c r="N189" s="29">
        <f t="shared" si="16"/>
        <v>78900000</v>
      </c>
      <c r="O189" s="27">
        <f t="shared" si="17"/>
        <v>78900000</v>
      </c>
      <c r="P189" s="29">
        <f t="shared" si="18"/>
        <v>78900000</v>
      </c>
      <c r="Q189" s="33">
        <f>SUMIFS(INDEX(Load,,MATCH('Summarized Source Data'!$B189,Hour,0)),Season,'Summarized Source Data'!$A189,Sector,'Summarized Source Data'!Q$2,TimeOfWeek,$D189)</f>
        <v>3860000</v>
      </c>
      <c r="R189" s="33">
        <f>SUMIFS(INDEX(Load,,MATCH('Summarized Source Data'!$B189,Hour,0)),Season,'Summarized Source Data'!$A189,Sector,'Summarized Source Data'!R$2,TimeOfWeek,$D189)</f>
        <v>3860000</v>
      </c>
      <c r="S189" s="33">
        <f>SUMIFS(INDEX(Load,,MATCH('Summarized Source Data'!$B189,Hour,0)),Season,'Summarized Source Data'!$A189,Sector,'Summarized Source Data'!S$2,TimeOfWeek,$D189)</f>
        <v>3860000</v>
      </c>
      <c r="T189" s="33">
        <f>SUMIFS(INDEX(Load,,MATCH('Summarized Source Data'!$B189,Hour,0)),Season,'Summarized Source Data'!$A189,Sector,'Summarized Source Data'!T$2,TimeOfWeek,$D189)</f>
        <v>3860000</v>
      </c>
      <c r="U189" s="33">
        <f>SUMIFS(INDEX(Load,,MATCH('Summarized Source Data'!$B189,Hour,0)),Season,'Summarized Source Data'!$A189,Sector,'Summarized Source Data'!U$2,TimeOfWeek,$D189)</f>
        <v>3860000</v>
      </c>
      <c r="V189" s="33">
        <f>SUMIFS(INDEX(Load,,MATCH('Summarized Source Data'!$B189,Hour,0)),Season,'Summarized Source Data'!$A189,Sector,'Summarized Source Data'!V$2,TimeOfWeek,$D189)</f>
        <v>3860000</v>
      </c>
      <c r="W189" s="27">
        <f>SUMIFS(INDEX(Load,,MATCH('Summarized Source Data'!$B189,Hour,0)),Season,'Summarized Source Data'!$A189,Sector,'Summarized Source Data'!W$2,Subsector,'Summarized Source Data'!W$3,TimeOfWeek,$D189)</f>
        <v>349000000</v>
      </c>
      <c r="X189" s="29">
        <f t="shared" si="20"/>
        <v>349000000</v>
      </c>
      <c r="Y189" s="29">
        <f t="shared" si="20"/>
        <v>349000000</v>
      </c>
    </row>
    <row r="190" spans="1:25" outlineLevel="1" x14ac:dyDescent="0.3">
      <c r="A190" t="s">
        <v>166</v>
      </c>
      <c r="B190" t="s">
        <v>82</v>
      </c>
      <c r="C190" s="6" t="s">
        <v>158</v>
      </c>
      <c r="D190" t="s">
        <v>48</v>
      </c>
      <c r="E190" s="27">
        <f>SUMIFS(INDEX(Load,,MATCH('Summarized Source Data'!$B190,Hour,0)),Season,'Summarized Source Data'!$A190,Sector,'Summarized Source Data'!E$2,Subsector,'Summarized Source Data'!E$3,TimeOfWeek,$D190)</f>
        <v>0</v>
      </c>
      <c r="F190" s="27">
        <f>SUMIFS(INDEX(Load,,MATCH('Summarized Source Data'!$B190,Hour,0)),Season,'Summarized Source Data'!$A190,Sector,'Summarized Source Data'!F$2,Subsector,'Summarized Source Data'!F$3,TimeOfWeek,$D190)</f>
        <v>9012502</v>
      </c>
      <c r="G190" s="27">
        <f>SUMIFS(INDEX(Load,,MATCH('Summarized Source Data'!$B190,Hour,0)),Season,'Summarized Source Data'!$A190,Sector,'Summarized Source Data'!G$2,Subsector,'Summarized Source Data'!G$3,TimeOfWeek,$D190)</f>
        <v>0</v>
      </c>
      <c r="H190" s="27">
        <f>SUMIFS(INDEX(Load,,MATCH('Summarized Source Data'!$B190,Hour,0)),Season,'Summarized Source Data'!$A190,Sector,'Summarized Source Data'!H$2,Subsector,'Summarized Source Data'!H$3,TimeOfWeek,$D190)</f>
        <v>97900000</v>
      </c>
      <c r="I190" s="27">
        <f t="shared" si="14"/>
        <v>97900000</v>
      </c>
      <c r="J190" s="29">
        <f t="shared" si="15"/>
        <v>97900000</v>
      </c>
      <c r="K190" s="27">
        <f>SUMIFS(INDEX(Load,,MATCH('Summarized Source Data'!$B190,Hour,0)),Season,'Summarized Source Data'!$A190,Sector,'Summarized Source Data'!K$2,Subsector,'Summarized Source Data'!K$3,TimeOfWeek,$D190)</f>
        <v>952104</v>
      </c>
      <c r="L190" s="27">
        <f>SUMIFS(INDEX(Load,,MATCH('Summarized Source Data'!$B190,Hour,0)),Season,'Summarized Source Data'!$A190,Sector,'Summarized Source Data'!L$2,Subsector,'Summarized Source Data'!L$3,TimeOfWeek,$D190)</f>
        <v>17987711</v>
      </c>
      <c r="M190" s="27">
        <f>SUMIFS(INDEX(Load,,MATCH('Summarized Source Data'!$B190,Hour,0)),Season,'Summarized Source Data'!$A190,Sector,'Summarized Source Data'!M$2,Subsector,'Summarized Source Data'!M$3,TimeOfWeek,$D190)</f>
        <v>0</v>
      </c>
      <c r="N190" s="29">
        <f t="shared" si="16"/>
        <v>97900000</v>
      </c>
      <c r="O190" s="27">
        <f t="shared" si="17"/>
        <v>97900000</v>
      </c>
      <c r="P190" s="29">
        <f t="shared" si="18"/>
        <v>97900000</v>
      </c>
      <c r="Q190" s="33">
        <f>SUMIFS(INDEX(Load,,MATCH('Summarized Source Data'!$B190,Hour,0)),Season,'Summarized Source Data'!$A190,Sector,'Summarized Source Data'!Q$2,TimeOfWeek,$D190)</f>
        <v>3850000</v>
      </c>
      <c r="R190" s="33">
        <f>SUMIFS(INDEX(Load,,MATCH('Summarized Source Data'!$B190,Hour,0)),Season,'Summarized Source Data'!$A190,Sector,'Summarized Source Data'!R$2,TimeOfWeek,$D190)</f>
        <v>3850000</v>
      </c>
      <c r="S190" s="33">
        <f>SUMIFS(INDEX(Load,,MATCH('Summarized Source Data'!$B190,Hour,0)),Season,'Summarized Source Data'!$A190,Sector,'Summarized Source Data'!S$2,TimeOfWeek,$D190)</f>
        <v>3850000</v>
      </c>
      <c r="T190" s="33">
        <f>SUMIFS(INDEX(Load,,MATCH('Summarized Source Data'!$B190,Hour,0)),Season,'Summarized Source Data'!$A190,Sector,'Summarized Source Data'!T$2,TimeOfWeek,$D190)</f>
        <v>3850000</v>
      </c>
      <c r="U190" s="33">
        <f>SUMIFS(INDEX(Load,,MATCH('Summarized Source Data'!$B190,Hour,0)),Season,'Summarized Source Data'!$A190,Sector,'Summarized Source Data'!U$2,TimeOfWeek,$D190)</f>
        <v>3850000</v>
      </c>
      <c r="V190" s="33">
        <f>SUMIFS(INDEX(Load,,MATCH('Summarized Source Data'!$B190,Hour,0)),Season,'Summarized Source Data'!$A190,Sector,'Summarized Source Data'!V$2,TimeOfWeek,$D190)</f>
        <v>3850000</v>
      </c>
      <c r="W190" s="27">
        <f>SUMIFS(INDEX(Load,,MATCH('Summarized Source Data'!$B190,Hour,0)),Season,'Summarized Source Data'!$A190,Sector,'Summarized Source Data'!W$2,Subsector,'Summarized Source Data'!W$3,TimeOfWeek,$D190)</f>
        <v>347000000</v>
      </c>
      <c r="X190" s="29">
        <f t="shared" si="20"/>
        <v>347000000</v>
      </c>
      <c r="Y190" s="29">
        <f t="shared" si="20"/>
        <v>347000000</v>
      </c>
    </row>
    <row r="191" spans="1:25" outlineLevel="1" x14ac:dyDescent="0.3">
      <c r="A191" t="s">
        <v>166</v>
      </c>
      <c r="B191" t="s">
        <v>83</v>
      </c>
      <c r="C191" s="6" t="s">
        <v>159</v>
      </c>
      <c r="D191" t="s">
        <v>48</v>
      </c>
      <c r="E191" s="27">
        <f>SUMIFS(INDEX(Load,,MATCH('Summarized Source Data'!$B191,Hour,0)),Season,'Summarized Source Data'!$A191,Sector,'Summarized Source Data'!E$2,Subsector,'Summarized Source Data'!E$3,TimeOfWeek,$D191)</f>
        <v>0</v>
      </c>
      <c r="F191" s="27">
        <f>SUMIFS(INDEX(Load,,MATCH('Summarized Source Data'!$B191,Hour,0)),Season,'Summarized Source Data'!$A191,Sector,'Summarized Source Data'!F$2,Subsector,'Summarized Source Data'!F$3,TimeOfWeek,$D191)</f>
        <v>7589393</v>
      </c>
      <c r="G191" s="27">
        <f>SUMIFS(INDEX(Load,,MATCH('Summarized Source Data'!$B191,Hour,0)),Season,'Summarized Source Data'!$A191,Sector,'Summarized Source Data'!G$2,Subsector,'Summarized Source Data'!G$3,TimeOfWeek,$D191)</f>
        <v>0</v>
      </c>
      <c r="H191" s="27">
        <f>SUMIFS(INDEX(Load,,MATCH('Summarized Source Data'!$B191,Hour,0)),Season,'Summarized Source Data'!$A191,Sector,'Summarized Source Data'!H$2,Subsector,'Summarized Source Data'!H$3,TimeOfWeek,$D191)</f>
        <v>102500000</v>
      </c>
      <c r="I191" s="27">
        <f t="shared" si="14"/>
        <v>102500000</v>
      </c>
      <c r="J191" s="29">
        <f t="shared" si="15"/>
        <v>102500000</v>
      </c>
      <c r="K191" s="27">
        <f>SUMIFS(INDEX(Load,,MATCH('Summarized Source Data'!$B191,Hour,0)),Season,'Summarized Source Data'!$A191,Sector,'Summarized Source Data'!K$2,Subsector,'Summarized Source Data'!K$3,TimeOfWeek,$D191)</f>
        <v>1048723</v>
      </c>
      <c r="L191" s="27">
        <f>SUMIFS(INDEX(Load,,MATCH('Summarized Source Data'!$B191,Hour,0)),Season,'Summarized Source Data'!$A191,Sector,'Summarized Source Data'!L$2,Subsector,'Summarized Source Data'!L$3,TimeOfWeek,$D191)</f>
        <v>15937311</v>
      </c>
      <c r="M191" s="27">
        <f>SUMIFS(INDEX(Load,,MATCH('Summarized Source Data'!$B191,Hour,0)),Season,'Summarized Source Data'!$A191,Sector,'Summarized Source Data'!M$2,Subsector,'Summarized Source Data'!M$3,TimeOfWeek,$D191)</f>
        <v>0</v>
      </c>
      <c r="N191" s="29">
        <f t="shared" si="16"/>
        <v>102500000</v>
      </c>
      <c r="O191" s="27">
        <f t="shared" si="17"/>
        <v>102500000</v>
      </c>
      <c r="P191" s="29">
        <f t="shared" si="18"/>
        <v>102500000</v>
      </c>
      <c r="Q191" s="33">
        <f>SUMIFS(INDEX(Load,,MATCH('Summarized Source Data'!$B191,Hour,0)),Season,'Summarized Source Data'!$A191,Sector,'Summarized Source Data'!Q$2,TimeOfWeek,$D191)</f>
        <v>3840000</v>
      </c>
      <c r="R191" s="33">
        <f>SUMIFS(INDEX(Load,,MATCH('Summarized Source Data'!$B191,Hour,0)),Season,'Summarized Source Data'!$A191,Sector,'Summarized Source Data'!R$2,TimeOfWeek,$D191)</f>
        <v>3840000</v>
      </c>
      <c r="S191" s="33">
        <f>SUMIFS(INDEX(Load,,MATCH('Summarized Source Data'!$B191,Hour,0)),Season,'Summarized Source Data'!$A191,Sector,'Summarized Source Data'!S$2,TimeOfWeek,$D191)</f>
        <v>3840000</v>
      </c>
      <c r="T191" s="33">
        <f>SUMIFS(INDEX(Load,,MATCH('Summarized Source Data'!$B191,Hour,0)),Season,'Summarized Source Data'!$A191,Sector,'Summarized Source Data'!T$2,TimeOfWeek,$D191)</f>
        <v>3840000</v>
      </c>
      <c r="U191" s="33">
        <f>SUMIFS(INDEX(Load,,MATCH('Summarized Source Data'!$B191,Hour,0)),Season,'Summarized Source Data'!$A191,Sector,'Summarized Source Data'!U$2,TimeOfWeek,$D191)</f>
        <v>3840000</v>
      </c>
      <c r="V191" s="33">
        <f>SUMIFS(INDEX(Load,,MATCH('Summarized Source Data'!$B191,Hour,0)),Season,'Summarized Source Data'!$A191,Sector,'Summarized Source Data'!V$2,TimeOfWeek,$D191)</f>
        <v>3840000</v>
      </c>
      <c r="W191" s="27">
        <f>SUMIFS(INDEX(Load,,MATCH('Summarized Source Data'!$B191,Hour,0)),Season,'Summarized Source Data'!$A191,Sector,'Summarized Source Data'!W$2,Subsector,'Summarized Source Data'!W$3,TimeOfWeek,$D191)</f>
        <v>347000000</v>
      </c>
      <c r="X191" s="29">
        <f t="shared" si="20"/>
        <v>347000000</v>
      </c>
      <c r="Y191" s="29">
        <f t="shared" si="20"/>
        <v>347000000</v>
      </c>
    </row>
    <row r="192" spans="1:25" outlineLevel="1" x14ac:dyDescent="0.3">
      <c r="A192" t="s">
        <v>166</v>
      </c>
      <c r="B192" t="s">
        <v>84</v>
      </c>
      <c r="C192" s="6" t="s">
        <v>160</v>
      </c>
      <c r="D192" t="s">
        <v>48</v>
      </c>
      <c r="E192" s="27">
        <f>SUMIFS(INDEX(Load,,MATCH('Summarized Source Data'!$B192,Hour,0)),Season,'Summarized Source Data'!$A192,Sector,'Summarized Source Data'!E$2,Subsector,'Summarized Source Data'!E$3,TimeOfWeek,$D192)</f>
        <v>0</v>
      </c>
      <c r="F192" s="27">
        <f>SUMIFS(INDEX(Load,,MATCH('Summarized Source Data'!$B192,Hour,0)),Season,'Summarized Source Data'!$A192,Sector,'Summarized Source Data'!F$2,Subsector,'Summarized Source Data'!F$3,TimeOfWeek,$D192)</f>
        <v>6131284</v>
      </c>
      <c r="G192" s="27">
        <f>SUMIFS(INDEX(Load,,MATCH('Summarized Source Data'!$B192,Hour,0)),Season,'Summarized Source Data'!$A192,Sector,'Summarized Source Data'!G$2,Subsector,'Summarized Source Data'!G$3,TimeOfWeek,$D192)</f>
        <v>0</v>
      </c>
      <c r="H192" s="27">
        <f>SUMIFS(INDEX(Load,,MATCH('Summarized Source Data'!$B192,Hour,0)),Season,'Summarized Source Data'!$A192,Sector,'Summarized Source Data'!H$2,Subsector,'Summarized Source Data'!H$3,TimeOfWeek,$D192)</f>
        <v>102000000</v>
      </c>
      <c r="I192" s="27">
        <f t="shared" si="14"/>
        <v>102000000</v>
      </c>
      <c r="J192" s="29">
        <f t="shared" si="15"/>
        <v>102000000</v>
      </c>
      <c r="K192" s="27">
        <f>SUMIFS(INDEX(Load,,MATCH('Summarized Source Data'!$B192,Hour,0)),Season,'Summarized Source Data'!$A192,Sector,'Summarized Source Data'!K$2,Subsector,'Summarized Source Data'!K$3,TimeOfWeek,$D192)</f>
        <v>1214866</v>
      </c>
      <c r="L192" s="27">
        <f>SUMIFS(INDEX(Load,,MATCH('Summarized Source Data'!$B192,Hour,0)),Season,'Summarized Source Data'!$A192,Sector,'Summarized Source Data'!L$2,Subsector,'Summarized Source Data'!L$3,TimeOfWeek,$D192)</f>
        <v>14187775</v>
      </c>
      <c r="M192" s="27">
        <f>SUMIFS(INDEX(Load,,MATCH('Summarized Source Data'!$B192,Hour,0)),Season,'Summarized Source Data'!$A192,Sector,'Summarized Source Data'!M$2,Subsector,'Summarized Source Data'!M$3,TimeOfWeek,$D192)</f>
        <v>0</v>
      </c>
      <c r="N192" s="29">
        <f t="shared" si="16"/>
        <v>102000000</v>
      </c>
      <c r="O192" s="27">
        <f t="shared" si="17"/>
        <v>102000000</v>
      </c>
      <c r="P192" s="29">
        <f t="shared" si="18"/>
        <v>102000000</v>
      </c>
      <c r="Q192" s="33">
        <f>SUMIFS(INDEX(Load,,MATCH('Summarized Source Data'!$B192,Hour,0)),Season,'Summarized Source Data'!$A192,Sector,'Summarized Source Data'!Q$2,TimeOfWeek,$D192)</f>
        <v>3820000</v>
      </c>
      <c r="R192" s="33">
        <f>SUMIFS(INDEX(Load,,MATCH('Summarized Source Data'!$B192,Hour,0)),Season,'Summarized Source Data'!$A192,Sector,'Summarized Source Data'!R$2,TimeOfWeek,$D192)</f>
        <v>3820000</v>
      </c>
      <c r="S192" s="33">
        <f>SUMIFS(INDEX(Load,,MATCH('Summarized Source Data'!$B192,Hour,0)),Season,'Summarized Source Data'!$A192,Sector,'Summarized Source Data'!S$2,TimeOfWeek,$D192)</f>
        <v>3820000</v>
      </c>
      <c r="T192" s="33">
        <f>SUMIFS(INDEX(Load,,MATCH('Summarized Source Data'!$B192,Hour,0)),Season,'Summarized Source Data'!$A192,Sector,'Summarized Source Data'!T$2,TimeOfWeek,$D192)</f>
        <v>3820000</v>
      </c>
      <c r="U192" s="33">
        <f>SUMIFS(INDEX(Load,,MATCH('Summarized Source Data'!$B192,Hour,0)),Season,'Summarized Source Data'!$A192,Sector,'Summarized Source Data'!U$2,TimeOfWeek,$D192)</f>
        <v>3820000</v>
      </c>
      <c r="V192" s="33">
        <f>SUMIFS(INDEX(Load,,MATCH('Summarized Source Data'!$B192,Hour,0)),Season,'Summarized Source Data'!$A192,Sector,'Summarized Source Data'!V$2,TimeOfWeek,$D192)</f>
        <v>3820000</v>
      </c>
      <c r="W192" s="27">
        <f>SUMIFS(INDEX(Load,,MATCH('Summarized Source Data'!$B192,Hour,0)),Season,'Summarized Source Data'!$A192,Sector,'Summarized Source Data'!W$2,Subsector,'Summarized Source Data'!W$3,TimeOfWeek,$D192)</f>
        <v>345000000</v>
      </c>
      <c r="X192" s="29">
        <f t="shared" si="20"/>
        <v>345000000</v>
      </c>
      <c r="Y192" s="29">
        <f t="shared" si="20"/>
        <v>345000000</v>
      </c>
    </row>
    <row r="193" spans="1:25" outlineLevel="1" x14ac:dyDescent="0.3">
      <c r="A193" t="s">
        <v>166</v>
      </c>
      <c r="B193" t="s">
        <v>85</v>
      </c>
      <c r="C193" s="6" t="s">
        <v>161</v>
      </c>
      <c r="D193" t="s">
        <v>48</v>
      </c>
      <c r="E193" s="27">
        <f>SUMIFS(INDEX(Load,,MATCH('Summarized Source Data'!$B193,Hour,0)),Season,'Summarized Source Data'!$A193,Sector,'Summarized Source Data'!E$2,Subsector,'Summarized Source Data'!E$3,TimeOfWeek,$D193)</f>
        <v>0</v>
      </c>
      <c r="F193" s="27">
        <f>SUMIFS(INDEX(Load,,MATCH('Summarized Source Data'!$B193,Hour,0)),Season,'Summarized Source Data'!$A193,Sector,'Summarized Source Data'!F$2,Subsector,'Summarized Source Data'!F$3,TimeOfWeek,$D193)</f>
        <v>4854413</v>
      </c>
      <c r="G193" s="27">
        <f>SUMIFS(INDEX(Load,,MATCH('Summarized Source Data'!$B193,Hour,0)),Season,'Summarized Source Data'!$A193,Sector,'Summarized Source Data'!G$2,Subsector,'Summarized Source Data'!G$3,TimeOfWeek,$D193)</f>
        <v>0</v>
      </c>
      <c r="H193" s="27">
        <f>SUMIFS(INDEX(Load,,MATCH('Summarized Source Data'!$B193,Hour,0)),Season,'Summarized Source Data'!$A193,Sector,'Summarized Source Data'!H$2,Subsector,'Summarized Source Data'!H$3,TimeOfWeek,$D193)</f>
        <v>84300000</v>
      </c>
      <c r="I193" s="27">
        <f t="shared" si="14"/>
        <v>84300000</v>
      </c>
      <c r="J193" s="29">
        <f t="shared" si="15"/>
        <v>84300000</v>
      </c>
      <c r="K193" s="27">
        <f>SUMIFS(INDEX(Load,,MATCH('Summarized Source Data'!$B193,Hour,0)),Season,'Summarized Source Data'!$A193,Sector,'Summarized Source Data'!K$2,Subsector,'Summarized Source Data'!K$3,TimeOfWeek,$D193)</f>
        <v>1218842</v>
      </c>
      <c r="L193" s="27">
        <f>SUMIFS(INDEX(Load,,MATCH('Summarized Source Data'!$B193,Hour,0)),Season,'Summarized Source Data'!$A193,Sector,'Summarized Source Data'!L$2,Subsector,'Summarized Source Data'!L$3,TimeOfWeek,$D193)</f>
        <v>12711574</v>
      </c>
      <c r="M193" s="27">
        <f>SUMIFS(INDEX(Load,,MATCH('Summarized Source Data'!$B193,Hour,0)),Season,'Summarized Source Data'!$A193,Sector,'Summarized Source Data'!M$2,Subsector,'Summarized Source Data'!M$3,TimeOfWeek,$D193)</f>
        <v>0</v>
      </c>
      <c r="N193" s="29">
        <f t="shared" si="16"/>
        <v>84300000</v>
      </c>
      <c r="O193" s="27">
        <f t="shared" si="17"/>
        <v>84300000</v>
      </c>
      <c r="P193" s="29">
        <f t="shared" si="18"/>
        <v>84300000</v>
      </c>
      <c r="Q193" s="33">
        <f>SUMIFS(INDEX(Load,,MATCH('Summarized Source Data'!$B193,Hour,0)),Season,'Summarized Source Data'!$A193,Sector,'Summarized Source Data'!Q$2,TimeOfWeek,$D193)</f>
        <v>3800000</v>
      </c>
      <c r="R193" s="33">
        <f>SUMIFS(INDEX(Load,,MATCH('Summarized Source Data'!$B193,Hour,0)),Season,'Summarized Source Data'!$A193,Sector,'Summarized Source Data'!R$2,TimeOfWeek,$D193)</f>
        <v>3800000</v>
      </c>
      <c r="S193" s="33">
        <f>SUMIFS(INDEX(Load,,MATCH('Summarized Source Data'!$B193,Hour,0)),Season,'Summarized Source Data'!$A193,Sector,'Summarized Source Data'!S$2,TimeOfWeek,$D193)</f>
        <v>3800000</v>
      </c>
      <c r="T193" s="33">
        <f>SUMIFS(INDEX(Load,,MATCH('Summarized Source Data'!$B193,Hour,0)),Season,'Summarized Source Data'!$A193,Sector,'Summarized Source Data'!T$2,TimeOfWeek,$D193)</f>
        <v>3800000</v>
      </c>
      <c r="U193" s="33">
        <f>SUMIFS(INDEX(Load,,MATCH('Summarized Source Data'!$B193,Hour,0)),Season,'Summarized Source Data'!$A193,Sector,'Summarized Source Data'!U$2,TimeOfWeek,$D193)</f>
        <v>3800000</v>
      </c>
      <c r="V193" s="33">
        <f>SUMIFS(INDEX(Load,,MATCH('Summarized Source Data'!$B193,Hour,0)),Season,'Summarized Source Data'!$A193,Sector,'Summarized Source Data'!V$2,TimeOfWeek,$D193)</f>
        <v>3800000</v>
      </c>
      <c r="W193" s="27">
        <f>SUMIFS(INDEX(Load,,MATCH('Summarized Source Data'!$B193,Hour,0)),Season,'Summarized Source Data'!$A193,Sector,'Summarized Source Data'!W$2,Subsector,'Summarized Source Data'!W$3,TimeOfWeek,$D193)</f>
        <v>343000000</v>
      </c>
      <c r="X193" s="29">
        <f t="shared" si="20"/>
        <v>343000000</v>
      </c>
      <c r="Y193" s="29">
        <f t="shared" si="20"/>
        <v>343000000</v>
      </c>
    </row>
    <row r="194" spans="1:25" outlineLevel="1" x14ac:dyDescent="0.3">
      <c r="A194" t="s">
        <v>166</v>
      </c>
      <c r="B194" t="s">
        <v>86</v>
      </c>
      <c r="C194" s="6" t="s">
        <v>162</v>
      </c>
      <c r="D194" t="s">
        <v>48</v>
      </c>
      <c r="E194" s="27">
        <f>SUMIFS(INDEX(Load,,MATCH('Summarized Source Data'!$B194,Hour,0)),Season,'Summarized Source Data'!$A194,Sector,'Summarized Source Data'!E$2,Subsector,'Summarized Source Data'!E$3,TimeOfWeek,$D194)</f>
        <v>0</v>
      </c>
      <c r="F194" s="27">
        <f>SUMIFS(INDEX(Load,,MATCH('Summarized Source Data'!$B194,Hour,0)),Season,'Summarized Source Data'!$A194,Sector,'Summarized Source Data'!F$2,Subsector,'Summarized Source Data'!F$3,TimeOfWeek,$D194)</f>
        <v>3817758</v>
      </c>
      <c r="G194" s="27">
        <f>SUMIFS(INDEX(Load,,MATCH('Summarized Source Data'!$B194,Hour,0)),Season,'Summarized Source Data'!$A194,Sector,'Summarized Source Data'!G$2,Subsector,'Summarized Source Data'!G$3,TimeOfWeek,$D194)</f>
        <v>0</v>
      </c>
      <c r="H194" s="27">
        <f>SUMIFS(INDEX(Load,,MATCH('Summarized Source Data'!$B194,Hour,0)),Season,'Summarized Source Data'!$A194,Sector,'Summarized Source Data'!H$2,Subsector,'Summarized Source Data'!H$3,TimeOfWeek,$D194)</f>
        <v>54400000</v>
      </c>
      <c r="I194" s="27">
        <f t="shared" si="14"/>
        <v>54400000</v>
      </c>
      <c r="J194" s="29">
        <f t="shared" si="15"/>
        <v>54400000</v>
      </c>
      <c r="K194" s="27">
        <f>SUMIFS(INDEX(Load,,MATCH('Summarized Source Data'!$B194,Hour,0)),Season,'Summarized Source Data'!$A194,Sector,'Summarized Source Data'!K$2,Subsector,'Summarized Source Data'!K$3,TimeOfWeek,$D194)</f>
        <v>1099440</v>
      </c>
      <c r="L194" s="27">
        <f>SUMIFS(INDEX(Load,,MATCH('Summarized Source Data'!$B194,Hour,0)),Season,'Summarized Source Data'!$A194,Sector,'Summarized Source Data'!L$2,Subsector,'Summarized Source Data'!L$3,TimeOfWeek,$D194)</f>
        <v>11467470</v>
      </c>
      <c r="M194" s="27">
        <f>SUMIFS(INDEX(Load,,MATCH('Summarized Source Data'!$B194,Hour,0)),Season,'Summarized Source Data'!$A194,Sector,'Summarized Source Data'!M$2,Subsector,'Summarized Source Data'!M$3,TimeOfWeek,$D194)</f>
        <v>0</v>
      </c>
      <c r="N194" s="29">
        <f t="shared" si="16"/>
        <v>54400000</v>
      </c>
      <c r="O194" s="27">
        <f t="shared" si="17"/>
        <v>54400000</v>
      </c>
      <c r="P194" s="29">
        <f t="shared" si="18"/>
        <v>54400000</v>
      </c>
      <c r="Q194" s="33">
        <f>SUMIFS(INDEX(Load,,MATCH('Summarized Source Data'!$B194,Hour,0)),Season,'Summarized Source Data'!$A194,Sector,'Summarized Source Data'!Q$2,TimeOfWeek,$D194)</f>
        <v>3800000</v>
      </c>
      <c r="R194" s="33">
        <f>SUMIFS(INDEX(Load,,MATCH('Summarized Source Data'!$B194,Hour,0)),Season,'Summarized Source Data'!$A194,Sector,'Summarized Source Data'!R$2,TimeOfWeek,$D194)</f>
        <v>3800000</v>
      </c>
      <c r="S194" s="33">
        <f>SUMIFS(INDEX(Load,,MATCH('Summarized Source Data'!$B194,Hour,0)),Season,'Summarized Source Data'!$A194,Sector,'Summarized Source Data'!S$2,TimeOfWeek,$D194)</f>
        <v>3800000</v>
      </c>
      <c r="T194" s="33">
        <f>SUMIFS(INDEX(Load,,MATCH('Summarized Source Data'!$B194,Hour,0)),Season,'Summarized Source Data'!$A194,Sector,'Summarized Source Data'!T$2,TimeOfWeek,$D194)</f>
        <v>3800000</v>
      </c>
      <c r="U194" s="33">
        <f>SUMIFS(INDEX(Load,,MATCH('Summarized Source Data'!$B194,Hour,0)),Season,'Summarized Source Data'!$A194,Sector,'Summarized Source Data'!U$2,TimeOfWeek,$D194)</f>
        <v>3800000</v>
      </c>
      <c r="V194" s="33">
        <f>SUMIFS(INDEX(Load,,MATCH('Summarized Source Data'!$B194,Hour,0)),Season,'Summarized Source Data'!$A194,Sector,'Summarized Source Data'!V$2,TimeOfWeek,$D194)</f>
        <v>3800000</v>
      </c>
      <c r="W194" s="27">
        <f>SUMIFS(INDEX(Load,,MATCH('Summarized Source Data'!$B194,Hour,0)),Season,'Summarized Source Data'!$A194,Sector,'Summarized Source Data'!W$2,Subsector,'Summarized Source Data'!W$3,TimeOfWeek,$D194)</f>
        <v>342000000</v>
      </c>
      <c r="X194" s="29">
        <f t="shared" si="20"/>
        <v>342000000</v>
      </c>
      <c r="Y194" s="29">
        <f t="shared" si="20"/>
        <v>342000000</v>
      </c>
    </row>
    <row r="195" spans="1:25" outlineLevel="1" x14ac:dyDescent="0.3">
      <c r="A195" t="s">
        <v>166</v>
      </c>
      <c r="B195" t="s">
        <v>87</v>
      </c>
      <c r="C195" s="6" t="s">
        <v>163</v>
      </c>
      <c r="D195" t="s">
        <v>48</v>
      </c>
      <c r="E195" s="27">
        <f>SUMIFS(INDEX(Load,,MATCH('Summarized Source Data'!$B195,Hour,0)),Season,'Summarized Source Data'!$A195,Sector,'Summarized Source Data'!E$2,Subsector,'Summarized Source Data'!E$3,TimeOfWeek,$D195)</f>
        <v>0</v>
      </c>
      <c r="F195" s="27">
        <f>SUMIFS(INDEX(Load,,MATCH('Summarized Source Data'!$B195,Hour,0)),Season,'Summarized Source Data'!$A195,Sector,'Summarized Source Data'!F$2,Subsector,'Summarized Source Data'!F$3,TimeOfWeek,$D195)</f>
        <v>3060919</v>
      </c>
      <c r="G195" s="27">
        <f>SUMIFS(INDEX(Load,,MATCH('Summarized Source Data'!$B195,Hour,0)),Season,'Summarized Source Data'!$A195,Sector,'Summarized Source Data'!G$2,Subsector,'Summarized Source Data'!G$3,TimeOfWeek,$D195)</f>
        <v>0</v>
      </c>
      <c r="H195" s="27">
        <f>SUMIFS(INDEX(Load,,MATCH('Summarized Source Data'!$B195,Hour,0)),Season,'Summarized Source Data'!$A195,Sector,'Summarized Source Data'!H$2,Subsector,'Summarized Source Data'!H$3,TimeOfWeek,$D195)</f>
        <v>30400000</v>
      </c>
      <c r="I195" s="27">
        <f t="shared" si="14"/>
        <v>30400000</v>
      </c>
      <c r="J195" s="29">
        <f t="shared" si="15"/>
        <v>30400000</v>
      </c>
      <c r="K195" s="27">
        <f>SUMIFS(INDEX(Load,,MATCH('Summarized Source Data'!$B195,Hour,0)),Season,'Summarized Source Data'!$A195,Sector,'Summarized Source Data'!K$2,Subsector,'Summarized Source Data'!K$3,TimeOfWeek,$D195)</f>
        <v>1151991</v>
      </c>
      <c r="L195" s="27">
        <f>SUMIFS(INDEX(Load,,MATCH('Summarized Source Data'!$B195,Hour,0)),Season,'Summarized Source Data'!$A195,Sector,'Summarized Source Data'!L$2,Subsector,'Summarized Source Data'!L$3,TimeOfWeek,$D195)</f>
        <v>10391793</v>
      </c>
      <c r="M195" s="27">
        <f>SUMIFS(INDEX(Load,,MATCH('Summarized Source Data'!$B195,Hour,0)),Season,'Summarized Source Data'!$A195,Sector,'Summarized Source Data'!M$2,Subsector,'Summarized Source Data'!M$3,TimeOfWeek,$D195)</f>
        <v>0</v>
      </c>
      <c r="N195" s="29">
        <f t="shared" si="16"/>
        <v>30400000</v>
      </c>
      <c r="O195" s="27">
        <f t="shared" si="17"/>
        <v>30400000</v>
      </c>
      <c r="P195" s="29">
        <f t="shared" si="18"/>
        <v>30400000</v>
      </c>
      <c r="Q195" s="33">
        <f>SUMIFS(INDEX(Load,,MATCH('Summarized Source Data'!$B195,Hour,0)),Season,'Summarized Source Data'!$A195,Sector,'Summarized Source Data'!Q$2,TimeOfWeek,$D195)</f>
        <v>2550000</v>
      </c>
      <c r="R195" s="33">
        <f>SUMIFS(INDEX(Load,,MATCH('Summarized Source Data'!$B195,Hour,0)),Season,'Summarized Source Data'!$A195,Sector,'Summarized Source Data'!R$2,TimeOfWeek,$D195)</f>
        <v>2550000</v>
      </c>
      <c r="S195" s="33">
        <f>SUMIFS(INDEX(Load,,MATCH('Summarized Source Data'!$B195,Hour,0)),Season,'Summarized Source Data'!$A195,Sector,'Summarized Source Data'!S$2,TimeOfWeek,$D195)</f>
        <v>2550000</v>
      </c>
      <c r="T195" s="33">
        <f>SUMIFS(INDEX(Load,,MATCH('Summarized Source Data'!$B195,Hour,0)),Season,'Summarized Source Data'!$A195,Sector,'Summarized Source Data'!T$2,TimeOfWeek,$D195)</f>
        <v>2550000</v>
      </c>
      <c r="U195" s="33">
        <f>SUMIFS(INDEX(Load,,MATCH('Summarized Source Data'!$B195,Hour,0)),Season,'Summarized Source Data'!$A195,Sector,'Summarized Source Data'!U$2,TimeOfWeek,$D195)</f>
        <v>2550000</v>
      </c>
      <c r="V195" s="33">
        <f>SUMIFS(INDEX(Load,,MATCH('Summarized Source Data'!$B195,Hour,0)),Season,'Summarized Source Data'!$A195,Sector,'Summarized Source Data'!V$2,TimeOfWeek,$D195)</f>
        <v>2550000</v>
      </c>
      <c r="W195" s="27">
        <f>SUMIFS(INDEX(Load,,MATCH('Summarized Source Data'!$B195,Hour,0)),Season,'Summarized Source Data'!$A195,Sector,'Summarized Source Data'!W$2,Subsector,'Summarized Source Data'!W$3,TimeOfWeek,$D195)</f>
        <v>341000000</v>
      </c>
      <c r="X195" s="29">
        <f t="shared" si="20"/>
        <v>341000000</v>
      </c>
      <c r="Y195" s="29">
        <f t="shared" si="20"/>
        <v>341000000</v>
      </c>
    </row>
    <row r="196" spans="1:25" outlineLevel="1" x14ac:dyDescent="0.3"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 spans="1:25" x14ac:dyDescent="0.3"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 spans="1:25" x14ac:dyDescent="0.3">
      <c r="A198" s="51" t="s">
        <v>167</v>
      </c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</row>
    <row r="199" spans="1:25" outlineLevel="1" x14ac:dyDescent="0.3">
      <c r="E199" t="s">
        <v>118</v>
      </c>
      <c r="F199" t="s">
        <v>118</v>
      </c>
      <c r="G199" t="s">
        <v>118</v>
      </c>
      <c r="H199" t="s">
        <v>118</v>
      </c>
      <c r="I199" t="s">
        <v>118</v>
      </c>
      <c r="J199" t="s">
        <v>118</v>
      </c>
      <c r="K199" t="s">
        <v>119</v>
      </c>
      <c r="L199" t="s">
        <v>119</v>
      </c>
      <c r="M199" t="s">
        <v>119</v>
      </c>
      <c r="N199" t="s">
        <v>119</v>
      </c>
      <c r="O199" t="s">
        <v>119</v>
      </c>
      <c r="P199" t="s">
        <v>119</v>
      </c>
      <c r="Q199" t="s">
        <v>120</v>
      </c>
      <c r="R199" t="s">
        <v>120</v>
      </c>
      <c r="S199" t="s">
        <v>120</v>
      </c>
      <c r="T199" t="s">
        <v>120</v>
      </c>
      <c r="U199" t="s">
        <v>120</v>
      </c>
      <c r="V199" t="s">
        <v>120</v>
      </c>
      <c r="W199" t="s">
        <v>121</v>
      </c>
      <c r="X199" t="s">
        <v>121</v>
      </c>
      <c r="Y199" s="21" t="s">
        <v>121</v>
      </c>
    </row>
    <row r="200" spans="1:25" ht="28.8" outlineLevel="1" x14ac:dyDescent="0.3">
      <c r="A200" s="4" t="s">
        <v>122</v>
      </c>
      <c r="B200" s="50" t="s">
        <v>123</v>
      </c>
      <c r="C200" s="50"/>
      <c r="D200" s="4" t="s">
        <v>124</v>
      </c>
      <c r="E200" s="4" t="s">
        <v>125</v>
      </c>
      <c r="F200" s="4" t="s">
        <v>126</v>
      </c>
      <c r="G200" s="4" t="s">
        <v>127</v>
      </c>
      <c r="H200" s="4" t="s">
        <v>128</v>
      </c>
      <c r="I200" s="4" t="s">
        <v>129</v>
      </c>
      <c r="J200" s="4" t="s">
        <v>130</v>
      </c>
      <c r="K200" s="4" t="s">
        <v>125</v>
      </c>
      <c r="L200" s="4" t="s">
        <v>126</v>
      </c>
      <c r="M200" s="4" t="s">
        <v>127</v>
      </c>
      <c r="N200" s="4" t="s">
        <v>128</v>
      </c>
      <c r="O200" s="4" t="s">
        <v>129</v>
      </c>
      <c r="P200" s="4" t="s">
        <v>130</v>
      </c>
      <c r="Q200" s="4" t="s">
        <v>131</v>
      </c>
      <c r="R200" s="4" t="s">
        <v>132</v>
      </c>
      <c r="S200" s="4" t="s">
        <v>133</v>
      </c>
      <c r="T200" s="4" t="s">
        <v>134</v>
      </c>
      <c r="U200" s="4" t="s">
        <v>135</v>
      </c>
      <c r="V200" s="4" t="s">
        <v>136</v>
      </c>
      <c r="W200" s="4" t="s">
        <v>121</v>
      </c>
      <c r="X200" s="4" t="s">
        <v>137</v>
      </c>
      <c r="Y200" s="25" t="s">
        <v>138</v>
      </c>
    </row>
    <row r="201" spans="1:25" outlineLevel="1" x14ac:dyDescent="0.3">
      <c r="A201" t="s">
        <v>139</v>
      </c>
      <c r="B201" t="s">
        <v>64</v>
      </c>
      <c r="C201" s="6" t="s">
        <v>140</v>
      </c>
      <c r="D201" t="s">
        <v>49</v>
      </c>
      <c r="E201" s="29">
        <f t="shared" ref="E201:W201" si="21">E4/WinterWeekdays</f>
        <v>0</v>
      </c>
      <c r="F201" s="29">
        <f t="shared" si="21"/>
        <v>31704.322222222225</v>
      </c>
      <c r="G201" s="29">
        <f t="shared" si="21"/>
        <v>0</v>
      </c>
      <c r="H201" s="29">
        <f t="shared" si="21"/>
        <v>1121555.5555555557</v>
      </c>
      <c r="I201" s="29">
        <f t="shared" si="21"/>
        <v>1121555.5555555557</v>
      </c>
      <c r="J201" s="29">
        <f t="shared" si="21"/>
        <v>1121555.5555555557</v>
      </c>
      <c r="K201" s="29">
        <f t="shared" si="21"/>
        <v>237712.64222222226</v>
      </c>
      <c r="L201" s="29">
        <f t="shared" si="21"/>
        <v>233108.32222222225</v>
      </c>
      <c r="M201" s="29">
        <f t="shared" si="21"/>
        <v>0</v>
      </c>
      <c r="N201" s="29">
        <f t="shared" si="21"/>
        <v>1121555.5555555557</v>
      </c>
      <c r="O201" s="29">
        <f t="shared" si="21"/>
        <v>1121555.5555555557</v>
      </c>
      <c r="P201" s="29">
        <f t="shared" si="21"/>
        <v>1121555.5555555557</v>
      </c>
      <c r="Q201" s="29">
        <f t="shared" si="21"/>
        <v>110755.55555555558</v>
      </c>
      <c r="R201" s="29">
        <f t="shared" si="21"/>
        <v>110755.55555555558</v>
      </c>
      <c r="S201" s="29">
        <f t="shared" si="21"/>
        <v>110755.55555555558</v>
      </c>
      <c r="T201" s="29">
        <f t="shared" si="21"/>
        <v>110755.55555555558</v>
      </c>
      <c r="U201" s="29">
        <f t="shared" si="21"/>
        <v>110755.55555555558</v>
      </c>
      <c r="V201" s="29">
        <f t="shared" si="21"/>
        <v>110755.55555555558</v>
      </c>
      <c r="W201" s="29">
        <f t="shared" si="21"/>
        <v>20300000.000000004</v>
      </c>
      <c r="X201" s="29">
        <f t="shared" ref="X201:Y224" si="22">X4/WinterWeekdays</f>
        <v>20300000.000000004</v>
      </c>
      <c r="Y201" s="29">
        <f t="shared" si="22"/>
        <v>20300000.000000004</v>
      </c>
    </row>
    <row r="202" spans="1:25" outlineLevel="1" x14ac:dyDescent="0.3">
      <c r="A202" t="s">
        <v>139</v>
      </c>
      <c r="B202" t="s">
        <v>65</v>
      </c>
      <c r="C202" s="6" t="s">
        <v>141</v>
      </c>
      <c r="D202" t="s">
        <v>49</v>
      </c>
      <c r="E202" s="29">
        <f t="shared" ref="E202:W202" si="23">E5/WinterWeekdays</f>
        <v>0</v>
      </c>
      <c r="F202" s="29">
        <f t="shared" si="23"/>
        <v>25227.23777777778</v>
      </c>
      <c r="G202" s="29">
        <f t="shared" si="23"/>
        <v>0</v>
      </c>
      <c r="H202" s="29">
        <f t="shared" si="23"/>
        <v>1034444.4444444446</v>
      </c>
      <c r="I202" s="29">
        <f t="shared" si="23"/>
        <v>1034444.4444444446</v>
      </c>
      <c r="J202" s="29">
        <f t="shared" si="23"/>
        <v>1034444.4444444446</v>
      </c>
      <c r="K202" s="29">
        <f t="shared" si="23"/>
        <v>217135.53555555557</v>
      </c>
      <c r="L202" s="29">
        <f t="shared" si="23"/>
        <v>218023.82000000004</v>
      </c>
      <c r="M202" s="29">
        <f t="shared" si="23"/>
        <v>0</v>
      </c>
      <c r="N202" s="29">
        <f t="shared" si="23"/>
        <v>1034444.4444444446</v>
      </c>
      <c r="O202" s="29">
        <f t="shared" si="23"/>
        <v>1034444.4444444446</v>
      </c>
      <c r="P202" s="29">
        <f t="shared" si="23"/>
        <v>1034444.4444444446</v>
      </c>
      <c r="Q202" s="29">
        <f t="shared" si="23"/>
        <v>110444.44444444445</v>
      </c>
      <c r="R202" s="29">
        <f t="shared" si="23"/>
        <v>110444.44444444445</v>
      </c>
      <c r="S202" s="29">
        <f t="shared" si="23"/>
        <v>110444.44444444445</v>
      </c>
      <c r="T202" s="29">
        <f t="shared" si="23"/>
        <v>110444.44444444445</v>
      </c>
      <c r="U202" s="29">
        <f t="shared" si="23"/>
        <v>110444.44444444445</v>
      </c>
      <c r="V202" s="29">
        <f t="shared" si="23"/>
        <v>110444.44444444445</v>
      </c>
      <c r="W202" s="29">
        <f t="shared" si="23"/>
        <v>20268888.888888892</v>
      </c>
      <c r="X202" s="29">
        <f t="shared" si="22"/>
        <v>20268888.888888892</v>
      </c>
      <c r="Y202" s="29">
        <f t="shared" si="22"/>
        <v>20268888.888888892</v>
      </c>
    </row>
    <row r="203" spans="1:25" outlineLevel="1" x14ac:dyDescent="0.3">
      <c r="A203" t="s">
        <v>139</v>
      </c>
      <c r="B203" t="s">
        <v>66</v>
      </c>
      <c r="C203" s="6" t="s">
        <v>142</v>
      </c>
      <c r="D203" t="s">
        <v>49</v>
      </c>
      <c r="E203" s="29">
        <f t="shared" ref="E203:W203" si="24">E6/WinterWeekdays</f>
        <v>0</v>
      </c>
      <c r="F203" s="29">
        <f t="shared" si="24"/>
        <v>23275.700000000004</v>
      </c>
      <c r="G203" s="29">
        <f t="shared" si="24"/>
        <v>0</v>
      </c>
      <c r="H203" s="29">
        <f t="shared" si="24"/>
        <v>1023555.5555555557</v>
      </c>
      <c r="I203" s="29">
        <f t="shared" si="24"/>
        <v>1023555.5555555557</v>
      </c>
      <c r="J203" s="29">
        <f t="shared" si="24"/>
        <v>1023555.5555555557</v>
      </c>
      <c r="K203" s="29">
        <f t="shared" si="24"/>
        <v>194703.18000000002</v>
      </c>
      <c r="L203" s="29">
        <f t="shared" si="24"/>
        <v>212002.1866666667</v>
      </c>
      <c r="M203" s="29">
        <f t="shared" si="24"/>
        <v>0</v>
      </c>
      <c r="N203" s="29">
        <f t="shared" si="24"/>
        <v>1023555.5555555557</v>
      </c>
      <c r="O203" s="29">
        <f t="shared" si="24"/>
        <v>1023555.5555555557</v>
      </c>
      <c r="P203" s="29">
        <f t="shared" si="24"/>
        <v>1023555.5555555557</v>
      </c>
      <c r="Q203" s="29">
        <f t="shared" si="24"/>
        <v>110444.44444444445</v>
      </c>
      <c r="R203" s="29">
        <f t="shared" si="24"/>
        <v>110444.44444444445</v>
      </c>
      <c r="S203" s="29">
        <f t="shared" si="24"/>
        <v>110444.44444444445</v>
      </c>
      <c r="T203" s="29">
        <f t="shared" si="24"/>
        <v>110444.44444444445</v>
      </c>
      <c r="U203" s="29">
        <f t="shared" si="24"/>
        <v>110444.44444444445</v>
      </c>
      <c r="V203" s="29">
        <f t="shared" si="24"/>
        <v>110444.44444444445</v>
      </c>
      <c r="W203" s="29">
        <f t="shared" si="24"/>
        <v>20268888.888888892</v>
      </c>
      <c r="X203" s="29">
        <f t="shared" si="22"/>
        <v>20268888.888888892</v>
      </c>
      <c r="Y203" s="29">
        <f t="shared" si="22"/>
        <v>20268888.888888892</v>
      </c>
    </row>
    <row r="204" spans="1:25" outlineLevel="1" x14ac:dyDescent="0.3">
      <c r="A204" t="s">
        <v>139</v>
      </c>
      <c r="B204" t="s">
        <v>67</v>
      </c>
      <c r="C204" s="6" t="s">
        <v>143</v>
      </c>
      <c r="D204" t="s">
        <v>49</v>
      </c>
      <c r="E204" s="29">
        <f t="shared" ref="E204:W204" si="25">E7/WinterWeekdays</f>
        <v>0</v>
      </c>
      <c r="F204" s="29">
        <f t="shared" si="25"/>
        <v>25337.884444444448</v>
      </c>
      <c r="G204" s="29">
        <f t="shared" si="25"/>
        <v>0</v>
      </c>
      <c r="H204" s="29">
        <f t="shared" si="25"/>
        <v>1046888.888888889</v>
      </c>
      <c r="I204" s="29">
        <f t="shared" si="25"/>
        <v>1046888.888888889</v>
      </c>
      <c r="J204" s="29">
        <f t="shared" si="25"/>
        <v>1046888.888888889</v>
      </c>
      <c r="K204" s="29">
        <f t="shared" si="25"/>
        <v>200905.16444444447</v>
      </c>
      <c r="L204" s="29">
        <f t="shared" si="25"/>
        <v>209791.80444444448</v>
      </c>
      <c r="M204" s="29">
        <f t="shared" si="25"/>
        <v>0</v>
      </c>
      <c r="N204" s="29">
        <f t="shared" si="25"/>
        <v>1046888.888888889</v>
      </c>
      <c r="O204" s="29">
        <f t="shared" si="25"/>
        <v>1046888.888888889</v>
      </c>
      <c r="P204" s="29">
        <f t="shared" si="25"/>
        <v>1046888.888888889</v>
      </c>
      <c r="Q204" s="29">
        <f t="shared" si="25"/>
        <v>110444.44444444445</v>
      </c>
      <c r="R204" s="29">
        <f t="shared" si="25"/>
        <v>110444.44444444445</v>
      </c>
      <c r="S204" s="29">
        <f t="shared" si="25"/>
        <v>110444.44444444445</v>
      </c>
      <c r="T204" s="29">
        <f t="shared" si="25"/>
        <v>110444.44444444445</v>
      </c>
      <c r="U204" s="29">
        <f t="shared" si="25"/>
        <v>110444.44444444445</v>
      </c>
      <c r="V204" s="29">
        <f t="shared" si="25"/>
        <v>110444.44444444445</v>
      </c>
      <c r="W204" s="29">
        <f t="shared" si="25"/>
        <v>20268888.888888892</v>
      </c>
      <c r="X204" s="29">
        <f t="shared" si="22"/>
        <v>20268888.888888892</v>
      </c>
      <c r="Y204" s="29">
        <f t="shared" si="22"/>
        <v>20268888.888888892</v>
      </c>
    </row>
    <row r="205" spans="1:25" outlineLevel="1" x14ac:dyDescent="0.3">
      <c r="A205" t="s">
        <v>139</v>
      </c>
      <c r="B205" t="s">
        <v>68</v>
      </c>
      <c r="C205" s="6" t="s">
        <v>144</v>
      </c>
      <c r="D205" t="s">
        <v>49</v>
      </c>
      <c r="E205" s="29">
        <f t="shared" ref="E205:W205" si="26">E8/WinterWeekdays</f>
        <v>0</v>
      </c>
      <c r="F205" s="29">
        <f t="shared" si="26"/>
        <v>31212.253333333338</v>
      </c>
      <c r="G205" s="29">
        <f t="shared" si="26"/>
        <v>0</v>
      </c>
      <c r="H205" s="29">
        <f t="shared" si="26"/>
        <v>1345555.5555555557</v>
      </c>
      <c r="I205" s="29">
        <f t="shared" si="26"/>
        <v>1345555.5555555557</v>
      </c>
      <c r="J205" s="29">
        <f t="shared" si="26"/>
        <v>1345555.5555555557</v>
      </c>
      <c r="K205" s="29">
        <f t="shared" si="26"/>
        <v>210653.16222222225</v>
      </c>
      <c r="L205" s="29">
        <f t="shared" si="26"/>
        <v>211623.86000000002</v>
      </c>
      <c r="M205" s="29">
        <f t="shared" si="26"/>
        <v>0</v>
      </c>
      <c r="N205" s="29">
        <f t="shared" si="26"/>
        <v>1345555.5555555557</v>
      </c>
      <c r="O205" s="29">
        <f t="shared" si="26"/>
        <v>1345555.5555555557</v>
      </c>
      <c r="P205" s="29">
        <f t="shared" si="26"/>
        <v>1345555.5555555557</v>
      </c>
      <c r="Q205" s="29">
        <f t="shared" si="26"/>
        <v>110444.44444444445</v>
      </c>
      <c r="R205" s="29">
        <f t="shared" si="26"/>
        <v>110444.44444444445</v>
      </c>
      <c r="S205" s="29">
        <f t="shared" si="26"/>
        <v>110444.44444444445</v>
      </c>
      <c r="T205" s="29">
        <f t="shared" si="26"/>
        <v>110444.44444444445</v>
      </c>
      <c r="U205" s="29">
        <f t="shared" si="26"/>
        <v>110444.44444444445</v>
      </c>
      <c r="V205" s="29">
        <f t="shared" si="26"/>
        <v>110444.44444444445</v>
      </c>
      <c r="W205" s="29">
        <f t="shared" si="26"/>
        <v>20300000.000000004</v>
      </c>
      <c r="X205" s="29">
        <f t="shared" si="22"/>
        <v>20300000.000000004</v>
      </c>
      <c r="Y205" s="29">
        <f t="shared" si="22"/>
        <v>20300000.000000004</v>
      </c>
    </row>
    <row r="206" spans="1:25" outlineLevel="1" x14ac:dyDescent="0.3">
      <c r="A206" t="s">
        <v>139</v>
      </c>
      <c r="B206" t="s">
        <v>69</v>
      </c>
      <c r="C206" s="6" t="s">
        <v>145</v>
      </c>
      <c r="D206" t="s">
        <v>49</v>
      </c>
      <c r="E206" s="29">
        <f t="shared" ref="E206:W206" si="27">E9/WinterWeekdays</f>
        <v>0</v>
      </c>
      <c r="F206" s="29">
        <f t="shared" si="27"/>
        <v>40111.026666666672</v>
      </c>
      <c r="G206" s="29">
        <f t="shared" si="27"/>
        <v>0</v>
      </c>
      <c r="H206" s="29">
        <f t="shared" si="27"/>
        <v>2314666.666666667</v>
      </c>
      <c r="I206" s="29">
        <f t="shared" si="27"/>
        <v>2314666.666666667</v>
      </c>
      <c r="J206" s="29">
        <f t="shared" si="27"/>
        <v>2314666.666666667</v>
      </c>
      <c r="K206" s="29">
        <f t="shared" si="27"/>
        <v>214983.7977777778</v>
      </c>
      <c r="L206" s="29">
        <f t="shared" si="27"/>
        <v>222586.91777777779</v>
      </c>
      <c r="M206" s="29">
        <f t="shared" si="27"/>
        <v>0</v>
      </c>
      <c r="N206" s="29">
        <f t="shared" si="27"/>
        <v>2314666.666666667</v>
      </c>
      <c r="O206" s="29">
        <f t="shared" si="27"/>
        <v>2314666.666666667</v>
      </c>
      <c r="P206" s="29">
        <f t="shared" si="27"/>
        <v>2314666.666666667</v>
      </c>
      <c r="Q206" s="29">
        <f t="shared" si="27"/>
        <v>110755.55555555558</v>
      </c>
      <c r="R206" s="29">
        <f t="shared" si="27"/>
        <v>110755.55555555558</v>
      </c>
      <c r="S206" s="29">
        <f t="shared" si="27"/>
        <v>110755.55555555558</v>
      </c>
      <c r="T206" s="29">
        <f t="shared" si="27"/>
        <v>110755.55555555558</v>
      </c>
      <c r="U206" s="29">
        <f t="shared" si="27"/>
        <v>110755.55555555558</v>
      </c>
      <c r="V206" s="29">
        <f t="shared" si="27"/>
        <v>110755.55555555558</v>
      </c>
      <c r="W206" s="29">
        <f t="shared" si="27"/>
        <v>20393333.333333336</v>
      </c>
      <c r="X206" s="29">
        <f t="shared" si="22"/>
        <v>20393333.333333336</v>
      </c>
      <c r="Y206" s="29">
        <f t="shared" si="22"/>
        <v>20393333.333333336</v>
      </c>
    </row>
    <row r="207" spans="1:25" outlineLevel="1" x14ac:dyDescent="0.3">
      <c r="A207" t="s">
        <v>139</v>
      </c>
      <c r="B207" t="s">
        <v>70</v>
      </c>
      <c r="C207" s="6" t="s">
        <v>146</v>
      </c>
      <c r="D207" t="s">
        <v>49</v>
      </c>
      <c r="E207" s="29">
        <f t="shared" ref="E207:W207" si="28">E10/WinterWeekdays</f>
        <v>0</v>
      </c>
      <c r="F207" s="29">
        <f t="shared" si="28"/>
        <v>48448.291111111117</v>
      </c>
      <c r="G207" s="29">
        <f t="shared" si="28"/>
        <v>0</v>
      </c>
      <c r="H207" s="29">
        <f t="shared" si="28"/>
        <v>3381777.777777778</v>
      </c>
      <c r="I207" s="29">
        <f t="shared" si="28"/>
        <v>3381777.777777778</v>
      </c>
      <c r="J207" s="29">
        <f t="shared" si="28"/>
        <v>3381777.777777778</v>
      </c>
      <c r="K207" s="29">
        <f t="shared" si="28"/>
        <v>276876.63111111114</v>
      </c>
      <c r="L207" s="29">
        <f t="shared" si="28"/>
        <v>252873.55333333337</v>
      </c>
      <c r="M207" s="29">
        <f t="shared" si="28"/>
        <v>0</v>
      </c>
      <c r="N207" s="29">
        <f t="shared" si="28"/>
        <v>3381777.777777778</v>
      </c>
      <c r="O207" s="29">
        <f t="shared" si="28"/>
        <v>3381777.777777778</v>
      </c>
      <c r="P207" s="29">
        <f t="shared" si="28"/>
        <v>3381777.777777778</v>
      </c>
      <c r="Q207" s="29">
        <f t="shared" si="28"/>
        <v>160377.77777777781</v>
      </c>
      <c r="R207" s="29">
        <f t="shared" si="28"/>
        <v>160377.77777777781</v>
      </c>
      <c r="S207" s="29">
        <f t="shared" si="28"/>
        <v>160377.77777777781</v>
      </c>
      <c r="T207" s="29">
        <f t="shared" si="28"/>
        <v>160377.77777777781</v>
      </c>
      <c r="U207" s="29">
        <f t="shared" si="28"/>
        <v>160377.77777777781</v>
      </c>
      <c r="V207" s="29">
        <f t="shared" si="28"/>
        <v>160377.77777777781</v>
      </c>
      <c r="W207" s="29">
        <f t="shared" si="28"/>
        <v>20517777.77777778</v>
      </c>
      <c r="X207" s="29">
        <f t="shared" si="22"/>
        <v>20517777.77777778</v>
      </c>
      <c r="Y207" s="29">
        <f t="shared" si="22"/>
        <v>20517777.77777778</v>
      </c>
    </row>
    <row r="208" spans="1:25" outlineLevel="1" x14ac:dyDescent="0.3">
      <c r="A208" t="s">
        <v>139</v>
      </c>
      <c r="B208" t="s">
        <v>71</v>
      </c>
      <c r="C208" s="6" t="s">
        <v>147</v>
      </c>
      <c r="D208" t="s">
        <v>49</v>
      </c>
      <c r="E208" s="29">
        <f t="shared" ref="E208:W208" si="29">E11/WinterWeekdays</f>
        <v>0</v>
      </c>
      <c r="F208" s="29">
        <f t="shared" si="29"/>
        <v>55228.600000000006</v>
      </c>
      <c r="G208" s="29">
        <f t="shared" si="29"/>
        <v>0</v>
      </c>
      <c r="H208" s="29">
        <f t="shared" si="29"/>
        <v>1431111.1111111112</v>
      </c>
      <c r="I208" s="29">
        <f t="shared" si="29"/>
        <v>1431111.1111111112</v>
      </c>
      <c r="J208" s="29">
        <f t="shared" si="29"/>
        <v>1431111.1111111112</v>
      </c>
      <c r="K208" s="29">
        <f t="shared" si="29"/>
        <v>691716.68222222233</v>
      </c>
      <c r="L208" s="29">
        <f t="shared" si="29"/>
        <v>309564.6555555556</v>
      </c>
      <c r="M208" s="29">
        <f t="shared" si="29"/>
        <v>0</v>
      </c>
      <c r="N208" s="29">
        <f t="shared" si="29"/>
        <v>1431111.1111111112</v>
      </c>
      <c r="O208" s="29">
        <f t="shared" si="29"/>
        <v>1431111.1111111112</v>
      </c>
      <c r="P208" s="29">
        <f t="shared" si="29"/>
        <v>1431111.1111111112</v>
      </c>
      <c r="Q208" s="29">
        <f t="shared" si="29"/>
        <v>321688.88888888893</v>
      </c>
      <c r="R208" s="29">
        <f t="shared" si="29"/>
        <v>321688.88888888893</v>
      </c>
      <c r="S208" s="29">
        <f t="shared" si="29"/>
        <v>321688.88888888893</v>
      </c>
      <c r="T208" s="29">
        <f t="shared" si="29"/>
        <v>321688.88888888893</v>
      </c>
      <c r="U208" s="29">
        <f t="shared" si="29"/>
        <v>321688.88888888893</v>
      </c>
      <c r="V208" s="29">
        <f t="shared" si="29"/>
        <v>321688.88888888893</v>
      </c>
      <c r="W208" s="29">
        <f t="shared" si="29"/>
        <v>20626666.666666668</v>
      </c>
      <c r="X208" s="29">
        <f t="shared" si="22"/>
        <v>20626666.666666668</v>
      </c>
      <c r="Y208" s="29">
        <f t="shared" si="22"/>
        <v>20626666.666666668</v>
      </c>
    </row>
    <row r="209" spans="1:25" outlineLevel="1" x14ac:dyDescent="0.3">
      <c r="A209" t="s">
        <v>139</v>
      </c>
      <c r="B209" t="s">
        <v>72</v>
      </c>
      <c r="C209" s="6" t="s">
        <v>148</v>
      </c>
      <c r="D209" t="s">
        <v>49</v>
      </c>
      <c r="E209" s="29">
        <f t="shared" ref="E209:W209" si="30">E12/WinterWeekdays</f>
        <v>0</v>
      </c>
      <c r="F209" s="29">
        <f t="shared" si="30"/>
        <v>67459.031111111122</v>
      </c>
      <c r="G209" s="29">
        <f t="shared" si="30"/>
        <v>0</v>
      </c>
      <c r="H209" s="29">
        <f t="shared" si="30"/>
        <v>1028222.2222222224</v>
      </c>
      <c r="I209" s="29">
        <f t="shared" si="30"/>
        <v>1028222.2222222224</v>
      </c>
      <c r="J209" s="29">
        <f t="shared" si="30"/>
        <v>1028222.2222222224</v>
      </c>
      <c r="K209" s="29">
        <f t="shared" si="30"/>
        <v>697364.15777777787</v>
      </c>
      <c r="L209" s="29">
        <f t="shared" si="30"/>
        <v>393258.13333333336</v>
      </c>
      <c r="M209" s="29">
        <f t="shared" si="30"/>
        <v>0</v>
      </c>
      <c r="N209" s="29">
        <f t="shared" si="30"/>
        <v>1028222.2222222224</v>
      </c>
      <c r="O209" s="29">
        <f t="shared" si="30"/>
        <v>1028222.2222222224</v>
      </c>
      <c r="P209" s="29">
        <f t="shared" si="30"/>
        <v>1028222.2222222224</v>
      </c>
      <c r="Q209" s="29">
        <f t="shared" si="30"/>
        <v>325733.33333333337</v>
      </c>
      <c r="R209" s="29">
        <f t="shared" si="30"/>
        <v>325733.33333333337</v>
      </c>
      <c r="S209" s="29">
        <f t="shared" si="30"/>
        <v>325733.33333333337</v>
      </c>
      <c r="T209" s="29">
        <f t="shared" si="30"/>
        <v>325733.33333333337</v>
      </c>
      <c r="U209" s="29">
        <f t="shared" si="30"/>
        <v>325733.33333333337</v>
      </c>
      <c r="V209" s="29">
        <f t="shared" si="30"/>
        <v>325733.33333333337</v>
      </c>
      <c r="W209" s="29">
        <f t="shared" si="30"/>
        <v>20657777.77777778</v>
      </c>
      <c r="X209" s="29">
        <f t="shared" si="22"/>
        <v>20657777.77777778</v>
      </c>
      <c r="Y209" s="29">
        <f t="shared" si="22"/>
        <v>20657777.77777778</v>
      </c>
    </row>
    <row r="210" spans="1:25" outlineLevel="1" x14ac:dyDescent="0.3">
      <c r="A210" t="s">
        <v>139</v>
      </c>
      <c r="B210" t="s">
        <v>73</v>
      </c>
      <c r="C210" s="6" t="s">
        <v>149</v>
      </c>
      <c r="D210" t="s">
        <v>49</v>
      </c>
      <c r="E210" s="29">
        <f t="shared" ref="E210:W210" si="31">E13/WinterWeekdays</f>
        <v>0</v>
      </c>
      <c r="F210" s="29">
        <f t="shared" si="31"/>
        <v>86705.220000000016</v>
      </c>
      <c r="G210" s="29">
        <f t="shared" si="31"/>
        <v>0</v>
      </c>
      <c r="H210" s="29">
        <f t="shared" si="31"/>
        <v>987777.77777777787</v>
      </c>
      <c r="I210" s="29">
        <f t="shared" si="31"/>
        <v>987777.77777777787</v>
      </c>
      <c r="J210" s="29">
        <f t="shared" si="31"/>
        <v>987777.77777777787</v>
      </c>
      <c r="K210" s="29">
        <f t="shared" si="31"/>
        <v>497355.74000000005</v>
      </c>
      <c r="L210" s="29">
        <f t="shared" si="31"/>
        <v>461893.16444444453</v>
      </c>
      <c r="M210" s="29">
        <f t="shared" si="31"/>
        <v>0</v>
      </c>
      <c r="N210" s="29">
        <f t="shared" si="31"/>
        <v>987777.77777777787</v>
      </c>
      <c r="O210" s="29">
        <f t="shared" si="31"/>
        <v>987777.77777777787</v>
      </c>
      <c r="P210" s="29">
        <f t="shared" si="31"/>
        <v>987777.77777777787</v>
      </c>
      <c r="Q210" s="29">
        <f t="shared" si="31"/>
        <v>293222.22222222225</v>
      </c>
      <c r="R210" s="29">
        <f t="shared" si="31"/>
        <v>293222.22222222225</v>
      </c>
      <c r="S210" s="29">
        <f t="shared" si="31"/>
        <v>293222.22222222225</v>
      </c>
      <c r="T210" s="29">
        <f t="shared" si="31"/>
        <v>293222.22222222225</v>
      </c>
      <c r="U210" s="29">
        <f t="shared" si="31"/>
        <v>293222.22222222225</v>
      </c>
      <c r="V210" s="29">
        <f t="shared" si="31"/>
        <v>293222.22222222225</v>
      </c>
      <c r="W210" s="29">
        <f t="shared" si="31"/>
        <v>20626666.666666668</v>
      </c>
      <c r="X210" s="29">
        <f t="shared" si="22"/>
        <v>20626666.666666668</v>
      </c>
      <c r="Y210" s="29">
        <f t="shared" si="22"/>
        <v>20626666.666666668</v>
      </c>
    </row>
    <row r="211" spans="1:25" outlineLevel="1" x14ac:dyDescent="0.3">
      <c r="A211" t="s">
        <v>139</v>
      </c>
      <c r="B211" t="s">
        <v>74</v>
      </c>
      <c r="C211" s="6" t="s">
        <v>150</v>
      </c>
      <c r="D211" t="s">
        <v>49</v>
      </c>
      <c r="E211" s="29">
        <f t="shared" ref="E211:W211" si="32">E14/WinterWeekdays</f>
        <v>0</v>
      </c>
      <c r="F211" s="29">
        <f t="shared" si="32"/>
        <v>121770.86444444447</v>
      </c>
      <c r="G211" s="29">
        <f t="shared" si="32"/>
        <v>0</v>
      </c>
      <c r="H211" s="29">
        <f t="shared" si="32"/>
        <v>1003333.3333333335</v>
      </c>
      <c r="I211" s="29">
        <f t="shared" si="32"/>
        <v>1003333.3333333335</v>
      </c>
      <c r="J211" s="29">
        <f t="shared" si="32"/>
        <v>1003333.3333333335</v>
      </c>
      <c r="K211" s="29">
        <f t="shared" si="32"/>
        <v>409552.8422222223</v>
      </c>
      <c r="L211" s="29">
        <f t="shared" si="32"/>
        <v>519027.64666666673</v>
      </c>
      <c r="M211" s="29">
        <f t="shared" si="32"/>
        <v>0</v>
      </c>
      <c r="N211" s="29">
        <f t="shared" si="32"/>
        <v>1003333.3333333335</v>
      </c>
      <c r="O211" s="29">
        <f t="shared" si="32"/>
        <v>1003333.3333333335</v>
      </c>
      <c r="P211" s="29">
        <f t="shared" si="32"/>
        <v>1003333.3333333335</v>
      </c>
      <c r="Q211" s="29">
        <f t="shared" si="32"/>
        <v>242200.00000000003</v>
      </c>
      <c r="R211" s="29">
        <f t="shared" si="32"/>
        <v>242200.00000000003</v>
      </c>
      <c r="S211" s="29">
        <f t="shared" si="32"/>
        <v>242200.00000000003</v>
      </c>
      <c r="T211" s="29">
        <f t="shared" si="32"/>
        <v>242200.00000000003</v>
      </c>
      <c r="U211" s="29">
        <f t="shared" si="32"/>
        <v>242200.00000000003</v>
      </c>
      <c r="V211" s="29">
        <f t="shared" si="32"/>
        <v>242200.00000000003</v>
      </c>
      <c r="W211" s="29">
        <f t="shared" si="32"/>
        <v>20595555.55555556</v>
      </c>
      <c r="X211" s="29">
        <f t="shared" si="22"/>
        <v>20595555.55555556</v>
      </c>
      <c r="Y211" s="29">
        <f t="shared" si="22"/>
        <v>20595555.55555556</v>
      </c>
    </row>
    <row r="212" spans="1:25" outlineLevel="1" x14ac:dyDescent="0.3">
      <c r="A212" t="s">
        <v>139</v>
      </c>
      <c r="B212" t="s">
        <v>75</v>
      </c>
      <c r="C212" s="6" t="s">
        <v>151</v>
      </c>
      <c r="D212" t="s">
        <v>49</v>
      </c>
      <c r="E212" s="29">
        <f t="shared" ref="E212:W212" si="33">E15/WinterWeekdays</f>
        <v>0</v>
      </c>
      <c r="F212" s="29">
        <f t="shared" si="33"/>
        <v>183767.8577777778</v>
      </c>
      <c r="G212" s="29">
        <f t="shared" si="33"/>
        <v>0</v>
      </c>
      <c r="H212" s="29">
        <f t="shared" si="33"/>
        <v>1101333.3333333335</v>
      </c>
      <c r="I212" s="29">
        <f t="shared" si="33"/>
        <v>1101333.3333333335</v>
      </c>
      <c r="J212" s="29">
        <f t="shared" si="33"/>
        <v>1101333.3333333335</v>
      </c>
      <c r="K212" s="29">
        <f t="shared" si="33"/>
        <v>356741.21777777781</v>
      </c>
      <c r="L212" s="29">
        <f t="shared" si="33"/>
        <v>565017.0711111112</v>
      </c>
      <c r="M212" s="29">
        <f t="shared" si="33"/>
        <v>0</v>
      </c>
      <c r="N212" s="29">
        <f t="shared" si="33"/>
        <v>1101333.3333333335</v>
      </c>
      <c r="O212" s="29">
        <f t="shared" si="33"/>
        <v>1101333.3333333335</v>
      </c>
      <c r="P212" s="29">
        <f t="shared" si="33"/>
        <v>1101333.3333333335</v>
      </c>
      <c r="Q212" s="29">
        <f t="shared" si="33"/>
        <v>242355.55555555559</v>
      </c>
      <c r="R212" s="29">
        <f t="shared" si="33"/>
        <v>242355.55555555559</v>
      </c>
      <c r="S212" s="29">
        <f t="shared" si="33"/>
        <v>242355.55555555559</v>
      </c>
      <c r="T212" s="29">
        <f t="shared" si="33"/>
        <v>242355.55555555559</v>
      </c>
      <c r="U212" s="29">
        <f t="shared" si="33"/>
        <v>242355.55555555559</v>
      </c>
      <c r="V212" s="29">
        <f t="shared" si="33"/>
        <v>242355.55555555559</v>
      </c>
      <c r="W212" s="29">
        <f t="shared" si="33"/>
        <v>20533333.333333336</v>
      </c>
      <c r="X212" s="29">
        <f t="shared" si="22"/>
        <v>20533333.333333336</v>
      </c>
      <c r="Y212" s="29">
        <f t="shared" si="22"/>
        <v>20533333.333333336</v>
      </c>
    </row>
    <row r="213" spans="1:25" outlineLevel="1" x14ac:dyDescent="0.3">
      <c r="A213" t="s">
        <v>139</v>
      </c>
      <c r="B213" t="s">
        <v>76</v>
      </c>
      <c r="C213" s="6" t="s">
        <v>152</v>
      </c>
      <c r="D213" t="s">
        <v>49</v>
      </c>
      <c r="E213" s="29">
        <f t="shared" ref="E213:W213" si="34">E16/WinterWeekdays</f>
        <v>0</v>
      </c>
      <c r="F213" s="29">
        <f t="shared" si="34"/>
        <v>244542.62000000002</v>
      </c>
      <c r="G213" s="29">
        <f t="shared" si="34"/>
        <v>0</v>
      </c>
      <c r="H213" s="29">
        <f t="shared" si="34"/>
        <v>1160444.4444444445</v>
      </c>
      <c r="I213" s="29">
        <f t="shared" si="34"/>
        <v>1160444.4444444445</v>
      </c>
      <c r="J213" s="29">
        <f t="shared" si="34"/>
        <v>1160444.4444444445</v>
      </c>
      <c r="K213" s="29">
        <f t="shared" si="34"/>
        <v>312926.28888888896</v>
      </c>
      <c r="L213" s="29">
        <f t="shared" si="34"/>
        <v>585142.16444444447</v>
      </c>
      <c r="M213" s="29">
        <f t="shared" si="34"/>
        <v>0</v>
      </c>
      <c r="N213" s="29">
        <f t="shared" si="34"/>
        <v>1160444.4444444445</v>
      </c>
      <c r="O213" s="29">
        <f t="shared" si="34"/>
        <v>1160444.4444444445</v>
      </c>
      <c r="P213" s="29">
        <f t="shared" si="34"/>
        <v>1160444.4444444445</v>
      </c>
      <c r="Q213" s="29">
        <f t="shared" si="34"/>
        <v>242977.77777777781</v>
      </c>
      <c r="R213" s="29">
        <f t="shared" si="34"/>
        <v>242977.77777777781</v>
      </c>
      <c r="S213" s="29">
        <f t="shared" si="34"/>
        <v>242977.77777777781</v>
      </c>
      <c r="T213" s="29">
        <f t="shared" si="34"/>
        <v>242977.77777777781</v>
      </c>
      <c r="U213" s="29">
        <f t="shared" si="34"/>
        <v>242977.77777777781</v>
      </c>
      <c r="V213" s="29">
        <f t="shared" si="34"/>
        <v>242977.77777777781</v>
      </c>
      <c r="W213" s="29">
        <f t="shared" si="34"/>
        <v>20517777.77777778</v>
      </c>
      <c r="X213" s="29">
        <f t="shared" si="22"/>
        <v>20517777.77777778</v>
      </c>
      <c r="Y213" s="29">
        <f t="shared" si="22"/>
        <v>20517777.77777778</v>
      </c>
    </row>
    <row r="214" spans="1:25" outlineLevel="1" x14ac:dyDescent="0.3">
      <c r="A214" t="s">
        <v>139</v>
      </c>
      <c r="B214" t="s">
        <v>77</v>
      </c>
      <c r="C214" s="6" t="s">
        <v>153</v>
      </c>
      <c r="D214" t="s">
        <v>49</v>
      </c>
      <c r="E214" s="29">
        <f t="shared" ref="E214:W214" si="35">E17/WinterWeekdays</f>
        <v>0</v>
      </c>
      <c r="F214" s="29">
        <f t="shared" si="35"/>
        <v>282083.41777777782</v>
      </c>
      <c r="G214" s="29">
        <f t="shared" si="35"/>
        <v>0</v>
      </c>
      <c r="H214" s="29">
        <f t="shared" si="35"/>
        <v>1176000.0000000002</v>
      </c>
      <c r="I214" s="29">
        <f t="shared" si="35"/>
        <v>1176000.0000000002</v>
      </c>
      <c r="J214" s="29">
        <f t="shared" si="35"/>
        <v>1176000.0000000002</v>
      </c>
      <c r="K214" s="29">
        <f t="shared" si="35"/>
        <v>292763.87777777779</v>
      </c>
      <c r="L214" s="29">
        <f t="shared" si="35"/>
        <v>617840.48666666669</v>
      </c>
      <c r="M214" s="29">
        <f t="shared" si="35"/>
        <v>0</v>
      </c>
      <c r="N214" s="29">
        <f t="shared" si="35"/>
        <v>1176000.0000000002</v>
      </c>
      <c r="O214" s="29">
        <f t="shared" si="35"/>
        <v>1176000.0000000002</v>
      </c>
      <c r="P214" s="29">
        <f t="shared" si="35"/>
        <v>1176000.0000000002</v>
      </c>
      <c r="Q214" s="29">
        <f t="shared" si="35"/>
        <v>242822.22222222225</v>
      </c>
      <c r="R214" s="29">
        <f t="shared" si="35"/>
        <v>242822.22222222225</v>
      </c>
      <c r="S214" s="29">
        <f t="shared" si="35"/>
        <v>242822.22222222225</v>
      </c>
      <c r="T214" s="29">
        <f t="shared" si="35"/>
        <v>242822.22222222225</v>
      </c>
      <c r="U214" s="29">
        <f t="shared" si="35"/>
        <v>242822.22222222225</v>
      </c>
      <c r="V214" s="29">
        <f t="shared" si="35"/>
        <v>242822.22222222225</v>
      </c>
      <c r="W214" s="29">
        <f t="shared" si="35"/>
        <v>20517777.77777778</v>
      </c>
      <c r="X214" s="29">
        <f t="shared" si="22"/>
        <v>20517777.77777778</v>
      </c>
      <c r="Y214" s="29">
        <f t="shared" si="22"/>
        <v>20517777.77777778</v>
      </c>
    </row>
    <row r="215" spans="1:25" outlineLevel="1" x14ac:dyDescent="0.3">
      <c r="A215" t="s">
        <v>139</v>
      </c>
      <c r="B215" t="s">
        <v>78</v>
      </c>
      <c r="C215" s="6" t="s">
        <v>154</v>
      </c>
      <c r="D215" t="s">
        <v>49</v>
      </c>
      <c r="E215" s="29">
        <f t="shared" ref="E215:W215" si="36">E18/WinterWeekdays</f>
        <v>0</v>
      </c>
      <c r="F215" s="29">
        <f t="shared" si="36"/>
        <v>305241.62666666671</v>
      </c>
      <c r="G215" s="29">
        <f t="shared" si="36"/>
        <v>0</v>
      </c>
      <c r="H215" s="29">
        <f t="shared" si="36"/>
        <v>1207111.1111111112</v>
      </c>
      <c r="I215" s="29">
        <f t="shared" si="36"/>
        <v>1207111.1111111112</v>
      </c>
      <c r="J215" s="29">
        <f t="shared" si="36"/>
        <v>1207111.1111111112</v>
      </c>
      <c r="K215" s="29">
        <f t="shared" si="36"/>
        <v>274394.46222222224</v>
      </c>
      <c r="L215" s="29">
        <f t="shared" si="36"/>
        <v>633844.15111111116</v>
      </c>
      <c r="M215" s="29">
        <f t="shared" si="36"/>
        <v>0</v>
      </c>
      <c r="N215" s="29">
        <f t="shared" si="36"/>
        <v>1207111.1111111112</v>
      </c>
      <c r="O215" s="29">
        <f t="shared" si="36"/>
        <v>1207111.1111111112</v>
      </c>
      <c r="P215" s="29">
        <f t="shared" si="36"/>
        <v>1207111.1111111112</v>
      </c>
      <c r="Q215" s="29">
        <f t="shared" si="36"/>
        <v>242355.55555555559</v>
      </c>
      <c r="R215" s="29">
        <f t="shared" si="36"/>
        <v>242355.55555555559</v>
      </c>
      <c r="S215" s="29">
        <f t="shared" si="36"/>
        <v>242355.55555555559</v>
      </c>
      <c r="T215" s="29">
        <f t="shared" si="36"/>
        <v>242355.55555555559</v>
      </c>
      <c r="U215" s="29">
        <f t="shared" si="36"/>
        <v>242355.55555555559</v>
      </c>
      <c r="V215" s="29">
        <f t="shared" si="36"/>
        <v>242355.55555555559</v>
      </c>
      <c r="W215" s="29">
        <f t="shared" si="36"/>
        <v>20533333.333333336</v>
      </c>
      <c r="X215" s="29">
        <f t="shared" si="22"/>
        <v>20533333.333333336</v>
      </c>
      <c r="Y215" s="29">
        <f t="shared" si="22"/>
        <v>20533333.333333336</v>
      </c>
    </row>
    <row r="216" spans="1:25" outlineLevel="1" x14ac:dyDescent="0.3">
      <c r="A216" t="s">
        <v>139</v>
      </c>
      <c r="B216" t="s">
        <v>79</v>
      </c>
      <c r="C216" s="6" t="s">
        <v>155</v>
      </c>
      <c r="D216" t="s">
        <v>49</v>
      </c>
      <c r="E216" s="29">
        <f t="shared" ref="E216:W216" si="37">E19/WinterWeekdays</f>
        <v>0</v>
      </c>
      <c r="F216" s="29">
        <f t="shared" si="37"/>
        <v>321725.58444444451</v>
      </c>
      <c r="G216" s="29">
        <f t="shared" si="37"/>
        <v>0</v>
      </c>
      <c r="H216" s="29">
        <f t="shared" si="37"/>
        <v>1305111.1111111112</v>
      </c>
      <c r="I216" s="29">
        <f t="shared" si="37"/>
        <v>1305111.1111111112</v>
      </c>
      <c r="J216" s="29">
        <f t="shared" si="37"/>
        <v>1305111.1111111112</v>
      </c>
      <c r="K216" s="29">
        <f t="shared" si="37"/>
        <v>264275.58888888895</v>
      </c>
      <c r="L216" s="29">
        <f t="shared" si="37"/>
        <v>627375.21777777781</v>
      </c>
      <c r="M216" s="29">
        <f t="shared" si="37"/>
        <v>0</v>
      </c>
      <c r="N216" s="29">
        <f t="shared" si="37"/>
        <v>1305111.1111111112</v>
      </c>
      <c r="O216" s="29">
        <f t="shared" si="37"/>
        <v>1305111.1111111112</v>
      </c>
      <c r="P216" s="29">
        <f t="shared" si="37"/>
        <v>1305111.1111111112</v>
      </c>
      <c r="Q216" s="29">
        <f t="shared" si="37"/>
        <v>291511.11111111112</v>
      </c>
      <c r="R216" s="29">
        <f t="shared" si="37"/>
        <v>291511.11111111112</v>
      </c>
      <c r="S216" s="29">
        <f t="shared" si="37"/>
        <v>291511.11111111112</v>
      </c>
      <c r="T216" s="29">
        <f t="shared" si="37"/>
        <v>291511.11111111112</v>
      </c>
      <c r="U216" s="29">
        <f t="shared" si="37"/>
        <v>291511.11111111112</v>
      </c>
      <c r="V216" s="29">
        <f t="shared" si="37"/>
        <v>291511.11111111112</v>
      </c>
      <c r="W216" s="29">
        <f t="shared" si="37"/>
        <v>20626666.666666668</v>
      </c>
      <c r="X216" s="29">
        <f t="shared" si="22"/>
        <v>20626666.666666668</v>
      </c>
      <c r="Y216" s="29">
        <f t="shared" si="22"/>
        <v>20626666.666666668</v>
      </c>
    </row>
    <row r="217" spans="1:25" outlineLevel="1" x14ac:dyDescent="0.3">
      <c r="A217" t="s">
        <v>139</v>
      </c>
      <c r="B217" t="s">
        <v>80</v>
      </c>
      <c r="C217" s="6" t="s">
        <v>156</v>
      </c>
      <c r="D217" t="s">
        <v>49</v>
      </c>
      <c r="E217" s="29">
        <f t="shared" ref="E217:W217" si="38">E20/WinterWeekdays</f>
        <v>0</v>
      </c>
      <c r="F217" s="29">
        <f t="shared" si="38"/>
        <v>314144.69333333336</v>
      </c>
      <c r="G217" s="29">
        <f t="shared" si="38"/>
        <v>0</v>
      </c>
      <c r="H217" s="29">
        <f t="shared" si="38"/>
        <v>1939777.777777778</v>
      </c>
      <c r="I217" s="29">
        <f t="shared" si="38"/>
        <v>1939777.777777778</v>
      </c>
      <c r="J217" s="29">
        <f t="shared" si="38"/>
        <v>1939777.777777778</v>
      </c>
      <c r="K217" s="29">
        <f t="shared" si="38"/>
        <v>260517.9577777778</v>
      </c>
      <c r="L217" s="29">
        <f t="shared" si="38"/>
        <v>595700.9022222223</v>
      </c>
      <c r="M217" s="29">
        <f t="shared" si="38"/>
        <v>0</v>
      </c>
      <c r="N217" s="29">
        <f t="shared" si="38"/>
        <v>1939777.777777778</v>
      </c>
      <c r="O217" s="29">
        <f t="shared" si="38"/>
        <v>1939777.777777778</v>
      </c>
      <c r="P217" s="29">
        <f t="shared" si="38"/>
        <v>1939777.777777778</v>
      </c>
      <c r="Q217" s="29">
        <f t="shared" si="38"/>
        <v>324800.00000000006</v>
      </c>
      <c r="R217" s="29">
        <f t="shared" si="38"/>
        <v>324800.00000000006</v>
      </c>
      <c r="S217" s="29">
        <f t="shared" si="38"/>
        <v>324800.00000000006</v>
      </c>
      <c r="T217" s="29">
        <f t="shared" si="38"/>
        <v>324800.00000000006</v>
      </c>
      <c r="U217" s="29">
        <f t="shared" si="38"/>
        <v>324800.00000000006</v>
      </c>
      <c r="V217" s="29">
        <f t="shared" si="38"/>
        <v>324800.00000000006</v>
      </c>
      <c r="W217" s="29">
        <f t="shared" si="38"/>
        <v>20735555.55555556</v>
      </c>
      <c r="X217" s="29">
        <f t="shared" si="22"/>
        <v>20735555.55555556</v>
      </c>
      <c r="Y217" s="29">
        <f t="shared" si="22"/>
        <v>20735555.55555556</v>
      </c>
    </row>
    <row r="218" spans="1:25" outlineLevel="1" x14ac:dyDescent="0.3">
      <c r="A218" t="s">
        <v>139</v>
      </c>
      <c r="B218" t="s">
        <v>81</v>
      </c>
      <c r="C218" s="6" t="s">
        <v>157</v>
      </c>
      <c r="D218" t="s">
        <v>49</v>
      </c>
      <c r="E218" s="29">
        <f t="shared" ref="E218:W218" si="39">E21/WinterWeekdays</f>
        <v>0</v>
      </c>
      <c r="F218" s="29">
        <f t="shared" si="39"/>
        <v>280881.48666666669</v>
      </c>
      <c r="G218" s="29">
        <f t="shared" si="39"/>
        <v>0</v>
      </c>
      <c r="H218" s="29">
        <f t="shared" si="39"/>
        <v>5175333.333333334</v>
      </c>
      <c r="I218" s="29">
        <f t="shared" si="39"/>
        <v>5175333.333333334</v>
      </c>
      <c r="J218" s="29">
        <f t="shared" si="39"/>
        <v>5175333.333333334</v>
      </c>
      <c r="K218" s="29">
        <f t="shared" si="39"/>
        <v>266762.64222222223</v>
      </c>
      <c r="L218" s="29">
        <f t="shared" si="39"/>
        <v>541816.95555555564</v>
      </c>
      <c r="M218" s="29">
        <f t="shared" si="39"/>
        <v>0</v>
      </c>
      <c r="N218" s="29">
        <f t="shared" si="39"/>
        <v>5175333.333333334</v>
      </c>
      <c r="O218" s="29">
        <f t="shared" si="39"/>
        <v>5175333.333333334</v>
      </c>
      <c r="P218" s="29">
        <f t="shared" si="39"/>
        <v>5175333.333333334</v>
      </c>
      <c r="Q218" s="29">
        <f t="shared" si="39"/>
        <v>327444.4444444445</v>
      </c>
      <c r="R218" s="29">
        <f t="shared" si="39"/>
        <v>327444.4444444445</v>
      </c>
      <c r="S218" s="29">
        <f t="shared" si="39"/>
        <v>327444.4444444445</v>
      </c>
      <c r="T218" s="29">
        <f t="shared" si="39"/>
        <v>327444.4444444445</v>
      </c>
      <c r="U218" s="29">
        <f t="shared" si="39"/>
        <v>327444.4444444445</v>
      </c>
      <c r="V218" s="29">
        <f t="shared" si="39"/>
        <v>327444.4444444445</v>
      </c>
      <c r="W218" s="29">
        <f t="shared" si="39"/>
        <v>20751111.111111112</v>
      </c>
      <c r="X218" s="29">
        <f t="shared" si="22"/>
        <v>20751111.111111112</v>
      </c>
      <c r="Y218" s="29">
        <f t="shared" si="22"/>
        <v>20751111.111111112</v>
      </c>
    </row>
    <row r="219" spans="1:25" outlineLevel="1" x14ac:dyDescent="0.3">
      <c r="A219" t="s">
        <v>139</v>
      </c>
      <c r="B219" t="s">
        <v>82</v>
      </c>
      <c r="C219" s="6" t="s">
        <v>158</v>
      </c>
      <c r="D219" t="s">
        <v>49</v>
      </c>
      <c r="E219" s="29">
        <f t="shared" ref="E219:W219" si="40">E22/WinterWeekdays</f>
        <v>0</v>
      </c>
      <c r="F219" s="29">
        <f t="shared" si="40"/>
        <v>231080.42222222226</v>
      </c>
      <c r="G219" s="29">
        <f t="shared" si="40"/>
        <v>0</v>
      </c>
      <c r="H219" s="29">
        <f t="shared" si="40"/>
        <v>5666888.8888888899</v>
      </c>
      <c r="I219" s="29">
        <f t="shared" si="40"/>
        <v>5666888.8888888899</v>
      </c>
      <c r="J219" s="29">
        <f t="shared" si="40"/>
        <v>5666888.8888888899</v>
      </c>
      <c r="K219" s="29">
        <f t="shared" si="40"/>
        <v>312208.57111111115</v>
      </c>
      <c r="L219" s="29">
        <f t="shared" si="40"/>
        <v>485124.00222222228</v>
      </c>
      <c r="M219" s="29">
        <f t="shared" si="40"/>
        <v>0</v>
      </c>
      <c r="N219" s="29">
        <f t="shared" si="40"/>
        <v>5666888.8888888899</v>
      </c>
      <c r="O219" s="29">
        <f t="shared" si="40"/>
        <v>5666888.8888888899</v>
      </c>
      <c r="P219" s="29">
        <f t="shared" si="40"/>
        <v>5666888.8888888899</v>
      </c>
      <c r="Q219" s="29">
        <f t="shared" si="40"/>
        <v>296644.4444444445</v>
      </c>
      <c r="R219" s="29">
        <f t="shared" si="40"/>
        <v>296644.4444444445</v>
      </c>
      <c r="S219" s="29">
        <f t="shared" si="40"/>
        <v>296644.4444444445</v>
      </c>
      <c r="T219" s="29">
        <f t="shared" si="40"/>
        <v>296644.4444444445</v>
      </c>
      <c r="U219" s="29">
        <f t="shared" si="40"/>
        <v>296644.4444444445</v>
      </c>
      <c r="V219" s="29">
        <f t="shared" si="40"/>
        <v>296644.4444444445</v>
      </c>
      <c r="W219" s="29">
        <f t="shared" si="40"/>
        <v>20704444.444444448</v>
      </c>
      <c r="X219" s="29">
        <f t="shared" si="22"/>
        <v>20704444.444444448</v>
      </c>
      <c r="Y219" s="29">
        <f t="shared" si="22"/>
        <v>20704444.444444448</v>
      </c>
    </row>
    <row r="220" spans="1:25" outlineLevel="1" x14ac:dyDescent="0.3">
      <c r="A220" t="s">
        <v>139</v>
      </c>
      <c r="B220" t="s">
        <v>83</v>
      </c>
      <c r="C220" s="6" t="s">
        <v>159</v>
      </c>
      <c r="D220" t="s">
        <v>49</v>
      </c>
      <c r="E220" s="29">
        <f t="shared" ref="E220:W220" si="41">E23/WinterWeekdays</f>
        <v>0</v>
      </c>
      <c r="F220" s="29">
        <f t="shared" si="41"/>
        <v>179097.56666666668</v>
      </c>
      <c r="G220" s="29">
        <f t="shared" si="41"/>
        <v>0</v>
      </c>
      <c r="H220" s="29">
        <f t="shared" si="41"/>
        <v>6099333.333333334</v>
      </c>
      <c r="I220" s="29">
        <f t="shared" si="41"/>
        <v>6099333.333333334</v>
      </c>
      <c r="J220" s="29">
        <f t="shared" si="41"/>
        <v>6099333.333333334</v>
      </c>
      <c r="K220" s="29">
        <f t="shared" si="41"/>
        <v>354710.78222222225</v>
      </c>
      <c r="L220" s="29">
        <f t="shared" si="41"/>
        <v>426522.80222222226</v>
      </c>
      <c r="M220" s="29">
        <f t="shared" si="41"/>
        <v>0</v>
      </c>
      <c r="N220" s="29">
        <f t="shared" si="41"/>
        <v>6099333.333333334</v>
      </c>
      <c r="O220" s="29">
        <f t="shared" si="41"/>
        <v>6099333.333333334</v>
      </c>
      <c r="P220" s="29">
        <f t="shared" si="41"/>
        <v>6099333.333333334</v>
      </c>
      <c r="Q220" s="29">
        <f t="shared" si="41"/>
        <v>245466.66666666669</v>
      </c>
      <c r="R220" s="29">
        <f t="shared" si="41"/>
        <v>245466.66666666669</v>
      </c>
      <c r="S220" s="29">
        <f t="shared" si="41"/>
        <v>245466.66666666669</v>
      </c>
      <c r="T220" s="29">
        <f t="shared" si="41"/>
        <v>245466.66666666669</v>
      </c>
      <c r="U220" s="29">
        <f t="shared" si="41"/>
        <v>245466.66666666669</v>
      </c>
      <c r="V220" s="29">
        <f t="shared" si="41"/>
        <v>245466.66666666669</v>
      </c>
      <c r="W220" s="29">
        <f t="shared" si="41"/>
        <v>20626666.666666668</v>
      </c>
      <c r="X220" s="29">
        <f t="shared" si="22"/>
        <v>20626666.666666668</v>
      </c>
      <c r="Y220" s="29">
        <f t="shared" si="22"/>
        <v>20626666.666666668</v>
      </c>
    </row>
    <row r="221" spans="1:25" outlineLevel="1" x14ac:dyDescent="0.3">
      <c r="A221" t="s">
        <v>139</v>
      </c>
      <c r="B221" t="s">
        <v>84</v>
      </c>
      <c r="C221" s="6" t="s">
        <v>160</v>
      </c>
      <c r="D221" t="s">
        <v>49</v>
      </c>
      <c r="E221" s="29">
        <f t="shared" ref="E221:W221" si="42">E24/WinterWeekdays</f>
        <v>0</v>
      </c>
      <c r="F221" s="29">
        <f t="shared" si="42"/>
        <v>130386.69777777779</v>
      </c>
      <c r="G221" s="29">
        <f t="shared" si="42"/>
        <v>0</v>
      </c>
      <c r="H221" s="29">
        <f t="shared" si="42"/>
        <v>6198888.8888888899</v>
      </c>
      <c r="I221" s="29">
        <f t="shared" si="42"/>
        <v>6198888.8888888899</v>
      </c>
      <c r="J221" s="29">
        <f t="shared" si="42"/>
        <v>6198888.8888888899</v>
      </c>
      <c r="K221" s="29">
        <f t="shared" si="42"/>
        <v>381219.16000000003</v>
      </c>
      <c r="L221" s="29">
        <f t="shared" si="42"/>
        <v>379796.62000000005</v>
      </c>
      <c r="M221" s="29">
        <f t="shared" si="42"/>
        <v>0</v>
      </c>
      <c r="N221" s="29">
        <f t="shared" si="42"/>
        <v>6198888.8888888899</v>
      </c>
      <c r="O221" s="29">
        <f t="shared" si="42"/>
        <v>6198888.8888888899</v>
      </c>
      <c r="P221" s="29">
        <f t="shared" si="42"/>
        <v>6198888.8888888899</v>
      </c>
      <c r="Q221" s="29">
        <f t="shared" si="42"/>
        <v>242200.00000000003</v>
      </c>
      <c r="R221" s="29">
        <f t="shared" si="42"/>
        <v>242200.00000000003</v>
      </c>
      <c r="S221" s="29">
        <f t="shared" si="42"/>
        <v>242200.00000000003</v>
      </c>
      <c r="T221" s="29">
        <f t="shared" si="42"/>
        <v>242200.00000000003</v>
      </c>
      <c r="U221" s="29">
        <f t="shared" si="42"/>
        <v>242200.00000000003</v>
      </c>
      <c r="V221" s="29">
        <f t="shared" si="42"/>
        <v>242200.00000000003</v>
      </c>
      <c r="W221" s="29">
        <f t="shared" si="42"/>
        <v>20548888.888888892</v>
      </c>
      <c r="X221" s="29">
        <f t="shared" si="22"/>
        <v>20548888.888888892</v>
      </c>
      <c r="Y221" s="29">
        <f t="shared" si="22"/>
        <v>20548888.888888892</v>
      </c>
    </row>
    <row r="222" spans="1:25" outlineLevel="1" x14ac:dyDescent="0.3">
      <c r="A222" t="s">
        <v>139</v>
      </c>
      <c r="B222" t="s">
        <v>85</v>
      </c>
      <c r="C222" s="6" t="s">
        <v>161</v>
      </c>
      <c r="D222" t="s">
        <v>49</v>
      </c>
      <c r="E222" s="29">
        <f t="shared" ref="E222:W222" si="43">E25/WinterWeekdays</f>
        <v>0</v>
      </c>
      <c r="F222" s="29">
        <f t="shared" si="43"/>
        <v>91741.782222222231</v>
      </c>
      <c r="G222" s="29">
        <f t="shared" si="43"/>
        <v>0</v>
      </c>
      <c r="H222" s="29">
        <f t="shared" si="43"/>
        <v>5071111.1111111119</v>
      </c>
      <c r="I222" s="29">
        <f t="shared" si="43"/>
        <v>5071111.1111111119</v>
      </c>
      <c r="J222" s="29">
        <f t="shared" si="43"/>
        <v>5071111.1111111119</v>
      </c>
      <c r="K222" s="29">
        <f t="shared" si="43"/>
        <v>412485.6866666667</v>
      </c>
      <c r="L222" s="29">
        <f t="shared" si="43"/>
        <v>341006.91333333339</v>
      </c>
      <c r="M222" s="29">
        <f t="shared" si="43"/>
        <v>0</v>
      </c>
      <c r="N222" s="29">
        <f t="shared" si="43"/>
        <v>5071111.1111111119</v>
      </c>
      <c r="O222" s="29">
        <f t="shared" si="43"/>
        <v>5071111.1111111119</v>
      </c>
      <c r="P222" s="29">
        <f t="shared" si="43"/>
        <v>5071111.1111111119</v>
      </c>
      <c r="Q222" s="29">
        <f t="shared" si="43"/>
        <v>240177.77777777781</v>
      </c>
      <c r="R222" s="29">
        <f t="shared" si="43"/>
        <v>240177.77777777781</v>
      </c>
      <c r="S222" s="29">
        <f t="shared" si="43"/>
        <v>240177.77777777781</v>
      </c>
      <c r="T222" s="29">
        <f t="shared" si="43"/>
        <v>240177.77777777781</v>
      </c>
      <c r="U222" s="29">
        <f t="shared" si="43"/>
        <v>240177.77777777781</v>
      </c>
      <c r="V222" s="29">
        <f t="shared" si="43"/>
        <v>240177.77777777781</v>
      </c>
      <c r="W222" s="29">
        <f t="shared" si="43"/>
        <v>20455555.55555556</v>
      </c>
      <c r="X222" s="29">
        <f t="shared" si="22"/>
        <v>20455555.55555556</v>
      </c>
      <c r="Y222" s="29">
        <f t="shared" si="22"/>
        <v>20455555.55555556</v>
      </c>
    </row>
    <row r="223" spans="1:25" outlineLevel="1" x14ac:dyDescent="0.3">
      <c r="A223" t="s">
        <v>139</v>
      </c>
      <c r="B223" t="s">
        <v>86</v>
      </c>
      <c r="C223" s="6" t="s">
        <v>162</v>
      </c>
      <c r="D223" t="s">
        <v>49</v>
      </c>
      <c r="E223" s="29">
        <f t="shared" ref="E223:W223" si="44">E26/WinterWeekdays</f>
        <v>0</v>
      </c>
      <c r="F223" s="29">
        <f t="shared" si="44"/>
        <v>62960.100000000006</v>
      </c>
      <c r="G223" s="29">
        <f t="shared" si="44"/>
        <v>0</v>
      </c>
      <c r="H223" s="29">
        <f t="shared" si="44"/>
        <v>3013111.1111111115</v>
      </c>
      <c r="I223" s="29">
        <f t="shared" si="44"/>
        <v>3013111.1111111115</v>
      </c>
      <c r="J223" s="29">
        <f t="shared" si="44"/>
        <v>3013111.1111111115</v>
      </c>
      <c r="K223" s="29">
        <f t="shared" si="44"/>
        <v>410080.22222222225</v>
      </c>
      <c r="L223" s="29">
        <f t="shared" si="44"/>
        <v>304523.89333333337</v>
      </c>
      <c r="M223" s="29">
        <f t="shared" si="44"/>
        <v>0</v>
      </c>
      <c r="N223" s="29">
        <f t="shared" si="44"/>
        <v>3013111.1111111115</v>
      </c>
      <c r="O223" s="29">
        <f t="shared" si="44"/>
        <v>3013111.1111111115</v>
      </c>
      <c r="P223" s="29">
        <f t="shared" si="44"/>
        <v>3013111.1111111115</v>
      </c>
      <c r="Q223" s="29">
        <f t="shared" si="44"/>
        <v>238311.11111111115</v>
      </c>
      <c r="R223" s="29">
        <f t="shared" si="44"/>
        <v>238311.11111111115</v>
      </c>
      <c r="S223" s="29">
        <f t="shared" si="44"/>
        <v>238311.11111111115</v>
      </c>
      <c r="T223" s="29">
        <f t="shared" si="44"/>
        <v>238311.11111111115</v>
      </c>
      <c r="U223" s="29">
        <f t="shared" si="44"/>
        <v>238311.11111111115</v>
      </c>
      <c r="V223" s="29">
        <f t="shared" si="44"/>
        <v>238311.11111111115</v>
      </c>
      <c r="W223" s="29">
        <f t="shared" si="44"/>
        <v>20362222.222222224</v>
      </c>
      <c r="X223" s="29">
        <f t="shared" si="22"/>
        <v>20362222.222222224</v>
      </c>
      <c r="Y223" s="29">
        <f t="shared" si="22"/>
        <v>20362222.222222224</v>
      </c>
    </row>
    <row r="224" spans="1:25" outlineLevel="1" x14ac:dyDescent="0.3">
      <c r="A224" t="s">
        <v>139</v>
      </c>
      <c r="B224" t="s">
        <v>87</v>
      </c>
      <c r="C224" s="6" t="s">
        <v>163</v>
      </c>
      <c r="D224" t="s">
        <v>49</v>
      </c>
      <c r="E224" s="29">
        <f t="shared" ref="E224:W224" si="45">E27/WinterWeekdays</f>
        <v>0</v>
      </c>
      <c r="F224" s="29">
        <f t="shared" si="45"/>
        <v>43753.375555555562</v>
      </c>
      <c r="G224" s="29">
        <f t="shared" si="45"/>
        <v>0</v>
      </c>
      <c r="H224" s="29">
        <f t="shared" si="45"/>
        <v>1583555.5555555557</v>
      </c>
      <c r="I224" s="29">
        <f t="shared" si="45"/>
        <v>1583555.5555555557</v>
      </c>
      <c r="J224" s="29">
        <f t="shared" si="45"/>
        <v>1583555.5555555557</v>
      </c>
      <c r="K224" s="29">
        <f t="shared" si="45"/>
        <v>205419.2466666667</v>
      </c>
      <c r="L224" s="29">
        <f t="shared" si="45"/>
        <v>264027.55555555556</v>
      </c>
      <c r="M224" s="29">
        <f t="shared" si="45"/>
        <v>0</v>
      </c>
      <c r="N224" s="29">
        <f t="shared" si="45"/>
        <v>1583555.5555555557</v>
      </c>
      <c r="O224" s="29">
        <f t="shared" si="45"/>
        <v>1583555.5555555557</v>
      </c>
      <c r="P224" s="29">
        <f t="shared" si="45"/>
        <v>1583555.5555555557</v>
      </c>
      <c r="Q224" s="29">
        <f t="shared" si="45"/>
        <v>159911.11111111112</v>
      </c>
      <c r="R224" s="29">
        <f t="shared" si="45"/>
        <v>159911.11111111112</v>
      </c>
      <c r="S224" s="29">
        <f t="shared" si="45"/>
        <v>159911.11111111112</v>
      </c>
      <c r="T224" s="29">
        <f t="shared" si="45"/>
        <v>159911.11111111112</v>
      </c>
      <c r="U224" s="29">
        <f t="shared" si="45"/>
        <v>159911.11111111112</v>
      </c>
      <c r="V224" s="29">
        <f t="shared" si="45"/>
        <v>159911.11111111112</v>
      </c>
      <c r="W224" s="29">
        <f t="shared" si="45"/>
        <v>20300000.000000004</v>
      </c>
      <c r="X224" s="29">
        <f t="shared" si="22"/>
        <v>20300000.000000004</v>
      </c>
      <c r="Y224" s="29">
        <f t="shared" si="22"/>
        <v>20300000.000000004</v>
      </c>
    </row>
    <row r="225" spans="1:25" outlineLevel="1" x14ac:dyDescent="0.3">
      <c r="A225" t="s">
        <v>164</v>
      </c>
      <c r="B225" t="s">
        <v>64</v>
      </c>
      <c r="C225" s="6" t="s">
        <v>140</v>
      </c>
      <c r="D225" t="s">
        <v>49</v>
      </c>
      <c r="E225" s="27">
        <f t="shared" ref="E225:W225" si="46">E28/SpringWeekdays</f>
        <v>0</v>
      </c>
      <c r="F225" s="27">
        <f t="shared" si="46"/>
        <v>101055.91086956521</v>
      </c>
      <c r="G225" s="27">
        <f t="shared" si="46"/>
        <v>0</v>
      </c>
      <c r="H225" s="27">
        <f t="shared" si="46"/>
        <v>780652.17391304334</v>
      </c>
      <c r="I225" s="27">
        <f t="shared" si="46"/>
        <v>780652.17391304334</v>
      </c>
      <c r="J225" s="27">
        <f t="shared" si="46"/>
        <v>780652.17391304334</v>
      </c>
      <c r="K225" s="27">
        <f t="shared" si="46"/>
        <v>49993.208695652167</v>
      </c>
      <c r="L225" s="27">
        <f t="shared" si="46"/>
        <v>447624.02391304343</v>
      </c>
      <c r="M225" s="27">
        <f t="shared" si="46"/>
        <v>0</v>
      </c>
      <c r="N225" s="27">
        <f t="shared" si="46"/>
        <v>780652.17391304334</v>
      </c>
      <c r="O225" s="27">
        <f t="shared" si="46"/>
        <v>780652.17391304334</v>
      </c>
      <c r="P225" s="27">
        <f t="shared" si="46"/>
        <v>780652.17391304334</v>
      </c>
      <c r="Q225" s="27">
        <f t="shared" si="46"/>
        <v>75782.608695652161</v>
      </c>
      <c r="R225" s="27">
        <f t="shared" si="46"/>
        <v>75782.608695652161</v>
      </c>
      <c r="S225" s="27">
        <f t="shared" si="46"/>
        <v>75782.608695652161</v>
      </c>
      <c r="T225" s="27">
        <f t="shared" si="46"/>
        <v>75782.608695652161</v>
      </c>
      <c r="U225" s="27">
        <f t="shared" si="46"/>
        <v>75782.608695652161</v>
      </c>
      <c r="V225" s="27">
        <f t="shared" si="46"/>
        <v>75782.608695652161</v>
      </c>
      <c r="W225" s="27">
        <f t="shared" si="46"/>
        <v>14852173.913043477</v>
      </c>
      <c r="X225" s="27">
        <f t="shared" ref="X225:Y248" si="47">X28/SpringWeekdays</f>
        <v>14852173.913043477</v>
      </c>
      <c r="Y225" s="27">
        <f t="shared" si="47"/>
        <v>14852173.913043477</v>
      </c>
    </row>
    <row r="226" spans="1:25" outlineLevel="1" x14ac:dyDescent="0.3">
      <c r="A226" t="s">
        <v>164</v>
      </c>
      <c r="B226" t="s">
        <v>65</v>
      </c>
      <c r="C226" s="6" t="s">
        <v>141</v>
      </c>
      <c r="D226" t="s">
        <v>49</v>
      </c>
      <c r="E226" s="27">
        <f t="shared" ref="E226:W226" si="48">E29/SpringWeekdays</f>
        <v>0</v>
      </c>
      <c r="F226" s="27">
        <f t="shared" si="48"/>
        <v>84728.471739130429</v>
      </c>
      <c r="G226" s="27">
        <f t="shared" si="48"/>
        <v>0</v>
      </c>
      <c r="H226" s="27">
        <f t="shared" si="48"/>
        <v>719782.6086956521</v>
      </c>
      <c r="I226" s="27">
        <f t="shared" si="48"/>
        <v>719782.6086956521</v>
      </c>
      <c r="J226" s="27">
        <f t="shared" si="48"/>
        <v>719782.6086956521</v>
      </c>
      <c r="K226" s="27">
        <f t="shared" si="48"/>
        <v>45036.95</v>
      </c>
      <c r="L226" s="27">
        <f t="shared" si="48"/>
        <v>414630.17826086952</v>
      </c>
      <c r="M226" s="27">
        <f t="shared" si="48"/>
        <v>0</v>
      </c>
      <c r="N226" s="27">
        <f t="shared" si="48"/>
        <v>719782.6086956521</v>
      </c>
      <c r="O226" s="27">
        <f t="shared" si="48"/>
        <v>719782.6086956521</v>
      </c>
      <c r="P226" s="27">
        <f t="shared" si="48"/>
        <v>719782.6086956521</v>
      </c>
      <c r="Q226" s="27">
        <f t="shared" si="48"/>
        <v>75630.434782608689</v>
      </c>
      <c r="R226" s="27">
        <f t="shared" si="48"/>
        <v>75630.434782608689</v>
      </c>
      <c r="S226" s="27">
        <f t="shared" si="48"/>
        <v>75630.434782608689</v>
      </c>
      <c r="T226" s="27">
        <f t="shared" si="48"/>
        <v>75630.434782608689</v>
      </c>
      <c r="U226" s="27">
        <f t="shared" si="48"/>
        <v>75630.434782608689</v>
      </c>
      <c r="V226" s="27">
        <f t="shared" si="48"/>
        <v>75630.434782608689</v>
      </c>
      <c r="W226" s="27">
        <f t="shared" si="48"/>
        <v>14836956.521739129</v>
      </c>
      <c r="X226" s="27">
        <f t="shared" si="47"/>
        <v>14836956.521739129</v>
      </c>
      <c r="Y226" s="27">
        <f t="shared" si="47"/>
        <v>14836956.521739129</v>
      </c>
    </row>
    <row r="227" spans="1:25" outlineLevel="1" x14ac:dyDescent="0.3">
      <c r="A227" t="s">
        <v>164</v>
      </c>
      <c r="B227" t="s">
        <v>66</v>
      </c>
      <c r="C227" s="6" t="s">
        <v>142</v>
      </c>
      <c r="D227" t="s">
        <v>49</v>
      </c>
      <c r="E227" s="27">
        <f t="shared" ref="E227:W227" si="49">E30/SpringWeekdays</f>
        <v>0</v>
      </c>
      <c r="F227" s="27">
        <f t="shared" si="49"/>
        <v>80208.876086956516</v>
      </c>
      <c r="G227" s="27">
        <f t="shared" si="49"/>
        <v>0</v>
      </c>
      <c r="H227" s="27">
        <f t="shared" si="49"/>
        <v>712173.91304347815</v>
      </c>
      <c r="I227" s="27">
        <f t="shared" si="49"/>
        <v>712173.91304347815</v>
      </c>
      <c r="J227" s="27">
        <f t="shared" si="49"/>
        <v>712173.91304347815</v>
      </c>
      <c r="K227" s="27">
        <f t="shared" si="49"/>
        <v>44425.423913043473</v>
      </c>
      <c r="L227" s="27">
        <f t="shared" si="49"/>
        <v>403236.24782608688</v>
      </c>
      <c r="M227" s="27">
        <f t="shared" si="49"/>
        <v>0</v>
      </c>
      <c r="N227" s="27">
        <f t="shared" si="49"/>
        <v>712173.91304347815</v>
      </c>
      <c r="O227" s="27">
        <f t="shared" si="49"/>
        <v>712173.91304347815</v>
      </c>
      <c r="P227" s="27">
        <f t="shared" si="49"/>
        <v>712173.91304347815</v>
      </c>
      <c r="Q227" s="27">
        <f t="shared" si="49"/>
        <v>75630.434782608689</v>
      </c>
      <c r="R227" s="27">
        <f t="shared" si="49"/>
        <v>75630.434782608689</v>
      </c>
      <c r="S227" s="27">
        <f t="shared" si="49"/>
        <v>75630.434782608689</v>
      </c>
      <c r="T227" s="27">
        <f t="shared" si="49"/>
        <v>75630.434782608689</v>
      </c>
      <c r="U227" s="27">
        <f t="shared" si="49"/>
        <v>75630.434782608689</v>
      </c>
      <c r="V227" s="27">
        <f t="shared" si="49"/>
        <v>75630.434782608689</v>
      </c>
      <c r="W227" s="27">
        <f t="shared" si="49"/>
        <v>14836956.521739129</v>
      </c>
      <c r="X227" s="27">
        <f t="shared" si="47"/>
        <v>14836956.521739129</v>
      </c>
      <c r="Y227" s="27">
        <f t="shared" si="47"/>
        <v>14836956.521739129</v>
      </c>
    </row>
    <row r="228" spans="1:25" outlineLevel="1" x14ac:dyDescent="0.3">
      <c r="A228" t="s">
        <v>164</v>
      </c>
      <c r="B228" t="s">
        <v>67</v>
      </c>
      <c r="C228" s="6" t="s">
        <v>143</v>
      </c>
      <c r="D228" t="s">
        <v>49</v>
      </c>
      <c r="E228" s="27">
        <f t="shared" ref="E228:W228" si="50">E31/SpringWeekdays</f>
        <v>0</v>
      </c>
      <c r="F228" s="27">
        <f t="shared" si="50"/>
        <v>85100.110869565207</v>
      </c>
      <c r="G228" s="27">
        <f t="shared" si="50"/>
        <v>0</v>
      </c>
      <c r="H228" s="27">
        <f t="shared" si="50"/>
        <v>728913.04347826075</v>
      </c>
      <c r="I228" s="27">
        <f t="shared" si="50"/>
        <v>728913.04347826075</v>
      </c>
      <c r="J228" s="27">
        <f t="shared" si="50"/>
        <v>728913.04347826075</v>
      </c>
      <c r="K228" s="27">
        <f t="shared" si="50"/>
        <v>45495.997826086954</v>
      </c>
      <c r="L228" s="27">
        <f t="shared" si="50"/>
        <v>400186.83478260867</v>
      </c>
      <c r="M228" s="27">
        <f t="shared" si="50"/>
        <v>0</v>
      </c>
      <c r="N228" s="27">
        <f t="shared" si="50"/>
        <v>728913.04347826075</v>
      </c>
      <c r="O228" s="27">
        <f t="shared" si="50"/>
        <v>728913.04347826075</v>
      </c>
      <c r="P228" s="27">
        <f t="shared" si="50"/>
        <v>728913.04347826075</v>
      </c>
      <c r="Q228" s="27">
        <f t="shared" si="50"/>
        <v>75630.434782608689</v>
      </c>
      <c r="R228" s="27">
        <f t="shared" si="50"/>
        <v>75630.434782608689</v>
      </c>
      <c r="S228" s="27">
        <f t="shared" si="50"/>
        <v>75630.434782608689</v>
      </c>
      <c r="T228" s="27">
        <f t="shared" si="50"/>
        <v>75630.434782608689</v>
      </c>
      <c r="U228" s="27">
        <f t="shared" si="50"/>
        <v>75630.434782608689</v>
      </c>
      <c r="V228" s="27">
        <f t="shared" si="50"/>
        <v>75630.434782608689</v>
      </c>
      <c r="W228" s="27">
        <f t="shared" si="50"/>
        <v>14836956.521739129</v>
      </c>
      <c r="X228" s="27">
        <f t="shared" si="47"/>
        <v>14836956.521739129</v>
      </c>
      <c r="Y228" s="27">
        <f t="shared" si="47"/>
        <v>14836956.521739129</v>
      </c>
    </row>
    <row r="229" spans="1:25" outlineLevel="1" x14ac:dyDescent="0.3">
      <c r="A229" t="s">
        <v>164</v>
      </c>
      <c r="B229" t="s">
        <v>68</v>
      </c>
      <c r="C229" s="6" t="s">
        <v>144</v>
      </c>
      <c r="D229" t="s">
        <v>49</v>
      </c>
      <c r="E229" s="27">
        <f t="shared" ref="E229:W229" si="51">E32/SpringWeekdays</f>
        <v>0</v>
      </c>
      <c r="F229" s="27">
        <f t="shared" si="51"/>
        <v>99487.454347826075</v>
      </c>
      <c r="G229" s="27">
        <f t="shared" si="51"/>
        <v>0</v>
      </c>
      <c r="H229" s="27">
        <f t="shared" si="51"/>
        <v>937391.30434782594</v>
      </c>
      <c r="I229" s="27">
        <f t="shared" si="51"/>
        <v>937391.30434782594</v>
      </c>
      <c r="J229" s="27">
        <f t="shared" si="51"/>
        <v>937391.30434782594</v>
      </c>
      <c r="K229" s="27">
        <f t="shared" si="51"/>
        <v>45290.15217391304</v>
      </c>
      <c r="L229" s="27">
        <f t="shared" si="51"/>
        <v>409442.58478260867</v>
      </c>
      <c r="M229" s="27">
        <f t="shared" si="51"/>
        <v>0</v>
      </c>
      <c r="N229" s="27">
        <f t="shared" si="51"/>
        <v>937391.30434782594</v>
      </c>
      <c r="O229" s="27">
        <f t="shared" si="51"/>
        <v>937391.30434782594</v>
      </c>
      <c r="P229" s="27">
        <f t="shared" si="51"/>
        <v>937391.30434782594</v>
      </c>
      <c r="Q229" s="27">
        <f t="shared" si="51"/>
        <v>75630.434782608689</v>
      </c>
      <c r="R229" s="27">
        <f t="shared" si="51"/>
        <v>75630.434782608689</v>
      </c>
      <c r="S229" s="27">
        <f t="shared" si="51"/>
        <v>75630.434782608689</v>
      </c>
      <c r="T229" s="27">
        <f t="shared" si="51"/>
        <v>75630.434782608689</v>
      </c>
      <c r="U229" s="27">
        <f t="shared" si="51"/>
        <v>75630.434782608689</v>
      </c>
      <c r="V229" s="27">
        <f t="shared" si="51"/>
        <v>75630.434782608689</v>
      </c>
      <c r="W229" s="27">
        <f t="shared" si="51"/>
        <v>14867391.304347824</v>
      </c>
      <c r="X229" s="27">
        <f t="shared" si="47"/>
        <v>14867391.304347824</v>
      </c>
      <c r="Y229" s="27">
        <f t="shared" si="47"/>
        <v>14867391.304347824</v>
      </c>
    </row>
    <row r="230" spans="1:25" outlineLevel="1" x14ac:dyDescent="0.3">
      <c r="A230" t="s">
        <v>164</v>
      </c>
      <c r="B230" t="s">
        <v>69</v>
      </c>
      <c r="C230" s="6" t="s">
        <v>145</v>
      </c>
      <c r="D230" t="s">
        <v>49</v>
      </c>
      <c r="E230" s="27">
        <f t="shared" ref="E230:W230" si="52">E33/SpringWeekdays</f>
        <v>0</v>
      </c>
      <c r="F230" s="27">
        <f t="shared" si="52"/>
        <v>119699.63478260869</v>
      </c>
      <c r="G230" s="27">
        <f t="shared" si="52"/>
        <v>0</v>
      </c>
      <c r="H230" s="27">
        <f t="shared" si="52"/>
        <v>1611521.7391304346</v>
      </c>
      <c r="I230" s="27">
        <f t="shared" si="52"/>
        <v>1611521.7391304346</v>
      </c>
      <c r="J230" s="27">
        <f t="shared" si="52"/>
        <v>1611521.7391304346</v>
      </c>
      <c r="K230" s="27">
        <f t="shared" si="52"/>
        <v>67984.076086956513</v>
      </c>
      <c r="L230" s="27">
        <f t="shared" si="52"/>
        <v>440094.19999999995</v>
      </c>
      <c r="M230" s="27">
        <f t="shared" si="52"/>
        <v>0</v>
      </c>
      <c r="N230" s="27">
        <f t="shared" si="52"/>
        <v>1611521.7391304346</v>
      </c>
      <c r="O230" s="27">
        <f t="shared" si="52"/>
        <v>1611521.7391304346</v>
      </c>
      <c r="P230" s="27">
        <f t="shared" si="52"/>
        <v>1611521.7391304346</v>
      </c>
      <c r="Q230" s="27">
        <f t="shared" si="52"/>
        <v>75782.608695652161</v>
      </c>
      <c r="R230" s="27">
        <f t="shared" si="52"/>
        <v>75782.608695652161</v>
      </c>
      <c r="S230" s="27">
        <f t="shared" si="52"/>
        <v>75782.608695652161</v>
      </c>
      <c r="T230" s="27">
        <f t="shared" si="52"/>
        <v>75782.608695652161</v>
      </c>
      <c r="U230" s="27">
        <f t="shared" si="52"/>
        <v>75782.608695652161</v>
      </c>
      <c r="V230" s="27">
        <f t="shared" si="52"/>
        <v>75782.608695652161</v>
      </c>
      <c r="W230" s="27">
        <f t="shared" si="52"/>
        <v>14928260.869565215</v>
      </c>
      <c r="X230" s="27">
        <f t="shared" si="47"/>
        <v>14928260.869565215</v>
      </c>
      <c r="Y230" s="27">
        <f t="shared" si="47"/>
        <v>14928260.869565215</v>
      </c>
    </row>
    <row r="231" spans="1:25" outlineLevel="1" x14ac:dyDescent="0.3">
      <c r="A231" t="s">
        <v>164</v>
      </c>
      <c r="B231" t="s">
        <v>70</v>
      </c>
      <c r="C231" s="6" t="s">
        <v>146</v>
      </c>
      <c r="D231" t="s">
        <v>49</v>
      </c>
      <c r="E231" s="27">
        <f t="shared" ref="E231:W231" si="53">E34/SpringWeekdays</f>
        <v>0</v>
      </c>
      <c r="F231" s="27">
        <f t="shared" si="53"/>
        <v>136122.0456521739</v>
      </c>
      <c r="G231" s="27">
        <f t="shared" si="53"/>
        <v>0</v>
      </c>
      <c r="H231" s="27">
        <f t="shared" si="53"/>
        <v>1561304.3478260867</v>
      </c>
      <c r="I231" s="27">
        <f t="shared" si="53"/>
        <v>1561304.3478260867</v>
      </c>
      <c r="J231" s="27">
        <f t="shared" si="53"/>
        <v>1561304.3478260867</v>
      </c>
      <c r="K231" s="27">
        <f t="shared" si="53"/>
        <v>131854.25217391303</v>
      </c>
      <c r="L231" s="27">
        <f t="shared" si="53"/>
        <v>512645.54782608687</v>
      </c>
      <c r="M231" s="27">
        <f t="shared" si="53"/>
        <v>0</v>
      </c>
      <c r="N231" s="27">
        <f t="shared" si="53"/>
        <v>1561304.3478260867</v>
      </c>
      <c r="O231" s="27">
        <f t="shared" si="53"/>
        <v>1561304.3478260867</v>
      </c>
      <c r="P231" s="27">
        <f t="shared" si="53"/>
        <v>1561304.3478260867</v>
      </c>
      <c r="Q231" s="27">
        <f t="shared" si="53"/>
        <v>109869.5652173913</v>
      </c>
      <c r="R231" s="27">
        <f t="shared" si="53"/>
        <v>109869.5652173913</v>
      </c>
      <c r="S231" s="27">
        <f t="shared" si="53"/>
        <v>109869.5652173913</v>
      </c>
      <c r="T231" s="27">
        <f t="shared" si="53"/>
        <v>109869.5652173913</v>
      </c>
      <c r="U231" s="27">
        <f t="shared" si="53"/>
        <v>109869.5652173913</v>
      </c>
      <c r="V231" s="27">
        <f t="shared" si="53"/>
        <v>109869.5652173913</v>
      </c>
      <c r="W231" s="27">
        <f t="shared" si="53"/>
        <v>15004347.826086955</v>
      </c>
      <c r="X231" s="27">
        <f t="shared" si="47"/>
        <v>15004347.826086955</v>
      </c>
      <c r="Y231" s="27">
        <f t="shared" si="47"/>
        <v>15004347.826086955</v>
      </c>
    </row>
    <row r="232" spans="1:25" outlineLevel="1" x14ac:dyDescent="0.3">
      <c r="A232" t="s">
        <v>164</v>
      </c>
      <c r="B232" t="s">
        <v>71</v>
      </c>
      <c r="C232" s="6" t="s">
        <v>147</v>
      </c>
      <c r="D232" t="s">
        <v>49</v>
      </c>
      <c r="E232" s="27">
        <f t="shared" ref="E232:W232" si="54">E35/SpringWeekdays</f>
        <v>0</v>
      </c>
      <c r="F232" s="27">
        <f t="shared" si="54"/>
        <v>147303.78478260868</v>
      </c>
      <c r="G232" s="27">
        <f t="shared" si="54"/>
        <v>0</v>
      </c>
      <c r="H232" s="27">
        <f t="shared" si="54"/>
        <v>739565.21739130421</v>
      </c>
      <c r="I232" s="27">
        <f t="shared" si="54"/>
        <v>739565.21739130421</v>
      </c>
      <c r="J232" s="27">
        <f t="shared" si="54"/>
        <v>739565.21739130421</v>
      </c>
      <c r="K232" s="27">
        <f t="shared" si="54"/>
        <v>143207.87173913041</v>
      </c>
      <c r="L232" s="27">
        <f t="shared" si="54"/>
        <v>638371.60434782598</v>
      </c>
      <c r="M232" s="27">
        <f t="shared" si="54"/>
        <v>0</v>
      </c>
      <c r="N232" s="27">
        <f t="shared" si="54"/>
        <v>739565.21739130421</v>
      </c>
      <c r="O232" s="27">
        <f t="shared" si="54"/>
        <v>739565.21739130421</v>
      </c>
      <c r="P232" s="27">
        <f t="shared" si="54"/>
        <v>739565.21739130421</v>
      </c>
      <c r="Q232" s="27">
        <f t="shared" si="54"/>
        <v>220499.99999999997</v>
      </c>
      <c r="R232" s="27">
        <f t="shared" si="54"/>
        <v>220499.99999999997</v>
      </c>
      <c r="S232" s="27">
        <f t="shared" si="54"/>
        <v>220499.99999999997</v>
      </c>
      <c r="T232" s="27">
        <f t="shared" si="54"/>
        <v>220499.99999999997</v>
      </c>
      <c r="U232" s="27">
        <f t="shared" si="54"/>
        <v>220499.99999999997</v>
      </c>
      <c r="V232" s="27">
        <f t="shared" si="54"/>
        <v>220499.99999999997</v>
      </c>
      <c r="W232" s="27">
        <f t="shared" si="54"/>
        <v>15095652.173913041</v>
      </c>
      <c r="X232" s="27">
        <f t="shared" si="47"/>
        <v>15095652.173913041</v>
      </c>
      <c r="Y232" s="27">
        <f t="shared" si="47"/>
        <v>15095652.173913041</v>
      </c>
    </row>
    <row r="233" spans="1:25" outlineLevel="1" x14ac:dyDescent="0.3">
      <c r="A233" t="s">
        <v>164</v>
      </c>
      <c r="B233" t="s">
        <v>72</v>
      </c>
      <c r="C233" s="6" t="s">
        <v>148</v>
      </c>
      <c r="D233" t="s">
        <v>49</v>
      </c>
      <c r="E233" s="27">
        <f t="shared" ref="E233:W233" si="55">E36/SpringWeekdays</f>
        <v>0</v>
      </c>
      <c r="F233" s="27">
        <f t="shared" si="55"/>
        <v>170055.68695652171</v>
      </c>
      <c r="G233" s="27">
        <f t="shared" si="55"/>
        <v>0</v>
      </c>
      <c r="H233" s="27">
        <f t="shared" si="55"/>
        <v>715217.39130434778</v>
      </c>
      <c r="I233" s="27">
        <f t="shared" si="55"/>
        <v>715217.39130434778</v>
      </c>
      <c r="J233" s="27">
        <f t="shared" si="55"/>
        <v>715217.39130434778</v>
      </c>
      <c r="K233" s="27">
        <f t="shared" si="55"/>
        <v>109210.31739130433</v>
      </c>
      <c r="L233" s="27">
        <f t="shared" si="55"/>
        <v>821739.13043478248</v>
      </c>
      <c r="M233" s="27">
        <f t="shared" si="55"/>
        <v>0</v>
      </c>
      <c r="N233" s="27">
        <f t="shared" si="55"/>
        <v>715217.39130434778</v>
      </c>
      <c r="O233" s="27">
        <f t="shared" si="55"/>
        <v>715217.39130434778</v>
      </c>
      <c r="P233" s="27">
        <f t="shared" si="55"/>
        <v>715217.39130434778</v>
      </c>
      <c r="Q233" s="27">
        <f t="shared" si="55"/>
        <v>223391.30434782605</v>
      </c>
      <c r="R233" s="27">
        <f t="shared" si="55"/>
        <v>223391.30434782605</v>
      </c>
      <c r="S233" s="27">
        <f t="shared" si="55"/>
        <v>223391.30434782605</v>
      </c>
      <c r="T233" s="27">
        <f t="shared" si="55"/>
        <v>223391.30434782605</v>
      </c>
      <c r="U233" s="27">
        <f t="shared" si="55"/>
        <v>223391.30434782605</v>
      </c>
      <c r="V233" s="27">
        <f t="shared" si="55"/>
        <v>223391.30434782605</v>
      </c>
      <c r="W233" s="27">
        <f t="shared" si="55"/>
        <v>15126086.956521736</v>
      </c>
      <c r="X233" s="27">
        <f t="shared" si="47"/>
        <v>15126086.956521736</v>
      </c>
      <c r="Y233" s="27">
        <f t="shared" si="47"/>
        <v>15126086.956521736</v>
      </c>
    </row>
    <row r="234" spans="1:25" outlineLevel="1" x14ac:dyDescent="0.3">
      <c r="A234" t="s">
        <v>164</v>
      </c>
      <c r="B234" t="s">
        <v>73</v>
      </c>
      <c r="C234" s="6" t="s">
        <v>149</v>
      </c>
      <c r="D234" t="s">
        <v>49</v>
      </c>
      <c r="E234" s="27">
        <f t="shared" ref="E234:W234" si="56">E37/SpringWeekdays</f>
        <v>0</v>
      </c>
      <c r="F234" s="27">
        <f t="shared" si="56"/>
        <v>203743.27826086953</v>
      </c>
      <c r="G234" s="27">
        <f t="shared" si="56"/>
        <v>0</v>
      </c>
      <c r="H234" s="27">
        <f t="shared" si="56"/>
        <v>687826.08695652161</v>
      </c>
      <c r="I234" s="27">
        <f t="shared" si="56"/>
        <v>687826.08695652161</v>
      </c>
      <c r="J234" s="27">
        <f t="shared" si="56"/>
        <v>687826.08695652161</v>
      </c>
      <c r="K234" s="27">
        <f t="shared" si="56"/>
        <v>82575.667391304334</v>
      </c>
      <c r="L234" s="27">
        <f t="shared" si="56"/>
        <v>983043.47826086939</v>
      </c>
      <c r="M234" s="27">
        <f t="shared" si="56"/>
        <v>0</v>
      </c>
      <c r="N234" s="27">
        <f t="shared" si="56"/>
        <v>687826.08695652161</v>
      </c>
      <c r="O234" s="27">
        <f t="shared" si="56"/>
        <v>687826.08695652161</v>
      </c>
      <c r="P234" s="27">
        <f t="shared" si="56"/>
        <v>687826.08695652161</v>
      </c>
      <c r="Q234" s="27">
        <f t="shared" si="56"/>
        <v>201173.91304347824</v>
      </c>
      <c r="R234" s="27">
        <f t="shared" si="56"/>
        <v>201173.91304347824</v>
      </c>
      <c r="S234" s="27">
        <f t="shared" si="56"/>
        <v>201173.91304347824</v>
      </c>
      <c r="T234" s="27">
        <f t="shared" si="56"/>
        <v>201173.91304347824</v>
      </c>
      <c r="U234" s="27">
        <f t="shared" si="56"/>
        <v>201173.91304347824</v>
      </c>
      <c r="V234" s="27">
        <f t="shared" si="56"/>
        <v>201173.91304347824</v>
      </c>
      <c r="W234" s="27">
        <f t="shared" si="56"/>
        <v>15095652.173913041</v>
      </c>
      <c r="X234" s="27">
        <f t="shared" si="47"/>
        <v>15095652.173913041</v>
      </c>
      <c r="Y234" s="27">
        <f t="shared" si="47"/>
        <v>15095652.173913041</v>
      </c>
    </row>
    <row r="235" spans="1:25" outlineLevel="1" x14ac:dyDescent="0.3">
      <c r="A235" t="s">
        <v>164</v>
      </c>
      <c r="B235" t="s">
        <v>74</v>
      </c>
      <c r="C235" s="6" t="s">
        <v>150</v>
      </c>
      <c r="D235" t="s">
        <v>49</v>
      </c>
      <c r="E235" s="27">
        <f t="shared" ref="E235:W235" si="57">E38/SpringWeekdays</f>
        <v>0</v>
      </c>
      <c r="F235" s="27">
        <f t="shared" si="57"/>
        <v>263627.12173913041</v>
      </c>
      <c r="G235" s="27">
        <f t="shared" si="57"/>
        <v>0</v>
      </c>
      <c r="H235" s="27">
        <f t="shared" si="57"/>
        <v>698478.26086956519</v>
      </c>
      <c r="I235" s="27">
        <f t="shared" si="57"/>
        <v>698478.26086956519</v>
      </c>
      <c r="J235" s="27">
        <f t="shared" si="57"/>
        <v>698478.26086956519</v>
      </c>
      <c r="K235" s="27">
        <f t="shared" si="57"/>
        <v>68376.639130434778</v>
      </c>
      <c r="L235" s="27">
        <f t="shared" si="57"/>
        <v>1118478.2608695652</v>
      </c>
      <c r="M235" s="27">
        <f t="shared" si="57"/>
        <v>0</v>
      </c>
      <c r="N235" s="27">
        <f t="shared" si="57"/>
        <v>698478.26086956519</v>
      </c>
      <c r="O235" s="27">
        <f t="shared" si="57"/>
        <v>698478.26086956519</v>
      </c>
      <c r="P235" s="27">
        <f t="shared" si="57"/>
        <v>698478.26086956519</v>
      </c>
      <c r="Q235" s="27">
        <f t="shared" si="57"/>
        <v>166021.73913043475</v>
      </c>
      <c r="R235" s="27">
        <f t="shared" si="57"/>
        <v>166021.73913043475</v>
      </c>
      <c r="S235" s="27">
        <f t="shared" si="57"/>
        <v>166021.73913043475</v>
      </c>
      <c r="T235" s="27">
        <f t="shared" si="57"/>
        <v>166021.73913043475</v>
      </c>
      <c r="U235" s="27">
        <f t="shared" si="57"/>
        <v>166021.73913043475</v>
      </c>
      <c r="V235" s="27">
        <f t="shared" si="57"/>
        <v>166021.73913043475</v>
      </c>
      <c r="W235" s="27">
        <f t="shared" si="57"/>
        <v>15065217.391304346</v>
      </c>
      <c r="X235" s="27">
        <f t="shared" si="47"/>
        <v>15065217.391304346</v>
      </c>
      <c r="Y235" s="27">
        <f t="shared" si="47"/>
        <v>15065217.391304346</v>
      </c>
    </row>
    <row r="236" spans="1:25" outlineLevel="1" x14ac:dyDescent="0.3">
      <c r="A236" t="s">
        <v>164</v>
      </c>
      <c r="B236" t="s">
        <v>75</v>
      </c>
      <c r="C236" s="6" t="s">
        <v>151</v>
      </c>
      <c r="D236" t="s">
        <v>49</v>
      </c>
      <c r="E236" s="27">
        <f t="shared" ref="E236:W236" si="58">E39/SpringWeekdays</f>
        <v>0</v>
      </c>
      <c r="F236" s="27">
        <f t="shared" si="58"/>
        <v>355871.12826086953</v>
      </c>
      <c r="G236" s="27">
        <f t="shared" si="58"/>
        <v>0</v>
      </c>
      <c r="H236" s="27">
        <f t="shared" si="58"/>
        <v>766956.52173913037</v>
      </c>
      <c r="I236" s="27">
        <f t="shared" si="58"/>
        <v>766956.52173913037</v>
      </c>
      <c r="J236" s="27">
        <f t="shared" si="58"/>
        <v>766956.52173913037</v>
      </c>
      <c r="K236" s="27">
        <f t="shared" si="58"/>
        <v>57576.460869565213</v>
      </c>
      <c r="L236" s="27">
        <f t="shared" si="58"/>
        <v>1212826.0869565215</v>
      </c>
      <c r="M236" s="27">
        <f t="shared" si="58"/>
        <v>0</v>
      </c>
      <c r="N236" s="27">
        <f t="shared" si="58"/>
        <v>766956.52173913037</v>
      </c>
      <c r="O236" s="27">
        <f t="shared" si="58"/>
        <v>766956.52173913037</v>
      </c>
      <c r="P236" s="27">
        <f t="shared" si="58"/>
        <v>766956.52173913037</v>
      </c>
      <c r="Q236" s="27">
        <f t="shared" si="58"/>
        <v>166173.91304347824</v>
      </c>
      <c r="R236" s="27">
        <f t="shared" si="58"/>
        <v>166173.91304347824</v>
      </c>
      <c r="S236" s="27">
        <f t="shared" si="58"/>
        <v>166173.91304347824</v>
      </c>
      <c r="T236" s="27">
        <f t="shared" si="58"/>
        <v>166173.91304347824</v>
      </c>
      <c r="U236" s="27">
        <f t="shared" si="58"/>
        <v>166173.91304347824</v>
      </c>
      <c r="V236" s="27">
        <f t="shared" si="58"/>
        <v>166173.91304347824</v>
      </c>
      <c r="W236" s="27">
        <f t="shared" si="58"/>
        <v>15049999.999999998</v>
      </c>
      <c r="X236" s="27">
        <f t="shared" si="47"/>
        <v>15049999.999999998</v>
      </c>
      <c r="Y236" s="27">
        <f t="shared" si="47"/>
        <v>15049999.999999998</v>
      </c>
    </row>
    <row r="237" spans="1:25" outlineLevel="1" x14ac:dyDescent="0.3">
      <c r="A237" t="s">
        <v>164</v>
      </c>
      <c r="B237" t="s">
        <v>76</v>
      </c>
      <c r="C237" s="6" t="s">
        <v>152</v>
      </c>
      <c r="D237" t="s">
        <v>49</v>
      </c>
      <c r="E237" s="27">
        <f t="shared" ref="E237:W237" si="59">E40/SpringWeekdays</f>
        <v>0</v>
      </c>
      <c r="F237" s="27">
        <f t="shared" si="59"/>
        <v>437731.59347826079</v>
      </c>
      <c r="G237" s="27">
        <f t="shared" si="59"/>
        <v>0</v>
      </c>
      <c r="H237" s="27">
        <f t="shared" si="59"/>
        <v>808043.47826086951</v>
      </c>
      <c r="I237" s="27">
        <f t="shared" si="59"/>
        <v>808043.47826086951</v>
      </c>
      <c r="J237" s="27">
        <f t="shared" si="59"/>
        <v>808043.47826086951</v>
      </c>
      <c r="K237" s="27">
        <f t="shared" si="59"/>
        <v>51535.658695652164</v>
      </c>
      <c r="L237" s="27">
        <f t="shared" si="59"/>
        <v>1255434.7826086956</v>
      </c>
      <c r="M237" s="27">
        <f t="shared" si="59"/>
        <v>0</v>
      </c>
      <c r="N237" s="27">
        <f t="shared" si="59"/>
        <v>808043.47826086951</v>
      </c>
      <c r="O237" s="27">
        <f t="shared" si="59"/>
        <v>808043.47826086951</v>
      </c>
      <c r="P237" s="27">
        <f t="shared" si="59"/>
        <v>808043.47826086951</v>
      </c>
      <c r="Q237" s="27">
        <f t="shared" si="59"/>
        <v>166630.43478260867</v>
      </c>
      <c r="R237" s="27">
        <f t="shared" si="59"/>
        <v>166630.43478260867</v>
      </c>
      <c r="S237" s="27">
        <f t="shared" si="59"/>
        <v>166630.43478260867</v>
      </c>
      <c r="T237" s="27">
        <f t="shared" si="59"/>
        <v>166630.43478260867</v>
      </c>
      <c r="U237" s="27">
        <f t="shared" si="59"/>
        <v>166630.43478260867</v>
      </c>
      <c r="V237" s="27">
        <f t="shared" si="59"/>
        <v>166630.43478260867</v>
      </c>
      <c r="W237" s="27">
        <f t="shared" si="59"/>
        <v>15004347.826086955</v>
      </c>
      <c r="X237" s="27">
        <f t="shared" si="47"/>
        <v>15004347.826086955</v>
      </c>
      <c r="Y237" s="27">
        <f t="shared" si="47"/>
        <v>15004347.826086955</v>
      </c>
    </row>
    <row r="238" spans="1:25" outlineLevel="1" x14ac:dyDescent="0.3">
      <c r="A238" t="s">
        <v>164</v>
      </c>
      <c r="B238" t="s">
        <v>77</v>
      </c>
      <c r="C238" s="6" t="s">
        <v>153</v>
      </c>
      <c r="D238" t="s">
        <v>49</v>
      </c>
      <c r="E238" s="27">
        <f t="shared" ref="E238:W238" si="60">E41/SpringWeekdays</f>
        <v>0</v>
      </c>
      <c r="F238" s="27">
        <f t="shared" si="60"/>
        <v>484782.6717391304</v>
      </c>
      <c r="G238" s="27">
        <f t="shared" si="60"/>
        <v>0</v>
      </c>
      <c r="H238" s="27">
        <f t="shared" si="60"/>
        <v>818695.65217391297</v>
      </c>
      <c r="I238" s="27">
        <f t="shared" si="60"/>
        <v>818695.65217391297</v>
      </c>
      <c r="J238" s="27">
        <f t="shared" si="60"/>
        <v>818695.65217391297</v>
      </c>
      <c r="K238" s="27">
        <f t="shared" si="60"/>
        <v>47429.382608695647</v>
      </c>
      <c r="L238" s="27">
        <f t="shared" si="60"/>
        <v>1313260.8695652173</v>
      </c>
      <c r="M238" s="27">
        <f t="shared" si="60"/>
        <v>0</v>
      </c>
      <c r="N238" s="27">
        <f t="shared" si="60"/>
        <v>818695.65217391297</v>
      </c>
      <c r="O238" s="27">
        <f t="shared" si="60"/>
        <v>818695.65217391297</v>
      </c>
      <c r="P238" s="27">
        <f t="shared" si="60"/>
        <v>818695.65217391297</v>
      </c>
      <c r="Q238" s="27">
        <f t="shared" si="60"/>
        <v>166478.26086956519</v>
      </c>
      <c r="R238" s="27">
        <f t="shared" si="60"/>
        <v>166478.26086956519</v>
      </c>
      <c r="S238" s="27">
        <f t="shared" si="60"/>
        <v>166478.26086956519</v>
      </c>
      <c r="T238" s="27">
        <f t="shared" si="60"/>
        <v>166478.26086956519</v>
      </c>
      <c r="U238" s="27">
        <f t="shared" si="60"/>
        <v>166478.26086956519</v>
      </c>
      <c r="V238" s="27">
        <f t="shared" si="60"/>
        <v>166478.26086956519</v>
      </c>
      <c r="W238" s="27">
        <f t="shared" si="60"/>
        <v>15004347.826086955</v>
      </c>
      <c r="X238" s="27">
        <f t="shared" si="47"/>
        <v>15004347.826086955</v>
      </c>
      <c r="Y238" s="27">
        <f t="shared" si="47"/>
        <v>15004347.826086955</v>
      </c>
    </row>
    <row r="239" spans="1:25" outlineLevel="1" x14ac:dyDescent="0.3">
      <c r="A239" t="s">
        <v>164</v>
      </c>
      <c r="B239" t="s">
        <v>78</v>
      </c>
      <c r="C239" s="6" t="s">
        <v>154</v>
      </c>
      <c r="D239" t="s">
        <v>49</v>
      </c>
      <c r="E239" s="27">
        <f t="shared" ref="E239:W239" si="61">E42/SpringWeekdays</f>
        <v>0</v>
      </c>
      <c r="F239" s="27">
        <f t="shared" si="61"/>
        <v>517253.46521739126</v>
      </c>
      <c r="G239" s="27">
        <f t="shared" si="61"/>
        <v>0</v>
      </c>
      <c r="H239" s="27">
        <f t="shared" si="61"/>
        <v>839999.99999999988</v>
      </c>
      <c r="I239" s="27">
        <f t="shared" si="61"/>
        <v>839999.99999999988</v>
      </c>
      <c r="J239" s="27">
        <f t="shared" si="61"/>
        <v>839999.99999999988</v>
      </c>
      <c r="K239" s="27">
        <f t="shared" si="61"/>
        <v>44195.793478260865</v>
      </c>
      <c r="L239" s="27">
        <f t="shared" si="61"/>
        <v>1345217.3913043477</v>
      </c>
      <c r="M239" s="27">
        <f t="shared" si="61"/>
        <v>0</v>
      </c>
      <c r="N239" s="27">
        <f t="shared" si="61"/>
        <v>839999.99999999988</v>
      </c>
      <c r="O239" s="27">
        <f t="shared" si="61"/>
        <v>839999.99999999988</v>
      </c>
      <c r="P239" s="27">
        <f t="shared" si="61"/>
        <v>839999.99999999988</v>
      </c>
      <c r="Q239" s="27">
        <f t="shared" si="61"/>
        <v>166021.73913043475</v>
      </c>
      <c r="R239" s="27">
        <f t="shared" si="61"/>
        <v>166021.73913043475</v>
      </c>
      <c r="S239" s="27">
        <f t="shared" si="61"/>
        <v>166021.73913043475</v>
      </c>
      <c r="T239" s="27">
        <f t="shared" si="61"/>
        <v>166021.73913043475</v>
      </c>
      <c r="U239" s="27">
        <f t="shared" si="61"/>
        <v>166021.73913043475</v>
      </c>
      <c r="V239" s="27">
        <f t="shared" si="61"/>
        <v>166021.73913043475</v>
      </c>
      <c r="W239" s="27">
        <f t="shared" si="61"/>
        <v>15019565.217391303</v>
      </c>
      <c r="X239" s="27">
        <f t="shared" si="47"/>
        <v>15019565.217391303</v>
      </c>
      <c r="Y239" s="27">
        <f t="shared" si="47"/>
        <v>15019565.217391303</v>
      </c>
    </row>
    <row r="240" spans="1:25" outlineLevel="1" x14ac:dyDescent="0.3">
      <c r="A240" t="s">
        <v>164</v>
      </c>
      <c r="B240" t="s">
        <v>79</v>
      </c>
      <c r="C240" s="6" t="s">
        <v>155</v>
      </c>
      <c r="D240" t="s">
        <v>49</v>
      </c>
      <c r="E240" s="27">
        <f t="shared" ref="E240:W240" si="62">E43/SpringWeekdays</f>
        <v>0</v>
      </c>
      <c r="F240" s="27">
        <f t="shared" si="62"/>
        <v>550733.70434782607</v>
      </c>
      <c r="G240" s="27">
        <f t="shared" si="62"/>
        <v>0</v>
      </c>
      <c r="H240" s="27">
        <f t="shared" si="62"/>
        <v>908478.26086956507</v>
      </c>
      <c r="I240" s="27">
        <f t="shared" si="62"/>
        <v>908478.26086956507</v>
      </c>
      <c r="J240" s="27">
        <f t="shared" si="62"/>
        <v>908478.26086956507</v>
      </c>
      <c r="K240" s="27">
        <f t="shared" si="62"/>
        <v>41241.960869565213</v>
      </c>
      <c r="L240" s="27">
        <f t="shared" si="62"/>
        <v>1329999.9999999998</v>
      </c>
      <c r="M240" s="27">
        <f t="shared" si="62"/>
        <v>0</v>
      </c>
      <c r="N240" s="27">
        <f t="shared" si="62"/>
        <v>908478.26086956507</v>
      </c>
      <c r="O240" s="27">
        <f t="shared" si="62"/>
        <v>908478.26086956507</v>
      </c>
      <c r="P240" s="27">
        <f t="shared" si="62"/>
        <v>908478.26086956507</v>
      </c>
      <c r="Q240" s="27">
        <f t="shared" si="62"/>
        <v>199804.34782608695</v>
      </c>
      <c r="R240" s="27">
        <f t="shared" si="62"/>
        <v>199804.34782608695</v>
      </c>
      <c r="S240" s="27">
        <f t="shared" si="62"/>
        <v>199804.34782608695</v>
      </c>
      <c r="T240" s="27">
        <f t="shared" si="62"/>
        <v>199804.34782608695</v>
      </c>
      <c r="U240" s="27">
        <f t="shared" si="62"/>
        <v>199804.34782608695</v>
      </c>
      <c r="V240" s="27">
        <f t="shared" si="62"/>
        <v>199804.34782608695</v>
      </c>
      <c r="W240" s="27">
        <f t="shared" si="62"/>
        <v>15095652.173913041</v>
      </c>
      <c r="X240" s="27">
        <f t="shared" si="47"/>
        <v>15095652.173913041</v>
      </c>
      <c r="Y240" s="27">
        <f t="shared" si="47"/>
        <v>15095652.173913041</v>
      </c>
    </row>
    <row r="241" spans="1:25" outlineLevel="1" x14ac:dyDescent="0.3">
      <c r="A241" t="s">
        <v>164</v>
      </c>
      <c r="B241" t="s">
        <v>80</v>
      </c>
      <c r="C241" s="6" t="s">
        <v>156</v>
      </c>
      <c r="D241" t="s">
        <v>49</v>
      </c>
      <c r="E241" s="27">
        <f t="shared" ref="E241:W241" si="63">E44/SpringWeekdays</f>
        <v>0</v>
      </c>
      <c r="F241" s="27">
        <f t="shared" si="63"/>
        <v>560514.65217391297</v>
      </c>
      <c r="G241" s="27">
        <f t="shared" si="63"/>
        <v>0</v>
      </c>
      <c r="H241" s="27">
        <f t="shared" si="63"/>
        <v>1002826.0869565216</v>
      </c>
      <c r="I241" s="27">
        <f t="shared" si="63"/>
        <v>1002826.0869565216</v>
      </c>
      <c r="J241" s="27">
        <f t="shared" si="63"/>
        <v>1002826.0869565216</v>
      </c>
      <c r="K241" s="27">
        <f t="shared" si="63"/>
        <v>38282.649999999994</v>
      </c>
      <c r="L241" s="27">
        <f t="shared" si="63"/>
        <v>1273695.6521739129</v>
      </c>
      <c r="M241" s="27">
        <f t="shared" si="63"/>
        <v>0</v>
      </c>
      <c r="N241" s="27">
        <f t="shared" si="63"/>
        <v>1002826.0869565216</v>
      </c>
      <c r="O241" s="27">
        <f t="shared" si="63"/>
        <v>1002826.0869565216</v>
      </c>
      <c r="P241" s="27">
        <f t="shared" si="63"/>
        <v>1002826.0869565216</v>
      </c>
      <c r="Q241" s="27">
        <f t="shared" si="63"/>
        <v>222782.60869565213</v>
      </c>
      <c r="R241" s="27">
        <f t="shared" si="63"/>
        <v>222782.60869565213</v>
      </c>
      <c r="S241" s="27">
        <f t="shared" si="63"/>
        <v>222782.60869565213</v>
      </c>
      <c r="T241" s="27">
        <f t="shared" si="63"/>
        <v>222782.60869565213</v>
      </c>
      <c r="U241" s="27">
        <f t="shared" si="63"/>
        <v>222782.60869565213</v>
      </c>
      <c r="V241" s="27">
        <f t="shared" si="63"/>
        <v>222782.60869565213</v>
      </c>
      <c r="W241" s="27">
        <f t="shared" si="63"/>
        <v>15186956.521739129</v>
      </c>
      <c r="X241" s="27">
        <f t="shared" si="47"/>
        <v>15186956.521739129</v>
      </c>
      <c r="Y241" s="27">
        <f t="shared" si="47"/>
        <v>15186956.521739129</v>
      </c>
    </row>
    <row r="242" spans="1:25" outlineLevel="1" x14ac:dyDescent="0.3">
      <c r="A242" t="s">
        <v>164</v>
      </c>
      <c r="B242" t="s">
        <v>81</v>
      </c>
      <c r="C242" s="6" t="s">
        <v>157</v>
      </c>
      <c r="D242" t="s">
        <v>49</v>
      </c>
      <c r="E242" s="27">
        <f t="shared" ref="E242:W242" si="64">E45/SpringWeekdays</f>
        <v>0</v>
      </c>
      <c r="F242" s="27">
        <f t="shared" si="64"/>
        <v>544435.86521739129</v>
      </c>
      <c r="G242" s="27">
        <f t="shared" si="64"/>
        <v>0</v>
      </c>
      <c r="H242" s="27">
        <f t="shared" si="64"/>
        <v>2387608.6956521738</v>
      </c>
      <c r="I242" s="27">
        <f t="shared" si="64"/>
        <v>2387608.6956521738</v>
      </c>
      <c r="J242" s="27">
        <f t="shared" si="64"/>
        <v>2387608.6956521738</v>
      </c>
      <c r="K242" s="27">
        <f t="shared" si="64"/>
        <v>40381.265217391301</v>
      </c>
      <c r="L242" s="27">
        <f t="shared" si="64"/>
        <v>1176304.3478260869</v>
      </c>
      <c r="M242" s="27">
        <f t="shared" si="64"/>
        <v>0</v>
      </c>
      <c r="N242" s="27">
        <f t="shared" si="64"/>
        <v>2387608.6956521738</v>
      </c>
      <c r="O242" s="27">
        <f t="shared" si="64"/>
        <v>2387608.6956521738</v>
      </c>
      <c r="P242" s="27">
        <f t="shared" si="64"/>
        <v>2387608.6956521738</v>
      </c>
      <c r="Q242" s="27">
        <f t="shared" si="64"/>
        <v>224608.69565217389</v>
      </c>
      <c r="R242" s="27">
        <f t="shared" si="64"/>
        <v>224608.69565217389</v>
      </c>
      <c r="S242" s="27">
        <f t="shared" si="64"/>
        <v>224608.69565217389</v>
      </c>
      <c r="T242" s="27">
        <f t="shared" si="64"/>
        <v>224608.69565217389</v>
      </c>
      <c r="U242" s="27">
        <f t="shared" si="64"/>
        <v>224608.69565217389</v>
      </c>
      <c r="V242" s="27">
        <f t="shared" si="64"/>
        <v>224608.69565217389</v>
      </c>
      <c r="W242" s="27">
        <f t="shared" si="64"/>
        <v>15186956.521739129</v>
      </c>
      <c r="X242" s="27">
        <f t="shared" si="47"/>
        <v>15186956.521739129</v>
      </c>
      <c r="Y242" s="27">
        <f t="shared" si="47"/>
        <v>15186956.521739129</v>
      </c>
    </row>
    <row r="243" spans="1:25" outlineLevel="1" x14ac:dyDescent="0.3">
      <c r="A243" t="s">
        <v>164</v>
      </c>
      <c r="B243" t="s">
        <v>82</v>
      </c>
      <c r="C243" s="6" t="s">
        <v>158</v>
      </c>
      <c r="D243" t="s">
        <v>49</v>
      </c>
      <c r="E243" s="27">
        <f t="shared" ref="E243:W243" si="65">E46/SpringWeekdays</f>
        <v>0</v>
      </c>
      <c r="F243" s="27">
        <f t="shared" si="65"/>
        <v>499576.2130434782</v>
      </c>
      <c r="G243" s="27">
        <f t="shared" si="65"/>
        <v>0</v>
      </c>
      <c r="H243" s="27">
        <f t="shared" si="65"/>
        <v>3942826.086956521</v>
      </c>
      <c r="I243" s="27">
        <f t="shared" si="65"/>
        <v>3942826.086956521</v>
      </c>
      <c r="J243" s="27">
        <f t="shared" si="65"/>
        <v>3942826.086956521</v>
      </c>
      <c r="K243" s="27">
        <f t="shared" si="65"/>
        <v>46328.647826086948</v>
      </c>
      <c r="L243" s="27">
        <f t="shared" si="65"/>
        <v>1060652.1739130435</v>
      </c>
      <c r="M243" s="27">
        <f t="shared" si="65"/>
        <v>0</v>
      </c>
      <c r="N243" s="27">
        <f t="shared" si="65"/>
        <v>3942826.086956521</v>
      </c>
      <c r="O243" s="27">
        <f t="shared" si="65"/>
        <v>3942826.086956521</v>
      </c>
      <c r="P243" s="27">
        <f t="shared" si="65"/>
        <v>3942826.086956521</v>
      </c>
      <c r="Q243" s="27">
        <f t="shared" si="65"/>
        <v>203456.5217391304</v>
      </c>
      <c r="R243" s="27">
        <f t="shared" si="65"/>
        <v>203456.5217391304</v>
      </c>
      <c r="S243" s="27">
        <f t="shared" si="65"/>
        <v>203456.5217391304</v>
      </c>
      <c r="T243" s="27">
        <f t="shared" si="65"/>
        <v>203456.5217391304</v>
      </c>
      <c r="U243" s="27">
        <f t="shared" si="65"/>
        <v>203456.5217391304</v>
      </c>
      <c r="V243" s="27">
        <f t="shared" si="65"/>
        <v>203456.5217391304</v>
      </c>
      <c r="W243" s="27">
        <f t="shared" si="65"/>
        <v>15141304.347826086</v>
      </c>
      <c r="X243" s="27">
        <f t="shared" si="47"/>
        <v>15141304.347826086</v>
      </c>
      <c r="Y243" s="27">
        <f t="shared" si="47"/>
        <v>15141304.347826086</v>
      </c>
    </row>
    <row r="244" spans="1:25" outlineLevel="1" x14ac:dyDescent="0.3">
      <c r="A244" t="s">
        <v>164</v>
      </c>
      <c r="B244" t="s">
        <v>83</v>
      </c>
      <c r="C244" s="6" t="s">
        <v>159</v>
      </c>
      <c r="D244" t="s">
        <v>49</v>
      </c>
      <c r="E244" s="27">
        <f t="shared" ref="E244:W244" si="66">E47/SpringWeekdays</f>
        <v>0</v>
      </c>
      <c r="F244" s="27">
        <f t="shared" si="66"/>
        <v>420733.752173913</v>
      </c>
      <c r="G244" s="27">
        <f t="shared" si="66"/>
        <v>0</v>
      </c>
      <c r="H244" s="27">
        <f t="shared" si="66"/>
        <v>4242608.6956521738</v>
      </c>
      <c r="I244" s="27">
        <f t="shared" si="66"/>
        <v>4242608.6956521738</v>
      </c>
      <c r="J244" s="27">
        <f t="shared" si="66"/>
        <v>4242608.6956521738</v>
      </c>
      <c r="K244" s="27">
        <f t="shared" si="66"/>
        <v>54987.647826086948</v>
      </c>
      <c r="L244" s="27">
        <f t="shared" si="66"/>
        <v>922173.91304347815</v>
      </c>
      <c r="M244" s="27">
        <f t="shared" si="66"/>
        <v>0</v>
      </c>
      <c r="N244" s="27">
        <f t="shared" si="66"/>
        <v>4242608.6956521738</v>
      </c>
      <c r="O244" s="27">
        <f t="shared" si="66"/>
        <v>4242608.6956521738</v>
      </c>
      <c r="P244" s="27">
        <f t="shared" si="66"/>
        <v>4242608.6956521738</v>
      </c>
      <c r="Q244" s="27">
        <f t="shared" si="66"/>
        <v>168304.34782608695</v>
      </c>
      <c r="R244" s="27">
        <f t="shared" si="66"/>
        <v>168304.34782608695</v>
      </c>
      <c r="S244" s="27">
        <f t="shared" si="66"/>
        <v>168304.34782608695</v>
      </c>
      <c r="T244" s="27">
        <f t="shared" si="66"/>
        <v>168304.34782608695</v>
      </c>
      <c r="U244" s="27">
        <f t="shared" si="66"/>
        <v>168304.34782608695</v>
      </c>
      <c r="V244" s="27">
        <f t="shared" si="66"/>
        <v>168304.34782608695</v>
      </c>
      <c r="W244" s="27">
        <f t="shared" si="66"/>
        <v>15095652.173913041</v>
      </c>
      <c r="X244" s="27">
        <f t="shared" si="47"/>
        <v>15095652.173913041</v>
      </c>
      <c r="Y244" s="27">
        <f t="shared" si="47"/>
        <v>15095652.173913041</v>
      </c>
    </row>
    <row r="245" spans="1:25" outlineLevel="1" x14ac:dyDescent="0.3">
      <c r="A245" t="s">
        <v>164</v>
      </c>
      <c r="B245" t="s">
        <v>84</v>
      </c>
      <c r="C245" s="6" t="s">
        <v>160</v>
      </c>
      <c r="D245" t="s">
        <v>49</v>
      </c>
      <c r="E245" s="27">
        <f t="shared" ref="E245:W245" si="67">E48/SpringWeekdays</f>
        <v>0</v>
      </c>
      <c r="F245" s="27">
        <f t="shared" si="67"/>
        <v>328688.42391304346</v>
      </c>
      <c r="G245" s="27">
        <f t="shared" si="67"/>
        <v>0</v>
      </c>
      <c r="H245" s="27">
        <f t="shared" si="67"/>
        <v>4311086.9565217383</v>
      </c>
      <c r="I245" s="27">
        <f t="shared" si="67"/>
        <v>4311086.9565217383</v>
      </c>
      <c r="J245" s="27">
        <f t="shared" si="67"/>
        <v>4311086.9565217383</v>
      </c>
      <c r="K245" s="27">
        <f t="shared" si="67"/>
        <v>67137.7</v>
      </c>
      <c r="L245" s="27">
        <f t="shared" si="67"/>
        <v>797391.30434782594</v>
      </c>
      <c r="M245" s="27">
        <f t="shared" si="67"/>
        <v>0</v>
      </c>
      <c r="N245" s="27">
        <f t="shared" si="67"/>
        <v>4311086.9565217383</v>
      </c>
      <c r="O245" s="27">
        <f t="shared" si="67"/>
        <v>4311086.9565217383</v>
      </c>
      <c r="P245" s="27">
        <f t="shared" si="67"/>
        <v>4311086.9565217383</v>
      </c>
      <c r="Q245" s="27">
        <f t="shared" si="67"/>
        <v>166021.73913043475</v>
      </c>
      <c r="R245" s="27">
        <f t="shared" si="67"/>
        <v>166021.73913043475</v>
      </c>
      <c r="S245" s="27">
        <f t="shared" si="67"/>
        <v>166021.73913043475</v>
      </c>
      <c r="T245" s="27">
        <f t="shared" si="67"/>
        <v>166021.73913043475</v>
      </c>
      <c r="U245" s="27">
        <f t="shared" si="67"/>
        <v>166021.73913043475</v>
      </c>
      <c r="V245" s="27">
        <f t="shared" si="67"/>
        <v>166021.73913043475</v>
      </c>
      <c r="W245" s="27">
        <f t="shared" si="67"/>
        <v>15049999.999999998</v>
      </c>
      <c r="X245" s="27">
        <f t="shared" si="47"/>
        <v>15049999.999999998</v>
      </c>
      <c r="Y245" s="27">
        <f t="shared" si="47"/>
        <v>15049999.999999998</v>
      </c>
    </row>
    <row r="246" spans="1:25" outlineLevel="1" x14ac:dyDescent="0.3">
      <c r="A246" t="s">
        <v>164</v>
      </c>
      <c r="B246" t="s">
        <v>85</v>
      </c>
      <c r="C246" s="6" t="s">
        <v>161</v>
      </c>
      <c r="D246" t="s">
        <v>49</v>
      </c>
      <c r="E246" s="27">
        <f t="shared" ref="E246:W246" si="68">E49/SpringWeekdays</f>
        <v>0</v>
      </c>
      <c r="F246" s="27">
        <f t="shared" si="68"/>
        <v>244690.53913043474</v>
      </c>
      <c r="G246" s="27">
        <f t="shared" si="68"/>
        <v>0</v>
      </c>
      <c r="H246" s="27">
        <f t="shared" si="68"/>
        <v>3528913.0434782603</v>
      </c>
      <c r="I246" s="27">
        <f t="shared" si="68"/>
        <v>3528913.0434782603</v>
      </c>
      <c r="J246" s="27">
        <f t="shared" si="68"/>
        <v>3528913.0434782603</v>
      </c>
      <c r="K246" s="27">
        <f t="shared" si="68"/>
        <v>57637.041304347818</v>
      </c>
      <c r="L246" s="27">
        <f t="shared" si="68"/>
        <v>693133.53260869556</v>
      </c>
      <c r="M246" s="27">
        <f t="shared" si="68"/>
        <v>0</v>
      </c>
      <c r="N246" s="27">
        <f t="shared" si="68"/>
        <v>3528913.0434782603</v>
      </c>
      <c r="O246" s="27">
        <f t="shared" si="68"/>
        <v>3528913.0434782603</v>
      </c>
      <c r="P246" s="27">
        <f t="shared" si="68"/>
        <v>3528913.0434782603</v>
      </c>
      <c r="Q246" s="27">
        <f t="shared" si="68"/>
        <v>164347.82608695651</v>
      </c>
      <c r="R246" s="27">
        <f t="shared" si="68"/>
        <v>164347.82608695651</v>
      </c>
      <c r="S246" s="27">
        <f t="shared" si="68"/>
        <v>164347.82608695651</v>
      </c>
      <c r="T246" s="27">
        <f t="shared" si="68"/>
        <v>164347.82608695651</v>
      </c>
      <c r="U246" s="27">
        <f t="shared" si="68"/>
        <v>164347.82608695651</v>
      </c>
      <c r="V246" s="27">
        <f t="shared" si="68"/>
        <v>164347.82608695651</v>
      </c>
      <c r="W246" s="27">
        <f t="shared" si="68"/>
        <v>14973913.04347826</v>
      </c>
      <c r="X246" s="27">
        <f t="shared" si="47"/>
        <v>14973913.04347826</v>
      </c>
      <c r="Y246" s="27">
        <f t="shared" si="47"/>
        <v>14973913.04347826</v>
      </c>
    </row>
    <row r="247" spans="1:25" outlineLevel="1" x14ac:dyDescent="0.3">
      <c r="A247" t="s">
        <v>164</v>
      </c>
      <c r="B247" t="s">
        <v>86</v>
      </c>
      <c r="C247" s="6" t="s">
        <v>162</v>
      </c>
      <c r="D247" t="s">
        <v>49</v>
      </c>
      <c r="E247" s="27">
        <f t="shared" ref="E247:W247" si="69">E50/SpringWeekdays</f>
        <v>0</v>
      </c>
      <c r="F247" s="27">
        <f t="shared" si="69"/>
        <v>176894.91521739127</v>
      </c>
      <c r="G247" s="27">
        <f t="shared" si="69"/>
        <v>0</v>
      </c>
      <c r="H247" s="27">
        <f t="shared" si="69"/>
        <v>2096956.5217391301</v>
      </c>
      <c r="I247" s="27">
        <f t="shared" si="69"/>
        <v>2096956.5217391301</v>
      </c>
      <c r="J247" s="27">
        <f t="shared" si="69"/>
        <v>2096956.5217391301</v>
      </c>
      <c r="K247" s="27">
        <f t="shared" si="69"/>
        <v>49809.352173913037</v>
      </c>
      <c r="L247" s="27">
        <f t="shared" si="69"/>
        <v>601087.97608695645</v>
      </c>
      <c r="M247" s="27">
        <f t="shared" si="69"/>
        <v>0</v>
      </c>
      <c r="N247" s="27">
        <f t="shared" si="69"/>
        <v>2096956.5217391301</v>
      </c>
      <c r="O247" s="27">
        <f t="shared" si="69"/>
        <v>2096956.5217391301</v>
      </c>
      <c r="P247" s="27">
        <f t="shared" si="69"/>
        <v>2096956.5217391301</v>
      </c>
      <c r="Q247" s="27">
        <f t="shared" si="69"/>
        <v>162978.26086956519</v>
      </c>
      <c r="R247" s="27">
        <f t="shared" si="69"/>
        <v>162978.26086956519</v>
      </c>
      <c r="S247" s="27">
        <f t="shared" si="69"/>
        <v>162978.26086956519</v>
      </c>
      <c r="T247" s="27">
        <f t="shared" si="69"/>
        <v>162978.26086956519</v>
      </c>
      <c r="U247" s="27">
        <f t="shared" si="69"/>
        <v>162978.26086956519</v>
      </c>
      <c r="V247" s="27">
        <f t="shared" si="69"/>
        <v>162978.26086956519</v>
      </c>
      <c r="W247" s="27">
        <f t="shared" si="69"/>
        <v>14913043.478260867</v>
      </c>
      <c r="X247" s="27">
        <f t="shared" si="47"/>
        <v>14913043.478260867</v>
      </c>
      <c r="Y247" s="27">
        <f t="shared" si="47"/>
        <v>14913043.478260867</v>
      </c>
    </row>
    <row r="248" spans="1:25" outlineLevel="1" x14ac:dyDescent="0.3">
      <c r="A248" t="s">
        <v>164</v>
      </c>
      <c r="B248" t="s">
        <v>87</v>
      </c>
      <c r="C248" s="6" t="s">
        <v>163</v>
      </c>
      <c r="D248" t="s">
        <v>49</v>
      </c>
      <c r="E248" s="27">
        <f t="shared" ref="E248:W248" si="70">E51/SpringWeekdays</f>
        <v>0</v>
      </c>
      <c r="F248" s="27">
        <f t="shared" si="70"/>
        <v>130569.14347826086</v>
      </c>
      <c r="G248" s="27">
        <f t="shared" si="70"/>
        <v>0</v>
      </c>
      <c r="H248" s="27">
        <f t="shared" si="70"/>
        <v>1103260.8695652173</v>
      </c>
      <c r="I248" s="27">
        <f t="shared" si="70"/>
        <v>1103260.8695652173</v>
      </c>
      <c r="J248" s="27">
        <f t="shared" si="70"/>
        <v>1103260.8695652173</v>
      </c>
      <c r="K248" s="27">
        <f t="shared" si="70"/>
        <v>45132.043478260865</v>
      </c>
      <c r="L248" s="27">
        <f t="shared" si="70"/>
        <v>512416.40434782603</v>
      </c>
      <c r="M248" s="27">
        <f t="shared" si="70"/>
        <v>0</v>
      </c>
      <c r="N248" s="27">
        <f t="shared" si="70"/>
        <v>1103260.8695652173</v>
      </c>
      <c r="O248" s="27">
        <f t="shared" si="70"/>
        <v>1103260.8695652173</v>
      </c>
      <c r="P248" s="27">
        <f t="shared" si="70"/>
        <v>1103260.8695652173</v>
      </c>
      <c r="Q248" s="27">
        <f t="shared" si="70"/>
        <v>109413.04347826085</v>
      </c>
      <c r="R248" s="27">
        <f t="shared" si="70"/>
        <v>109413.04347826085</v>
      </c>
      <c r="S248" s="27">
        <f t="shared" si="70"/>
        <v>109413.04347826085</v>
      </c>
      <c r="T248" s="27">
        <f t="shared" si="70"/>
        <v>109413.04347826085</v>
      </c>
      <c r="U248" s="27">
        <f t="shared" si="70"/>
        <v>109413.04347826085</v>
      </c>
      <c r="V248" s="27">
        <f t="shared" si="70"/>
        <v>109413.04347826085</v>
      </c>
      <c r="W248" s="27">
        <f t="shared" si="70"/>
        <v>14867391.304347824</v>
      </c>
      <c r="X248" s="27">
        <f t="shared" si="47"/>
        <v>14867391.304347824</v>
      </c>
      <c r="Y248" s="27">
        <f t="shared" si="47"/>
        <v>14867391.304347824</v>
      </c>
    </row>
    <row r="249" spans="1:25" outlineLevel="1" x14ac:dyDescent="0.3">
      <c r="A249" t="s">
        <v>165</v>
      </c>
      <c r="B249" t="s">
        <v>64</v>
      </c>
      <c r="C249" s="6" t="s">
        <v>140</v>
      </c>
      <c r="D249" t="s">
        <v>49</v>
      </c>
      <c r="E249" s="29">
        <f t="shared" ref="E249:W249" si="71">E52/SummerWeekdays</f>
        <v>0</v>
      </c>
      <c r="F249" s="29">
        <f t="shared" si="71"/>
        <v>206670.51086956519</v>
      </c>
      <c r="G249" s="29">
        <f t="shared" si="71"/>
        <v>0</v>
      </c>
      <c r="H249" s="29">
        <f t="shared" si="71"/>
        <v>766956.52173913037</v>
      </c>
      <c r="I249" s="29">
        <f t="shared" si="71"/>
        <v>766956.52173913037</v>
      </c>
      <c r="J249" s="29">
        <f t="shared" si="71"/>
        <v>766956.52173913037</v>
      </c>
      <c r="K249" s="29">
        <f t="shared" si="71"/>
        <v>55470.08478260869</v>
      </c>
      <c r="L249" s="29">
        <f t="shared" si="71"/>
        <v>619347.82608695643</v>
      </c>
      <c r="M249" s="29">
        <f t="shared" si="71"/>
        <v>0</v>
      </c>
      <c r="N249" s="29">
        <f t="shared" si="71"/>
        <v>766956.52173913037</v>
      </c>
      <c r="O249" s="29">
        <f t="shared" si="71"/>
        <v>766956.52173913037</v>
      </c>
      <c r="P249" s="29">
        <f t="shared" si="71"/>
        <v>766956.52173913037</v>
      </c>
      <c r="Q249" s="29">
        <f t="shared" si="71"/>
        <v>70456.521739130432</v>
      </c>
      <c r="R249" s="29">
        <f t="shared" si="71"/>
        <v>70456.521739130432</v>
      </c>
      <c r="S249" s="29">
        <f t="shared" si="71"/>
        <v>70456.521739130432</v>
      </c>
      <c r="T249" s="29">
        <f t="shared" si="71"/>
        <v>70456.521739130432</v>
      </c>
      <c r="U249" s="29">
        <f t="shared" si="71"/>
        <v>70456.521739130432</v>
      </c>
      <c r="V249" s="29">
        <f t="shared" si="71"/>
        <v>70456.521739130432</v>
      </c>
      <c r="W249" s="29">
        <f t="shared" si="71"/>
        <v>14760869.565217389</v>
      </c>
      <c r="X249" s="29">
        <f t="shared" ref="X249:Y272" si="72">X52/SummerWeekdays</f>
        <v>14760869.565217389</v>
      </c>
      <c r="Y249" s="29">
        <f t="shared" si="72"/>
        <v>14760869.565217389</v>
      </c>
    </row>
    <row r="250" spans="1:25" outlineLevel="1" x14ac:dyDescent="0.3">
      <c r="A250" t="s">
        <v>165</v>
      </c>
      <c r="B250" t="s">
        <v>65</v>
      </c>
      <c r="C250" s="6" t="s">
        <v>141</v>
      </c>
      <c r="D250" t="s">
        <v>49</v>
      </c>
      <c r="E250" s="29">
        <f t="shared" ref="E250:W250" si="73">E53/SummerWeekdays</f>
        <v>0</v>
      </c>
      <c r="F250" s="29">
        <f t="shared" si="73"/>
        <v>183812.63478260869</v>
      </c>
      <c r="G250" s="29">
        <f t="shared" si="73"/>
        <v>0</v>
      </c>
      <c r="H250" s="29">
        <f t="shared" si="73"/>
        <v>707608.69565217383</v>
      </c>
      <c r="I250" s="29">
        <f t="shared" si="73"/>
        <v>707608.69565217383</v>
      </c>
      <c r="J250" s="29">
        <f t="shared" si="73"/>
        <v>707608.69565217383</v>
      </c>
      <c r="K250" s="29">
        <f t="shared" si="73"/>
        <v>56520.617391304339</v>
      </c>
      <c r="L250" s="29">
        <f t="shared" si="73"/>
        <v>575217.39130434778</v>
      </c>
      <c r="M250" s="29">
        <f t="shared" si="73"/>
        <v>0</v>
      </c>
      <c r="N250" s="29">
        <f t="shared" si="73"/>
        <v>707608.69565217383</v>
      </c>
      <c r="O250" s="29">
        <f t="shared" si="73"/>
        <v>707608.69565217383</v>
      </c>
      <c r="P250" s="29">
        <f t="shared" si="73"/>
        <v>707608.69565217383</v>
      </c>
      <c r="Q250" s="29">
        <f t="shared" si="73"/>
        <v>70456.521739130432</v>
      </c>
      <c r="R250" s="29">
        <f t="shared" si="73"/>
        <v>70456.521739130432</v>
      </c>
      <c r="S250" s="29">
        <f t="shared" si="73"/>
        <v>70456.521739130432</v>
      </c>
      <c r="T250" s="29">
        <f t="shared" si="73"/>
        <v>70456.521739130432</v>
      </c>
      <c r="U250" s="29">
        <f t="shared" si="73"/>
        <v>70456.521739130432</v>
      </c>
      <c r="V250" s="29">
        <f t="shared" si="73"/>
        <v>70456.521739130432</v>
      </c>
      <c r="W250" s="29">
        <f t="shared" si="73"/>
        <v>14745652.173913041</v>
      </c>
      <c r="X250" s="29">
        <f t="shared" si="72"/>
        <v>14745652.173913041</v>
      </c>
      <c r="Y250" s="29">
        <f t="shared" si="72"/>
        <v>14745652.173913041</v>
      </c>
    </row>
    <row r="251" spans="1:25" outlineLevel="1" x14ac:dyDescent="0.3">
      <c r="A251" t="s">
        <v>165</v>
      </c>
      <c r="B251" t="s">
        <v>66</v>
      </c>
      <c r="C251" s="6" t="s">
        <v>142</v>
      </c>
      <c r="D251" t="s">
        <v>49</v>
      </c>
      <c r="E251" s="29">
        <f t="shared" ref="E251:W251" si="74">E54/SummerWeekdays</f>
        <v>0</v>
      </c>
      <c r="F251" s="29">
        <f t="shared" si="74"/>
        <v>176527.26304347825</v>
      </c>
      <c r="G251" s="29">
        <f t="shared" si="74"/>
        <v>0</v>
      </c>
      <c r="H251" s="29">
        <f t="shared" si="74"/>
        <v>701521.7391304347</v>
      </c>
      <c r="I251" s="29">
        <f t="shared" si="74"/>
        <v>701521.7391304347</v>
      </c>
      <c r="J251" s="29">
        <f t="shared" si="74"/>
        <v>701521.7391304347</v>
      </c>
      <c r="K251" s="29">
        <f t="shared" si="74"/>
        <v>58475.413043478256</v>
      </c>
      <c r="L251" s="29">
        <f t="shared" si="74"/>
        <v>558478.26086956519</v>
      </c>
      <c r="M251" s="29">
        <f t="shared" si="74"/>
        <v>0</v>
      </c>
      <c r="N251" s="29">
        <f t="shared" si="74"/>
        <v>701521.7391304347</v>
      </c>
      <c r="O251" s="29">
        <f t="shared" si="74"/>
        <v>701521.7391304347</v>
      </c>
      <c r="P251" s="29">
        <f t="shared" si="74"/>
        <v>701521.7391304347</v>
      </c>
      <c r="Q251" s="29">
        <f t="shared" si="74"/>
        <v>70304.347826086945</v>
      </c>
      <c r="R251" s="29">
        <f t="shared" si="74"/>
        <v>70304.347826086945</v>
      </c>
      <c r="S251" s="29">
        <f t="shared" si="74"/>
        <v>70304.347826086945</v>
      </c>
      <c r="T251" s="29">
        <f t="shared" si="74"/>
        <v>70304.347826086945</v>
      </c>
      <c r="U251" s="29">
        <f t="shared" si="74"/>
        <v>70304.347826086945</v>
      </c>
      <c r="V251" s="29">
        <f t="shared" si="74"/>
        <v>70304.347826086945</v>
      </c>
      <c r="W251" s="29">
        <f t="shared" si="74"/>
        <v>14745652.173913041</v>
      </c>
      <c r="X251" s="29">
        <f t="shared" si="72"/>
        <v>14745652.173913041</v>
      </c>
      <c r="Y251" s="29">
        <f t="shared" si="72"/>
        <v>14745652.173913041</v>
      </c>
    </row>
    <row r="252" spans="1:25" outlineLevel="1" x14ac:dyDescent="0.3">
      <c r="A252" t="s">
        <v>165</v>
      </c>
      <c r="B252" t="s">
        <v>67</v>
      </c>
      <c r="C252" s="6" t="s">
        <v>143</v>
      </c>
      <c r="D252" t="s">
        <v>49</v>
      </c>
      <c r="E252" s="29">
        <f t="shared" ref="E252:W252" si="75">E55/SummerWeekdays</f>
        <v>0</v>
      </c>
      <c r="F252" s="29">
        <f t="shared" si="75"/>
        <v>184618.85217391301</v>
      </c>
      <c r="G252" s="29">
        <f t="shared" si="75"/>
        <v>0</v>
      </c>
      <c r="H252" s="29">
        <f t="shared" si="75"/>
        <v>716739.13043478248</v>
      </c>
      <c r="I252" s="29">
        <f t="shared" si="75"/>
        <v>716739.13043478248</v>
      </c>
      <c r="J252" s="29">
        <f t="shared" si="75"/>
        <v>716739.13043478248</v>
      </c>
      <c r="K252" s="29">
        <f t="shared" si="75"/>
        <v>60285.263043478255</v>
      </c>
      <c r="L252" s="29">
        <f t="shared" si="75"/>
        <v>556956.52173913037</v>
      </c>
      <c r="M252" s="29">
        <f t="shared" si="75"/>
        <v>0</v>
      </c>
      <c r="N252" s="29">
        <f t="shared" si="75"/>
        <v>716739.13043478248</v>
      </c>
      <c r="O252" s="29">
        <f t="shared" si="75"/>
        <v>716739.13043478248</v>
      </c>
      <c r="P252" s="29">
        <f t="shared" si="75"/>
        <v>716739.13043478248</v>
      </c>
      <c r="Q252" s="29">
        <f t="shared" si="75"/>
        <v>70456.521739130432</v>
      </c>
      <c r="R252" s="29">
        <f t="shared" si="75"/>
        <v>70456.521739130432</v>
      </c>
      <c r="S252" s="29">
        <f t="shared" si="75"/>
        <v>70456.521739130432</v>
      </c>
      <c r="T252" s="29">
        <f t="shared" si="75"/>
        <v>70456.521739130432</v>
      </c>
      <c r="U252" s="29">
        <f t="shared" si="75"/>
        <v>70456.521739130432</v>
      </c>
      <c r="V252" s="29">
        <f t="shared" si="75"/>
        <v>70456.521739130432</v>
      </c>
      <c r="W252" s="29">
        <f t="shared" si="75"/>
        <v>14745652.173913041</v>
      </c>
      <c r="X252" s="29">
        <f t="shared" si="72"/>
        <v>14745652.173913041</v>
      </c>
      <c r="Y252" s="29">
        <f t="shared" si="72"/>
        <v>14745652.173913041</v>
      </c>
    </row>
    <row r="253" spans="1:25" outlineLevel="1" x14ac:dyDescent="0.3">
      <c r="A253" t="s">
        <v>165</v>
      </c>
      <c r="B253" t="s">
        <v>68</v>
      </c>
      <c r="C253" s="6" t="s">
        <v>144</v>
      </c>
      <c r="D253" t="s">
        <v>49</v>
      </c>
      <c r="E253" s="29">
        <f t="shared" ref="E253:W253" si="76">E56/SummerWeekdays</f>
        <v>0</v>
      </c>
      <c r="F253" s="29">
        <f t="shared" si="76"/>
        <v>203462.7913043478</v>
      </c>
      <c r="G253" s="29">
        <f t="shared" si="76"/>
        <v>0</v>
      </c>
      <c r="H253" s="29">
        <f t="shared" si="76"/>
        <v>922173.91304347815</v>
      </c>
      <c r="I253" s="29">
        <f t="shared" si="76"/>
        <v>922173.91304347815</v>
      </c>
      <c r="J253" s="29">
        <f t="shared" si="76"/>
        <v>922173.91304347815</v>
      </c>
      <c r="K253" s="29">
        <f t="shared" si="76"/>
        <v>58460.72826086956</v>
      </c>
      <c r="L253" s="29">
        <f t="shared" si="76"/>
        <v>572173.91304347815</v>
      </c>
      <c r="M253" s="29">
        <f t="shared" si="76"/>
        <v>0</v>
      </c>
      <c r="N253" s="29">
        <f t="shared" si="76"/>
        <v>922173.91304347815</v>
      </c>
      <c r="O253" s="29">
        <f t="shared" si="76"/>
        <v>922173.91304347815</v>
      </c>
      <c r="P253" s="29">
        <f t="shared" si="76"/>
        <v>922173.91304347815</v>
      </c>
      <c r="Q253" s="29">
        <f t="shared" si="76"/>
        <v>70304.347826086945</v>
      </c>
      <c r="R253" s="29">
        <f t="shared" si="76"/>
        <v>70304.347826086945</v>
      </c>
      <c r="S253" s="29">
        <f t="shared" si="76"/>
        <v>70304.347826086945</v>
      </c>
      <c r="T253" s="29">
        <f t="shared" si="76"/>
        <v>70304.347826086945</v>
      </c>
      <c r="U253" s="29">
        <f t="shared" si="76"/>
        <v>70304.347826086945</v>
      </c>
      <c r="V253" s="29">
        <f t="shared" si="76"/>
        <v>70304.347826086945</v>
      </c>
      <c r="W253" s="29">
        <f t="shared" si="76"/>
        <v>14760869.565217389</v>
      </c>
      <c r="X253" s="29">
        <f t="shared" si="72"/>
        <v>14760869.565217389</v>
      </c>
      <c r="Y253" s="29">
        <f t="shared" si="72"/>
        <v>14760869.565217389</v>
      </c>
    </row>
    <row r="254" spans="1:25" outlineLevel="1" x14ac:dyDescent="0.3">
      <c r="A254" t="s">
        <v>165</v>
      </c>
      <c r="B254" t="s">
        <v>69</v>
      </c>
      <c r="C254" s="6" t="s">
        <v>145</v>
      </c>
      <c r="D254" t="s">
        <v>49</v>
      </c>
      <c r="E254" s="29">
        <f t="shared" ref="E254:W254" si="77">E57/SummerWeekdays</f>
        <v>0</v>
      </c>
      <c r="F254" s="29">
        <f t="shared" si="77"/>
        <v>225716.59782608692</v>
      </c>
      <c r="G254" s="29">
        <f t="shared" si="77"/>
        <v>0</v>
      </c>
      <c r="H254" s="29">
        <f t="shared" si="77"/>
        <v>1585652.1739130432</v>
      </c>
      <c r="I254" s="29">
        <f t="shared" si="77"/>
        <v>1585652.1739130432</v>
      </c>
      <c r="J254" s="29">
        <f t="shared" si="77"/>
        <v>1585652.1739130432</v>
      </c>
      <c r="K254" s="29">
        <f t="shared" si="77"/>
        <v>84230.513043478248</v>
      </c>
      <c r="L254" s="29">
        <f t="shared" si="77"/>
        <v>614782.6086956521</v>
      </c>
      <c r="M254" s="29">
        <f t="shared" si="77"/>
        <v>0</v>
      </c>
      <c r="N254" s="29">
        <f t="shared" si="77"/>
        <v>1585652.1739130432</v>
      </c>
      <c r="O254" s="29">
        <f t="shared" si="77"/>
        <v>1585652.1739130432</v>
      </c>
      <c r="P254" s="29">
        <f t="shared" si="77"/>
        <v>1585652.1739130432</v>
      </c>
      <c r="Q254" s="29">
        <f t="shared" si="77"/>
        <v>70608.695652173905</v>
      </c>
      <c r="R254" s="29">
        <f t="shared" si="77"/>
        <v>70608.695652173905</v>
      </c>
      <c r="S254" s="29">
        <f t="shared" si="77"/>
        <v>70608.695652173905</v>
      </c>
      <c r="T254" s="29">
        <f t="shared" si="77"/>
        <v>70608.695652173905</v>
      </c>
      <c r="U254" s="29">
        <f t="shared" si="77"/>
        <v>70608.695652173905</v>
      </c>
      <c r="V254" s="29">
        <f t="shared" si="77"/>
        <v>70608.695652173905</v>
      </c>
      <c r="W254" s="29">
        <f t="shared" si="77"/>
        <v>14821739.130434781</v>
      </c>
      <c r="X254" s="29">
        <f t="shared" si="72"/>
        <v>14821739.130434781</v>
      </c>
      <c r="Y254" s="29">
        <f t="shared" si="72"/>
        <v>14821739.130434781</v>
      </c>
    </row>
    <row r="255" spans="1:25" outlineLevel="1" x14ac:dyDescent="0.3">
      <c r="A255" t="s">
        <v>165</v>
      </c>
      <c r="B255" t="s">
        <v>70</v>
      </c>
      <c r="C255" s="6" t="s">
        <v>146</v>
      </c>
      <c r="D255" t="s">
        <v>49</v>
      </c>
      <c r="E255" s="29">
        <f t="shared" ref="E255:W255" si="78">E58/SummerWeekdays</f>
        <v>0</v>
      </c>
      <c r="F255" s="29">
        <f t="shared" si="78"/>
        <v>233710.96304347823</v>
      </c>
      <c r="G255" s="29">
        <f t="shared" si="78"/>
        <v>0</v>
      </c>
      <c r="H255" s="29">
        <f t="shared" si="78"/>
        <v>1081956.5217391304</v>
      </c>
      <c r="I255" s="29">
        <f t="shared" si="78"/>
        <v>1081956.5217391304</v>
      </c>
      <c r="J255" s="29">
        <f t="shared" si="78"/>
        <v>1081956.5217391304</v>
      </c>
      <c r="K255" s="29">
        <f t="shared" si="78"/>
        <v>86240.319565217374</v>
      </c>
      <c r="L255" s="29">
        <f t="shared" si="78"/>
        <v>709130.43478260865</v>
      </c>
      <c r="M255" s="29">
        <f t="shared" si="78"/>
        <v>0</v>
      </c>
      <c r="N255" s="29">
        <f t="shared" si="78"/>
        <v>1081956.5217391304</v>
      </c>
      <c r="O255" s="29">
        <f t="shared" si="78"/>
        <v>1081956.5217391304</v>
      </c>
      <c r="P255" s="29">
        <f t="shared" si="78"/>
        <v>1081956.5217391304</v>
      </c>
      <c r="Q255" s="29">
        <f t="shared" si="78"/>
        <v>102108.6956521739</v>
      </c>
      <c r="R255" s="29">
        <f t="shared" si="78"/>
        <v>102108.6956521739</v>
      </c>
      <c r="S255" s="29">
        <f t="shared" si="78"/>
        <v>102108.6956521739</v>
      </c>
      <c r="T255" s="29">
        <f t="shared" si="78"/>
        <v>102108.6956521739</v>
      </c>
      <c r="U255" s="29">
        <f t="shared" si="78"/>
        <v>102108.6956521739</v>
      </c>
      <c r="V255" s="29">
        <f t="shared" si="78"/>
        <v>102108.6956521739</v>
      </c>
      <c r="W255" s="29">
        <f t="shared" si="78"/>
        <v>14913043.478260867</v>
      </c>
      <c r="X255" s="29">
        <f t="shared" si="72"/>
        <v>14913043.478260867</v>
      </c>
      <c r="Y255" s="29">
        <f t="shared" si="72"/>
        <v>14913043.478260867</v>
      </c>
    </row>
    <row r="256" spans="1:25" outlineLevel="1" x14ac:dyDescent="0.3">
      <c r="A256" t="s">
        <v>165</v>
      </c>
      <c r="B256" t="s">
        <v>71</v>
      </c>
      <c r="C256" s="6" t="s">
        <v>147</v>
      </c>
      <c r="D256" t="s">
        <v>49</v>
      </c>
      <c r="E256" s="29">
        <f t="shared" ref="E256:W256" si="79">E59/SummerWeekdays</f>
        <v>0</v>
      </c>
      <c r="F256" s="29">
        <f t="shared" si="79"/>
        <v>226355.04347826084</v>
      </c>
      <c r="G256" s="29">
        <f t="shared" si="79"/>
        <v>0</v>
      </c>
      <c r="H256" s="29">
        <f t="shared" si="79"/>
        <v>718260.86956521729</v>
      </c>
      <c r="I256" s="29">
        <f t="shared" si="79"/>
        <v>718260.86956521729</v>
      </c>
      <c r="J256" s="29">
        <f t="shared" si="79"/>
        <v>718260.86956521729</v>
      </c>
      <c r="K256" s="29">
        <f t="shared" si="79"/>
        <v>92364.436956521735</v>
      </c>
      <c r="L256" s="29">
        <f t="shared" si="79"/>
        <v>867391.30434782594</v>
      </c>
      <c r="M256" s="29">
        <f t="shared" si="79"/>
        <v>0</v>
      </c>
      <c r="N256" s="29">
        <f t="shared" si="79"/>
        <v>718260.86956521729</v>
      </c>
      <c r="O256" s="29">
        <f t="shared" si="79"/>
        <v>718260.86956521729</v>
      </c>
      <c r="P256" s="29">
        <f t="shared" si="79"/>
        <v>718260.86956521729</v>
      </c>
      <c r="Q256" s="29">
        <f t="shared" si="79"/>
        <v>205434.78260869562</v>
      </c>
      <c r="R256" s="29">
        <f t="shared" si="79"/>
        <v>205434.78260869562</v>
      </c>
      <c r="S256" s="29">
        <f t="shared" si="79"/>
        <v>205434.78260869562</v>
      </c>
      <c r="T256" s="29">
        <f t="shared" si="79"/>
        <v>205434.78260869562</v>
      </c>
      <c r="U256" s="29">
        <f t="shared" si="79"/>
        <v>205434.78260869562</v>
      </c>
      <c r="V256" s="29">
        <f t="shared" si="79"/>
        <v>205434.78260869562</v>
      </c>
      <c r="W256" s="29">
        <f t="shared" si="79"/>
        <v>15004347.826086955</v>
      </c>
      <c r="X256" s="29">
        <f t="shared" si="72"/>
        <v>15004347.826086955</v>
      </c>
      <c r="Y256" s="29">
        <f t="shared" si="72"/>
        <v>15004347.826086955</v>
      </c>
    </row>
    <row r="257" spans="1:25" outlineLevel="1" x14ac:dyDescent="0.3">
      <c r="A257" t="s">
        <v>165</v>
      </c>
      <c r="B257" t="s">
        <v>72</v>
      </c>
      <c r="C257" s="6" t="s">
        <v>148</v>
      </c>
      <c r="D257" t="s">
        <v>49</v>
      </c>
      <c r="E257" s="29">
        <f t="shared" ref="E257:W257" si="80">E60/SummerWeekdays</f>
        <v>0</v>
      </c>
      <c r="F257" s="29">
        <f t="shared" si="80"/>
        <v>234257.34347826085</v>
      </c>
      <c r="G257" s="29">
        <f t="shared" si="80"/>
        <v>0</v>
      </c>
      <c r="H257" s="29">
        <f t="shared" si="80"/>
        <v>703043.47826086951</v>
      </c>
      <c r="I257" s="29">
        <f t="shared" si="80"/>
        <v>703043.47826086951</v>
      </c>
      <c r="J257" s="29">
        <f t="shared" si="80"/>
        <v>703043.47826086951</v>
      </c>
      <c r="K257" s="29">
        <f t="shared" si="80"/>
        <v>58349.078260869559</v>
      </c>
      <c r="L257" s="29">
        <f t="shared" si="80"/>
        <v>1084999.9999999998</v>
      </c>
      <c r="M257" s="29">
        <f t="shared" si="80"/>
        <v>0</v>
      </c>
      <c r="N257" s="29">
        <f t="shared" si="80"/>
        <v>703043.47826086951</v>
      </c>
      <c r="O257" s="29">
        <f t="shared" si="80"/>
        <v>703043.47826086951</v>
      </c>
      <c r="P257" s="29">
        <f t="shared" si="80"/>
        <v>703043.47826086951</v>
      </c>
      <c r="Q257" s="29">
        <f t="shared" si="80"/>
        <v>208326.0869565217</v>
      </c>
      <c r="R257" s="29">
        <f t="shared" si="80"/>
        <v>208326.0869565217</v>
      </c>
      <c r="S257" s="29">
        <f t="shared" si="80"/>
        <v>208326.0869565217</v>
      </c>
      <c r="T257" s="29">
        <f t="shared" si="80"/>
        <v>208326.0869565217</v>
      </c>
      <c r="U257" s="29">
        <f t="shared" si="80"/>
        <v>208326.0869565217</v>
      </c>
      <c r="V257" s="29">
        <f t="shared" si="80"/>
        <v>208326.0869565217</v>
      </c>
      <c r="W257" s="29">
        <f t="shared" si="80"/>
        <v>15034782.60869565</v>
      </c>
      <c r="X257" s="29">
        <f t="shared" si="72"/>
        <v>15034782.60869565</v>
      </c>
      <c r="Y257" s="29">
        <f t="shared" si="72"/>
        <v>15034782.60869565</v>
      </c>
    </row>
    <row r="258" spans="1:25" outlineLevel="1" x14ac:dyDescent="0.3">
      <c r="A258" t="s">
        <v>165</v>
      </c>
      <c r="B258" t="s">
        <v>73</v>
      </c>
      <c r="C258" s="6" t="s">
        <v>149</v>
      </c>
      <c r="D258" t="s">
        <v>49</v>
      </c>
      <c r="E258" s="29">
        <f t="shared" ref="E258:W258" si="81">E61/SummerWeekdays</f>
        <v>0</v>
      </c>
      <c r="F258" s="29">
        <f t="shared" si="81"/>
        <v>253890.57826086954</v>
      </c>
      <c r="G258" s="29">
        <f t="shared" si="81"/>
        <v>0</v>
      </c>
      <c r="H258" s="29">
        <f t="shared" si="81"/>
        <v>677173.91304347815</v>
      </c>
      <c r="I258" s="29">
        <f t="shared" si="81"/>
        <v>677173.91304347815</v>
      </c>
      <c r="J258" s="29">
        <f t="shared" si="81"/>
        <v>677173.91304347815</v>
      </c>
      <c r="K258" s="29">
        <f t="shared" si="81"/>
        <v>45199.319565217389</v>
      </c>
      <c r="L258" s="29">
        <f t="shared" si="81"/>
        <v>1264565.2173913042</v>
      </c>
      <c r="M258" s="29">
        <f t="shared" si="81"/>
        <v>0</v>
      </c>
      <c r="N258" s="29">
        <f t="shared" si="81"/>
        <v>677173.91304347815</v>
      </c>
      <c r="O258" s="29">
        <f t="shared" si="81"/>
        <v>677173.91304347815</v>
      </c>
      <c r="P258" s="29">
        <f t="shared" si="81"/>
        <v>677173.91304347815</v>
      </c>
      <c r="Q258" s="29">
        <f t="shared" si="81"/>
        <v>187478.26086956519</v>
      </c>
      <c r="R258" s="29">
        <f t="shared" si="81"/>
        <v>187478.26086956519</v>
      </c>
      <c r="S258" s="29">
        <f t="shared" si="81"/>
        <v>187478.26086956519</v>
      </c>
      <c r="T258" s="29">
        <f t="shared" si="81"/>
        <v>187478.26086956519</v>
      </c>
      <c r="U258" s="29">
        <f t="shared" si="81"/>
        <v>187478.26086956519</v>
      </c>
      <c r="V258" s="29">
        <f t="shared" si="81"/>
        <v>187478.26086956519</v>
      </c>
      <c r="W258" s="29">
        <f t="shared" si="81"/>
        <v>15004347.826086955</v>
      </c>
      <c r="X258" s="29">
        <f t="shared" si="72"/>
        <v>15004347.826086955</v>
      </c>
      <c r="Y258" s="29">
        <f t="shared" si="72"/>
        <v>15004347.826086955</v>
      </c>
    </row>
    <row r="259" spans="1:25" outlineLevel="1" x14ac:dyDescent="0.3">
      <c r="A259" t="s">
        <v>165</v>
      </c>
      <c r="B259" t="s">
        <v>74</v>
      </c>
      <c r="C259" s="6" t="s">
        <v>150</v>
      </c>
      <c r="D259" t="s">
        <v>49</v>
      </c>
      <c r="E259" s="29">
        <f t="shared" ref="E259:W259" si="82">E62/SummerWeekdays</f>
        <v>0</v>
      </c>
      <c r="F259" s="29">
        <f t="shared" si="82"/>
        <v>305582.76304347825</v>
      </c>
      <c r="G259" s="29">
        <f t="shared" si="82"/>
        <v>0</v>
      </c>
      <c r="H259" s="29">
        <f t="shared" si="82"/>
        <v>687826.08695652161</v>
      </c>
      <c r="I259" s="29">
        <f t="shared" si="82"/>
        <v>687826.08695652161</v>
      </c>
      <c r="J259" s="29">
        <f t="shared" si="82"/>
        <v>687826.08695652161</v>
      </c>
      <c r="K259" s="29">
        <f t="shared" si="82"/>
        <v>38343.702173913036</v>
      </c>
      <c r="L259" s="29">
        <f t="shared" si="82"/>
        <v>1407608.6956521738</v>
      </c>
      <c r="M259" s="29">
        <f t="shared" si="82"/>
        <v>0</v>
      </c>
      <c r="N259" s="29">
        <f t="shared" si="82"/>
        <v>687826.08695652161</v>
      </c>
      <c r="O259" s="29">
        <f t="shared" si="82"/>
        <v>687826.08695652161</v>
      </c>
      <c r="P259" s="29">
        <f t="shared" si="82"/>
        <v>687826.08695652161</v>
      </c>
      <c r="Q259" s="29">
        <f t="shared" si="82"/>
        <v>154760.86956521738</v>
      </c>
      <c r="R259" s="29">
        <f t="shared" si="82"/>
        <v>154760.86956521738</v>
      </c>
      <c r="S259" s="29">
        <f t="shared" si="82"/>
        <v>154760.86956521738</v>
      </c>
      <c r="T259" s="29">
        <f t="shared" si="82"/>
        <v>154760.86956521738</v>
      </c>
      <c r="U259" s="29">
        <f t="shared" si="82"/>
        <v>154760.86956521738</v>
      </c>
      <c r="V259" s="29">
        <f t="shared" si="82"/>
        <v>154760.86956521738</v>
      </c>
      <c r="W259" s="29">
        <f t="shared" si="82"/>
        <v>14989130.434782607</v>
      </c>
      <c r="X259" s="29">
        <f t="shared" si="72"/>
        <v>14989130.434782607</v>
      </c>
      <c r="Y259" s="29">
        <f t="shared" si="72"/>
        <v>14989130.434782607</v>
      </c>
    </row>
    <row r="260" spans="1:25" outlineLevel="1" x14ac:dyDescent="0.3">
      <c r="A260" t="s">
        <v>165</v>
      </c>
      <c r="B260" t="s">
        <v>75</v>
      </c>
      <c r="C260" s="6" t="s">
        <v>151</v>
      </c>
      <c r="D260" t="s">
        <v>49</v>
      </c>
      <c r="E260" s="29">
        <f t="shared" ref="E260:W260" si="83">E63/SummerWeekdays</f>
        <v>0</v>
      </c>
      <c r="F260" s="29">
        <f t="shared" si="83"/>
        <v>394961.04565217387</v>
      </c>
      <c r="G260" s="29">
        <f t="shared" si="83"/>
        <v>0</v>
      </c>
      <c r="H260" s="29">
        <f t="shared" si="83"/>
        <v>753260.86956521729</v>
      </c>
      <c r="I260" s="29">
        <f t="shared" si="83"/>
        <v>753260.86956521729</v>
      </c>
      <c r="J260" s="29">
        <f t="shared" si="83"/>
        <v>753260.86956521729</v>
      </c>
      <c r="K260" s="29">
        <f t="shared" si="83"/>
        <v>33425.943478260866</v>
      </c>
      <c r="L260" s="29">
        <f t="shared" si="83"/>
        <v>1501956.5217391301</v>
      </c>
      <c r="M260" s="29">
        <f t="shared" si="83"/>
        <v>0</v>
      </c>
      <c r="N260" s="29">
        <f t="shared" si="83"/>
        <v>753260.86956521729</v>
      </c>
      <c r="O260" s="29">
        <f t="shared" si="83"/>
        <v>753260.86956521729</v>
      </c>
      <c r="P260" s="29">
        <f t="shared" si="83"/>
        <v>753260.86956521729</v>
      </c>
      <c r="Q260" s="29">
        <f t="shared" si="83"/>
        <v>154760.86956521738</v>
      </c>
      <c r="R260" s="29">
        <f t="shared" si="83"/>
        <v>154760.86956521738</v>
      </c>
      <c r="S260" s="29">
        <f t="shared" si="83"/>
        <v>154760.86956521738</v>
      </c>
      <c r="T260" s="29">
        <f t="shared" si="83"/>
        <v>154760.86956521738</v>
      </c>
      <c r="U260" s="29">
        <f t="shared" si="83"/>
        <v>154760.86956521738</v>
      </c>
      <c r="V260" s="29">
        <f t="shared" si="83"/>
        <v>154760.86956521738</v>
      </c>
      <c r="W260" s="29">
        <f t="shared" si="83"/>
        <v>14958695.65217391</v>
      </c>
      <c r="X260" s="29">
        <f t="shared" si="72"/>
        <v>14958695.65217391</v>
      </c>
      <c r="Y260" s="29">
        <f t="shared" si="72"/>
        <v>14958695.65217391</v>
      </c>
    </row>
    <row r="261" spans="1:25" outlineLevel="1" x14ac:dyDescent="0.3">
      <c r="A261" t="s">
        <v>165</v>
      </c>
      <c r="B261" t="s">
        <v>76</v>
      </c>
      <c r="C261" s="6" t="s">
        <v>152</v>
      </c>
      <c r="D261" t="s">
        <v>49</v>
      </c>
      <c r="E261" s="29">
        <f t="shared" ref="E261:W261" si="84">E64/SummerWeekdays</f>
        <v>0</v>
      </c>
      <c r="F261" s="29">
        <f t="shared" si="84"/>
        <v>473260.86956521735</v>
      </c>
      <c r="G261" s="29">
        <f t="shared" si="84"/>
        <v>0</v>
      </c>
      <c r="H261" s="29">
        <f t="shared" si="84"/>
        <v>792826.08695652161</v>
      </c>
      <c r="I261" s="29">
        <f t="shared" si="84"/>
        <v>792826.08695652161</v>
      </c>
      <c r="J261" s="29">
        <f t="shared" si="84"/>
        <v>792826.08695652161</v>
      </c>
      <c r="K261" s="29">
        <f t="shared" si="84"/>
        <v>30126.128260869562</v>
      </c>
      <c r="L261" s="29">
        <f t="shared" si="84"/>
        <v>1533913.0434782607</v>
      </c>
      <c r="M261" s="29">
        <f t="shared" si="84"/>
        <v>0</v>
      </c>
      <c r="N261" s="29">
        <f t="shared" si="84"/>
        <v>792826.08695652161</v>
      </c>
      <c r="O261" s="29">
        <f t="shared" si="84"/>
        <v>792826.08695652161</v>
      </c>
      <c r="P261" s="29">
        <f t="shared" si="84"/>
        <v>792826.08695652161</v>
      </c>
      <c r="Q261" s="29">
        <f t="shared" si="84"/>
        <v>155217.39130434781</v>
      </c>
      <c r="R261" s="29">
        <f t="shared" si="84"/>
        <v>155217.39130434781</v>
      </c>
      <c r="S261" s="29">
        <f t="shared" si="84"/>
        <v>155217.39130434781</v>
      </c>
      <c r="T261" s="29">
        <f t="shared" si="84"/>
        <v>155217.39130434781</v>
      </c>
      <c r="U261" s="29">
        <f t="shared" si="84"/>
        <v>155217.39130434781</v>
      </c>
      <c r="V261" s="29">
        <f t="shared" si="84"/>
        <v>155217.39130434781</v>
      </c>
      <c r="W261" s="29">
        <f t="shared" si="84"/>
        <v>14913043.478260867</v>
      </c>
      <c r="X261" s="29">
        <f t="shared" si="72"/>
        <v>14913043.478260867</v>
      </c>
      <c r="Y261" s="29">
        <f t="shared" si="72"/>
        <v>14913043.478260867</v>
      </c>
    </row>
    <row r="262" spans="1:25" outlineLevel="1" x14ac:dyDescent="0.3">
      <c r="A262" t="s">
        <v>165</v>
      </c>
      <c r="B262" t="s">
        <v>77</v>
      </c>
      <c r="C262" s="6" t="s">
        <v>153</v>
      </c>
      <c r="D262" t="s">
        <v>49</v>
      </c>
      <c r="E262" s="29">
        <f t="shared" ref="E262:W262" si="85">E65/SummerWeekdays</f>
        <v>0</v>
      </c>
      <c r="F262" s="29">
        <f t="shared" si="85"/>
        <v>515869.56521739124</v>
      </c>
      <c r="G262" s="29">
        <f t="shared" si="85"/>
        <v>0</v>
      </c>
      <c r="H262" s="29">
        <f t="shared" si="85"/>
        <v>806521.7391304347</v>
      </c>
      <c r="I262" s="29">
        <f t="shared" si="85"/>
        <v>806521.7391304347</v>
      </c>
      <c r="J262" s="29">
        <f t="shared" si="85"/>
        <v>806521.7391304347</v>
      </c>
      <c r="K262" s="29">
        <f t="shared" si="85"/>
        <v>27306.665217391303</v>
      </c>
      <c r="L262" s="29">
        <f t="shared" si="85"/>
        <v>1596304.3478260867</v>
      </c>
      <c r="M262" s="29">
        <f t="shared" si="85"/>
        <v>0</v>
      </c>
      <c r="N262" s="29">
        <f t="shared" si="85"/>
        <v>806521.7391304347</v>
      </c>
      <c r="O262" s="29">
        <f t="shared" si="85"/>
        <v>806521.7391304347</v>
      </c>
      <c r="P262" s="29">
        <f t="shared" si="85"/>
        <v>806521.7391304347</v>
      </c>
      <c r="Q262" s="29">
        <f t="shared" si="85"/>
        <v>155217.39130434781</v>
      </c>
      <c r="R262" s="29">
        <f t="shared" si="85"/>
        <v>155217.39130434781</v>
      </c>
      <c r="S262" s="29">
        <f t="shared" si="85"/>
        <v>155217.39130434781</v>
      </c>
      <c r="T262" s="29">
        <f t="shared" si="85"/>
        <v>155217.39130434781</v>
      </c>
      <c r="U262" s="29">
        <f t="shared" si="85"/>
        <v>155217.39130434781</v>
      </c>
      <c r="V262" s="29">
        <f t="shared" si="85"/>
        <v>155217.39130434781</v>
      </c>
      <c r="W262" s="29">
        <f t="shared" si="85"/>
        <v>14913043.478260867</v>
      </c>
      <c r="X262" s="29">
        <f t="shared" si="72"/>
        <v>14913043.478260867</v>
      </c>
      <c r="Y262" s="29">
        <f t="shared" si="72"/>
        <v>14913043.478260867</v>
      </c>
    </row>
    <row r="263" spans="1:25" outlineLevel="1" x14ac:dyDescent="0.3">
      <c r="A263" t="s">
        <v>165</v>
      </c>
      <c r="B263" t="s">
        <v>78</v>
      </c>
      <c r="C263" s="6" t="s">
        <v>154</v>
      </c>
      <c r="D263" t="s">
        <v>49</v>
      </c>
      <c r="E263" s="29">
        <f t="shared" ref="E263:W263" si="86">E66/SummerWeekdays</f>
        <v>0</v>
      </c>
      <c r="F263" s="29">
        <f t="shared" si="86"/>
        <v>549347.82608695643</v>
      </c>
      <c r="G263" s="29">
        <f t="shared" si="86"/>
        <v>0</v>
      </c>
      <c r="H263" s="29">
        <f t="shared" si="86"/>
        <v>824782.6086956521</v>
      </c>
      <c r="I263" s="29">
        <f t="shared" si="86"/>
        <v>824782.6086956521</v>
      </c>
      <c r="J263" s="29">
        <f t="shared" si="86"/>
        <v>824782.6086956521</v>
      </c>
      <c r="K263" s="29">
        <f t="shared" si="86"/>
        <v>24895.78913043478</v>
      </c>
      <c r="L263" s="29">
        <f t="shared" si="86"/>
        <v>1629782.6086956519</v>
      </c>
      <c r="M263" s="29">
        <f t="shared" si="86"/>
        <v>0</v>
      </c>
      <c r="N263" s="29">
        <f t="shared" si="86"/>
        <v>824782.6086956521</v>
      </c>
      <c r="O263" s="29">
        <f t="shared" si="86"/>
        <v>824782.6086956521</v>
      </c>
      <c r="P263" s="29">
        <f t="shared" si="86"/>
        <v>824782.6086956521</v>
      </c>
      <c r="Q263" s="29">
        <f t="shared" si="86"/>
        <v>154760.86956521738</v>
      </c>
      <c r="R263" s="29">
        <f t="shared" si="86"/>
        <v>154760.86956521738</v>
      </c>
      <c r="S263" s="29">
        <f t="shared" si="86"/>
        <v>154760.86956521738</v>
      </c>
      <c r="T263" s="29">
        <f t="shared" si="86"/>
        <v>154760.86956521738</v>
      </c>
      <c r="U263" s="29">
        <f t="shared" si="86"/>
        <v>154760.86956521738</v>
      </c>
      <c r="V263" s="29">
        <f t="shared" si="86"/>
        <v>154760.86956521738</v>
      </c>
      <c r="W263" s="29">
        <f t="shared" si="86"/>
        <v>14928260.869565215</v>
      </c>
      <c r="X263" s="29">
        <f t="shared" si="72"/>
        <v>14928260.869565215</v>
      </c>
      <c r="Y263" s="29">
        <f t="shared" si="72"/>
        <v>14928260.869565215</v>
      </c>
    </row>
    <row r="264" spans="1:25" outlineLevel="1" x14ac:dyDescent="0.3">
      <c r="A264" t="s">
        <v>165</v>
      </c>
      <c r="B264" t="s">
        <v>79</v>
      </c>
      <c r="C264" s="6" t="s">
        <v>155</v>
      </c>
      <c r="D264" t="s">
        <v>49</v>
      </c>
      <c r="E264" s="29">
        <f t="shared" ref="E264:W264" si="87">E67/SummerWeekdays</f>
        <v>0</v>
      </c>
      <c r="F264" s="29">
        <f t="shared" si="87"/>
        <v>588913.04347826075</v>
      </c>
      <c r="G264" s="29">
        <f t="shared" si="87"/>
        <v>0</v>
      </c>
      <c r="H264" s="29">
        <f t="shared" si="87"/>
        <v>893260.86956521729</v>
      </c>
      <c r="I264" s="29">
        <f t="shared" si="87"/>
        <v>893260.86956521729</v>
      </c>
      <c r="J264" s="29">
        <f t="shared" si="87"/>
        <v>893260.86956521729</v>
      </c>
      <c r="K264" s="29">
        <f t="shared" si="87"/>
        <v>22613.956521739128</v>
      </c>
      <c r="L264" s="29">
        <f t="shared" si="87"/>
        <v>1616086.956521739</v>
      </c>
      <c r="M264" s="29">
        <f t="shared" si="87"/>
        <v>0</v>
      </c>
      <c r="N264" s="29">
        <f t="shared" si="87"/>
        <v>893260.86956521729</v>
      </c>
      <c r="O264" s="29">
        <f t="shared" si="87"/>
        <v>893260.86956521729</v>
      </c>
      <c r="P264" s="29">
        <f t="shared" si="87"/>
        <v>893260.86956521729</v>
      </c>
      <c r="Q264" s="29">
        <f t="shared" si="87"/>
        <v>186108.69565217389</v>
      </c>
      <c r="R264" s="29">
        <f t="shared" si="87"/>
        <v>186108.69565217389</v>
      </c>
      <c r="S264" s="29">
        <f t="shared" si="87"/>
        <v>186108.69565217389</v>
      </c>
      <c r="T264" s="29">
        <f t="shared" si="87"/>
        <v>186108.69565217389</v>
      </c>
      <c r="U264" s="29">
        <f t="shared" si="87"/>
        <v>186108.69565217389</v>
      </c>
      <c r="V264" s="29">
        <f t="shared" si="87"/>
        <v>186108.69565217389</v>
      </c>
      <c r="W264" s="29">
        <f t="shared" si="87"/>
        <v>15004347.826086955</v>
      </c>
      <c r="X264" s="29">
        <f t="shared" si="72"/>
        <v>15004347.826086955</v>
      </c>
      <c r="Y264" s="29">
        <f t="shared" si="72"/>
        <v>15004347.826086955</v>
      </c>
    </row>
    <row r="265" spans="1:25" outlineLevel="1" x14ac:dyDescent="0.3">
      <c r="A265" t="s">
        <v>165</v>
      </c>
      <c r="B265" t="s">
        <v>80</v>
      </c>
      <c r="C265" s="6" t="s">
        <v>156</v>
      </c>
      <c r="D265" t="s">
        <v>49</v>
      </c>
      <c r="E265" s="29">
        <f t="shared" ref="E265:W265" si="88">E68/SummerWeekdays</f>
        <v>0</v>
      </c>
      <c r="F265" s="29">
        <f t="shared" si="88"/>
        <v>607173.91304347815</v>
      </c>
      <c r="G265" s="29">
        <f t="shared" si="88"/>
        <v>0</v>
      </c>
      <c r="H265" s="29">
        <f t="shared" si="88"/>
        <v>972391.30434782594</v>
      </c>
      <c r="I265" s="29">
        <f t="shared" si="88"/>
        <v>972391.30434782594</v>
      </c>
      <c r="J265" s="29">
        <f t="shared" si="88"/>
        <v>972391.30434782594</v>
      </c>
      <c r="K265" s="29">
        <f t="shared" si="88"/>
        <v>21067.321739130432</v>
      </c>
      <c r="L265" s="29">
        <f t="shared" si="88"/>
        <v>1559782.6086956519</v>
      </c>
      <c r="M265" s="29">
        <f t="shared" si="88"/>
        <v>0</v>
      </c>
      <c r="N265" s="29">
        <f t="shared" si="88"/>
        <v>972391.30434782594</v>
      </c>
      <c r="O265" s="29">
        <f t="shared" si="88"/>
        <v>972391.30434782594</v>
      </c>
      <c r="P265" s="29">
        <f t="shared" si="88"/>
        <v>972391.30434782594</v>
      </c>
      <c r="Q265" s="29">
        <f t="shared" si="88"/>
        <v>207717.39130434781</v>
      </c>
      <c r="R265" s="29">
        <f t="shared" si="88"/>
        <v>207717.39130434781</v>
      </c>
      <c r="S265" s="29">
        <f t="shared" si="88"/>
        <v>207717.39130434781</v>
      </c>
      <c r="T265" s="29">
        <f t="shared" si="88"/>
        <v>207717.39130434781</v>
      </c>
      <c r="U265" s="29">
        <f t="shared" si="88"/>
        <v>207717.39130434781</v>
      </c>
      <c r="V265" s="29">
        <f t="shared" si="88"/>
        <v>207717.39130434781</v>
      </c>
      <c r="W265" s="29">
        <f t="shared" si="88"/>
        <v>15095652.173913041</v>
      </c>
      <c r="X265" s="29">
        <f t="shared" si="72"/>
        <v>15095652.173913041</v>
      </c>
      <c r="Y265" s="29">
        <f t="shared" si="72"/>
        <v>15095652.173913041</v>
      </c>
    </row>
    <row r="266" spans="1:25" outlineLevel="1" x14ac:dyDescent="0.3">
      <c r="A266" t="s">
        <v>165</v>
      </c>
      <c r="B266" t="s">
        <v>81</v>
      </c>
      <c r="C266" s="6" t="s">
        <v>157</v>
      </c>
      <c r="D266" t="s">
        <v>49</v>
      </c>
      <c r="E266" s="29">
        <f t="shared" ref="E266:W266" si="89">E69/SummerWeekdays</f>
        <v>0</v>
      </c>
      <c r="F266" s="29">
        <f t="shared" si="89"/>
        <v>604130.43478260865</v>
      </c>
      <c r="G266" s="29">
        <f t="shared" si="89"/>
        <v>0</v>
      </c>
      <c r="H266" s="29">
        <f t="shared" si="89"/>
        <v>1654130.4347826084</v>
      </c>
      <c r="I266" s="29">
        <f t="shared" si="89"/>
        <v>1654130.4347826084</v>
      </c>
      <c r="J266" s="29">
        <f t="shared" si="89"/>
        <v>1654130.4347826084</v>
      </c>
      <c r="K266" s="29">
        <f t="shared" si="89"/>
        <v>21136.910869565214</v>
      </c>
      <c r="L266" s="29">
        <f t="shared" si="89"/>
        <v>1453260.8695652173</v>
      </c>
      <c r="M266" s="29">
        <f t="shared" si="89"/>
        <v>0</v>
      </c>
      <c r="N266" s="29">
        <f t="shared" si="89"/>
        <v>1654130.4347826084</v>
      </c>
      <c r="O266" s="29">
        <f t="shared" si="89"/>
        <v>1654130.4347826084</v>
      </c>
      <c r="P266" s="29">
        <f t="shared" si="89"/>
        <v>1654130.4347826084</v>
      </c>
      <c r="Q266" s="29">
        <f t="shared" si="89"/>
        <v>209695.65217391303</v>
      </c>
      <c r="R266" s="29">
        <f t="shared" si="89"/>
        <v>209695.65217391303</v>
      </c>
      <c r="S266" s="29">
        <f t="shared" si="89"/>
        <v>209695.65217391303</v>
      </c>
      <c r="T266" s="29">
        <f t="shared" si="89"/>
        <v>209695.65217391303</v>
      </c>
      <c r="U266" s="29">
        <f t="shared" si="89"/>
        <v>209695.65217391303</v>
      </c>
      <c r="V266" s="29">
        <f t="shared" si="89"/>
        <v>209695.65217391303</v>
      </c>
      <c r="W266" s="29">
        <f t="shared" si="89"/>
        <v>15095652.173913041</v>
      </c>
      <c r="X266" s="29">
        <f t="shared" si="72"/>
        <v>15095652.173913041</v>
      </c>
      <c r="Y266" s="29">
        <f t="shared" si="72"/>
        <v>15095652.173913041</v>
      </c>
    </row>
    <row r="267" spans="1:25" outlineLevel="1" x14ac:dyDescent="0.3">
      <c r="A267" t="s">
        <v>165</v>
      </c>
      <c r="B267" t="s">
        <v>82</v>
      </c>
      <c r="C267" s="6" t="s">
        <v>158</v>
      </c>
      <c r="D267" t="s">
        <v>49</v>
      </c>
      <c r="E267" s="29">
        <f t="shared" ref="E267:W267" si="90">E70/SummerWeekdays</f>
        <v>0</v>
      </c>
      <c r="F267" s="29">
        <f t="shared" si="90"/>
        <v>578260.86956521729</v>
      </c>
      <c r="G267" s="29">
        <f t="shared" si="90"/>
        <v>0</v>
      </c>
      <c r="H267" s="29">
        <f t="shared" si="90"/>
        <v>3878913.0434782603</v>
      </c>
      <c r="I267" s="29">
        <f t="shared" si="90"/>
        <v>3878913.0434782603</v>
      </c>
      <c r="J267" s="29">
        <f t="shared" si="90"/>
        <v>3878913.0434782603</v>
      </c>
      <c r="K267" s="29">
        <f t="shared" si="90"/>
        <v>25210.439130434781</v>
      </c>
      <c r="L267" s="29">
        <f t="shared" si="90"/>
        <v>1334565.2173913042</v>
      </c>
      <c r="M267" s="29">
        <f t="shared" si="90"/>
        <v>0</v>
      </c>
      <c r="N267" s="29">
        <f t="shared" si="90"/>
        <v>3878913.0434782603</v>
      </c>
      <c r="O267" s="29">
        <f t="shared" si="90"/>
        <v>3878913.0434782603</v>
      </c>
      <c r="P267" s="29">
        <f t="shared" si="90"/>
        <v>3878913.0434782603</v>
      </c>
      <c r="Q267" s="29">
        <f t="shared" si="90"/>
        <v>189913.04347826084</v>
      </c>
      <c r="R267" s="29">
        <f t="shared" si="90"/>
        <v>189913.04347826084</v>
      </c>
      <c r="S267" s="29">
        <f t="shared" si="90"/>
        <v>189913.04347826084</v>
      </c>
      <c r="T267" s="29">
        <f t="shared" si="90"/>
        <v>189913.04347826084</v>
      </c>
      <c r="U267" s="29">
        <f t="shared" si="90"/>
        <v>189913.04347826084</v>
      </c>
      <c r="V267" s="29">
        <f t="shared" si="90"/>
        <v>189913.04347826084</v>
      </c>
      <c r="W267" s="29">
        <f t="shared" si="90"/>
        <v>15049999.999999998</v>
      </c>
      <c r="X267" s="29">
        <f t="shared" si="72"/>
        <v>15049999.999999998</v>
      </c>
      <c r="Y267" s="29">
        <f t="shared" si="72"/>
        <v>15049999.999999998</v>
      </c>
    </row>
    <row r="268" spans="1:25" outlineLevel="1" x14ac:dyDescent="0.3">
      <c r="A268" t="s">
        <v>165</v>
      </c>
      <c r="B268" t="s">
        <v>83</v>
      </c>
      <c r="C268" s="6" t="s">
        <v>159</v>
      </c>
      <c r="D268" t="s">
        <v>49</v>
      </c>
      <c r="E268" s="29">
        <f t="shared" ref="E268:W268" si="91">E71/SummerWeekdays</f>
        <v>0</v>
      </c>
      <c r="F268" s="29">
        <f t="shared" si="91"/>
        <v>523478.26086956513</v>
      </c>
      <c r="G268" s="29">
        <f t="shared" si="91"/>
        <v>0</v>
      </c>
      <c r="H268" s="29">
        <f t="shared" si="91"/>
        <v>4174130.4347826084</v>
      </c>
      <c r="I268" s="29">
        <f t="shared" si="91"/>
        <v>4174130.4347826084</v>
      </c>
      <c r="J268" s="29">
        <f t="shared" si="91"/>
        <v>4174130.4347826084</v>
      </c>
      <c r="K268" s="29">
        <f t="shared" si="91"/>
        <v>30163.167391304345</v>
      </c>
      <c r="L268" s="29">
        <f t="shared" si="91"/>
        <v>1188478.260869565</v>
      </c>
      <c r="M268" s="29">
        <f t="shared" si="91"/>
        <v>0</v>
      </c>
      <c r="N268" s="29">
        <f t="shared" si="91"/>
        <v>4174130.4347826084</v>
      </c>
      <c r="O268" s="29">
        <f t="shared" si="91"/>
        <v>4174130.4347826084</v>
      </c>
      <c r="P268" s="29">
        <f t="shared" si="91"/>
        <v>4174130.4347826084</v>
      </c>
      <c r="Q268" s="29">
        <f t="shared" si="91"/>
        <v>157043.47826086954</v>
      </c>
      <c r="R268" s="29">
        <f t="shared" si="91"/>
        <v>157043.47826086954</v>
      </c>
      <c r="S268" s="29">
        <f t="shared" si="91"/>
        <v>157043.47826086954</v>
      </c>
      <c r="T268" s="29">
        <f t="shared" si="91"/>
        <v>157043.47826086954</v>
      </c>
      <c r="U268" s="29">
        <f t="shared" si="91"/>
        <v>157043.47826086954</v>
      </c>
      <c r="V268" s="29">
        <f t="shared" si="91"/>
        <v>157043.47826086954</v>
      </c>
      <c r="W268" s="29">
        <f t="shared" si="91"/>
        <v>15004347.826086955</v>
      </c>
      <c r="X268" s="29">
        <f t="shared" si="72"/>
        <v>15004347.826086955</v>
      </c>
      <c r="Y268" s="29">
        <f t="shared" si="72"/>
        <v>15004347.826086955</v>
      </c>
    </row>
    <row r="269" spans="1:25" outlineLevel="1" x14ac:dyDescent="0.3">
      <c r="A269" t="s">
        <v>165</v>
      </c>
      <c r="B269" t="s">
        <v>84</v>
      </c>
      <c r="C269" s="6" t="s">
        <v>160</v>
      </c>
      <c r="D269" t="s">
        <v>49</v>
      </c>
      <c r="E269" s="29">
        <f t="shared" ref="E269:W269" si="92">E72/SummerWeekdays</f>
        <v>0</v>
      </c>
      <c r="F269" s="29">
        <f t="shared" si="92"/>
        <v>452275.87391304341</v>
      </c>
      <c r="G269" s="29">
        <f t="shared" si="92"/>
        <v>0</v>
      </c>
      <c r="H269" s="29">
        <f t="shared" si="92"/>
        <v>4241086.9565217383</v>
      </c>
      <c r="I269" s="29">
        <f t="shared" si="92"/>
        <v>4241086.9565217383</v>
      </c>
      <c r="J269" s="29">
        <f t="shared" si="92"/>
        <v>4241086.9565217383</v>
      </c>
      <c r="K269" s="29">
        <f t="shared" si="92"/>
        <v>41923.319565217389</v>
      </c>
      <c r="L269" s="29">
        <f t="shared" si="92"/>
        <v>1054565.2173913042</v>
      </c>
      <c r="M269" s="29">
        <f t="shared" si="92"/>
        <v>0</v>
      </c>
      <c r="N269" s="29">
        <f t="shared" si="92"/>
        <v>4241086.9565217383</v>
      </c>
      <c r="O269" s="29">
        <f t="shared" si="92"/>
        <v>4241086.9565217383</v>
      </c>
      <c r="P269" s="29">
        <f t="shared" si="92"/>
        <v>4241086.9565217383</v>
      </c>
      <c r="Q269" s="29">
        <f t="shared" si="92"/>
        <v>154760.86956521738</v>
      </c>
      <c r="R269" s="29">
        <f t="shared" si="92"/>
        <v>154760.86956521738</v>
      </c>
      <c r="S269" s="29">
        <f t="shared" si="92"/>
        <v>154760.86956521738</v>
      </c>
      <c r="T269" s="29">
        <f t="shared" si="92"/>
        <v>154760.86956521738</v>
      </c>
      <c r="U269" s="29">
        <f t="shared" si="92"/>
        <v>154760.86956521738</v>
      </c>
      <c r="V269" s="29">
        <f t="shared" si="92"/>
        <v>154760.86956521738</v>
      </c>
      <c r="W269" s="29">
        <f t="shared" si="92"/>
        <v>14958695.65217391</v>
      </c>
      <c r="X269" s="29">
        <f t="shared" si="72"/>
        <v>14958695.65217391</v>
      </c>
      <c r="Y269" s="29">
        <f t="shared" si="72"/>
        <v>14958695.65217391</v>
      </c>
    </row>
    <row r="270" spans="1:25" outlineLevel="1" x14ac:dyDescent="0.3">
      <c r="A270" t="s">
        <v>165</v>
      </c>
      <c r="B270" t="s">
        <v>85</v>
      </c>
      <c r="C270" s="6" t="s">
        <v>161</v>
      </c>
      <c r="D270" t="s">
        <v>49</v>
      </c>
      <c r="E270" s="29">
        <f t="shared" ref="E270:W270" si="93">E73/SummerWeekdays</f>
        <v>0</v>
      </c>
      <c r="F270" s="29">
        <f t="shared" si="93"/>
        <v>376004.8173913043</v>
      </c>
      <c r="G270" s="29">
        <f t="shared" si="93"/>
        <v>0</v>
      </c>
      <c r="H270" s="29">
        <f t="shared" si="93"/>
        <v>3472608.6956521734</v>
      </c>
      <c r="I270" s="29">
        <f t="shared" si="93"/>
        <v>3472608.6956521734</v>
      </c>
      <c r="J270" s="29">
        <f t="shared" si="93"/>
        <v>3472608.6956521734</v>
      </c>
      <c r="K270" s="29">
        <f t="shared" si="93"/>
        <v>46811.480434782599</v>
      </c>
      <c r="L270" s="29">
        <f t="shared" si="93"/>
        <v>934347.82608695643</v>
      </c>
      <c r="M270" s="29">
        <f t="shared" si="93"/>
        <v>0</v>
      </c>
      <c r="N270" s="29">
        <f t="shared" si="93"/>
        <v>3472608.6956521734</v>
      </c>
      <c r="O270" s="29">
        <f t="shared" si="93"/>
        <v>3472608.6956521734</v>
      </c>
      <c r="P270" s="29">
        <f t="shared" si="93"/>
        <v>3472608.6956521734</v>
      </c>
      <c r="Q270" s="29">
        <f t="shared" si="93"/>
        <v>153239.13043478259</v>
      </c>
      <c r="R270" s="29">
        <f t="shared" si="93"/>
        <v>153239.13043478259</v>
      </c>
      <c r="S270" s="29">
        <f t="shared" si="93"/>
        <v>153239.13043478259</v>
      </c>
      <c r="T270" s="29">
        <f t="shared" si="93"/>
        <v>153239.13043478259</v>
      </c>
      <c r="U270" s="29">
        <f t="shared" si="93"/>
        <v>153239.13043478259</v>
      </c>
      <c r="V270" s="29">
        <f t="shared" si="93"/>
        <v>153239.13043478259</v>
      </c>
      <c r="W270" s="29">
        <f t="shared" si="93"/>
        <v>14882608.695652172</v>
      </c>
      <c r="X270" s="29">
        <f t="shared" si="72"/>
        <v>14882608.695652172</v>
      </c>
      <c r="Y270" s="29">
        <f t="shared" si="72"/>
        <v>14882608.695652172</v>
      </c>
    </row>
    <row r="271" spans="1:25" outlineLevel="1" x14ac:dyDescent="0.3">
      <c r="A271" t="s">
        <v>165</v>
      </c>
      <c r="B271" t="s">
        <v>86</v>
      </c>
      <c r="C271" s="6" t="s">
        <v>162</v>
      </c>
      <c r="D271" t="s">
        <v>49</v>
      </c>
      <c r="E271" s="29">
        <f t="shared" ref="E271:W271" si="94">E74/SummerWeekdays</f>
        <v>0</v>
      </c>
      <c r="F271" s="29">
        <f t="shared" si="94"/>
        <v>303714.752173913</v>
      </c>
      <c r="G271" s="29">
        <f t="shared" si="94"/>
        <v>0</v>
      </c>
      <c r="H271" s="29">
        <f t="shared" si="94"/>
        <v>2063478.260869565</v>
      </c>
      <c r="I271" s="29">
        <f t="shared" si="94"/>
        <v>2063478.260869565</v>
      </c>
      <c r="J271" s="29">
        <f t="shared" si="94"/>
        <v>2063478.260869565</v>
      </c>
      <c r="K271" s="29">
        <f t="shared" si="94"/>
        <v>48134.815217391297</v>
      </c>
      <c r="L271" s="29">
        <f t="shared" si="94"/>
        <v>821739.13043478248</v>
      </c>
      <c r="M271" s="29">
        <f t="shared" si="94"/>
        <v>0</v>
      </c>
      <c r="N271" s="29">
        <f t="shared" si="94"/>
        <v>2063478.260869565</v>
      </c>
      <c r="O271" s="29">
        <f t="shared" si="94"/>
        <v>2063478.260869565</v>
      </c>
      <c r="P271" s="29">
        <f t="shared" si="94"/>
        <v>2063478.260869565</v>
      </c>
      <c r="Q271" s="29">
        <f t="shared" si="94"/>
        <v>151869.5652173913</v>
      </c>
      <c r="R271" s="29">
        <f t="shared" si="94"/>
        <v>151869.5652173913</v>
      </c>
      <c r="S271" s="29">
        <f t="shared" si="94"/>
        <v>151869.5652173913</v>
      </c>
      <c r="T271" s="29">
        <f t="shared" si="94"/>
        <v>151869.5652173913</v>
      </c>
      <c r="U271" s="29">
        <f t="shared" si="94"/>
        <v>151869.5652173913</v>
      </c>
      <c r="V271" s="29">
        <f t="shared" si="94"/>
        <v>151869.5652173913</v>
      </c>
      <c r="W271" s="29">
        <f t="shared" si="94"/>
        <v>14806521.739130434</v>
      </c>
      <c r="X271" s="29">
        <f t="shared" si="72"/>
        <v>14806521.739130434</v>
      </c>
      <c r="Y271" s="29">
        <f t="shared" si="72"/>
        <v>14806521.739130434</v>
      </c>
    </row>
    <row r="272" spans="1:25" outlineLevel="1" x14ac:dyDescent="0.3">
      <c r="A272" t="s">
        <v>165</v>
      </c>
      <c r="B272" t="s">
        <v>87</v>
      </c>
      <c r="C272" s="6" t="s">
        <v>163</v>
      </c>
      <c r="D272" t="s">
        <v>49</v>
      </c>
      <c r="E272" s="29">
        <f t="shared" ref="E272:W272" si="95">E75/SummerWeekdays</f>
        <v>0</v>
      </c>
      <c r="F272" s="29">
        <f t="shared" si="95"/>
        <v>246213.16086956518</v>
      </c>
      <c r="G272" s="29">
        <f t="shared" si="95"/>
        <v>0</v>
      </c>
      <c r="H272" s="29">
        <f t="shared" si="95"/>
        <v>1086521.7391304346</v>
      </c>
      <c r="I272" s="29">
        <f t="shared" si="95"/>
        <v>1086521.7391304346</v>
      </c>
      <c r="J272" s="29">
        <f t="shared" si="95"/>
        <v>1086521.7391304346</v>
      </c>
      <c r="K272" s="29">
        <f t="shared" si="95"/>
        <v>51795.997826086947</v>
      </c>
      <c r="L272" s="29">
        <f t="shared" si="95"/>
        <v>704565.21739130421</v>
      </c>
      <c r="M272" s="29">
        <f t="shared" si="95"/>
        <v>0</v>
      </c>
      <c r="N272" s="29">
        <f t="shared" si="95"/>
        <v>1086521.7391304346</v>
      </c>
      <c r="O272" s="29">
        <f t="shared" si="95"/>
        <v>1086521.7391304346</v>
      </c>
      <c r="P272" s="29">
        <f t="shared" si="95"/>
        <v>1086521.7391304346</v>
      </c>
      <c r="Q272" s="29">
        <f t="shared" si="95"/>
        <v>101956.52173913042</v>
      </c>
      <c r="R272" s="29">
        <f t="shared" si="95"/>
        <v>101956.52173913042</v>
      </c>
      <c r="S272" s="29">
        <f t="shared" si="95"/>
        <v>101956.52173913042</v>
      </c>
      <c r="T272" s="29">
        <f t="shared" si="95"/>
        <v>101956.52173913042</v>
      </c>
      <c r="U272" s="29">
        <f t="shared" si="95"/>
        <v>101956.52173913042</v>
      </c>
      <c r="V272" s="29">
        <f t="shared" si="95"/>
        <v>101956.52173913042</v>
      </c>
      <c r="W272" s="29">
        <f t="shared" si="95"/>
        <v>14760869.565217389</v>
      </c>
      <c r="X272" s="29">
        <f t="shared" si="72"/>
        <v>14760869.565217389</v>
      </c>
      <c r="Y272" s="29">
        <f t="shared" si="72"/>
        <v>14760869.565217389</v>
      </c>
    </row>
    <row r="273" spans="1:25" outlineLevel="1" x14ac:dyDescent="0.3">
      <c r="A273" t="s">
        <v>166</v>
      </c>
      <c r="B273" t="s">
        <v>64</v>
      </c>
      <c r="C273" s="6" t="s">
        <v>140</v>
      </c>
      <c r="D273" t="s">
        <v>49</v>
      </c>
      <c r="E273" s="27">
        <f t="shared" ref="E273:W273" si="96">E76/FallWeekdays</f>
        <v>0</v>
      </c>
      <c r="F273" s="27">
        <f t="shared" si="96"/>
        <v>88032.75384615385</v>
      </c>
      <c r="G273" s="27">
        <f t="shared" si="96"/>
        <v>0</v>
      </c>
      <c r="H273" s="27">
        <f t="shared" si="96"/>
        <v>532307.69230769225</v>
      </c>
      <c r="I273" s="27">
        <f t="shared" si="96"/>
        <v>532307.69230769225</v>
      </c>
      <c r="J273" s="27">
        <f t="shared" si="96"/>
        <v>532307.69230769225</v>
      </c>
      <c r="K273" s="27">
        <f t="shared" si="96"/>
        <v>66031.353846153841</v>
      </c>
      <c r="L273" s="27">
        <f t="shared" si="96"/>
        <v>299411.0307692308</v>
      </c>
      <c r="M273" s="27">
        <f t="shared" si="96"/>
        <v>0</v>
      </c>
      <c r="N273" s="27">
        <f t="shared" si="96"/>
        <v>532307.69230769225</v>
      </c>
      <c r="O273" s="27">
        <f t="shared" si="96"/>
        <v>532307.69230769225</v>
      </c>
      <c r="P273" s="27">
        <f t="shared" si="96"/>
        <v>532307.69230769225</v>
      </c>
      <c r="Q273" s="27">
        <f t="shared" si="96"/>
        <v>52000</v>
      </c>
      <c r="R273" s="27">
        <f t="shared" si="96"/>
        <v>52000</v>
      </c>
      <c r="S273" s="27">
        <f t="shared" si="96"/>
        <v>52000</v>
      </c>
      <c r="T273" s="27">
        <f t="shared" si="96"/>
        <v>52000</v>
      </c>
      <c r="U273" s="27">
        <f t="shared" si="96"/>
        <v>52000</v>
      </c>
      <c r="V273" s="27">
        <f t="shared" si="96"/>
        <v>52000</v>
      </c>
      <c r="W273" s="27">
        <f t="shared" si="96"/>
        <v>10076923.076923076</v>
      </c>
      <c r="X273" s="27">
        <f t="shared" ref="X273:Y296" si="97">X76/FallWeekdays</f>
        <v>10076923.076923076</v>
      </c>
      <c r="Y273" s="27">
        <f t="shared" si="97"/>
        <v>10076923.076923076</v>
      </c>
    </row>
    <row r="274" spans="1:25" outlineLevel="1" x14ac:dyDescent="0.3">
      <c r="A274" t="s">
        <v>166</v>
      </c>
      <c r="B274" t="s">
        <v>65</v>
      </c>
      <c r="C274" s="6" t="s">
        <v>141</v>
      </c>
      <c r="D274" t="s">
        <v>49</v>
      </c>
      <c r="E274" s="27">
        <f t="shared" ref="E274:W274" si="98">E77/FallWeekdays</f>
        <v>0</v>
      </c>
      <c r="F274" s="27">
        <f t="shared" si="98"/>
        <v>77240.261538461535</v>
      </c>
      <c r="G274" s="27">
        <f t="shared" si="98"/>
        <v>0</v>
      </c>
      <c r="H274" s="27">
        <f t="shared" si="98"/>
        <v>489230.76923076925</v>
      </c>
      <c r="I274" s="27">
        <f t="shared" si="98"/>
        <v>489230.76923076925</v>
      </c>
      <c r="J274" s="27">
        <f t="shared" si="98"/>
        <v>489230.76923076925</v>
      </c>
      <c r="K274" s="27">
        <f t="shared" si="98"/>
        <v>61651.769230769234</v>
      </c>
      <c r="L274" s="27">
        <f t="shared" si="98"/>
        <v>278133.93846153846</v>
      </c>
      <c r="M274" s="27">
        <f t="shared" si="98"/>
        <v>0</v>
      </c>
      <c r="N274" s="27">
        <f t="shared" si="98"/>
        <v>489230.76923076925</v>
      </c>
      <c r="O274" s="27">
        <f t="shared" si="98"/>
        <v>489230.76923076925</v>
      </c>
      <c r="P274" s="27">
        <f t="shared" si="98"/>
        <v>489230.76923076925</v>
      </c>
      <c r="Q274" s="27">
        <f t="shared" si="98"/>
        <v>51846.153846153844</v>
      </c>
      <c r="R274" s="27">
        <f t="shared" si="98"/>
        <v>51846.153846153844</v>
      </c>
      <c r="S274" s="27">
        <f t="shared" si="98"/>
        <v>51846.153846153844</v>
      </c>
      <c r="T274" s="27">
        <f t="shared" si="98"/>
        <v>51846.153846153844</v>
      </c>
      <c r="U274" s="27">
        <f t="shared" si="98"/>
        <v>51846.153846153844</v>
      </c>
      <c r="V274" s="27">
        <f t="shared" si="98"/>
        <v>51846.153846153844</v>
      </c>
      <c r="W274" s="27">
        <f t="shared" si="98"/>
        <v>10076923.076923076</v>
      </c>
      <c r="X274" s="27">
        <f t="shared" si="97"/>
        <v>10076923.076923076</v>
      </c>
      <c r="Y274" s="27">
        <f t="shared" si="97"/>
        <v>10076923.076923076</v>
      </c>
    </row>
    <row r="275" spans="1:25" outlineLevel="1" x14ac:dyDescent="0.3">
      <c r="A275" t="s">
        <v>166</v>
      </c>
      <c r="B275" t="s">
        <v>66</v>
      </c>
      <c r="C275" s="6" t="s">
        <v>142</v>
      </c>
      <c r="D275" t="s">
        <v>49</v>
      </c>
      <c r="E275" s="27">
        <f t="shared" ref="E275:W275" si="99">E78/FallWeekdays</f>
        <v>0</v>
      </c>
      <c r="F275" s="27">
        <f t="shared" si="99"/>
        <v>73919.369230769225</v>
      </c>
      <c r="G275" s="27">
        <f t="shared" si="99"/>
        <v>0</v>
      </c>
      <c r="H275" s="27">
        <f t="shared" si="99"/>
        <v>484615.38461538462</v>
      </c>
      <c r="I275" s="27">
        <f t="shared" si="99"/>
        <v>484615.38461538462</v>
      </c>
      <c r="J275" s="27">
        <f t="shared" si="99"/>
        <v>484615.38461538462</v>
      </c>
      <c r="K275" s="27">
        <f t="shared" si="99"/>
        <v>62693.507692307692</v>
      </c>
      <c r="L275" s="27">
        <f t="shared" si="99"/>
        <v>270091.24615384615</v>
      </c>
      <c r="M275" s="27">
        <f t="shared" si="99"/>
        <v>0</v>
      </c>
      <c r="N275" s="27">
        <f t="shared" si="99"/>
        <v>484615.38461538462</v>
      </c>
      <c r="O275" s="27">
        <f t="shared" si="99"/>
        <v>484615.38461538462</v>
      </c>
      <c r="P275" s="27">
        <f t="shared" si="99"/>
        <v>484615.38461538462</v>
      </c>
      <c r="Q275" s="27">
        <f t="shared" si="99"/>
        <v>51846.153846153844</v>
      </c>
      <c r="R275" s="27">
        <f t="shared" si="99"/>
        <v>51846.153846153844</v>
      </c>
      <c r="S275" s="27">
        <f t="shared" si="99"/>
        <v>51846.153846153844</v>
      </c>
      <c r="T275" s="27">
        <f t="shared" si="99"/>
        <v>51846.153846153844</v>
      </c>
      <c r="U275" s="27">
        <f t="shared" si="99"/>
        <v>51846.153846153844</v>
      </c>
      <c r="V275" s="27">
        <f t="shared" si="99"/>
        <v>51846.153846153844</v>
      </c>
      <c r="W275" s="27">
        <f t="shared" si="99"/>
        <v>10076923.076923076</v>
      </c>
      <c r="X275" s="27">
        <f t="shared" si="97"/>
        <v>10076923.076923076</v>
      </c>
      <c r="Y275" s="27">
        <f t="shared" si="97"/>
        <v>10076923.076923076</v>
      </c>
    </row>
    <row r="276" spans="1:25" outlineLevel="1" x14ac:dyDescent="0.3">
      <c r="A276" t="s">
        <v>166</v>
      </c>
      <c r="B276" t="s">
        <v>67</v>
      </c>
      <c r="C276" s="6" t="s">
        <v>143</v>
      </c>
      <c r="D276" t="s">
        <v>49</v>
      </c>
      <c r="E276" s="27">
        <f t="shared" ref="E276:W276" si="100">E79/FallWeekdays</f>
        <v>0</v>
      </c>
      <c r="F276" s="27">
        <f t="shared" si="100"/>
        <v>77579.046153846153</v>
      </c>
      <c r="G276" s="27">
        <f t="shared" si="100"/>
        <v>0</v>
      </c>
      <c r="H276" s="27">
        <f t="shared" si="100"/>
        <v>495384.61538461538</v>
      </c>
      <c r="I276" s="27">
        <f t="shared" si="100"/>
        <v>495384.61538461538</v>
      </c>
      <c r="J276" s="27">
        <f t="shared" si="100"/>
        <v>495384.61538461538</v>
      </c>
      <c r="K276" s="27">
        <f t="shared" si="100"/>
        <v>63768.584615384614</v>
      </c>
      <c r="L276" s="27">
        <f t="shared" si="100"/>
        <v>269459.40000000002</v>
      </c>
      <c r="M276" s="27">
        <f t="shared" si="100"/>
        <v>0</v>
      </c>
      <c r="N276" s="27">
        <f t="shared" si="100"/>
        <v>495384.61538461538</v>
      </c>
      <c r="O276" s="27">
        <f t="shared" si="100"/>
        <v>495384.61538461538</v>
      </c>
      <c r="P276" s="27">
        <f t="shared" si="100"/>
        <v>495384.61538461538</v>
      </c>
      <c r="Q276" s="27">
        <f t="shared" si="100"/>
        <v>51846.153846153844</v>
      </c>
      <c r="R276" s="27">
        <f t="shared" si="100"/>
        <v>51846.153846153844</v>
      </c>
      <c r="S276" s="27">
        <f t="shared" si="100"/>
        <v>51846.153846153844</v>
      </c>
      <c r="T276" s="27">
        <f t="shared" si="100"/>
        <v>51846.153846153844</v>
      </c>
      <c r="U276" s="27">
        <f t="shared" si="100"/>
        <v>51846.153846153844</v>
      </c>
      <c r="V276" s="27">
        <f t="shared" si="100"/>
        <v>51846.153846153844</v>
      </c>
      <c r="W276" s="27">
        <f t="shared" si="100"/>
        <v>10076923.076923076</v>
      </c>
      <c r="X276" s="27">
        <f t="shared" si="97"/>
        <v>10076923.076923076</v>
      </c>
      <c r="Y276" s="27">
        <f t="shared" si="97"/>
        <v>10076923.076923076</v>
      </c>
    </row>
    <row r="277" spans="1:25" outlineLevel="1" x14ac:dyDescent="0.3">
      <c r="A277" t="s">
        <v>166</v>
      </c>
      <c r="B277" t="s">
        <v>68</v>
      </c>
      <c r="C277" s="6" t="s">
        <v>144</v>
      </c>
      <c r="D277" t="s">
        <v>49</v>
      </c>
      <c r="E277" s="27">
        <f t="shared" ref="E277:W277" si="101">E80/FallWeekdays</f>
        <v>0</v>
      </c>
      <c r="F277" s="27">
        <f t="shared" si="101"/>
        <v>86666.4</v>
      </c>
      <c r="G277" s="27">
        <f t="shared" si="101"/>
        <v>0</v>
      </c>
      <c r="H277" s="27">
        <f t="shared" si="101"/>
        <v>638461.5384615385</v>
      </c>
      <c r="I277" s="27">
        <f t="shared" si="101"/>
        <v>638461.5384615385</v>
      </c>
      <c r="J277" s="27">
        <f t="shared" si="101"/>
        <v>638461.5384615385</v>
      </c>
      <c r="K277" s="27">
        <f t="shared" si="101"/>
        <v>61763.553846153845</v>
      </c>
      <c r="L277" s="27">
        <f t="shared" si="101"/>
        <v>274971.04615384614</v>
      </c>
      <c r="M277" s="27">
        <f t="shared" si="101"/>
        <v>0</v>
      </c>
      <c r="N277" s="27">
        <f t="shared" si="101"/>
        <v>638461.5384615385</v>
      </c>
      <c r="O277" s="27">
        <f t="shared" si="101"/>
        <v>638461.5384615385</v>
      </c>
      <c r="P277" s="27">
        <f t="shared" si="101"/>
        <v>638461.5384615385</v>
      </c>
      <c r="Q277" s="27">
        <f t="shared" si="101"/>
        <v>51846.153846153844</v>
      </c>
      <c r="R277" s="27">
        <f t="shared" si="101"/>
        <v>51846.153846153844</v>
      </c>
      <c r="S277" s="27">
        <f t="shared" si="101"/>
        <v>51846.153846153844</v>
      </c>
      <c r="T277" s="27">
        <f t="shared" si="101"/>
        <v>51846.153846153844</v>
      </c>
      <c r="U277" s="27">
        <f t="shared" si="101"/>
        <v>51846.153846153844</v>
      </c>
      <c r="V277" s="27">
        <f t="shared" si="101"/>
        <v>51846.153846153844</v>
      </c>
      <c r="W277" s="27">
        <f t="shared" si="101"/>
        <v>10076923.076923076</v>
      </c>
      <c r="X277" s="27">
        <f t="shared" si="97"/>
        <v>10076923.076923076</v>
      </c>
      <c r="Y277" s="27">
        <f t="shared" si="97"/>
        <v>10076923.076923076</v>
      </c>
    </row>
    <row r="278" spans="1:25" outlineLevel="1" x14ac:dyDescent="0.3">
      <c r="A278" t="s">
        <v>166</v>
      </c>
      <c r="B278" t="s">
        <v>69</v>
      </c>
      <c r="C278" s="6" t="s">
        <v>145</v>
      </c>
      <c r="D278" t="s">
        <v>49</v>
      </c>
      <c r="E278" s="27">
        <f t="shared" ref="E278:W278" si="102">E81/FallWeekdays</f>
        <v>0</v>
      </c>
      <c r="F278" s="27">
        <f t="shared" si="102"/>
        <v>97989.523076923084</v>
      </c>
      <c r="G278" s="27">
        <f t="shared" si="102"/>
        <v>0</v>
      </c>
      <c r="H278" s="27">
        <f t="shared" si="102"/>
        <v>1096923.076923077</v>
      </c>
      <c r="I278" s="27">
        <f t="shared" si="102"/>
        <v>1096923.076923077</v>
      </c>
      <c r="J278" s="27">
        <f t="shared" si="102"/>
        <v>1096923.076923077</v>
      </c>
      <c r="K278" s="27">
        <f t="shared" si="102"/>
        <v>98496.276923076919</v>
      </c>
      <c r="L278" s="27">
        <f t="shared" si="102"/>
        <v>295105.16923076921</v>
      </c>
      <c r="M278" s="27">
        <f t="shared" si="102"/>
        <v>0</v>
      </c>
      <c r="N278" s="27">
        <f t="shared" si="102"/>
        <v>1096923.076923077</v>
      </c>
      <c r="O278" s="27">
        <f t="shared" si="102"/>
        <v>1096923.076923077</v>
      </c>
      <c r="P278" s="27">
        <f t="shared" si="102"/>
        <v>1096923.076923077</v>
      </c>
      <c r="Q278" s="27">
        <f t="shared" si="102"/>
        <v>52153.846153846156</v>
      </c>
      <c r="R278" s="27">
        <f t="shared" si="102"/>
        <v>52153.846153846156</v>
      </c>
      <c r="S278" s="27">
        <f t="shared" si="102"/>
        <v>52153.846153846156</v>
      </c>
      <c r="T278" s="27">
        <f t="shared" si="102"/>
        <v>52153.846153846156</v>
      </c>
      <c r="U278" s="27">
        <f t="shared" si="102"/>
        <v>52153.846153846156</v>
      </c>
      <c r="V278" s="27">
        <f t="shared" si="102"/>
        <v>52153.846153846156</v>
      </c>
      <c r="W278" s="27">
        <f t="shared" si="102"/>
        <v>10138461.538461538</v>
      </c>
      <c r="X278" s="27">
        <f t="shared" si="97"/>
        <v>10138461.538461538</v>
      </c>
      <c r="Y278" s="27">
        <f t="shared" si="97"/>
        <v>10138461.538461538</v>
      </c>
    </row>
    <row r="279" spans="1:25" outlineLevel="1" x14ac:dyDescent="0.3">
      <c r="A279" t="s">
        <v>166</v>
      </c>
      <c r="B279" t="s">
        <v>70</v>
      </c>
      <c r="C279" s="6" t="s">
        <v>146</v>
      </c>
      <c r="D279" t="s">
        <v>49</v>
      </c>
      <c r="E279" s="27">
        <f t="shared" ref="E279:W279" si="103">E82/FallWeekdays</f>
        <v>0</v>
      </c>
      <c r="F279" s="27">
        <f t="shared" si="103"/>
        <v>102975.2923076923</v>
      </c>
      <c r="G279" s="27">
        <f t="shared" si="103"/>
        <v>0</v>
      </c>
      <c r="H279" s="27">
        <f t="shared" si="103"/>
        <v>1363076.923076923</v>
      </c>
      <c r="I279" s="27">
        <f t="shared" si="103"/>
        <v>1363076.923076923</v>
      </c>
      <c r="J279" s="27">
        <f t="shared" si="103"/>
        <v>1363076.923076923</v>
      </c>
      <c r="K279" s="27">
        <f t="shared" si="103"/>
        <v>137616.36923076923</v>
      </c>
      <c r="L279" s="27">
        <f t="shared" si="103"/>
        <v>338030.66153846151</v>
      </c>
      <c r="M279" s="27">
        <f t="shared" si="103"/>
        <v>0</v>
      </c>
      <c r="N279" s="27">
        <f t="shared" si="103"/>
        <v>1363076.923076923</v>
      </c>
      <c r="O279" s="27">
        <f t="shared" si="103"/>
        <v>1363076.923076923</v>
      </c>
      <c r="P279" s="27">
        <f t="shared" si="103"/>
        <v>1363076.923076923</v>
      </c>
      <c r="Q279" s="27">
        <f t="shared" si="103"/>
        <v>75384.61538461539</v>
      </c>
      <c r="R279" s="27">
        <f t="shared" si="103"/>
        <v>75384.61538461539</v>
      </c>
      <c r="S279" s="27">
        <f t="shared" si="103"/>
        <v>75384.61538461539</v>
      </c>
      <c r="T279" s="27">
        <f t="shared" si="103"/>
        <v>75384.61538461539</v>
      </c>
      <c r="U279" s="27">
        <f t="shared" si="103"/>
        <v>75384.61538461539</v>
      </c>
      <c r="V279" s="27">
        <f t="shared" si="103"/>
        <v>75384.61538461539</v>
      </c>
      <c r="W279" s="27">
        <f t="shared" si="103"/>
        <v>10200000</v>
      </c>
      <c r="X279" s="27">
        <f t="shared" si="97"/>
        <v>10200000</v>
      </c>
      <c r="Y279" s="27">
        <f t="shared" si="97"/>
        <v>10200000</v>
      </c>
    </row>
    <row r="280" spans="1:25" outlineLevel="1" x14ac:dyDescent="0.3">
      <c r="A280" t="s">
        <v>166</v>
      </c>
      <c r="B280" t="s">
        <v>71</v>
      </c>
      <c r="C280" s="6" t="s">
        <v>147</v>
      </c>
      <c r="D280" t="s">
        <v>49</v>
      </c>
      <c r="E280" s="27">
        <f t="shared" ref="E280:W280" si="104">E83/FallWeekdays</f>
        <v>0</v>
      </c>
      <c r="F280" s="27">
        <f t="shared" si="104"/>
        <v>101990.43076923076</v>
      </c>
      <c r="G280" s="27">
        <f t="shared" si="104"/>
        <v>0</v>
      </c>
      <c r="H280" s="27">
        <f t="shared" si="104"/>
        <v>524615.38461538462</v>
      </c>
      <c r="I280" s="27">
        <f t="shared" si="104"/>
        <v>524615.38461538462</v>
      </c>
      <c r="J280" s="27">
        <f t="shared" si="104"/>
        <v>524615.38461538462</v>
      </c>
      <c r="K280" s="27">
        <f t="shared" si="104"/>
        <v>123173.86153846154</v>
      </c>
      <c r="L280" s="27">
        <f t="shared" si="104"/>
        <v>413846.15384615387</v>
      </c>
      <c r="M280" s="27">
        <f t="shared" si="104"/>
        <v>0</v>
      </c>
      <c r="N280" s="27">
        <f t="shared" si="104"/>
        <v>524615.38461538462</v>
      </c>
      <c r="O280" s="27">
        <f t="shared" si="104"/>
        <v>524615.38461538462</v>
      </c>
      <c r="P280" s="27">
        <f t="shared" si="104"/>
        <v>524615.38461538462</v>
      </c>
      <c r="Q280" s="27">
        <f t="shared" si="104"/>
        <v>151230.76923076922</v>
      </c>
      <c r="R280" s="27">
        <f t="shared" si="104"/>
        <v>151230.76923076922</v>
      </c>
      <c r="S280" s="27">
        <f t="shared" si="104"/>
        <v>151230.76923076922</v>
      </c>
      <c r="T280" s="27">
        <f t="shared" si="104"/>
        <v>151230.76923076922</v>
      </c>
      <c r="U280" s="27">
        <f t="shared" si="104"/>
        <v>151230.76923076922</v>
      </c>
      <c r="V280" s="27">
        <f t="shared" si="104"/>
        <v>151230.76923076922</v>
      </c>
      <c r="W280" s="27">
        <f t="shared" si="104"/>
        <v>10246153.846153846</v>
      </c>
      <c r="X280" s="27">
        <f t="shared" si="97"/>
        <v>10246153.846153846</v>
      </c>
      <c r="Y280" s="27">
        <f t="shared" si="97"/>
        <v>10246153.846153846</v>
      </c>
    </row>
    <row r="281" spans="1:25" outlineLevel="1" x14ac:dyDescent="0.3">
      <c r="A281" t="s">
        <v>166</v>
      </c>
      <c r="B281" t="s">
        <v>72</v>
      </c>
      <c r="C281" s="6" t="s">
        <v>148</v>
      </c>
      <c r="D281" t="s">
        <v>49</v>
      </c>
      <c r="E281" s="27">
        <f t="shared" ref="E281:W281" si="105">E84/FallWeekdays</f>
        <v>0</v>
      </c>
      <c r="F281" s="27">
        <f t="shared" si="105"/>
        <v>108544.32307692307</v>
      </c>
      <c r="G281" s="27">
        <f t="shared" si="105"/>
        <v>0</v>
      </c>
      <c r="H281" s="27">
        <f t="shared" si="105"/>
        <v>486153.84615384613</v>
      </c>
      <c r="I281" s="27">
        <f t="shared" si="105"/>
        <v>486153.84615384613</v>
      </c>
      <c r="J281" s="27">
        <f t="shared" si="105"/>
        <v>486153.84615384613</v>
      </c>
      <c r="K281" s="27">
        <f t="shared" si="105"/>
        <v>82855.092307692306</v>
      </c>
      <c r="L281" s="27">
        <f t="shared" si="105"/>
        <v>520000</v>
      </c>
      <c r="M281" s="27">
        <f t="shared" si="105"/>
        <v>0</v>
      </c>
      <c r="N281" s="27">
        <f t="shared" si="105"/>
        <v>486153.84615384613</v>
      </c>
      <c r="O281" s="27">
        <f t="shared" si="105"/>
        <v>486153.84615384613</v>
      </c>
      <c r="P281" s="27">
        <f t="shared" si="105"/>
        <v>486153.84615384613</v>
      </c>
      <c r="Q281" s="27">
        <f t="shared" si="105"/>
        <v>153076.92307692306</v>
      </c>
      <c r="R281" s="27">
        <f t="shared" si="105"/>
        <v>153076.92307692306</v>
      </c>
      <c r="S281" s="27">
        <f t="shared" si="105"/>
        <v>153076.92307692306</v>
      </c>
      <c r="T281" s="27">
        <f t="shared" si="105"/>
        <v>153076.92307692306</v>
      </c>
      <c r="U281" s="27">
        <f t="shared" si="105"/>
        <v>153076.92307692306</v>
      </c>
      <c r="V281" s="27">
        <f t="shared" si="105"/>
        <v>153076.92307692306</v>
      </c>
      <c r="W281" s="27">
        <f t="shared" si="105"/>
        <v>10261538.461538462</v>
      </c>
      <c r="X281" s="27">
        <f t="shared" si="97"/>
        <v>10261538.461538462</v>
      </c>
      <c r="Y281" s="27">
        <f t="shared" si="97"/>
        <v>10261538.461538462</v>
      </c>
    </row>
    <row r="282" spans="1:25" outlineLevel="1" x14ac:dyDescent="0.3">
      <c r="A282" t="s">
        <v>166</v>
      </c>
      <c r="B282" t="s">
        <v>73</v>
      </c>
      <c r="C282" s="6" t="s">
        <v>149</v>
      </c>
      <c r="D282" t="s">
        <v>49</v>
      </c>
      <c r="E282" s="27">
        <f t="shared" ref="E282:W282" si="106">E85/FallWeekdays</f>
        <v>0</v>
      </c>
      <c r="F282" s="27">
        <f t="shared" si="106"/>
        <v>121627.46153846153</v>
      </c>
      <c r="G282" s="27">
        <f t="shared" si="106"/>
        <v>0</v>
      </c>
      <c r="H282" s="27">
        <f t="shared" si="106"/>
        <v>467692.30769230769</v>
      </c>
      <c r="I282" s="27">
        <f t="shared" si="106"/>
        <v>467692.30769230769</v>
      </c>
      <c r="J282" s="27">
        <f t="shared" si="106"/>
        <v>467692.30769230769</v>
      </c>
      <c r="K282" s="27">
        <f t="shared" si="106"/>
        <v>62606.75384615385</v>
      </c>
      <c r="L282" s="27">
        <f t="shared" si="106"/>
        <v>609230.76923076925</v>
      </c>
      <c r="M282" s="27">
        <f t="shared" si="106"/>
        <v>0</v>
      </c>
      <c r="N282" s="27">
        <f t="shared" si="106"/>
        <v>467692.30769230769</v>
      </c>
      <c r="O282" s="27">
        <f t="shared" si="106"/>
        <v>467692.30769230769</v>
      </c>
      <c r="P282" s="27">
        <f t="shared" si="106"/>
        <v>467692.30769230769</v>
      </c>
      <c r="Q282" s="27">
        <f t="shared" si="106"/>
        <v>137846.15384615384</v>
      </c>
      <c r="R282" s="27">
        <f t="shared" si="106"/>
        <v>137846.15384615384</v>
      </c>
      <c r="S282" s="27">
        <f t="shared" si="106"/>
        <v>137846.15384615384</v>
      </c>
      <c r="T282" s="27">
        <f t="shared" si="106"/>
        <v>137846.15384615384</v>
      </c>
      <c r="U282" s="27">
        <f t="shared" si="106"/>
        <v>137846.15384615384</v>
      </c>
      <c r="V282" s="27">
        <f t="shared" si="106"/>
        <v>137846.15384615384</v>
      </c>
      <c r="W282" s="27">
        <f t="shared" si="106"/>
        <v>10261538.461538462</v>
      </c>
      <c r="X282" s="27">
        <f t="shared" si="97"/>
        <v>10261538.461538462</v>
      </c>
      <c r="Y282" s="27">
        <f t="shared" si="97"/>
        <v>10261538.461538462</v>
      </c>
    </row>
    <row r="283" spans="1:25" outlineLevel="1" x14ac:dyDescent="0.3">
      <c r="A283" t="s">
        <v>166</v>
      </c>
      <c r="B283" t="s">
        <v>74</v>
      </c>
      <c r="C283" s="6" t="s">
        <v>150</v>
      </c>
      <c r="D283" t="s">
        <v>49</v>
      </c>
      <c r="E283" s="27">
        <f t="shared" ref="E283:W283" si="107">E86/FallWeekdays</f>
        <v>0</v>
      </c>
      <c r="F283" s="27">
        <f t="shared" si="107"/>
        <v>151687.30769230769</v>
      </c>
      <c r="G283" s="27">
        <f t="shared" si="107"/>
        <v>0</v>
      </c>
      <c r="H283" s="27">
        <f t="shared" si="107"/>
        <v>475384.61538461538</v>
      </c>
      <c r="I283" s="27">
        <f t="shared" si="107"/>
        <v>475384.61538461538</v>
      </c>
      <c r="J283" s="27">
        <f t="shared" si="107"/>
        <v>475384.61538461538</v>
      </c>
      <c r="K283" s="27">
        <f t="shared" si="107"/>
        <v>50213.492307692308</v>
      </c>
      <c r="L283" s="27">
        <f t="shared" si="107"/>
        <v>681538.4615384615</v>
      </c>
      <c r="M283" s="27">
        <f t="shared" si="107"/>
        <v>0</v>
      </c>
      <c r="N283" s="27">
        <f t="shared" si="107"/>
        <v>475384.61538461538</v>
      </c>
      <c r="O283" s="27">
        <f t="shared" si="107"/>
        <v>475384.61538461538</v>
      </c>
      <c r="P283" s="27">
        <f t="shared" si="107"/>
        <v>475384.61538461538</v>
      </c>
      <c r="Q283" s="27">
        <f t="shared" si="107"/>
        <v>113846.15384615384</v>
      </c>
      <c r="R283" s="27">
        <f t="shared" si="107"/>
        <v>113846.15384615384</v>
      </c>
      <c r="S283" s="27">
        <f t="shared" si="107"/>
        <v>113846.15384615384</v>
      </c>
      <c r="T283" s="27">
        <f t="shared" si="107"/>
        <v>113846.15384615384</v>
      </c>
      <c r="U283" s="27">
        <f t="shared" si="107"/>
        <v>113846.15384615384</v>
      </c>
      <c r="V283" s="27">
        <f t="shared" si="107"/>
        <v>113846.15384615384</v>
      </c>
      <c r="W283" s="27">
        <f t="shared" si="107"/>
        <v>10230769.23076923</v>
      </c>
      <c r="X283" s="27">
        <f t="shared" si="97"/>
        <v>10230769.23076923</v>
      </c>
      <c r="Y283" s="27">
        <f t="shared" si="97"/>
        <v>10230769.23076923</v>
      </c>
    </row>
    <row r="284" spans="1:25" outlineLevel="1" x14ac:dyDescent="0.3">
      <c r="A284" t="s">
        <v>166</v>
      </c>
      <c r="B284" t="s">
        <v>75</v>
      </c>
      <c r="C284" s="6" t="s">
        <v>151</v>
      </c>
      <c r="D284" t="s">
        <v>49</v>
      </c>
      <c r="E284" s="27">
        <f t="shared" ref="E284:W284" si="108">E87/FallWeekdays</f>
        <v>0</v>
      </c>
      <c r="F284" s="27">
        <f t="shared" si="108"/>
        <v>201779.20000000001</v>
      </c>
      <c r="G284" s="27">
        <f t="shared" si="108"/>
        <v>0</v>
      </c>
      <c r="H284" s="27">
        <f t="shared" si="108"/>
        <v>521538.46153846156</v>
      </c>
      <c r="I284" s="27">
        <f t="shared" si="108"/>
        <v>521538.46153846156</v>
      </c>
      <c r="J284" s="27">
        <f t="shared" si="108"/>
        <v>521538.46153846156</v>
      </c>
      <c r="K284" s="27">
        <f t="shared" si="108"/>
        <v>40831.923076923078</v>
      </c>
      <c r="L284" s="27">
        <f t="shared" si="108"/>
        <v>730769.23076923075</v>
      </c>
      <c r="M284" s="27">
        <f t="shared" si="108"/>
        <v>0</v>
      </c>
      <c r="N284" s="27">
        <f t="shared" si="108"/>
        <v>521538.46153846156</v>
      </c>
      <c r="O284" s="27">
        <f t="shared" si="108"/>
        <v>521538.46153846156</v>
      </c>
      <c r="P284" s="27">
        <f t="shared" si="108"/>
        <v>521538.46153846156</v>
      </c>
      <c r="Q284" s="27">
        <f t="shared" si="108"/>
        <v>113846.15384615384</v>
      </c>
      <c r="R284" s="27">
        <f t="shared" si="108"/>
        <v>113846.15384615384</v>
      </c>
      <c r="S284" s="27">
        <f t="shared" si="108"/>
        <v>113846.15384615384</v>
      </c>
      <c r="T284" s="27">
        <f t="shared" si="108"/>
        <v>113846.15384615384</v>
      </c>
      <c r="U284" s="27">
        <f t="shared" si="108"/>
        <v>113846.15384615384</v>
      </c>
      <c r="V284" s="27">
        <f t="shared" si="108"/>
        <v>113846.15384615384</v>
      </c>
      <c r="W284" s="27">
        <f t="shared" si="108"/>
        <v>10200000</v>
      </c>
      <c r="X284" s="27">
        <f t="shared" si="97"/>
        <v>10200000</v>
      </c>
      <c r="Y284" s="27">
        <f t="shared" si="97"/>
        <v>10200000</v>
      </c>
    </row>
    <row r="285" spans="1:25" outlineLevel="1" x14ac:dyDescent="0.3">
      <c r="A285" t="s">
        <v>166</v>
      </c>
      <c r="B285" t="s">
        <v>76</v>
      </c>
      <c r="C285" s="6" t="s">
        <v>152</v>
      </c>
      <c r="D285" t="s">
        <v>49</v>
      </c>
      <c r="E285" s="27">
        <f t="shared" ref="E285:W285" si="109">E88/FallWeekdays</f>
        <v>0</v>
      </c>
      <c r="F285" s="27">
        <f t="shared" si="109"/>
        <v>245802.43076923076</v>
      </c>
      <c r="G285" s="27">
        <f t="shared" si="109"/>
        <v>0</v>
      </c>
      <c r="H285" s="27">
        <f t="shared" si="109"/>
        <v>549230.76923076925</v>
      </c>
      <c r="I285" s="27">
        <f t="shared" si="109"/>
        <v>549230.76923076925</v>
      </c>
      <c r="J285" s="27">
        <f t="shared" si="109"/>
        <v>549230.76923076925</v>
      </c>
      <c r="K285" s="27">
        <f t="shared" si="109"/>
        <v>36690.784615384619</v>
      </c>
      <c r="L285" s="27">
        <f t="shared" si="109"/>
        <v>749230.76923076925</v>
      </c>
      <c r="M285" s="27">
        <f t="shared" si="109"/>
        <v>0</v>
      </c>
      <c r="N285" s="27">
        <f t="shared" si="109"/>
        <v>549230.76923076925</v>
      </c>
      <c r="O285" s="27">
        <f t="shared" si="109"/>
        <v>549230.76923076925</v>
      </c>
      <c r="P285" s="27">
        <f t="shared" si="109"/>
        <v>549230.76923076925</v>
      </c>
      <c r="Q285" s="27">
        <f t="shared" si="109"/>
        <v>114153.84615384616</v>
      </c>
      <c r="R285" s="27">
        <f t="shared" si="109"/>
        <v>114153.84615384616</v>
      </c>
      <c r="S285" s="27">
        <f t="shared" si="109"/>
        <v>114153.84615384616</v>
      </c>
      <c r="T285" s="27">
        <f t="shared" si="109"/>
        <v>114153.84615384616</v>
      </c>
      <c r="U285" s="27">
        <f t="shared" si="109"/>
        <v>114153.84615384616</v>
      </c>
      <c r="V285" s="27">
        <f t="shared" si="109"/>
        <v>114153.84615384616</v>
      </c>
      <c r="W285" s="27">
        <f t="shared" si="109"/>
        <v>10200000</v>
      </c>
      <c r="X285" s="27">
        <f t="shared" si="97"/>
        <v>10200000</v>
      </c>
      <c r="Y285" s="27">
        <f t="shared" si="97"/>
        <v>10200000</v>
      </c>
    </row>
    <row r="286" spans="1:25" outlineLevel="1" x14ac:dyDescent="0.3">
      <c r="A286" t="s">
        <v>166</v>
      </c>
      <c r="B286" t="s">
        <v>77</v>
      </c>
      <c r="C286" s="6" t="s">
        <v>153</v>
      </c>
      <c r="D286" t="s">
        <v>49</v>
      </c>
      <c r="E286" s="27">
        <f t="shared" ref="E286:W286" si="110">E89/FallWeekdays</f>
        <v>0</v>
      </c>
      <c r="F286" s="27">
        <f t="shared" si="110"/>
        <v>270901.76923076925</v>
      </c>
      <c r="G286" s="27">
        <f t="shared" si="110"/>
        <v>0</v>
      </c>
      <c r="H286" s="27">
        <f t="shared" si="110"/>
        <v>556923.07692307688</v>
      </c>
      <c r="I286" s="27">
        <f t="shared" si="110"/>
        <v>556923.07692307688</v>
      </c>
      <c r="J286" s="27">
        <f t="shared" si="110"/>
        <v>556923.07692307688</v>
      </c>
      <c r="K286" s="27">
        <f t="shared" si="110"/>
        <v>33438.107692307691</v>
      </c>
      <c r="L286" s="27">
        <f t="shared" si="110"/>
        <v>780000</v>
      </c>
      <c r="M286" s="27">
        <f t="shared" si="110"/>
        <v>0</v>
      </c>
      <c r="N286" s="27">
        <f t="shared" si="110"/>
        <v>556923.07692307688</v>
      </c>
      <c r="O286" s="27">
        <f t="shared" si="110"/>
        <v>556923.07692307688</v>
      </c>
      <c r="P286" s="27">
        <f t="shared" si="110"/>
        <v>556923.07692307688</v>
      </c>
      <c r="Q286" s="27">
        <f t="shared" si="110"/>
        <v>114153.84615384616</v>
      </c>
      <c r="R286" s="27">
        <f t="shared" si="110"/>
        <v>114153.84615384616</v>
      </c>
      <c r="S286" s="27">
        <f t="shared" si="110"/>
        <v>114153.84615384616</v>
      </c>
      <c r="T286" s="27">
        <f t="shared" si="110"/>
        <v>114153.84615384616</v>
      </c>
      <c r="U286" s="27">
        <f t="shared" si="110"/>
        <v>114153.84615384616</v>
      </c>
      <c r="V286" s="27">
        <f t="shared" si="110"/>
        <v>114153.84615384616</v>
      </c>
      <c r="W286" s="27">
        <f t="shared" si="110"/>
        <v>10184615.384615384</v>
      </c>
      <c r="X286" s="27">
        <f t="shared" si="97"/>
        <v>10184615.384615384</v>
      </c>
      <c r="Y286" s="27">
        <f t="shared" si="97"/>
        <v>10184615.384615384</v>
      </c>
    </row>
    <row r="287" spans="1:25" outlineLevel="1" x14ac:dyDescent="0.3">
      <c r="A287" t="s">
        <v>166</v>
      </c>
      <c r="B287" t="s">
        <v>78</v>
      </c>
      <c r="C287" s="6" t="s">
        <v>154</v>
      </c>
      <c r="D287" t="s">
        <v>49</v>
      </c>
      <c r="E287" s="27">
        <f t="shared" ref="E287:W287" si="111">E90/FallWeekdays</f>
        <v>0</v>
      </c>
      <c r="F287" s="27">
        <f t="shared" si="111"/>
        <v>289149.59999999998</v>
      </c>
      <c r="G287" s="27">
        <f t="shared" si="111"/>
        <v>0</v>
      </c>
      <c r="H287" s="27">
        <f t="shared" si="111"/>
        <v>572307.69230769225</v>
      </c>
      <c r="I287" s="27">
        <f t="shared" si="111"/>
        <v>572307.69230769225</v>
      </c>
      <c r="J287" s="27">
        <f t="shared" si="111"/>
        <v>572307.69230769225</v>
      </c>
      <c r="K287" s="27">
        <f t="shared" si="111"/>
        <v>31106.553846153845</v>
      </c>
      <c r="L287" s="27">
        <f t="shared" si="111"/>
        <v>798461.5384615385</v>
      </c>
      <c r="M287" s="27">
        <f t="shared" si="111"/>
        <v>0</v>
      </c>
      <c r="N287" s="27">
        <f t="shared" si="111"/>
        <v>572307.69230769225</v>
      </c>
      <c r="O287" s="27">
        <f t="shared" si="111"/>
        <v>572307.69230769225</v>
      </c>
      <c r="P287" s="27">
        <f t="shared" si="111"/>
        <v>572307.69230769225</v>
      </c>
      <c r="Q287" s="27">
        <f t="shared" si="111"/>
        <v>113846.15384615384</v>
      </c>
      <c r="R287" s="27">
        <f t="shared" si="111"/>
        <v>113846.15384615384</v>
      </c>
      <c r="S287" s="27">
        <f t="shared" si="111"/>
        <v>113846.15384615384</v>
      </c>
      <c r="T287" s="27">
        <f t="shared" si="111"/>
        <v>113846.15384615384</v>
      </c>
      <c r="U287" s="27">
        <f t="shared" si="111"/>
        <v>113846.15384615384</v>
      </c>
      <c r="V287" s="27">
        <f t="shared" si="111"/>
        <v>113846.15384615384</v>
      </c>
      <c r="W287" s="27">
        <f t="shared" si="111"/>
        <v>10200000</v>
      </c>
      <c r="X287" s="27">
        <f t="shared" si="97"/>
        <v>10200000</v>
      </c>
      <c r="Y287" s="27">
        <f t="shared" si="97"/>
        <v>10200000</v>
      </c>
    </row>
    <row r="288" spans="1:25" outlineLevel="1" x14ac:dyDescent="0.3">
      <c r="A288" t="s">
        <v>166</v>
      </c>
      <c r="B288" t="s">
        <v>79</v>
      </c>
      <c r="C288" s="6" t="s">
        <v>155</v>
      </c>
      <c r="D288" t="s">
        <v>49</v>
      </c>
      <c r="E288" s="27">
        <f t="shared" ref="E288:W288" si="112">E91/FallWeekdays</f>
        <v>0</v>
      </c>
      <c r="F288" s="27">
        <f t="shared" si="112"/>
        <v>308761.92307692306</v>
      </c>
      <c r="G288" s="27">
        <f t="shared" si="112"/>
        <v>0</v>
      </c>
      <c r="H288" s="27">
        <f t="shared" si="112"/>
        <v>618461.5384615385</v>
      </c>
      <c r="I288" s="27">
        <f t="shared" si="112"/>
        <v>618461.5384615385</v>
      </c>
      <c r="J288" s="27">
        <f t="shared" si="112"/>
        <v>618461.5384615385</v>
      </c>
      <c r="K288" s="27">
        <f t="shared" si="112"/>
        <v>29017.015384615384</v>
      </c>
      <c r="L288" s="27">
        <f t="shared" si="112"/>
        <v>790769.23076923075</v>
      </c>
      <c r="M288" s="27">
        <f t="shared" si="112"/>
        <v>0</v>
      </c>
      <c r="N288" s="27">
        <f t="shared" si="112"/>
        <v>618461.5384615385</v>
      </c>
      <c r="O288" s="27">
        <f t="shared" si="112"/>
        <v>618461.5384615385</v>
      </c>
      <c r="P288" s="27">
        <f t="shared" si="112"/>
        <v>618461.5384615385</v>
      </c>
      <c r="Q288" s="27">
        <f t="shared" si="112"/>
        <v>136923.07692307694</v>
      </c>
      <c r="R288" s="27">
        <f t="shared" si="112"/>
        <v>136923.07692307694</v>
      </c>
      <c r="S288" s="27">
        <f t="shared" si="112"/>
        <v>136923.07692307694</v>
      </c>
      <c r="T288" s="27">
        <f t="shared" si="112"/>
        <v>136923.07692307694</v>
      </c>
      <c r="U288" s="27">
        <f t="shared" si="112"/>
        <v>136923.07692307694</v>
      </c>
      <c r="V288" s="27">
        <f t="shared" si="112"/>
        <v>136923.07692307694</v>
      </c>
      <c r="W288" s="27">
        <f t="shared" si="112"/>
        <v>10246153.846153846</v>
      </c>
      <c r="X288" s="27">
        <f t="shared" si="97"/>
        <v>10246153.846153846</v>
      </c>
      <c r="Y288" s="27">
        <f t="shared" si="97"/>
        <v>10246153.846153846</v>
      </c>
    </row>
    <row r="289" spans="1:25" outlineLevel="1" x14ac:dyDescent="0.3">
      <c r="A289" t="s">
        <v>166</v>
      </c>
      <c r="B289" t="s">
        <v>80</v>
      </c>
      <c r="C289" s="6" t="s">
        <v>156</v>
      </c>
      <c r="D289" t="s">
        <v>49</v>
      </c>
      <c r="E289" s="27">
        <f t="shared" ref="E289:W289" si="113">E92/FallWeekdays</f>
        <v>0</v>
      </c>
      <c r="F289" s="27">
        <f t="shared" si="113"/>
        <v>315595.35384615383</v>
      </c>
      <c r="G289" s="27">
        <f t="shared" si="113"/>
        <v>0</v>
      </c>
      <c r="H289" s="27">
        <f t="shared" si="113"/>
        <v>710769.23076923075</v>
      </c>
      <c r="I289" s="27">
        <f t="shared" si="113"/>
        <v>710769.23076923075</v>
      </c>
      <c r="J289" s="27">
        <f t="shared" si="113"/>
        <v>710769.23076923075</v>
      </c>
      <c r="K289" s="27">
        <f t="shared" si="113"/>
        <v>27191.046153846153</v>
      </c>
      <c r="L289" s="27">
        <f t="shared" si="113"/>
        <v>760000</v>
      </c>
      <c r="M289" s="27">
        <f t="shared" si="113"/>
        <v>0</v>
      </c>
      <c r="N289" s="27">
        <f t="shared" si="113"/>
        <v>710769.23076923075</v>
      </c>
      <c r="O289" s="27">
        <f t="shared" si="113"/>
        <v>710769.23076923075</v>
      </c>
      <c r="P289" s="27">
        <f t="shared" si="113"/>
        <v>710769.23076923075</v>
      </c>
      <c r="Q289" s="27">
        <f t="shared" si="113"/>
        <v>152769.23076923078</v>
      </c>
      <c r="R289" s="27">
        <f t="shared" si="113"/>
        <v>152769.23076923078</v>
      </c>
      <c r="S289" s="27">
        <f t="shared" si="113"/>
        <v>152769.23076923078</v>
      </c>
      <c r="T289" s="27">
        <f t="shared" si="113"/>
        <v>152769.23076923078</v>
      </c>
      <c r="U289" s="27">
        <f t="shared" si="113"/>
        <v>152769.23076923078</v>
      </c>
      <c r="V289" s="27">
        <f t="shared" si="113"/>
        <v>152769.23076923078</v>
      </c>
      <c r="W289" s="27">
        <f t="shared" si="113"/>
        <v>10292307.692307692</v>
      </c>
      <c r="X289" s="27">
        <f t="shared" si="97"/>
        <v>10292307.692307692</v>
      </c>
      <c r="Y289" s="27">
        <f t="shared" si="97"/>
        <v>10292307.692307692</v>
      </c>
    </row>
    <row r="290" spans="1:25" outlineLevel="1" x14ac:dyDescent="0.3">
      <c r="A290" t="s">
        <v>166</v>
      </c>
      <c r="B290" t="s">
        <v>81</v>
      </c>
      <c r="C290" s="6" t="s">
        <v>157</v>
      </c>
      <c r="D290" t="s">
        <v>49</v>
      </c>
      <c r="E290" s="27">
        <f t="shared" ref="E290:W290" si="114">E93/FallWeekdays</f>
        <v>0</v>
      </c>
      <c r="F290" s="27">
        <f t="shared" si="114"/>
        <v>309074.0307692308</v>
      </c>
      <c r="G290" s="27">
        <f t="shared" si="114"/>
        <v>0</v>
      </c>
      <c r="H290" s="27">
        <f t="shared" si="114"/>
        <v>2086153.8461538462</v>
      </c>
      <c r="I290" s="27">
        <f t="shared" si="114"/>
        <v>2086153.8461538462</v>
      </c>
      <c r="J290" s="27">
        <f t="shared" si="114"/>
        <v>2086153.8461538462</v>
      </c>
      <c r="K290" s="27">
        <f t="shared" si="114"/>
        <v>30796.092307692306</v>
      </c>
      <c r="L290" s="27">
        <f t="shared" si="114"/>
        <v>706153.84615384613</v>
      </c>
      <c r="M290" s="27">
        <f t="shared" si="114"/>
        <v>0</v>
      </c>
      <c r="N290" s="27">
        <f t="shared" si="114"/>
        <v>2086153.8461538462</v>
      </c>
      <c r="O290" s="27">
        <f t="shared" si="114"/>
        <v>2086153.8461538462</v>
      </c>
      <c r="P290" s="27">
        <f t="shared" si="114"/>
        <v>2086153.8461538462</v>
      </c>
      <c r="Q290" s="27">
        <f t="shared" si="114"/>
        <v>154000</v>
      </c>
      <c r="R290" s="27">
        <f t="shared" si="114"/>
        <v>154000</v>
      </c>
      <c r="S290" s="27">
        <f t="shared" si="114"/>
        <v>154000</v>
      </c>
      <c r="T290" s="27">
        <f t="shared" si="114"/>
        <v>154000</v>
      </c>
      <c r="U290" s="27">
        <f t="shared" si="114"/>
        <v>154000</v>
      </c>
      <c r="V290" s="27">
        <f t="shared" si="114"/>
        <v>154000</v>
      </c>
      <c r="W290" s="27">
        <f t="shared" si="114"/>
        <v>10323076.923076924</v>
      </c>
      <c r="X290" s="27">
        <f t="shared" si="97"/>
        <v>10323076.923076924</v>
      </c>
      <c r="Y290" s="27">
        <f t="shared" si="97"/>
        <v>10323076.923076924</v>
      </c>
    </row>
    <row r="291" spans="1:25" outlineLevel="1" x14ac:dyDescent="0.3">
      <c r="A291" t="s">
        <v>166</v>
      </c>
      <c r="B291" t="s">
        <v>82</v>
      </c>
      <c r="C291" s="6" t="s">
        <v>158</v>
      </c>
      <c r="D291" t="s">
        <v>49</v>
      </c>
      <c r="E291" s="27">
        <f t="shared" ref="E291:W291" si="115">E94/FallWeekdays</f>
        <v>0</v>
      </c>
      <c r="F291" s="27">
        <f t="shared" si="115"/>
        <v>287954.0307692308</v>
      </c>
      <c r="G291" s="27">
        <f t="shared" si="115"/>
        <v>0</v>
      </c>
      <c r="H291" s="27">
        <f t="shared" si="115"/>
        <v>2684615.3846153845</v>
      </c>
      <c r="I291" s="27">
        <f t="shared" si="115"/>
        <v>2684615.3846153845</v>
      </c>
      <c r="J291" s="27">
        <f t="shared" si="115"/>
        <v>2684615.3846153845</v>
      </c>
      <c r="K291" s="27">
        <f t="shared" si="115"/>
        <v>37962.615384615383</v>
      </c>
      <c r="L291" s="27">
        <f t="shared" si="115"/>
        <v>643076.92307692312</v>
      </c>
      <c r="M291" s="27">
        <f t="shared" si="115"/>
        <v>0</v>
      </c>
      <c r="N291" s="27">
        <f t="shared" si="115"/>
        <v>2684615.3846153845</v>
      </c>
      <c r="O291" s="27">
        <f t="shared" si="115"/>
        <v>2684615.3846153845</v>
      </c>
      <c r="P291" s="27">
        <f t="shared" si="115"/>
        <v>2684615.3846153845</v>
      </c>
      <c r="Q291" s="27">
        <f t="shared" si="115"/>
        <v>139384.61538461538</v>
      </c>
      <c r="R291" s="27">
        <f t="shared" si="115"/>
        <v>139384.61538461538</v>
      </c>
      <c r="S291" s="27">
        <f t="shared" si="115"/>
        <v>139384.61538461538</v>
      </c>
      <c r="T291" s="27">
        <f t="shared" si="115"/>
        <v>139384.61538461538</v>
      </c>
      <c r="U291" s="27">
        <f t="shared" si="115"/>
        <v>139384.61538461538</v>
      </c>
      <c r="V291" s="27">
        <f t="shared" si="115"/>
        <v>139384.61538461538</v>
      </c>
      <c r="W291" s="27">
        <f t="shared" si="115"/>
        <v>10292307.692307692</v>
      </c>
      <c r="X291" s="27">
        <f t="shared" si="97"/>
        <v>10292307.692307692</v>
      </c>
      <c r="Y291" s="27">
        <f t="shared" si="97"/>
        <v>10292307.692307692</v>
      </c>
    </row>
    <row r="292" spans="1:25" outlineLevel="1" x14ac:dyDescent="0.3">
      <c r="A292" t="s">
        <v>166</v>
      </c>
      <c r="B292" t="s">
        <v>83</v>
      </c>
      <c r="C292" s="6" t="s">
        <v>159</v>
      </c>
      <c r="D292" t="s">
        <v>49</v>
      </c>
      <c r="E292" s="27">
        <f t="shared" ref="E292:W292" si="116">E95/FallWeekdays</f>
        <v>0</v>
      </c>
      <c r="F292" s="27">
        <f t="shared" si="116"/>
        <v>251232.64615384614</v>
      </c>
      <c r="G292" s="27">
        <f t="shared" si="116"/>
        <v>0</v>
      </c>
      <c r="H292" s="27">
        <f t="shared" si="116"/>
        <v>2889230.769230769</v>
      </c>
      <c r="I292" s="27">
        <f t="shared" si="116"/>
        <v>2889230.769230769</v>
      </c>
      <c r="J292" s="27">
        <f t="shared" si="116"/>
        <v>2889230.769230769</v>
      </c>
      <c r="K292" s="27">
        <f t="shared" si="116"/>
        <v>45934.723076923074</v>
      </c>
      <c r="L292" s="27">
        <f t="shared" si="116"/>
        <v>569230.76923076925</v>
      </c>
      <c r="M292" s="27">
        <f t="shared" si="116"/>
        <v>0</v>
      </c>
      <c r="N292" s="27">
        <f t="shared" si="116"/>
        <v>2889230.769230769</v>
      </c>
      <c r="O292" s="27">
        <f t="shared" si="116"/>
        <v>2889230.769230769</v>
      </c>
      <c r="P292" s="27">
        <f t="shared" si="116"/>
        <v>2889230.769230769</v>
      </c>
      <c r="Q292" s="27">
        <f t="shared" si="116"/>
        <v>115384.61538461539</v>
      </c>
      <c r="R292" s="27">
        <f t="shared" si="116"/>
        <v>115384.61538461539</v>
      </c>
      <c r="S292" s="27">
        <f t="shared" si="116"/>
        <v>115384.61538461539</v>
      </c>
      <c r="T292" s="27">
        <f t="shared" si="116"/>
        <v>115384.61538461539</v>
      </c>
      <c r="U292" s="27">
        <f t="shared" si="116"/>
        <v>115384.61538461539</v>
      </c>
      <c r="V292" s="27">
        <f t="shared" si="116"/>
        <v>115384.61538461539</v>
      </c>
      <c r="W292" s="27">
        <f t="shared" si="116"/>
        <v>10261538.461538462</v>
      </c>
      <c r="X292" s="27">
        <f t="shared" si="97"/>
        <v>10261538.461538462</v>
      </c>
      <c r="Y292" s="27">
        <f t="shared" si="97"/>
        <v>10261538.461538462</v>
      </c>
    </row>
    <row r="293" spans="1:25" outlineLevel="1" x14ac:dyDescent="0.3">
      <c r="A293" t="s">
        <v>166</v>
      </c>
      <c r="B293" t="s">
        <v>84</v>
      </c>
      <c r="C293" s="6" t="s">
        <v>160</v>
      </c>
      <c r="D293" t="s">
        <v>49</v>
      </c>
      <c r="E293" s="27">
        <f t="shared" ref="E293:W293" si="117">E96/FallWeekdays</f>
        <v>0</v>
      </c>
      <c r="F293" s="27">
        <f t="shared" si="117"/>
        <v>209797.5076923077</v>
      </c>
      <c r="G293" s="27">
        <f t="shared" si="117"/>
        <v>0</v>
      </c>
      <c r="H293" s="27">
        <f t="shared" si="117"/>
        <v>2935384.6153846155</v>
      </c>
      <c r="I293" s="27">
        <f t="shared" si="117"/>
        <v>2935384.6153846155</v>
      </c>
      <c r="J293" s="27">
        <f t="shared" si="117"/>
        <v>2935384.6153846155</v>
      </c>
      <c r="K293" s="27">
        <f t="shared" si="117"/>
        <v>57860.692307692305</v>
      </c>
      <c r="L293" s="27">
        <f t="shared" si="117"/>
        <v>506153.84615384613</v>
      </c>
      <c r="M293" s="27">
        <f t="shared" si="117"/>
        <v>0</v>
      </c>
      <c r="N293" s="27">
        <f t="shared" si="117"/>
        <v>2935384.6153846155</v>
      </c>
      <c r="O293" s="27">
        <f t="shared" si="117"/>
        <v>2935384.6153846155</v>
      </c>
      <c r="P293" s="27">
        <f t="shared" si="117"/>
        <v>2935384.6153846155</v>
      </c>
      <c r="Q293" s="27">
        <f t="shared" si="117"/>
        <v>113846.15384615384</v>
      </c>
      <c r="R293" s="27">
        <f t="shared" si="117"/>
        <v>113846.15384615384</v>
      </c>
      <c r="S293" s="27">
        <f t="shared" si="117"/>
        <v>113846.15384615384</v>
      </c>
      <c r="T293" s="27">
        <f t="shared" si="117"/>
        <v>113846.15384615384</v>
      </c>
      <c r="U293" s="27">
        <f t="shared" si="117"/>
        <v>113846.15384615384</v>
      </c>
      <c r="V293" s="27">
        <f t="shared" si="117"/>
        <v>113846.15384615384</v>
      </c>
      <c r="W293" s="27">
        <f t="shared" si="117"/>
        <v>10200000</v>
      </c>
      <c r="X293" s="27">
        <f t="shared" si="97"/>
        <v>10200000</v>
      </c>
      <c r="Y293" s="27">
        <f t="shared" si="97"/>
        <v>10200000</v>
      </c>
    </row>
    <row r="294" spans="1:25" outlineLevel="1" x14ac:dyDescent="0.3">
      <c r="A294" t="s">
        <v>166</v>
      </c>
      <c r="B294" t="s">
        <v>85</v>
      </c>
      <c r="C294" s="6" t="s">
        <v>161</v>
      </c>
      <c r="D294" t="s">
        <v>49</v>
      </c>
      <c r="E294" s="27">
        <f t="shared" ref="E294:W294" si="118">E97/FallWeekdays</f>
        <v>0</v>
      </c>
      <c r="F294" s="27">
        <f t="shared" si="118"/>
        <v>169419.24615384615</v>
      </c>
      <c r="G294" s="27">
        <f t="shared" si="118"/>
        <v>0</v>
      </c>
      <c r="H294" s="27">
        <f t="shared" si="118"/>
        <v>2403076.923076923</v>
      </c>
      <c r="I294" s="27">
        <f t="shared" si="118"/>
        <v>2403076.923076923</v>
      </c>
      <c r="J294" s="27">
        <f t="shared" si="118"/>
        <v>2403076.923076923</v>
      </c>
      <c r="K294" s="27">
        <f t="shared" si="118"/>
        <v>46343.769230769234</v>
      </c>
      <c r="L294" s="27">
        <f t="shared" si="118"/>
        <v>449230.76923076925</v>
      </c>
      <c r="M294" s="27">
        <f t="shared" si="118"/>
        <v>0</v>
      </c>
      <c r="N294" s="27">
        <f t="shared" si="118"/>
        <v>2403076.923076923</v>
      </c>
      <c r="O294" s="27">
        <f t="shared" si="118"/>
        <v>2403076.923076923</v>
      </c>
      <c r="P294" s="27">
        <f t="shared" si="118"/>
        <v>2403076.923076923</v>
      </c>
      <c r="Q294" s="27">
        <f t="shared" si="118"/>
        <v>112923.07692307692</v>
      </c>
      <c r="R294" s="27">
        <f t="shared" si="118"/>
        <v>112923.07692307692</v>
      </c>
      <c r="S294" s="27">
        <f t="shared" si="118"/>
        <v>112923.07692307692</v>
      </c>
      <c r="T294" s="27">
        <f t="shared" si="118"/>
        <v>112923.07692307692</v>
      </c>
      <c r="U294" s="27">
        <f t="shared" si="118"/>
        <v>112923.07692307692</v>
      </c>
      <c r="V294" s="27">
        <f t="shared" si="118"/>
        <v>112923.07692307692</v>
      </c>
      <c r="W294" s="27">
        <f t="shared" si="118"/>
        <v>10169230.76923077</v>
      </c>
      <c r="X294" s="27">
        <f t="shared" si="97"/>
        <v>10169230.76923077</v>
      </c>
      <c r="Y294" s="27">
        <f t="shared" si="97"/>
        <v>10169230.76923077</v>
      </c>
    </row>
    <row r="295" spans="1:25" outlineLevel="1" x14ac:dyDescent="0.3">
      <c r="A295" t="s">
        <v>166</v>
      </c>
      <c r="B295" t="s">
        <v>86</v>
      </c>
      <c r="C295" s="6" t="s">
        <v>162</v>
      </c>
      <c r="D295" t="s">
        <v>49</v>
      </c>
      <c r="E295" s="27">
        <f t="shared" ref="E295:W295" si="119">E98/FallWeekdays</f>
        <v>0</v>
      </c>
      <c r="F295" s="27">
        <f t="shared" si="119"/>
        <v>133819.61538461538</v>
      </c>
      <c r="G295" s="27">
        <f t="shared" si="119"/>
        <v>0</v>
      </c>
      <c r="H295" s="27">
        <f t="shared" si="119"/>
        <v>1427692.3076923077</v>
      </c>
      <c r="I295" s="27">
        <f t="shared" si="119"/>
        <v>1427692.3076923077</v>
      </c>
      <c r="J295" s="27">
        <f t="shared" si="119"/>
        <v>1427692.3076923077</v>
      </c>
      <c r="K295" s="27">
        <f t="shared" si="119"/>
        <v>46544.24615384615</v>
      </c>
      <c r="L295" s="27">
        <f t="shared" si="119"/>
        <v>395384.61538461538</v>
      </c>
      <c r="M295" s="27">
        <f t="shared" si="119"/>
        <v>0</v>
      </c>
      <c r="N295" s="27">
        <f t="shared" si="119"/>
        <v>1427692.3076923077</v>
      </c>
      <c r="O295" s="27">
        <f t="shared" si="119"/>
        <v>1427692.3076923077</v>
      </c>
      <c r="P295" s="27">
        <f t="shared" si="119"/>
        <v>1427692.3076923077</v>
      </c>
      <c r="Q295" s="27">
        <f t="shared" si="119"/>
        <v>112000</v>
      </c>
      <c r="R295" s="27">
        <f t="shared" si="119"/>
        <v>112000</v>
      </c>
      <c r="S295" s="27">
        <f t="shared" si="119"/>
        <v>112000</v>
      </c>
      <c r="T295" s="27">
        <f t="shared" si="119"/>
        <v>112000</v>
      </c>
      <c r="U295" s="27">
        <f t="shared" si="119"/>
        <v>112000</v>
      </c>
      <c r="V295" s="27">
        <f t="shared" si="119"/>
        <v>112000</v>
      </c>
      <c r="W295" s="27">
        <f t="shared" si="119"/>
        <v>10107692.307692308</v>
      </c>
      <c r="X295" s="27">
        <f t="shared" si="97"/>
        <v>10107692.307692308</v>
      </c>
      <c r="Y295" s="27">
        <f t="shared" si="97"/>
        <v>10107692.307692308</v>
      </c>
    </row>
    <row r="296" spans="1:25" outlineLevel="1" x14ac:dyDescent="0.3">
      <c r="A296" t="s">
        <v>166</v>
      </c>
      <c r="B296" t="s">
        <v>87</v>
      </c>
      <c r="C296" s="6" t="s">
        <v>163</v>
      </c>
      <c r="D296" t="s">
        <v>49</v>
      </c>
      <c r="E296" s="27">
        <f t="shared" ref="E296:W296" si="120">E99/FallWeekdays</f>
        <v>0</v>
      </c>
      <c r="F296" s="27">
        <f t="shared" si="120"/>
        <v>106887.61538461539</v>
      </c>
      <c r="G296" s="27">
        <f t="shared" si="120"/>
        <v>0</v>
      </c>
      <c r="H296" s="27">
        <f t="shared" si="120"/>
        <v>750769.23076923075</v>
      </c>
      <c r="I296" s="27">
        <f t="shared" si="120"/>
        <v>750769.23076923075</v>
      </c>
      <c r="J296" s="27">
        <f t="shared" si="120"/>
        <v>750769.23076923075</v>
      </c>
      <c r="K296" s="27">
        <f t="shared" si="120"/>
        <v>49071.461538461539</v>
      </c>
      <c r="L296" s="27">
        <f t="shared" si="120"/>
        <v>340154.61538461538</v>
      </c>
      <c r="M296" s="27">
        <f t="shared" si="120"/>
        <v>0</v>
      </c>
      <c r="N296" s="27">
        <f t="shared" si="120"/>
        <v>750769.23076923075</v>
      </c>
      <c r="O296" s="27">
        <f t="shared" si="120"/>
        <v>750769.23076923075</v>
      </c>
      <c r="P296" s="27">
        <f t="shared" si="120"/>
        <v>750769.23076923075</v>
      </c>
      <c r="Q296" s="27">
        <f t="shared" si="120"/>
        <v>75076.923076923078</v>
      </c>
      <c r="R296" s="27">
        <f t="shared" si="120"/>
        <v>75076.923076923078</v>
      </c>
      <c r="S296" s="27">
        <f t="shared" si="120"/>
        <v>75076.923076923078</v>
      </c>
      <c r="T296" s="27">
        <f t="shared" si="120"/>
        <v>75076.923076923078</v>
      </c>
      <c r="U296" s="27">
        <f t="shared" si="120"/>
        <v>75076.923076923078</v>
      </c>
      <c r="V296" s="27">
        <f t="shared" si="120"/>
        <v>75076.923076923078</v>
      </c>
      <c r="W296" s="27">
        <f t="shared" si="120"/>
        <v>10076923.076923076</v>
      </c>
      <c r="X296" s="27">
        <f t="shared" si="97"/>
        <v>10076923.076923076</v>
      </c>
      <c r="Y296" s="27">
        <f t="shared" si="97"/>
        <v>10076923.076923076</v>
      </c>
    </row>
    <row r="297" spans="1:25" outlineLevel="1" x14ac:dyDescent="0.3">
      <c r="A297" t="s">
        <v>139</v>
      </c>
      <c r="B297" t="s">
        <v>64</v>
      </c>
      <c r="C297" s="6" t="s">
        <v>140</v>
      </c>
      <c r="D297" t="s">
        <v>48</v>
      </c>
      <c r="E297" s="29">
        <f t="shared" ref="E297:W297" si="121">E100/WinterWeekendDays</f>
        <v>0</v>
      </c>
      <c r="F297" s="29">
        <f t="shared" si="121"/>
        <v>34259.944444444453</v>
      </c>
      <c r="G297" s="29">
        <f t="shared" si="121"/>
        <v>0</v>
      </c>
      <c r="H297" s="29">
        <f t="shared" si="121"/>
        <v>1668333.3333333337</v>
      </c>
      <c r="I297" s="29">
        <f t="shared" si="121"/>
        <v>1668333.3333333337</v>
      </c>
      <c r="J297" s="29">
        <f t="shared" si="121"/>
        <v>1668333.3333333337</v>
      </c>
      <c r="K297" s="29">
        <f t="shared" si="121"/>
        <v>181691.45555555559</v>
      </c>
      <c r="L297" s="29">
        <f t="shared" si="121"/>
        <v>294644.77777777787</v>
      </c>
      <c r="M297" s="29">
        <f t="shared" si="121"/>
        <v>0</v>
      </c>
      <c r="N297" s="29">
        <f t="shared" si="121"/>
        <v>1668333.3333333337</v>
      </c>
      <c r="O297" s="29">
        <f t="shared" si="121"/>
        <v>1668333.3333333337</v>
      </c>
      <c r="P297" s="29">
        <f t="shared" si="121"/>
        <v>1668333.3333333337</v>
      </c>
      <c r="Q297" s="29">
        <f t="shared" si="121"/>
        <v>145405.55555555559</v>
      </c>
      <c r="R297" s="29">
        <f t="shared" si="121"/>
        <v>145405.55555555559</v>
      </c>
      <c r="S297" s="29">
        <f t="shared" si="121"/>
        <v>145405.55555555559</v>
      </c>
      <c r="T297" s="29">
        <f t="shared" si="121"/>
        <v>145405.55555555559</v>
      </c>
      <c r="U297" s="29">
        <f t="shared" si="121"/>
        <v>145405.55555555559</v>
      </c>
      <c r="V297" s="29">
        <f t="shared" si="121"/>
        <v>145405.55555555559</v>
      </c>
      <c r="W297" s="29">
        <f t="shared" si="121"/>
        <v>26288888.888888896</v>
      </c>
      <c r="X297" s="29">
        <f t="shared" ref="X297:Y320" si="122">X100/WinterWeekendDays</f>
        <v>26288888.888888896</v>
      </c>
      <c r="Y297" s="29">
        <f t="shared" si="122"/>
        <v>26288888.888888896</v>
      </c>
    </row>
    <row r="298" spans="1:25" outlineLevel="1" x14ac:dyDescent="0.3">
      <c r="A298" t="s">
        <v>139</v>
      </c>
      <c r="B298" t="s">
        <v>65</v>
      </c>
      <c r="C298" s="6" t="s">
        <v>141</v>
      </c>
      <c r="D298" t="s">
        <v>48</v>
      </c>
      <c r="E298" s="29">
        <f t="shared" ref="E298:W298" si="123">E101/WinterWeekendDays</f>
        <v>0</v>
      </c>
      <c r="F298" s="29">
        <f t="shared" si="123"/>
        <v>27529.405555555561</v>
      </c>
      <c r="G298" s="29">
        <f t="shared" si="123"/>
        <v>0</v>
      </c>
      <c r="H298" s="29">
        <f t="shared" si="123"/>
        <v>1441807.9277777781</v>
      </c>
      <c r="I298" s="29">
        <f t="shared" si="123"/>
        <v>1441807.9277777781</v>
      </c>
      <c r="J298" s="29">
        <f t="shared" si="123"/>
        <v>1441807.9277777781</v>
      </c>
      <c r="K298" s="29">
        <f t="shared" si="123"/>
        <v>170528.24444444448</v>
      </c>
      <c r="L298" s="29">
        <f t="shared" si="123"/>
        <v>285269.36666666676</v>
      </c>
      <c r="M298" s="29">
        <f t="shared" si="123"/>
        <v>0</v>
      </c>
      <c r="N298" s="29">
        <f t="shared" si="123"/>
        <v>1441807.9277777781</v>
      </c>
      <c r="O298" s="29">
        <f t="shared" si="123"/>
        <v>1441807.9277777781</v>
      </c>
      <c r="P298" s="29">
        <f t="shared" si="123"/>
        <v>1441807.9277777781</v>
      </c>
      <c r="Q298" s="29">
        <f t="shared" si="123"/>
        <v>144472.22222222225</v>
      </c>
      <c r="R298" s="29">
        <f t="shared" si="123"/>
        <v>144472.22222222225</v>
      </c>
      <c r="S298" s="29">
        <f t="shared" si="123"/>
        <v>144472.22222222225</v>
      </c>
      <c r="T298" s="29">
        <f t="shared" si="123"/>
        <v>144472.22222222225</v>
      </c>
      <c r="U298" s="29">
        <f t="shared" si="123"/>
        <v>144472.22222222225</v>
      </c>
      <c r="V298" s="29">
        <f t="shared" si="123"/>
        <v>144472.22222222225</v>
      </c>
      <c r="W298" s="29">
        <f t="shared" si="123"/>
        <v>26288888.888888896</v>
      </c>
      <c r="X298" s="29">
        <f t="shared" si="122"/>
        <v>26288888.888888896</v>
      </c>
      <c r="Y298" s="29">
        <f t="shared" si="122"/>
        <v>26288888.888888896</v>
      </c>
    </row>
    <row r="299" spans="1:25" outlineLevel="1" x14ac:dyDescent="0.3">
      <c r="A299" t="s">
        <v>139</v>
      </c>
      <c r="B299" t="s">
        <v>66</v>
      </c>
      <c r="C299" s="6" t="s">
        <v>142</v>
      </c>
      <c r="D299" t="s">
        <v>48</v>
      </c>
      <c r="E299" s="29">
        <f t="shared" ref="E299:W299" si="124">E102/WinterWeekendDays</f>
        <v>0</v>
      </c>
      <c r="F299" s="29">
        <f t="shared" si="124"/>
        <v>25640.53333333334</v>
      </c>
      <c r="G299" s="29">
        <f t="shared" si="124"/>
        <v>0</v>
      </c>
      <c r="H299" s="29">
        <f t="shared" si="124"/>
        <v>1392527.1500000004</v>
      </c>
      <c r="I299" s="29">
        <f t="shared" si="124"/>
        <v>1392527.1500000004</v>
      </c>
      <c r="J299" s="29">
        <f t="shared" si="124"/>
        <v>1392527.1500000004</v>
      </c>
      <c r="K299" s="29">
        <f t="shared" si="124"/>
        <v>153336.98333333337</v>
      </c>
      <c r="L299" s="29">
        <f t="shared" si="124"/>
        <v>281740.04444444453</v>
      </c>
      <c r="M299" s="29">
        <f t="shared" si="124"/>
        <v>0</v>
      </c>
      <c r="N299" s="29">
        <f t="shared" si="124"/>
        <v>1392527.1500000004</v>
      </c>
      <c r="O299" s="29">
        <f t="shared" si="124"/>
        <v>1392527.1500000004</v>
      </c>
      <c r="P299" s="29">
        <f t="shared" si="124"/>
        <v>1392527.1500000004</v>
      </c>
      <c r="Q299" s="29">
        <f t="shared" si="124"/>
        <v>144200.00000000003</v>
      </c>
      <c r="R299" s="29">
        <f t="shared" si="124"/>
        <v>144200.00000000003</v>
      </c>
      <c r="S299" s="29">
        <f t="shared" si="124"/>
        <v>144200.00000000003</v>
      </c>
      <c r="T299" s="29">
        <f t="shared" si="124"/>
        <v>144200.00000000003</v>
      </c>
      <c r="U299" s="29">
        <f t="shared" si="124"/>
        <v>144200.00000000003</v>
      </c>
      <c r="V299" s="29">
        <f t="shared" si="124"/>
        <v>144200.00000000003</v>
      </c>
      <c r="W299" s="29">
        <f t="shared" si="124"/>
        <v>26288888.888888896</v>
      </c>
      <c r="X299" s="29">
        <f t="shared" si="122"/>
        <v>26288888.888888896</v>
      </c>
      <c r="Y299" s="29">
        <f t="shared" si="122"/>
        <v>26288888.888888896</v>
      </c>
    </row>
    <row r="300" spans="1:25" outlineLevel="1" x14ac:dyDescent="0.3">
      <c r="A300" t="s">
        <v>139</v>
      </c>
      <c r="B300" t="s">
        <v>67</v>
      </c>
      <c r="C300" s="6" t="s">
        <v>143</v>
      </c>
      <c r="D300" t="s">
        <v>48</v>
      </c>
      <c r="E300" s="29">
        <f t="shared" ref="E300:W300" si="125">E103/WinterWeekendDays</f>
        <v>0</v>
      </c>
      <c r="F300" s="29">
        <f t="shared" si="125"/>
        <v>27948.005555555563</v>
      </c>
      <c r="G300" s="29">
        <f t="shared" si="125"/>
        <v>0</v>
      </c>
      <c r="H300" s="29">
        <f t="shared" si="125"/>
        <v>1391351.7333333336</v>
      </c>
      <c r="I300" s="29">
        <f t="shared" si="125"/>
        <v>1391351.7333333336</v>
      </c>
      <c r="J300" s="29">
        <f t="shared" si="125"/>
        <v>1391351.7333333336</v>
      </c>
      <c r="K300" s="29">
        <f t="shared" si="125"/>
        <v>160354.91111111114</v>
      </c>
      <c r="L300" s="29">
        <f t="shared" si="125"/>
        <v>281413.41666666674</v>
      </c>
      <c r="M300" s="29">
        <f t="shared" si="125"/>
        <v>0</v>
      </c>
      <c r="N300" s="29">
        <f t="shared" si="125"/>
        <v>1391351.7333333336</v>
      </c>
      <c r="O300" s="29">
        <f t="shared" si="125"/>
        <v>1391351.7333333336</v>
      </c>
      <c r="P300" s="29">
        <f t="shared" si="125"/>
        <v>1391351.7333333336</v>
      </c>
      <c r="Q300" s="29">
        <f t="shared" si="125"/>
        <v>144200.00000000003</v>
      </c>
      <c r="R300" s="29">
        <f t="shared" si="125"/>
        <v>144200.00000000003</v>
      </c>
      <c r="S300" s="29">
        <f t="shared" si="125"/>
        <v>144200.00000000003</v>
      </c>
      <c r="T300" s="29">
        <f t="shared" si="125"/>
        <v>144200.00000000003</v>
      </c>
      <c r="U300" s="29">
        <f t="shared" si="125"/>
        <v>144200.00000000003</v>
      </c>
      <c r="V300" s="29">
        <f t="shared" si="125"/>
        <v>144200.00000000003</v>
      </c>
      <c r="W300" s="29">
        <f t="shared" si="125"/>
        <v>26405555.555555563</v>
      </c>
      <c r="X300" s="29">
        <f t="shared" si="122"/>
        <v>26405555.555555563</v>
      </c>
      <c r="Y300" s="29">
        <f t="shared" si="122"/>
        <v>26405555.555555563</v>
      </c>
    </row>
    <row r="301" spans="1:25" outlineLevel="1" x14ac:dyDescent="0.3">
      <c r="A301" t="s">
        <v>139</v>
      </c>
      <c r="B301" t="s">
        <v>68</v>
      </c>
      <c r="C301" s="6" t="s">
        <v>144</v>
      </c>
      <c r="D301" t="s">
        <v>48</v>
      </c>
      <c r="E301" s="29">
        <f t="shared" ref="E301:W301" si="126">E104/WinterWeekendDays</f>
        <v>0</v>
      </c>
      <c r="F301" s="29">
        <f t="shared" si="126"/>
        <v>35199.888888888898</v>
      </c>
      <c r="G301" s="29">
        <f t="shared" si="126"/>
        <v>0</v>
      </c>
      <c r="H301" s="29">
        <f t="shared" si="126"/>
        <v>1464531.2111111116</v>
      </c>
      <c r="I301" s="29">
        <f t="shared" si="126"/>
        <v>1464531.2111111116</v>
      </c>
      <c r="J301" s="29">
        <f t="shared" si="126"/>
        <v>1464531.2111111116</v>
      </c>
      <c r="K301" s="29">
        <f t="shared" si="126"/>
        <v>167191.42222222226</v>
      </c>
      <c r="L301" s="29">
        <f t="shared" si="126"/>
        <v>284581.15000000008</v>
      </c>
      <c r="M301" s="29">
        <f t="shared" si="126"/>
        <v>0</v>
      </c>
      <c r="N301" s="29">
        <f t="shared" si="126"/>
        <v>1464531.2111111116</v>
      </c>
      <c r="O301" s="29">
        <f t="shared" si="126"/>
        <v>1464531.2111111116</v>
      </c>
      <c r="P301" s="29">
        <f t="shared" si="126"/>
        <v>1464531.2111111116</v>
      </c>
      <c r="Q301" s="29">
        <f t="shared" si="126"/>
        <v>144083.33333333337</v>
      </c>
      <c r="R301" s="29">
        <f t="shared" si="126"/>
        <v>144083.33333333337</v>
      </c>
      <c r="S301" s="29">
        <f t="shared" si="126"/>
        <v>144083.33333333337</v>
      </c>
      <c r="T301" s="29">
        <f t="shared" si="126"/>
        <v>144083.33333333337</v>
      </c>
      <c r="U301" s="29">
        <f t="shared" si="126"/>
        <v>144083.33333333337</v>
      </c>
      <c r="V301" s="29">
        <f t="shared" si="126"/>
        <v>144083.33333333337</v>
      </c>
      <c r="W301" s="29">
        <f t="shared" si="126"/>
        <v>26444444.444444451</v>
      </c>
      <c r="X301" s="29">
        <f t="shared" si="122"/>
        <v>26444444.444444451</v>
      </c>
      <c r="Y301" s="29">
        <f t="shared" si="122"/>
        <v>26444444.444444451</v>
      </c>
    </row>
    <row r="302" spans="1:25" outlineLevel="1" x14ac:dyDescent="0.3">
      <c r="A302" t="s">
        <v>139</v>
      </c>
      <c r="B302" t="s">
        <v>69</v>
      </c>
      <c r="C302" s="6" t="s">
        <v>145</v>
      </c>
      <c r="D302" t="s">
        <v>48</v>
      </c>
      <c r="E302" s="29">
        <f t="shared" ref="E302:W302" si="127">E105/WinterWeekendDays</f>
        <v>0</v>
      </c>
      <c r="F302" s="29">
        <f t="shared" si="127"/>
        <v>48304.355555555565</v>
      </c>
      <c r="G302" s="29">
        <f t="shared" si="127"/>
        <v>0</v>
      </c>
      <c r="H302" s="29">
        <f t="shared" si="127"/>
        <v>1897777.7777777782</v>
      </c>
      <c r="I302" s="29">
        <f t="shared" si="127"/>
        <v>1897777.7777777782</v>
      </c>
      <c r="J302" s="29">
        <f t="shared" si="127"/>
        <v>1897777.7777777782</v>
      </c>
      <c r="K302" s="29">
        <f t="shared" si="127"/>
        <v>174461.97222222228</v>
      </c>
      <c r="L302" s="29">
        <f t="shared" si="127"/>
        <v>294130.43333333341</v>
      </c>
      <c r="M302" s="29">
        <f t="shared" si="127"/>
        <v>0</v>
      </c>
      <c r="N302" s="29">
        <f t="shared" si="127"/>
        <v>1897777.7777777782</v>
      </c>
      <c r="O302" s="29">
        <f t="shared" si="127"/>
        <v>1897777.7777777782</v>
      </c>
      <c r="P302" s="29">
        <f t="shared" si="127"/>
        <v>1897777.7777777782</v>
      </c>
      <c r="Q302" s="29">
        <f t="shared" si="127"/>
        <v>144238.88888888893</v>
      </c>
      <c r="R302" s="29">
        <f t="shared" si="127"/>
        <v>144238.88888888893</v>
      </c>
      <c r="S302" s="29">
        <f t="shared" si="127"/>
        <v>144238.88888888893</v>
      </c>
      <c r="T302" s="29">
        <f t="shared" si="127"/>
        <v>144238.88888888893</v>
      </c>
      <c r="U302" s="29">
        <f t="shared" si="127"/>
        <v>144238.88888888893</v>
      </c>
      <c r="V302" s="29">
        <f t="shared" si="127"/>
        <v>144238.88888888893</v>
      </c>
      <c r="W302" s="29">
        <f t="shared" si="127"/>
        <v>26600000.000000007</v>
      </c>
      <c r="X302" s="29">
        <f t="shared" si="122"/>
        <v>26600000.000000007</v>
      </c>
      <c r="Y302" s="29">
        <f t="shared" si="122"/>
        <v>26600000.000000007</v>
      </c>
    </row>
    <row r="303" spans="1:25" outlineLevel="1" x14ac:dyDescent="0.3">
      <c r="A303" t="s">
        <v>139</v>
      </c>
      <c r="B303" t="s">
        <v>70</v>
      </c>
      <c r="C303" s="6" t="s">
        <v>146</v>
      </c>
      <c r="D303" t="s">
        <v>48</v>
      </c>
      <c r="E303" s="29">
        <f t="shared" ref="E303:W303" si="128">E106/WinterWeekendDays</f>
        <v>0</v>
      </c>
      <c r="F303" s="29">
        <f t="shared" si="128"/>
        <v>68551.544444444458</v>
      </c>
      <c r="G303" s="29">
        <f t="shared" si="128"/>
        <v>0</v>
      </c>
      <c r="H303" s="29">
        <f t="shared" si="128"/>
        <v>3274444.4444444454</v>
      </c>
      <c r="I303" s="29">
        <f t="shared" si="128"/>
        <v>3274444.4444444454</v>
      </c>
      <c r="J303" s="29">
        <f t="shared" si="128"/>
        <v>3274444.4444444454</v>
      </c>
      <c r="K303" s="29">
        <f t="shared" si="128"/>
        <v>218574.61111111115</v>
      </c>
      <c r="L303" s="29">
        <f t="shared" si="128"/>
        <v>315765.06111111119</v>
      </c>
      <c r="M303" s="29">
        <f t="shared" si="128"/>
        <v>0</v>
      </c>
      <c r="N303" s="29">
        <f t="shared" si="128"/>
        <v>3274444.4444444454</v>
      </c>
      <c r="O303" s="29">
        <f t="shared" si="128"/>
        <v>3274444.4444444454</v>
      </c>
      <c r="P303" s="29">
        <f t="shared" si="128"/>
        <v>3274444.4444444454</v>
      </c>
      <c r="Q303" s="29">
        <f t="shared" si="128"/>
        <v>176166.66666666672</v>
      </c>
      <c r="R303" s="29">
        <f t="shared" si="128"/>
        <v>176166.66666666672</v>
      </c>
      <c r="S303" s="29">
        <f t="shared" si="128"/>
        <v>176166.66666666672</v>
      </c>
      <c r="T303" s="29">
        <f t="shared" si="128"/>
        <v>176166.66666666672</v>
      </c>
      <c r="U303" s="29">
        <f t="shared" si="128"/>
        <v>176166.66666666672</v>
      </c>
      <c r="V303" s="29">
        <f t="shared" si="128"/>
        <v>176166.66666666672</v>
      </c>
      <c r="W303" s="29">
        <f t="shared" si="128"/>
        <v>26677777.777777784</v>
      </c>
      <c r="X303" s="29">
        <f t="shared" si="122"/>
        <v>26677777.777777784</v>
      </c>
      <c r="Y303" s="29">
        <f t="shared" si="122"/>
        <v>26677777.777777784</v>
      </c>
    </row>
    <row r="304" spans="1:25" outlineLevel="1" x14ac:dyDescent="0.3">
      <c r="A304" t="s">
        <v>139</v>
      </c>
      <c r="B304" t="s">
        <v>71</v>
      </c>
      <c r="C304" s="6" t="s">
        <v>147</v>
      </c>
      <c r="D304" t="s">
        <v>48</v>
      </c>
      <c r="E304" s="29">
        <f t="shared" ref="E304:W304" si="129">E107/WinterWeekendDays</f>
        <v>0</v>
      </c>
      <c r="F304" s="29">
        <f t="shared" si="129"/>
        <v>96775.583333333358</v>
      </c>
      <c r="G304" s="29">
        <f t="shared" si="129"/>
        <v>0</v>
      </c>
      <c r="H304" s="29">
        <f t="shared" si="129"/>
        <v>2068888.8888888895</v>
      </c>
      <c r="I304" s="29">
        <f t="shared" si="129"/>
        <v>2068888.8888888895</v>
      </c>
      <c r="J304" s="29">
        <f t="shared" si="129"/>
        <v>2068888.8888888895</v>
      </c>
      <c r="K304" s="29">
        <f t="shared" si="129"/>
        <v>425121.70555555564</v>
      </c>
      <c r="L304" s="29">
        <f t="shared" si="129"/>
        <v>354167.13888888899</v>
      </c>
      <c r="M304" s="29">
        <f t="shared" si="129"/>
        <v>0</v>
      </c>
      <c r="N304" s="29">
        <f t="shared" si="129"/>
        <v>2068888.8888888895</v>
      </c>
      <c r="O304" s="29">
        <f t="shared" si="129"/>
        <v>2068888.8888888895</v>
      </c>
      <c r="P304" s="29">
        <f t="shared" si="129"/>
        <v>2068888.8888888895</v>
      </c>
      <c r="Q304" s="29">
        <f t="shared" si="129"/>
        <v>227888.88888888893</v>
      </c>
      <c r="R304" s="29">
        <f t="shared" si="129"/>
        <v>227888.88888888893</v>
      </c>
      <c r="S304" s="29">
        <f t="shared" si="129"/>
        <v>227888.88888888893</v>
      </c>
      <c r="T304" s="29">
        <f t="shared" si="129"/>
        <v>227888.88888888893</v>
      </c>
      <c r="U304" s="29">
        <f t="shared" si="129"/>
        <v>227888.88888888893</v>
      </c>
      <c r="V304" s="29">
        <f t="shared" si="129"/>
        <v>227888.88888888893</v>
      </c>
      <c r="W304" s="29">
        <f t="shared" si="129"/>
        <v>26755555.555555563</v>
      </c>
      <c r="X304" s="29">
        <f t="shared" si="122"/>
        <v>26755555.555555563</v>
      </c>
      <c r="Y304" s="29">
        <f t="shared" si="122"/>
        <v>26755555.555555563</v>
      </c>
    </row>
    <row r="305" spans="1:25" outlineLevel="1" x14ac:dyDescent="0.3">
      <c r="A305" t="s">
        <v>139</v>
      </c>
      <c r="B305" t="s">
        <v>72</v>
      </c>
      <c r="C305" s="6" t="s">
        <v>148</v>
      </c>
      <c r="D305" t="s">
        <v>48</v>
      </c>
      <c r="E305" s="29">
        <f t="shared" ref="E305:W305" si="130">E108/WinterWeekendDays</f>
        <v>0</v>
      </c>
      <c r="F305" s="29">
        <f t="shared" si="130"/>
        <v>130815.57222222225</v>
      </c>
      <c r="G305" s="29">
        <f t="shared" si="130"/>
        <v>0</v>
      </c>
      <c r="H305" s="29">
        <f t="shared" si="130"/>
        <v>1847222.2222222227</v>
      </c>
      <c r="I305" s="29">
        <f t="shared" si="130"/>
        <v>1847222.2222222227</v>
      </c>
      <c r="J305" s="29">
        <f t="shared" si="130"/>
        <v>1847222.2222222227</v>
      </c>
      <c r="K305" s="29">
        <f t="shared" si="130"/>
        <v>516572.73888888903</v>
      </c>
      <c r="L305" s="29">
        <f t="shared" si="130"/>
        <v>411118.59444444452</v>
      </c>
      <c r="M305" s="29">
        <f t="shared" si="130"/>
        <v>0</v>
      </c>
      <c r="N305" s="29">
        <f t="shared" si="130"/>
        <v>1847222.2222222227</v>
      </c>
      <c r="O305" s="29">
        <f t="shared" si="130"/>
        <v>1847222.2222222227</v>
      </c>
      <c r="P305" s="29">
        <f t="shared" si="130"/>
        <v>1847222.2222222227</v>
      </c>
      <c r="Q305" s="29">
        <f t="shared" si="130"/>
        <v>261333.3333333334</v>
      </c>
      <c r="R305" s="29">
        <f t="shared" si="130"/>
        <v>261333.3333333334</v>
      </c>
      <c r="S305" s="29">
        <f t="shared" si="130"/>
        <v>261333.3333333334</v>
      </c>
      <c r="T305" s="29">
        <f t="shared" si="130"/>
        <v>261333.3333333334</v>
      </c>
      <c r="U305" s="29">
        <f t="shared" si="130"/>
        <v>261333.3333333334</v>
      </c>
      <c r="V305" s="29">
        <f t="shared" si="130"/>
        <v>261333.3333333334</v>
      </c>
      <c r="W305" s="29">
        <f t="shared" si="130"/>
        <v>26677777.777777784</v>
      </c>
      <c r="X305" s="29">
        <f t="shared" si="122"/>
        <v>26677777.777777784</v>
      </c>
      <c r="Y305" s="29">
        <f t="shared" si="122"/>
        <v>26677777.777777784</v>
      </c>
    </row>
    <row r="306" spans="1:25" outlineLevel="1" x14ac:dyDescent="0.3">
      <c r="A306" t="s">
        <v>139</v>
      </c>
      <c r="B306" t="s">
        <v>73</v>
      </c>
      <c r="C306" s="6" t="s">
        <v>149</v>
      </c>
      <c r="D306" t="s">
        <v>48</v>
      </c>
      <c r="E306" s="29">
        <f t="shared" ref="E306:W306" si="131">E109/WinterWeekendDays</f>
        <v>0</v>
      </c>
      <c r="F306" s="29">
        <f t="shared" si="131"/>
        <v>169492.9444444445</v>
      </c>
      <c r="G306" s="29">
        <f t="shared" si="131"/>
        <v>0</v>
      </c>
      <c r="H306" s="29">
        <f t="shared" si="131"/>
        <v>1917222.2222222227</v>
      </c>
      <c r="I306" s="29">
        <f t="shared" si="131"/>
        <v>1917222.2222222227</v>
      </c>
      <c r="J306" s="29">
        <f t="shared" si="131"/>
        <v>1917222.2222222227</v>
      </c>
      <c r="K306" s="29">
        <f t="shared" si="131"/>
        <v>419447.27222222229</v>
      </c>
      <c r="L306" s="29">
        <f t="shared" si="131"/>
        <v>468798.01111111121</v>
      </c>
      <c r="M306" s="29">
        <f t="shared" si="131"/>
        <v>0</v>
      </c>
      <c r="N306" s="29">
        <f t="shared" si="131"/>
        <v>1917222.2222222227</v>
      </c>
      <c r="O306" s="29">
        <f t="shared" si="131"/>
        <v>1917222.2222222227</v>
      </c>
      <c r="P306" s="29">
        <f t="shared" si="131"/>
        <v>1917222.2222222227</v>
      </c>
      <c r="Q306" s="29">
        <f t="shared" si="131"/>
        <v>284666.66666666674</v>
      </c>
      <c r="R306" s="29">
        <f t="shared" si="131"/>
        <v>284666.66666666674</v>
      </c>
      <c r="S306" s="29">
        <f t="shared" si="131"/>
        <v>284666.66666666674</v>
      </c>
      <c r="T306" s="29">
        <f t="shared" si="131"/>
        <v>284666.66666666674</v>
      </c>
      <c r="U306" s="29">
        <f t="shared" si="131"/>
        <v>284666.66666666674</v>
      </c>
      <c r="V306" s="29">
        <f t="shared" si="131"/>
        <v>284666.66666666674</v>
      </c>
      <c r="W306" s="29">
        <f t="shared" si="131"/>
        <v>26600000.000000007</v>
      </c>
      <c r="X306" s="29">
        <f t="shared" si="122"/>
        <v>26600000.000000007</v>
      </c>
      <c r="Y306" s="29">
        <f t="shared" si="122"/>
        <v>26600000.000000007</v>
      </c>
    </row>
    <row r="307" spans="1:25" outlineLevel="1" x14ac:dyDescent="0.3">
      <c r="A307" t="s">
        <v>139</v>
      </c>
      <c r="B307" t="s">
        <v>74</v>
      </c>
      <c r="C307" s="6" t="s">
        <v>150</v>
      </c>
      <c r="D307" t="s">
        <v>48</v>
      </c>
      <c r="E307" s="29">
        <f t="shared" ref="E307:W307" si="132">E110/WinterWeekendDays</f>
        <v>0</v>
      </c>
      <c r="F307" s="29">
        <f t="shared" si="132"/>
        <v>224766.88888888893</v>
      </c>
      <c r="G307" s="29">
        <f t="shared" si="132"/>
        <v>0</v>
      </c>
      <c r="H307" s="29">
        <f t="shared" si="132"/>
        <v>1925000.0000000005</v>
      </c>
      <c r="I307" s="29">
        <f t="shared" si="132"/>
        <v>1925000.0000000005</v>
      </c>
      <c r="J307" s="29">
        <f t="shared" si="132"/>
        <v>1925000.0000000005</v>
      </c>
      <c r="K307" s="29">
        <f t="shared" si="132"/>
        <v>355898.78333333344</v>
      </c>
      <c r="L307" s="29">
        <f t="shared" si="132"/>
        <v>528158.01111111126</v>
      </c>
      <c r="M307" s="29">
        <f t="shared" si="132"/>
        <v>0</v>
      </c>
      <c r="N307" s="29">
        <f t="shared" si="132"/>
        <v>1925000.0000000005</v>
      </c>
      <c r="O307" s="29">
        <f t="shared" si="132"/>
        <v>1925000.0000000005</v>
      </c>
      <c r="P307" s="29">
        <f t="shared" si="132"/>
        <v>1925000.0000000005</v>
      </c>
      <c r="Q307" s="29">
        <f t="shared" si="132"/>
        <v>295944.4444444445</v>
      </c>
      <c r="R307" s="29">
        <f t="shared" si="132"/>
        <v>295944.4444444445</v>
      </c>
      <c r="S307" s="29">
        <f t="shared" si="132"/>
        <v>295944.4444444445</v>
      </c>
      <c r="T307" s="29">
        <f t="shared" si="132"/>
        <v>295944.4444444445</v>
      </c>
      <c r="U307" s="29">
        <f t="shared" si="132"/>
        <v>295944.4444444445</v>
      </c>
      <c r="V307" s="29">
        <f t="shared" si="132"/>
        <v>295944.4444444445</v>
      </c>
      <c r="W307" s="29">
        <f t="shared" si="132"/>
        <v>26600000.000000007</v>
      </c>
      <c r="X307" s="29">
        <f t="shared" si="122"/>
        <v>26600000.000000007</v>
      </c>
      <c r="Y307" s="29">
        <f t="shared" si="122"/>
        <v>26600000.000000007</v>
      </c>
    </row>
    <row r="308" spans="1:25" outlineLevel="1" x14ac:dyDescent="0.3">
      <c r="A308" t="s">
        <v>139</v>
      </c>
      <c r="B308" t="s">
        <v>75</v>
      </c>
      <c r="C308" s="6" t="s">
        <v>151</v>
      </c>
      <c r="D308" t="s">
        <v>48</v>
      </c>
      <c r="E308" s="29">
        <f t="shared" ref="E308:W308" si="133">E111/WinterWeekendDays</f>
        <v>0</v>
      </c>
      <c r="F308" s="29">
        <f t="shared" si="133"/>
        <v>313751.27777777787</v>
      </c>
      <c r="G308" s="29">
        <f t="shared" si="133"/>
        <v>0</v>
      </c>
      <c r="H308" s="29">
        <f t="shared" si="133"/>
        <v>2049444.444444445</v>
      </c>
      <c r="I308" s="29">
        <f t="shared" si="133"/>
        <v>2049444.444444445</v>
      </c>
      <c r="J308" s="29">
        <f t="shared" si="133"/>
        <v>2049444.444444445</v>
      </c>
      <c r="K308" s="29">
        <f t="shared" si="133"/>
        <v>314857.27777777787</v>
      </c>
      <c r="L308" s="29">
        <f t="shared" si="133"/>
        <v>588307.26111111126</v>
      </c>
      <c r="M308" s="29">
        <f t="shared" si="133"/>
        <v>0</v>
      </c>
      <c r="N308" s="29">
        <f t="shared" si="133"/>
        <v>2049444.444444445</v>
      </c>
      <c r="O308" s="29">
        <f t="shared" si="133"/>
        <v>2049444.444444445</v>
      </c>
      <c r="P308" s="29">
        <f t="shared" si="133"/>
        <v>2049444.444444445</v>
      </c>
      <c r="Q308" s="29">
        <f t="shared" si="133"/>
        <v>297111.11111111118</v>
      </c>
      <c r="R308" s="29">
        <f t="shared" si="133"/>
        <v>297111.11111111118</v>
      </c>
      <c r="S308" s="29">
        <f t="shared" si="133"/>
        <v>297111.11111111118</v>
      </c>
      <c r="T308" s="29">
        <f t="shared" si="133"/>
        <v>297111.11111111118</v>
      </c>
      <c r="U308" s="29">
        <f t="shared" si="133"/>
        <v>297111.11111111118</v>
      </c>
      <c r="V308" s="29">
        <f t="shared" si="133"/>
        <v>297111.11111111118</v>
      </c>
      <c r="W308" s="29">
        <f t="shared" si="133"/>
        <v>26600000.000000007</v>
      </c>
      <c r="X308" s="29">
        <f t="shared" si="122"/>
        <v>26600000.000000007</v>
      </c>
      <c r="Y308" s="29">
        <f t="shared" si="122"/>
        <v>26600000.000000007</v>
      </c>
    </row>
    <row r="309" spans="1:25" outlineLevel="1" x14ac:dyDescent="0.3">
      <c r="A309" t="s">
        <v>139</v>
      </c>
      <c r="B309" t="s">
        <v>76</v>
      </c>
      <c r="C309" s="6" t="s">
        <v>152</v>
      </c>
      <c r="D309" t="s">
        <v>48</v>
      </c>
      <c r="E309" s="29">
        <f t="shared" ref="E309:W309" si="134">E112/WinterWeekendDays</f>
        <v>0</v>
      </c>
      <c r="F309" s="29">
        <f t="shared" si="134"/>
        <v>400987.45555555564</v>
      </c>
      <c r="G309" s="29">
        <f t="shared" si="134"/>
        <v>0</v>
      </c>
      <c r="H309" s="29">
        <f t="shared" si="134"/>
        <v>2111666.666666667</v>
      </c>
      <c r="I309" s="29">
        <f t="shared" si="134"/>
        <v>2111666.666666667</v>
      </c>
      <c r="J309" s="29">
        <f t="shared" si="134"/>
        <v>2111666.666666667</v>
      </c>
      <c r="K309" s="29">
        <f t="shared" si="134"/>
        <v>285681.78333333338</v>
      </c>
      <c r="L309" s="29">
        <f t="shared" si="134"/>
        <v>640097.50000000012</v>
      </c>
      <c r="M309" s="29">
        <f t="shared" si="134"/>
        <v>0</v>
      </c>
      <c r="N309" s="29">
        <f t="shared" si="134"/>
        <v>2111666.666666667</v>
      </c>
      <c r="O309" s="29">
        <f t="shared" si="134"/>
        <v>2111666.666666667</v>
      </c>
      <c r="P309" s="29">
        <f t="shared" si="134"/>
        <v>2111666.666666667</v>
      </c>
      <c r="Q309" s="29">
        <f t="shared" si="134"/>
        <v>287000.00000000006</v>
      </c>
      <c r="R309" s="29">
        <f t="shared" si="134"/>
        <v>287000.00000000006</v>
      </c>
      <c r="S309" s="29">
        <f t="shared" si="134"/>
        <v>287000.00000000006</v>
      </c>
      <c r="T309" s="29">
        <f t="shared" si="134"/>
        <v>287000.00000000006</v>
      </c>
      <c r="U309" s="29">
        <f t="shared" si="134"/>
        <v>287000.00000000006</v>
      </c>
      <c r="V309" s="29">
        <f t="shared" si="134"/>
        <v>287000.00000000006</v>
      </c>
      <c r="W309" s="29">
        <f t="shared" si="134"/>
        <v>26561111.111111116</v>
      </c>
      <c r="X309" s="29">
        <f t="shared" si="122"/>
        <v>26561111.111111116</v>
      </c>
      <c r="Y309" s="29">
        <f t="shared" si="122"/>
        <v>26561111.111111116</v>
      </c>
    </row>
    <row r="310" spans="1:25" outlineLevel="1" x14ac:dyDescent="0.3">
      <c r="A310" t="s">
        <v>139</v>
      </c>
      <c r="B310" t="s">
        <v>77</v>
      </c>
      <c r="C310" s="6" t="s">
        <v>153</v>
      </c>
      <c r="D310" t="s">
        <v>48</v>
      </c>
      <c r="E310" s="29">
        <f t="shared" ref="E310:W310" si="135">E113/WinterWeekendDays</f>
        <v>0</v>
      </c>
      <c r="F310" s="29">
        <f t="shared" si="135"/>
        <v>452610.27777777787</v>
      </c>
      <c r="G310" s="29">
        <f t="shared" si="135"/>
        <v>0</v>
      </c>
      <c r="H310" s="29">
        <f t="shared" si="135"/>
        <v>2111666.666666667</v>
      </c>
      <c r="I310" s="29">
        <f t="shared" si="135"/>
        <v>2111666.666666667</v>
      </c>
      <c r="J310" s="29">
        <f t="shared" si="135"/>
        <v>2111666.666666667</v>
      </c>
      <c r="K310" s="29">
        <f t="shared" si="135"/>
        <v>264263.45555555564</v>
      </c>
      <c r="L310" s="29">
        <f t="shared" si="135"/>
        <v>671978.10555555567</v>
      </c>
      <c r="M310" s="29">
        <f t="shared" si="135"/>
        <v>0</v>
      </c>
      <c r="N310" s="29">
        <f t="shared" si="135"/>
        <v>2111666.666666667</v>
      </c>
      <c r="O310" s="29">
        <f t="shared" si="135"/>
        <v>2111666.666666667</v>
      </c>
      <c r="P310" s="29">
        <f t="shared" si="135"/>
        <v>2111666.666666667</v>
      </c>
      <c r="Q310" s="29">
        <f t="shared" si="135"/>
        <v>266388.88888888893</v>
      </c>
      <c r="R310" s="29">
        <f t="shared" si="135"/>
        <v>266388.88888888893</v>
      </c>
      <c r="S310" s="29">
        <f t="shared" si="135"/>
        <v>266388.88888888893</v>
      </c>
      <c r="T310" s="29">
        <f t="shared" si="135"/>
        <v>266388.88888888893</v>
      </c>
      <c r="U310" s="29">
        <f t="shared" si="135"/>
        <v>266388.88888888893</v>
      </c>
      <c r="V310" s="29">
        <f t="shared" si="135"/>
        <v>266388.88888888893</v>
      </c>
      <c r="W310" s="29">
        <f t="shared" si="135"/>
        <v>26600000.000000007</v>
      </c>
      <c r="X310" s="29">
        <f t="shared" si="122"/>
        <v>26600000.000000007</v>
      </c>
      <c r="Y310" s="29">
        <f t="shared" si="122"/>
        <v>26600000.000000007</v>
      </c>
    </row>
    <row r="311" spans="1:25" outlineLevel="1" x14ac:dyDescent="0.3">
      <c r="A311" t="s">
        <v>139</v>
      </c>
      <c r="B311" t="s">
        <v>78</v>
      </c>
      <c r="C311" s="6" t="s">
        <v>154</v>
      </c>
      <c r="D311" t="s">
        <v>48</v>
      </c>
      <c r="E311" s="29">
        <f t="shared" ref="E311:W311" si="136">E114/WinterWeekendDays</f>
        <v>0</v>
      </c>
      <c r="F311" s="29">
        <f t="shared" si="136"/>
        <v>468038.35555555567</v>
      </c>
      <c r="G311" s="29">
        <f t="shared" si="136"/>
        <v>0</v>
      </c>
      <c r="H311" s="29">
        <f t="shared" si="136"/>
        <v>2096111.1111111117</v>
      </c>
      <c r="I311" s="29">
        <f t="shared" si="136"/>
        <v>2096111.1111111117</v>
      </c>
      <c r="J311" s="29">
        <f t="shared" si="136"/>
        <v>2096111.1111111117</v>
      </c>
      <c r="K311" s="29">
        <f t="shared" si="136"/>
        <v>251059.0055555556</v>
      </c>
      <c r="L311" s="29">
        <f t="shared" si="136"/>
        <v>682917.90000000014</v>
      </c>
      <c r="M311" s="29">
        <f t="shared" si="136"/>
        <v>0</v>
      </c>
      <c r="N311" s="29">
        <f t="shared" si="136"/>
        <v>2096111.1111111117</v>
      </c>
      <c r="O311" s="29">
        <f t="shared" si="136"/>
        <v>2096111.1111111117</v>
      </c>
      <c r="P311" s="29">
        <f t="shared" si="136"/>
        <v>2096111.1111111117</v>
      </c>
      <c r="Q311" s="29">
        <f t="shared" si="136"/>
        <v>266000.00000000006</v>
      </c>
      <c r="R311" s="29">
        <f t="shared" si="136"/>
        <v>266000.00000000006</v>
      </c>
      <c r="S311" s="29">
        <f t="shared" si="136"/>
        <v>266000.00000000006</v>
      </c>
      <c r="T311" s="29">
        <f t="shared" si="136"/>
        <v>266000.00000000006</v>
      </c>
      <c r="U311" s="29">
        <f t="shared" si="136"/>
        <v>266000.00000000006</v>
      </c>
      <c r="V311" s="29">
        <f t="shared" si="136"/>
        <v>266000.00000000006</v>
      </c>
      <c r="W311" s="29">
        <f t="shared" si="136"/>
        <v>26600000.000000007</v>
      </c>
      <c r="X311" s="29">
        <f t="shared" si="122"/>
        <v>26600000.000000007</v>
      </c>
      <c r="Y311" s="29">
        <f t="shared" si="122"/>
        <v>26600000.000000007</v>
      </c>
    </row>
    <row r="312" spans="1:25" outlineLevel="1" x14ac:dyDescent="0.3">
      <c r="A312" t="s">
        <v>139</v>
      </c>
      <c r="B312" t="s">
        <v>79</v>
      </c>
      <c r="C312" s="6" t="s">
        <v>155</v>
      </c>
      <c r="D312" t="s">
        <v>48</v>
      </c>
      <c r="E312" s="29">
        <f t="shared" ref="E312:W312" si="137">E115/WinterWeekendDays</f>
        <v>0</v>
      </c>
      <c r="F312" s="29">
        <f t="shared" si="137"/>
        <v>450222.18888888898</v>
      </c>
      <c r="G312" s="29">
        <f t="shared" si="137"/>
        <v>0</v>
      </c>
      <c r="H312" s="29">
        <f t="shared" si="137"/>
        <v>2096111.1111111117</v>
      </c>
      <c r="I312" s="29">
        <f t="shared" si="137"/>
        <v>2096111.1111111117</v>
      </c>
      <c r="J312" s="29">
        <f t="shared" si="137"/>
        <v>2096111.1111111117</v>
      </c>
      <c r="K312" s="29">
        <f t="shared" si="137"/>
        <v>257715.38333333339</v>
      </c>
      <c r="L312" s="29">
        <f t="shared" si="137"/>
        <v>672058.91666666686</v>
      </c>
      <c r="M312" s="29">
        <f t="shared" si="137"/>
        <v>0</v>
      </c>
      <c r="N312" s="29">
        <f t="shared" si="137"/>
        <v>2096111.1111111117</v>
      </c>
      <c r="O312" s="29">
        <f t="shared" si="137"/>
        <v>2096111.1111111117</v>
      </c>
      <c r="P312" s="29">
        <f t="shared" si="137"/>
        <v>2096111.1111111117</v>
      </c>
      <c r="Q312" s="29">
        <f t="shared" si="137"/>
        <v>265222.22222222231</v>
      </c>
      <c r="R312" s="29">
        <f t="shared" si="137"/>
        <v>265222.22222222231</v>
      </c>
      <c r="S312" s="29">
        <f t="shared" si="137"/>
        <v>265222.22222222231</v>
      </c>
      <c r="T312" s="29">
        <f t="shared" si="137"/>
        <v>265222.22222222231</v>
      </c>
      <c r="U312" s="29">
        <f t="shared" si="137"/>
        <v>265222.22222222231</v>
      </c>
      <c r="V312" s="29">
        <f t="shared" si="137"/>
        <v>265222.22222222231</v>
      </c>
      <c r="W312" s="29">
        <f t="shared" si="137"/>
        <v>26755555.555555563</v>
      </c>
      <c r="X312" s="29">
        <f t="shared" si="122"/>
        <v>26755555.555555563</v>
      </c>
      <c r="Y312" s="29">
        <f t="shared" si="122"/>
        <v>26755555.555555563</v>
      </c>
    </row>
    <row r="313" spans="1:25" outlineLevel="1" x14ac:dyDescent="0.3">
      <c r="A313" t="s">
        <v>139</v>
      </c>
      <c r="B313" t="s">
        <v>80</v>
      </c>
      <c r="C313" s="6" t="s">
        <v>156</v>
      </c>
      <c r="D313" t="s">
        <v>48</v>
      </c>
      <c r="E313" s="29">
        <f t="shared" ref="E313:W313" si="138">E116/WinterWeekendDays</f>
        <v>0</v>
      </c>
      <c r="F313" s="29">
        <f t="shared" si="138"/>
        <v>405825.23333333345</v>
      </c>
      <c r="G313" s="29">
        <f t="shared" si="138"/>
        <v>0</v>
      </c>
      <c r="H313" s="29">
        <f t="shared" si="138"/>
        <v>2940000.0000000005</v>
      </c>
      <c r="I313" s="29">
        <f t="shared" si="138"/>
        <v>2940000.0000000005</v>
      </c>
      <c r="J313" s="29">
        <f t="shared" si="138"/>
        <v>2940000.0000000005</v>
      </c>
      <c r="K313" s="29">
        <f t="shared" si="138"/>
        <v>256723.7944444445</v>
      </c>
      <c r="L313" s="29">
        <f t="shared" si="138"/>
        <v>636244.81666666677</v>
      </c>
      <c r="M313" s="29">
        <f t="shared" si="138"/>
        <v>0</v>
      </c>
      <c r="N313" s="29">
        <f t="shared" si="138"/>
        <v>2940000.0000000005</v>
      </c>
      <c r="O313" s="29">
        <f t="shared" si="138"/>
        <v>2940000.0000000005</v>
      </c>
      <c r="P313" s="29">
        <f t="shared" si="138"/>
        <v>2940000.0000000005</v>
      </c>
      <c r="Q313" s="29">
        <f t="shared" si="138"/>
        <v>315388.88888888899</v>
      </c>
      <c r="R313" s="29">
        <f t="shared" si="138"/>
        <v>315388.88888888899</v>
      </c>
      <c r="S313" s="29">
        <f t="shared" si="138"/>
        <v>315388.88888888899</v>
      </c>
      <c r="T313" s="29">
        <f t="shared" si="138"/>
        <v>315388.88888888899</v>
      </c>
      <c r="U313" s="29">
        <f t="shared" si="138"/>
        <v>315388.88888888899</v>
      </c>
      <c r="V313" s="29">
        <f t="shared" si="138"/>
        <v>315388.88888888899</v>
      </c>
      <c r="W313" s="29">
        <f t="shared" si="138"/>
        <v>26911111.111111116</v>
      </c>
      <c r="X313" s="29">
        <f t="shared" si="122"/>
        <v>26911111.111111116</v>
      </c>
      <c r="Y313" s="29">
        <f t="shared" si="122"/>
        <v>26911111.111111116</v>
      </c>
    </row>
    <row r="314" spans="1:25" outlineLevel="1" x14ac:dyDescent="0.3">
      <c r="A314" t="s">
        <v>139</v>
      </c>
      <c r="B314" t="s">
        <v>81</v>
      </c>
      <c r="C314" s="6" t="s">
        <v>157</v>
      </c>
      <c r="D314" t="s">
        <v>48</v>
      </c>
      <c r="E314" s="29">
        <f t="shared" ref="E314:W314" si="139">E117/WinterWeekendDays</f>
        <v>0</v>
      </c>
      <c r="F314" s="29">
        <f t="shared" si="139"/>
        <v>344176.19444444455</v>
      </c>
      <c r="G314" s="29">
        <f t="shared" si="139"/>
        <v>0</v>
      </c>
      <c r="H314" s="29">
        <f t="shared" si="139"/>
        <v>7536666.6666666688</v>
      </c>
      <c r="I314" s="29">
        <f t="shared" si="139"/>
        <v>7536666.6666666688</v>
      </c>
      <c r="J314" s="29">
        <f t="shared" si="139"/>
        <v>7536666.6666666688</v>
      </c>
      <c r="K314" s="29">
        <f t="shared" si="139"/>
        <v>279067.28888888896</v>
      </c>
      <c r="L314" s="29">
        <f t="shared" si="139"/>
        <v>577708.91111111129</v>
      </c>
      <c r="M314" s="29">
        <f t="shared" si="139"/>
        <v>0</v>
      </c>
      <c r="N314" s="29">
        <f t="shared" si="139"/>
        <v>7536666.6666666688</v>
      </c>
      <c r="O314" s="29">
        <f t="shared" si="139"/>
        <v>7536666.6666666688</v>
      </c>
      <c r="P314" s="29">
        <f t="shared" si="139"/>
        <v>7536666.6666666688</v>
      </c>
      <c r="Q314" s="29">
        <f t="shared" si="139"/>
        <v>315777.77777777787</v>
      </c>
      <c r="R314" s="29">
        <f t="shared" si="139"/>
        <v>315777.77777777787</v>
      </c>
      <c r="S314" s="29">
        <f t="shared" si="139"/>
        <v>315777.77777777787</v>
      </c>
      <c r="T314" s="29">
        <f t="shared" si="139"/>
        <v>315777.77777777787</v>
      </c>
      <c r="U314" s="29">
        <f t="shared" si="139"/>
        <v>315777.77777777787</v>
      </c>
      <c r="V314" s="29">
        <f t="shared" si="139"/>
        <v>315777.77777777787</v>
      </c>
      <c r="W314" s="29">
        <f t="shared" si="139"/>
        <v>26988888.888888896</v>
      </c>
      <c r="X314" s="29">
        <f t="shared" si="122"/>
        <v>26988888.888888896</v>
      </c>
      <c r="Y314" s="29">
        <f t="shared" si="122"/>
        <v>26988888.888888896</v>
      </c>
    </row>
    <row r="315" spans="1:25" outlineLevel="1" x14ac:dyDescent="0.3">
      <c r="A315" t="s">
        <v>139</v>
      </c>
      <c r="B315" t="s">
        <v>82</v>
      </c>
      <c r="C315" s="6" t="s">
        <v>158</v>
      </c>
      <c r="D315" t="s">
        <v>48</v>
      </c>
      <c r="E315" s="29">
        <f t="shared" ref="E315:W315" si="140">E118/WinterWeekendDays</f>
        <v>0</v>
      </c>
      <c r="F315" s="29">
        <f t="shared" si="140"/>
        <v>270767.77777777787</v>
      </c>
      <c r="G315" s="29">
        <f t="shared" si="140"/>
        <v>0</v>
      </c>
      <c r="H315" s="29">
        <f t="shared" si="140"/>
        <v>7960555.5555555578</v>
      </c>
      <c r="I315" s="29">
        <f t="shared" si="140"/>
        <v>7960555.5555555578</v>
      </c>
      <c r="J315" s="29">
        <f t="shared" si="140"/>
        <v>7960555.5555555578</v>
      </c>
      <c r="K315" s="29">
        <f t="shared" si="140"/>
        <v>321125.27222222229</v>
      </c>
      <c r="L315" s="29">
        <f t="shared" si="140"/>
        <v>512342.01666666678</v>
      </c>
      <c r="M315" s="29">
        <f t="shared" si="140"/>
        <v>0</v>
      </c>
      <c r="N315" s="29">
        <f t="shared" si="140"/>
        <v>7960555.5555555578</v>
      </c>
      <c r="O315" s="29">
        <f t="shared" si="140"/>
        <v>7960555.5555555578</v>
      </c>
      <c r="P315" s="29">
        <f t="shared" si="140"/>
        <v>7960555.5555555578</v>
      </c>
      <c r="Q315" s="29">
        <f t="shared" si="140"/>
        <v>315388.88888888899</v>
      </c>
      <c r="R315" s="29">
        <f t="shared" si="140"/>
        <v>315388.88888888899</v>
      </c>
      <c r="S315" s="29">
        <f t="shared" si="140"/>
        <v>315388.88888888899</v>
      </c>
      <c r="T315" s="29">
        <f t="shared" si="140"/>
        <v>315388.88888888899</v>
      </c>
      <c r="U315" s="29">
        <f t="shared" si="140"/>
        <v>315388.88888888899</v>
      </c>
      <c r="V315" s="29">
        <f t="shared" si="140"/>
        <v>315388.88888888899</v>
      </c>
      <c r="W315" s="29">
        <f t="shared" si="140"/>
        <v>26911111.111111116</v>
      </c>
      <c r="X315" s="29">
        <f t="shared" si="122"/>
        <v>26911111.111111116</v>
      </c>
      <c r="Y315" s="29">
        <f t="shared" si="122"/>
        <v>26911111.111111116</v>
      </c>
    </row>
    <row r="316" spans="1:25" outlineLevel="1" x14ac:dyDescent="0.3">
      <c r="A316" t="s">
        <v>139</v>
      </c>
      <c r="B316" t="s">
        <v>83</v>
      </c>
      <c r="C316" s="6" t="s">
        <v>159</v>
      </c>
      <c r="D316" t="s">
        <v>48</v>
      </c>
      <c r="E316" s="29">
        <f t="shared" ref="E316:W316" si="141">E119/WinterWeekendDays</f>
        <v>0</v>
      </c>
      <c r="F316" s="29">
        <f t="shared" si="141"/>
        <v>202467.92222222226</v>
      </c>
      <c r="G316" s="29">
        <f t="shared" si="141"/>
        <v>0</v>
      </c>
      <c r="H316" s="29">
        <f t="shared" si="141"/>
        <v>8337777.7777777798</v>
      </c>
      <c r="I316" s="29">
        <f t="shared" si="141"/>
        <v>8337777.7777777798</v>
      </c>
      <c r="J316" s="29">
        <f t="shared" si="141"/>
        <v>8337777.7777777798</v>
      </c>
      <c r="K316" s="29">
        <f t="shared" si="141"/>
        <v>227525.70555555561</v>
      </c>
      <c r="L316" s="29">
        <f t="shared" si="141"/>
        <v>452230.06111111119</v>
      </c>
      <c r="M316" s="29">
        <f t="shared" si="141"/>
        <v>0</v>
      </c>
      <c r="N316" s="29">
        <f t="shared" si="141"/>
        <v>8337777.7777777798</v>
      </c>
      <c r="O316" s="29">
        <f t="shared" si="141"/>
        <v>8337777.7777777798</v>
      </c>
      <c r="P316" s="29">
        <f t="shared" si="141"/>
        <v>8337777.7777777798</v>
      </c>
      <c r="Q316" s="29">
        <f t="shared" si="141"/>
        <v>314611.11111111118</v>
      </c>
      <c r="R316" s="29">
        <f t="shared" si="141"/>
        <v>314611.11111111118</v>
      </c>
      <c r="S316" s="29">
        <f t="shared" si="141"/>
        <v>314611.11111111118</v>
      </c>
      <c r="T316" s="29">
        <f t="shared" si="141"/>
        <v>314611.11111111118</v>
      </c>
      <c r="U316" s="29">
        <f t="shared" si="141"/>
        <v>314611.11111111118</v>
      </c>
      <c r="V316" s="29">
        <f t="shared" si="141"/>
        <v>314611.11111111118</v>
      </c>
      <c r="W316" s="29">
        <f t="shared" si="141"/>
        <v>26833333.33333334</v>
      </c>
      <c r="X316" s="29">
        <f t="shared" si="122"/>
        <v>26833333.33333334</v>
      </c>
      <c r="Y316" s="29">
        <f t="shared" si="122"/>
        <v>26833333.33333334</v>
      </c>
    </row>
    <row r="317" spans="1:25" outlineLevel="1" x14ac:dyDescent="0.3">
      <c r="A317" t="s">
        <v>139</v>
      </c>
      <c r="B317" t="s">
        <v>84</v>
      </c>
      <c r="C317" s="6" t="s">
        <v>160</v>
      </c>
      <c r="D317" t="s">
        <v>48</v>
      </c>
      <c r="E317" s="29">
        <f t="shared" ref="E317:W317" si="142">E120/WinterWeekendDays</f>
        <v>0</v>
      </c>
      <c r="F317" s="29">
        <f t="shared" si="142"/>
        <v>142599.02222222227</v>
      </c>
      <c r="G317" s="29">
        <f t="shared" si="142"/>
        <v>0</v>
      </c>
      <c r="H317" s="29">
        <f t="shared" si="142"/>
        <v>8291111.1111111129</v>
      </c>
      <c r="I317" s="29">
        <f t="shared" si="142"/>
        <v>8291111.1111111129</v>
      </c>
      <c r="J317" s="29">
        <f t="shared" si="142"/>
        <v>8291111.1111111129</v>
      </c>
      <c r="K317" s="29">
        <f t="shared" si="142"/>
        <v>232337.97222222228</v>
      </c>
      <c r="L317" s="29">
        <f t="shared" si="142"/>
        <v>404812.99444444454</v>
      </c>
      <c r="M317" s="29">
        <f t="shared" si="142"/>
        <v>0</v>
      </c>
      <c r="N317" s="29">
        <f t="shared" si="142"/>
        <v>8291111.1111111129</v>
      </c>
      <c r="O317" s="29">
        <f t="shared" si="142"/>
        <v>8291111.1111111129</v>
      </c>
      <c r="P317" s="29">
        <f t="shared" si="142"/>
        <v>8291111.1111111129</v>
      </c>
      <c r="Q317" s="29">
        <f t="shared" si="142"/>
        <v>313055.55555555562</v>
      </c>
      <c r="R317" s="29">
        <f t="shared" si="142"/>
        <v>313055.55555555562</v>
      </c>
      <c r="S317" s="29">
        <f t="shared" si="142"/>
        <v>313055.55555555562</v>
      </c>
      <c r="T317" s="29">
        <f t="shared" si="142"/>
        <v>313055.55555555562</v>
      </c>
      <c r="U317" s="29">
        <f t="shared" si="142"/>
        <v>313055.55555555562</v>
      </c>
      <c r="V317" s="29">
        <f t="shared" si="142"/>
        <v>313055.55555555562</v>
      </c>
      <c r="W317" s="29">
        <f t="shared" si="142"/>
        <v>26755555.555555563</v>
      </c>
      <c r="X317" s="29">
        <f t="shared" si="122"/>
        <v>26755555.555555563</v>
      </c>
      <c r="Y317" s="29">
        <f t="shared" si="122"/>
        <v>26755555.555555563</v>
      </c>
    </row>
    <row r="318" spans="1:25" outlineLevel="1" x14ac:dyDescent="0.3">
      <c r="A318" t="s">
        <v>139</v>
      </c>
      <c r="B318" t="s">
        <v>85</v>
      </c>
      <c r="C318" s="6" t="s">
        <v>161</v>
      </c>
      <c r="D318" t="s">
        <v>48</v>
      </c>
      <c r="E318" s="29">
        <f t="shared" ref="E318:W318" si="143">E121/WinterWeekendDays</f>
        <v>0</v>
      </c>
      <c r="F318" s="29">
        <f t="shared" si="143"/>
        <v>98375.200000000026</v>
      </c>
      <c r="G318" s="29">
        <f t="shared" si="143"/>
        <v>0</v>
      </c>
      <c r="H318" s="29">
        <f t="shared" si="143"/>
        <v>6856111.1111111129</v>
      </c>
      <c r="I318" s="29">
        <f t="shared" si="143"/>
        <v>6856111.1111111129</v>
      </c>
      <c r="J318" s="29">
        <f t="shared" si="143"/>
        <v>6856111.1111111129</v>
      </c>
      <c r="K318" s="29">
        <f t="shared" si="143"/>
        <v>250157.87222222227</v>
      </c>
      <c r="L318" s="29">
        <f t="shared" si="143"/>
        <v>368895.10000000009</v>
      </c>
      <c r="M318" s="29">
        <f t="shared" si="143"/>
        <v>0</v>
      </c>
      <c r="N318" s="29">
        <f t="shared" si="143"/>
        <v>6856111.1111111129</v>
      </c>
      <c r="O318" s="29">
        <f t="shared" si="143"/>
        <v>6856111.1111111129</v>
      </c>
      <c r="P318" s="29">
        <f t="shared" si="143"/>
        <v>6856111.1111111129</v>
      </c>
      <c r="Q318" s="29">
        <f t="shared" si="143"/>
        <v>311500.00000000006</v>
      </c>
      <c r="R318" s="29">
        <f t="shared" si="143"/>
        <v>311500.00000000006</v>
      </c>
      <c r="S318" s="29">
        <f t="shared" si="143"/>
        <v>311500.00000000006</v>
      </c>
      <c r="T318" s="29">
        <f t="shared" si="143"/>
        <v>311500.00000000006</v>
      </c>
      <c r="U318" s="29">
        <f t="shared" si="143"/>
        <v>311500.00000000006</v>
      </c>
      <c r="V318" s="29">
        <f t="shared" si="143"/>
        <v>311500.00000000006</v>
      </c>
      <c r="W318" s="29">
        <f t="shared" si="143"/>
        <v>26600000.000000007</v>
      </c>
      <c r="X318" s="29">
        <f t="shared" si="122"/>
        <v>26600000.000000007</v>
      </c>
      <c r="Y318" s="29">
        <f t="shared" si="122"/>
        <v>26600000.000000007</v>
      </c>
    </row>
    <row r="319" spans="1:25" outlineLevel="1" x14ac:dyDescent="0.3">
      <c r="A319" t="s">
        <v>139</v>
      </c>
      <c r="B319" t="s">
        <v>86</v>
      </c>
      <c r="C319" s="6" t="s">
        <v>162</v>
      </c>
      <c r="D319" t="s">
        <v>48</v>
      </c>
      <c r="E319" s="29">
        <f t="shared" ref="E319:W319" si="144">E122/WinterWeekendDays</f>
        <v>0</v>
      </c>
      <c r="F319" s="29">
        <f t="shared" si="144"/>
        <v>67225.355555555565</v>
      </c>
      <c r="G319" s="29">
        <f t="shared" si="144"/>
        <v>0</v>
      </c>
      <c r="H319" s="29">
        <f t="shared" si="144"/>
        <v>4425555.5555555569</v>
      </c>
      <c r="I319" s="29">
        <f t="shared" si="144"/>
        <v>4425555.5555555569</v>
      </c>
      <c r="J319" s="29">
        <f t="shared" si="144"/>
        <v>4425555.5555555569</v>
      </c>
      <c r="K319" s="29">
        <f t="shared" si="144"/>
        <v>253324.24444444451</v>
      </c>
      <c r="L319" s="29">
        <f t="shared" si="144"/>
        <v>339958.77222222229</v>
      </c>
      <c r="M319" s="29">
        <f t="shared" si="144"/>
        <v>0</v>
      </c>
      <c r="N319" s="29">
        <f t="shared" si="144"/>
        <v>4425555.5555555569</v>
      </c>
      <c r="O319" s="29">
        <f t="shared" si="144"/>
        <v>4425555.5555555569</v>
      </c>
      <c r="P319" s="29">
        <f t="shared" si="144"/>
        <v>4425555.5555555569</v>
      </c>
      <c r="Q319" s="29">
        <f t="shared" si="144"/>
        <v>311111.11111111118</v>
      </c>
      <c r="R319" s="29">
        <f t="shared" si="144"/>
        <v>311111.11111111118</v>
      </c>
      <c r="S319" s="29">
        <f t="shared" si="144"/>
        <v>311111.11111111118</v>
      </c>
      <c r="T319" s="29">
        <f t="shared" si="144"/>
        <v>311111.11111111118</v>
      </c>
      <c r="U319" s="29">
        <f t="shared" si="144"/>
        <v>311111.11111111118</v>
      </c>
      <c r="V319" s="29">
        <f t="shared" si="144"/>
        <v>311111.11111111118</v>
      </c>
      <c r="W319" s="29">
        <f t="shared" si="144"/>
        <v>26444444.444444451</v>
      </c>
      <c r="X319" s="29">
        <f t="shared" si="122"/>
        <v>26444444.444444451</v>
      </c>
      <c r="Y319" s="29">
        <f t="shared" si="122"/>
        <v>26444444.444444451</v>
      </c>
    </row>
    <row r="320" spans="1:25" outlineLevel="1" x14ac:dyDescent="0.3">
      <c r="A320" t="s">
        <v>139</v>
      </c>
      <c r="B320" t="s">
        <v>87</v>
      </c>
      <c r="C320" s="6" t="s">
        <v>163</v>
      </c>
      <c r="D320" t="s">
        <v>48</v>
      </c>
      <c r="E320" s="29">
        <f t="shared" ref="E320:W320" si="145">E123/WinterWeekendDays</f>
        <v>0</v>
      </c>
      <c r="F320" s="29">
        <f t="shared" si="145"/>
        <v>46895.955555555563</v>
      </c>
      <c r="G320" s="29">
        <f t="shared" si="145"/>
        <v>0</v>
      </c>
      <c r="H320" s="29">
        <f t="shared" si="145"/>
        <v>2477222.2222222229</v>
      </c>
      <c r="I320" s="29">
        <f t="shared" si="145"/>
        <v>2477222.2222222229</v>
      </c>
      <c r="J320" s="29">
        <f t="shared" si="145"/>
        <v>2477222.2222222229</v>
      </c>
      <c r="K320" s="29">
        <f t="shared" si="145"/>
        <v>210410.70555555561</v>
      </c>
      <c r="L320" s="29">
        <f t="shared" si="145"/>
        <v>313541.78333333338</v>
      </c>
      <c r="M320" s="29">
        <f t="shared" si="145"/>
        <v>0</v>
      </c>
      <c r="N320" s="29">
        <f t="shared" si="145"/>
        <v>2477222.2222222229</v>
      </c>
      <c r="O320" s="29">
        <f t="shared" si="145"/>
        <v>2477222.2222222229</v>
      </c>
      <c r="P320" s="29">
        <f t="shared" si="145"/>
        <v>2477222.2222222229</v>
      </c>
      <c r="Q320" s="29">
        <f t="shared" si="145"/>
        <v>209222.22222222228</v>
      </c>
      <c r="R320" s="29">
        <f t="shared" si="145"/>
        <v>209222.22222222228</v>
      </c>
      <c r="S320" s="29">
        <f t="shared" si="145"/>
        <v>209222.22222222228</v>
      </c>
      <c r="T320" s="29">
        <f t="shared" si="145"/>
        <v>209222.22222222228</v>
      </c>
      <c r="U320" s="29">
        <f t="shared" si="145"/>
        <v>209222.22222222228</v>
      </c>
      <c r="V320" s="29">
        <f t="shared" si="145"/>
        <v>209222.22222222228</v>
      </c>
      <c r="W320" s="29">
        <f t="shared" si="145"/>
        <v>26405555.555555563</v>
      </c>
      <c r="X320" s="29">
        <f t="shared" si="122"/>
        <v>26405555.555555563</v>
      </c>
      <c r="Y320" s="29">
        <f t="shared" si="122"/>
        <v>26405555.555555563</v>
      </c>
    </row>
    <row r="321" spans="1:25" outlineLevel="1" x14ac:dyDescent="0.3">
      <c r="A321" t="s">
        <v>164</v>
      </c>
      <c r="B321" t="s">
        <v>64</v>
      </c>
      <c r="C321" s="6" t="s">
        <v>140</v>
      </c>
      <c r="D321" t="s">
        <v>48</v>
      </c>
      <c r="E321" s="27">
        <f t="shared" ref="E321:W321" si="146">E124/SpringWeekendDays</f>
        <v>0</v>
      </c>
      <c r="F321" s="27">
        <f t="shared" si="146"/>
        <v>110898.71739130435</v>
      </c>
      <c r="G321" s="27">
        <f t="shared" si="146"/>
        <v>0</v>
      </c>
      <c r="H321" s="27">
        <f t="shared" si="146"/>
        <v>1155384.543478261</v>
      </c>
      <c r="I321" s="27">
        <f t="shared" si="146"/>
        <v>1155384.543478261</v>
      </c>
      <c r="J321" s="27">
        <f t="shared" si="146"/>
        <v>1155384.543478261</v>
      </c>
      <c r="K321" s="27">
        <f t="shared" si="146"/>
        <v>39232.336956521744</v>
      </c>
      <c r="L321" s="27">
        <f t="shared" si="146"/>
        <v>546684.47826086963</v>
      </c>
      <c r="M321" s="27">
        <f t="shared" si="146"/>
        <v>0</v>
      </c>
      <c r="N321" s="27">
        <f t="shared" si="146"/>
        <v>1155384.543478261</v>
      </c>
      <c r="O321" s="27">
        <f t="shared" si="146"/>
        <v>1155384.543478261</v>
      </c>
      <c r="P321" s="27">
        <f t="shared" si="146"/>
        <v>1155384.543478261</v>
      </c>
      <c r="Q321" s="27">
        <f t="shared" si="146"/>
        <v>99559.782608695663</v>
      </c>
      <c r="R321" s="27">
        <f t="shared" si="146"/>
        <v>99559.782608695663</v>
      </c>
      <c r="S321" s="27">
        <f t="shared" si="146"/>
        <v>99559.782608695663</v>
      </c>
      <c r="T321" s="27">
        <f t="shared" si="146"/>
        <v>99559.782608695663</v>
      </c>
      <c r="U321" s="27">
        <f t="shared" si="146"/>
        <v>99559.782608695663</v>
      </c>
      <c r="V321" s="27">
        <f t="shared" si="146"/>
        <v>99559.782608695663</v>
      </c>
      <c r="W321" s="27">
        <f t="shared" si="146"/>
        <v>19288043.478260871</v>
      </c>
      <c r="X321" s="27">
        <f t="shared" ref="X321:Y344" si="147">X124/SpringWeekendDays</f>
        <v>19288043.478260871</v>
      </c>
      <c r="Y321" s="27">
        <f t="shared" si="147"/>
        <v>19288043.478260871</v>
      </c>
    </row>
    <row r="322" spans="1:25" outlineLevel="1" x14ac:dyDescent="0.3">
      <c r="A322" t="s">
        <v>164</v>
      </c>
      <c r="B322" t="s">
        <v>65</v>
      </c>
      <c r="C322" s="6" t="s">
        <v>141</v>
      </c>
      <c r="D322" t="s">
        <v>48</v>
      </c>
      <c r="E322" s="27">
        <f t="shared" ref="E322:W322" si="148">E125/SpringWeekendDays</f>
        <v>0</v>
      </c>
      <c r="F322" s="27">
        <f t="shared" si="148"/>
        <v>93901.538043478271</v>
      </c>
      <c r="G322" s="27">
        <f t="shared" si="148"/>
        <v>0</v>
      </c>
      <c r="H322" s="27">
        <f t="shared" si="148"/>
        <v>998172.64673913049</v>
      </c>
      <c r="I322" s="27">
        <f t="shared" si="148"/>
        <v>998172.64673913049</v>
      </c>
      <c r="J322" s="27">
        <f t="shared" si="148"/>
        <v>998172.64673913049</v>
      </c>
      <c r="K322" s="27">
        <f t="shared" si="148"/>
        <v>35324.054347826088</v>
      </c>
      <c r="L322" s="27">
        <f t="shared" si="148"/>
        <v>522806.60326086957</v>
      </c>
      <c r="M322" s="27">
        <f t="shared" si="148"/>
        <v>0</v>
      </c>
      <c r="N322" s="27">
        <f t="shared" si="148"/>
        <v>998172.64673913049</v>
      </c>
      <c r="O322" s="27">
        <f t="shared" si="148"/>
        <v>998172.64673913049</v>
      </c>
      <c r="P322" s="27">
        <f t="shared" si="148"/>
        <v>998172.64673913049</v>
      </c>
      <c r="Q322" s="27">
        <f t="shared" si="148"/>
        <v>98875</v>
      </c>
      <c r="R322" s="27">
        <f t="shared" si="148"/>
        <v>98875</v>
      </c>
      <c r="S322" s="27">
        <f t="shared" si="148"/>
        <v>98875</v>
      </c>
      <c r="T322" s="27">
        <f t="shared" si="148"/>
        <v>98875</v>
      </c>
      <c r="U322" s="27">
        <f t="shared" si="148"/>
        <v>98875</v>
      </c>
      <c r="V322" s="27">
        <f t="shared" si="148"/>
        <v>98875</v>
      </c>
      <c r="W322" s="27">
        <f t="shared" si="148"/>
        <v>19250000</v>
      </c>
      <c r="X322" s="27">
        <f t="shared" si="147"/>
        <v>19250000</v>
      </c>
      <c r="Y322" s="27">
        <f t="shared" si="147"/>
        <v>19250000</v>
      </c>
    </row>
    <row r="323" spans="1:25" outlineLevel="1" x14ac:dyDescent="0.3">
      <c r="A323" t="s">
        <v>164</v>
      </c>
      <c r="B323" t="s">
        <v>66</v>
      </c>
      <c r="C323" s="6" t="s">
        <v>142</v>
      </c>
      <c r="D323" t="s">
        <v>48</v>
      </c>
      <c r="E323" s="27">
        <f t="shared" ref="E323:W323" si="149">E126/SpringWeekendDays</f>
        <v>0</v>
      </c>
      <c r="F323" s="27">
        <f t="shared" si="149"/>
        <v>89734.90217391304</v>
      </c>
      <c r="G323" s="27">
        <f t="shared" si="149"/>
        <v>0</v>
      </c>
      <c r="H323" s="27">
        <f t="shared" si="149"/>
        <v>964055.29347826086</v>
      </c>
      <c r="I323" s="27">
        <f t="shared" si="149"/>
        <v>964055.29347826086</v>
      </c>
      <c r="J323" s="27">
        <f t="shared" si="149"/>
        <v>964055.29347826086</v>
      </c>
      <c r="K323" s="27">
        <f t="shared" si="149"/>
        <v>34874.72282608696</v>
      </c>
      <c r="L323" s="27">
        <f t="shared" si="149"/>
        <v>514687.97282608697</v>
      </c>
      <c r="M323" s="27">
        <f t="shared" si="149"/>
        <v>0</v>
      </c>
      <c r="N323" s="27">
        <f t="shared" si="149"/>
        <v>964055.29347826086</v>
      </c>
      <c r="O323" s="27">
        <f t="shared" si="149"/>
        <v>964055.29347826086</v>
      </c>
      <c r="P323" s="27">
        <f t="shared" si="149"/>
        <v>964055.29347826086</v>
      </c>
      <c r="Q323" s="27">
        <f t="shared" si="149"/>
        <v>98684.782608695663</v>
      </c>
      <c r="R323" s="27">
        <f t="shared" si="149"/>
        <v>98684.782608695663</v>
      </c>
      <c r="S323" s="27">
        <f t="shared" si="149"/>
        <v>98684.782608695663</v>
      </c>
      <c r="T323" s="27">
        <f t="shared" si="149"/>
        <v>98684.782608695663</v>
      </c>
      <c r="U323" s="27">
        <f t="shared" si="149"/>
        <v>98684.782608695663</v>
      </c>
      <c r="V323" s="27">
        <f t="shared" si="149"/>
        <v>98684.782608695663</v>
      </c>
      <c r="W323" s="27">
        <f t="shared" si="149"/>
        <v>19250000</v>
      </c>
      <c r="X323" s="27">
        <f t="shared" si="147"/>
        <v>19250000</v>
      </c>
      <c r="Y323" s="27">
        <f t="shared" si="147"/>
        <v>19250000</v>
      </c>
    </row>
    <row r="324" spans="1:25" outlineLevel="1" x14ac:dyDescent="0.3">
      <c r="A324" t="s">
        <v>164</v>
      </c>
      <c r="B324" t="s">
        <v>67</v>
      </c>
      <c r="C324" s="6" t="s">
        <v>143</v>
      </c>
      <c r="D324" t="s">
        <v>48</v>
      </c>
      <c r="E324" s="27">
        <f t="shared" ref="E324:W324" si="150">E127/SpringWeekendDays</f>
        <v>0</v>
      </c>
      <c r="F324" s="27">
        <f t="shared" si="150"/>
        <v>95329.157608695663</v>
      </c>
      <c r="G324" s="27">
        <f t="shared" si="150"/>
        <v>0</v>
      </c>
      <c r="H324" s="27">
        <f t="shared" si="150"/>
        <v>963241.50543478259</v>
      </c>
      <c r="I324" s="27">
        <f t="shared" si="150"/>
        <v>963241.50543478259</v>
      </c>
      <c r="J324" s="27">
        <f t="shared" si="150"/>
        <v>963241.50543478259</v>
      </c>
      <c r="K324" s="27">
        <f t="shared" si="150"/>
        <v>35745.461956521744</v>
      </c>
      <c r="L324" s="27">
        <f t="shared" si="150"/>
        <v>516408.94565217395</v>
      </c>
      <c r="M324" s="27">
        <f t="shared" si="150"/>
        <v>0</v>
      </c>
      <c r="N324" s="27">
        <f t="shared" si="150"/>
        <v>963241.50543478259</v>
      </c>
      <c r="O324" s="27">
        <f t="shared" si="150"/>
        <v>963241.50543478259</v>
      </c>
      <c r="P324" s="27">
        <f t="shared" si="150"/>
        <v>963241.50543478259</v>
      </c>
      <c r="Q324" s="27">
        <f t="shared" si="150"/>
        <v>98684.782608695663</v>
      </c>
      <c r="R324" s="27">
        <f t="shared" si="150"/>
        <v>98684.782608695663</v>
      </c>
      <c r="S324" s="27">
        <f t="shared" si="150"/>
        <v>98684.782608695663</v>
      </c>
      <c r="T324" s="27">
        <f t="shared" si="150"/>
        <v>98684.782608695663</v>
      </c>
      <c r="U324" s="27">
        <f t="shared" si="150"/>
        <v>98684.782608695663</v>
      </c>
      <c r="V324" s="27">
        <f t="shared" si="150"/>
        <v>98684.782608695663</v>
      </c>
      <c r="W324" s="27">
        <f t="shared" si="150"/>
        <v>19288043.478260871</v>
      </c>
      <c r="X324" s="27">
        <f t="shared" si="147"/>
        <v>19288043.478260871</v>
      </c>
      <c r="Y324" s="27">
        <f t="shared" si="147"/>
        <v>19288043.478260871</v>
      </c>
    </row>
    <row r="325" spans="1:25" outlineLevel="1" x14ac:dyDescent="0.3">
      <c r="A325" t="s">
        <v>164</v>
      </c>
      <c r="B325" t="s">
        <v>68</v>
      </c>
      <c r="C325" s="6" t="s">
        <v>144</v>
      </c>
      <c r="D325" t="s">
        <v>48</v>
      </c>
      <c r="E325" s="27">
        <f t="shared" ref="E325:W325" si="151">E128/SpringWeekendDays</f>
        <v>0</v>
      </c>
      <c r="F325" s="27">
        <f t="shared" si="151"/>
        <v>113941.20652173914</v>
      </c>
      <c r="G325" s="27">
        <f t="shared" si="151"/>
        <v>0</v>
      </c>
      <c r="H325" s="27">
        <f t="shared" si="151"/>
        <v>1013904.1576086957</v>
      </c>
      <c r="I325" s="27">
        <f t="shared" si="151"/>
        <v>1013904.1576086957</v>
      </c>
      <c r="J325" s="27">
        <f t="shared" si="151"/>
        <v>1013904.1576086957</v>
      </c>
      <c r="K325" s="27">
        <f t="shared" si="151"/>
        <v>36218.380434782608</v>
      </c>
      <c r="L325" s="27">
        <f t="shared" si="151"/>
        <v>529987.61413043481</v>
      </c>
      <c r="M325" s="27">
        <f t="shared" si="151"/>
        <v>0</v>
      </c>
      <c r="N325" s="27">
        <f t="shared" si="151"/>
        <v>1013904.1576086957</v>
      </c>
      <c r="O325" s="27">
        <f t="shared" si="151"/>
        <v>1013904.1576086957</v>
      </c>
      <c r="P325" s="27">
        <f t="shared" si="151"/>
        <v>1013904.1576086957</v>
      </c>
      <c r="Q325" s="27">
        <f t="shared" si="151"/>
        <v>98608.695652173919</v>
      </c>
      <c r="R325" s="27">
        <f t="shared" si="151"/>
        <v>98608.695652173919</v>
      </c>
      <c r="S325" s="27">
        <f t="shared" si="151"/>
        <v>98608.695652173919</v>
      </c>
      <c r="T325" s="27">
        <f t="shared" si="151"/>
        <v>98608.695652173919</v>
      </c>
      <c r="U325" s="27">
        <f t="shared" si="151"/>
        <v>98608.695652173919</v>
      </c>
      <c r="V325" s="27">
        <f t="shared" si="151"/>
        <v>98608.695652173919</v>
      </c>
      <c r="W325" s="27">
        <f t="shared" si="151"/>
        <v>19364130.434782609</v>
      </c>
      <c r="X325" s="27">
        <f t="shared" si="147"/>
        <v>19364130.434782609</v>
      </c>
      <c r="Y325" s="27">
        <f t="shared" si="147"/>
        <v>19364130.434782609</v>
      </c>
    </row>
    <row r="326" spans="1:25" outlineLevel="1" x14ac:dyDescent="0.3">
      <c r="A326" t="s">
        <v>164</v>
      </c>
      <c r="B326" t="s">
        <v>69</v>
      </c>
      <c r="C326" s="6" t="s">
        <v>145</v>
      </c>
      <c r="D326" t="s">
        <v>48</v>
      </c>
      <c r="E326" s="27">
        <f t="shared" ref="E326:W326" si="152">E129/SpringWeekendDays</f>
        <v>0</v>
      </c>
      <c r="F326" s="27">
        <f t="shared" si="152"/>
        <v>146388.14673913043</v>
      </c>
      <c r="G326" s="27">
        <f t="shared" si="152"/>
        <v>0</v>
      </c>
      <c r="H326" s="27">
        <f t="shared" si="152"/>
        <v>1312500</v>
      </c>
      <c r="I326" s="27">
        <f t="shared" si="152"/>
        <v>1312500</v>
      </c>
      <c r="J326" s="27">
        <f t="shared" si="152"/>
        <v>1312500</v>
      </c>
      <c r="K326" s="27">
        <f t="shared" si="152"/>
        <v>41496.570652173912</v>
      </c>
      <c r="L326" s="27">
        <f t="shared" si="152"/>
        <v>561023.36956521741</v>
      </c>
      <c r="M326" s="27">
        <f t="shared" si="152"/>
        <v>0</v>
      </c>
      <c r="N326" s="27">
        <f t="shared" si="152"/>
        <v>1312500</v>
      </c>
      <c r="O326" s="27">
        <f t="shared" si="152"/>
        <v>1312500</v>
      </c>
      <c r="P326" s="27">
        <f t="shared" si="152"/>
        <v>1312500</v>
      </c>
      <c r="Q326" s="27">
        <f t="shared" si="152"/>
        <v>98684.782608695663</v>
      </c>
      <c r="R326" s="27">
        <f t="shared" si="152"/>
        <v>98684.782608695663</v>
      </c>
      <c r="S326" s="27">
        <f t="shared" si="152"/>
        <v>98684.782608695663</v>
      </c>
      <c r="T326" s="27">
        <f t="shared" si="152"/>
        <v>98684.782608695663</v>
      </c>
      <c r="U326" s="27">
        <f t="shared" si="152"/>
        <v>98684.782608695663</v>
      </c>
      <c r="V326" s="27">
        <f t="shared" si="152"/>
        <v>98684.782608695663</v>
      </c>
      <c r="W326" s="27">
        <f t="shared" si="152"/>
        <v>19478260.869565219</v>
      </c>
      <c r="X326" s="27">
        <f t="shared" si="147"/>
        <v>19478260.869565219</v>
      </c>
      <c r="Y326" s="27">
        <f t="shared" si="147"/>
        <v>19478260.869565219</v>
      </c>
    </row>
    <row r="327" spans="1:25" outlineLevel="1" x14ac:dyDescent="0.3">
      <c r="A327" t="s">
        <v>164</v>
      </c>
      <c r="B327" t="s">
        <v>70</v>
      </c>
      <c r="C327" s="6" t="s">
        <v>146</v>
      </c>
      <c r="D327" t="s">
        <v>48</v>
      </c>
      <c r="E327" s="27">
        <f t="shared" ref="E327:W327" si="153">E130/SpringWeekendDays</f>
        <v>0</v>
      </c>
      <c r="F327" s="27">
        <f t="shared" si="153"/>
        <v>195590.53804347827</v>
      </c>
      <c r="G327" s="27">
        <f t="shared" si="153"/>
        <v>0</v>
      </c>
      <c r="H327" s="27">
        <f t="shared" si="153"/>
        <v>1504638.3586956523</v>
      </c>
      <c r="I327" s="27">
        <f t="shared" si="153"/>
        <v>1504638.3586956523</v>
      </c>
      <c r="J327" s="27">
        <f t="shared" si="153"/>
        <v>1504638.3586956523</v>
      </c>
      <c r="K327" s="27">
        <f t="shared" si="153"/>
        <v>71885.092391304352</v>
      </c>
      <c r="L327" s="27">
        <f t="shared" si="153"/>
        <v>622001.96739130432</v>
      </c>
      <c r="M327" s="27">
        <f t="shared" si="153"/>
        <v>0</v>
      </c>
      <c r="N327" s="27">
        <f t="shared" si="153"/>
        <v>1504638.3586956523</v>
      </c>
      <c r="O327" s="27">
        <f t="shared" si="153"/>
        <v>1504638.3586956523</v>
      </c>
      <c r="P327" s="27">
        <f t="shared" si="153"/>
        <v>1504638.3586956523</v>
      </c>
      <c r="Q327" s="27">
        <f t="shared" si="153"/>
        <v>120597.82608695653</v>
      </c>
      <c r="R327" s="27">
        <f t="shared" si="153"/>
        <v>120597.82608695653</v>
      </c>
      <c r="S327" s="27">
        <f t="shared" si="153"/>
        <v>120597.82608695653</v>
      </c>
      <c r="T327" s="27">
        <f t="shared" si="153"/>
        <v>120597.82608695653</v>
      </c>
      <c r="U327" s="27">
        <f t="shared" si="153"/>
        <v>120597.82608695653</v>
      </c>
      <c r="V327" s="27">
        <f t="shared" si="153"/>
        <v>120597.82608695653</v>
      </c>
      <c r="W327" s="27">
        <f t="shared" si="153"/>
        <v>19516304.347826086</v>
      </c>
      <c r="X327" s="27">
        <f t="shared" si="147"/>
        <v>19516304.347826086</v>
      </c>
      <c r="Y327" s="27">
        <f t="shared" si="147"/>
        <v>19516304.347826086</v>
      </c>
    </row>
    <row r="328" spans="1:25" outlineLevel="1" x14ac:dyDescent="0.3">
      <c r="A328" t="s">
        <v>164</v>
      </c>
      <c r="B328" t="s">
        <v>71</v>
      </c>
      <c r="C328" s="6" t="s">
        <v>147</v>
      </c>
      <c r="D328" t="s">
        <v>48</v>
      </c>
      <c r="E328" s="27">
        <f t="shared" ref="E328:W328" si="154">E131/SpringWeekendDays</f>
        <v>0</v>
      </c>
      <c r="F328" s="27">
        <f t="shared" si="154"/>
        <v>262075.13043478262</v>
      </c>
      <c r="G328" s="27">
        <f t="shared" si="154"/>
        <v>0</v>
      </c>
      <c r="H328" s="27">
        <f t="shared" si="154"/>
        <v>1064391.0108695652</v>
      </c>
      <c r="I328" s="27">
        <f t="shared" si="154"/>
        <v>1064391.0108695652</v>
      </c>
      <c r="J328" s="27">
        <f t="shared" si="154"/>
        <v>1064391.0108695652</v>
      </c>
      <c r="K328" s="27">
        <f t="shared" si="154"/>
        <v>92099.114130434784</v>
      </c>
      <c r="L328" s="27">
        <f t="shared" si="154"/>
        <v>724142.96195652173</v>
      </c>
      <c r="M328" s="27">
        <f t="shared" si="154"/>
        <v>0</v>
      </c>
      <c r="N328" s="27">
        <f t="shared" si="154"/>
        <v>1064391.0108695652</v>
      </c>
      <c r="O328" s="27">
        <f t="shared" si="154"/>
        <v>1064391.0108695652</v>
      </c>
      <c r="P328" s="27">
        <f t="shared" si="154"/>
        <v>1064391.0108695652</v>
      </c>
      <c r="Q328" s="27">
        <f t="shared" si="154"/>
        <v>155978.26086956522</v>
      </c>
      <c r="R328" s="27">
        <f t="shared" si="154"/>
        <v>155978.26086956522</v>
      </c>
      <c r="S328" s="27">
        <f t="shared" si="154"/>
        <v>155978.26086956522</v>
      </c>
      <c r="T328" s="27">
        <f t="shared" si="154"/>
        <v>155978.26086956522</v>
      </c>
      <c r="U328" s="27">
        <f t="shared" si="154"/>
        <v>155978.26086956522</v>
      </c>
      <c r="V328" s="27">
        <f t="shared" si="154"/>
        <v>155978.26086956522</v>
      </c>
      <c r="W328" s="27">
        <f t="shared" si="154"/>
        <v>19554347.826086957</v>
      </c>
      <c r="X328" s="27">
        <f t="shared" si="147"/>
        <v>19554347.826086957</v>
      </c>
      <c r="Y328" s="27">
        <f t="shared" si="147"/>
        <v>19554347.826086957</v>
      </c>
    </row>
    <row r="329" spans="1:25" outlineLevel="1" x14ac:dyDescent="0.3">
      <c r="A329" t="s">
        <v>164</v>
      </c>
      <c r="B329" t="s">
        <v>72</v>
      </c>
      <c r="C329" s="6" t="s">
        <v>148</v>
      </c>
      <c r="D329" t="s">
        <v>48</v>
      </c>
      <c r="E329" s="27">
        <f t="shared" ref="E329:W329" si="155">E132/SpringWeekendDays</f>
        <v>0</v>
      </c>
      <c r="F329" s="27">
        <f t="shared" si="155"/>
        <v>334741.33152173914</v>
      </c>
      <c r="G329" s="27">
        <f t="shared" si="155"/>
        <v>0</v>
      </c>
      <c r="H329" s="27">
        <f t="shared" si="155"/>
        <v>1282065.2173913044</v>
      </c>
      <c r="I329" s="27">
        <f t="shared" si="155"/>
        <v>1282065.2173913044</v>
      </c>
      <c r="J329" s="27">
        <f t="shared" si="155"/>
        <v>1282065.2173913044</v>
      </c>
      <c r="K329" s="27">
        <f t="shared" si="155"/>
        <v>86014.554347826095</v>
      </c>
      <c r="L329" s="27">
        <f t="shared" si="155"/>
        <v>867900.36413043481</v>
      </c>
      <c r="M329" s="27">
        <f t="shared" si="155"/>
        <v>0</v>
      </c>
      <c r="N329" s="27">
        <f t="shared" si="155"/>
        <v>1282065.2173913044</v>
      </c>
      <c r="O329" s="27">
        <f t="shared" si="155"/>
        <v>1282065.2173913044</v>
      </c>
      <c r="P329" s="27">
        <f t="shared" si="155"/>
        <v>1282065.2173913044</v>
      </c>
      <c r="Q329" s="27">
        <f t="shared" si="155"/>
        <v>178804.34782608697</v>
      </c>
      <c r="R329" s="27">
        <f t="shared" si="155"/>
        <v>178804.34782608697</v>
      </c>
      <c r="S329" s="27">
        <f t="shared" si="155"/>
        <v>178804.34782608697</v>
      </c>
      <c r="T329" s="27">
        <f t="shared" si="155"/>
        <v>178804.34782608697</v>
      </c>
      <c r="U329" s="27">
        <f t="shared" si="155"/>
        <v>178804.34782608697</v>
      </c>
      <c r="V329" s="27">
        <f t="shared" si="155"/>
        <v>178804.34782608697</v>
      </c>
      <c r="W329" s="27">
        <f t="shared" si="155"/>
        <v>19516304.347826086</v>
      </c>
      <c r="X329" s="27">
        <f t="shared" si="147"/>
        <v>19516304.347826086</v>
      </c>
      <c r="Y329" s="27">
        <f t="shared" si="147"/>
        <v>19516304.347826086</v>
      </c>
    </row>
    <row r="330" spans="1:25" outlineLevel="1" x14ac:dyDescent="0.3">
      <c r="A330" t="s">
        <v>164</v>
      </c>
      <c r="B330" t="s">
        <v>73</v>
      </c>
      <c r="C330" s="6" t="s">
        <v>149</v>
      </c>
      <c r="D330" t="s">
        <v>48</v>
      </c>
      <c r="E330" s="27">
        <f t="shared" ref="E330:W330" si="156">E133/SpringWeekendDays</f>
        <v>0</v>
      </c>
      <c r="F330" s="27">
        <f t="shared" si="156"/>
        <v>404173</v>
      </c>
      <c r="G330" s="27">
        <f t="shared" si="156"/>
        <v>0</v>
      </c>
      <c r="H330" s="27">
        <f t="shared" si="156"/>
        <v>1327717.3913043479</v>
      </c>
      <c r="I330" s="27">
        <f t="shared" si="156"/>
        <v>1327717.3913043479</v>
      </c>
      <c r="J330" s="27">
        <f t="shared" si="156"/>
        <v>1327717.3913043479</v>
      </c>
      <c r="K330" s="27">
        <f t="shared" si="156"/>
        <v>69882.407608695648</v>
      </c>
      <c r="L330" s="27">
        <f t="shared" si="156"/>
        <v>1022150.4619565217</v>
      </c>
      <c r="M330" s="27">
        <f t="shared" si="156"/>
        <v>0</v>
      </c>
      <c r="N330" s="27">
        <f t="shared" si="156"/>
        <v>1327717.3913043479</v>
      </c>
      <c r="O330" s="27">
        <f t="shared" si="156"/>
        <v>1327717.3913043479</v>
      </c>
      <c r="P330" s="27">
        <f t="shared" si="156"/>
        <v>1327717.3913043479</v>
      </c>
      <c r="Q330" s="27">
        <f t="shared" si="156"/>
        <v>194782.60869565219</v>
      </c>
      <c r="R330" s="27">
        <f t="shared" si="156"/>
        <v>194782.60869565219</v>
      </c>
      <c r="S330" s="27">
        <f t="shared" si="156"/>
        <v>194782.60869565219</v>
      </c>
      <c r="T330" s="27">
        <f t="shared" si="156"/>
        <v>194782.60869565219</v>
      </c>
      <c r="U330" s="27">
        <f t="shared" si="156"/>
        <v>194782.60869565219</v>
      </c>
      <c r="V330" s="27">
        <f t="shared" si="156"/>
        <v>194782.60869565219</v>
      </c>
      <c r="W330" s="27">
        <f t="shared" si="156"/>
        <v>19478260.869565219</v>
      </c>
      <c r="X330" s="27">
        <f t="shared" si="147"/>
        <v>19478260.869565219</v>
      </c>
      <c r="Y330" s="27">
        <f t="shared" si="147"/>
        <v>19478260.869565219</v>
      </c>
    </row>
    <row r="331" spans="1:25" outlineLevel="1" x14ac:dyDescent="0.3">
      <c r="A331" t="s">
        <v>164</v>
      </c>
      <c r="B331" t="s">
        <v>74</v>
      </c>
      <c r="C331" s="6" t="s">
        <v>150</v>
      </c>
      <c r="D331" t="s">
        <v>48</v>
      </c>
      <c r="E331" s="27">
        <f t="shared" ref="E331:W331" si="157">E134/SpringWeekendDays</f>
        <v>0</v>
      </c>
      <c r="F331" s="27">
        <f t="shared" si="157"/>
        <v>493678.08152173914</v>
      </c>
      <c r="G331" s="27">
        <f t="shared" si="157"/>
        <v>0</v>
      </c>
      <c r="H331" s="27">
        <f t="shared" si="157"/>
        <v>1335326.0869565217</v>
      </c>
      <c r="I331" s="27">
        <f t="shared" si="157"/>
        <v>1335326.0869565217</v>
      </c>
      <c r="J331" s="27">
        <f t="shared" si="157"/>
        <v>1335326.0869565217</v>
      </c>
      <c r="K331" s="27">
        <f t="shared" si="157"/>
        <v>59352.010869565216</v>
      </c>
      <c r="L331" s="27">
        <f t="shared" si="157"/>
        <v>1171395.4836956521</v>
      </c>
      <c r="M331" s="27">
        <f t="shared" si="157"/>
        <v>0</v>
      </c>
      <c r="N331" s="27">
        <f t="shared" si="157"/>
        <v>1335326.0869565217</v>
      </c>
      <c r="O331" s="27">
        <f t="shared" si="157"/>
        <v>1335326.0869565217</v>
      </c>
      <c r="P331" s="27">
        <f t="shared" si="157"/>
        <v>1335326.0869565217</v>
      </c>
      <c r="Q331" s="27">
        <f t="shared" si="157"/>
        <v>202771.73913043478</v>
      </c>
      <c r="R331" s="27">
        <f t="shared" si="157"/>
        <v>202771.73913043478</v>
      </c>
      <c r="S331" s="27">
        <f t="shared" si="157"/>
        <v>202771.73913043478</v>
      </c>
      <c r="T331" s="27">
        <f t="shared" si="157"/>
        <v>202771.73913043478</v>
      </c>
      <c r="U331" s="27">
        <f t="shared" si="157"/>
        <v>202771.73913043478</v>
      </c>
      <c r="V331" s="27">
        <f t="shared" si="157"/>
        <v>202771.73913043478</v>
      </c>
      <c r="W331" s="27">
        <f t="shared" si="157"/>
        <v>19478260.869565219</v>
      </c>
      <c r="X331" s="27">
        <f t="shared" si="147"/>
        <v>19478260.869565219</v>
      </c>
      <c r="Y331" s="27">
        <f t="shared" si="147"/>
        <v>19478260.869565219</v>
      </c>
    </row>
    <row r="332" spans="1:25" outlineLevel="1" x14ac:dyDescent="0.3">
      <c r="A332" t="s">
        <v>164</v>
      </c>
      <c r="B332" t="s">
        <v>75</v>
      </c>
      <c r="C332" s="6" t="s">
        <v>151</v>
      </c>
      <c r="D332" t="s">
        <v>48</v>
      </c>
      <c r="E332" s="27">
        <f t="shared" ref="E332:W332" si="158">E135/SpringWeekendDays</f>
        <v>0</v>
      </c>
      <c r="F332" s="27">
        <f t="shared" si="158"/>
        <v>616318.00543478259</v>
      </c>
      <c r="G332" s="27">
        <f t="shared" si="158"/>
        <v>0</v>
      </c>
      <c r="H332" s="27">
        <f t="shared" si="158"/>
        <v>1415217.3913043479</v>
      </c>
      <c r="I332" s="27">
        <f t="shared" si="158"/>
        <v>1415217.3913043479</v>
      </c>
      <c r="J332" s="27">
        <f t="shared" si="158"/>
        <v>1415217.3913043479</v>
      </c>
      <c r="K332" s="27">
        <f t="shared" si="158"/>
        <v>52574.907608695656</v>
      </c>
      <c r="L332" s="27">
        <f t="shared" si="158"/>
        <v>1294261.043478261</v>
      </c>
      <c r="M332" s="27">
        <f t="shared" si="158"/>
        <v>0</v>
      </c>
      <c r="N332" s="27">
        <f t="shared" si="158"/>
        <v>1415217.3913043479</v>
      </c>
      <c r="O332" s="27">
        <f t="shared" si="158"/>
        <v>1415217.3913043479</v>
      </c>
      <c r="P332" s="27">
        <f t="shared" si="158"/>
        <v>1415217.3913043479</v>
      </c>
      <c r="Q332" s="27">
        <f t="shared" si="158"/>
        <v>203913.04347826086</v>
      </c>
      <c r="R332" s="27">
        <f t="shared" si="158"/>
        <v>203913.04347826086</v>
      </c>
      <c r="S332" s="27">
        <f t="shared" si="158"/>
        <v>203913.04347826086</v>
      </c>
      <c r="T332" s="27">
        <f t="shared" si="158"/>
        <v>203913.04347826086</v>
      </c>
      <c r="U332" s="27">
        <f t="shared" si="158"/>
        <v>203913.04347826086</v>
      </c>
      <c r="V332" s="27">
        <f t="shared" si="158"/>
        <v>203913.04347826086</v>
      </c>
      <c r="W332" s="27">
        <f t="shared" si="158"/>
        <v>19440217.391304348</v>
      </c>
      <c r="X332" s="27">
        <f t="shared" si="147"/>
        <v>19440217.391304348</v>
      </c>
      <c r="Y332" s="27">
        <f t="shared" si="147"/>
        <v>19440217.391304348</v>
      </c>
    </row>
    <row r="333" spans="1:25" outlineLevel="1" x14ac:dyDescent="0.3">
      <c r="A333" t="s">
        <v>164</v>
      </c>
      <c r="B333" t="s">
        <v>76</v>
      </c>
      <c r="C333" s="6" t="s">
        <v>152</v>
      </c>
      <c r="D333" t="s">
        <v>48</v>
      </c>
      <c r="E333" s="27">
        <f t="shared" ref="E333:W333" si="159">E136/SpringWeekendDays</f>
        <v>0</v>
      </c>
      <c r="F333" s="27">
        <f t="shared" si="159"/>
        <v>727141.28260869568</v>
      </c>
      <c r="G333" s="27">
        <f t="shared" si="159"/>
        <v>0</v>
      </c>
      <c r="H333" s="27">
        <f t="shared" si="159"/>
        <v>1464673.9130434783</v>
      </c>
      <c r="I333" s="27">
        <f t="shared" si="159"/>
        <v>1464673.9130434783</v>
      </c>
      <c r="J333" s="27">
        <f t="shared" si="159"/>
        <v>1464673.9130434783</v>
      </c>
      <c r="K333" s="27">
        <f t="shared" si="159"/>
        <v>47669.125</v>
      </c>
      <c r="L333" s="27">
        <f t="shared" si="159"/>
        <v>1384181.3315217393</v>
      </c>
      <c r="M333" s="27">
        <f t="shared" si="159"/>
        <v>0</v>
      </c>
      <c r="N333" s="27">
        <f t="shared" si="159"/>
        <v>1464673.9130434783</v>
      </c>
      <c r="O333" s="27">
        <f t="shared" si="159"/>
        <v>1464673.9130434783</v>
      </c>
      <c r="P333" s="27">
        <f t="shared" si="159"/>
        <v>1464673.9130434783</v>
      </c>
      <c r="Q333" s="27">
        <f t="shared" si="159"/>
        <v>197065.21739130435</v>
      </c>
      <c r="R333" s="27">
        <f t="shared" si="159"/>
        <v>197065.21739130435</v>
      </c>
      <c r="S333" s="27">
        <f t="shared" si="159"/>
        <v>197065.21739130435</v>
      </c>
      <c r="T333" s="27">
        <f t="shared" si="159"/>
        <v>197065.21739130435</v>
      </c>
      <c r="U333" s="27">
        <f t="shared" si="159"/>
        <v>197065.21739130435</v>
      </c>
      <c r="V333" s="27">
        <f t="shared" si="159"/>
        <v>197065.21739130435</v>
      </c>
      <c r="W333" s="27">
        <f t="shared" si="159"/>
        <v>19402173.91304348</v>
      </c>
      <c r="X333" s="27">
        <f t="shared" si="147"/>
        <v>19402173.91304348</v>
      </c>
      <c r="Y333" s="27">
        <f t="shared" si="147"/>
        <v>19402173.91304348</v>
      </c>
    </row>
    <row r="334" spans="1:25" outlineLevel="1" x14ac:dyDescent="0.3">
      <c r="A334" t="s">
        <v>164</v>
      </c>
      <c r="B334" t="s">
        <v>77</v>
      </c>
      <c r="C334" s="6" t="s">
        <v>153</v>
      </c>
      <c r="D334" t="s">
        <v>48</v>
      </c>
      <c r="E334" s="27">
        <f t="shared" ref="E334:W334" si="160">E137/SpringWeekendDays</f>
        <v>0</v>
      </c>
      <c r="F334" s="27">
        <f t="shared" si="160"/>
        <v>787674.16304347827</v>
      </c>
      <c r="G334" s="27">
        <f t="shared" si="160"/>
        <v>0</v>
      </c>
      <c r="H334" s="27">
        <f t="shared" si="160"/>
        <v>1460869.5652173914</v>
      </c>
      <c r="I334" s="27">
        <f t="shared" si="160"/>
        <v>1460869.5652173914</v>
      </c>
      <c r="J334" s="27">
        <f t="shared" si="160"/>
        <v>1460869.5652173914</v>
      </c>
      <c r="K334" s="27">
        <f t="shared" si="160"/>
        <v>44433.565217391304</v>
      </c>
      <c r="L334" s="27">
        <f t="shared" si="160"/>
        <v>1442878.8804347827</v>
      </c>
      <c r="M334" s="27">
        <f t="shared" si="160"/>
        <v>0</v>
      </c>
      <c r="N334" s="27">
        <f t="shared" si="160"/>
        <v>1460869.5652173914</v>
      </c>
      <c r="O334" s="27">
        <f t="shared" si="160"/>
        <v>1460869.5652173914</v>
      </c>
      <c r="P334" s="27">
        <f t="shared" si="160"/>
        <v>1460869.5652173914</v>
      </c>
      <c r="Q334" s="27">
        <f t="shared" si="160"/>
        <v>182608.69565217392</v>
      </c>
      <c r="R334" s="27">
        <f t="shared" si="160"/>
        <v>182608.69565217392</v>
      </c>
      <c r="S334" s="27">
        <f t="shared" si="160"/>
        <v>182608.69565217392</v>
      </c>
      <c r="T334" s="27">
        <f t="shared" si="160"/>
        <v>182608.69565217392</v>
      </c>
      <c r="U334" s="27">
        <f t="shared" si="160"/>
        <v>182608.69565217392</v>
      </c>
      <c r="V334" s="27">
        <f t="shared" si="160"/>
        <v>182608.69565217392</v>
      </c>
      <c r="W334" s="27">
        <f t="shared" si="160"/>
        <v>19440217.391304348</v>
      </c>
      <c r="X334" s="27">
        <f t="shared" si="147"/>
        <v>19440217.391304348</v>
      </c>
      <c r="Y334" s="27">
        <f t="shared" si="147"/>
        <v>19440217.391304348</v>
      </c>
    </row>
    <row r="335" spans="1:25" outlineLevel="1" x14ac:dyDescent="0.3">
      <c r="A335" t="s">
        <v>164</v>
      </c>
      <c r="B335" t="s">
        <v>78</v>
      </c>
      <c r="C335" s="6" t="s">
        <v>154</v>
      </c>
      <c r="D335" t="s">
        <v>48</v>
      </c>
      <c r="E335" s="27">
        <f t="shared" ref="E335:W335" si="161">E138/SpringWeekendDays</f>
        <v>0</v>
      </c>
      <c r="F335" s="27">
        <f t="shared" si="161"/>
        <v>804288.09239130432</v>
      </c>
      <c r="G335" s="27">
        <f t="shared" si="161"/>
        <v>0</v>
      </c>
      <c r="H335" s="27">
        <f t="shared" si="161"/>
        <v>1449456.5217391306</v>
      </c>
      <c r="I335" s="27">
        <f t="shared" si="161"/>
        <v>1449456.5217391306</v>
      </c>
      <c r="J335" s="27">
        <f t="shared" si="161"/>
        <v>1449456.5217391306</v>
      </c>
      <c r="K335" s="27">
        <f t="shared" si="161"/>
        <v>43522.081521739135</v>
      </c>
      <c r="L335" s="27">
        <f t="shared" si="161"/>
        <v>1462554.8913043479</v>
      </c>
      <c r="M335" s="27">
        <f t="shared" si="161"/>
        <v>0</v>
      </c>
      <c r="N335" s="27">
        <f t="shared" si="161"/>
        <v>1449456.5217391306</v>
      </c>
      <c r="O335" s="27">
        <f t="shared" si="161"/>
        <v>1449456.5217391306</v>
      </c>
      <c r="P335" s="27">
        <f t="shared" si="161"/>
        <v>1449456.5217391306</v>
      </c>
      <c r="Q335" s="27">
        <f t="shared" si="161"/>
        <v>182608.69565217392</v>
      </c>
      <c r="R335" s="27">
        <f t="shared" si="161"/>
        <v>182608.69565217392</v>
      </c>
      <c r="S335" s="27">
        <f t="shared" si="161"/>
        <v>182608.69565217392</v>
      </c>
      <c r="T335" s="27">
        <f t="shared" si="161"/>
        <v>182608.69565217392</v>
      </c>
      <c r="U335" s="27">
        <f t="shared" si="161"/>
        <v>182608.69565217392</v>
      </c>
      <c r="V335" s="27">
        <f t="shared" si="161"/>
        <v>182608.69565217392</v>
      </c>
      <c r="W335" s="27">
        <f t="shared" si="161"/>
        <v>19478260.869565219</v>
      </c>
      <c r="X335" s="27">
        <f t="shared" si="147"/>
        <v>19478260.869565219</v>
      </c>
      <c r="Y335" s="27">
        <f t="shared" si="147"/>
        <v>19478260.869565219</v>
      </c>
    </row>
    <row r="336" spans="1:25" outlineLevel="1" x14ac:dyDescent="0.3">
      <c r="A336" t="s">
        <v>164</v>
      </c>
      <c r="B336" t="s">
        <v>79</v>
      </c>
      <c r="C336" s="6" t="s">
        <v>155</v>
      </c>
      <c r="D336" t="s">
        <v>48</v>
      </c>
      <c r="E336" s="27">
        <f t="shared" ref="E336:W336" si="162">E139/SpringWeekendDays</f>
        <v>0</v>
      </c>
      <c r="F336" s="27">
        <f t="shared" si="162"/>
        <v>783518.33152173914</v>
      </c>
      <c r="G336" s="27">
        <f t="shared" si="162"/>
        <v>0</v>
      </c>
      <c r="H336" s="27">
        <f t="shared" si="162"/>
        <v>1449456.5217391306</v>
      </c>
      <c r="I336" s="27">
        <f t="shared" si="162"/>
        <v>1449456.5217391306</v>
      </c>
      <c r="J336" s="27">
        <f t="shared" si="162"/>
        <v>1449456.5217391306</v>
      </c>
      <c r="K336" s="27">
        <f t="shared" si="162"/>
        <v>41089.04891304348</v>
      </c>
      <c r="L336" s="27">
        <f t="shared" si="162"/>
        <v>1442909.2771739131</v>
      </c>
      <c r="M336" s="27">
        <f t="shared" si="162"/>
        <v>0</v>
      </c>
      <c r="N336" s="27">
        <f t="shared" si="162"/>
        <v>1449456.5217391306</v>
      </c>
      <c r="O336" s="27">
        <f t="shared" si="162"/>
        <v>1449456.5217391306</v>
      </c>
      <c r="P336" s="27">
        <f t="shared" si="162"/>
        <v>1449456.5217391306</v>
      </c>
      <c r="Q336" s="27">
        <f t="shared" si="162"/>
        <v>181467.39130434784</v>
      </c>
      <c r="R336" s="27">
        <f t="shared" si="162"/>
        <v>181467.39130434784</v>
      </c>
      <c r="S336" s="27">
        <f t="shared" si="162"/>
        <v>181467.39130434784</v>
      </c>
      <c r="T336" s="27">
        <f t="shared" si="162"/>
        <v>181467.39130434784</v>
      </c>
      <c r="U336" s="27">
        <f t="shared" si="162"/>
        <v>181467.39130434784</v>
      </c>
      <c r="V336" s="27">
        <f t="shared" si="162"/>
        <v>181467.39130434784</v>
      </c>
      <c r="W336" s="27">
        <f t="shared" si="162"/>
        <v>19592391.304347828</v>
      </c>
      <c r="X336" s="27">
        <f t="shared" si="147"/>
        <v>19592391.304347828</v>
      </c>
      <c r="Y336" s="27">
        <f t="shared" si="147"/>
        <v>19592391.304347828</v>
      </c>
    </row>
    <row r="337" spans="1:25" outlineLevel="1" x14ac:dyDescent="0.3">
      <c r="A337" t="s">
        <v>164</v>
      </c>
      <c r="B337" t="s">
        <v>80</v>
      </c>
      <c r="C337" s="6" t="s">
        <v>156</v>
      </c>
      <c r="D337" t="s">
        <v>48</v>
      </c>
      <c r="E337" s="27">
        <f t="shared" ref="E337:W337" si="163">E140/SpringWeekendDays</f>
        <v>0</v>
      </c>
      <c r="F337" s="27">
        <f t="shared" si="163"/>
        <v>735914.07065217395</v>
      </c>
      <c r="G337" s="27">
        <f t="shared" si="163"/>
        <v>0</v>
      </c>
      <c r="H337" s="27">
        <f t="shared" si="163"/>
        <v>1510326.0869565217</v>
      </c>
      <c r="I337" s="27">
        <f t="shared" si="163"/>
        <v>1510326.0869565217</v>
      </c>
      <c r="J337" s="27">
        <f t="shared" si="163"/>
        <v>1510326.0869565217</v>
      </c>
      <c r="K337" s="27">
        <f t="shared" si="163"/>
        <v>40537.608695652176</v>
      </c>
      <c r="L337" s="27">
        <f t="shared" si="163"/>
        <v>1378928.1739130435</v>
      </c>
      <c r="M337" s="27">
        <f t="shared" si="163"/>
        <v>0</v>
      </c>
      <c r="N337" s="27">
        <f t="shared" si="163"/>
        <v>1510326.0869565217</v>
      </c>
      <c r="O337" s="27">
        <f t="shared" si="163"/>
        <v>1510326.0869565217</v>
      </c>
      <c r="P337" s="27">
        <f t="shared" si="163"/>
        <v>1510326.0869565217</v>
      </c>
      <c r="Q337" s="27">
        <f t="shared" si="163"/>
        <v>216467.39130434784</v>
      </c>
      <c r="R337" s="27">
        <f t="shared" si="163"/>
        <v>216467.39130434784</v>
      </c>
      <c r="S337" s="27">
        <f t="shared" si="163"/>
        <v>216467.39130434784</v>
      </c>
      <c r="T337" s="27">
        <f t="shared" si="163"/>
        <v>216467.39130434784</v>
      </c>
      <c r="U337" s="27">
        <f t="shared" si="163"/>
        <v>216467.39130434784</v>
      </c>
      <c r="V337" s="27">
        <f t="shared" si="163"/>
        <v>216467.39130434784</v>
      </c>
      <c r="W337" s="27">
        <f t="shared" si="163"/>
        <v>19706521.739130437</v>
      </c>
      <c r="X337" s="27">
        <f t="shared" si="147"/>
        <v>19706521.739130437</v>
      </c>
      <c r="Y337" s="27">
        <f t="shared" si="147"/>
        <v>19706521.739130437</v>
      </c>
    </row>
    <row r="338" spans="1:25" outlineLevel="1" x14ac:dyDescent="0.3">
      <c r="A338" t="s">
        <v>164</v>
      </c>
      <c r="B338" t="s">
        <v>81</v>
      </c>
      <c r="C338" s="6" t="s">
        <v>157</v>
      </c>
      <c r="D338" t="s">
        <v>48</v>
      </c>
      <c r="E338" s="27">
        <f t="shared" ref="E338:W338" si="164">E141/SpringWeekendDays</f>
        <v>0</v>
      </c>
      <c r="F338" s="27">
        <f t="shared" si="164"/>
        <v>676083.28260869568</v>
      </c>
      <c r="G338" s="27">
        <f t="shared" si="164"/>
        <v>0</v>
      </c>
      <c r="H338" s="27">
        <f t="shared" si="164"/>
        <v>3465760.8695652178</v>
      </c>
      <c r="I338" s="27">
        <f t="shared" si="164"/>
        <v>3465760.8695652178</v>
      </c>
      <c r="J338" s="27">
        <f t="shared" si="164"/>
        <v>3465760.8695652178</v>
      </c>
      <c r="K338" s="27">
        <f t="shared" si="164"/>
        <v>44141.581521739135</v>
      </c>
      <c r="L338" s="27">
        <f t="shared" si="164"/>
        <v>1275058.1413043479</v>
      </c>
      <c r="M338" s="27">
        <f t="shared" si="164"/>
        <v>0</v>
      </c>
      <c r="N338" s="27">
        <f t="shared" si="164"/>
        <v>3465760.8695652178</v>
      </c>
      <c r="O338" s="27">
        <f t="shared" si="164"/>
        <v>3465760.8695652178</v>
      </c>
      <c r="P338" s="27">
        <f t="shared" si="164"/>
        <v>3465760.8695652178</v>
      </c>
      <c r="Q338" s="27">
        <f t="shared" si="164"/>
        <v>216467.39130434784</v>
      </c>
      <c r="R338" s="27">
        <f t="shared" si="164"/>
        <v>216467.39130434784</v>
      </c>
      <c r="S338" s="27">
        <f t="shared" si="164"/>
        <v>216467.39130434784</v>
      </c>
      <c r="T338" s="27">
        <f t="shared" si="164"/>
        <v>216467.39130434784</v>
      </c>
      <c r="U338" s="27">
        <f t="shared" si="164"/>
        <v>216467.39130434784</v>
      </c>
      <c r="V338" s="27">
        <f t="shared" si="164"/>
        <v>216467.39130434784</v>
      </c>
      <c r="W338" s="27">
        <f t="shared" si="164"/>
        <v>19744565.217391305</v>
      </c>
      <c r="X338" s="27">
        <f t="shared" si="147"/>
        <v>19744565.217391305</v>
      </c>
      <c r="Y338" s="27">
        <f t="shared" si="147"/>
        <v>19744565.217391305</v>
      </c>
    </row>
    <row r="339" spans="1:25" outlineLevel="1" x14ac:dyDescent="0.3">
      <c r="A339" t="s">
        <v>164</v>
      </c>
      <c r="B339" t="s">
        <v>82</v>
      </c>
      <c r="C339" s="6" t="s">
        <v>158</v>
      </c>
      <c r="D339" t="s">
        <v>48</v>
      </c>
      <c r="E339" s="27">
        <f t="shared" ref="E339:W339" si="165">E142/SpringWeekendDays</f>
        <v>0</v>
      </c>
      <c r="F339" s="27">
        <f t="shared" si="165"/>
        <v>594714.36956521741</v>
      </c>
      <c r="G339" s="27">
        <f t="shared" si="165"/>
        <v>0</v>
      </c>
      <c r="H339" s="27">
        <f t="shared" si="165"/>
        <v>5512500</v>
      </c>
      <c r="I339" s="27">
        <f t="shared" si="165"/>
        <v>5512500</v>
      </c>
      <c r="J339" s="27">
        <f t="shared" si="165"/>
        <v>5512500</v>
      </c>
      <c r="K339" s="27">
        <f t="shared" si="165"/>
        <v>43377.706521739135</v>
      </c>
      <c r="L339" s="27">
        <f t="shared" si="165"/>
        <v>1146426.1413043479</v>
      </c>
      <c r="M339" s="27">
        <f t="shared" si="165"/>
        <v>0</v>
      </c>
      <c r="N339" s="27">
        <f t="shared" si="165"/>
        <v>5512500</v>
      </c>
      <c r="O339" s="27">
        <f t="shared" si="165"/>
        <v>5512500</v>
      </c>
      <c r="P339" s="27">
        <f t="shared" si="165"/>
        <v>5512500</v>
      </c>
      <c r="Q339" s="27">
        <f t="shared" si="165"/>
        <v>215706.52173913043</v>
      </c>
      <c r="R339" s="27">
        <f t="shared" si="165"/>
        <v>215706.52173913043</v>
      </c>
      <c r="S339" s="27">
        <f t="shared" si="165"/>
        <v>215706.52173913043</v>
      </c>
      <c r="T339" s="27">
        <f t="shared" si="165"/>
        <v>215706.52173913043</v>
      </c>
      <c r="U339" s="27">
        <f t="shared" si="165"/>
        <v>215706.52173913043</v>
      </c>
      <c r="V339" s="27">
        <f t="shared" si="165"/>
        <v>215706.52173913043</v>
      </c>
      <c r="W339" s="27">
        <f t="shared" si="165"/>
        <v>19706521.739130437</v>
      </c>
      <c r="X339" s="27">
        <f t="shared" si="147"/>
        <v>19706521.739130437</v>
      </c>
      <c r="Y339" s="27">
        <f t="shared" si="147"/>
        <v>19706521.739130437</v>
      </c>
    </row>
    <row r="340" spans="1:25" outlineLevel="1" x14ac:dyDescent="0.3">
      <c r="A340" t="s">
        <v>164</v>
      </c>
      <c r="B340" t="s">
        <v>83</v>
      </c>
      <c r="C340" s="6" t="s">
        <v>159</v>
      </c>
      <c r="D340" t="s">
        <v>48</v>
      </c>
      <c r="E340" s="27">
        <f t="shared" ref="E340:W340" si="166">E143/SpringWeekendDays</f>
        <v>0</v>
      </c>
      <c r="F340" s="27">
        <f t="shared" si="166"/>
        <v>482805.0652173913</v>
      </c>
      <c r="G340" s="27">
        <f t="shared" si="166"/>
        <v>0</v>
      </c>
      <c r="H340" s="27">
        <f t="shared" si="166"/>
        <v>5771195.6521739131</v>
      </c>
      <c r="I340" s="27">
        <f t="shared" si="166"/>
        <v>5771195.6521739131</v>
      </c>
      <c r="J340" s="27">
        <f t="shared" si="166"/>
        <v>5771195.6521739131</v>
      </c>
      <c r="K340" s="27">
        <f t="shared" si="166"/>
        <v>40321.445652173912</v>
      </c>
      <c r="L340" s="27">
        <f t="shared" si="166"/>
        <v>994536.33695652173</v>
      </c>
      <c r="M340" s="27">
        <f t="shared" si="166"/>
        <v>0</v>
      </c>
      <c r="N340" s="27">
        <f t="shared" si="166"/>
        <v>5771195.6521739131</v>
      </c>
      <c r="O340" s="27">
        <f t="shared" si="166"/>
        <v>5771195.6521739131</v>
      </c>
      <c r="P340" s="27">
        <f t="shared" si="166"/>
        <v>5771195.6521739131</v>
      </c>
      <c r="Q340" s="27">
        <f t="shared" si="166"/>
        <v>215326.08695652176</v>
      </c>
      <c r="R340" s="27">
        <f t="shared" si="166"/>
        <v>215326.08695652176</v>
      </c>
      <c r="S340" s="27">
        <f t="shared" si="166"/>
        <v>215326.08695652176</v>
      </c>
      <c r="T340" s="27">
        <f t="shared" si="166"/>
        <v>215326.08695652176</v>
      </c>
      <c r="U340" s="27">
        <f t="shared" si="166"/>
        <v>215326.08695652176</v>
      </c>
      <c r="V340" s="27">
        <f t="shared" si="166"/>
        <v>215326.08695652176</v>
      </c>
      <c r="W340" s="27">
        <f t="shared" si="166"/>
        <v>19630434.782608695</v>
      </c>
      <c r="X340" s="27">
        <f t="shared" si="147"/>
        <v>19630434.782608695</v>
      </c>
      <c r="Y340" s="27">
        <f t="shared" si="147"/>
        <v>19630434.782608695</v>
      </c>
    </row>
    <row r="341" spans="1:25" outlineLevel="1" x14ac:dyDescent="0.3">
      <c r="A341" t="s">
        <v>164</v>
      </c>
      <c r="B341" t="s">
        <v>84</v>
      </c>
      <c r="C341" s="6" t="s">
        <v>160</v>
      </c>
      <c r="D341" t="s">
        <v>48</v>
      </c>
      <c r="E341" s="27">
        <f t="shared" ref="E341:W341" si="167">E144/SpringWeekendDays</f>
        <v>0</v>
      </c>
      <c r="F341" s="27">
        <f t="shared" si="167"/>
        <v>364893.90760869568</v>
      </c>
      <c r="G341" s="27">
        <f t="shared" si="167"/>
        <v>0</v>
      </c>
      <c r="H341" s="27">
        <f t="shared" si="167"/>
        <v>5744565.2173913047</v>
      </c>
      <c r="I341" s="27">
        <f t="shared" si="167"/>
        <v>5744565.2173913047</v>
      </c>
      <c r="J341" s="27">
        <f t="shared" si="167"/>
        <v>5744565.2173913047</v>
      </c>
      <c r="K341" s="27">
        <f t="shared" si="167"/>
        <v>45645.478260869568</v>
      </c>
      <c r="L341" s="27">
        <f t="shared" si="167"/>
        <v>857930.08152173914</v>
      </c>
      <c r="M341" s="27">
        <f t="shared" si="167"/>
        <v>0</v>
      </c>
      <c r="N341" s="27">
        <f t="shared" si="167"/>
        <v>5744565.2173913047</v>
      </c>
      <c r="O341" s="27">
        <f t="shared" si="167"/>
        <v>5744565.2173913047</v>
      </c>
      <c r="P341" s="27">
        <f t="shared" si="167"/>
        <v>5744565.2173913047</v>
      </c>
      <c r="Q341" s="27">
        <f t="shared" si="167"/>
        <v>214565.21739130435</v>
      </c>
      <c r="R341" s="27">
        <f t="shared" si="167"/>
        <v>214565.21739130435</v>
      </c>
      <c r="S341" s="27">
        <f t="shared" si="167"/>
        <v>214565.21739130435</v>
      </c>
      <c r="T341" s="27">
        <f t="shared" si="167"/>
        <v>214565.21739130435</v>
      </c>
      <c r="U341" s="27">
        <f t="shared" si="167"/>
        <v>214565.21739130435</v>
      </c>
      <c r="V341" s="27">
        <f t="shared" si="167"/>
        <v>214565.21739130435</v>
      </c>
      <c r="W341" s="27">
        <f t="shared" si="167"/>
        <v>19592391.304347828</v>
      </c>
      <c r="X341" s="27">
        <f t="shared" si="147"/>
        <v>19592391.304347828</v>
      </c>
      <c r="Y341" s="27">
        <f t="shared" si="147"/>
        <v>19592391.304347828</v>
      </c>
    </row>
    <row r="342" spans="1:25" outlineLevel="1" x14ac:dyDescent="0.3">
      <c r="A342" t="s">
        <v>164</v>
      </c>
      <c r="B342" t="s">
        <v>85</v>
      </c>
      <c r="C342" s="6" t="s">
        <v>161</v>
      </c>
      <c r="D342" t="s">
        <v>48</v>
      </c>
      <c r="E342" s="27">
        <f t="shared" ref="E342:W342" si="168">E145/SpringWeekendDays</f>
        <v>0</v>
      </c>
      <c r="F342" s="27">
        <f t="shared" si="168"/>
        <v>266407.02717391303</v>
      </c>
      <c r="G342" s="27">
        <f t="shared" si="168"/>
        <v>0</v>
      </c>
      <c r="H342" s="27">
        <f t="shared" si="168"/>
        <v>4751630.4347826093</v>
      </c>
      <c r="I342" s="27">
        <f t="shared" si="168"/>
        <v>4751630.4347826093</v>
      </c>
      <c r="J342" s="27">
        <f t="shared" si="168"/>
        <v>4751630.4347826093</v>
      </c>
      <c r="K342" s="27">
        <f t="shared" si="168"/>
        <v>47225.804347826088</v>
      </c>
      <c r="L342" s="27">
        <f t="shared" si="168"/>
        <v>748578.55434782617</v>
      </c>
      <c r="M342" s="27">
        <f t="shared" si="168"/>
        <v>0</v>
      </c>
      <c r="N342" s="27">
        <f t="shared" si="168"/>
        <v>4751630.4347826093</v>
      </c>
      <c r="O342" s="27">
        <f t="shared" si="168"/>
        <v>4751630.4347826093</v>
      </c>
      <c r="P342" s="27">
        <f t="shared" si="168"/>
        <v>4751630.4347826093</v>
      </c>
      <c r="Q342" s="27">
        <f t="shared" si="168"/>
        <v>213423.91304347827</v>
      </c>
      <c r="R342" s="27">
        <f t="shared" si="168"/>
        <v>213423.91304347827</v>
      </c>
      <c r="S342" s="27">
        <f t="shared" si="168"/>
        <v>213423.91304347827</v>
      </c>
      <c r="T342" s="27">
        <f t="shared" si="168"/>
        <v>213423.91304347827</v>
      </c>
      <c r="U342" s="27">
        <f t="shared" si="168"/>
        <v>213423.91304347827</v>
      </c>
      <c r="V342" s="27">
        <f t="shared" si="168"/>
        <v>213423.91304347827</v>
      </c>
      <c r="W342" s="27">
        <f t="shared" si="168"/>
        <v>19478260.869565219</v>
      </c>
      <c r="X342" s="27">
        <f t="shared" si="147"/>
        <v>19478260.869565219</v>
      </c>
      <c r="Y342" s="27">
        <f t="shared" si="147"/>
        <v>19478260.869565219</v>
      </c>
    </row>
    <row r="343" spans="1:25" outlineLevel="1" x14ac:dyDescent="0.3">
      <c r="A343" t="s">
        <v>164</v>
      </c>
      <c r="B343" t="s">
        <v>86</v>
      </c>
      <c r="C343" s="6" t="s">
        <v>162</v>
      </c>
      <c r="D343" t="s">
        <v>48</v>
      </c>
      <c r="E343" s="27">
        <f t="shared" ref="E343:W343" si="169">E146/SpringWeekendDays</f>
        <v>0</v>
      </c>
      <c r="F343" s="27">
        <f t="shared" si="169"/>
        <v>191806.61956521741</v>
      </c>
      <c r="G343" s="27">
        <f t="shared" si="169"/>
        <v>0</v>
      </c>
      <c r="H343" s="27">
        <f t="shared" si="169"/>
        <v>3062500</v>
      </c>
      <c r="I343" s="27">
        <f t="shared" si="169"/>
        <v>3062500</v>
      </c>
      <c r="J343" s="27">
        <f t="shared" si="169"/>
        <v>3062500</v>
      </c>
      <c r="K343" s="27">
        <f t="shared" si="169"/>
        <v>42597.016304347824</v>
      </c>
      <c r="L343" s="27">
        <f t="shared" si="169"/>
        <v>662142.5163043479</v>
      </c>
      <c r="M343" s="27">
        <f t="shared" si="169"/>
        <v>0</v>
      </c>
      <c r="N343" s="27">
        <f t="shared" si="169"/>
        <v>3062500</v>
      </c>
      <c r="O343" s="27">
        <f t="shared" si="169"/>
        <v>3062500</v>
      </c>
      <c r="P343" s="27">
        <f t="shared" si="169"/>
        <v>3062500</v>
      </c>
      <c r="Q343" s="27">
        <f t="shared" si="169"/>
        <v>213043.47826086957</v>
      </c>
      <c r="R343" s="27">
        <f t="shared" si="169"/>
        <v>213043.47826086957</v>
      </c>
      <c r="S343" s="27">
        <f t="shared" si="169"/>
        <v>213043.47826086957</v>
      </c>
      <c r="T343" s="27">
        <f t="shared" si="169"/>
        <v>213043.47826086957</v>
      </c>
      <c r="U343" s="27">
        <f t="shared" si="169"/>
        <v>213043.47826086957</v>
      </c>
      <c r="V343" s="27">
        <f t="shared" si="169"/>
        <v>213043.47826086957</v>
      </c>
      <c r="W343" s="27">
        <f t="shared" si="169"/>
        <v>19364130.434782609</v>
      </c>
      <c r="X343" s="27">
        <f t="shared" si="147"/>
        <v>19364130.434782609</v>
      </c>
      <c r="Y343" s="27">
        <f t="shared" si="147"/>
        <v>19364130.434782609</v>
      </c>
    </row>
    <row r="344" spans="1:25" outlineLevel="1" x14ac:dyDescent="0.3">
      <c r="A344" t="s">
        <v>164</v>
      </c>
      <c r="B344" t="s">
        <v>87</v>
      </c>
      <c r="C344" s="6" t="s">
        <v>163</v>
      </c>
      <c r="D344" t="s">
        <v>48</v>
      </c>
      <c r="E344" s="27">
        <f t="shared" ref="E344:W344" si="170">E147/SpringWeekendDays</f>
        <v>0</v>
      </c>
      <c r="F344" s="27">
        <f t="shared" si="170"/>
        <v>142119.97282608697</v>
      </c>
      <c r="G344" s="27">
        <f t="shared" si="170"/>
        <v>0</v>
      </c>
      <c r="H344" s="27">
        <f t="shared" si="170"/>
        <v>1711956.5217391306</v>
      </c>
      <c r="I344" s="27">
        <f t="shared" si="170"/>
        <v>1711956.5217391306</v>
      </c>
      <c r="J344" s="27">
        <f t="shared" si="170"/>
        <v>1711956.5217391306</v>
      </c>
      <c r="K344" s="27">
        <f t="shared" si="170"/>
        <v>41965.836956521744</v>
      </c>
      <c r="L344" s="27">
        <f t="shared" si="170"/>
        <v>593229.30434782617</v>
      </c>
      <c r="M344" s="27">
        <f t="shared" si="170"/>
        <v>0</v>
      </c>
      <c r="N344" s="27">
        <f t="shared" si="170"/>
        <v>1711956.5217391306</v>
      </c>
      <c r="O344" s="27">
        <f t="shared" si="170"/>
        <v>1711956.5217391306</v>
      </c>
      <c r="P344" s="27">
        <f t="shared" si="170"/>
        <v>1711956.5217391306</v>
      </c>
      <c r="Q344" s="27">
        <f t="shared" si="170"/>
        <v>142663.04347826086</v>
      </c>
      <c r="R344" s="27">
        <f t="shared" si="170"/>
        <v>142663.04347826086</v>
      </c>
      <c r="S344" s="27">
        <f t="shared" si="170"/>
        <v>142663.04347826086</v>
      </c>
      <c r="T344" s="27">
        <f t="shared" si="170"/>
        <v>142663.04347826086</v>
      </c>
      <c r="U344" s="27">
        <f t="shared" si="170"/>
        <v>142663.04347826086</v>
      </c>
      <c r="V344" s="27">
        <f t="shared" si="170"/>
        <v>142663.04347826086</v>
      </c>
      <c r="W344" s="27">
        <f t="shared" si="170"/>
        <v>19326086.956521738</v>
      </c>
      <c r="X344" s="27">
        <f t="shared" si="147"/>
        <v>19326086.956521738</v>
      </c>
      <c r="Y344" s="27">
        <f t="shared" si="147"/>
        <v>19326086.956521738</v>
      </c>
    </row>
    <row r="345" spans="1:25" outlineLevel="1" x14ac:dyDescent="0.3">
      <c r="A345" t="s">
        <v>165</v>
      </c>
      <c r="B345" t="s">
        <v>64</v>
      </c>
      <c r="C345" s="6" t="s">
        <v>140</v>
      </c>
      <c r="D345" t="s">
        <v>48</v>
      </c>
      <c r="E345" s="29">
        <f t="shared" ref="E345:W345" si="171">E148/SummerWeekendDays</f>
        <v>0</v>
      </c>
      <c r="F345" s="29">
        <f t="shared" si="171"/>
        <v>230923.91304347827</v>
      </c>
      <c r="G345" s="29">
        <f t="shared" si="171"/>
        <v>0</v>
      </c>
      <c r="H345" s="29">
        <f t="shared" si="171"/>
        <v>1133986.418478261</v>
      </c>
      <c r="I345" s="29">
        <f t="shared" si="171"/>
        <v>1133986.418478261</v>
      </c>
      <c r="J345" s="29">
        <f t="shared" si="171"/>
        <v>1133986.418478261</v>
      </c>
      <c r="K345" s="29">
        <f t="shared" si="171"/>
        <v>42978.32608695652</v>
      </c>
      <c r="L345" s="29">
        <f t="shared" si="171"/>
        <v>759995.55434782617</v>
      </c>
      <c r="M345" s="29">
        <f t="shared" si="171"/>
        <v>0</v>
      </c>
      <c r="N345" s="29">
        <f t="shared" si="171"/>
        <v>1133986.418478261</v>
      </c>
      <c r="O345" s="29">
        <f t="shared" si="171"/>
        <v>1133986.418478261</v>
      </c>
      <c r="P345" s="29">
        <f t="shared" si="171"/>
        <v>1133986.418478261</v>
      </c>
      <c r="Q345" s="29">
        <f t="shared" si="171"/>
        <v>92750</v>
      </c>
      <c r="R345" s="29">
        <f t="shared" si="171"/>
        <v>92750</v>
      </c>
      <c r="S345" s="29">
        <f t="shared" si="171"/>
        <v>92750</v>
      </c>
      <c r="T345" s="29">
        <f t="shared" si="171"/>
        <v>92750</v>
      </c>
      <c r="U345" s="29">
        <f t="shared" si="171"/>
        <v>92750</v>
      </c>
      <c r="V345" s="29">
        <f t="shared" si="171"/>
        <v>92750</v>
      </c>
      <c r="W345" s="29">
        <f t="shared" si="171"/>
        <v>19135869.565217391</v>
      </c>
      <c r="X345" s="29">
        <f t="shared" ref="X345:Y368" si="172">X148/SummerWeekendDays</f>
        <v>19135869.565217391</v>
      </c>
      <c r="Y345" s="29">
        <f t="shared" si="172"/>
        <v>19135869.565217391</v>
      </c>
    </row>
    <row r="346" spans="1:25" outlineLevel="1" x14ac:dyDescent="0.3">
      <c r="A346" t="s">
        <v>165</v>
      </c>
      <c r="B346" t="s">
        <v>65</v>
      </c>
      <c r="C346" s="6" t="s">
        <v>141</v>
      </c>
      <c r="D346" t="s">
        <v>48</v>
      </c>
      <c r="E346" s="29">
        <f t="shared" ref="E346:W346" si="173">E149/SummerWeekendDays</f>
        <v>0</v>
      </c>
      <c r="F346" s="29">
        <f t="shared" si="173"/>
        <v>207364.69021739133</v>
      </c>
      <c r="G346" s="29">
        <f t="shared" si="173"/>
        <v>0</v>
      </c>
      <c r="H346" s="29">
        <f t="shared" si="173"/>
        <v>978750.23369565222</v>
      </c>
      <c r="I346" s="29">
        <f t="shared" si="173"/>
        <v>978750.23369565222</v>
      </c>
      <c r="J346" s="29">
        <f t="shared" si="173"/>
        <v>978750.23369565222</v>
      </c>
      <c r="K346" s="29">
        <f t="shared" si="173"/>
        <v>43786.635869565216</v>
      </c>
      <c r="L346" s="29">
        <f t="shared" si="173"/>
        <v>726142.10869565222</v>
      </c>
      <c r="M346" s="29">
        <f t="shared" si="173"/>
        <v>0</v>
      </c>
      <c r="N346" s="29">
        <f t="shared" si="173"/>
        <v>978750.23369565222</v>
      </c>
      <c r="O346" s="29">
        <f t="shared" si="173"/>
        <v>978750.23369565222</v>
      </c>
      <c r="P346" s="29">
        <f t="shared" si="173"/>
        <v>978750.23369565222</v>
      </c>
      <c r="Q346" s="29">
        <f t="shared" si="173"/>
        <v>92065.217391304352</v>
      </c>
      <c r="R346" s="29">
        <f t="shared" si="173"/>
        <v>92065.217391304352</v>
      </c>
      <c r="S346" s="29">
        <f t="shared" si="173"/>
        <v>92065.217391304352</v>
      </c>
      <c r="T346" s="29">
        <f t="shared" si="173"/>
        <v>92065.217391304352</v>
      </c>
      <c r="U346" s="29">
        <f t="shared" si="173"/>
        <v>92065.217391304352</v>
      </c>
      <c r="V346" s="29">
        <f t="shared" si="173"/>
        <v>92065.217391304352</v>
      </c>
      <c r="W346" s="29">
        <f t="shared" si="173"/>
        <v>19135869.565217391</v>
      </c>
      <c r="X346" s="29">
        <f t="shared" si="172"/>
        <v>19135869.565217391</v>
      </c>
      <c r="Y346" s="29">
        <f t="shared" si="172"/>
        <v>19135869.565217391</v>
      </c>
    </row>
    <row r="347" spans="1:25" outlineLevel="1" x14ac:dyDescent="0.3">
      <c r="A347" t="s">
        <v>165</v>
      </c>
      <c r="B347" t="s">
        <v>66</v>
      </c>
      <c r="C347" s="6" t="s">
        <v>142</v>
      </c>
      <c r="D347" t="s">
        <v>48</v>
      </c>
      <c r="E347" s="29">
        <f t="shared" ref="E347:W347" si="174">E150/SummerWeekendDays</f>
        <v>0</v>
      </c>
      <c r="F347" s="29">
        <f t="shared" si="174"/>
        <v>201016.79347826086</v>
      </c>
      <c r="G347" s="29">
        <f t="shared" si="174"/>
        <v>0</v>
      </c>
      <c r="H347" s="29">
        <f t="shared" si="174"/>
        <v>945296.81521739135</v>
      </c>
      <c r="I347" s="29">
        <f t="shared" si="174"/>
        <v>945296.81521739135</v>
      </c>
      <c r="J347" s="29">
        <f t="shared" si="174"/>
        <v>945296.81521739135</v>
      </c>
      <c r="K347" s="29">
        <f t="shared" si="174"/>
        <v>45327.244565217392</v>
      </c>
      <c r="L347" s="29">
        <f t="shared" si="174"/>
        <v>713878.60326086963</v>
      </c>
      <c r="M347" s="29">
        <f t="shared" si="174"/>
        <v>0</v>
      </c>
      <c r="N347" s="29">
        <f t="shared" si="174"/>
        <v>945296.81521739135</v>
      </c>
      <c r="O347" s="29">
        <f t="shared" si="174"/>
        <v>945296.81521739135</v>
      </c>
      <c r="P347" s="29">
        <f t="shared" si="174"/>
        <v>945296.81521739135</v>
      </c>
      <c r="Q347" s="29">
        <f t="shared" si="174"/>
        <v>91836.956521739135</v>
      </c>
      <c r="R347" s="29">
        <f t="shared" si="174"/>
        <v>91836.956521739135</v>
      </c>
      <c r="S347" s="29">
        <f t="shared" si="174"/>
        <v>91836.956521739135</v>
      </c>
      <c r="T347" s="29">
        <f t="shared" si="174"/>
        <v>91836.956521739135</v>
      </c>
      <c r="U347" s="29">
        <f t="shared" si="174"/>
        <v>91836.956521739135</v>
      </c>
      <c r="V347" s="29">
        <f t="shared" si="174"/>
        <v>91836.956521739135</v>
      </c>
      <c r="W347" s="29">
        <f t="shared" si="174"/>
        <v>19135869.565217391</v>
      </c>
      <c r="X347" s="29">
        <f t="shared" si="172"/>
        <v>19135869.565217391</v>
      </c>
      <c r="Y347" s="29">
        <f t="shared" si="172"/>
        <v>19135869.565217391</v>
      </c>
    </row>
    <row r="348" spans="1:25" outlineLevel="1" x14ac:dyDescent="0.3">
      <c r="A348" t="s">
        <v>165</v>
      </c>
      <c r="B348" t="s">
        <v>67</v>
      </c>
      <c r="C348" s="6" t="s">
        <v>143</v>
      </c>
      <c r="D348" t="s">
        <v>48</v>
      </c>
      <c r="E348" s="29">
        <f t="shared" ref="E348:W348" si="175">E151/SummerWeekendDays</f>
        <v>0</v>
      </c>
      <c r="F348" s="29">
        <f t="shared" si="175"/>
        <v>210517.31521739133</v>
      </c>
      <c r="G348" s="29">
        <f t="shared" si="175"/>
        <v>0</v>
      </c>
      <c r="H348" s="29">
        <f t="shared" si="175"/>
        <v>944498.85326086963</v>
      </c>
      <c r="I348" s="29">
        <f t="shared" si="175"/>
        <v>944498.85326086963</v>
      </c>
      <c r="J348" s="29">
        <f t="shared" si="175"/>
        <v>944498.85326086963</v>
      </c>
      <c r="K348" s="29">
        <f t="shared" si="175"/>
        <v>46745.429347826088</v>
      </c>
      <c r="L348" s="29">
        <f t="shared" si="175"/>
        <v>718191.28804347827</v>
      </c>
      <c r="M348" s="29">
        <f t="shared" si="175"/>
        <v>0</v>
      </c>
      <c r="N348" s="29">
        <f t="shared" si="175"/>
        <v>944498.85326086963</v>
      </c>
      <c r="O348" s="29">
        <f t="shared" si="175"/>
        <v>944498.85326086963</v>
      </c>
      <c r="P348" s="29">
        <f t="shared" si="175"/>
        <v>944498.85326086963</v>
      </c>
      <c r="Q348" s="29">
        <f t="shared" si="175"/>
        <v>91836.956521739135</v>
      </c>
      <c r="R348" s="29">
        <f t="shared" si="175"/>
        <v>91836.956521739135</v>
      </c>
      <c r="S348" s="29">
        <f t="shared" si="175"/>
        <v>91836.956521739135</v>
      </c>
      <c r="T348" s="29">
        <f t="shared" si="175"/>
        <v>91836.956521739135</v>
      </c>
      <c r="U348" s="29">
        <f t="shared" si="175"/>
        <v>91836.956521739135</v>
      </c>
      <c r="V348" s="29">
        <f t="shared" si="175"/>
        <v>91836.956521739135</v>
      </c>
      <c r="W348" s="29">
        <f t="shared" si="175"/>
        <v>19173913.043478262</v>
      </c>
      <c r="X348" s="29">
        <f t="shared" si="172"/>
        <v>19173913.043478262</v>
      </c>
      <c r="Y348" s="29">
        <f t="shared" si="172"/>
        <v>19173913.043478262</v>
      </c>
    </row>
    <row r="349" spans="1:25" outlineLevel="1" x14ac:dyDescent="0.3">
      <c r="A349" t="s">
        <v>165</v>
      </c>
      <c r="B349" t="s">
        <v>68</v>
      </c>
      <c r="C349" s="6" t="s">
        <v>144</v>
      </c>
      <c r="D349" t="s">
        <v>48</v>
      </c>
      <c r="E349" s="29">
        <f t="shared" ref="E349:W349" si="176">E152/SummerWeekendDays</f>
        <v>0</v>
      </c>
      <c r="F349" s="29">
        <f t="shared" si="176"/>
        <v>237259.29347826086</v>
      </c>
      <c r="G349" s="29">
        <f t="shared" si="176"/>
        <v>0</v>
      </c>
      <c r="H349" s="29">
        <f t="shared" si="176"/>
        <v>994175.72282608703</v>
      </c>
      <c r="I349" s="29">
        <f t="shared" si="176"/>
        <v>994175.72282608703</v>
      </c>
      <c r="J349" s="29">
        <f t="shared" si="176"/>
        <v>994175.72282608703</v>
      </c>
      <c r="K349" s="29">
        <f t="shared" si="176"/>
        <v>46502.255434782608</v>
      </c>
      <c r="L349" s="29">
        <f t="shared" si="176"/>
        <v>739245.08152173914</v>
      </c>
      <c r="M349" s="29">
        <f t="shared" si="176"/>
        <v>0</v>
      </c>
      <c r="N349" s="29">
        <f t="shared" si="176"/>
        <v>994175.72282608703</v>
      </c>
      <c r="O349" s="29">
        <f t="shared" si="176"/>
        <v>994175.72282608703</v>
      </c>
      <c r="P349" s="29">
        <f t="shared" si="176"/>
        <v>994175.72282608703</v>
      </c>
      <c r="Q349" s="29">
        <f t="shared" si="176"/>
        <v>91760.869565217392</v>
      </c>
      <c r="R349" s="29">
        <f t="shared" si="176"/>
        <v>91760.869565217392</v>
      </c>
      <c r="S349" s="29">
        <f t="shared" si="176"/>
        <v>91760.869565217392</v>
      </c>
      <c r="T349" s="29">
        <f t="shared" si="176"/>
        <v>91760.869565217392</v>
      </c>
      <c r="U349" s="29">
        <f t="shared" si="176"/>
        <v>91760.869565217392</v>
      </c>
      <c r="V349" s="29">
        <f t="shared" si="176"/>
        <v>91760.869565217392</v>
      </c>
      <c r="W349" s="29">
        <f t="shared" si="176"/>
        <v>19250000</v>
      </c>
      <c r="X349" s="29">
        <f t="shared" si="172"/>
        <v>19250000</v>
      </c>
      <c r="Y349" s="29">
        <f t="shared" si="172"/>
        <v>19250000</v>
      </c>
    </row>
    <row r="350" spans="1:25" outlineLevel="1" x14ac:dyDescent="0.3">
      <c r="A350" t="s">
        <v>165</v>
      </c>
      <c r="B350" t="s">
        <v>69</v>
      </c>
      <c r="C350" s="6" t="s">
        <v>145</v>
      </c>
      <c r="D350" t="s">
        <v>48</v>
      </c>
      <c r="E350" s="29">
        <f t="shared" ref="E350:W350" si="177">E153/SummerWeekendDays</f>
        <v>0</v>
      </c>
      <c r="F350" s="29">
        <f t="shared" si="177"/>
        <v>281126.3152173913</v>
      </c>
      <c r="G350" s="29">
        <f t="shared" si="177"/>
        <v>0</v>
      </c>
      <c r="H350" s="29">
        <f t="shared" si="177"/>
        <v>1289673.9130434783</v>
      </c>
      <c r="I350" s="29">
        <f t="shared" si="177"/>
        <v>1289673.9130434783</v>
      </c>
      <c r="J350" s="29">
        <f t="shared" si="177"/>
        <v>1289673.9130434783</v>
      </c>
      <c r="K350" s="29">
        <f t="shared" si="177"/>
        <v>49233.777173913048</v>
      </c>
      <c r="L350" s="29">
        <f t="shared" si="177"/>
        <v>783988.05434782617</v>
      </c>
      <c r="M350" s="29">
        <f t="shared" si="177"/>
        <v>0</v>
      </c>
      <c r="N350" s="29">
        <f t="shared" si="177"/>
        <v>1289673.9130434783</v>
      </c>
      <c r="O350" s="29">
        <f t="shared" si="177"/>
        <v>1289673.9130434783</v>
      </c>
      <c r="P350" s="29">
        <f t="shared" si="177"/>
        <v>1289673.9130434783</v>
      </c>
      <c r="Q350" s="29">
        <f t="shared" si="177"/>
        <v>91836.956521739135</v>
      </c>
      <c r="R350" s="29">
        <f t="shared" si="177"/>
        <v>91836.956521739135</v>
      </c>
      <c r="S350" s="29">
        <f t="shared" si="177"/>
        <v>91836.956521739135</v>
      </c>
      <c r="T350" s="29">
        <f t="shared" si="177"/>
        <v>91836.956521739135</v>
      </c>
      <c r="U350" s="29">
        <f t="shared" si="177"/>
        <v>91836.956521739135</v>
      </c>
      <c r="V350" s="29">
        <f t="shared" si="177"/>
        <v>91836.956521739135</v>
      </c>
      <c r="W350" s="29">
        <f t="shared" si="177"/>
        <v>19364130.434782609</v>
      </c>
      <c r="X350" s="29">
        <f t="shared" si="172"/>
        <v>19364130.434782609</v>
      </c>
      <c r="Y350" s="29">
        <f t="shared" si="172"/>
        <v>19364130.434782609</v>
      </c>
    </row>
    <row r="351" spans="1:25" outlineLevel="1" x14ac:dyDescent="0.3">
      <c r="A351" t="s">
        <v>165</v>
      </c>
      <c r="B351" t="s">
        <v>70</v>
      </c>
      <c r="C351" s="6" t="s">
        <v>146</v>
      </c>
      <c r="D351" t="s">
        <v>48</v>
      </c>
      <c r="E351" s="29">
        <f t="shared" ref="E351:W351" si="178">E154/SummerWeekendDays</f>
        <v>0</v>
      </c>
      <c r="F351" s="29">
        <f t="shared" si="178"/>
        <v>342053.9347826087</v>
      </c>
      <c r="G351" s="29">
        <f t="shared" si="178"/>
        <v>0</v>
      </c>
      <c r="H351" s="29">
        <f t="shared" si="178"/>
        <v>1038570.597826087</v>
      </c>
      <c r="I351" s="29">
        <f t="shared" si="178"/>
        <v>1038570.597826087</v>
      </c>
      <c r="J351" s="29">
        <f t="shared" si="178"/>
        <v>1038570.597826087</v>
      </c>
      <c r="K351" s="29">
        <f t="shared" si="178"/>
        <v>51216.983695652176</v>
      </c>
      <c r="L351" s="29">
        <f t="shared" si="178"/>
        <v>866028.24456521741</v>
      </c>
      <c r="M351" s="29">
        <f t="shared" si="178"/>
        <v>0</v>
      </c>
      <c r="N351" s="29">
        <f t="shared" si="178"/>
        <v>1038570.597826087</v>
      </c>
      <c r="O351" s="29">
        <f t="shared" si="178"/>
        <v>1038570.597826087</v>
      </c>
      <c r="P351" s="29">
        <f t="shared" si="178"/>
        <v>1038570.597826087</v>
      </c>
      <c r="Q351" s="29">
        <f t="shared" si="178"/>
        <v>112266.3043478261</v>
      </c>
      <c r="R351" s="29">
        <f t="shared" si="178"/>
        <v>112266.3043478261</v>
      </c>
      <c r="S351" s="29">
        <f t="shared" si="178"/>
        <v>112266.3043478261</v>
      </c>
      <c r="T351" s="29">
        <f t="shared" si="178"/>
        <v>112266.3043478261</v>
      </c>
      <c r="U351" s="29">
        <f t="shared" si="178"/>
        <v>112266.3043478261</v>
      </c>
      <c r="V351" s="29">
        <f t="shared" si="178"/>
        <v>112266.3043478261</v>
      </c>
      <c r="W351" s="29">
        <f t="shared" si="178"/>
        <v>19402173.91304348</v>
      </c>
      <c r="X351" s="29">
        <f t="shared" si="172"/>
        <v>19402173.91304348</v>
      </c>
      <c r="Y351" s="29">
        <f t="shared" si="172"/>
        <v>19402173.91304348</v>
      </c>
    </row>
    <row r="352" spans="1:25" outlineLevel="1" x14ac:dyDescent="0.3">
      <c r="A352" t="s">
        <v>165</v>
      </c>
      <c r="B352" t="s">
        <v>71</v>
      </c>
      <c r="C352" s="6" t="s">
        <v>147</v>
      </c>
      <c r="D352" t="s">
        <v>48</v>
      </c>
      <c r="E352" s="29">
        <f t="shared" ref="E352:W352" si="179">E155/SummerWeekendDays</f>
        <v>0</v>
      </c>
      <c r="F352" s="29">
        <f t="shared" si="179"/>
        <v>410340.76086956525</v>
      </c>
      <c r="G352" s="29">
        <f t="shared" si="179"/>
        <v>0</v>
      </c>
      <c r="H352" s="29">
        <f t="shared" si="179"/>
        <v>1029201.6684782609</v>
      </c>
      <c r="I352" s="29">
        <f t="shared" si="179"/>
        <v>1029201.6684782609</v>
      </c>
      <c r="J352" s="29">
        <f t="shared" si="179"/>
        <v>1029201.6684782609</v>
      </c>
      <c r="K352" s="29">
        <f t="shared" si="179"/>
        <v>57228.157608695656</v>
      </c>
      <c r="L352" s="29">
        <f t="shared" si="179"/>
        <v>991857.50543478259</v>
      </c>
      <c r="M352" s="29">
        <f t="shared" si="179"/>
        <v>0</v>
      </c>
      <c r="N352" s="29">
        <f t="shared" si="179"/>
        <v>1029201.6684782609</v>
      </c>
      <c r="O352" s="29">
        <f t="shared" si="179"/>
        <v>1029201.6684782609</v>
      </c>
      <c r="P352" s="29">
        <f t="shared" si="179"/>
        <v>1029201.6684782609</v>
      </c>
      <c r="Q352" s="29">
        <f t="shared" si="179"/>
        <v>144945.65217391305</v>
      </c>
      <c r="R352" s="29">
        <f t="shared" si="179"/>
        <v>144945.65217391305</v>
      </c>
      <c r="S352" s="29">
        <f t="shared" si="179"/>
        <v>144945.65217391305</v>
      </c>
      <c r="T352" s="29">
        <f t="shared" si="179"/>
        <v>144945.65217391305</v>
      </c>
      <c r="U352" s="29">
        <f t="shared" si="179"/>
        <v>144945.65217391305</v>
      </c>
      <c r="V352" s="29">
        <f t="shared" si="179"/>
        <v>144945.65217391305</v>
      </c>
      <c r="W352" s="29">
        <f t="shared" si="179"/>
        <v>19440217.391304348</v>
      </c>
      <c r="X352" s="29">
        <f t="shared" si="172"/>
        <v>19440217.391304348</v>
      </c>
      <c r="Y352" s="29">
        <f t="shared" si="172"/>
        <v>19440217.391304348</v>
      </c>
    </row>
    <row r="353" spans="1:25" outlineLevel="1" x14ac:dyDescent="0.3">
      <c r="A353" t="s">
        <v>165</v>
      </c>
      <c r="B353" t="s">
        <v>72</v>
      </c>
      <c r="C353" s="6" t="s">
        <v>148</v>
      </c>
      <c r="D353" t="s">
        <v>48</v>
      </c>
      <c r="E353" s="29">
        <f t="shared" ref="E353:W353" si="180">E156/SummerWeekendDays</f>
        <v>0</v>
      </c>
      <c r="F353" s="29">
        <f t="shared" si="180"/>
        <v>470028.77173913043</v>
      </c>
      <c r="G353" s="29">
        <f t="shared" si="180"/>
        <v>0</v>
      </c>
      <c r="H353" s="29">
        <f t="shared" si="180"/>
        <v>1255434.7826086958</v>
      </c>
      <c r="I353" s="29">
        <f t="shared" si="180"/>
        <v>1255434.7826086958</v>
      </c>
      <c r="J353" s="29">
        <f t="shared" si="180"/>
        <v>1255434.7826086958</v>
      </c>
      <c r="K353" s="29">
        <f t="shared" si="180"/>
        <v>46248.353260869568</v>
      </c>
      <c r="L353" s="29">
        <f t="shared" si="180"/>
        <v>1156521.7391304348</v>
      </c>
      <c r="M353" s="29">
        <f t="shared" si="180"/>
        <v>0</v>
      </c>
      <c r="N353" s="29">
        <f t="shared" si="180"/>
        <v>1255434.7826086958</v>
      </c>
      <c r="O353" s="29">
        <f t="shared" si="180"/>
        <v>1255434.7826086958</v>
      </c>
      <c r="P353" s="29">
        <f t="shared" si="180"/>
        <v>1255434.7826086958</v>
      </c>
      <c r="Q353" s="29">
        <f t="shared" si="180"/>
        <v>166630.4347826087</v>
      </c>
      <c r="R353" s="29">
        <f t="shared" si="180"/>
        <v>166630.4347826087</v>
      </c>
      <c r="S353" s="29">
        <f t="shared" si="180"/>
        <v>166630.4347826087</v>
      </c>
      <c r="T353" s="29">
        <f t="shared" si="180"/>
        <v>166630.4347826087</v>
      </c>
      <c r="U353" s="29">
        <f t="shared" si="180"/>
        <v>166630.4347826087</v>
      </c>
      <c r="V353" s="29">
        <f t="shared" si="180"/>
        <v>166630.4347826087</v>
      </c>
      <c r="W353" s="29">
        <f t="shared" si="180"/>
        <v>19402173.91304348</v>
      </c>
      <c r="X353" s="29">
        <f t="shared" si="172"/>
        <v>19402173.91304348</v>
      </c>
      <c r="Y353" s="29">
        <f t="shared" si="172"/>
        <v>19402173.91304348</v>
      </c>
    </row>
    <row r="354" spans="1:25" outlineLevel="1" x14ac:dyDescent="0.3">
      <c r="A354" t="s">
        <v>165</v>
      </c>
      <c r="B354" t="s">
        <v>73</v>
      </c>
      <c r="C354" s="6" t="s">
        <v>149</v>
      </c>
      <c r="D354" t="s">
        <v>48</v>
      </c>
      <c r="E354" s="29">
        <f t="shared" ref="E354:W354" si="181">E157/SummerWeekendDays</f>
        <v>0</v>
      </c>
      <c r="F354" s="29">
        <f t="shared" si="181"/>
        <v>513579.3097826087</v>
      </c>
      <c r="G354" s="29">
        <f t="shared" si="181"/>
        <v>0</v>
      </c>
      <c r="H354" s="29">
        <f t="shared" si="181"/>
        <v>1301086.9565217393</v>
      </c>
      <c r="I354" s="29">
        <f t="shared" si="181"/>
        <v>1301086.9565217393</v>
      </c>
      <c r="J354" s="29">
        <f t="shared" si="181"/>
        <v>1301086.9565217393</v>
      </c>
      <c r="K354" s="29">
        <f t="shared" si="181"/>
        <v>38521.875</v>
      </c>
      <c r="L354" s="29">
        <f t="shared" si="181"/>
        <v>1320108.6956521741</v>
      </c>
      <c r="M354" s="29">
        <f t="shared" si="181"/>
        <v>0</v>
      </c>
      <c r="N354" s="29">
        <f t="shared" si="181"/>
        <v>1301086.9565217393</v>
      </c>
      <c r="O354" s="29">
        <f t="shared" si="181"/>
        <v>1301086.9565217393</v>
      </c>
      <c r="P354" s="29">
        <f t="shared" si="181"/>
        <v>1301086.9565217393</v>
      </c>
      <c r="Q354" s="29">
        <f t="shared" si="181"/>
        <v>181467.39130434784</v>
      </c>
      <c r="R354" s="29">
        <f t="shared" si="181"/>
        <v>181467.39130434784</v>
      </c>
      <c r="S354" s="29">
        <f t="shared" si="181"/>
        <v>181467.39130434784</v>
      </c>
      <c r="T354" s="29">
        <f t="shared" si="181"/>
        <v>181467.39130434784</v>
      </c>
      <c r="U354" s="29">
        <f t="shared" si="181"/>
        <v>181467.39130434784</v>
      </c>
      <c r="V354" s="29">
        <f t="shared" si="181"/>
        <v>181467.39130434784</v>
      </c>
      <c r="W354" s="29">
        <f t="shared" si="181"/>
        <v>19364130.434782609</v>
      </c>
      <c r="X354" s="29">
        <f t="shared" si="172"/>
        <v>19364130.434782609</v>
      </c>
      <c r="Y354" s="29">
        <f t="shared" si="172"/>
        <v>19364130.434782609</v>
      </c>
    </row>
    <row r="355" spans="1:25" outlineLevel="1" x14ac:dyDescent="0.3">
      <c r="A355" t="s">
        <v>165</v>
      </c>
      <c r="B355" t="s">
        <v>74</v>
      </c>
      <c r="C355" s="6" t="s">
        <v>150</v>
      </c>
      <c r="D355" t="s">
        <v>48</v>
      </c>
      <c r="E355" s="29">
        <f t="shared" ref="E355:W355" si="182">E158/SummerWeekendDays</f>
        <v>0</v>
      </c>
      <c r="F355" s="29">
        <f t="shared" si="182"/>
        <v>583719.00543478259</v>
      </c>
      <c r="G355" s="29">
        <f t="shared" si="182"/>
        <v>0</v>
      </c>
      <c r="H355" s="29">
        <f t="shared" si="182"/>
        <v>1308695.6521739131</v>
      </c>
      <c r="I355" s="29">
        <f t="shared" si="182"/>
        <v>1308695.6521739131</v>
      </c>
      <c r="J355" s="29">
        <f t="shared" si="182"/>
        <v>1308695.6521739131</v>
      </c>
      <c r="K355" s="29">
        <f t="shared" si="182"/>
        <v>33453.913043478264</v>
      </c>
      <c r="L355" s="29">
        <f t="shared" si="182"/>
        <v>1464673.9130434783</v>
      </c>
      <c r="M355" s="29">
        <f t="shared" si="182"/>
        <v>0</v>
      </c>
      <c r="N355" s="29">
        <f t="shared" si="182"/>
        <v>1308695.6521739131</v>
      </c>
      <c r="O355" s="29">
        <f t="shared" si="182"/>
        <v>1308695.6521739131</v>
      </c>
      <c r="P355" s="29">
        <f t="shared" si="182"/>
        <v>1308695.6521739131</v>
      </c>
      <c r="Q355" s="29">
        <f t="shared" si="182"/>
        <v>188695.65217391305</v>
      </c>
      <c r="R355" s="29">
        <f t="shared" si="182"/>
        <v>188695.65217391305</v>
      </c>
      <c r="S355" s="29">
        <f t="shared" si="182"/>
        <v>188695.65217391305</v>
      </c>
      <c r="T355" s="29">
        <f t="shared" si="182"/>
        <v>188695.65217391305</v>
      </c>
      <c r="U355" s="29">
        <f t="shared" si="182"/>
        <v>188695.65217391305</v>
      </c>
      <c r="V355" s="29">
        <f t="shared" si="182"/>
        <v>188695.65217391305</v>
      </c>
      <c r="W355" s="29">
        <f t="shared" si="182"/>
        <v>19364130.434782609</v>
      </c>
      <c r="X355" s="29">
        <f t="shared" si="172"/>
        <v>19364130.434782609</v>
      </c>
      <c r="Y355" s="29">
        <f t="shared" si="172"/>
        <v>19364130.434782609</v>
      </c>
    </row>
    <row r="356" spans="1:25" outlineLevel="1" x14ac:dyDescent="0.3">
      <c r="A356" t="s">
        <v>165</v>
      </c>
      <c r="B356" t="s">
        <v>75</v>
      </c>
      <c r="C356" s="6" t="s">
        <v>151</v>
      </c>
      <c r="D356" t="s">
        <v>48</v>
      </c>
      <c r="E356" s="29">
        <f t="shared" ref="E356:W356" si="183">E159/SummerWeekendDays</f>
        <v>0</v>
      </c>
      <c r="F356" s="29">
        <f t="shared" si="183"/>
        <v>697879.95108695654</v>
      </c>
      <c r="G356" s="29">
        <f t="shared" si="183"/>
        <v>0</v>
      </c>
      <c r="H356" s="29">
        <f t="shared" si="183"/>
        <v>1388586.9565217393</v>
      </c>
      <c r="I356" s="29">
        <f t="shared" si="183"/>
        <v>1388586.9565217393</v>
      </c>
      <c r="J356" s="29">
        <f t="shared" si="183"/>
        <v>1388586.9565217393</v>
      </c>
      <c r="K356" s="29">
        <f t="shared" si="183"/>
        <v>30317.608695652176</v>
      </c>
      <c r="L356" s="29">
        <f t="shared" si="183"/>
        <v>1586413.043478261</v>
      </c>
      <c r="M356" s="29">
        <f t="shared" si="183"/>
        <v>0</v>
      </c>
      <c r="N356" s="29">
        <f t="shared" si="183"/>
        <v>1388586.9565217393</v>
      </c>
      <c r="O356" s="29">
        <f t="shared" si="183"/>
        <v>1388586.9565217393</v>
      </c>
      <c r="P356" s="29">
        <f t="shared" si="183"/>
        <v>1388586.9565217393</v>
      </c>
      <c r="Q356" s="29">
        <f t="shared" si="183"/>
        <v>189836.95652173914</v>
      </c>
      <c r="R356" s="29">
        <f t="shared" si="183"/>
        <v>189836.95652173914</v>
      </c>
      <c r="S356" s="29">
        <f t="shared" si="183"/>
        <v>189836.95652173914</v>
      </c>
      <c r="T356" s="29">
        <f t="shared" si="183"/>
        <v>189836.95652173914</v>
      </c>
      <c r="U356" s="29">
        <f t="shared" si="183"/>
        <v>189836.95652173914</v>
      </c>
      <c r="V356" s="29">
        <f t="shared" si="183"/>
        <v>189836.95652173914</v>
      </c>
      <c r="W356" s="29">
        <f t="shared" si="183"/>
        <v>19288043.478260871</v>
      </c>
      <c r="X356" s="29">
        <f t="shared" si="172"/>
        <v>19288043.478260871</v>
      </c>
      <c r="Y356" s="29">
        <f t="shared" si="172"/>
        <v>19288043.478260871</v>
      </c>
    </row>
    <row r="357" spans="1:25" outlineLevel="1" x14ac:dyDescent="0.3">
      <c r="A357" t="s">
        <v>165</v>
      </c>
      <c r="B357" t="s">
        <v>76</v>
      </c>
      <c r="C357" s="6" t="s">
        <v>152</v>
      </c>
      <c r="D357" t="s">
        <v>48</v>
      </c>
      <c r="E357" s="29">
        <f t="shared" ref="E357:W357" si="184">E160/SummerWeekendDays</f>
        <v>0</v>
      </c>
      <c r="F357" s="29">
        <f t="shared" si="184"/>
        <v>802815.84782608703</v>
      </c>
      <c r="G357" s="29">
        <f t="shared" si="184"/>
        <v>0</v>
      </c>
      <c r="H357" s="29">
        <f t="shared" si="184"/>
        <v>1438043.4782608696</v>
      </c>
      <c r="I357" s="29">
        <f t="shared" si="184"/>
        <v>1438043.4782608696</v>
      </c>
      <c r="J357" s="29">
        <f t="shared" si="184"/>
        <v>1438043.4782608696</v>
      </c>
      <c r="K357" s="29">
        <f t="shared" si="184"/>
        <v>27954.119565217392</v>
      </c>
      <c r="L357" s="29">
        <f t="shared" si="184"/>
        <v>1677717.3913043479</v>
      </c>
      <c r="M357" s="29">
        <f t="shared" si="184"/>
        <v>0</v>
      </c>
      <c r="N357" s="29">
        <f t="shared" si="184"/>
        <v>1438043.4782608696</v>
      </c>
      <c r="O357" s="29">
        <f t="shared" si="184"/>
        <v>1438043.4782608696</v>
      </c>
      <c r="P357" s="29">
        <f t="shared" si="184"/>
        <v>1438043.4782608696</v>
      </c>
      <c r="Q357" s="29">
        <f t="shared" si="184"/>
        <v>183750</v>
      </c>
      <c r="R357" s="29">
        <f t="shared" si="184"/>
        <v>183750</v>
      </c>
      <c r="S357" s="29">
        <f t="shared" si="184"/>
        <v>183750</v>
      </c>
      <c r="T357" s="29">
        <f t="shared" si="184"/>
        <v>183750</v>
      </c>
      <c r="U357" s="29">
        <f t="shared" si="184"/>
        <v>183750</v>
      </c>
      <c r="V357" s="29">
        <f t="shared" si="184"/>
        <v>183750</v>
      </c>
      <c r="W357" s="29">
        <f t="shared" si="184"/>
        <v>19288043.478260871</v>
      </c>
      <c r="X357" s="29">
        <f t="shared" si="172"/>
        <v>19288043.478260871</v>
      </c>
      <c r="Y357" s="29">
        <f t="shared" si="172"/>
        <v>19288043.478260871</v>
      </c>
    </row>
    <row r="358" spans="1:25" outlineLevel="1" x14ac:dyDescent="0.3">
      <c r="A358" t="s">
        <v>165</v>
      </c>
      <c r="B358" t="s">
        <v>77</v>
      </c>
      <c r="C358" s="6" t="s">
        <v>153</v>
      </c>
      <c r="D358" t="s">
        <v>48</v>
      </c>
      <c r="E358" s="29">
        <f t="shared" ref="E358:W358" si="185">E161/SummerWeekendDays</f>
        <v>0</v>
      </c>
      <c r="F358" s="29">
        <f t="shared" si="185"/>
        <v>858094.46739130444</v>
      </c>
      <c r="G358" s="29">
        <f t="shared" si="185"/>
        <v>0</v>
      </c>
      <c r="H358" s="29">
        <f t="shared" si="185"/>
        <v>1438043.4782608696</v>
      </c>
      <c r="I358" s="29">
        <f t="shared" si="185"/>
        <v>1438043.4782608696</v>
      </c>
      <c r="J358" s="29">
        <f t="shared" si="185"/>
        <v>1438043.4782608696</v>
      </c>
      <c r="K358" s="29">
        <f t="shared" si="185"/>
        <v>26241.326086956524</v>
      </c>
      <c r="L358" s="29">
        <f t="shared" si="185"/>
        <v>1727173.9130434783</v>
      </c>
      <c r="M358" s="29">
        <f t="shared" si="185"/>
        <v>0</v>
      </c>
      <c r="N358" s="29">
        <f t="shared" si="185"/>
        <v>1438043.4782608696</v>
      </c>
      <c r="O358" s="29">
        <f t="shared" si="185"/>
        <v>1438043.4782608696</v>
      </c>
      <c r="P358" s="29">
        <f t="shared" si="185"/>
        <v>1438043.4782608696</v>
      </c>
      <c r="Q358" s="29">
        <f t="shared" si="185"/>
        <v>170434.78260869565</v>
      </c>
      <c r="R358" s="29">
        <f t="shared" si="185"/>
        <v>170434.78260869565</v>
      </c>
      <c r="S358" s="29">
        <f t="shared" si="185"/>
        <v>170434.78260869565</v>
      </c>
      <c r="T358" s="29">
        <f t="shared" si="185"/>
        <v>170434.78260869565</v>
      </c>
      <c r="U358" s="29">
        <f t="shared" si="185"/>
        <v>170434.78260869565</v>
      </c>
      <c r="V358" s="29">
        <f t="shared" si="185"/>
        <v>170434.78260869565</v>
      </c>
      <c r="W358" s="29">
        <f t="shared" si="185"/>
        <v>19288043.478260871</v>
      </c>
      <c r="X358" s="29">
        <f t="shared" si="172"/>
        <v>19288043.478260871</v>
      </c>
      <c r="Y358" s="29">
        <f t="shared" si="172"/>
        <v>19288043.478260871</v>
      </c>
    </row>
    <row r="359" spans="1:25" outlineLevel="1" x14ac:dyDescent="0.3">
      <c r="A359" t="s">
        <v>165</v>
      </c>
      <c r="B359" t="s">
        <v>78</v>
      </c>
      <c r="C359" s="6" t="s">
        <v>154</v>
      </c>
      <c r="D359" t="s">
        <v>48</v>
      </c>
      <c r="E359" s="29">
        <f t="shared" ref="E359:W359" si="186">E162/SummerWeekendDays</f>
        <v>0</v>
      </c>
      <c r="F359" s="29">
        <f t="shared" si="186"/>
        <v>872465.54347826086</v>
      </c>
      <c r="G359" s="29">
        <f t="shared" si="186"/>
        <v>0</v>
      </c>
      <c r="H359" s="29">
        <f t="shared" si="186"/>
        <v>1419021.7391304348</v>
      </c>
      <c r="I359" s="29">
        <f t="shared" si="186"/>
        <v>1419021.7391304348</v>
      </c>
      <c r="J359" s="29">
        <f t="shared" si="186"/>
        <v>1419021.7391304348</v>
      </c>
      <c r="K359" s="29">
        <f t="shared" si="186"/>
        <v>25007.652173913044</v>
      </c>
      <c r="L359" s="29">
        <f t="shared" si="186"/>
        <v>1750000</v>
      </c>
      <c r="M359" s="29">
        <f t="shared" si="186"/>
        <v>0</v>
      </c>
      <c r="N359" s="29">
        <f t="shared" si="186"/>
        <v>1419021.7391304348</v>
      </c>
      <c r="O359" s="29">
        <f t="shared" si="186"/>
        <v>1419021.7391304348</v>
      </c>
      <c r="P359" s="29">
        <f t="shared" si="186"/>
        <v>1419021.7391304348</v>
      </c>
      <c r="Q359" s="29">
        <f t="shared" si="186"/>
        <v>170054.34782608697</v>
      </c>
      <c r="R359" s="29">
        <f t="shared" si="186"/>
        <v>170054.34782608697</v>
      </c>
      <c r="S359" s="29">
        <f t="shared" si="186"/>
        <v>170054.34782608697</v>
      </c>
      <c r="T359" s="29">
        <f t="shared" si="186"/>
        <v>170054.34782608697</v>
      </c>
      <c r="U359" s="29">
        <f t="shared" si="186"/>
        <v>170054.34782608697</v>
      </c>
      <c r="V359" s="29">
        <f t="shared" si="186"/>
        <v>170054.34782608697</v>
      </c>
      <c r="W359" s="29">
        <f t="shared" si="186"/>
        <v>19364130.434782609</v>
      </c>
      <c r="X359" s="29">
        <f t="shared" si="172"/>
        <v>19364130.434782609</v>
      </c>
      <c r="Y359" s="29">
        <f t="shared" si="172"/>
        <v>19364130.434782609</v>
      </c>
    </row>
    <row r="360" spans="1:25" outlineLevel="1" x14ac:dyDescent="0.3">
      <c r="A360" t="s">
        <v>165</v>
      </c>
      <c r="B360" t="s">
        <v>79</v>
      </c>
      <c r="C360" s="6" t="s">
        <v>155</v>
      </c>
      <c r="D360" t="s">
        <v>48</v>
      </c>
      <c r="E360" s="29">
        <f t="shared" ref="E360:W360" si="187">E163/SummerWeekendDays</f>
        <v>0</v>
      </c>
      <c r="F360" s="29">
        <f t="shared" si="187"/>
        <v>853567.06521739135</v>
      </c>
      <c r="G360" s="29">
        <f t="shared" si="187"/>
        <v>0</v>
      </c>
      <c r="H360" s="29">
        <f t="shared" si="187"/>
        <v>1426630.4347826086</v>
      </c>
      <c r="I360" s="29">
        <f t="shared" si="187"/>
        <v>1426630.4347826086</v>
      </c>
      <c r="J360" s="29">
        <f t="shared" si="187"/>
        <v>1426630.4347826086</v>
      </c>
      <c r="K360" s="29">
        <f t="shared" si="187"/>
        <v>21179.29891304348</v>
      </c>
      <c r="L360" s="29">
        <f t="shared" si="187"/>
        <v>1727173.9130434783</v>
      </c>
      <c r="M360" s="29">
        <f t="shared" si="187"/>
        <v>0</v>
      </c>
      <c r="N360" s="29">
        <f t="shared" si="187"/>
        <v>1426630.4347826086</v>
      </c>
      <c r="O360" s="29">
        <f t="shared" si="187"/>
        <v>1426630.4347826086</v>
      </c>
      <c r="P360" s="29">
        <f t="shared" si="187"/>
        <v>1426630.4347826086</v>
      </c>
      <c r="Q360" s="29">
        <f t="shared" si="187"/>
        <v>169673.91304347827</v>
      </c>
      <c r="R360" s="29">
        <f t="shared" si="187"/>
        <v>169673.91304347827</v>
      </c>
      <c r="S360" s="29">
        <f t="shared" si="187"/>
        <v>169673.91304347827</v>
      </c>
      <c r="T360" s="29">
        <f t="shared" si="187"/>
        <v>169673.91304347827</v>
      </c>
      <c r="U360" s="29">
        <f t="shared" si="187"/>
        <v>169673.91304347827</v>
      </c>
      <c r="V360" s="29">
        <f t="shared" si="187"/>
        <v>169673.91304347827</v>
      </c>
      <c r="W360" s="29">
        <f t="shared" si="187"/>
        <v>19478260.869565219</v>
      </c>
      <c r="X360" s="29">
        <f t="shared" si="172"/>
        <v>19478260.869565219</v>
      </c>
      <c r="Y360" s="29">
        <f t="shared" si="172"/>
        <v>19478260.869565219</v>
      </c>
    </row>
    <row r="361" spans="1:25" outlineLevel="1" x14ac:dyDescent="0.3">
      <c r="A361" t="s">
        <v>165</v>
      </c>
      <c r="B361" t="s">
        <v>80</v>
      </c>
      <c r="C361" s="6" t="s">
        <v>156</v>
      </c>
      <c r="D361" t="s">
        <v>48</v>
      </c>
      <c r="E361" s="29">
        <f t="shared" ref="E361:W361" si="188">E164/SummerWeekendDays</f>
        <v>0</v>
      </c>
      <c r="F361" s="29">
        <f t="shared" si="188"/>
        <v>812501.67934782617</v>
      </c>
      <c r="G361" s="29">
        <f t="shared" si="188"/>
        <v>0</v>
      </c>
      <c r="H361" s="29">
        <f t="shared" si="188"/>
        <v>1460869.5652173914</v>
      </c>
      <c r="I361" s="29">
        <f t="shared" si="188"/>
        <v>1460869.5652173914</v>
      </c>
      <c r="J361" s="29">
        <f t="shared" si="188"/>
        <v>1460869.5652173914</v>
      </c>
      <c r="K361" s="29">
        <f t="shared" si="188"/>
        <v>20918.092391304348</v>
      </c>
      <c r="L361" s="29">
        <f t="shared" si="188"/>
        <v>1670108.6956521741</v>
      </c>
      <c r="M361" s="29">
        <f t="shared" si="188"/>
        <v>0</v>
      </c>
      <c r="N361" s="29">
        <f t="shared" si="188"/>
        <v>1460869.5652173914</v>
      </c>
      <c r="O361" s="29">
        <f t="shared" si="188"/>
        <v>1460869.5652173914</v>
      </c>
      <c r="P361" s="29">
        <f t="shared" si="188"/>
        <v>1460869.5652173914</v>
      </c>
      <c r="Q361" s="29">
        <f t="shared" si="188"/>
        <v>201630.4347826087</v>
      </c>
      <c r="R361" s="29">
        <f t="shared" si="188"/>
        <v>201630.4347826087</v>
      </c>
      <c r="S361" s="29">
        <f t="shared" si="188"/>
        <v>201630.4347826087</v>
      </c>
      <c r="T361" s="29">
        <f t="shared" si="188"/>
        <v>201630.4347826087</v>
      </c>
      <c r="U361" s="29">
        <f t="shared" si="188"/>
        <v>201630.4347826087</v>
      </c>
      <c r="V361" s="29">
        <f t="shared" si="188"/>
        <v>201630.4347826087</v>
      </c>
      <c r="W361" s="29">
        <f t="shared" si="188"/>
        <v>19592391.304347828</v>
      </c>
      <c r="X361" s="29">
        <f t="shared" si="172"/>
        <v>19592391.304347828</v>
      </c>
      <c r="Y361" s="29">
        <f t="shared" si="172"/>
        <v>19592391.304347828</v>
      </c>
    </row>
    <row r="362" spans="1:25" outlineLevel="1" x14ac:dyDescent="0.3">
      <c r="A362" t="s">
        <v>165</v>
      </c>
      <c r="B362" t="s">
        <v>81</v>
      </c>
      <c r="C362" s="6" t="s">
        <v>157</v>
      </c>
      <c r="D362" t="s">
        <v>48</v>
      </c>
      <c r="E362" s="29">
        <f t="shared" ref="E362:W362" si="189">E165/SummerWeekendDays</f>
        <v>0</v>
      </c>
      <c r="F362" s="29">
        <f t="shared" si="189"/>
        <v>765554.3913043479</v>
      </c>
      <c r="G362" s="29">
        <f t="shared" si="189"/>
        <v>0</v>
      </c>
      <c r="H362" s="29">
        <f t="shared" si="189"/>
        <v>2389130.4347826089</v>
      </c>
      <c r="I362" s="29">
        <f t="shared" si="189"/>
        <v>2389130.4347826089</v>
      </c>
      <c r="J362" s="29">
        <f t="shared" si="189"/>
        <v>2389130.4347826089</v>
      </c>
      <c r="K362" s="29">
        <f t="shared" si="189"/>
        <v>22542.320652173912</v>
      </c>
      <c r="L362" s="29">
        <f t="shared" si="189"/>
        <v>1563586.9565217393</v>
      </c>
      <c r="M362" s="29">
        <f t="shared" si="189"/>
        <v>0</v>
      </c>
      <c r="N362" s="29">
        <f t="shared" si="189"/>
        <v>2389130.4347826089</v>
      </c>
      <c r="O362" s="29">
        <f t="shared" si="189"/>
        <v>2389130.4347826089</v>
      </c>
      <c r="P362" s="29">
        <f t="shared" si="189"/>
        <v>2389130.4347826089</v>
      </c>
      <c r="Q362" s="29">
        <f t="shared" si="189"/>
        <v>201630.4347826087</v>
      </c>
      <c r="R362" s="29">
        <f t="shared" si="189"/>
        <v>201630.4347826087</v>
      </c>
      <c r="S362" s="29">
        <f t="shared" si="189"/>
        <v>201630.4347826087</v>
      </c>
      <c r="T362" s="29">
        <f t="shared" si="189"/>
        <v>201630.4347826087</v>
      </c>
      <c r="U362" s="29">
        <f t="shared" si="189"/>
        <v>201630.4347826087</v>
      </c>
      <c r="V362" s="29">
        <f t="shared" si="189"/>
        <v>201630.4347826087</v>
      </c>
      <c r="W362" s="29">
        <f t="shared" si="189"/>
        <v>19630434.782608695</v>
      </c>
      <c r="X362" s="29">
        <f t="shared" si="172"/>
        <v>19630434.782608695</v>
      </c>
      <c r="Y362" s="29">
        <f t="shared" si="172"/>
        <v>19630434.782608695</v>
      </c>
    </row>
    <row r="363" spans="1:25" outlineLevel="1" x14ac:dyDescent="0.3">
      <c r="A363" t="s">
        <v>165</v>
      </c>
      <c r="B363" t="s">
        <v>82</v>
      </c>
      <c r="C363" s="6" t="s">
        <v>158</v>
      </c>
      <c r="D363" t="s">
        <v>48</v>
      </c>
      <c r="E363" s="29">
        <f t="shared" ref="E363:W363" si="190">E166/SummerWeekendDays</f>
        <v>0</v>
      </c>
      <c r="F363" s="29">
        <f t="shared" si="190"/>
        <v>703183.13586956519</v>
      </c>
      <c r="G363" s="29">
        <f t="shared" si="190"/>
        <v>0</v>
      </c>
      <c r="H363" s="29">
        <f t="shared" si="190"/>
        <v>5402173.9130434785</v>
      </c>
      <c r="I363" s="29">
        <f t="shared" si="190"/>
        <v>5402173.9130434785</v>
      </c>
      <c r="J363" s="29">
        <f t="shared" si="190"/>
        <v>5402173.9130434785</v>
      </c>
      <c r="K363" s="29">
        <f t="shared" si="190"/>
        <v>26257.684782608696</v>
      </c>
      <c r="L363" s="29">
        <f t="shared" si="190"/>
        <v>1434239.1304347827</v>
      </c>
      <c r="M363" s="29">
        <f t="shared" si="190"/>
        <v>0</v>
      </c>
      <c r="N363" s="29">
        <f t="shared" si="190"/>
        <v>5402173.9130434785</v>
      </c>
      <c r="O363" s="29">
        <f t="shared" si="190"/>
        <v>5402173.9130434785</v>
      </c>
      <c r="P363" s="29">
        <f t="shared" si="190"/>
        <v>5402173.9130434785</v>
      </c>
      <c r="Q363" s="29">
        <f t="shared" si="190"/>
        <v>201250</v>
      </c>
      <c r="R363" s="29">
        <f t="shared" si="190"/>
        <v>201250</v>
      </c>
      <c r="S363" s="29">
        <f t="shared" si="190"/>
        <v>201250</v>
      </c>
      <c r="T363" s="29">
        <f t="shared" si="190"/>
        <v>201250</v>
      </c>
      <c r="U363" s="29">
        <f t="shared" si="190"/>
        <v>201250</v>
      </c>
      <c r="V363" s="29">
        <f t="shared" si="190"/>
        <v>201250</v>
      </c>
      <c r="W363" s="29">
        <f t="shared" si="190"/>
        <v>19592391.304347828</v>
      </c>
      <c r="X363" s="29">
        <f t="shared" si="172"/>
        <v>19592391.304347828</v>
      </c>
      <c r="Y363" s="29">
        <f t="shared" si="172"/>
        <v>19592391.304347828</v>
      </c>
    </row>
    <row r="364" spans="1:25" outlineLevel="1" x14ac:dyDescent="0.3">
      <c r="A364" t="s">
        <v>165</v>
      </c>
      <c r="B364" t="s">
        <v>83</v>
      </c>
      <c r="C364" s="6" t="s">
        <v>159</v>
      </c>
      <c r="D364" t="s">
        <v>48</v>
      </c>
      <c r="E364" s="29">
        <f t="shared" ref="E364:W364" si="191">E167/SummerWeekendDays</f>
        <v>0</v>
      </c>
      <c r="F364" s="29">
        <f t="shared" si="191"/>
        <v>613496.43478260876</v>
      </c>
      <c r="G364" s="29">
        <f t="shared" si="191"/>
        <v>0</v>
      </c>
      <c r="H364" s="29">
        <f t="shared" si="191"/>
        <v>5660869.5652173916</v>
      </c>
      <c r="I364" s="29">
        <f t="shared" si="191"/>
        <v>5660869.5652173916</v>
      </c>
      <c r="J364" s="29">
        <f t="shared" si="191"/>
        <v>5660869.5652173916</v>
      </c>
      <c r="K364" s="29">
        <f t="shared" si="191"/>
        <v>28997.347826086956</v>
      </c>
      <c r="L364" s="29">
        <f t="shared" si="191"/>
        <v>1285869.5652173914</v>
      </c>
      <c r="M364" s="29">
        <f t="shared" si="191"/>
        <v>0</v>
      </c>
      <c r="N364" s="29">
        <f t="shared" si="191"/>
        <v>5660869.5652173916</v>
      </c>
      <c r="O364" s="29">
        <f t="shared" si="191"/>
        <v>5660869.5652173916</v>
      </c>
      <c r="P364" s="29">
        <f t="shared" si="191"/>
        <v>5660869.5652173916</v>
      </c>
      <c r="Q364" s="29">
        <f t="shared" si="191"/>
        <v>200489.13043478262</v>
      </c>
      <c r="R364" s="29">
        <f t="shared" si="191"/>
        <v>200489.13043478262</v>
      </c>
      <c r="S364" s="29">
        <f t="shared" si="191"/>
        <v>200489.13043478262</v>
      </c>
      <c r="T364" s="29">
        <f t="shared" si="191"/>
        <v>200489.13043478262</v>
      </c>
      <c r="U364" s="29">
        <f t="shared" si="191"/>
        <v>200489.13043478262</v>
      </c>
      <c r="V364" s="29">
        <f t="shared" si="191"/>
        <v>200489.13043478262</v>
      </c>
      <c r="W364" s="29">
        <f t="shared" si="191"/>
        <v>19516304.347826086</v>
      </c>
      <c r="X364" s="29">
        <f t="shared" si="172"/>
        <v>19516304.347826086</v>
      </c>
      <c r="Y364" s="29">
        <f t="shared" si="172"/>
        <v>19516304.347826086</v>
      </c>
    </row>
    <row r="365" spans="1:25" outlineLevel="1" x14ac:dyDescent="0.3">
      <c r="A365" t="s">
        <v>165</v>
      </c>
      <c r="B365" t="s">
        <v>84</v>
      </c>
      <c r="C365" s="6" t="s">
        <v>160</v>
      </c>
      <c r="D365" t="s">
        <v>48</v>
      </c>
      <c r="E365" s="29">
        <f t="shared" ref="E365:W365" si="192">E168/SummerWeekendDays</f>
        <v>0</v>
      </c>
      <c r="F365" s="29">
        <f t="shared" si="192"/>
        <v>512367.625</v>
      </c>
      <c r="G365" s="29">
        <f t="shared" si="192"/>
        <v>0</v>
      </c>
      <c r="H365" s="29">
        <f t="shared" si="192"/>
        <v>5630434.7826086963</v>
      </c>
      <c r="I365" s="29">
        <f t="shared" si="192"/>
        <v>5630434.7826086963</v>
      </c>
      <c r="J365" s="29">
        <f t="shared" si="192"/>
        <v>5630434.7826086963</v>
      </c>
      <c r="K365" s="29">
        <f t="shared" si="192"/>
        <v>36626.663043478264</v>
      </c>
      <c r="L365" s="29">
        <f t="shared" si="192"/>
        <v>1145477.5271739131</v>
      </c>
      <c r="M365" s="29">
        <f t="shared" si="192"/>
        <v>0</v>
      </c>
      <c r="N365" s="29">
        <f t="shared" si="192"/>
        <v>5630434.7826086963</v>
      </c>
      <c r="O365" s="29">
        <f t="shared" si="192"/>
        <v>5630434.7826086963</v>
      </c>
      <c r="P365" s="29">
        <f t="shared" si="192"/>
        <v>5630434.7826086963</v>
      </c>
      <c r="Q365" s="29">
        <f t="shared" si="192"/>
        <v>199728.26086956522</v>
      </c>
      <c r="R365" s="29">
        <f t="shared" si="192"/>
        <v>199728.26086956522</v>
      </c>
      <c r="S365" s="29">
        <f t="shared" si="192"/>
        <v>199728.26086956522</v>
      </c>
      <c r="T365" s="29">
        <f t="shared" si="192"/>
        <v>199728.26086956522</v>
      </c>
      <c r="U365" s="29">
        <f t="shared" si="192"/>
        <v>199728.26086956522</v>
      </c>
      <c r="V365" s="29">
        <f t="shared" si="192"/>
        <v>199728.26086956522</v>
      </c>
      <c r="W365" s="29">
        <f t="shared" si="192"/>
        <v>19478260.869565219</v>
      </c>
      <c r="X365" s="29">
        <f t="shared" si="172"/>
        <v>19478260.869565219</v>
      </c>
      <c r="Y365" s="29">
        <f t="shared" si="172"/>
        <v>19478260.869565219</v>
      </c>
    </row>
    <row r="366" spans="1:25" outlineLevel="1" x14ac:dyDescent="0.3">
      <c r="A366" t="s">
        <v>165</v>
      </c>
      <c r="B366" t="s">
        <v>85</v>
      </c>
      <c r="C366" s="6" t="s">
        <v>161</v>
      </c>
      <c r="D366" t="s">
        <v>48</v>
      </c>
      <c r="E366" s="29">
        <f t="shared" ref="E366:W366" si="193">E169/SummerWeekendDays</f>
        <v>0</v>
      </c>
      <c r="F366" s="29">
        <f t="shared" si="193"/>
        <v>417123.38043478265</v>
      </c>
      <c r="G366" s="29">
        <f t="shared" si="193"/>
        <v>0</v>
      </c>
      <c r="H366" s="29">
        <f t="shared" si="193"/>
        <v>4656521.7391304346</v>
      </c>
      <c r="I366" s="29">
        <f t="shared" si="193"/>
        <v>4656521.7391304346</v>
      </c>
      <c r="J366" s="29">
        <f t="shared" si="193"/>
        <v>4656521.7391304346</v>
      </c>
      <c r="K366" s="29">
        <f t="shared" si="193"/>
        <v>38957.54891304348</v>
      </c>
      <c r="L366" s="29">
        <f t="shared" si="193"/>
        <v>1022225.6358695653</v>
      </c>
      <c r="M366" s="29">
        <f t="shared" si="193"/>
        <v>0</v>
      </c>
      <c r="N366" s="29">
        <f t="shared" si="193"/>
        <v>4656521.7391304346</v>
      </c>
      <c r="O366" s="29">
        <f t="shared" si="193"/>
        <v>4656521.7391304346</v>
      </c>
      <c r="P366" s="29">
        <f t="shared" si="193"/>
        <v>4656521.7391304346</v>
      </c>
      <c r="Q366" s="29">
        <f t="shared" si="193"/>
        <v>198586.95652173914</v>
      </c>
      <c r="R366" s="29">
        <f t="shared" si="193"/>
        <v>198586.95652173914</v>
      </c>
      <c r="S366" s="29">
        <f t="shared" si="193"/>
        <v>198586.95652173914</v>
      </c>
      <c r="T366" s="29">
        <f t="shared" si="193"/>
        <v>198586.95652173914</v>
      </c>
      <c r="U366" s="29">
        <f t="shared" si="193"/>
        <v>198586.95652173914</v>
      </c>
      <c r="V366" s="29">
        <f t="shared" si="193"/>
        <v>198586.95652173914</v>
      </c>
      <c r="W366" s="29">
        <f t="shared" si="193"/>
        <v>19364130.434782609</v>
      </c>
      <c r="X366" s="29">
        <f t="shared" si="172"/>
        <v>19364130.434782609</v>
      </c>
      <c r="Y366" s="29">
        <f t="shared" si="172"/>
        <v>19364130.434782609</v>
      </c>
    </row>
    <row r="367" spans="1:25" outlineLevel="1" x14ac:dyDescent="0.3">
      <c r="A367" t="s">
        <v>165</v>
      </c>
      <c r="B367" t="s">
        <v>86</v>
      </c>
      <c r="C367" s="6" t="s">
        <v>162</v>
      </c>
      <c r="D367" t="s">
        <v>48</v>
      </c>
      <c r="E367" s="29">
        <f t="shared" ref="E367:W367" si="194">E170/SummerWeekendDays</f>
        <v>0</v>
      </c>
      <c r="F367" s="29">
        <f t="shared" si="194"/>
        <v>335436.6902173913</v>
      </c>
      <c r="G367" s="29">
        <f t="shared" si="194"/>
        <v>0</v>
      </c>
      <c r="H367" s="29">
        <f t="shared" si="194"/>
        <v>3005434.7826086958</v>
      </c>
      <c r="I367" s="29">
        <f t="shared" si="194"/>
        <v>3005434.7826086958</v>
      </c>
      <c r="J367" s="29">
        <f t="shared" si="194"/>
        <v>3005434.7826086958</v>
      </c>
      <c r="K367" s="29">
        <f t="shared" si="194"/>
        <v>41952.864130434784</v>
      </c>
      <c r="L367" s="29">
        <f t="shared" si="194"/>
        <v>915914.08695652173</v>
      </c>
      <c r="M367" s="29">
        <f t="shared" si="194"/>
        <v>0</v>
      </c>
      <c r="N367" s="29">
        <f t="shared" si="194"/>
        <v>3005434.7826086958</v>
      </c>
      <c r="O367" s="29">
        <f t="shared" si="194"/>
        <v>3005434.7826086958</v>
      </c>
      <c r="P367" s="29">
        <f t="shared" si="194"/>
        <v>3005434.7826086958</v>
      </c>
      <c r="Q367" s="29">
        <f t="shared" si="194"/>
        <v>198206.52173913043</v>
      </c>
      <c r="R367" s="29">
        <f t="shared" si="194"/>
        <v>198206.52173913043</v>
      </c>
      <c r="S367" s="29">
        <f t="shared" si="194"/>
        <v>198206.52173913043</v>
      </c>
      <c r="T367" s="29">
        <f t="shared" si="194"/>
        <v>198206.52173913043</v>
      </c>
      <c r="U367" s="29">
        <f t="shared" si="194"/>
        <v>198206.52173913043</v>
      </c>
      <c r="V367" s="29">
        <f t="shared" si="194"/>
        <v>198206.52173913043</v>
      </c>
      <c r="W367" s="29">
        <f t="shared" si="194"/>
        <v>19250000</v>
      </c>
      <c r="X367" s="29">
        <f t="shared" si="172"/>
        <v>19250000</v>
      </c>
      <c r="Y367" s="29">
        <f t="shared" si="172"/>
        <v>19250000</v>
      </c>
    </row>
    <row r="368" spans="1:25" outlineLevel="1" x14ac:dyDescent="0.3">
      <c r="A368" t="s">
        <v>165</v>
      </c>
      <c r="B368" t="s">
        <v>87</v>
      </c>
      <c r="C368" s="6" t="s">
        <v>163</v>
      </c>
      <c r="D368" t="s">
        <v>48</v>
      </c>
      <c r="E368" s="29">
        <f t="shared" ref="E368:W368" si="195">E171/SummerWeekendDays</f>
        <v>0</v>
      </c>
      <c r="F368" s="29">
        <f t="shared" si="195"/>
        <v>272929.54347826086</v>
      </c>
      <c r="G368" s="29">
        <f t="shared" si="195"/>
        <v>0</v>
      </c>
      <c r="H368" s="29">
        <f t="shared" si="195"/>
        <v>1677717.3913043479</v>
      </c>
      <c r="I368" s="29">
        <f t="shared" si="195"/>
        <v>1677717.3913043479</v>
      </c>
      <c r="J368" s="29">
        <f t="shared" si="195"/>
        <v>1677717.3913043479</v>
      </c>
      <c r="K368" s="29">
        <f t="shared" si="195"/>
        <v>44465.67391304348</v>
      </c>
      <c r="L368" s="29">
        <f t="shared" si="195"/>
        <v>824012.98913043481</v>
      </c>
      <c r="M368" s="29">
        <f t="shared" si="195"/>
        <v>0</v>
      </c>
      <c r="N368" s="29">
        <f t="shared" si="195"/>
        <v>1677717.3913043479</v>
      </c>
      <c r="O368" s="29">
        <f t="shared" si="195"/>
        <v>1677717.3913043479</v>
      </c>
      <c r="P368" s="29">
        <f t="shared" si="195"/>
        <v>1677717.3913043479</v>
      </c>
      <c r="Q368" s="29">
        <f t="shared" si="195"/>
        <v>132771.73913043478</v>
      </c>
      <c r="R368" s="29">
        <f t="shared" si="195"/>
        <v>132771.73913043478</v>
      </c>
      <c r="S368" s="29">
        <f t="shared" si="195"/>
        <v>132771.73913043478</v>
      </c>
      <c r="T368" s="29">
        <f t="shared" si="195"/>
        <v>132771.73913043478</v>
      </c>
      <c r="U368" s="29">
        <f t="shared" si="195"/>
        <v>132771.73913043478</v>
      </c>
      <c r="V368" s="29">
        <f t="shared" si="195"/>
        <v>132771.73913043478</v>
      </c>
      <c r="W368" s="29">
        <f t="shared" si="195"/>
        <v>19173913.043478262</v>
      </c>
      <c r="X368" s="29">
        <f t="shared" si="172"/>
        <v>19173913.043478262</v>
      </c>
      <c r="Y368" s="29">
        <f t="shared" si="172"/>
        <v>19173913.043478262</v>
      </c>
    </row>
    <row r="369" spans="1:25" outlineLevel="1" x14ac:dyDescent="0.3">
      <c r="A369" t="s">
        <v>166</v>
      </c>
      <c r="B369" t="s">
        <v>64</v>
      </c>
      <c r="C369" s="6" t="s">
        <v>140</v>
      </c>
      <c r="D369" t="s">
        <v>48</v>
      </c>
      <c r="E369" s="27">
        <f t="shared" ref="E369:W369" si="196">E172/FallWeekendDays</f>
        <v>0</v>
      </c>
      <c r="F369" s="27">
        <f t="shared" si="196"/>
        <v>97743.307692307688</v>
      </c>
      <c r="G369" s="27">
        <f t="shared" si="196"/>
        <v>0</v>
      </c>
      <c r="H369" s="27">
        <f t="shared" si="196"/>
        <v>788461.5384615385</v>
      </c>
      <c r="I369" s="27">
        <f t="shared" si="196"/>
        <v>788461.5384615385</v>
      </c>
      <c r="J369" s="27">
        <f t="shared" si="196"/>
        <v>788461.5384615385</v>
      </c>
      <c r="K369" s="27">
        <f t="shared" si="196"/>
        <v>41430.461538461539</v>
      </c>
      <c r="L369" s="27">
        <f t="shared" si="196"/>
        <v>370188.23076923075</v>
      </c>
      <c r="M369" s="27">
        <f t="shared" si="196"/>
        <v>0</v>
      </c>
      <c r="N369" s="27">
        <f t="shared" si="196"/>
        <v>788461.5384615385</v>
      </c>
      <c r="O369" s="27">
        <f t="shared" si="196"/>
        <v>788461.5384615385</v>
      </c>
      <c r="P369" s="27">
        <f t="shared" si="196"/>
        <v>788461.5384615385</v>
      </c>
      <c r="Q369" s="27">
        <f t="shared" si="196"/>
        <v>68307.692307692312</v>
      </c>
      <c r="R369" s="27">
        <f t="shared" si="196"/>
        <v>68307.692307692312</v>
      </c>
      <c r="S369" s="27">
        <f t="shared" si="196"/>
        <v>68307.692307692312</v>
      </c>
      <c r="T369" s="27">
        <f t="shared" si="196"/>
        <v>68307.692307692312</v>
      </c>
      <c r="U369" s="27">
        <f t="shared" si="196"/>
        <v>68307.692307692312</v>
      </c>
      <c r="V369" s="27">
        <f t="shared" si="196"/>
        <v>68307.692307692312</v>
      </c>
      <c r="W369" s="27">
        <f t="shared" si="196"/>
        <v>13076923.076923076</v>
      </c>
      <c r="X369" s="27">
        <f t="shared" ref="X369:Y392" si="197">X172/FallWeekendDays</f>
        <v>13076923.076923076</v>
      </c>
      <c r="Y369" s="27">
        <f t="shared" si="197"/>
        <v>13076923.076923076</v>
      </c>
    </row>
    <row r="370" spans="1:25" outlineLevel="1" x14ac:dyDescent="0.3">
      <c r="A370" t="s">
        <v>166</v>
      </c>
      <c r="B370" t="s">
        <v>65</v>
      </c>
      <c r="C370" s="6" t="s">
        <v>141</v>
      </c>
      <c r="D370" t="s">
        <v>48</v>
      </c>
      <c r="E370" s="27">
        <f t="shared" ref="E370:W370" si="198">E173/FallWeekendDays</f>
        <v>0</v>
      </c>
      <c r="F370" s="27">
        <f t="shared" si="198"/>
        <v>86596.5</v>
      </c>
      <c r="G370" s="27">
        <f t="shared" si="198"/>
        <v>0</v>
      </c>
      <c r="H370" s="27">
        <f t="shared" si="198"/>
        <v>681917.84615384613</v>
      </c>
      <c r="I370" s="27">
        <f t="shared" si="198"/>
        <v>681917.84615384613</v>
      </c>
      <c r="J370" s="27">
        <f t="shared" si="198"/>
        <v>681917.84615384613</v>
      </c>
      <c r="K370" s="27">
        <f t="shared" si="198"/>
        <v>38531.730769230766</v>
      </c>
      <c r="L370" s="27">
        <f t="shared" si="198"/>
        <v>354805.26923076925</v>
      </c>
      <c r="M370" s="27">
        <f t="shared" si="198"/>
        <v>0</v>
      </c>
      <c r="N370" s="27">
        <f t="shared" si="198"/>
        <v>681917.84615384613</v>
      </c>
      <c r="O370" s="27">
        <f t="shared" si="198"/>
        <v>681917.84615384613</v>
      </c>
      <c r="P370" s="27">
        <f t="shared" si="198"/>
        <v>681917.84615384613</v>
      </c>
      <c r="Q370" s="27">
        <f t="shared" si="198"/>
        <v>67846.153846153844</v>
      </c>
      <c r="R370" s="27">
        <f t="shared" si="198"/>
        <v>67846.153846153844</v>
      </c>
      <c r="S370" s="27">
        <f t="shared" si="198"/>
        <v>67846.153846153844</v>
      </c>
      <c r="T370" s="27">
        <f t="shared" si="198"/>
        <v>67846.153846153844</v>
      </c>
      <c r="U370" s="27">
        <f t="shared" si="198"/>
        <v>67846.153846153844</v>
      </c>
      <c r="V370" s="27">
        <f t="shared" si="198"/>
        <v>67846.153846153844</v>
      </c>
      <c r="W370" s="27">
        <f t="shared" si="198"/>
        <v>13076923.076923076</v>
      </c>
      <c r="X370" s="27">
        <f t="shared" si="197"/>
        <v>13076923.076923076</v>
      </c>
      <c r="Y370" s="27">
        <f t="shared" si="197"/>
        <v>13076923.076923076</v>
      </c>
    </row>
    <row r="371" spans="1:25" outlineLevel="1" x14ac:dyDescent="0.3">
      <c r="A371" t="s">
        <v>166</v>
      </c>
      <c r="B371" t="s">
        <v>66</v>
      </c>
      <c r="C371" s="6" t="s">
        <v>142</v>
      </c>
      <c r="D371" t="s">
        <v>48</v>
      </c>
      <c r="E371" s="27">
        <f t="shared" ref="E371:W371" si="199">E174/FallWeekendDays</f>
        <v>0</v>
      </c>
      <c r="F371" s="27">
        <f t="shared" si="199"/>
        <v>83654.230769230766</v>
      </c>
      <c r="G371" s="27">
        <f t="shared" si="199"/>
        <v>0</v>
      </c>
      <c r="H371" s="27">
        <f t="shared" si="199"/>
        <v>658610</v>
      </c>
      <c r="I371" s="27">
        <f t="shared" si="199"/>
        <v>658610</v>
      </c>
      <c r="J371" s="27">
        <f t="shared" si="199"/>
        <v>658610</v>
      </c>
      <c r="K371" s="27">
        <f t="shared" si="199"/>
        <v>39188.307692307695</v>
      </c>
      <c r="L371" s="27">
        <f t="shared" si="199"/>
        <v>349263.61538461538</v>
      </c>
      <c r="M371" s="27">
        <f t="shared" si="199"/>
        <v>0</v>
      </c>
      <c r="N371" s="27">
        <f t="shared" si="199"/>
        <v>658610</v>
      </c>
      <c r="O371" s="27">
        <f t="shared" si="199"/>
        <v>658610</v>
      </c>
      <c r="P371" s="27">
        <f t="shared" si="199"/>
        <v>658610</v>
      </c>
      <c r="Q371" s="27">
        <f t="shared" si="199"/>
        <v>67730.769230769234</v>
      </c>
      <c r="R371" s="27">
        <f t="shared" si="199"/>
        <v>67730.769230769234</v>
      </c>
      <c r="S371" s="27">
        <f t="shared" si="199"/>
        <v>67730.769230769234</v>
      </c>
      <c r="T371" s="27">
        <f t="shared" si="199"/>
        <v>67730.769230769234</v>
      </c>
      <c r="U371" s="27">
        <f t="shared" si="199"/>
        <v>67730.769230769234</v>
      </c>
      <c r="V371" s="27">
        <f t="shared" si="199"/>
        <v>67730.769230769234</v>
      </c>
      <c r="W371" s="27">
        <f t="shared" si="199"/>
        <v>13076923.076923076</v>
      </c>
      <c r="X371" s="27">
        <f t="shared" si="197"/>
        <v>13076923.076923076</v>
      </c>
      <c r="Y371" s="27">
        <f t="shared" si="197"/>
        <v>13076923.076923076</v>
      </c>
    </row>
    <row r="372" spans="1:25" outlineLevel="1" x14ac:dyDescent="0.3">
      <c r="A372" t="s">
        <v>166</v>
      </c>
      <c r="B372" t="s">
        <v>67</v>
      </c>
      <c r="C372" s="6" t="s">
        <v>143</v>
      </c>
      <c r="D372" t="s">
        <v>48</v>
      </c>
      <c r="E372" s="27">
        <f t="shared" ref="E372:W372" si="200">E175/FallWeekendDays</f>
        <v>0</v>
      </c>
      <c r="F372" s="27">
        <f t="shared" si="200"/>
        <v>87913.038461538468</v>
      </c>
      <c r="G372" s="27">
        <f t="shared" si="200"/>
        <v>0</v>
      </c>
      <c r="H372" s="27">
        <f t="shared" si="200"/>
        <v>658054.07692307688</v>
      </c>
      <c r="I372" s="27">
        <f t="shared" si="200"/>
        <v>658054.07692307688</v>
      </c>
      <c r="J372" s="27">
        <f t="shared" si="200"/>
        <v>658054.07692307688</v>
      </c>
      <c r="K372" s="27">
        <f t="shared" si="200"/>
        <v>39866.884615384617</v>
      </c>
      <c r="L372" s="27">
        <f t="shared" si="200"/>
        <v>350657.42307692306</v>
      </c>
      <c r="M372" s="27">
        <f t="shared" si="200"/>
        <v>0</v>
      </c>
      <c r="N372" s="27">
        <f t="shared" si="200"/>
        <v>658054.07692307688</v>
      </c>
      <c r="O372" s="27">
        <f t="shared" si="200"/>
        <v>658054.07692307688</v>
      </c>
      <c r="P372" s="27">
        <f t="shared" si="200"/>
        <v>658054.07692307688</v>
      </c>
      <c r="Q372" s="27">
        <f t="shared" si="200"/>
        <v>67730.769230769234</v>
      </c>
      <c r="R372" s="27">
        <f t="shared" si="200"/>
        <v>67730.769230769234</v>
      </c>
      <c r="S372" s="27">
        <f t="shared" si="200"/>
        <v>67730.769230769234</v>
      </c>
      <c r="T372" s="27">
        <f t="shared" si="200"/>
        <v>67730.769230769234</v>
      </c>
      <c r="U372" s="27">
        <f t="shared" si="200"/>
        <v>67730.769230769234</v>
      </c>
      <c r="V372" s="27">
        <f t="shared" si="200"/>
        <v>67730.769230769234</v>
      </c>
      <c r="W372" s="27">
        <f t="shared" si="200"/>
        <v>13115384.615384616</v>
      </c>
      <c r="X372" s="27">
        <f t="shared" si="197"/>
        <v>13115384.615384616</v>
      </c>
      <c r="Y372" s="27">
        <f t="shared" si="197"/>
        <v>13115384.615384616</v>
      </c>
    </row>
    <row r="373" spans="1:25" outlineLevel="1" x14ac:dyDescent="0.3">
      <c r="A373" t="s">
        <v>166</v>
      </c>
      <c r="B373" t="s">
        <v>68</v>
      </c>
      <c r="C373" s="6" t="s">
        <v>144</v>
      </c>
      <c r="D373" t="s">
        <v>48</v>
      </c>
      <c r="E373" s="27">
        <f t="shared" ref="E373:W373" si="201">E176/FallWeekendDays</f>
        <v>0</v>
      </c>
      <c r="F373" s="27">
        <f t="shared" si="201"/>
        <v>100424.92307692308</v>
      </c>
      <c r="G373" s="27">
        <f t="shared" si="201"/>
        <v>0</v>
      </c>
      <c r="H373" s="27">
        <f t="shared" si="201"/>
        <v>692665.0384615385</v>
      </c>
      <c r="I373" s="27">
        <f t="shared" si="201"/>
        <v>692665.0384615385</v>
      </c>
      <c r="J373" s="27">
        <f t="shared" si="201"/>
        <v>692665.0384615385</v>
      </c>
      <c r="K373" s="27">
        <f t="shared" si="201"/>
        <v>39534.5</v>
      </c>
      <c r="L373" s="27">
        <f t="shared" si="201"/>
        <v>359363.07692307694</v>
      </c>
      <c r="M373" s="27">
        <f t="shared" si="201"/>
        <v>0</v>
      </c>
      <c r="N373" s="27">
        <f t="shared" si="201"/>
        <v>692665.0384615385</v>
      </c>
      <c r="O373" s="27">
        <f t="shared" si="201"/>
        <v>692665.0384615385</v>
      </c>
      <c r="P373" s="27">
        <f t="shared" si="201"/>
        <v>692665.0384615385</v>
      </c>
      <c r="Q373" s="27">
        <f t="shared" si="201"/>
        <v>67653.846153846156</v>
      </c>
      <c r="R373" s="27">
        <f t="shared" si="201"/>
        <v>67653.846153846156</v>
      </c>
      <c r="S373" s="27">
        <f t="shared" si="201"/>
        <v>67653.846153846156</v>
      </c>
      <c r="T373" s="27">
        <f t="shared" si="201"/>
        <v>67653.846153846156</v>
      </c>
      <c r="U373" s="27">
        <f t="shared" si="201"/>
        <v>67653.846153846156</v>
      </c>
      <c r="V373" s="27">
        <f t="shared" si="201"/>
        <v>67653.846153846156</v>
      </c>
      <c r="W373" s="27">
        <f t="shared" si="201"/>
        <v>13153846.153846154</v>
      </c>
      <c r="X373" s="27">
        <f t="shared" si="197"/>
        <v>13153846.153846154</v>
      </c>
      <c r="Y373" s="27">
        <f t="shared" si="197"/>
        <v>13153846.153846154</v>
      </c>
    </row>
    <row r="374" spans="1:25" outlineLevel="1" x14ac:dyDescent="0.3">
      <c r="A374" t="s">
        <v>166</v>
      </c>
      <c r="B374" t="s">
        <v>69</v>
      </c>
      <c r="C374" s="6" t="s">
        <v>145</v>
      </c>
      <c r="D374" t="s">
        <v>48</v>
      </c>
      <c r="E374" s="27">
        <f t="shared" ref="E374:W374" si="202">E177/FallWeekendDays</f>
        <v>0</v>
      </c>
      <c r="F374" s="27">
        <f t="shared" si="202"/>
        <v>121263.30769230769</v>
      </c>
      <c r="G374" s="27">
        <f t="shared" si="202"/>
        <v>0</v>
      </c>
      <c r="H374" s="27">
        <f t="shared" si="202"/>
        <v>900000</v>
      </c>
      <c r="I374" s="27">
        <f t="shared" si="202"/>
        <v>900000</v>
      </c>
      <c r="J374" s="27">
        <f t="shared" si="202"/>
        <v>900000</v>
      </c>
      <c r="K374" s="27">
        <f t="shared" si="202"/>
        <v>45038.576923076922</v>
      </c>
      <c r="L374" s="27">
        <f t="shared" si="202"/>
        <v>378804</v>
      </c>
      <c r="M374" s="27">
        <f t="shared" si="202"/>
        <v>0</v>
      </c>
      <c r="N374" s="27">
        <f t="shared" si="202"/>
        <v>900000</v>
      </c>
      <c r="O374" s="27">
        <f t="shared" si="202"/>
        <v>900000</v>
      </c>
      <c r="P374" s="27">
        <f t="shared" si="202"/>
        <v>900000</v>
      </c>
      <c r="Q374" s="27">
        <f t="shared" si="202"/>
        <v>67730.769230769234</v>
      </c>
      <c r="R374" s="27">
        <f t="shared" si="202"/>
        <v>67730.769230769234</v>
      </c>
      <c r="S374" s="27">
        <f t="shared" si="202"/>
        <v>67730.769230769234</v>
      </c>
      <c r="T374" s="27">
        <f t="shared" si="202"/>
        <v>67730.769230769234</v>
      </c>
      <c r="U374" s="27">
        <f t="shared" si="202"/>
        <v>67730.769230769234</v>
      </c>
      <c r="V374" s="27">
        <f t="shared" si="202"/>
        <v>67730.769230769234</v>
      </c>
      <c r="W374" s="27">
        <f t="shared" si="202"/>
        <v>13192307.692307692</v>
      </c>
      <c r="X374" s="27">
        <f t="shared" si="197"/>
        <v>13192307.692307692</v>
      </c>
      <c r="Y374" s="27">
        <f t="shared" si="197"/>
        <v>13192307.692307692</v>
      </c>
    </row>
    <row r="375" spans="1:25" outlineLevel="1" x14ac:dyDescent="0.3">
      <c r="A375" t="s">
        <v>166</v>
      </c>
      <c r="B375" t="s">
        <v>70</v>
      </c>
      <c r="C375" s="6" t="s">
        <v>146</v>
      </c>
      <c r="D375" t="s">
        <v>48</v>
      </c>
      <c r="E375" s="27">
        <f t="shared" ref="E375:W375" si="203">E178/FallWeekendDays</f>
        <v>0</v>
      </c>
      <c r="F375" s="27">
        <f t="shared" si="203"/>
        <v>149733.53846153847</v>
      </c>
      <c r="G375" s="27">
        <f t="shared" si="203"/>
        <v>0</v>
      </c>
      <c r="H375" s="27">
        <f t="shared" si="203"/>
        <v>1319230.7692307692</v>
      </c>
      <c r="I375" s="27">
        <f t="shared" si="203"/>
        <v>1319230.7692307692</v>
      </c>
      <c r="J375" s="27">
        <f t="shared" si="203"/>
        <v>1319230.7692307692</v>
      </c>
      <c r="K375" s="27">
        <f t="shared" si="203"/>
        <v>78343.730769230766</v>
      </c>
      <c r="L375" s="27">
        <f t="shared" si="203"/>
        <v>415031.96153846156</v>
      </c>
      <c r="M375" s="27">
        <f t="shared" si="203"/>
        <v>0</v>
      </c>
      <c r="N375" s="27">
        <f t="shared" si="203"/>
        <v>1319230.7692307692</v>
      </c>
      <c r="O375" s="27">
        <f t="shared" si="203"/>
        <v>1319230.7692307692</v>
      </c>
      <c r="P375" s="27">
        <f t="shared" si="203"/>
        <v>1319230.7692307692</v>
      </c>
      <c r="Q375" s="27">
        <f t="shared" si="203"/>
        <v>83076.923076923078</v>
      </c>
      <c r="R375" s="27">
        <f t="shared" si="203"/>
        <v>83076.923076923078</v>
      </c>
      <c r="S375" s="27">
        <f t="shared" si="203"/>
        <v>83076.923076923078</v>
      </c>
      <c r="T375" s="27">
        <f t="shared" si="203"/>
        <v>83076.923076923078</v>
      </c>
      <c r="U375" s="27">
        <f t="shared" si="203"/>
        <v>83076.923076923078</v>
      </c>
      <c r="V375" s="27">
        <f t="shared" si="203"/>
        <v>83076.923076923078</v>
      </c>
      <c r="W375" s="27">
        <f t="shared" si="203"/>
        <v>13269230.76923077</v>
      </c>
      <c r="X375" s="27">
        <f t="shared" si="197"/>
        <v>13269230.76923077</v>
      </c>
      <c r="Y375" s="27">
        <f t="shared" si="197"/>
        <v>13269230.76923077</v>
      </c>
    </row>
    <row r="376" spans="1:25" outlineLevel="1" x14ac:dyDescent="0.3">
      <c r="A376" t="s">
        <v>166</v>
      </c>
      <c r="B376" t="s">
        <v>71</v>
      </c>
      <c r="C376" s="6" t="s">
        <v>147</v>
      </c>
      <c r="D376" t="s">
        <v>48</v>
      </c>
      <c r="E376" s="27">
        <f t="shared" ref="E376:W376" si="204">E179/FallWeekendDays</f>
        <v>0</v>
      </c>
      <c r="F376" s="27">
        <f t="shared" si="204"/>
        <v>183672.23076923078</v>
      </c>
      <c r="G376" s="27">
        <f t="shared" si="204"/>
        <v>0</v>
      </c>
      <c r="H376" s="27">
        <f t="shared" si="204"/>
        <v>758158.23076923075</v>
      </c>
      <c r="I376" s="27">
        <f t="shared" si="204"/>
        <v>758158.23076923075</v>
      </c>
      <c r="J376" s="27">
        <f t="shared" si="204"/>
        <v>758158.23076923075</v>
      </c>
      <c r="K376" s="27">
        <f t="shared" si="204"/>
        <v>87284.88461538461</v>
      </c>
      <c r="L376" s="27">
        <f t="shared" si="204"/>
        <v>473064.15384615387</v>
      </c>
      <c r="M376" s="27">
        <f t="shared" si="204"/>
        <v>0</v>
      </c>
      <c r="N376" s="27">
        <f t="shared" si="204"/>
        <v>758158.23076923075</v>
      </c>
      <c r="O376" s="27">
        <f t="shared" si="204"/>
        <v>758158.23076923075</v>
      </c>
      <c r="P376" s="27">
        <f t="shared" si="204"/>
        <v>758158.23076923075</v>
      </c>
      <c r="Q376" s="27">
        <f t="shared" si="204"/>
        <v>106923.07692307692</v>
      </c>
      <c r="R376" s="27">
        <f t="shared" si="204"/>
        <v>106923.07692307692</v>
      </c>
      <c r="S376" s="27">
        <f t="shared" si="204"/>
        <v>106923.07692307692</v>
      </c>
      <c r="T376" s="27">
        <f t="shared" si="204"/>
        <v>106923.07692307692</v>
      </c>
      <c r="U376" s="27">
        <f t="shared" si="204"/>
        <v>106923.07692307692</v>
      </c>
      <c r="V376" s="27">
        <f t="shared" si="204"/>
        <v>106923.07692307692</v>
      </c>
      <c r="W376" s="27">
        <f t="shared" si="204"/>
        <v>13269230.76923077</v>
      </c>
      <c r="X376" s="27">
        <f t="shared" si="197"/>
        <v>13269230.76923077</v>
      </c>
      <c r="Y376" s="27">
        <f t="shared" si="197"/>
        <v>13269230.76923077</v>
      </c>
    </row>
    <row r="377" spans="1:25" outlineLevel="1" x14ac:dyDescent="0.3">
      <c r="A377" t="s">
        <v>166</v>
      </c>
      <c r="B377" t="s">
        <v>72</v>
      </c>
      <c r="C377" s="6" t="s">
        <v>148</v>
      </c>
      <c r="D377" t="s">
        <v>48</v>
      </c>
      <c r="E377" s="27">
        <f t="shared" ref="E377:W377" si="205">E180/FallWeekendDays</f>
        <v>0</v>
      </c>
      <c r="F377" s="27">
        <f t="shared" si="205"/>
        <v>216332.07692307694</v>
      </c>
      <c r="G377" s="27">
        <f t="shared" si="205"/>
        <v>0</v>
      </c>
      <c r="H377" s="27">
        <f t="shared" si="205"/>
        <v>876923.07692307688</v>
      </c>
      <c r="I377" s="27">
        <f t="shared" si="205"/>
        <v>876923.07692307688</v>
      </c>
      <c r="J377" s="27">
        <f t="shared" si="205"/>
        <v>876923.07692307688</v>
      </c>
      <c r="K377" s="27">
        <f t="shared" si="205"/>
        <v>70746.846153846156</v>
      </c>
      <c r="L377" s="27">
        <f t="shared" si="205"/>
        <v>552466.42307692312</v>
      </c>
      <c r="M377" s="27">
        <f t="shared" si="205"/>
        <v>0</v>
      </c>
      <c r="N377" s="27">
        <f t="shared" si="205"/>
        <v>876923.07692307688</v>
      </c>
      <c r="O377" s="27">
        <f t="shared" si="205"/>
        <v>876923.07692307688</v>
      </c>
      <c r="P377" s="27">
        <f t="shared" si="205"/>
        <v>876923.07692307688</v>
      </c>
      <c r="Q377" s="27">
        <f t="shared" si="205"/>
        <v>122692.30769230769</v>
      </c>
      <c r="R377" s="27">
        <f t="shared" si="205"/>
        <v>122692.30769230769</v>
      </c>
      <c r="S377" s="27">
        <f t="shared" si="205"/>
        <v>122692.30769230769</v>
      </c>
      <c r="T377" s="27">
        <f t="shared" si="205"/>
        <v>122692.30769230769</v>
      </c>
      <c r="U377" s="27">
        <f t="shared" si="205"/>
        <v>122692.30769230769</v>
      </c>
      <c r="V377" s="27">
        <f t="shared" si="205"/>
        <v>122692.30769230769</v>
      </c>
      <c r="W377" s="27">
        <f t="shared" si="205"/>
        <v>13269230.76923077</v>
      </c>
      <c r="X377" s="27">
        <f t="shared" si="197"/>
        <v>13269230.76923077</v>
      </c>
      <c r="Y377" s="27">
        <f t="shared" si="197"/>
        <v>13269230.76923077</v>
      </c>
    </row>
    <row r="378" spans="1:25" outlineLevel="1" x14ac:dyDescent="0.3">
      <c r="A378" t="s">
        <v>166</v>
      </c>
      <c r="B378" t="s">
        <v>73</v>
      </c>
      <c r="C378" s="6" t="s">
        <v>149</v>
      </c>
      <c r="D378" t="s">
        <v>48</v>
      </c>
      <c r="E378" s="27">
        <f t="shared" ref="E378:W378" si="206">E181/FallWeekendDays</f>
        <v>0</v>
      </c>
      <c r="F378" s="27">
        <f t="shared" si="206"/>
        <v>244359.46153846153</v>
      </c>
      <c r="G378" s="27">
        <f t="shared" si="206"/>
        <v>0</v>
      </c>
      <c r="H378" s="27">
        <f t="shared" si="206"/>
        <v>907692.30769230775</v>
      </c>
      <c r="I378" s="27">
        <f t="shared" si="206"/>
        <v>907692.30769230775</v>
      </c>
      <c r="J378" s="27">
        <f t="shared" si="206"/>
        <v>907692.30769230775</v>
      </c>
      <c r="K378" s="27">
        <f t="shared" si="206"/>
        <v>57814.384615384617</v>
      </c>
      <c r="L378" s="27">
        <f t="shared" si="206"/>
        <v>630795.23076923075</v>
      </c>
      <c r="M378" s="27">
        <f t="shared" si="206"/>
        <v>0</v>
      </c>
      <c r="N378" s="27">
        <f t="shared" si="206"/>
        <v>907692.30769230775</v>
      </c>
      <c r="O378" s="27">
        <f t="shared" si="206"/>
        <v>907692.30769230775</v>
      </c>
      <c r="P378" s="27">
        <f t="shared" si="206"/>
        <v>907692.30769230775</v>
      </c>
      <c r="Q378" s="27">
        <f t="shared" si="206"/>
        <v>133461.53846153847</v>
      </c>
      <c r="R378" s="27">
        <f t="shared" si="206"/>
        <v>133461.53846153847</v>
      </c>
      <c r="S378" s="27">
        <f t="shared" si="206"/>
        <v>133461.53846153847</v>
      </c>
      <c r="T378" s="27">
        <f t="shared" si="206"/>
        <v>133461.53846153847</v>
      </c>
      <c r="U378" s="27">
        <f t="shared" si="206"/>
        <v>133461.53846153847</v>
      </c>
      <c r="V378" s="27">
        <f t="shared" si="206"/>
        <v>133461.53846153847</v>
      </c>
      <c r="W378" s="27">
        <f t="shared" si="206"/>
        <v>13230769.23076923</v>
      </c>
      <c r="X378" s="27">
        <f t="shared" si="197"/>
        <v>13230769.23076923</v>
      </c>
      <c r="Y378" s="27">
        <f t="shared" si="197"/>
        <v>13230769.23076923</v>
      </c>
    </row>
    <row r="379" spans="1:25" outlineLevel="1" x14ac:dyDescent="0.3">
      <c r="A379" t="s">
        <v>166</v>
      </c>
      <c r="B379" t="s">
        <v>74</v>
      </c>
      <c r="C379" s="6" t="s">
        <v>150</v>
      </c>
      <c r="D379" t="s">
        <v>48</v>
      </c>
      <c r="E379" s="27">
        <f t="shared" ref="E379:W379" si="207">E182/FallWeekendDays</f>
        <v>0</v>
      </c>
      <c r="F379" s="27">
        <f t="shared" si="207"/>
        <v>287744.73076923075</v>
      </c>
      <c r="G379" s="27">
        <f t="shared" si="207"/>
        <v>0</v>
      </c>
      <c r="H379" s="27">
        <f t="shared" si="207"/>
        <v>911538.4615384615</v>
      </c>
      <c r="I379" s="27">
        <f t="shared" si="207"/>
        <v>911538.4615384615</v>
      </c>
      <c r="J379" s="27">
        <f t="shared" si="207"/>
        <v>911538.4615384615</v>
      </c>
      <c r="K379" s="27">
        <f t="shared" si="207"/>
        <v>48756.269230769234</v>
      </c>
      <c r="L379" s="27">
        <f t="shared" si="207"/>
        <v>707093.84615384613</v>
      </c>
      <c r="M379" s="27">
        <f t="shared" si="207"/>
        <v>0</v>
      </c>
      <c r="N379" s="27">
        <f t="shared" si="207"/>
        <v>911538.4615384615</v>
      </c>
      <c r="O379" s="27">
        <f t="shared" si="207"/>
        <v>911538.4615384615</v>
      </c>
      <c r="P379" s="27">
        <f t="shared" si="207"/>
        <v>911538.4615384615</v>
      </c>
      <c r="Q379" s="27">
        <f t="shared" si="207"/>
        <v>139230.76923076922</v>
      </c>
      <c r="R379" s="27">
        <f t="shared" si="207"/>
        <v>139230.76923076922</v>
      </c>
      <c r="S379" s="27">
        <f t="shared" si="207"/>
        <v>139230.76923076922</v>
      </c>
      <c r="T379" s="27">
        <f t="shared" si="207"/>
        <v>139230.76923076922</v>
      </c>
      <c r="U379" s="27">
        <f t="shared" si="207"/>
        <v>139230.76923076922</v>
      </c>
      <c r="V379" s="27">
        <f t="shared" si="207"/>
        <v>139230.76923076922</v>
      </c>
      <c r="W379" s="27">
        <f t="shared" si="207"/>
        <v>13192307.692307692</v>
      </c>
      <c r="X379" s="27">
        <f t="shared" si="197"/>
        <v>13192307.692307692</v>
      </c>
      <c r="Y379" s="27">
        <f t="shared" si="197"/>
        <v>13192307.692307692</v>
      </c>
    </row>
    <row r="380" spans="1:25" outlineLevel="1" x14ac:dyDescent="0.3">
      <c r="A380" t="s">
        <v>166</v>
      </c>
      <c r="B380" t="s">
        <v>75</v>
      </c>
      <c r="C380" s="6" t="s">
        <v>151</v>
      </c>
      <c r="D380" t="s">
        <v>48</v>
      </c>
      <c r="E380" s="27">
        <f t="shared" ref="E380:W380" si="208">E183/FallWeekendDays</f>
        <v>0</v>
      </c>
      <c r="F380" s="27">
        <f t="shared" si="208"/>
        <v>354032.57692307694</v>
      </c>
      <c r="G380" s="27">
        <f t="shared" si="208"/>
        <v>0</v>
      </c>
      <c r="H380" s="27">
        <f t="shared" si="208"/>
        <v>969230.76923076925</v>
      </c>
      <c r="I380" s="27">
        <f t="shared" si="208"/>
        <v>969230.76923076925</v>
      </c>
      <c r="J380" s="27">
        <f t="shared" si="208"/>
        <v>969230.76923076925</v>
      </c>
      <c r="K380" s="27">
        <f t="shared" si="208"/>
        <v>43259.5</v>
      </c>
      <c r="L380" s="27">
        <f t="shared" si="208"/>
        <v>770798.0384615385</v>
      </c>
      <c r="M380" s="27">
        <f t="shared" si="208"/>
        <v>0</v>
      </c>
      <c r="N380" s="27">
        <f t="shared" si="208"/>
        <v>969230.76923076925</v>
      </c>
      <c r="O380" s="27">
        <f t="shared" si="208"/>
        <v>969230.76923076925</v>
      </c>
      <c r="P380" s="27">
        <f t="shared" si="208"/>
        <v>969230.76923076925</v>
      </c>
      <c r="Q380" s="27">
        <f t="shared" si="208"/>
        <v>140000</v>
      </c>
      <c r="R380" s="27">
        <f t="shared" si="208"/>
        <v>140000</v>
      </c>
      <c r="S380" s="27">
        <f t="shared" si="208"/>
        <v>140000</v>
      </c>
      <c r="T380" s="27">
        <f t="shared" si="208"/>
        <v>140000</v>
      </c>
      <c r="U380" s="27">
        <f t="shared" si="208"/>
        <v>140000</v>
      </c>
      <c r="V380" s="27">
        <f t="shared" si="208"/>
        <v>140000</v>
      </c>
      <c r="W380" s="27">
        <f t="shared" si="208"/>
        <v>13192307.692307692</v>
      </c>
      <c r="X380" s="27">
        <f t="shared" si="197"/>
        <v>13192307.692307692</v>
      </c>
      <c r="Y380" s="27">
        <f t="shared" si="197"/>
        <v>13192307.692307692</v>
      </c>
    </row>
    <row r="381" spans="1:25" outlineLevel="1" x14ac:dyDescent="0.3">
      <c r="A381" t="s">
        <v>166</v>
      </c>
      <c r="B381" t="s">
        <v>76</v>
      </c>
      <c r="C381" s="6" t="s">
        <v>152</v>
      </c>
      <c r="D381" t="s">
        <v>48</v>
      </c>
      <c r="E381" s="27">
        <f t="shared" ref="E381:W381" si="209">E184/FallWeekendDays</f>
        <v>0</v>
      </c>
      <c r="F381" s="27">
        <f t="shared" si="209"/>
        <v>414216.88461538462</v>
      </c>
      <c r="G381" s="27">
        <f t="shared" si="209"/>
        <v>0</v>
      </c>
      <c r="H381" s="27">
        <f t="shared" si="209"/>
        <v>1000000</v>
      </c>
      <c r="I381" s="27">
        <f t="shared" si="209"/>
        <v>1000000</v>
      </c>
      <c r="J381" s="27">
        <f t="shared" si="209"/>
        <v>1000000</v>
      </c>
      <c r="K381" s="27">
        <f t="shared" si="209"/>
        <v>39302.153846153844</v>
      </c>
      <c r="L381" s="27">
        <f t="shared" si="209"/>
        <v>816289.69230769225</v>
      </c>
      <c r="M381" s="27">
        <f t="shared" si="209"/>
        <v>0</v>
      </c>
      <c r="N381" s="27">
        <f t="shared" si="209"/>
        <v>1000000</v>
      </c>
      <c r="O381" s="27">
        <f t="shared" si="209"/>
        <v>1000000</v>
      </c>
      <c r="P381" s="27">
        <f t="shared" si="209"/>
        <v>1000000</v>
      </c>
      <c r="Q381" s="27">
        <f t="shared" si="209"/>
        <v>135000</v>
      </c>
      <c r="R381" s="27">
        <f t="shared" si="209"/>
        <v>135000</v>
      </c>
      <c r="S381" s="27">
        <f t="shared" si="209"/>
        <v>135000</v>
      </c>
      <c r="T381" s="27">
        <f t="shared" si="209"/>
        <v>135000</v>
      </c>
      <c r="U381" s="27">
        <f t="shared" si="209"/>
        <v>135000</v>
      </c>
      <c r="V381" s="27">
        <f t="shared" si="209"/>
        <v>135000</v>
      </c>
      <c r="W381" s="27">
        <f t="shared" si="209"/>
        <v>13192307.692307692</v>
      </c>
      <c r="X381" s="27">
        <f t="shared" si="197"/>
        <v>13192307.692307692</v>
      </c>
      <c r="Y381" s="27">
        <f t="shared" si="197"/>
        <v>13192307.692307692</v>
      </c>
    </row>
    <row r="382" spans="1:25" outlineLevel="1" x14ac:dyDescent="0.3">
      <c r="A382" t="s">
        <v>166</v>
      </c>
      <c r="B382" t="s">
        <v>77</v>
      </c>
      <c r="C382" s="6" t="s">
        <v>153</v>
      </c>
      <c r="D382" t="s">
        <v>48</v>
      </c>
      <c r="E382" s="27">
        <f t="shared" ref="E382:W382" si="210">E185/FallWeekendDays</f>
        <v>0</v>
      </c>
      <c r="F382" s="27">
        <f t="shared" si="210"/>
        <v>446718.11538461538</v>
      </c>
      <c r="G382" s="27">
        <f t="shared" si="210"/>
        <v>0</v>
      </c>
      <c r="H382" s="27">
        <f t="shared" si="210"/>
        <v>1000000</v>
      </c>
      <c r="I382" s="27">
        <f t="shared" si="210"/>
        <v>1000000</v>
      </c>
      <c r="J382" s="27">
        <f t="shared" si="210"/>
        <v>1000000</v>
      </c>
      <c r="K382" s="27">
        <f t="shared" si="210"/>
        <v>36906.423076923078</v>
      </c>
      <c r="L382" s="27">
        <f t="shared" si="210"/>
        <v>845162.9615384615</v>
      </c>
      <c r="M382" s="27">
        <f t="shared" si="210"/>
        <v>0</v>
      </c>
      <c r="N382" s="27">
        <f t="shared" si="210"/>
        <v>1000000</v>
      </c>
      <c r="O382" s="27">
        <f t="shared" si="210"/>
        <v>1000000</v>
      </c>
      <c r="P382" s="27">
        <f t="shared" si="210"/>
        <v>1000000</v>
      </c>
      <c r="Q382" s="27">
        <f t="shared" si="210"/>
        <v>125384.61538461539</v>
      </c>
      <c r="R382" s="27">
        <f t="shared" si="210"/>
        <v>125384.61538461539</v>
      </c>
      <c r="S382" s="27">
        <f t="shared" si="210"/>
        <v>125384.61538461539</v>
      </c>
      <c r="T382" s="27">
        <f t="shared" si="210"/>
        <v>125384.61538461539</v>
      </c>
      <c r="U382" s="27">
        <f t="shared" si="210"/>
        <v>125384.61538461539</v>
      </c>
      <c r="V382" s="27">
        <f t="shared" si="210"/>
        <v>125384.61538461539</v>
      </c>
      <c r="W382" s="27">
        <f t="shared" si="210"/>
        <v>13192307.692307692</v>
      </c>
      <c r="X382" s="27">
        <f t="shared" si="197"/>
        <v>13192307.692307692</v>
      </c>
      <c r="Y382" s="27">
        <f t="shared" si="197"/>
        <v>13192307.692307692</v>
      </c>
    </row>
    <row r="383" spans="1:25" outlineLevel="1" x14ac:dyDescent="0.3">
      <c r="A383" t="s">
        <v>166</v>
      </c>
      <c r="B383" t="s">
        <v>78</v>
      </c>
      <c r="C383" s="6" t="s">
        <v>154</v>
      </c>
      <c r="D383" t="s">
        <v>48</v>
      </c>
      <c r="E383" s="27">
        <f t="shared" ref="E383:W383" si="211">E186/FallWeekendDays</f>
        <v>0</v>
      </c>
      <c r="F383" s="27">
        <f t="shared" si="211"/>
        <v>455490.03846153844</v>
      </c>
      <c r="G383" s="27">
        <f t="shared" si="211"/>
        <v>0</v>
      </c>
      <c r="H383" s="27">
        <f t="shared" si="211"/>
        <v>988461.5384615385</v>
      </c>
      <c r="I383" s="27">
        <f t="shared" si="211"/>
        <v>988461.5384615385</v>
      </c>
      <c r="J383" s="27">
        <f t="shared" si="211"/>
        <v>988461.5384615385</v>
      </c>
      <c r="K383" s="27">
        <f t="shared" si="211"/>
        <v>36778.423076923078</v>
      </c>
      <c r="L383" s="27">
        <f t="shared" si="211"/>
        <v>857457.4615384615</v>
      </c>
      <c r="M383" s="27">
        <f t="shared" si="211"/>
        <v>0</v>
      </c>
      <c r="N383" s="27">
        <f t="shared" si="211"/>
        <v>988461.5384615385</v>
      </c>
      <c r="O383" s="27">
        <f t="shared" si="211"/>
        <v>988461.5384615385</v>
      </c>
      <c r="P383" s="27">
        <f t="shared" si="211"/>
        <v>988461.5384615385</v>
      </c>
      <c r="Q383" s="27">
        <f t="shared" si="211"/>
        <v>125000</v>
      </c>
      <c r="R383" s="27">
        <f t="shared" si="211"/>
        <v>125000</v>
      </c>
      <c r="S383" s="27">
        <f t="shared" si="211"/>
        <v>125000</v>
      </c>
      <c r="T383" s="27">
        <f t="shared" si="211"/>
        <v>125000</v>
      </c>
      <c r="U383" s="27">
        <f t="shared" si="211"/>
        <v>125000</v>
      </c>
      <c r="V383" s="27">
        <f t="shared" si="211"/>
        <v>125000</v>
      </c>
      <c r="W383" s="27">
        <f t="shared" si="211"/>
        <v>13230769.23076923</v>
      </c>
      <c r="X383" s="27">
        <f t="shared" si="197"/>
        <v>13230769.23076923</v>
      </c>
      <c r="Y383" s="27">
        <f t="shared" si="197"/>
        <v>13230769.23076923</v>
      </c>
    </row>
    <row r="384" spans="1:25" outlineLevel="1" x14ac:dyDescent="0.3">
      <c r="A384" t="s">
        <v>166</v>
      </c>
      <c r="B384" t="s">
        <v>79</v>
      </c>
      <c r="C384" s="6" t="s">
        <v>155</v>
      </c>
      <c r="D384" t="s">
        <v>48</v>
      </c>
      <c r="E384" s="27">
        <f t="shared" ref="E384:W384" si="212">E187/FallWeekendDays</f>
        <v>0</v>
      </c>
      <c r="F384" s="27">
        <f t="shared" si="212"/>
        <v>444361.15384615387</v>
      </c>
      <c r="G384" s="27">
        <f t="shared" si="212"/>
        <v>0</v>
      </c>
      <c r="H384" s="27">
        <f t="shared" si="212"/>
        <v>992307.69230769225</v>
      </c>
      <c r="I384" s="27">
        <f t="shared" si="212"/>
        <v>992307.69230769225</v>
      </c>
      <c r="J384" s="27">
        <f t="shared" si="212"/>
        <v>992307.69230769225</v>
      </c>
      <c r="K384" s="27">
        <f t="shared" si="212"/>
        <v>32790.807692307695</v>
      </c>
      <c r="L384" s="27">
        <f t="shared" si="212"/>
        <v>845201.65384615387</v>
      </c>
      <c r="M384" s="27">
        <f t="shared" si="212"/>
        <v>0</v>
      </c>
      <c r="N384" s="27">
        <f t="shared" si="212"/>
        <v>992307.69230769225</v>
      </c>
      <c r="O384" s="27">
        <f t="shared" si="212"/>
        <v>992307.69230769225</v>
      </c>
      <c r="P384" s="27">
        <f t="shared" si="212"/>
        <v>992307.69230769225</v>
      </c>
      <c r="Q384" s="27">
        <f t="shared" si="212"/>
        <v>124615.38461538461</v>
      </c>
      <c r="R384" s="27">
        <f t="shared" si="212"/>
        <v>124615.38461538461</v>
      </c>
      <c r="S384" s="27">
        <f t="shared" si="212"/>
        <v>124615.38461538461</v>
      </c>
      <c r="T384" s="27">
        <f t="shared" si="212"/>
        <v>124615.38461538461</v>
      </c>
      <c r="U384" s="27">
        <f t="shared" si="212"/>
        <v>124615.38461538461</v>
      </c>
      <c r="V384" s="27">
        <f t="shared" si="212"/>
        <v>124615.38461538461</v>
      </c>
      <c r="W384" s="27">
        <f t="shared" si="212"/>
        <v>13307692.307692308</v>
      </c>
      <c r="X384" s="27">
        <f t="shared" si="197"/>
        <v>13307692.307692308</v>
      </c>
      <c r="Y384" s="27">
        <f t="shared" si="197"/>
        <v>13307692.307692308</v>
      </c>
    </row>
    <row r="385" spans="1:25" outlineLevel="1" x14ac:dyDescent="0.3">
      <c r="A385" t="s">
        <v>166</v>
      </c>
      <c r="B385" t="s">
        <v>80</v>
      </c>
      <c r="C385" s="6" t="s">
        <v>156</v>
      </c>
      <c r="D385" t="s">
        <v>48</v>
      </c>
      <c r="E385" s="27">
        <f t="shared" ref="E385:W385" si="213">E188/FallWeekendDays</f>
        <v>0</v>
      </c>
      <c r="F385" s="27">
        <f t="shared" si="213"/>
        <v>419214.26923076925</v>
      </c>
      <c r="G385" s="27">
        <f t="shared" si="213"/>
        <v>0</v>
      </c>
      <c r="H385" s="27">
        <f t="shared" si="213"/>
        <v>1073076.923076923</v>
      </c>
      <c r="I385" s="27">
        <f t="shared" si="213"/>
        <v>1073076.923076923</v>
      </c>
      <c r="J385" s="27">
        <f t="shared" si="213"/>
        <v>1073076.923076923</v>
      </c>
      <c r="K385" s="27">
        <f t="shared" si="213"/>
        <v>33343</v>
      </c>
      <c r="L385" s="27">
        <f t="shared" si="213"/>
        <v>814446.5384615385</v>
      </c>
      <c r="M385" s="27">
        <f t="shared" si="213"/>
        <v>0</v>
      </c>
      <c r="N385" s="27">
        <f t="shared" si="213"/>
        <v>1073076.923076923</v>
      </c>
      <c r="O385" s="27">
        <f t="shared" si="213"/>
        <v>1073076.923076923</v>
      </c>
      <c r="P385" s="27">
        <f t="shared" si="213"/>
        <v>1073076.923076923</v>
      </c>
      <c r="Q385" s="27">
        <f t="shared" si="213"/>
        <v>148461.53846153847</v>
      </c>
      <c r="R385" s="27">
        <f t="shared" si="213"/>
        <v>148461.53846153847</v>
      </c>
      <c r="S385" s="27">
        <f t="shared" si="213"/>
        <v>148461.53846153847</v>
      </c>
      <c r="T385" s="27">
        <f t="shared" si="213"/>
        <v>148461.53846153847</v>
      </c>
      <c r="U385" s="27">
        <f t="shared" si="213"/>
        <v>148461.53846153847</v>
      </c>
      <c r="V385" s="27">
        <f t="shared" si="213"/>
        <v>148461.53846153847</v>
      </c>
      <c r="W385" s="27">
        <f t="shared" si="213"/>
        <v>13384615.384615384</v>
      </c>
      <c r="X385" s="27">
        <f t="shared" si="197"/>
        <v>13384615.384615384</v>
      </c>
      <c r="Y385" s="27">
        <f t="shared" si="197"/>
        <v>13384615.384615384</v>
      </c>
    </row>
    <row r="386" spans="1:25" outlineLevel="1" x14ac:dyDescent="0.3">
      <c r="A386" t="s">
        <v>166</v>
      </c>
      <c r="B386" t="s">
        <v>81</v>
      </c>
      <c r="C386" s="6" t="s">
        <v>157</v>
      </c>
      <c r="D386" t="s">
        <v>48</v>
      </c>
      <c r="E386" s="27">
        <f t="shared" ref="E386:W386" si="214">E189/FallWeekendDays</f>
        <v>0</v>
      </c>
      <c r="F386" s="27">
        <f t="shared" si="214"/>
        <v>388363.61538461538</v>
      </c>
      <c r="G386" s="27">
        <f t="shared" si="214"/>
        <v>0</v>
      </c>
      <c r="H386" s="27">
        <f t="shared" si="214"/>
        <v>3034615.3846153845</v>
      </c>
      <c r="I386" s="27">
        <f t="shared" si="214"/>
        <v>3034615.3846153845</v>
      </c>
      <c r="J386" s="27">
        <f t="shared" si="214"/>
        <v>3034615.3846153845</v>
      </c>
      <c r="K386" s="27">
        <f t="shared" si="214"/>
        <v>38161.692307692305</v>
      </c>
      <c r="L386" s="27">
        <f t="shared" si="214"/>
        <v>758035.34615384613</v>
      </c>
      <c r="M386" s="27">
        <f t="shared" si="214"/>
        <v>0</v>
      </c>
      <c r="N386" s="27">
        <f t="shared" si="214"/>
        <v>3034615.3846153845</v>
      </c>
      <c r="O386" s="27">
        <f t="shared" si="214"/>
        <v>3034615.3846153845</v>
      </c>
      <c r="P386" s="27">
        <f t="shared" si="214"/>
        <v>3034615.3846153845</v>
      </c>
      <c r="Q386" s="27">
        <f t="shared" si="214"/>
        <v>148461.53846153847</v>
      </c>
      <c r="R386" s="27">
        <f t="shared" si="214"/>
        <v>148461.53846153847</v>
      </c>
      <c r="S386" s="27">
        <f t="shared" si="214"/>
        <v>148461.53846153847</v>
      </c>
      <c r="T386" s="27">
        <f t="shared" si="214"/>
        <v>148461.53846153847</v>
      </c>
      <c r="U386" s="27">
        <f t="shared" si="214"/>
        <v>148461.53846153847</v>
      </c>
      <c r="V386" s="27">
        <f t="shared" si="214"/>
        <v>148461.53846153847</v>
      </c>
      <c r="W386" s="27">
        <f t="shared" si="214"/>
        <v>13423076.923076924</v>
      </c>
      <c r="X386" s="27">
        <f t="shared" si="197"/>
        <v>13423076.923076924</v>
      </c>
      <c r="Y386" s="27">
        <f t="shared" si="197"/>
        <v>13423076.923076924</v>
      </c>
    </row>
    <row r="387" spans="1:25" outlineLevel="1" x14ac:dyDescent="0.3">
      <c r="A387" t="s">
        <v>166</v>
      </c>
      <c r="B387" t="s">
        <v>82</v>
      </c>
      <c r="C387" s="6" t="s">
        <v>158</v>
      </c>
      <c r="D387" t="s">
        <v>48</v>
      </c>
      <c r="E387" s="27">
        <f t="shared" ref="E387:W387" si="215">E190/FallWeekendDays</f>
        <v>0</v>
      </c>
      <c r="F387" s="27">
        <f t="shared" si="215"/>
        <v>346634.69230769231</v>
      </c>
      <c r="G387" s="27">
        <f t="shared" si="215"/>
        <v>0</v>
      </c>
      <c r="H387" s="27">
        <f t="shared" si="215"/>
        <v>3765384.6153846155</v>
      </c>
      <c r="I387" s="27">
        <f t="shared" si="215"/>
        <v>3765384.6153846155</v>
      </c>
      <c r="J387" s="27">
        <f t="shared" si="215"/>
        <v>3765384.6153846155</v>
      </c>
      <c r="K387" s="27">
        <f t="shared" si="215"/>
        <v>36619.384615384617</v>
      </c>
      <c r="L387" s="27">
        <f t="shared" si="215"/>
        <v>691835.0384615385</v>
      </c>
      <c r="M387" s="27">
        <f t="shared" si="215"/>
        <v>0</v>
      </c>
      <c r="N387" s="27">
        <f t="shared" si="215"/>
        <v>3765384.6153846155</v>
      </c>
      <c r="O387" s="27">
        <f t="shared" si="215"/>
        <v>3765384.6153846155</v>
      </c>
      <c r="P387" s="27">
        <f t="shared" si="215"/>
        <v>3765384.6153846155</v>
      </c>
      <c r="Q387" s="27">
        <f t="shared" si="215"/>
        <v>148076.92307692306</v>
      </c>
      <c r="R387" s="27">
        <f t="shared" si="215"/>
        <v>148076.92307692306</v>
      </c>
      <c r="S387" s="27">
        <f t="shared" si="215"/>
        <v>148076.92307692306</v>
      </c>
      <c r="T387" s="27">
        <f t="shared" si="215"/>
        <v>148076.92307692306</v>
      </c>
      <c r="U387" s="27">
        <f t="shared" si="215"/>
        <v>148076.92307692306</v>
      </c>
      <c r="V387" s="27">
        <f t="shared" si="215"/>
        <v>148076.92307692306</v>
      </c>
      <c r="W387" s="27">
        <f t="shared" si="215"/>
        <v>13346153.846153846</v>
      </c>
      <c r="X387" s="27">
        <f t="shared" si="197"/>
        <v>13346153.846153846</v>
      </c>
      <c r="Y387" s="27">
        <f t="shared" si="197"/>
        <v>13346153.846153846</v>
      </c>
    </row>
    <row r="388" spans="1:25" outlineLevel="1" x14ac:dyDescent="0.3">
      <c r="A388" t="s">
        <v>166</v>
      </c>
      <c r="B388" t="s">
        <v>83</v>
      </c>
      <c r="C388" s="6" t="s">
        <v>159</v>
      </c>
      <c r="D388" t="s">
        <v>48</v>
      </c>
      <c r="E388" s="27">
        <f t="shared" ref="E388:W388" si="216">E191/FallWeekendDays</f>
        <v>0</v>
      </c>
      <c r="F388" s="27">
        <f t="shared" si="216"/>
        <v>291899.73076923075</v>
      </c>
      <c r="G388" s="27">
        <f t="shared" si="216"/>
        <v>0</v>
      </c>
      <c r="H388" s="27">
        <f t="shared" si="216"/>
        <v>3942307.6923076925</v>
      </c>
      <c r="I388" s="27">
        <f t="shared" si="216"/>
        <v>3942307.6923076925</v>
      </c>
      <c r="J388" s="27">
        <f t="shared" si="216"/>
        <v>3942307.6923076925</v>
      </c>
      <c r="K388" s="27">
        <f t="shared" si="216"/>
        <v>40335.5</v>
      </c>
      <c r="L388" s="27">
        <f t="shared" si="216"/>
        <v>612973.5</v>
      </c>
      <c r="M388" s="27">
        <f t="shared" si="216"/>
        <v>0</v>
      </c>
      <c r="N388" s="27">
        <f t="shared" si="216"/>
        <v>3942307.6923076925</v>
      </c>
      <c r="O388" s="27">
        <f t="shared" si="216"/>
        <v>3942307.6923076925</v>
      </c>
      <c r="P388" s="27">
        <f t="shared" si="216"/>
        <v>3942307.6923076925</v>
      </c>
      <c r="Q388" s="27">
        <f t="shared" si="216"/>
        <v>147692.30769230769</v>
      </c>
      <c r="R388" s="27">
        <f t="shared" si="216"/>
        <v>147692.30769230769</v>
      </c>
      <c r="S388" s="27">
        <f t="shared" si="216"/>
        <v>147692.30769230769</v>
      </c>
      <c r="T388" s="27">
        <f t="shared" si="216"/>
        <v>147692.30769230769</v>
      </c>
      <c r="U388" s="27">
        <f t="shared" si="216"/>
        <v>147692.30769230769</v>
      </c>
      <c r="V388" s="27">
        <f t="shared" si="216"/>
        <v>147692.30769230769</v>
      </c>
      <c r="W388" s="27">
        <f t="shared" si="216"/>
        <v>13346153.846153846</v>
      </c>
      <c r="X388" s="27">
        <f t="shared" si="197"/>
        <v>13346153.846153846</v>
      </c>
      <c r="Y388" s="27">
        <f t="shared" si="197"/>
        <v>13346153.846153846</v>
      </c>
    </row>
    <row r="389" spans="1:25" outlineLevel="1" x14ac:dyDescent="0.3">
      <c r="A389" t="s">
        <v>166</v>
      </c>
      <c r="B389" t="s">
        <v>84</v>
      </c>
      <c r="C389" s="6" t="s">
        <v>160</v>
      </c>
      <c r="D389" t="s">
        <v>48</v>
      </c>
      <c r="E389" s="27">
        <f t="shared" ref="E389:W389" si="217">E192/FallWeekendDays</f>
        <v>0</v>
      </c>
      <c r="F389" s="27">
        <f t="shared" si="217"/>
        <v>235818.61538461538</v>
      </c>
      <c r="G389" s="27">
        <f t="shared" si="217"/>
        <v>0</v>
      </c>
      <c r="H389" s="27">
        <f t="shared" si="217"/>
        <v>3923076.923076923</v>
      </c>
      <c r="I389" s="27">
        <f t="shared" si="217"/>
        <v>3923076.923076923</v>
      </c>
      <c r="J389" s="27">
        <f t="shared" si="217"/>
        <v>3923076.923076923</v>
      </c>
      <c r="K389" s="27">
        <f t="shared" si="217"/>
        <v>46725.615384615383</v>
      </c>
      <c r="L389" s="27">
        <f t="shared" si="217"/>
        <v>545683.65384615387</v>
      </c>
      <c r="M389" s="27">
        <f t="shared" si="217"/>
        <v>0</v>
      </c>
      <c r="N389" s="27">
        <f t="shared" si="217"/>
        <v>3923076.923076923</v>
      </c>
      <c r="O389" s="27">
        <f t="shared" si="217"/>
        <v>3923076.923076923</v>
      </c>
      <c r="P389" s="27">
        <f t="shared" si="217"/>
        <v>3923076.923076923</v>
      </c>
      <c r="Q389" s="27">
        <f t="shared" si="217"/>
        <v>146923.07692307694</v>
      </c>
      <c r="R389" s="27">
        <f t="shared" si="217"/>
        <v>146923.07692307694</v>
      </c>
      <c r="S389" s="27">
        <f t="shared" si="217"/>
        <v>146923.07692307694</v>
      </c>
      <c r="T389" s="27">
        <f t="shared" si="217"/>
        <v>146923.07692307694</v>
      </c>
      <c r="U389" s="27">
        <f t="shared" si="217"/>
        <v>146923.07692307694</v>
      </c>
      <c r="V389" s="27">
        <f t="shared" si="217"/>
        <v>146923.07692307694</v>
      </c>
      <c r="W389" s="27">
        <f t="shared" si="217"/>
        <v>13269230.76923077</v>
      </c>
      <c r="X389" s="27">
        <f t="shared" si="197"/>
        <v>13269230.76923077</v>
      </c>
      <c r="Y389" s="27">
        <f t="shared" si="197"/>
        <v>13269230.76923077</v>
      </c>
    </row>
    <row r="390" spans="1:25" outlineLevel="1" x14ac:dyDescent="0.3">
      <c r="A390" t="s">
        <v>166</v>
      </c>
      <c r="B390" t="s">
        <v>85</v>
      </c>
      <c r="C390" s="6" t="s">
        <v>161</v>
      </c>
      <c r="D390" t="s">
        <v>48</v>
      </c>
      <c r="E390" s="27">
        <f t="shared" ref="E390:W390" si="218">E193/FallWeekendDays</f>
        <v>0</v>
      </c>
      <c r="F390" s="27">
        <f t="shared" si="218"/>
        <v>186708.19230769231</v>
      </c>
      <c r="G390" s="27">
        <f t="shared" si="218"/>
        <v>0</v>
      </c>
      <c r="H390" s="27">
        <f t="shared" si="218"/>
        <v>3242307.6923076925</v>
      </c>
      <c r="I390" s="27">
        <f t="shared" si="218"/>
        <v>3242307.6923076925</v>
      </c>
      <c r="J390" s="27">
        <f t="shared" si="218"/>
        <v>3242307.6923076925</v>
      </c>
      <c r="K390" s="27">
        <f t="shared" si="218"/>
        <v>46878.538461538461</v>
      </c>
      <c r="L390" s="27">
        <f t="shared" si="218"/>
        <v>488906.69230769231</v>
      </c>
      <c r="M390" s="27">
        <f t="shared" si="218"/>
        <v>0</v>
      </c>
      <c r="N390" s="27">
        <f t="shared" si="218"/>
        <v>3242307.6923076925</v>
      </c>
      <c r="O390" s="27">
        <f t="shared" si="218"/>
        <v>3242307.6923076925</v>
      </c>
      <c r="P390" s="27">
        <f t="shared" si="218"/>
        <v>3242307.6923076925</v>
      </c>
      <c r="Q390" s="27">
        <f t="shared" si="218"/>
        <v>146153.84615384616</v>
      </c>
      <c r="R390" s="27">
        <f t="shared" si="218"/>
        <v>146153.84615384616</v>
      </c>
      <c r="S390" s="27">
        <f t="shared" si="218"/>
        <v>146153.84615384616</v>
      </c>
      <c r="T390" s="27">
        <f t="shared" si="218"/>
        <v>146153.84615384616</v>
      </c>
      <c r="U390" s="27">
        <f t="shared" si="218"/>
        <v>146153.84615384616</v>
      </c>
      <c r="V390" s="27">
        <f t="shared" si="218"/>
        <v>146153.84615384616</v>
      </c>
      <c r="W390" s="27">
        <f t="shared" si="218"/>
        <v>13192307.692307692</v>
      </c>
      <c r="X390" s="27">
        <f t="shared" si="197"/>
        <v>13192307.692307692</v>
      </c>
      <c r="Y390" s="27">
        <f t="shared" si="197"/>
        <v>13192307.692307692</v>
      </c>
    </row>
    <row r="391" spans="1:25" outlineLevel="1" x14ac:dyDescent="0.3">
      <c r="A391" t="s">
        <v>166</v>
      </c>
      <c r="B391" t="s">
        <v>86</v>
      </c>
      <c r="C391" s="6" t="s">
        <v>162</v>
      </c>
      <c r="D391" t="s">
        <v>48</v>
      </c>
      <c r="E391" s="27">
        <f t="shared" ref="E391:W391" si="219">E194/FallWeekendDays</f>
        <v>0</v>
      </c>
      <c r="F391" s="27">
        <f t="shared" si="219"/>
        <v>146836.84615384616</v>
      </c>
      <c r="G391" s="27">
        <f t="shared" si="219"/>
        <v>0</v>
      </c>
      <c r="H391" s="27">
        <f t="shared" si="219"/>
        <v>2092307.6923076923</v>
      </c>
      <c r="I391" s="27">
        <f t="shared" si="219"/>
        <v>2092307.6923076923</v>
      </c>
      <c r="J391" s="27">
        <f t="shared" si="219"/>
        <v>2092307.6923076923</v>
      </c>
      <c r="K391" s="27">
        <f t="shared" si="219"/>
        <v>42286.153846153844</v>
      </c>
      <c r="L391" s="27">
        <f t="shared" si="219"/>
        <v>441056.53846153844</v>
      </c>
      <c r="M391" s="27">
        <f t="shared" si="219"/>
        <v>0</v>
      </c>
      <c r="N391" s="27">
        <f t="shared" si="219"/>
        <v>2092307.6923076923</v>
      </c>
      <c r="O391" s="27">
        <f t="shared" si="219"/>
        <v>2092307.6923076923</v>
      </c>
      <c r="P391" s="27">
        <f t="shared" si="219"/>
        <v>2092307.6923076923</v>
      </c>
      <c r="Q391" s="27">
        <f t="shared" si="219"/>
        <v>146153.84615384616</v>
      </c>
      <c r="R391" s="27">
        <f t="shared" si="219"/>
        <v>146153.84615384616</v>
      </c>
      <c r="S391" s="27">
        <f t="shared" si="219"/>
        <v>146153.84615384616</v>
      </c>
      <c r="T391" s="27">
        <f t="shared" si="219"/>
        <v>146153.84615384616</v>
      </c>
      <c r="U391" s="27">
        <f t="shared" si="219"/>
        <v>146153.84615384616</v>
      </c>
      <c r="V391" s="27">
        <f t="shared" si="219"/>
        <v>146153.84615384616</v>
      </c>
      <c r="W391" s="27">
        <f t="shared" si="219"/>
        <v>13153846.153846154</v>
      </c>
      <c r="X391" s="27">
        <f t="shared" si="197"/>
        <v>13153846.153846154</v>
      </c>
      <c r="Y391" s="27">
        <f t="shared" si="197"/>
        <v>13153846.153846154</v>
      </c>
    </row>
    <row r="392" spans="1:25" outlineLevel="1" x14ac:dyDescent="0.3">
      <c r="A392" t="s">
        <v>166</v>
      </c>
      <c r="B392" t="s">
        <v>87</v>
      </c>
      <c r="C392" s="6" t="s">
        <v>163</v>
      </c>
      <c r="D392" t="s">
        <v>48</v>
      </c>
      <c r="E392" s="27">
        <f t="shared" ref="E392:W392" si="220">E195/FallWeekendDays</f>
        <v>0</v>
      </c>
      <c r="F392" s="27">
        <f t="shared" si="220"/>
        <v>117727.65384615384</v>
      </c>
      <c r="G392" s="27">
        <f t="shared" si="220"/>
        <v>0</v>
      </c>
      <c r="H392" s="27">
        <f t="shared" si="220"/>
        <v>1169230.7692307692</v>
      </c>
      <c r="I392" s="27">
        <f t="shared" si="220"/>
        <v>1169230.7692307692</v>
      </c>
      <c r="J392" s="27">
        <f t="shared" si="220"/>
        <v>1169230.7692307692</v>
      </c>
      <c r="K392" s="27">
        <f t="shared" si="220"/>
        <v>44307.346153846156</v>
      </c>
      <c r="L392" s="27">
        <f t="shared" si="220"/>
        <v>399684.34615384613</v>
      </c>
      <c r="M392" s="27">
        <f t="shared" si="220"/>
        <v>0</v>
      </c>
      <c r="N392" s="27">
        <f t="shared" si="220"/>
        <v>1169230.7692307692</v>
      </c>
      <c r="O392" s="27">
        <f t="shared" si="220"/>
        <v>1169230.7692307692</v>
      </c>
      <c r="P392" s="27">
        <f t="shared" si="220"/>
        <v>1169230.7692307692</v>
      </c>
      <c r="Q392" s="27">
        <f t="shared" si="220"/>
        <v>98076.923076923078</v>
      </c>
      <c r="R392" s="27">
        <f t="shared" si="220"/>
        <v>98076.923076923078</v>
      </c>
      <c r="S392" s="27">
        <f t="shared" si="220"/>
        <v>98076.923076923078</v>
      </c>
      <c r="T392" s="27">
        <f t="shared" si="220"/>
        <v>98076.923076923078</v>
      </c>
      <c r="U392" s="27">
        <f t="shared" si="220"/>
        <v>98076.923076923078</v>
      </c>
      <c r="V392" s="27">
        <f t="shared" si="220"/>
        <v>98076.923076923078</v>
      </c>
      <c r="W392" s="27">
        <f t="shared" si="220"/>
        <v>13115384.615384616</v>
      </c>
      <c r="X392" s="27">
        <f t="shared" si="197"/>
        <v>13115384.615384616</v>
      </c>
      <c r="Y392" s="27">
        <f t="shared" si="197"/>
        <v>13115384.615384616</v>
      </c>
    </row>
    <row r="393" spans="1:25" outlineLevel="1" x14ac:dyDescent="0.3"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 spans="1:25" x14ac:dyDescent="0.3"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 spans="1:25" x14ac:dyDescent="0.3">
      <c r="A395" s="51" t="s">
        <v>168</v>
      </c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</row>
    <row r="396" spans="1:25" x14ac:dyDescent="0.3">
      <c r="E396" t="s">
        <v>118</v>
      </c>
      <c r="F396" t="s">
        <v>118</v>
      </c>
      <c r="G396" t="s">
        <v>118</v>
      </c>
      <c r="H396" t="s">
        <v>118</v>
      </c>
      <c r="I396" t="s">
        <v>118</v>
      </c>
      <c r="J396" t="s">
        <v>118</v>
      </c>
      <c r="K396" t="s">
        <v>119</v>
      </c>
      <c r="L396" t="s">
        <v>119</v>
      </c>
      <c r="M396" t="s">
        <v>119</v>
      </c>
      <c r="N396" t="s">
        <v>119</v>
      </c>
      <c r="O396" t="s">
        <v>119</v>
      </c>
      <c r="P396" t="s">
        <v>119</v>
      </c>
      <c r="Q396" t="s">
        <v>120</v>
      </c>
      <c r="R396" t="s">
        <v>120</v>
      </c>
      <c r="S396" t="s">
        <v>120</v>
      </c>
      <c r="T396" t="s">
        <v>120</v>
      </c>
      <c r="U396" t="s">
        <v>120</v>
      </c>
      <c r="V396" t="s">
        <v>120</v>
      </c>
      <c r="W396" t="s">
        <v>121</v>
      </c>
      <c r="X396" t="s">
        <v>121</v>
      </c>
      <c r="Y396" s="21" t="s">
        <v>121</v>
      </c>
    </row>
    <row r="397" spans="1:25" ht="28.8" x14ac:dyDescent="0.3">
      <c r="E397" s="4" t="s">
        <v>125</v>
      </c>
      <c r="F397" s="4" t="s">
        <v>126</v>
      </c>
      <c r="G397" s="4" t="s">
        <v>127</v>
      </c>
      <c r="H397" s="4" t="s">
        <v>128</v>
      </c>
      <c r="I397" s="4" t="s">
        <v>129</v>
      </c>
      <c r="J397" s="4" t="s">
        <v>130</v>
      </c>
      <c r="K397" s="4" t="s">
        <v>125</v>
      </c>
      <c r="L397" s="4" t="s">
        <v>126</v>
      </c>
      <c r="M397" s="4" t="s">
        <v>127</v>
      </c>
      <c r="N397" s="4" t="s">
        <v>128</v>
      </c>
      <c r="O397" s="4" t="s">
        <v>129</v>
      </c>
      <c r="P397" s="4" t="s">
        <v>130</v>
      </c>
      <c r="Q397" s="4" t="s">
        <v>131</v>
      </c>
      <c r="R397" s="4" t="s">
        <v>132</v>
      </c>
      <c r="S397" s="4" t="s">
        <v>133</v>
      </c>
      <c r="T397" s="4" t="s">
        <v>134</v>
      </c>
      <c r="U397" s="4" t="s">
        <v>135</v>
      </c>
      <c r="V397" s="4" t="s">
        <v>136</v>
      </c>
      <c r="W397" s="4" t="s">
        <v>121</v>
      </c>
      <c r="X397" s="4" t="s">
        <v>137</v>
      </c>
      <c r="Y397" s="25" t="s">
        <v>138</v>
      </c>
    </row>
    <row r="398" spans="1:25" x14ac:dyDescent="0.3">
      <c r="E398" s="10">
        <f>SUM(E4:E195)</f>
        <v>0</v>
      </c>
      <c r="F398" s="10">
        <f t="shared" ref="F398:Y398" si="221">SUM(F4:F195)</f>
        <v>2332806191</v>
      </c>
      <c r="G398" s="10">
        <f t="shared" si="221"/>
        <v>0</v>
      </c>
      <c r="H398" s="10">
        <f t="shared" si="221"/>
        <v>15645647467</v>
      </c>
      <c r="I398" s="10">
        <f>SUM(I4:I195)</f>
        <v>15645647467</v>
      </c>
      <c r="J398" s="10">
        <f t="shared" si="221"/>
        <v>15645647467</v>
      </c>
      <c r="K398" s="10">
        <f t="shared" si="221"/>
        <v>1018011834</v>
      </c>
      <c r="L398" s="10">
        <f t="shared" si="221"/>
        <v>6411284768</v>
      </c>
      <c r="M398" s="10">
        <f t="shared" si="221"/>
        <v>0</v>
      </c>
      <c r="N398" s="10">
        <f t="shared" si="221"/>
        <v>15645647467</v>
      </c>
      <c r="O398" s="10">
        <f t="shared" si="221"/>
        <v>15645647467</v>
      </c>
      <c r="P398" s="10">
        <f t="shared" si="221"/>
        <v>15645647467</v>
      </c>
      <c r="Q398" s="10">
        <f t="shared" si="221"/>
        <v>1400649000</v>
      </c>
      <c r="R398" s="10">
        <f t="shared" si="221"/>
        <v>1400649000</v>
      </c>
      <c r="S398" s="10">
        <f t="shared" si="221"/>
        <v>1400649000</v>
      </c>
      <c r="T398" s="10">
        <f t="shared" si="221"/>
        <v>1400649000</v>
      </c>
      <c r="U398" s="10">
        <f t="shared" si="221"/>
        <v>1400649000</v>
      </c>
      <c r="V398" s="10">
        <f t="shared" si="221"/>
        <v>1400649000</v>
      </c>
      <c r="W398" s="10">
        <f t="shared" si="221"/>
        <v>143871000000</v>
      </c>
      <c r="X398" s="10">
        <f t="shared" si="221"/>
        <v>143871000000</v>
      </c>
      <c r="Y398" s="27">
        <f t="shared" si="221"/>
        <v>143871000000</v>
      </c>
    </row>
    <row r="400" spans="1:25" x14ac:dyDescent="0.3">
      <c r="A400" s="51" t="s">
        <v>169</v>
      </c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</row>
    <row r="401" spans="1:25" outlineLevel="1" x14ac:dyDescent="0.3">
      <c r="E401" t="s">
        <v>118</v>
      </c>
      <c r="F401" t="s">
        <v>118</v>
      </c>
      <c r="G401" t="s">
        <v>118</v>
      </c>
      <c r="H401" t="s">
        <v>118</v>
      </c>
      <c r="I401" t="s">
        <v>118</v>
      </c>
      <c r="J401" t="s">
        <v>118</v>
      </c>
      <c r="K401" t="s">
        <v>119</v>
      </c>
      <c r="L401" t="s">
        <v>119</v>
      </c>
      <c r="M401" t="s">
        <v>119</v>
      </c>
      <c r="N401" t="s">
        <v>119</v>
      </c>
      <c r="O401" t="s">
        <v>119</v>
      </c>
      <c r="P401" t="s">
        <v>119</v>
      </c>
      <c r="Q401" t="s">
        <v>120</v>
      </c>
      <c r="R401" t="s">
        <v>120</v>
      </c>
      <c r="S401" t="s">
        <v>120</v>
      </c>
      <c r="T401" t="s">
        <v>120</v>
      </c>
      <c r="U401" t="s">
        <v>120</v>
      </c>
      <c r="V401" t="s">
        <v>120</v>
      </c>
      <c r="W401" t="s">
        <v>121</v>
      </c>
      <c r="X401" t="s">
        <v>121</v>
      </c>
      <c r="Y401" s="21" t="s">
        <v>121</v>
      </c>
    </row>
    <row r="402" spans="1:25" ht="28.8" outlineLevel="1" x14ac:dyDescent="0.3">
      <c r="A402" s="4" t="s">
        <v>122</v>
      </c>
      <c r="B402" s="50" t="s">
        <v>123</v>
      </c>
      <c r="C402" s="50"/>
      <c r="D402" s="4" t="s">
        <v>124</v>
      </c>
      <c r="E402" s="4" t="s">
        <v>125</v>
      </c>
      <c r="F402" s="4" t="s">
        <v>126</v>
      </c>
      <c r="G402" s="4" t="s">
        <v>127</v>
      </c>
      <c r="H402" s="4" t="s">
        <v>128</v>
      </c>
      <c r="I402" s="4" t="s">
        <v>129</v>
      </c>
      <c r="J402" s="4" t="s">
        <v>130</v>
      </c>
      <c r="K402" s="4" t="s">
        <v>125</v>
      </c>
      <c r="L402" s="4" t="s">
        <v>126</v>
      </c>
      <c r="M402" s="4" t="s">
        <v>127</v>
      </c>
      <c r="N402" s="4" t="s">
        <v>128</v>
      </c>
      <c r="O402" s="4" t="s">
        <v>129</v>
      </c>
      <c r="P402" s="4" t="s">
        <v>130</v>
      </c>
      <c r="Q402" s="4" t="s">
        <v>131</v>
      </c>
      <c r="R402" s="4" t="s">
        <v>132</v>
      </c>
      <c r="S402" s="4" t="s">
        <v>133</v>
      </c>
      <c r="T402" s="4" t="s">
        <v>134</v>
      </c>
      <c r="U402" s="4" t="s">
        <v>135</v>
      </c>
      <c r="V402" s="4" t="s">
        <v>136</v>
      </c>
      <c r="W402" s="4" t="s">
        <v>121</v>
      </c>
      <c r="X402" s="4" t="s">
        <v>137</v>
      </c>
      <c r="Y402" s="25" t="s">
        <v>138</v>
      </c>
    </row>
    <row r="403" spans="1:25" outlineLevel="1" x14ac:dyDescent="0.3">
      <c r="A403" t="s">
        <v>139</v>
      </c>
      <c r="B403" t="s">
        <v>64</v>
      </c>
      <c r="C403" s="6" t="s">
        <v>140</v>
      </c>
      <c r="D403" t="s">
        <v>49</v>
      </c>
      <c r="E403" s="27" t="e">
        <f>E201/E$398</f>
        <v>#DIV/0!</v>
      </c>
      <c r="F403" s="27">
        <f t="shared" ref="F403:Y416" si="222">F201/F$398</f>
        <v>1.3590637038146572E-5</v>
      </c>
      <c r="G403" s="29">
        <v>0</v>
      </c>
      <c r="H403" s="27">
        <f t="shared" si="222"/>
        <v>7.1684828507171411E-5</v>
      </c>
      <c r="I403" s="21">
        <f>I201/I$398</f>
        <v>7.1684828507171411E-5</v>
      </c>
      <c r="J403" s="27">
        <f t="shared" si="222"/>
        <v>7.1684828507171411E-5</v>
      </c>
      <c r="K403" s="27">
        <f t="shared" si="222"/>
        <v>2.3350675727235433E-4</v>
      </c>
      <c r="L403" s="27">
        <f t="shared" si="222"/>
        <v>3.6359065406938772E-5</v>
      </c>
      <c r="M403" s="29">
        <v>0</v>
      </c>
      <c r="N403" s="27">
        <f t="shared" si="222"/>
        <v>7.1684828507171411E-5</v>
      </c>
      <c r="O403" s="27">
        <f t="shared" si="222"/>
        <v>7.1684828507171411E-5</v>
      </c>
      <c r="P403" s="27">
        <f t="shared" si="222"/>
        <v>7.1684828507171411E-5</v>
      </c>
      <c r="Q403" s="27">
        <f t="shared" si="222"/>
        <v>7.9074454453296699E-5</v>
      </c>
      <c r="R403" s="27">
        <f t="shared" si="222"/>
        <v>7.9074454453296699E-5</v>
      </c>
      <c r="S403" s="27">
        <f t="shared" si="222"/>
        <v>7.9074454453296699E-5</v>
      </c>
      <c r="T403" s="27">
        <f t="shared" si="222"/>
        <v>7.9074454453296699E-5</v>
      </c>
      <c r="U403" s="27">
        <f t="shared" si="222"/>
        <v>7.9074454453296699E-5</v>
      </c>
      <c r="V403" s="27">
        <f t="shared" si="222"/>
        <v>7.9074454453296699E-5</v>
      </c>
      <c r="W403" s="27">
        <f t="shared" si="222"/>
        <v>1.4109862307205764E-4</v>
      </c>
      <c r="X403" s="27">
        <f t="shared" si="222"/>
        <v>1.4109862307205764E-4</v>
      </c>
      <c r="Y403" s="27">
        <f t="shared" si="222"/>
        <v>1.4109862307205764E-4</v>
      </c>
    </row>
    <row r="404" spans="1:25" outlineLevel="1" x14ac:dyDescent="0.3">
      <c r="A404" t="s">
        <v>139</v>
      </c>
      <c r="B404" t="s">
        <v>65</v>
      </c>
      <c r="C404" s="6" t="s">
        <v>141</v>
      </c>
      <c r="D404" t="s">
        <v>49</v>
      </c>
      <c r="E404" s="27" t="e">
        <f t="shared" ref="E404:T467" si="223">E202/E$398</f>
        <v>#DIV/0!</v>
      </c>
      <c r="F404" s="27">
        <f t="shared" si="223"/>
        <v>1.0814116438435747E-5</v>
      </c>
      <c r="G404" s="29">
        <v>0</v>
      </c>
      <c r="H404" s="27">
        <f t="shared" si="223"/>
        <v>6.6117074836711498E-5</v>
      </c>
      <c r="I404" s="27">
        <f t="shared" si="223"/>
        <v>6.6117074836711498E-5</v>
      </c>
      <c r="J404" s="27">
        <f t="shared" si="223"/>
        <v>6.6117074836711498E-5</v>
      </c>
      <c r="K404" s="27">
        <f t="shared" si="223"/>
        <v>2.1329372439844895E-4</v>
      </c>
      <c r="L404" s="27">
        <f t="shared" si="223"/>
        <v>3.4006260506193764E-5</v>
      </c>
      <c r="M404" s="29">
        <v>0</v>
      </c>
      <c r="N404" s="27">
        <f t="shared" si="223"/>
        <v>6.6117074836711498E-5</v>
      </c>
      <c r="O404" s="27">
        <f t="shared" si="223"/>
        <v>6.6117074836711498E-5</v>
      </c>
      <c r="P404" s="27">
        <f t="shared" si="223"/>
        <v>6.6117074836711498E-5</v>
      </c>
      <c r="Q404" s="27">
        <f t="shared" si="223"/>
        <v>7.8852335199214397E-5</v>
      </c>
      <c r="R404" s="27">
        <f t="shared" si="223"/>
        <v>7.8852335199214397E-5</v>
      </c>
      <c r="S404" s="27">
        <f t="shared" si="223"/>
        <v>7.8852335199214397E-5</v>
      </c>
      <c r="T404" s="27">
        <f t="shared" si="223"/>
        <v>7.8852335199214397E-5</v>
      </c>
      <c r="U404" s="27">
        <f t="shared" si="222"/>
        <v>7.8852335199214397E-5</v>
      </c>
      <c r="V404" s="27">
        <f t="shared" si="222"/>
        <v>7.8852335199214397E-5</v>
      </c>
      <c r="W404" s="27">
        <f t="shared" si="222"/>
        <v>1.4088237997156406E-4</v>
      </c>
      <c r="X404" s="27">
        <f t="shared" si="222"/>
        <v>1.4088237997156406E-4</v>
      </c>
      <c r="Y404" s="27">
        <f t="shared" si="222"/>
        <v>1.4088237997156406E-4</v>
      </c>
    </row>
    <row r="405" spans="1:25" outlineLevel="1" x14ac:dyDescent="0.3">
      <c r="A405" t="s">
        <v>139</v>
      </c>
      <c r="B405" t="s">
        <v>66</v>
      </c>
      <c r="C405" s="6" t="s">
        <v>142</v>
      </c>
      <c r="D405" t="s">
        <v>49</v>
      </c>
      <c r="E405" s="27" t="e">
        <f t="shared" si="223"/>
        <v>#DIV/0!</v>
      </c>
      <c r="F405" s="27">
        <f t="shared" si="222"/>
        <v>9.9775541104949008E-6</v>
      </c>
      <c r="G405" s="29">
        <v>0</v>
      </c>
      <c r="H405" s="27">
        <f t="shared" si="222"/>
        <v>6.5421105627904002E-5</v>
      </c>
      <c r="I405" s="27">
        <f t="shared" si="222"/>
        <v>6.5421105627904002E-5</v>
      </c>
      <c r="J405" s="27">
        <f t="shared" si="222"/>
        <v>6.5421105627904002E-5</v>
      </c>
      <c r="K405" s="27">
        <f t="shared" si="222"/>
        <v>1.912582678287412E-4</v>
      </c>
      <c r="L405" s="27">
        <f t="shared" si="222"/>
        <v>3.3067036380104638E-5</v>
      </c>
      <c r="M405" s="29">
        <v>0</v>
      </c>
      <c r="N405" s="27">
        <f t="shared" si="222"/>
        <v>6.5421105627904002E-5</v>
      </c>
      <c r="O405" s="27">
        <f t="shared" si="222"/>
        <v>6.5421105627904002E-5</v>
      </c>
      <c r="P405" s="27">
        <f t="shared" si="222"/>
        <v>6.5421105627904002E-5</v>
      </c>
      <c r="Q405" s="27">
        <f t="shared" si="222"/>
        <v>7.8852335199214397E-5</v>
      </c>
      <c r="R405" s="27">
        <f t="shared" si="222"/>
        <v>7.8852335199214397E-5</v>
      </c>
      <c r="S405" s="27">
        <f t="shared" si="222"/>
        <v>7.8852335199214397E-5</v>
      </c>
      <c r="T405" s="27">
        <f t="shared" si="222"/>
        <v>7.8852335199214397E-5</v>
      </c>
      <c r="U405" s="27">
        <f t="shared" si="222"/>
        <v>7.8852335199214397E-5</v>
      </c>
      <c r="V405" s="27">
        <f t="shared" si="222"/>
        <v>7.8852335199214397E-5</v>
      </c>
      <c r="W405" s="27">
        <f t="shared" si="222"/>
        <v>1.4088237997156406E-4</v>
      </c>
      <c r="X405" s="27">
        <f t="shared" si="222"/>
        <v>1.4088237997156406E-4</v>
      </c>
      <c r="Y405" s="27">
        <f t="shared" si="222"/>
        <v>1.4088237997156406E-4</v>
      </c>
    </row>
    <row r="406" spans="1:25" outlineLevel="1" x14ac:dyDescent="0.3">
      <c r="A406" t="s">
        <v>139</v>
      </c>
      <c r="B406" t="s">
        <v>67</v>
      </c>
      <c r="C406" s="6" t="s">
        <v>143</v>
      </c>
      <c r="D406" t="s">
        <v>49</v>
      </c>
      <c r="E406" s="27" t="e">
        <f t="shared" si="223"/>
        <v>#DIV/0!</v>
      </c>
      <c r="F406" s="27">
        <f t="shared" si="222"/>
        <v>1.0861547153894898E-5</v>
      </c>
      <c r="G406" s="29">
        <v>0</v>
      </c>
      <c r="H406" s="27">
        <f t="shared" si="222"/>
        <v>6.6912468218205756E-5</v>
      </c>
      <c r="I406" s="27">
        <f t="shared" si="222"/>
        <v>6.6912468218205756E-5</v>
      </c>
      <c r="J406" s="27">
        <f t="shared" si="222"/>
        <v>6.6912468218205756E-5</v>
      </c>
      <c r="K406" s="27">
        <f t="shared" si="222"/>
        <v>1.9735051964478879E-4</v>
      </c>
      <c r="L406" s="27">
        <f t="shared" si="222"/>
        <v>3.2722272061842763E-5</v>
      </c>
      <c r="M406" s="29">
        <v>0</v>
      </c>
      <c r="N406" s="27">
        <f t="shared" si="222"/>
        <v>6.6912468218205756E-5</v>
      </c>
      <c r="O406" s="27">
        <f t="shared" si="222"/>
        <v>6.6912468218205756E-5</v>
      </c>
      <c r="P406" s="27">
        <f t="shared" si="222"/>
        <v>6.6912468218205756E-5</v>
      </c>
      <c r="Q406" s="27">
        <f t="shared" si="222"/>
        <v>7.8852335199214397E-5</v>
      </c>
      <c r="R406" s="27">
        <f t="shared" si="222"/>
        <v>7.8852335199214397E-5</v>
      </c>
      <c r="S406" s="27">
        <f t="shared" si="222"/>
        <v>7.8852335199214397E-5</v>
      </c>
      <c r="T406" s="27">
        <f t="shared" si="222"/>
        <v>7.8852335199214397E-5</v>
      </c>
      <c r="U406" s="27">
        <f t="shared" si="222"/>
        <v>7.8852335199214397E-5</v>
      </c>
      <c r="V406" s="27">
        <f t="shared" si="222"/>
        <v>7.8852335199214397E-5</v>
      </c>
      <c r="W406" s="27">
        <f t="shared" si="222"/>
        <v>1.4088237997156406E-4</v>
      </c>
      <c r="X406" s="27">
        <f t="shared" si="222"/>
        <v>1.4088237997156406E-4</v>
      </c>
      <c r="Y406" s="27">
        <f t="shared" si="222"/>
        <v>1.4088237997156406E-4</v>
      </c>
    </row>
    <row r="407" spans="1:25" outlineLevel="1" x14ac:dyDescent="0.3">
      <c r="A407" t="s">
        <v>139</v>
      </c>
      <c r="B407" t="s">
        <v>68</v>
      </c>
      <c r="C407" s="6" t="s">
        <v>144</v>
      </c>
      <c r="D407" t="s">
        <v>49</v>
      </c>
      <c r="E407" s="27" t="e">
        <f t="shared" si="223"/>
        <v>#DIV/0!</v>
      </c>
      <c r="F407" s="27">
        <f t="shared" si="222"/>
        <v>1.337970271758994E-5</v>
      </c>
      <c r="G407" s="29">
        <v>0</v>
      </c>
      <c r="H407" s="27">
        <f t="shared" si="222"/>
        <v>8.6001909374068335E-5</v>
      </c>
      <c r="I407" s="27">
        <f t="shared" si="222"/>
        <v>8.6001909374068335E-5</v>
      </c>
      <c r="J407" s="27">
        <f t="shared" si="222"/>
        <v>8.6001909374068335E-5</v>
      </c>
      <c r="K407" s="27">
        <f t="shared" si="222"/>
        <v>2.0692604465560885E-4</v>
      </c>
      <c r="L407" s="27">
        <f t="shared" si="222"/>
        <v>3.3008026886632284E-5</v>
      </c>
      <c r="M407" s="29">
        <v>0</v>
      </c>
      <c r="N407" s="27">
        <f t="shared" si="222"/>
        <v>8.6001909374068335E-5</v>
      </c>
      <c r="O407" s="27">
        <f t="shared" si="222"/>
        <v>8.6001909374068335E-5</v>
      </c>
      <c r="P407" s="27">
        <f t="shared" si="222"/>
        <v>8.6001909374068335E-5</v>
      </c>
      <c r="Q407" s="27">
        <f t="shared" si="222"/>
        <v>7.8852335199214397E-5</v>
      </c>
      <c r="R407" s="27">
        <f t="shared" si="222"/>
        <v>7.8852335199214397E-5</v>
      </c>
      <c r="S407" s="27">
        <f t="shared" si="222"/>
        <v>7.8852335199214397E-5</v>
      </c>
      <c r="T407" s="27">
        <f t="shared" si="222"/>
        <v>7.8852335199214397E-5</v>
      </c>
      <c r="U407" s="27">
        <f t="shared" si="222"/>
        <v>7.8852335199214397E-5</v>
      </c>
      <c r="V407" s="27">
        <f t="shared" si="222"/>
        <v>7.8852335199214397E-5</v>
      </c>
      <c r="W407" s="27">
        <f t="shared" si="222"/>
        <v>1.4109862307205764E-4</v>
      </c>
      <c r="X407" s="27">
        <f t="shared" si="222"/>
        <v>1.4109862307205764E-4</v>
      </c>
      <c r="Y407" s="27">
        <f t="shared" si="222"/>
        <v>1.4109862307205764E-4</v>
      </c>
    </row>
    <row r="408" spans="1:25" outlineLevel="1" x14ac:dyDescent="0.3">
      <c r="A408" t="s">
        <v>139</v>
      </c>
      <c r="B408" t="s">
        <v>69</v>
      </c>
      <c r="C408" s="6" t="s">
        <v>145</v>
      </c>
      <c r="D408" t="s">
        <v>49</v>
      </c>
      <c r="E408" s="27" t="e">
        <f t="shared" si="223"/>
        <v>#DIV/0!</v>
      </c>
      <c r="F408" s="27">
        <f t="shared" si="222"/>
        <v>1.7194324509860954E-5</v>
      </c>
      <c r="G408" s="29">
        <v>0</v>
      </c>
      <c r="H408" s="27">
        <f t="shared" si="222"/>
        <v>1.479431689579349E-4</v>
      </c>
      <c r="I408" s="27">
        <f t="shared" si="222"/>
        <v>1.479431689579349E-4</v>
      </c>
      <c r="J408" s="27">
        <f t="shared" si="222"/>
        <v>1.479431689579349E-4</v>
      </c>
      <c r="K408" s="27">
        <f t="shared" si="222"/>
        <v>2.1118005763553609E-4</v>
      </c>
      <c r="L408" s="27">
        <f t="shared" si="222"/>
        <v>3.4717989581238608E-5</v>
      </c>
      <c r="M408" s="29">
        <v>0</v>
      </c>
      <c r="N408" s="27">
        <f t="shared" si="222"/>
        <v>1.479431689579349E-4</v>
      </c>
      <c r="O408" s="27">
        <f t="shared" si="222"/>
        <v>1.479431689579349E-4</v>
      </c>
      <c r="P408" s="27">
        <f t="shared" si="222"/>
        <v>1.479431689579349E-4</v>
      </c>
      <c r="Q408" s="27">
        <f t="shared" si="222"/>
        <v>7.9074454453296699E-5</v>
      </c>
      <c r="R408" s="27">
        <f t="shared" si="222"/>
        <v>7.9074454453296699E-5</v>
      </c>
      <c r="S408" s="27">
        <f t="shared" si="222"/>
        <v>7.9074454453296699E-5</v>
      </c>
      <c r="T408" s="27">
        <f t="shared" si="222"/>
        <v>7.9074454453296699E-5</v>
      </c>
      <c r="U408" s="27">
        <f t="shared" si="222"/>
        <v>7.9074454453296699E-5</v>
      </c>
      <c r="V408" s="27">
        <f t="shared" si="222"/>
        <v>7.9074454453296699E-5</v>
      </c>
      <c r="W408" s="27">
        <f t="shared" si="222"/>
        <v>1.4174735237353834E-4</v>
      </c>
      <c r="X408" s="27">
        <f t="shared" si="222"/>
        <v>1.4174735237353834E-4</v>
      </c>
      <c r="Y408" s="27">
        <f t="shared" si="222"/>
        <v>1.4174735237353834E-4</v>
      </c>
    </row>
    <row r="409" spans="1:25" outlineLevel="1" x14ac:dyDescent="0.3">
      <c r="A409" t="s">
        <v>139</v>
      </c>
      <c r="B409" t="s">
        <v>70</v>
      </c>
      <c r="C409" s="6" t="s">
        <v>146</v>
      </c>
      <c r="D409" t="s">
        <v>49</v>
      </c>
      <c r="E409" s="27" t="e">
        <f t="shared" si="223"/>
        <v>#DIV/0!</v>
      </c>
      <c r="F409" s="27">
        <f t="shared" si="222"/>
        <v>2.0768245256732137E-5</v>
      </c>
      <c r="G409" s="29">
        <v>0</v>
      </c>
      <c r="H409" s="27">
        <f t="shared" si="222"/>
        <v>2.1614815142106882E-4</v>
      </c>
      <c r="I409" s="27">
        <f t="shared" si="222"/>
        <v>2.1614815142106882E-4</v>
      </c>
      <c r="J409" s="27">
        <f t="shared" si="222"/>
        <v>2.1614815142106882E-4</v>
      </c>
      <c r="K409" s="27">
        <f t="shared" si="222"/>
        <v>2.7197781191128193E-4</v>
      </c>
      <c r="L409" s="27">
        <f t="shared" si="222"/>
        <v>3.9441946892684545E-5</v>
      </c>
      <c r="M409" s="29">
        <v>0</v>
      </c>
      <c r="N409" s="27">
        <f t="shared" si="222"/>
        <v>2.1614815142106882E-4</v>
      </c>
      <c r="O409" s="27">
        <f t="shared" si="222"/>
        <v>2.1614815142106882E-4</v>
      </c>
      <c r="P409" s="27">
        <f t="shared" si="222"/>
        <v>2.1614815142106882E-4</v>
      </c>
      <c r="Q409" s="27">
        <f t="shared" si="222"/>
        <v>1.1450247547942262E-4</v>
      </c>
      <c r="R409" s="27">
        <f t="shared" si="222"/>
        <v>1.1450247547942262E-4</v>
      </c>
      <c r="S409" s="27">
        <f t="shared" si="222"/>
        <v>1.1450247547942262E-4</v>
      </c>
      <c r="T409" s="27">
        <f t="shared" si="222"/>
        <v>1.1450247547942262E-4</v>
      </c>
      <c r="U409" s="27">
        <f t="shared" si="222"/>
        <v>1.1450247547942262E-4</v>
      </c>
      <c r="V409" s="27">
        <f t="shared" si="222"/>
        <v>1.1450247547942262E-4</v>
      </c>
      <c r="W409" s="27">
        <f t="shared" si="222"/>
        <v>1.4261232477551266E-4</v>
      </c>
      <c r="X409" s="27">
        <f t="shared" si="222"/>
        <v>1.4261232477551266E-4</v>
      </c>
      <c r="Y409" s="27">
        <f t="shared" si="222"/>
        <v>1.4261232477551266E-4</v>
      </c>
    </row>
    <row r="410" spans="1:25" outlineLevel="1" x14ac:dyDescent="0.3">
      <c r="A410" t="s">
        <v>139</v>
      </c>
      <c r="B410" t="s">
        <v>71</v>
      </c>
      <c r="C410" s="6" t="s">
        <v>147</v>
      </c>
      <c r="D410" t="s">
        <v>49</v>
      </c>
      <c r="E410" s="27" t="e">
        <f t="shared" si="223"/>
        <v>#DIV/0!</v>
      </c>
      <c r="F410" s="27">
        <f t="shared" si="222"/>
        <v>2.3674748555226208E-5</v>
      </c>
      <c r="G410" s="29">
        <v>0</v>
      </c>
      <c r="H410" s="27">
        <f t="shared" si="222"/>
        <v>9.1470238871841459E-5</v>
      </c>
      <c r="I410" s="27">
        <f t="shared" si="222"/>
        <v>9.1470238871841459E-5</v>
      </c>
      <c r="J410" s="27">
        <f t="shared" si="222"/>
        <v>9.1470238871841459E-5</v>
      </c>
      <c r="K410" s="27">
        <f t="shared" si="222"/>
        <v>6.7947803661997741E-4</v>
      </c>
      <c r="L410" s="27">
        <f t="shared" si="222"/>
        <v>4.828434030892755E-5</v>
      </c>
      <c r="M410" s="29">
        <v>0</v>
      </c>
      <c r="N410" s="27">
        <f t="shared" si="222"/>
        <v>9.1470238871841459E-5</v>
      </c>
      <c r="O410" s="27">
        <f t="shared" si="222"/>
        <v>9.1470238871841459E-5</v>
      </c>
      <c r="P410" s="27">
        <f t="shared" si="222"/>
        <v>9.1470238871841459E-5</v>
      </c>
      <c r="Q410" s="27">
        <f t="shared" si="222"/>
        <v>2.296713087210921E-4</v>
      </c>
      <c r="R410" s="27">
        <f t="shared" si="222"/>
        <v>2.296713087210921E-4</v>
      </c>
      <c r="S410" s="27">
        <f t="shared" si="222"/>
        <v>2.296713087210921E-4</v>
      </c>
      <c r="T410" s="27">
        <f t="shared" si="222"/>
        <v>2.296713087210921E-4</v>
      </c>
      <c r="U410" s="27">
        <f t="shared" si="222"/>
        <v>2.296713087210921E-4</v>
      </c>
      <c r="V410" s="27">
        <f t="shared" si="222"/>
        <v>2.296713087210921E-4</v>
      </c>
      <c r="W410" s="27">
        <f t="shared" si="222"/>
        <v>1.4336917562724014E-4</v>
      </c>
      <c r="X410" s="27">
        <f t="shared" si="222"/>
        <v>1.4336917562724014E-4</v>
      </c>
      <c r="Y410" s="27">
        <f t="shared" si="222"/>
        <v>1.4336917562724014E-4</v>
      </c>
    </row>
    <row r="411" spans="1:25" outlineLevel="1" x14ac:dyDescent="0.3">
      <c r="A411" t="s">
        <v>139</v>
      </c>
      <c r="B411" t="s">
        <v>72</v>
      </c>
      <c r="C411" s="6" t="s">
        <v>148</v>
      </c>
      <c r="D411" t="s">
        <v>49</v>
      </c>
      <c r="E411" s="27" t="e">
        <f t="shared" si="223"/>
        <v>#DIV/0!</v>
      </c>
      <c r="F411" s="27">
        <f t="shared" si="222"/>
        <v>2.8917546331696579E-5</v>
      </c>
      <c r="G411" s="29">
        <v>0</v>
      </c>
      <c r="H411" s="27">
        <f t="shared" si="222"/>
        <v>6.5719378145964356E-5</v>
      </c>
      <c r="I411" s="27">
        <f t="shared" si="222"/>
        <v>6.5719378145964356E-5</v>
      </c>
      <c r="J411" s="27">
        <f t="shared" si="222"/>
        <v>6.5719378145964356E-5</v>
      </c>
      <c r="K411" s="27">
        <f t="shared" si="222"/>
        <v>6.8502559055495012E-4</v>
      </c>
      <c r="L411" s="27">
        <f t="shared" si="222"/>
        <v>6.1338428655698327E-5</v>
      </c>
      <c r="M411" s="29">
        <v>0</v>
      </c>
      <c r="N411" s="27">
        <f t="shared" si="222"/>
        <v>6.5719378145964356E-5</v>
      </c>
      <c r="O411" s="27">
        <f t="shared" si="222"/>
        <v>6.5719378145964356E-5</v>
      </c>
      <c r="P411" s="27">
        <f t="shared" si="222"/>
        <v>6.5719378145964356E-5</v>
      </c>
      <c r="Q411" s="27">
        <f t="shared" si="222"/>
        <v>2.3255885902416192E-4</v>
      </c>
      <c r="R411" s="27">
        <f t="shared" si="222"/>
        <v>2.3255885902416192E-4</v>
      </c>
      <c r="S411" s="27">
        <f t="shared" si="222"/>
        <v>2.3255885902416192E-4</v>
      </c>
      <c r="T411" s="27">
        <f t="shared" si="222"/>
        <v>2.3255885902416192E-4</v>
      </c>
      <c r="U411" s="27">
        <f t="shared" si="222"/>
        <v>2.3255885902416192E-4</v>
      </c>
      <c r="V411" s="27">
        <f t="shared" si="222"/>
        <v>2.3255885902416192E-4</v>
      </c>
      <c r="W411" s="27">
        <f t="shared" si="222"/>
        <v>1.4358541872773372E-4</v>
      </c>
      <c r="X411" s="27">
        <f t="shared" si="222"/>
        <v>1.4358541872773372E-4</v>
      </c>
      <c r="Y411" s="27">
        <f t="shared" si="222"/>
        <v>1.4358541872773372E-4</v>
      </c>
    </row>
    <row r="412" spans="1:25" outlineLevel="1" x14ac:dyDescent="0.3">
      <c r="A412" t="s">
        <v>139</v>
      </c>
      <c r="B412" t="s">
        <v>73</v>
      </c>
      <c r="C412" s="6" t="s">
        <v>149</v>
      </c>
      <c r="D412" t="s">
        <v>49</v>
      </c>
      <c r="E412" s="27" t="e">
        <f t="shared" si="223"/>
        <v>#DIV/0!</v>
      </c>
      <c r="F412" s="27">
        <f t="shared" si="222"/>
        <v>3.7167776875125765E-5</v>
      </c>
      <c r="G412" s="29">
        <v>0</v>
      </c>
      <c r="H412" s="27">
        <f t="shared" si="222"/>
        <v>6.3134349656107964E-5</v>
      </c>
      <c r="I412" s="27">
        <f t="shared" si="222"/>
        <v>6.3134349656107964E-5</v>
      </c>
      <c r="J412" s="27">
        <f t="shared" si="222"/>
        <v>6.3134349656107964E-5</v>
      </c>
      <c r="K412" s="27">
        <f t="shared" si="222"/>
        <v>4.8855595130537551E-4</v>
      </c>
      <c r="L412" s="27">
        <f t="shared" si="222"/>
        <v>7.2043776116426051E-5</v>
      </c>
      <c r="M412" s="29">
        <v>0</v>
      </c>
      <c r="N412" s="27">
        <f t="shared" si="222"/>
        <v>6.3134349656107964E-5</v>
      </c>
      <c r="O412" s="27">
        <f t="shared" si="222"/>
        <v>6.3134349656107964E-5</v>
      </c>
      <c r="P412" s="27">
        <f t="shared" si="222"/>
        <v>6.3134349656107964E-5</v>
      </c>
      <c r="Q412" s="27">
        <f t="shared" si="222"/>
        <v>2.0934739697256219E-4</v>
      </c>
      <c r="R412" s="27">
        <f t="shared" si="222"/>
        <v>2.0934739697256219E-4</v>
      </c>
      <c r="S412" s="27">
        <f t="shared" si="222"/>
        <v>2.0934739697256219E-4</v>
      </c>
      <c r="T412" s="27">
        <f t="shared" si="222"/>
        <v>2.0934739697256219E-4</v>
      </c>
      <c r="U412" s="27">
        <f t="shared" si="222"/>
        <v>2.0934739697256219E-4</v>
      </c>
      <c r="V412" s="27">
        <f t="shared" si="222"/>
        <v>2.0934739697256219E-4</v>
      </c>
      <c r="W412" s="27">
        <f t="shared" si="222"/>
        <v>1.4336917562724014E-4</v>
      </c>
      <c r="X412" s="27">
        <f t="shared" si="222"/>
        <v>1.4336917562724014E-4</v>
      </c>
      <c r="Y412" s="27">
        <f t="shared" si="222"/>
        <v>1.4336917562724014E-4</v>
      </c>
    </row>
    <row r="413" spans="1:25" outlineLevel="1" x14ac:dyDescent="0.3">
      <c r="A413" t="s">
        <v>139</v>
      </c>
      <c r="B413" t="s">
        <v>74</v>
      </c>
      <c r="C413" s="6" t="s">
        <v>150</v>
      </c>
      <c r="D413" t="s">
        <v>49</v>
      </c>
      <c r="E413" s="27" t="e">
        <f t="shared" si="223"/>
        <v>#DIV/0!</v>
      </c>
      <c r="F413" s="27">
        <f t="shared" si="222"/>
        <v>5.2199306103626705E-5</v>
      </c>
      <c r="G413" s="29">
        <v>0</v>
      </c>
      <c r="H413" s="27">
        <f t="shared" si="222"/>
        <v>6.4128591382975813E-5</v>
      </c>
      <c r="I413" s="27">
        <f t="shared" si="222"/>
        <v>6.4128591382975813E-5</v>
      </c>
      <c r="J413" s="27">
        <f t="shared" si="222"/>
        <v>6.4128591382975813E-5</v>
      </c>
      <c r="K413" s="27">
        <f t="shared" si="222"/>
        <v>4.023065631889524E-4</v>
      </c>
      <c r="L413" s="27">
        <f t="shared" si="222"/>
        <v>8.0955325718370393E-5</v>
      </c>
      <c r="M413" s="29">
        <v>0</v>
      </c>
      <c r="N413" s="27">
        <f t="shared" si="222"/>
        <v>6.4128591382975813E-5</v>
      </c>
      <c r="O413" s="27">
        <f t="shared" si="222"/>
        <v>6.4128591382975813E-5</v>
      </c>
      <c r="P413" s="27">
        <f t="shared" si="222"/>
        <v>6.4128591382975813E-5</v>
      </c>
      <c r="Q413" s="27">
        <f t="shared" si="222"/>
        <v>1.7291983930306596E-4</v>
      </c>
      <c r="R413" s="27">
        <f t="shared" si="222"/>
        <v>1.7291983930306596E-4</v>
      </c>
      <c r="S413" s="27">
        <f t="shared" si="222"/>
        <v>1.7291983930306596E-4</v>
      </c>
      <c r="T413" s="27">
        <f t="shared" si="222"/>
        <v>1.7291983930306596E-4</v>
      </c>
      <c r="U413" s="27">
        <f t="shared" si="222"/>
        <v>1.7291983930306596E-4</v>
      </c>
      <c r="V413" s="27">
        <f t="shared" si="222"/>
        <v>1.7291983930306596E-4</v>
      </c>
      <c r="W413" s="27">
        <f t="shared" si="222"/>
        <v>1.4315293252674659E-4</v>
      </c>
      <c r="X413" s="27">
        <f t="shared" si="222"/>
        <v>1.4315293252674659E-4</v>
      </c>
      <c r="Y413" s="27">
        <f t="shared" si="222"/>
        <v>1.4315293252674659E-4</v>
      </c>
    </row>
    <row r="414" spans="1:25" outlineLevel="1" x14ac:dyDescent="0.3">
      <c r="A414" t="s">
        <v>139</v>
      </c>
      <c r="B414" t="s">
        <v>75</v>
      </c>
      <c r="C414" s="6" t="s">
        <v>151</v>
      </c>
      <c r="D414" t="s">
        <v>49</v>
      </c>
      <c r="E414" s="27" t="e">
        <f t="shared" si="223"/>
        <v>#DIV/0!</v>
      </c>
      <c r="F414" s="27">
        <f t="shared" si="222"/>
        <v>7.8775450136730967E-5</v>
      </c>
      <c r="G414" s="29">
        <v>0</v>
      </c>
      <c r="H414" s="27">
        <f t="shared" si="222"/>
        <v>7.0392314262243208E-5</v>
      </c>
      <c r="I414" s="27">
        <f t="shared" si="222"/>
        <v>7.0392314262243208E-5</v>
      </c>
      <c r="J414" s="27">
        <f t="shared" si="222"/>
        <v>7.0392314262243208E-5</v>
      </c>
      <c r="K414" s="27">
        <f t="shared" si="222"/>
        <v>3.5042934262960424E-4</v>
      </c>
      <c r="L414" s="27">
        <f t="shared" si="222"/>
        <v>8.812852517973059E-5</v>
      </c>
      <c r="M414" s="29">
        <v>0</v>
      </c>
      <c r="N414" s="27">
        <f t="shared" si="222"/>
        <v>7.0392314262243208E-5</v>
      </c>
      <c r="O414" s="27">
        <f t="shared" si="222"/>
        <v>7.0392314262243208E-5</v>
      </c>
      <c r="P414" s="27">
        <f t="shared" si="222"/>
        <v>7.0392314262243208E-5</v>
      </c>
      <c r="Q414" s="27">
        <f t="shared" si="222"/>
        <v>1.730308989301071E-4</v>
      </c>
      <c r="R414" s="27">
        <f t="shared" si="222"/>
        <v>1.730308989301071E-4</v>
      </c>
      <c r="S414" s="27">
        <f t="shared" si="222"/>
        <v>1.730308989301071E-4</v>
      </c>
      <c r="T414" s="27">
        <f t="shared" si="222"/>
        <v>1.730308989301071E-4</v>
      </c>
      <c r="U414" s="27">
        <f t="shared" si="222"/>
        <v>1.730308989301071E-4</v>
      </c>
      <c r="V414" s="27">
        <f t="shared" si="222"/>
        <v>1.730308989301071E-4</v>
      </c>
      <c r="W414" s="27">
        <f t="shared" si="222"/>
        <v>1.4272044632575943E-4</v>
      </c>
      <c r="X414" s="27">
        <f t="shared" si="222"/>
        <v>1.4272044632575943E-4</v>
      </c>
      <c r="Y414" s="27">
        <f t="shared" si="222"/>
        <v>1.4272044632575943E-4</v>
      </c>
    </row>
    <row r="415" spans="1:25" outlineLevel="1" x14ac:dyDescent="0.3">
      <c r="A415" t="s">
        <v>139</v>
      </c>
      <c r="B415" t="s">
        <v>76</v>
      </c>
      <c r="C415" s="6" t="s">
        <v>152</v>
      </c>
      <c r="D415" t="s">
        <v>49</v>
      </c>
      <c r="E415" s="27" t="e">
        <f t="shared" si="223"/>
        <v>#DIV/0!</v>
      </c>
      <c r="F415" s="27">
        <f t="shared" si="222"/>
        <v>1.0482766247082547E-4</v>
      </c>
      <c r="G415" s="29">
        <v>0</v>
      </c>
      <c r="H415" s="27">
        <f t="shared" si="222"/>
        <v>7.4170432824341E-5</v>
      </c>
      <c r="I415" s="27">
        <f t="shared" si="222"/>
        <v>7.4170432824341E-5</v>
      </c>
      <c r="J415" s="27">
        <f t="shared" si="222"/>
        <v>7.4170432824341E-5</v>
      </c>
      <c r="K415" s="27">
        <f t="shared" si="222"/>
        <v>3.0738963776023154E-4</v>
      </c>
      <c r="L415" s="27">
        <f t="shared" si="222"/>
        <v>9.1267536167634547E-5</v>
      </c>
      <c r="M415" s="29">
        <v>0</v>
      </c>
      <c r="N415" s="27">
        <f t="shared" si="222"/>
        <v>7.4170432824341E-5</v>
      </c>
      <c r="O415" s="27">
        <f t="shared" si="222"/>
        <v>7.4170432824341E-5</v>
      </c>
      <c r="P415" s="27">
        <f t="shared" si="222"/>
        <v>7.4170432824341E-5</v>
      </c>
      <c r="Q415" s="27">
        <f t="shared" si="222"/>
        <v>1.734751374382717E-4</v>
      </c>
      <c r="R415" s="27">
        <f t="shared" si="222"/>
        <v>1.734751374382717E-4</v>
      </c>
      <c r="S415" s="27">
        <f t="shared" si="222"/>
        <v>1.734751374382717E-4</v>
      </c>
      <c r="T415" s="27">
        <f t="shared" si="222"/>
        <v>1.734751374382717E-4</v>
      </c>
      <c r="U415" s="27">
        <f t="shared" si="222"/>
        <v>1.734751374382717E-4</v>
      </c>
      <c r="V415" s="27">
        <f t="shared" si="222"/>
        <v>1.734751374382717E-4</v>
      </c>
      <c r="W415" s="27">
        <f t="shared" si="222"/>
        <v>1.4261232477551266E-4</v>
      </c>
      <c r="X415" s="27">
        <f t="shared" si="222"/>
        <v>1.4261232477551266E-4</v>
      </c>
      <c r="Y415" s="27">
        <f t="shared" si="222"/>
        <v>1.4261232477551266E-4</v>
      </c>
    </row>
    <row r="416" spans="1:25" outlineLevel="1" x14ac:dyDescent="0.3">
      <c r="A416" t="s">
        <v>139</v>
      </c>
      <c r="B416" t="s">
        <v>77</v>
      </c>
      <c r="C416" s="6" t="s">
        <v>153</v>
      </c>
      <c r="D416" t="s">
        <v>49</v>
      </c>
      <c r="E416" s="27" t="e">
        <f t="shared" si="223"/>
        <v>#DIV/0!</v>
      </c>
      <c r="F416" s="27">
        <f t="shared" si="222"/>
        <v>1.2092021140292739E-4</v>
      </c>
      <c r="G416" s="29">
        <v>0</v>
      </c>
      <c r="H416" s="27">
        <f t="shared" si="222"/>
        <v>7.5164674551208863E-5</v>
      </c>
      <c r="I416" s="27">
        <f t="shared" si="222"/>
        <v>7.5164674551208863E-5</v>
      </c>
      <c r="J416" s="27">
        <f t="shared" si="222"/>
        <v>7.5164674551208863E-5</v>
      </c>
      <c r="K416" s="27">
        <f t="shared" si="222"/>
        <v>2.875839631720605E-4</v>
      </c>
      <c r="L416" s="27">
        <f t="shared" si="222"/>
        <v>9.6367656253615761E-5</v>
      </c>
      <c r="M416" s="29">
        <v>0</v>
      </c>
      <c r="N416" s="27">
        <f t="shared" si="222"/>
        <v>7.5164674551208863E-5</v>
      </c>
      <c r="O416" s="27">
        <f t="shared" si="222"/>
        <v>7.5164674551208863E-5</v>
      </c>
      <c r="P416" s="27">
        <f t="shared" ref="F416:Y429" si="224">P214/P$398</f>
        <v>7.5164674551208863E-5</v>
      </c>
      <c r="Q416" s="27">
        <f t="shared" si="224"/>
        <v>1.7336407781123054E-4</v>
      </c>
      <c r="R416" s="27">
        <f t="shared" si="224"/>
        <v>1.7336407781123054E-4</v>
      </c>
      <c r="S416" s="27">
        <f t="shared" si="224"/>
        <v>1.7336407781123054E-4</v>
      </c>
      <c r="T416" s="27">
        <f t="shared" si="224"/>
        <v>1.7336407781123054E-4</v>
      </c>
      <c r="U416" s="27">
        <f t="shared" si="224"/>
        <v>1.7336407781123054E-4</v>
      </c>
      <c r="V416" s="27">
        <f t="shared" si="224"/>
        <v>1.7336407781123054E-4</v>
      </c>
      <c r="W416" s="27">
        <f t="shared" si="224"/>
        <v>1.4261232477551266E-4</v>
      </c>
      <c r="X416" s="27">
        <f t="shared" si="224"/>
        <v>1.4261232477551266E-4</v>
      </c>
      <c r="Y416" s="27">
        <f t="shared" si="224"/>
        <v>1.4261232477551266E-4</v>
      </c>
    </row>
    <row r="417" spans="1:25" outlineLevel="1" x14ac:dyDescent="0.3">
      <c r="A417" t="s">
        <v>139</v>
      </c>
      <c r="B417" t="s">
        <v>78</v>
      </c>
      <c r="C417" s="6" t="s">
        <v>154</v>
      </c>
      <c r="D417" t="s">
        <v>49</v>
      </c>
      <c r="E417" s="27" t="e">
        <f t="shared" si="223"/>
        <v>#DIV/0!</v>
      </c>
      <c r="F417" s="27">
        <f t="shared" si="224"/>
        <v>1.3084740080178685E-4</v>
      </c>
      <c r="G417" s="29">
        <v>0</v>
      </c>
      <c r="H417" s="27">
        <f t="shared" si="224"/>
        <v>7.7153158004944535E-5</v>
      </c>
      <c r="I417" s="27">
        <f t="shared" si="224"/>
        <v>7.7153158004944535E-5</v>
      </c>
      <c r="J417" s="27">
        <f t="shared" si="224"/>
        <v>7.7153158004944535E-5</v>
      </c>
      <c r="K417" s="27">
        <f t="shared" si="224"/>
        <v>2.6953956040379608E-4</v>
      </c>
      <c r="L417" s="27">
        <f t="shared" si="224"/>
        <v>9.8863827461658483E-5</v>
      </c>
      <c r="M417" s="29">
        <v>0</v>
      </c>
      <c r="N417" s="27">
        <f t="shared" si="224"/>
        <v>7.7153158004944535E-5</v>
      </c>
      <c r="O417" s="27">
        <f t="shared" si="224"/>
        <v>7.7153158004944535E-5</v>
      </c>
      <c r="P417" s="27">
        <f t="shared" si="224"/>
        <v>7.7153158004944535E-5</v>
      </c>
      <c r="Q417" s="27">
        <f t="shared" si="224"/>
        <v>1.730308989301071E-4</v>
      </c>
      <c r="R417" s="27">
        <f t="shared" si="224"/>
        <v>1.730308989301071E-4</v>
      </c>
      <c r="S417" s="27">
        <f t="shared" si="224"/>
        <v>1.730308989301071E-4</v>
      </c>
      <c r="T417" s="27">
        <f t="shared" si="224"/>
        <v>1.730308989301071E-4</v>
      </c>
      <c r="U417" s="27">
        <f t="shared" si="224"/>
        <v>1.730308989301071E-4</v>
      </c>
      <c r="V417" s="27">
        <f t="shared" si="224"/>
        <v>1.730308989301071E-4</v>
      </c>
      <c r="W417" s="27">
        <f t="shared" si="224"/>
        <v>1.4272044632575943E-4</v>
      </c>
      <c r="X417" s="27">
        <f t="shared" si="224"/>
        <v>1.4272044632575943E-4</v>
      </c>
      <c r="Y417" s="27">
        <f t="shared" si="224"/>
        <v>1.4272044632575943E-4</v>
      </c>
    </row>
    <row r="418" spans="1:25" outlineLevel="1" x14ac:dyDescent="0.3">
      <c r="A418" t="s">
        <v>139</v>
      </c>
      <c r="B418" t="s">
        <v>79</v>
      </c>
      <c r="C418" s="6" t="s">
        <v>155</v>
      </c>
      <c r="D418" t="s">
        <v>49</v>
      </c>
      <c r="E418" s="27" t="e">
        <f t="shared" si="223"/>
        <v>#DIV/0!</v>
      </c>
      <c r="F418" s="27">
        <f t="shared" si="224"/>
        <v>1.3791355050653864E-4</v>
      </c>
      <c r="G418" s="29">
        <v>0</v>
      </c>
      <c r="H418" s="27">
        <f t="shared" si="224"/>
        <v>8.3416880884211943E-5</v>
      </c>
      <c r="I418" s="27">
        <f t="shared" si="224"/>
        <v>8.3416880884211943E-5</v>
      </c>
      <c r="J418" s="27">
        <f t="shared" si="224"/>
        <v>8.3416880884211943E-5</v>
      </c>
      <c r="K418" s="27">
        <f t="shared" si="224"/>
        <v>2.5959972179349829E-4</v>
      </c>
      <c r="L418" s="27">
        <f t="shared" si="224"/>
        <v>9.7854835727954643E-5</v>
      </c>
      <c r="M418" s="29">
        <v>0</v>
      </c>
      <c r="N418" s="27">
        <f t="shared" si="224"/>
        <v>8.3416880884211943E-5</v>
      </c>
      <c r="O418" s="27">
        <f t="shared" si="224"/>
        <v>8.3416880884211943E-5</v>
      </c>
      <c r="P418" s="27">
        <f t="shared" si="224"/>
        <v>8.3416880884211943E-5</v>
      </c>
      <c r="Q418" s="27">
        <f t="shared" si="224"/>
        <v>2.0812574107510957E-4</v>
      </c>
      <c r="R418" s="27">
        <f t="shared" si="224"/>
        <v>2.0812574107510957E-4</v>
      </c>
      <c r="S418" s="27">
        <f t="shared" si="224"/>
        <v>2.0812574107510957E-4</v>
      </c>
      <c r="T418" s="27">
        <f t="shared" si="224"/>
        <v>2.0812574107510957E-4</v>
      </c>
      <c r="U418" s="27">
        <f t="shared" si="224"/>
        <v>2.0812574107510957E-4</v>
      </c>
      <c r="V418" s="27">
        <f t="shared" si="224"/>
        <v>2.0812574107510957E-4</v>
      </c>
      <c r="W418" s="27">
        <f t="shared" si="224"/>
        <v>1.4336917562724014E-4</v>
      </c>
      <c r="X418" s="27">
        <f t="shared" si="224"/>
        <v>1.4336917562724014E-4</v>
      </c>
      <c r="Y418" s="27">
        <f t="shared" si="224"/>
        <v>1.4336917562724014E-4</v>
      </c>
    </row>
    <row r="419" spans="1:25" outlineLevel="1" x14ac:dyDescent="0.3">
      <c r="A419" t="s">
        <v>139</v>
      </c>
      <c r="B419" t="s">
        <v>80</v>
      </c>
      <c r="C419" s="6" t="s">
        <v>156</v>
      </c>
      <c r="D419" t="s">
        <v>49</v>
      </c>
      <c r="E419" s="27" t="e">
        <f t="shared" si="223"/>
        <v>#DIV/0!</v>
      </c>
      <c r="F419" s="27">
        <f t="shared" si="224"/>
        <v>1.3466386300984117E-4</v>
      </c>
      <c r="G419" s="29">
        <v>0</v>
      </c>
      <c r="H419" s="27">
        <f t="shared" si="224"/>
        <v>1.2398194334041989E-4</v>
      </c>
      <c r="I419" s="27">
        <f t="shared" si="224"/>
        <v>1.2398194334041989E-4</v>
      </c>
      <c r="J419" s="27">
        <f t="shared" si="224"/>
        <v>1.2398194334041989E-4</v>
      </c>
      <c r="K419" s="27">
        <f t="shared" si="224"/>
        <v>2.5590857500560037E-4</v>
      </c>
      <c r="L419" s="27">
        <f t="shared" si="224"/>
        <v>9.2914435059176319E-5</v>
      </c>
      <c r="M419" s="29">
        <v>0</v>
      </c>
      <c r="N419" s="27">
        <f t="shared" si="224"/>
        <v>1.2398194334041989E-4</v>
      </c>
      <c r="O419" s="27">
        <f t="shared" si="224"/>
        <v>1.2398194334041989E-4</v>
      </c>
      <c r="P419" s="27">
        <f t="shared" si="224"/>
        <v>1.2398194334041989E-4</v>
      </c>
      <c r="Q419" s="27">
        <f t="shared" si="224"/>
        <v>2.3189250126191504E-4</v>
      </c>
      <c r="R419" s="27">
        <f t="shared" si="224"/>
        <v>2.3189250126191504E-4</v>
      </c>
      <c r="S419" s="27">
        <f t="shared" si="224"/>
        <v>2.3189250126191504E-4</v>
      </c>
      <c r="T419" s="27">
        <f t="shared" si="224"/>
        <v>2.3189250126191504E-4</v>
      </c>
      <c r="U419" s="27">
        <f t="shared" si="224"/>
        <v>2.3189250126191504E-4</v>
      </c>
      <c r="V419" s="27">
        <f t="shared" si="224"/>
        <v>2.3189250126191504E-4</v>
      </c>
      <c r="W419" s="27">
        <f t="shared" si="224"/>
        <v>1.4412602647896768E-4</v>
      </c>
      <c r="X419" s="27">
        <f t="shared" si="224"/>
        <v>1.4412602647896768E-4</v>
      </c>
      <c r="Y419" s="27">
        <f t="shared" si="224"/>
        <v>1.4412602647896768E-4</v>
      </c>
    </row>
    <row r="420" spans="1:25" outlineLevel="1" x14ac:dyDescent="0.3">
      <c r="A420" t="s">
        <v>139</v>
      </c>
      <c r="B420" t="s">
        <v>81</v>
      </c>
      <c r="C420" s="6" t="s">
        <v>157</v>
      </c>
      <c r="D420" t="s">
        <v>49</v>
      </c>
      <c r="E420" s="27" t="e">
        <f t="shared" si="223"/>
        <v>#DIV/0!</v>
      </c>
      <c r="F420" s="27">
        <f t="shared" si="224"/>
        <v>1.2040498166984961E-4</v>
      </c>
      <c r="G420" s="29">
        <v>0</v>
      </c>
      <c r="H420" s="27">
        <f t="shared" si="224"/>
        <v>3.3078422252893103E-4</v>
      </c>
      <c r="I420" s="27">
        <f t="shared" si="224"/>
        <v>3.3078422252893103E-4</v>
      </c>
      <c r="J420" s="27">
        <f t="shared" si="224"/>
        <v>3.3078422252893103E-4</v>
      </c>
      <c r="K420" s="27">
        <f t="shared" si="224"/>
        <v>2.6204277132423022E-4</v>
      </c>
      <c r="L420" s="27">
        <f t="shared" si="224"/>
        <v>8.4509887668673226E-5</v>
      </c>
      <c r="M420" s="29">
        <v>0</v>
      </c>
      <c r="N420" s="27">
        <f t="shared" si="224"/>
        <v>3.3078422252893103E-4</v>
      </c>
      <c r="O420" s="27">
        <f t="shared" si="224"/>
        <v>3.3078422252893103E-4</v>
      </c>
      <c r="P420" s="27">
        <f t="shared" si="224"/>
        <v>3.3078422252893103E-4</v>
      </c>
      <c r="Q420" s="27">
        <f t="shared" si="224"/>
        <v>2.3378051492161454E-4</v>
      </c>
      <c r="R420" s="27">
        <f t="shared" si="224"/>
        <v>2.3378051492161454E-4</v>
      </c>
      <c r="S420" s="27">
        <f t="shared" si="224"/>
        <v>2.3378051492161454E-4</v>
      </c>
      <c r="T420" s="27">
        <f t="shared" si="224"/>
        <v>2.3378051492161454E-4</v>
      </c>
      <c r="U420" s="27">
        <f t="shared" si="224"/>
        <v>2.3378051492161454E-4</v>
      </c>
      <c r="V420" s="27">
        <f t="shared" si="224"/>
        <v>2.3378051492161454E-4</v>
      </c>
      <c r="W420" s="27">
        <f t="shared" si="224"/>
        <v>1.4423414802921446E-4</v>
      </c>
      <c r="X420" s="27">
        <f t="shared" si="224"/>
        <v>1.4423414802921446E-4</v>
      </c>
      <c r="Y420" s="27">
        <f t="shared" si="224"/>
        <v>1.4423414802921446E-4</v>
      </c>
    </row>
    <row r="421" spans="1:25" outlineLevel="1" x14ac:dyDescent="0.3">
      <c r="A421" t="s">
        <v>139</v>
      </c>
      <c r="B421" t="s">
        <v>82</v>
      </c>
      <c r="C421" s="6" t="s">
        <v>158</v>
      </c>
      <c r="D421" t="s">
        <v>49</v>
      </c>
      <c r="E421" s="27" t="e">
        <f t="shared" si="223"/>
        <v>#DIV/0!</v>
      </c>
      <c r="F421" s="27">
        <f t="shared" si="224"/>
        <v>9.9056845405217912E-5</v>
      </c>
      <c r="G421" s="29">
        <v>0</v>
      </c>
      <c r="H421" s="27">
        <f t="shared" si="224"/>
        <v>3.6220226109795483E-4</v>
      </c>
      <c r="I421" s="27">
        <f t="shared" si="224"/>
        <v>3.6220226109795483E-4</v>
      </c>
      <c r="J421" s="27">
        <f t="shared" si="224"/>
        <v>3.6220226109795483E-4</v>
      </c>
      <c r="K421" s="27">
        <f t="shared" si="224"/>
        <v>3.0668461866928664E-4</v>
      </c>
      <c r="L421" s="27">
        <f t="shared" si="224"/>
        <v>7.5667205525415567E-5</v>
      </c>
      <c r="M421" s="29">
        <v>0</v>
      </c>
      <c r="N421" s="27">
        <f t="shared" si="224"/>
        <v>3.6220226109795483E-4</v>
      </c>
      <c r="O421" s="27">
        <f t="shared" si="224"/>
        <v>3.6220226109795483E-4</v>
      </c>
      <c r="P421" s="27">
        <f t="shared" si="224"/>
        <v>3.6220226109795483E-4</v>
      </c>
      <c r="Q421" s="27">
        <f t="shared" si="224"/>
        <v>2.1179070876746744E-4</v>
      </c>
      <c r="R421" s="27">
        <f t="shared" si="224"/>
        <v>2.1179070876746744E-4</v>
      </c>
      <c r="S421" s="27">
        <f t="shared" si="224"/>
        <v>2.1179070876746744E-4</v>
      </c>
      <c r="T421" s="27">
        <f t="shared" si="224"/>
        <v>2.1179070876746744E-4</v>
      </c>
      <c r="U421" s="27">
        <f t="shared" si="224"/>
        <v>2.1179070876746744E-4</v>
      </c>
      <c r="V421" s="27">
        <f t="shared" si="224"/>
        <v>2.1179070876746744E-4</v>
      </c>
      <c r="W421" s="27">
        <f t="shared" si="224"/>
        <v>1.439097833784741E-4</v>
      </c>
      <c r="X421" s="27">
        <f t="shared" si="224"/>
        <v>1.439097833784741E-4</v>
      </c>
      <c r="Y421" s="27">
        <f t="shared" si="224"/>
        <v>1.439097833784741E-4</v>
      </c>
    </row>
    <row r="422" spans="1:25" outlineLevel="1" x14ac:dyDescent="0.3">
      <c r="A422" t="s">
        <v>139</v>
      </c>
      <c r="B422" t="s">
        <v>83</v>
      </c>
      <c r="C422" s="6" t="s">
        <v>159</v>
      </c>
      <c r="D422" t="s">
        <v>49</v>
      </c>
      <c r="E422" s="27" t="e">
        <f t="shared" si="223"/>
        <v>#DIV/0!</v>
      </c>
      <c r="F422" s="27">
        <f t="shared" si="224"/>
        <v>7.6773444514005362E-5</v>
      </c>
      <c r="G422" s="29">
        <v>0</v>
      </c>
      <c r="H422" s="27">
        <f t="shared" si="224"/>
        <v>3.8984218110488082E-4</v>
      </c>
      <c r="I422" s="27">
        <f t="shared" si="224"/>
        <v>3.8984218110488082E-4</v>
      </c>
      <c r="J422" s="27">
        <f t="shared" si="224"/>
        <v>3.8984218110488082E-4</v>
      </c>
      <c r="K422" s="27">
        <f t="shared" si="224"/>
        <v>3.484348318707484E-4</v>
      </c>
      <c r="L422" s="27">
        <f t="shared" si="224"/>
        <v>6.6526884650496663E-5</v>
      </c>
      <c r="M422" s="29">
        <v>0</v>
      </c>
      <c r="N422" s="27">
        <f t="shared" si="224"/>
        <v>3.8984218110488082E-4</v>
      </c>
      <c r="O422" s="27">
        <f t="shared" si="224"/>
        <v>3.8984218110488082E-4</v>
      </c>
      <c r="P422" s="27">
        <f t="shared" si="224"/>
        <v>3.8984218110488082E-4</v>
      </c>
      <c r="Q422" s="27">
        <f t="shared" si="224"/>
        <v>1.7525209147093004E-4</v>
      </c>
      <c r="R422" s="27">
        <f t="shared" si="224"/>
        <v>1.7525209147093004E-4</v>
      </c>
      <c r="S422" s="27">
        <f t="shared" si="224"/>
        <v>1.7525209147093004E-4</v>
      </c>
      <c r="T422" s="27">
        <f t="shared" si="224"/>
        <v>1.7525209147093004E-4</v>
      </c>
      <c r="U422" s="27">
        <f t="shared" si="224"/>
        <v>1.7525209147093004E-4</v>
      </c>
      <c r="V422" s="27">
        <f t="shared" si="224"/>
        <v>1.7525209147093004E-4</v>
      </c>
      <c r="W422" s="27">
        <f t="shared" si="224"/>
        <v>1.4336917562724014E-4</v>
      </c>
      <c r="X422" s="27">
        <f t="shared" si="224"/>
        <v>1.4336917562724014E-4</v>
      </c>
      <c r="Y422" s="27">
        <f t="shared" si="224"/>
        <v>1.4336917562724014E-4</v>
      </c>
    </row>
    <row r="423" spans="1:25" outlineLevel="1" x14ac:dyDescent="0.3">
      <c r="A423" t="s">
        <v>139</v>
      </c>
      <c r="B423" t="s">
        <v>84</v>
      </c>
      <c r="C423" s="6" t="s">
        <v>160</v>
      </c>
      <c r="D423" t="s">
        <v>49</v>
      </c>
      <c r="E423" s="27" t="e">
        <f t="shared" si="223"/>
        <v>#DIV/0!</v>
      </c>
      <c r="F423" s="27">
        <f t="shared" si="224"/>
        <v>5.5892640494873325E-5</v>
      </c>
      <c r="G423" s="29">
        <v>0</v>
      </c>
      <c r="H423" s="27">
        <f t="shared" si="224"/>
        <v>3.9620532815683504E-4</v>
      </c>
      <c r="I423" s="27">
        <f t="shared" si="224"/>
        <v>3.9620532815683504E-4</v>
      </c>
      <c r="J423" s="27">
        <f t="shared" si="224"/>
        <v>3.9620532815683504E-4</v>
      </c>
      <c r="K423" s="27">
        <f t="shared" si="224"/>
        <v>3.744741929984284E-4</v>
      </c>
      <c r="L423" s="27">
        <f t="shared" si="224"/>
        <v>5.9238769411029854E-5</v>
      </c>
      <c r="M423" s="29">
        <v>0</v>
      </c>
      <c r="N423" s="27">
        <f t="shared" si="224"/>
        <v>3.9620532815683504E-4</v>
      </c>
      <c r="O423" s="27">
        <f t="shared" si="224"/>
        <v>3.9620532815683504E-4</v>
      </c>
      <c r="P423" s="27">
        <f t="shared" si="224"/>
        <v>3.9620532815683504E-4</v>
      </c>
      <c r="Q423" s="27">
        <f t="shared" si="224"/>
        <v>1.7291983930306596E-4</v>
      </c>
      <c r="R423" s="27">
        <f t="shared" si="224"/>
        <v>1.7291983930306596E-4</v>
      </c>
      <c r="S423" s="27">
        <f t="shared" si="224"/>
        <v>1.7291983930306596E-4</v>
      </c>
      <c r="T423" s="27">
        <f t="shared" si="224"/>
        <v>1.7291983930306596E-4</v>
      </c>
      <c r="U423" s="27">
        <f t="shared" si="224"/>
        <v>1.7291983930306596E-4</v>
      </c>
      <c r="V423" s="27">
        <f t="shared" si="224"/>
        <v>1.7291983930306596E-4</v>
      </c>
      <c r="W423" s="27">
        <f t="shared" si="224"/>
        <v>1.4282856787600624E-4</v>
      </c>
      <c r="X423" s="27">
        <f t="shared" si="224"/>
        <v>1.4282856787600624E-4</v>
      </c>
      <c r="Y423" s="27">
        <f t="shared" si="224"/>
        <v>1.4282856787600624E-4</v>
      </c>
    </row>
    <row r="424" spans="1:25" outlineLevel="1" x14ac:dyDescent="0.3">
      <c r="A424" t="s">
        <v>139</v>
      </c>
      <c r="B424" t="s">
        <v>85</v>
      </c>
      <c r="C424" s="6" t="s">
        <v>161</v>
      </c>
      <c r="D424" t="s">
        <v>49</v>
      </c>
      <c r="E424" s="27" t="e">
        <f t="shared" si="223"/>
        <v>#DIV/0!</v>
      </c>
      <c r="F424" s="27">
        <f t="shared" si="224"/>
        <v>3.932679130232222E-5</v>
      </c>
      <c r="G424" s="29">
        <v>0</v>
      </c>
      <c r="H424" s="27">
        <f t="shared" si="224"/>
        <v>3.2412280295891652E-4</v>
      </c>
      <c r="I424" s="27">
        <f t="shared" si="224"/>
        <v>3.2412280295891652E-4</v>
      </c>
      <c r="J424" s="27">
        <f t="shared" si="224"/>
        <v>3.2412280295891652E-4</v>
      </c>
      <c r="K424" s="27">
        <f t="shared" si="224"/>
        <v>4.0518751638270905E-4</v>
      </c>
      <c r="L424" s="27">
        <f t="shared" si="224"/>
        <v>5.3188545770945452E-5</v>
      </c>
      <c r="M424" s="29">
        <v>0</v>
      </c>
      <c r="N424" s="27">
        <f t="shared" si="224"/>
        <v>3.2412280295891652E-4</v>
      </c>
      <c r="O424" s="27">
        <f t="shared" si="224"/>
        <v>3.2412280295891652E-4</v>
      </c>
      <c r="P424" s="27">
        <f t="shared" si="224"/>
        <v>3.2412280295891652E-4</v>
      </c>
      <c r="Q424" s="27">
        <f t="shared" si="224"/>
        <v>1.7147606415153103E-4</v>
      </c>
      <c r="R424" s="27">
        <f t="shared" si="224"/>
        <v>1.7147606415153103E-4</v>
      </c>
      <c r="S424" s="27">
        <f t="shared" si="224"/>
        <v>1.7147606415153103E-4</v>
      </c>
      <c r="T424" s="27">
        <f t="shared" si="224"/>
        <v>1.7147606415153103E-4</v>
      </c>
      <c r="U424" s="27">
        <f t="shared" si="224"/>
        <v>1.7147606415153103E-4</v>
      </c>
      <c r="V424" s="27">
        <f t="shared" si="224"/>
        <v>1.7147606415153103E-4</v>
      </c>
      <c r="W424" s="27">
        <f t="shared" si="224"/>
        <v>1.421798385745255E-4</v>
      </c>
      <c r="X424" s="27">
        <f t="shared" si="224"/>
        <v>1.421798385745255E-4</v>
      </c>
      <c r="Y424" s="27">
        <f t="shared" si="224"/>
        <v>1.421798385745255E-4</v>
      </c>
    </row>
    <row r="425" spans="1:25" outlineLevel="1" x14ac:dyDescent="0.3">
      <c r="A425" t="s">
        <v>139</v>
      </c>
      <c r="B425" t="s">
        <v>86</v>
      </c>
      <c r="C425" s="6" t="s">
        <v>162</v>
      </c>
      <c r="D425" t="s">
        <v>49</v>
      </c>
      <c r="E425" s="27" t="e">
        <f t="shared" si="223"/>
        <v>#DIV/0!</v>
      </c>
      <c r="F425" s="27">
        <f t="shared" si="224"/>
        <v>2.6988997304148532E-5</v>
      </c>
      <c r="G425" s="29">
        <v>0</v>
      </c>
      <c r="H425" s="27">
        <f t="shared" si="224"/>
        <v>1.9258462249430099E-4</v>
      </c>
      <c r="I425" s="27">
        <f t="shared" si="224"/>
        <v>1.9258462249430099E-4</v>
      </c>
      <c r="J425" s="27">
        <f t="shared" si="224"/>
        <v>1.9258462249430099E-4</v>
      </c>
      <c r="K425" s="27">
        <f t="shared" si="224"/>
        <v>4.0282461217658327E-4</v>
      </c>
      <c r="L425" s="27">
        <f t="shared" si="224"/>
        <v>4.7498107532716813E-5</v>
      </c>
      <c r="M425" s="29">
        <v>0</v>
      </c>
      <c r="N425" s="27">
        <f t="shared" si="224"/>
        <v>1.9258462249430099E-4</v>
      </c>
      <c r="O425" s="27">
        <f t="shared" si="224"/>
        <v>1.9258462249430099E-4</v>
      </c>
      <c r="P425" s="27">
        <f t="shared" si="224"/>
        <v>1.9258462249430099E-4</v>
      </c>
      <c r="Q425" s="27">
        <f t="shared" si="224"/>
        <v>1.701433486270373E-4</v>
      </c>
      <c r="R425" s="27">
        <f t="shared" si="224"/>
        <v>1.701433486270373E-4</v>
      </c>
      <c r="S425" s="27">
        <f t="shared" si="224"/>
        <v>1.701433486270373E-4</v>
      </c>
      <c r="T425" s="27">
        <f t="shared" si="224"/>
        <v>1.701433486270373E-4</v>
      </c>
      <c r="U425" s="27">
        <f t="shared" si="224"/>
        <v>1.701433486270373E-4</v>
      </c>
      <c r="V425" s="27">
        <f t="shared" si="224"/>
        <v>1.701433486270373E-4</v>
      </c>
      <c r="W425" s="27">
        <f t="shared" si="224"/>
        <v>1.4153110927304477E-4</v>
      </c>
      <c r="X425" s="27">
        <f t="shared" si="224"/>
        <v>1.4153110927304477E-4</v>
      </c>
      <c r="Y425" s="27">
        <f t="shared" si="224"/>
        <v>1.4153110927304477E-4</v>
      </c>
    </row>
    <row r="426" spans="1:25" outlineLevel="1" x14ac:dyDescent="0.3">
      <c r="A426" t="s">
        <v>139</v>
      </c>
      <c r="B426" t="s">
        <v>87</v>
      </c>
      <c r="C426" s="6" t="s">
        <v>163</v>
      </c>
      <c r="D426" t="s">
        <v>49</v>
      </c>
      <c r="E426" s="27" t="e">
        <f t="shared" si="223"/>
        <v>#DIV/0!</v>
      </c>
      <c r="F426" s="27">
        <f t="shared" si="224"/>
        <v>1.8755683915944974E-5</v>
      </c>
      <c r="G426" s="29">
        <v>0</v>
      </c>
      <c r="H426" s="27">
        <f t="shared" si="224"/>
        <v>1.0121380779514631E-4</v>
      </c>
      <c r="I426" s="27">
        <f t="shared" si="224"/>
        <v>1.0121380779514631E-4</v>
      </c>
      <c r="J426" s="27">
        <f t="shared" si="224"/>
        <v>1.0121380779514631E-4</v>
      </c>
      <c r="K426" s="27">
        <f t="shared" si="224"/>
        <v>2.0178473354236736E-4</v>
      </c>
      <c r="L426" s="27">
        <f t="shared" si="224"/>
        <v>4.1181692142793238E-5</v>
      </c>
      <c r="M426" s="29">
        <v>0</v>
      </c>
      <c r="N426" s="27">
        <f t="shared" si="224"/>
        <v>1.0121380779514631E-4</v>
      </c>
      <c r="O426" s="27">
        <f t="shared" si="224"/>
        <v>1.0121380779514631E-4</v>
      </c>
      <c r="P426" s="27">
        <f t="shared" si="224"/>
        <v>1.0121380779514631E-4</v>
      </c>
      <c r="Q426" s="27">
        <f t="shared" si="224"/>
        <v>1.1416929659829917E-4</v>
      </c>
      <c r="R426" s="27">
        <f t="shared" si="224"/>
        <v>1.1416929659829917E-4</v>
      </c>
      <c r="S426" s="27">
        <f t="shared" si="224"/>
        <v>1.1416929659829917E-4</v>
      </c>
      <c r="T426" s="27">
        <f t="shared" si="224"/>
        <v>1.1416929659829917E-4</v>
      </c>
      <c r="U426" s="27">
        <f t="shared" si="224"/>
        <v>1.1416929659829917E-4</v>
      </c>
      <c r="V426" s="27">
        <f t="shared" si="224"/>
        <v>1.1416929659829917E-4</v>
      </c>
      <c r="W426" s="27">
        <f t="shared" si="224"/>
        <v>1.4109862307205764E-4</v>
      </c>
      <c r="X426" s="27">
        <f t="shared" si="224"/>
        <v>1.4109862307205764E-4</v>
      </c>
      <c r="Y426" s="27">
        <f t="shared" si="224"/>
        <v>1.4109862307205764E-4</v>
      </c>
    </row>
    <row r="427" spans="1:25" outlineLevel="1" x14ac:dyDescent="0.3">
      <c r="A427" t="s">
        <v>164</v>
      </c>
      <c r="B427" t="s">
        <v>64</v>
      </c>
      <c r="C427" s="6" t="s">
        <v>140</v>
      </c>
      <c r="D427" t="s">
        <v>49</v>
      </c>
      <c r="E427" s="27" t="e">
        <f t="shared" si="223"/>
        <v>#DIV/0!</v>
      </c>
      <c r="F427" s="27">
        <f t="shared" si="224"/>
        <v>4.3319462739528203E-5</v>
      </c>
      <c r="G427" s="29">
        <v>0</v>
      </c>
      <c r="H427" s="27">
        <f t="shared" si="224"/>
        <v>4.9895804923356791E-5</v>
      </c>
      <c r="I427" s="27">
        <f t="shared" si="224"/>
        <v>4.9895804923356791E-5</v>
      </c>
      <c r="J427" s="27">
        <f t="shared" si="224"/>
        <v>4.9895804923356791E-5</v>
      </c>
      <c r="K427" s="27">
        <f t="shared" si="224"/>
        <v>4.9108671457400922E-5</v>
      </c>
      <c r="L427" s="27">
        <f t="shared" si="224"/>
        <v>6.9818147237387445E-5</v>
      </c>
      <c r="M427" s="29">
        <v>0</v>
      </c>
      <c r="N427" s="27">
        <f t="shared" si="224"/>
        <v>4.9895804923356791E-5</v>
      </c>
      <c r="O427" s="27">
        <f t="shared" si="224"/>
        <v>4.9895804923356791E-5</v>
      </c>
      <c r="P427" s="27">
        <f t="shared" si="224"/>
        <v>4.9895804923356791E-5</v>
      </c>
      <c r="Q427" s="27">
        <f t="shared" si="224"/>
        <v>5.4105353086784885E-5</v>
      </c>
      <c r="R427" s="27">
        <f t="shared" si="224"/>
        <v>5.4105353086784885E-5</v>
      </c>
      <c r="S427" s="27">
        <f t="shared" si="224"/>
        <v>5.4105353086784885E-5</v>
      </c>
      <c r="T427" s="27">
        <f t="shared" si="224"/>
        <v>5.4105353086784885E-5</v>
      </c>
      <c r="U427" s="27">
        <f t="shared" si="224"/>
        <v>5.4105353086784885E-5</v>
      </c>
      <c r="V427" s="27">
        <f t="shared" si="224"/>
        <v>5.4105353086784885E-5</v>
      </c>
      <c r="W427" s="27">
        <f t="shared" si="224"/>
        <v>1.0323257580084573E-4</v>
      </c>
      <c r="X427" s="27">
        <f t="shared" si="224"/>
        <v>1.0323257580084573E-4</v>
      </c>
      <c r="Y427" s="27">
        <f t="shared" si="224"/>
        <v>1.0323257580084573E-4</v>
      </c>
    </row>
    <row r="428" spans="1:25" outlineLevel="1" x14ac:dyDescent="0.3">
      <c r="A428" t="s">
        <v>164</v>
      </c>
      <c r="B428" t="s">
        <v>65</v>
      </c>
      <c r="C428" s="6" t="s">
        <v>141</v>
      </c>
      <c r="D428" t="s">
        <v>49</v>
      </c>
      <c r="E428" s="27" t="e">
        <f t="shared" si="223"/>
        <v>#DIV/0!</v>
      </c>
      <c r="F428" s="27">
        <f t="shared" si="224"/>
        <v>3.632040761294877E-5</v>
      </c>
      <c r="G428" s="29">
        <v>0</v>
      </c>
      <c r="H428" s="27">
        <f t="shared" si="224"/>
        <v>4.6005293818221764E-5</v>
      </c>
      <c r="I428" s="27">
        <f t="shared" si="224"/>
        <v>4.6005293818221764E-5</v>
      </c>
      <c r="J428" s="27">
        <f t="shared" si="224"/>
        <v>4.6005293818221764E-5</v>
      </c>
      <c r="K428" s="27">
        <f t="shared" si="224"/>
        <v>4.4240104580159525E-5</v>
      </c>
      <c r="L428" s="27">
        <f t="shared" si="224"/>
        <v>6.4671932890950556E-5</v>
      </c>
      <c r="M428" s="29">
        <v>0</v>
      </c>
      <c r="N428" s="27">
        <f t="shared" si="224"/>
        <v>4.6005293818221764E-5</v>
      </c>
      <c r="O428" s="27">
        <f t="shared" si="224"/>
        <v>4.6005293818221764E-5</v>
      </c>
      <c r="P428" s="27">
        <f t="shared" si="224"/>
        <v>4.6005293818221764E-5</v>
      </c>
      <c r="Q428" s="27">
        <f t="shared" si="224"/>
        <v>5.3996707799462029E-5</v>
      </c>
      <c r="R428" s="27">
        <f t="shared" si="224"/>
        <v>5.3996707799462029E-5</v>
      </c>
      <c r="S428" s="27">
        <f t="shared" si="224"/>
        <v>5.3996707799462029E-5</v>
      </c>
      <c r="T428" s="27">
        <f t="shared" si="224"/>
        <v>5.3996707799462029E-5</v>
      </c>
      <c r="U428" s="27">
        <f t="shared" si="224"/>
        <v>5.3996707799462029E-5</v>
      </c>
      <c r="V428" s="27">
        <f t="shared" si="224"/>
        <v>5.3996707799462029E-5</v>
      </c>
      <c r="W428" s="27">
        <f t="shared" si="224"/>
        <v>1.0312680471908258E-4</v>
      </c>
      <c r="X428" s="27">
        <f t="shared" si="224"/>
        <v>1.0312680471908258E-4</v>
      </c>
      <c r="Y428" s="27">
        <f t="shared" si="224"/>
        <v>1.0312680471908258E-4</v>
      </c>
    </row>
    <row r="429" spans="1:25" outlineLevel="1" x14ac:dyDescent="0.3">
      <c r="A429" t="s">
        <v>164</v>
      </c>
      <c r="B429" t="s">
        <v>66</v>
      </c>
      <c r="C429" s="6" t="s">
        <v>142</v>
      </c>
      <c r="D429" t="s">
        <v>49</v>
      </c>
      <c r="E429" s="27" t="e">
        <f t="shared" si="223"/>
        <v>#DIV/0!</v>
      </c>
      <c r="F429" s="27">
        <f t="shared" si="224"/>
        <v>3.438300035228109E-5</v>
      </c>
      <c r="G429" s="29">
        <v>0</v>
      </c>
      <c r="H429" s="27">
        <f t="shared" si="224"/>
        <v>4.5518979930079884E-5</v>
      </c>
      <c r="I429" s="27">
        <f t="shared" si="224"/>
        <v>4.5518979930079884E-5</v>
      </c>
      <c r="J429" s="27">
        <f t="shared" si="224"/>
        <v>4.5518979930079884E-5</v>
      </c>
      <c r="K429" s="27">
        <f t="shared" ref="F429:Y441" si="225">K227/K$398</f>
        <v>4.3639398314738519E-5</v>
      </c>
      <c r="L429" s="27">
        <f t="shared" si="225"/>
        <v>6.289476484319015E-5</v>
      </c>
      <c r="M429" s="29">
        <v>0</v>
      </c>
      <c r="N429" s="27">
        <f t="shared" si="225"/>
        <v>4.5518979930079884E-5</v>
      </c>
      <c r="O429" s="27">
        <f t="shared" si="225"/>
        <v>4.5518979930079884E-5</v>
      </c>
      <c r="P429" s="27">
        <f t="shared" si="225"/>
        <v>4.5518979930079884E-5</v>
      </c>
      <c r="Q429" s="27">
        <f t="shared" si="225"/>
        <v>5.3996707799462029E-5</v>
      </c>
      <c r="R429" s="27">
        <f t="shared" si="225"/>
        <v>5.3996707799462029E-5</v>
      </c>
      <c r="S429" s="27">
        <f t="shared" si="225"/>
        <v>5.3996707799462029E-5</v>
      </c>
      <c r="T429" s="27">
        <f t="shared" si="225"/>
        <v>5.3996707799462029E-5</v>
      </c>
      <c r="U429" s="27">
        <f t="shared" si="225"/>
        <v>5.3996707799462029E-5</v>
      </c>
      <c r="V429" s="27">
        <f t="shared" si="225"/>
        <v>5.3996707799462029E-5</v>
      </c>
      <c r="W429" s="27">
        <f t="shared" si="225"/>
        <v>1.0312680471908258E-4</v>
      </c>
      <c r="X429" s="27">
        <f t="shared" si="225"/>
        <v>1.0312680471908258E-4</v>
      </c>
      <c r="Y429" s="27">
        <f t="shared" si="225"/>
        <v>1.0312680471908258E-4</v>
      </c>
    </row>
    <row r="430" spans="1:25" outlineLevel="1" x14ac:dyDescent="0.3">
      <c r="A430" t="s">
        <v>164</v>
      </c>
      <c r="B430" t="s">
        <v>67</v>
      </c>
      <c r="C430" s="6" t="s">
        <v>143</v>
      </c>
      <c r="D430" t="s">
        <v>49</v>
      </c>
      <c r="E430" s="27" t="e">
        <f t="shared" si="223"/>
        <v>#DIV/0!</v>
      </c>
      <c r="F430" s="27">
        <f t="shared" si="225"/>
        <v>3.6479717516989909E-5</v>
      </c>
      <c r="G430" s="29">
        <v>0</v>
      </c>
      <c r="H430" s="27">
        <f t="shared" si="225"/>
        <v>4.6588870483992019E-5</v>
      </c>
      <c r="I430" s="27">
        <f t="shared" si="225"/>
        <v>4.6588870483992019E-5</v>
      </c>
      <c r="J430" s="27">
        <f t="shared" si="225"/>
        <v>4.6588870483992019E-5</v>
      </c>
      <c r="K430" s="27">
        <f t="shared" si="225"/>
        <v>4.4691030405140607E-5</v>
      </c>
      <c r="L430" s="27">
        <f t="shared" si="225"/>
        <v>6.2419132711125373E-5</v>
      </c>
      <c r="M430" s="29">
        <v>0</v>
      </c>
      <c r="N430" s="27">
        <f t="shared" si="225"/>
        <v>4.6588870483992019E-5</v>
      </c>
      <c r="O430" s="27">
        <f t="shared" si="225"/>
        <v>4.6588870483992019E-5</v>
      </c>
      <c r="P430" s="27">
        <f t="shared" si="225"/>
        <v>4.6588870483992019E-5</v>
      </c>
      <c r="Q430" s="27">
        <f t="shared" si="225"/>
        <v>5.3996707799462029E-5</v>
      </c>
      <c r="R430" s="27">
        <f t="shared" si="225"/>
        <v>5.3996707799462029E-5</v>
      </c>
      <c r="S430" s="27">
        <f t="shared" si="225"/>
        <v>5.3996707799462029E-5</v>
      </c>
      <c r="T430" s="27">
        <f t="shared" si="225"/>
        <v>5.3996707799462029E-5</v>
      </c>
      <c r="U430" s="27">
        <f t="shared" si="225"/>
        <v>5.3996707799462029E-5</v>
      </c>
      <c r="V430" s="27">
        <f t="shared" si="225"/>
        <v>5.3996707799462029E-5</v>
      </c>
      <c r="W430" s="27">
        <f t="shared" si="225"/>
        <v>1.0312680471908258E-4</v>
      </c>
      <c r="X430" s="27">
        <f t="shared" si="225"/>
        <v>1.0312680471908258E-4</v>
      </c>
      <c r="Y430" s="27">
        <f t="shared" si="225"/>
        <v>1.0312680471908258E-4</v>
      </c>
    </row>
    <row r="431" spans="1:25" outlineLevel="1" x14ac:dyDescent="0.3">
      <c r="A431" t="s">
        <v>164</v>
      </c>
      <c r="B431" t="s">
        <v>68</v>
      </c>
      <c r="C431" s="6" t="s">
        <v>144</v>
      </c>
      <c r="D431" t="s">
        <v>49</v>
      </c>
      <c r="E431" s="27" t="e">
        <f t="shared" si="223"/>
        <v>#DIV/0!</v>
      </c>
      <c r="F431" s="27">
        <f t="shared" si="225"/>
        <v>4.2647115191844961E-5</v>
      </c>
      <c r="G431" s="29">
        <v>0</v>
      </c>
      <c r="H431" s="27">
        <f t="shared" si="225"/>
        <v>5.9913871019079502E-5</v>
      </c>
      <c r="I431" s="27">
        <f t="shared" si="225"/>
        <v>5.9913871019079502E-5</v>
      </c>
      <c r="J431" s="27">
        <f t="shared" si="225"/>
        <v>5.9913871019079502E-5</v>
      </c>
      <c r="K431" s="27">
        <f t="shared" si="225"/>
        <v>4.4488826810546723E-5</v>
      </c>
      <c r="L431" s="27">
        <f t="shared" si="225"/>
        <v>6.3862798112824154E-5</v>
      </c>
      <c r="M431" s="29">
        <v>0</v>
      </c>
      <c r="N431" s="27">
        <f t="shared" si="225"/>
        <v>5.9913871019079502E-5</v>
      </c>
      <c r="O431" s="27">
        <f t="shared" si="225"/>
        <v>5.9913871019079502E-5</v>
      </c>
      <c r="P431" s="27">
        <f t="shared" si="225"/>
        <v>5.9913871019079502E-5</v>
      </c>
      <c r="Q431" s="27">
        <f t="shared" si="225"/>
        <v>5.3996707799462029E-5</v>
      </c>
      <c r="R431" s="27">
        <f t="shared" si="225"/>
        <v>5.3996707799462029E-5</v>
      </c>
      <c r="S431" s="27">
        <f t="shared" si="225"/>
        <v>5.3996707799462029E-5</v>
      </c>
      <c r="T431" s="27">
        <f t="shared" si="225"/>
        <v>5.3996707799462029E-5</v>
      </c>
      <c r="U431" s="27">
        <f t="shared" si="225"/>
        <v>5.3996707799462029E-5</v>
      </c>
      <c r="V431" s="27">
        <f t="shared" si="225"/>
        <v>5.3996707799462029E-5</v>
      </c>
      <c r="W431" s="27">
        <f t="shared" si="225"/>
        <v>1.0333834688260889E-4</v>
      </c>
      <c r="X431" s="27">
        <f t="shared" si="225"/>
        <v>1.0333834688260889E-4</v>
      </c>
      <c r="Y431" s="27">
        <f t="shared" si="225"/>
        <v>1.0333834688260889E-4</v>
      </c>
    </row>
    <row r="432" spans="1:25" outlineLevel="1" x14ac:dyDescent="0.3">
      <c r="A432" t="s">
        <v>164</v>
      </c>
      <c r="B432" t="s">
        <v>69</v>
      </c>
      <c r="C432" s="6" t="s">
        <v>145</v>
      </c>
      <c r="D432" t="s">
        <v>49</v>
      </c>
      <c r="E432" s="27" t="e">
        <f t="shared" si="223"/>
        <v>#DIV/0!</v>
      </c>
      <c r="F432" s="27">
        <f t="shared" si="225"/>
        <v>5.1311435662513075E-5</v>
      </c>
      <c r="G432" s="29">
        <v>0</v>
      </c>
      <c r="H432" s="27">
        <f t="shared" si="225"/>
        <v>1.0300128150845E-4</v>
      </c>
      <c r="I432" s="27">
        <f t="shared" si="225"/>
        <v>1.0300128150845E-4</v>
      </c>
      <c r="J432" s="27">
        <f t="shared" si="225"/>
        <v>1.0300128150845E-4</v>
      </c>
      <c r="K432" s="27">
        <f t="shared" si="225"/>
        <v>6.6781223770092743E-5</v>
      </c>
      <c r="L432" s="27">
        <f t="shared" si="225"/>
        <v>6.8643683118958901E-5</v>
      </c>
      <c r="M432" s="29">
        <v>0</v>
      </c>
      <c r="N432" s="27">
        <f t="shared" si="225"/>
        <v>1.0300128150845E-4</v>
      </c>
      <c r="O432" s="27">
        <f t="shared" si="225"/>
        <v>1.0300128150845E-4</v>
      </c>
      <c r="P432" s="27">
        <f t="shared" si="225"/>
        <v>1.0300128150845E-4</v>
      </c>
      <c r="Q432" s="27">
        <f t="shared" si="225"/>
        <v>5.4105353086784885E-5</v>
      </c>
      <c r="R432" s="27">
        <f t="shared" si="225"/>
        <v>5.4105353086784885E-5</v>
      </c>
      <c r="S432" s="27">
        <f t="shared" si="225"/>
        <v>5.4105353086784885E-5</v>
      </c>
      <c r="T432" s="27">
        <f t="shared" si="225"/>
        <v>5.4105353086784885E-5</v>
      </c>
      <c r="U432" s="27">
        <f t="shared" si="225"/>
        <v>5.4105353086784885E-5</v>
      </c>
      <c r="V432" s="27">
        <f t="shared" si="225"/>
        <v>5.4105353086784885E-5</v>
      </c>
      <c r="W432" s="27">
        <f t="shared" si="225"/>
        <v>1.0376143120966154E-4</v>
      </c>
      <c r="X432" s="27">
        <f t="shared" si="225"/>
        <v>1.0376143120966154E-4</v>
      </c>
      <c r="Y432" s="27">
        <f t="shared" si="225"/>
        <v>1.0376143120966154E-4</v>
      </c>
    </row>
    <row r="433" spans="1:25" outlineLevel="1" x14ac:dyDescent="0.3">
      <c r="A433" t="s">
        <v>164</v>
      </c>
      <c r="B433" t="s">
        <v>70</v>
      </c>
      <c r="C433" s="6" t="s">
        <v>146</v>
      </c>
      <c r="D433" t="s">
        <v>49</v>
      </c>
      <c r="E433" s="27" t="e">
        <f t="shared" si="223"/>
        <v>#DIV/0!</v>
      </c>
      <c r="F433" s="27">
        <f t="shared" si="225"/>
        <v>5.8351202160442951E-5</v>
      </c>
      <c r="G433" s="29">
        <v>0</v>
      </c>
      <c r="H433" s="27">
        <f t="shared" si="225"/>
        <v>9.9791609846713582E-5</v>
      </c>
      <c r="I433" s="27">
        <f t="shared" si="225"/>
        <v>9.9791609846713582E-5</v>
      </c>
      <c r="J433" s="27">
        <f t="shared" si="225"/>
        <v>9.9791609846713582E-5</v>
      </c>
      <c r="K433" s="27">
        <f t="shared" si="225"/>
        <v>1.2952133538156202E-4</v>
      </c>
      <c r="L433" s="27">
        <f t="shared" si="225"/>
        <v>7.9959877992754737E-5</v>
      </c>
      <c r="M433" s="29">
        <v>0</v>
      </c>
      <c r="N433" s="27">
        <f t="shared" si="225"/>
        <v>9.9791609846713582E-5</v>
      </c>
      <c r="O433" s="27">
        <f t="shared" si="225"/>
        <v>9.9791609846713582E-5</v>
      </c>
      <c r="P433" s="27">
        <f t="shared" si="225"/>
        <v>9.9791609846713582E-5</v>
      </c>
      <c r="Q433" s="27">
        <f t="shared" si="225"/>
        <v>7.844189744710581E-5</v>
      </c>
      <c r="R433" s="27">
        <f t="shared" si="225"/>
        <v>7.844189744710581E-5</v>
      </c>
      <c r="S433" s="27">
        <f t="shared" si="225"/>
        <v>7.844189744710581E-5</v>
      </c>
      <c r="T433" s="27">
        <f t="shared" si="225"/>
        <v>7.844189744710581E-5</v>
      </c>
      <c r="U433" s="27">
        <f t="shared" si="225"/>
        <v>7.844189744710581E-5</v>
      </c>
      <c r="V433" s="27">
        <f t="shared" si="225"/>
        <v>7.844189744710581E-5</v>
      </c>
      <c r="W433" s="27">
        <f t="shared" si="225"/>
        <v>1.0429028661847736E-4</v>
      </c>
      <c r="X433" s="27">
        <f t="shared" si="225"/>
        <v>1.0429028661847736E-4</v>
      </c>
      <c r="Y433" s="27">
        <f t="shared" si="225"/>
        <v>1.0429028661847736E-4</v>
      </c>
    </row>
    <row r="434" spans="1:25" outlineLevel="1" x14ac:dyDescent="0.3">
      <c r="A434" t="s">
        <v>164</v>
      </c>
      <c r="B434" t="s">
        <v>71</v>
      </c>
      <c r="C434" s="6" t="s">
        <v>147</v>
      </c>
      <c r="D434" t="s">
        <v>49</v>
      </c>
      <c r="E434" s="27" t="e">
        <f t="shared" si="223"/>
        <v>#DIV/0!</v>
      </c>
      <c r="F434" s="27">
        <f t="shared" si="225"/>
        <v>6.314445895716019E-5</v>
      </c>
      <c r="G434" s="29">
        <v>0</v>
      </c>
      <c r="H434" s="27">
        <f t="shared" si="225"/>
        <v>4.7269709927390648E-5</v>
      </c>
      <c r="I434" s="27">
        <f t="shared" si="225"/>
        <v>4.7269709927390648E-5</v>
      </c>
      <c r="J434" s="27">
        <f t="shared" si="225"/>
        <v>4.7269709927390648E-5</v>
      </c>
      <c r="K434" s="27">
        <f t="shared" si="225"/>
        <v>1.4067407367597499E-4</v>
      </c>
      <c r="L434" s="27">
        <f t="shared" si="225"/>
        <v>9.9569996880198786E-5</v>
      </c>
      <c r="M434" s="29">
        <v>0</v>
      </c>
      <c r="N434" s="27">
        <f t="shared" si="225"/>
        <v>4.7269709927390648E-5</v>
      </c>
      <c r="O434" s="27">
        <f t="shared" si="225"/>
        <v>4.7269709927390648E-5</v>
      </c>
      <c r="P434" s="27">
        <f t="shared" si="225"/>
        <v>4.7269709927390648E-5</v>
      </c>
      <c r="Q434" s="27">
        <f t="shared" si="225"/>
        <v>1.5742702133082591E-4</v>
      </c>
      <c r="R434" s="27">
        <f t="shared" si="225"/>
        <v>1.5742702133082591E-4</v>
      </c>
      <c r="S434" s="27">
        <f t="shared" si="225"/>
        <v>1.5742702133082591E-4</v>
      </c>
      <c r="T434" s="27">
        <f t="shared" si="225"/>
        <v>1.5742702133082591E-4</v>
      </c>
      <c r="U434" s="27">
        <f t="shared" si="225"/>
        <v>1.5742702133082591E-4</v>
      </c>
      <c r="V434" s="27">
        <f t="shared" si="225"/>
        <v>1.5742702133082591E-4</v>
      </c>
      <c r="W434" s="27">
        <f t="shared" si="225"/>
        <v>1.0492491310905632E-4</v>
      </c>
      <c r="X434" s="27">
        <f t="shared" si="225"/>
        <v>1.0492491310905632E-4</v>
      </c>
      <c r="Y434" s="27">
        <f t="shared" si="225"/>
        <v>1.0492491310905632E-4</v>
      </c>
    </row>
    <row r="435" spans="1:25" outlineLevel="1" x14ac:dyDescent="0.3">
      <c r="A435" t="s">
        <v>164</v>
      </c>
      <c r="B435" t="s">
        <v>72</v>
      </c>
      <c r="C435" s="6" t="s">
        <v>148</v>
      </c>
      <c r="D435" t="s">
        <v>49</v>
      </c>
      <c r="E435" s="27" t="e">
        <f t="shared" si="223"/>
        <v>#DIV/0!</v>
      </c>
      <c r="F435" s="27">
        <f t="shared" si="225"/>
        <v>7.2897477558401126E-5</v>
      </c>
      <c r="G435" s="29">
        <v>0</v>
      </c>
      <c r="H435" s="27">
        <f t="shared" si="225"/>
        <v>4.571350548533664E-5</v>
      </c>
      <c r="I435" s="27">
        <f t="shared" si="225"/>
        <v>4.571350548533664E-5</v>
      </c>
      <c r="J435" s="27">
        <f t="shared" si="225"/>
        <v>4.571350548533664E-5</v>
      </c>
      <c r="K435" s="27">
        <f t="shared" si="225"/>
        <v>1.0727804308736977E-4</v>
      </c>
      <c r="L435" s="27">
        <f t="shared" si="225"/>
        <v>1.2817074270920646E-4</v>
      </c>
      <c r="M435" s="29">
        <v>0</v>
      </c>
      <c r="N435" s="27">
        <f t="shared" si="225"/>
        <v>4.571350548533664E-5</v>
      </c>
      <c r="O435" s="27">
        <f t="shared" si="225"/>
        <v>4.571350548533664E-5</v>
      </c>
      <c r="P435" s="27">
        <f t="shared" si="225"/>
        <v>4.571350548533664E-5</v>
      </c>
      <c r="Q435" s="27">
        <f t="shared" si="225"/>
        <v>1.5949128178996026E-4</v>
      </c>
      <c r="R435" s="27">
        <f t="shared" si="225"/>
        <v>1.5949128178996026E-4</v>
      </c>
      <c r="S435" s="27">
        <f t="shared" si="225"/>
        <v>1.5949128178996026E-4</v>
      </c>
      <c r="T435" s="27">
        <f t="shared" si="225"/>
        <v>1.5949128178996026E-4</v>
      </c>
      <c r="U435" s="27">
        <f t="shared" si="225"/>
        <v>1.5949128178996026E-4</v>
      </c>
      <c r="V435" s="27">
        <f t="shared" si="225"/>
        <v>1.5949128178996026E-4</v>
      </c>
      <c r="W435" s="27">
        <f t="shared" si="225"/>
        <v>1.0513645527258263E-4</v>
      </c>
      <c r="X435" s="27">
        <f t="shared" si="225"/>
        <v>1.0513645527258263E-4</v>
      </c>
      <c r="Y435" s="27">
        <f t="shared" si="225"/>
        <v>1.0513645527258263E-4</v>
      </c>
    </row>
    <row r="436" spans="1:25" outlineLevel="1" x14ac:dyDescent="0.3">
      <c r="A436" t="s">
        <v>164</v>
      </c>
      <c r="B436" t="s">
        <v>73</v>
      </c>
      <c r="C436" s="6" t="s">
        <v>149</v>
      </c>
      <c r="D436" t="s">
        <v>49</v>
      </c>
      <c r="E436" s="27" t="e">
        <f t="shared" si="223"/>
        <v>#DIV/0!</v>
      </c>
      <c r="F436" s="27">
        <f t="shared" si="225"/>
        <v>8.733827912790785E-5</v>
      </c>
      <c r="G436" s="29">
        <v>0</v>
      </c>
      <c r="H436" s="27">
        <f t="shared" si="225"/>
        <v>4.396277548802587E-5</v>
      </c>
      <c r="I436" s="27">
        <f t="shared" si="225"/>
        <v>4.396277548802587E-5</v>
      </c>
      <c r="J436" s="27">
        <f t="shared" si="225"/>
        <v>4.396277548802587E-5</v>
      </c>
      <c r="K436" s="27">
        <f t="shared" si="225"/>
        <v>8.1114643890578127E-5</v>
      </c>
      <c r="L436" s="27">
        <f t="shared" si="225"/>
        <v>1.5333018479656921E-4</v>
      </c>
      <c r="M436" s="29">
        <v>0</v>
      </c>
      <c r="N436" s="27">
        <f t="shared" si="225"/>
        <v>4.396277548802587E-5</v>
      </c>
      <c r="O436" s="27">
        <f t="shared" si="225"/>
        <v>4.396277548802587E-5</v>
      </c>
      <c r="P436" s="27">
        <f t="shared" si="225"/>
        <v>4.396277548802587E-5</v>
      </c>
      <c r="Q436" s="27">
        <f t="shared" si="225"/>
        <v>1.4362906984082254E-4</v>
      </c>
      <c r="R436" s="27">
        <f t="shared" si="225"/>
        <v>1.4362906984082254E-4</v>
      </c>
      <c r="S436" s="27">
        <f t="shared" si="225"/>
        <v>1.4362906984082254E-4</v>
      </c>
      <c r="T436" s="27">
        <f t="shared" si="225"/>
        <v>1.4362906984082254E-4</v>
      </c>
      <c r="U436" s="27">
        <f t="shared" si="225"/>
        <v>1.4362906984082254E-4</v>
      </c>
      <c r="V436" s="27">
        <f t="shared" si="225"/>
        <v>1.4362906984082254E-4</v>
      </c>
      <c r="W436" s="27">
        <f t="shared" si="225"/>
        <v>1.0492491310905632E-4</v>
      </c>
      <c r="X436" s="27">
        <f t="shared" si="225"/>
        <v>1.0492491310905632E-4</v>
      </c>
      <c r="Y436" s="27">
        <f t="shared" si="225"/>
        <v>1.0492491310905632E-4</v>
      </c>
    </row>
    <row r="437" spans="1:25" outlineLevel="1" x14ac:dyDescent="0.3">
      <c r="A437" t="s">
        <v>164</v>
      </c>
      <c r="B437" t="s">
        <v>74</v>
      </c>
      <c r="C437" s="6" t="s">
        <v>150</v>
      </c>
      <c r="D437" t="s">
        <v>49</v>
      </c>
      <c r="E437" s="27" t="e">
        <f t="shared" si="223"/>
        <v>#DIV/0!</v>
      </c>
      <c r="F437" s="27">
        <f t="shared" si="225"/>
        <v>1.1300858286308038E-4</v>
      </c>
      <c r="G437" s="29">
        <v>0</v>
      </c>
      <c r="H437" s="27">
        <f t="shared" si="225"/>
        <v>4.4643614931424506E-5</v>
      </c>
      <c r="I437" s="27">
        <f t="shared" si="225"/>
        <v>4.4643614931424506E-5</v>
      </c>
      <c r="J437" s="27">
        <f t="shared" si="225"/>
        <v>4.4643614931424506E-5</v>
      </c>
      <c r="K437" s="27">
        <f t="shared" si="225"/>
        <v>6.7166841137560659E-5</v>
      </c>
      <c r="L437" s="27">
        <f t="shared" si="225"/>
        <v>1.7445462202086439E-4</v>
      </c>
      <c r="M437" s="29">
        <v>0</v>
      </c>
      <c r="N437" s="27">
        <f t="shared" si="225"/>
        <v>4.4643614931424506E-5</v>
      </c>
      <c r="O437" s="27">
        <f t="shared" si="225"/>
        <v>4.4643614931424506E-5</v>
      </c>
      <c r="P437" s="27">
        <f t="shared" si="225"/>
        <v>4.4643614931424506E-5</v>
      </c>
      <c r="Q437" s="27">
        <f t="shared" si="225"/>
        <v>1.1853200846924158E-4</v>
      </c>
      <c r="R437" s="27">
        <f t="shared" si="225"/>
        <v>1.1853200846924158E-4</v>
      </c>
      <c r="S437" s="27">
        <f t="shared" si="225"/>
        <v>1.1853200846924158E-4</v>
      </c>
      <c r="T437" s="27">
        <f t="shared" si="225"/>
        <v>1.1853200846924158E-4</v>
      </c>
      <c r="U437" s="27">
        <f t="shared" si="225"/>
        <v>1.1853200846924158E-4</v>
      </c>
      <c r="V437" s="27">
        <f t="shared" si="225"/>
        <v>1.1853200846924158E-4</v>
      </c>
      <c r="W437" s="27">
        <f t="shared" si="225"/>
        <v>1.0471337094552999E-4</v>
      </c>
      <c r="X437" s="27">
        <f t="shared" si="225"/>
        <v>1.0471337094552999E-4</v>
      </c>
      <c r="Y437" s="27">
        <f t="shared" si="225"/>
        <v>1.0471337094552999E-4</v>
      </c>
    </row>
    <row r="438" spans="1:25" outlineLevel="1" x14ac:dyDescent="0.3">
      <c r="A438" t="s">
        <v>164</v>
      </c>
      <c r="B438" t="s">
        <v>75</v>
      </c>
      <c r="C438" s="6" t="s">
        <v>151</v>
      </c>
      <c r="D438" t="s">
        <v>49</v>
      </c>
      <c r="E438" s="27" t="e">
        <f t="shared" si="223"/>
        <v>#DIV/0!</v>
      </c>
      <c r="F438" s="27">
        <f t="shared" si="225"/>
        <v>1.5255066178828977E-4</v>
      </c>
      <c r="G438" s="29">
        <v>0</v>
      </c>
      <c r="H438" s="27">
        <f t="shared" si="225"/>
        <v>4.9020439924701412E-5</v>
      </c>
      <c r="I438" s="27">
        <f t="shared" si="225"/>
        <v>4.9020439924701412E-5</v>
      </c>
      <c r="J438" s="27">
        <f t="shared" si="225"/>
        <v>4.9020439924701412E-5</v>
      </c>
      <c r="K438" s="27">
        <f t="shared" si="225"/>
        <v>5.6557752028612676E-5</v>
      </c>
      <c r="L438" s="27">
        <f t="shared" si="225"/>
        <v>1.8917052210969918E-4</v>
      </c>
      <c r="M438" s="29">
        <v>0</v>
      </c>
      <c r="N438" s="27">
        <f t="shared" si="225"/>
        <v>4.9020439924701412E-5</v>
      </c>
      <c r="O438" s="27">
        <f t="shared" si="225"/>
        <v>4.9020439924701412E-5</v>
      </c>
      <c r="P438" s="27">
        <f t="shared" si="225"/>
        <v>4.9020439924701412E-5</v>
      </c>
      <c r="Q438" s="27">
        <f t="shared" si="225"/>
        <v>1.1864065375656446E-4</v>
      </c>
      <c r="R438" s="27">
        <f t="shared" si="225"/>
        <v>1.1864065375656446E-4</v>
      </c>
      <c r="S438" s="27">
        <f t="shared" si="225"/>
        <v>1.1864065375656446E-4</v>
      </c>
      <c r="T438" s="27">
        <f t="shared" si="225"/>
        <v>1.1864065375656446E-4</v>
      </c>
      <c r="U438" s="27">
        <f t="shared" si="225"/>
        <v>1.1864065375656446E-4</v>
      </c>
      <c r="V438" s="27">
        <f t="shared" si="225"/>
        <v>1.1864065375656446E-4</v>
      </c>
      <c r="W438" s="27">
        <f t="shared" si="225"/>
        <v>1.0460759986376684E-4</v>
      </c>
      <c r="X438" s="27">
        <f t="shared" si="225"/>
        <v>1.0460759986376684E-4</v>
      </c>
      <c r="Y438" s="27">
        <f t="shared" si="225"/>
        <v>1.0460759986376684E-4</v>
      </c>
    </row>
    <row r="439" spans="1:25" outlineLevel="1" x14ac:dyDescent="0.3">
      <c r="A439" t="s">
        <v>164</v>
      </c>
      <c r="B439" t="s">
        <v>76</v>
      </c>
      <c r="C439" s="6" t="s">
        <v>152</v>
      </c>
      <c r="D439" t="s">
        <v>49</v>
      </c>
      <c r="E439" s="27" t="e">
        <f t="shared" si="223"/>
        <v>#DIV/0!</v>
      </c>
      <c r="F439" s="27">
        <f t="shared" si="225"/>
        <v>1.8764164600001303E-4</v>
      </c>
      <c r="G439" s="29">
        <v>0</v>
      </c>
      <c r="H439" s="27">
        <f t="shared" si="225"/>
        <v>5.1646534920667562E-5</v>
      </c>
      <c r="I439" s="27">
        <f t="shared" si="225"/>
        <v>5.1646534920667562E-5</v>
      </c>
      <c r="J439" s="27">
        <f t="shared" si="225"/>
        <v>5.1646534920667562E-5</v>
      </c>
      <c r="K439" s="27">
        <f t="shared" si="225"/>
        <v>5.0623830661336068E-5</v>
      </c>
      <c r="L439" s="27">
        <f t="shared" si="225"/>
        <v>1.9581641247239879E-4</v>
      </c>
      <c r="M439" s="29">
        <v>0</v>
      </c>
      <c r="N439" s="27">
        <f t="shared" si="225"/>
        <v>5.1646534920667562E-5</v>
      </c>
      <c r="O439" s="27">
        <f t="shared" si="225"/>
        <v>5.1646534920667562E-5</v>
      </c>
      <c r="P439" s="27">
        <f t="shared" si="225"/>
        <v>5.1646534920667562E-5</v>
      </c>
      <c r="Q439" s="27">
        <f t="shared" si="225"/>
        <v>1.1896658961853303E-4</v>
      </c>
      <c r="R439" s="27">
        <f t="shared" si="225"/>
        <v>1.1896658961853303E-4</v>
      </c>
      <c r="S439" s="27">
        <f t="shared" si="225"/>
        <v>1.1896658961853303E-4</v>
      </c>
      <c r="T439" s="27">
        <f t="shared" si="225"/>
        <v>1.1896658961853303E-4</v>
      </c>
      <c r="U439" s="27">
        <f t="shared" si="225"/>
        <v>1.1896658961853303E-4</v>
      </c>
      <c r="V439" s="27">
        <f t="shared" si="225"/>
        <v>1.1896658961853303E-4</v>
      </c>
      <c r="W439" s="27">
        <f t="shared" si="225"/>
        <v>1.0429028661847736E-4</v>
      </c>
      <c r="X439" s="27">
        <f t="shared" si="225"/>
        <v>1.0429028661847736E-4</v>
      </c>
      <c r="Y439" s="27">
        <f t="shared" si="225"/>
        <v>1.0429028661847736E-4</v>
      </c>
    </row>
    <row r="440" spans="1:25" outlineLevel="1" x14ac:dyDescent="0.3">
      <c r="A440" t="s">
        <v>164</v>
      </c>
      <c r="B440" t="s">
        <v>77</v>
      </c>
      <c r="C440" s="6" t="s">
        <v>153</v>
      </c>
      <c r="D440" t="s">
        <v>49</v>
      </c>
      <c r="E440" s="27" t="e">
        <f t="shared" si="223"/>
        <v>#DIV/0!</v>
      </c>
      <c r="F440" s="27">
        <f t="shared" si="225"/>
        <v>2.0781095043790135E-4</v>
      </c>
      <c r="G440" s="29">
        <v>0</v>
      </c>
      <c r="H440" s="27">
        <f t="shared" si="225"/>
        <v>5.2327374364066191E-5</v>
      </c>
      <c r="I440" s="27">
        <f t="shared" si="225"/>
        <v>5.2327374364066191E-5</v>
      </c>
      <c r="J440" s="27">
        <f t="shared" si="225"/>
        <v>5.2327374364066191E-5</v>
      </c>
      <c r="K440" s="27">
        <f t="shared" si="225"/>
        <v>4.6590207524734579E-5</v>
      </c>
      <c r="L440" s="27">
        <f t="shared" si="225"/>
        <v>2.0483583510749108E-4</v>
      </c>
      <c r="M440" s="29">
        <v>0</v>
      </c>
      <c r="N440" s="27">
        <f t="shared" si="225"/>
        <v>5.2327374364066191E-5</v>
      </c>
      <c r="O440" s="27">
        <f t="shared" si="225"/>
        <v>5.2327374364066191E-5</v>
      </c>
      <c r="P440" s="27">
        <f t="shared" si="225"/>
        <v>5.2327374364066191E-5</v>
      </c>
      <c r="Q440" s="27">
        <f t="shared" si="225"/>
        <v>1.1885794433121017E-4</v>
      </c>
      <c r="R440" s="27">
        <f t="shared" si="225"/>
        <v>1.1885794433121017E-4</v>
      </c>
      <c r="S440" s="27">
        <f t="shared" si="225"/>
        <v>1.1885794433121017E-4</v>
      </c>
      <c r="T440" s="27">
        <f t="shared" si="225"/>
        <v>1.1885794433121017E-4</v>
      </c>
      <c r="U440" s="27">
        <f t="shared" si="225"/>
        <v>1.1885794433121017E-4</v>
      </c>
      <c r="V440" s="27">
        <f t="shared" si="225"/>
        <v>1.1885794433121017E-4</v>
      </c>
      <c r="W440" s="27">
        <f t="shared" si="225"/>
        <v>1.0429028661847736E-4</v>
      </c>
      <c r="X440" s="27">
        <f t="shared" si="225"/>
        <v>1.0429028661847736E-4</v>
      </c>
      <c r="Y440" s="27">
        <f t="shared" si="225"/>
        <v>1.0429028661847736E-4</v>
      </c>
    </row>
    <row r="441" spans="1:25" outlineLevel="1" x14ac:dyDescent="0.3">
      <c r="A441" t="s">
        <v>164</v>
      </c>
      <c r="B441" t="s">
        <v>78</v>
      </c>
      <c r="C441" s="6" t="s">
        <v>154</v>
      </c>
      <c r="D441" t="s">
        <v>49</v>
      </c>
      <c r="E441" s="27" t="e">
        <f t="shared" si="223"/>
        <v>#DIV/0!</v>
      </c>
      <c r="F441" s="27">
        <f t="shared" si="225"/>
        <v>2.2173014938530367E-4</v>
      </c>
      <c r="G441" s="29">
        <v>0</v>
      </c>
      <c r="H441" s="27">
        <f t="shared" si="225"/>
        <v>5.368905325086345E-5</v>
      </c>
      <c r="I441" s="27">
        <f t="shared" si="225"/>
        <v>5.368905325086345E-5</v>
      </c>
      <c r="J441" s="27">
        <f t="shared" si="225"/>
        <v>5.368905325086345E-5</v>
      </c>
      <c r="K441" s="27">
        <f t="shared" si="225"/>
        <v>4.3413830765213742E-5</v>
      </c>
      <c r="L441" s="27">
        <f t="shared" si="225"/>
        <v>2.0982025287951577E-4</v>
      </c>
      <c r="M441" s="29">
        <v>0</v>
      </c>
      <c r="N441" s="27">
        <f t="shared" si="225"/>
        <v>5.368905325086345E-5</v>
      </c>
      <c r="O441" s="27">
        <f t="shared" si="225"/>
        <v>5.368905325086345E-5</v>
      </c>
      <c r="P441" s="27">
        <f t="shared" si="225"/>
        <v>5.368905325086345E-5</v>
      </c>
      <c r="Q441" s="27">
        <f t="shared" si="225"/>
        <v>1.1853200846924158E-4</v>
      </c>
      <c r="R441" s="27">
        <f t="shared" si="225"/>
        <v>1.1853200846924158E-4</v>
      </c>
      <c r="S441" s="27">
        <f t="shared" si="225"/>
        <v>1.1853200846924158E-4</v>
      </c>
      <c r="T441" s="27">
        <f t="shared" si="225"/>
        <v>1.1853200846924158E-4</v>
      </c>
      <c r="U441" s="27">
        <f t="shared" si="225"/>
        <v>1.1853200846924158E-4</v>
      </c>
      <c r="V441" s="27">
        <f t="shared" si="225"/>
        <v>1.1853200846924158E-4</v>
      </c>
      <c r="W441" s="27">
        <f t="shared" si="225"/>
        <v>1.0439605770024051E-4</v>
      </c>
      <c r="X441" s="27">
        <f t="shared" si="225"/>
        <v>1.0439605770024051E-4</v>
      </c>
      <c r="Y441" s="27">
        <f t="shared" si="225"/>
        <v>1.0439605770024051E-4</v>
      </c>
    </row>
    <row r="442" spans="1:25" outlineLevel="1" x14ac:dyDescent="0.3">
      <c r="A442" t="s">
        <v>164</v>
      </c>
      <c r="B442" t="s">
        <v>79</v>
      </c>
      <c r="C442" s="6" t="s">
        <v>155</v>
      </c>
      <c r="D442" t="s">
        <v>49</v>
      </c>
      <c r="E442" s="27" t="e">
        <f t="shared" si="223"/>
        <v>#DIV/0!</v>
      </c>
      <c r="F442" s="27">
        <f t="shared" ref="F442:Y454" si="226">F240/F$398</f>
        <v>2.3608206565661763E-4</v>
      </c>
      <c r="G442" s="29">
        <v>0</v>
      </c>
      <c r="H442" s="27">
        <f t="shared" si="226"/>
        <v>5.8065878244140363E-5</v>
      </c>
      <c r="I442" s="27">
        <f t="shared" si="226"/>
        <v>5.8065878244140363E-5</v>
      </c>
      <c r="J442" s="27">
        <f t="shared" si="226"/>
        <v>5.8065878244140363E-5</v>
      </c>
      <c r="K442" s="27">
        <f t="shared" si="226"/>
        <v>4.0512260753901226E-5</v>
      </c>
      <c r="L442" s="27">
        <f t="shared" si="226"/>
        <v>2.0744672060712306E-4</v>
      </c>
      <c r="M442" s="29">
        <v>0</v>
      </c>
      <c r="N442" s="27">
        <f t="shared" si="226"/>
        <v>5.8065878244140363E-5</v>
      </c>
      <c r="O442" s="27">
        <f t="shared" si="226"/>
        <v>5.8065878244140363E-5</v>
      </c>
      <c r="P442" s="27">
        <f t="shared" si="226"/>
        <v>5.8065878244140363E-5</v>
      </c>
      <c r="Q442" s="27">
        <f t="shared" si="226"/>
        <v>1.426512622549168E-4</v>
      </c>
      <c r="R442" s="27">
        <f t="shared" si="226"/>
        <v>1.426512622549168E-4</v>
      </c>
      <c r="S442" s="27">
        <f t="shared" si="226"/>
        <v>1.426512622549168E-4</v>
      </c>
      <c r="T442" s="27">
        <f t="shared" si="226"/>
        <v>1.426512622549168E-4</v>
      </c>
      <c r="U442" s="27">
        <f t="shared" si="226"/>
        <v>1.426512622549168E-4</v>
      </c>
      <c r="V442" s="27">
        <f t="shared" si="226"/>
        <v>1.426512622549168E-4</v>
      </c>
      <c r="W442" s="27">
        <f t="shared" si="226"/>
        <v>1.0492491310905632E-4</v>
      </c>
      <c r="X442" s="27">
        <f t="shared" si="226"/>
        <v>1.0492491310905632E-4</v>
      </c>
      <c r="Y442" s="27">
        <f t="shared" si="226"/>
        <v>1.0492491310905632E-4</v>
      </c>
    </row>
    <row r="443" spans="1:25" outlineLevel="1" x14ac:dyDescent="0.3">
      <c r="A443" t="s">
        <v>164</v>
      </c>
      <c r="B443" t="s">
        <v>80</v>
      </c>
      <c r="C443" s="6" t="s">
        <v>156</v>
      </c>
      <c r="D443" t="s">
        <v>49</v>
      </c>
      <c r="E443" s="27" t="e">
        <f t="shared" si="223"/>
        <v>#DIV/0!</v>
      </c>
      <c r="F443" s="27">
        <f t="shared" si="226"/>
        <v>2.4027484766475098E-4</v>
      </c>
      <c r="G443" s="29">
        <v>0</v>
      </c>
      <c r="H443" s="27">
        <f t="shared" si="226"/>
        <v>6.4096170457099666E-5</v>
      </c>
      <c r="I443" s="27">
        <f t="shared" si="226"/>
        <v>6.4096170457099666E-5</v>
      </c>
      <c r="J443" s="27">
        <f t="shared" si="226"/>
        <v>6.4096170457099666E-5</v>
      </c>
      <c r="K443" s="27">
        <f t="shared" si="226"/>
        <v>3.7605309409399255E-5</v>
      </c>
      <c r="L443" s="27">
        <f t="shared" si="226"/>
        <v>1.9866465119927003E-4</v>
      </c>
      <c r="M443" s="29">
        <v>0</v>
      </c>
      <c r="N443" s="27">
        <f t="shared" si="226"/>
        <v>6.4096170457099666E-5</v>
      </c>
      <c r="O443" s="27">
        <f t="shared" si="226"/>
        <v>6.4096170457099666E-5</v>
      </c>
      <c r="P443" s="27">
        <f t="shared" si="226"/>
        <v>6.4096170457099666E-5</v>
      </c>
      <c r="Q443" s="27">
        <f t="shared" si="226"/>
        <v>1.590567006406688E-4</v>
      </c>
      <c r="R443" s="27">
        <f t="shared" si="226"/>
        <v>1.590567006406688E-4</v>
      </c>
      <c r="S443" s="27">
        <f t="shared" si="226"/>
        <v>1.590567006406688E-4</v>
      </c>
      <c r="T443" s="27">
        <f t="shared" si="226"/>
        <v>1.590567006406688E-4</v>
      </c>
      <c r="U443" s="27">
        <f t="shared" si="226"/>
        <v>1.590567006406688E-4</v>
      </c>
      <c r="V443" s="27">
        <f t="shared" si="226"/>
        <v>1.590567006406688E-4</v>
      </c>
      <c r="W443" s="27">
        <f t="shared" si="226"/>
        <v>1.0555953959963529E-4</v>
      </c>
      <c r="X443" s="27">
        <f t="shared" si="226"/>
        <v>1.0555953959963529E-4</v>
      </c>
      <c r="Y443" s="27">
        <f t="shared" si="226"/>
        <v>1.0555953959963529E-4</v>
      </c>
    </row>
    <row r="444" spans="1:25" outlineLevel="1" x14ac:dyDescent="0.3">
      <c r="A444" t="s">
        <v>164</v>
      </c>
      <c r="B444" t="s">
        <v>81</v>
      </c>
      <c r="C444" s="6" t="s">
        <v>157</v>
      </c>
      <c r="D444" t="s">
        <v>49</v>
      </c>
      <c r="E444" s="27" t="e">
        <f t="shared" si="223"/>
        <v>#DIV/0!</v>
      </c>
      <c r="F444" s="27">
        <f t="shared" si="226"/>
        <v>2.333823818360191E-4</v>
      </c>
      <c r="G444" s="29">
        <v>0</v>
      </c>
      <c r="H444" s="27">
        <f t="shared" si="226"/>
        <v>1.5260529809892168E-4</v>
      </c>
      <c r="I444" s="27">
        <f t="shared" si="226"/>
        <v>1.5260529809892168E-4</v>
      </c>
      <c r="J444" s="27">
        <f t="shared" si="226"/>
        <v>1.5260529809892168E-4</v>
      </c>
      <c r="K444" s="27">
        <f t="shared" si="226"/>
        <v>3.966679351724638E-5</v>
      </c>
      <c r="L444" s="27">
        <f t="shared" si="226"/>
        <v>1.8347404465595668E-4</v>
      </c>
      <c r="M444" s="29">
        <v>0</v>
      </c>
      <c r="N444" s="27">
        <f t="shared" si="226"/>
        <v>1.5260529809892168E-4</v>
      </c>
      <c r="O444" s="27">
        <f t="shared" si="226"/>
        <v>1.5260529809892168E-4</v>
      </c>
      <c r="P444" s="27">
        <f t="shared" si="226"/>
        <v>1.5260529809892168E-4</v>
      </c>
      <c r="Q444" s="27">
        <f t="shared" si="226"/>
        <v>1.6036044408854316E-4</v>
      </c>
      <c r="R444" s="27">
        <f t="shared" si="226"/>
        <v>1.6036044408854316E-4</v>
      </c>
      <c r="S444" s="27">
        <f t="shared" si="226"/>
        <v>1.6036044408854316E-4</v>
      </c>
      <c r="T444" s="27">
        <f t="shared" si="226"/>
        <v>1.6036044408854316E-4</v>
      </c>
      <c r="U444" s="27">
        <f t="shared" si="226"/>
        <v>1.6036044408854316E-4</v>
      </c>
      <c r="V444" s="27">
        <f t="shared" si="226"/>
        <v>1.6036044408854316E-4</v>
      </c>
      <c r="W444" s="27">
        <f t="shared" si="226"/>
        <v>1.0555953959963529E-4</v>
      </c>
      <c r="X444" s="27">
        <f t="shared" si="226"/>
        <v>1.0555953959963529E-4</v>
      </c>
      <c r="Y444" s="27">
        <f t="shared" si="226"/>
        <v>1.0555953959963529E-4</v>
      </c>
    </row>
    <row r="445" spans="1:25" outlineLevel="1" x14ac:dyDescent="0.3">
      <c r="A445" t="s">
        <v>164</v>
      </c>
      <c r="B445" t="s">
        <v>82</v>
      </c>
      <c r="C445" s="6" t="s">
        <v>158</v>
      </c>
      <c r="D445" t="s">
        <v>49</v>
      </c>
      <c r="E445" s="27" t="e">
        <f t="shared" si="223"/>
        <v>#DIV/0!</v>
      </c>
      <c r="F445" s="27">
        <f t="shared" si="226"/>
        <v>2.1415247223316298E-4</v>
      </c>
      <c r="G445" s="29">
        <v>0</v>
      </c>
      <c r="H445" s="27">
        <f t="shared" si="226"/>
        <v>2.5200785683512174E-4</v>
      </c>
      <c r="I445" s="27">
        <f t="shared" si="226"/>
        <v>2.5200785683512174E-4</v>
      </c>
      <c r="J445" s="27">
        <f t="shared" si="226"/>
        <v>2.5200785683512174E-4</v>
      </c>
      <c r="K445" s="27">
        <f t="shared" si="226"/>
        <v>4.5508948205494976E-5</v>
      </c>
      <c r="L445" s="27">
        <f t="shared" si="226"/>
        <v>1.6543519938577207E-4</v>
      </c>
      <c r="M445" s="29">
        <v>0</v>
      </c>
      <c r="N445" s="27">
        <f t="shared" si="226"/>
        <v>2.5200785683512174E-4</v>
      </c>
      <c r="O445" s="27">
        <f t="shared" si="226"/>
        <v>2.5200785683512174E-4</v>
      </c>
      <c r="P445" s="27">
        <f t="shared" si="226"/>
        <v>2.5200785683512174E-4</v>
      </c>
      <c r="Q445" s="27">
        <f t="shared" si="226"/>
        <v>1.4525874915066544E-4</v>
      </c>
      <c r="R445" s="27">
        <f t="shared" si="226"/>
        <v>1.4525874915066544E-4</v>
      </c>
      <c r="S445" s="27">
        <f t="shared" si="226"/>
        <v>1.4525874915066544E-4</v>
      </c>
      <c r="T445" s="27">
        <f t="shared" si="226"/>
        <v>1.4525874915066544E-4</v>
      </c>
      <c r="U445" s="27">
        <f t="shared" si="226"/>
        <v>1.4525874915066544E-4</v>
      </c>
      <c r="V445" s="27">
        <f t="shared" si="226"/>
        <v>1.4525874915066544E-4</v>
      </c>
      <c r="W445" s="27">
        <f t="shared" si="226"/>
        <v>1.0524222635434581E-4</v>
      </c>
      <c r="X445" s="27">
        <f t="shared" si="226"/>
        <v>1.0524222635434581E-4</v>
      </c>
      <c r="Y445" s="27">
        <f t="shared" si="226"/>
        <v>1.0524222635434581E-4</v>
      </c>
    </row>
    <row r="446" spans="1:25" outlineLevel="1" x14ac:dyDescent="0.3">
      <c r="A446" t="s">
        <v>164</v>
      </c>
      <c r="B446" t="s">
        <v>83</v>
      </c>
      <c r="C446" s="6" t="s">
        <v>159</v>
      </c>
      <c r="D446" t="s">
        <v>49</v>
      </c>
      <c r="E446" s="27" t="e">
        <f t="shared" si="223"/>
        <v>#DIV/0!</v>
      </c>
      <c r="F446" s="27">
        <f t="shared" si="226"/>
        <v>1.8035521073165439E-4</v>
      </c>
      <c r="G446" s="29">
        <v>0</v>
      </c>
      <c r="H446" s="27">
        <f t="shared" si="226"/>
        <v>2.7116862402791183E-4</v>
      </c>
      <c r="I446" s="27">
        <f t="shared" si="226"/>
        <v>2.7116862402791183E-4</v>
      </c>
      <c r="J446" s="27">
        <f t="shared" si="226"/>
        <v>2.7116862402791183E-4</v>
      </c>
      <c r="K446" s="27">
        <f t="shared" si="226"/>
        <v>5.4014743237343295E-5</v>
      </c>
      <c r="L446" s="27">
        <f t="shared" si="226"/>
        <v>1.4383605570699836E-4</v>
      </c>
      <c r="M446" s="29">
        <v>0</v>
      </c>
      <c r="N446" s="27">
        <f t="shared" si="226"/>
        <v>2.7116862402791183E-4</v>
      </c>
      <c r="O446" s="27">
        <f t="shared" si="226"/>
        <v>2.7116862402791183E-4</v>
      </c>
      <c r="P446" s="27">
        <f t="shared" si="226"/>
        <v>2.7116862402791183E-4</v>
      </c>
      <c r="Q446" s="27">
        <f t="shared" si="226"/>
        <v>1.2016168777908452E-4</v>
      </c>
      <c r="R446" s="27">
        <f t="shared" si="226"/>
        <v>1.2016168777908452E-4</v>
      </c>
      <c r="S446" s="27">
        <f t="shared" si="226"/>
        <v>1.2016168777908452E-4</v>
      </c>
      <c r="T446" s="27">
        <f t="shared" si="226"/>
        <v>1.2016168777908452E-4</v>
      </c>
      <c r="U446" s="27">
        <f t="shared" si="226"/>
        <v>1.2016168777908452E-4</v>
      </c>
      <c r="V446" s="27">
        <f t="shared" si="226"/>
        <v>1.2016168777908452E-4</v>
      </c>
      <c r="W446" s="27">
        <f t="shared" si="226"/>
        <v>1.0492491310905632E-4</v>
      </c>
      <c r="X446" s="27">
        <f t="shared" si="226"/>
        <v>1.0492491310905632E-4</v>
      </c>
      <c r="Y446" s="27">
        <f t="shared" si="226"/>
        <v>1.0492491310905632E-4</v>
      </c>
    </row>
    <row r="447" spans="1:25" outlineLevel="1" x14ac:dyDescent="0.3">
      <c r="A447" t="s">
        <v>164</v>
      </c>
      <c r="B447" t="s">
        <v>84</v>
      </c>
      <c r="C447" s="6" t="s">
        <v>160</v>
      </c>
      <c r="D447" t="s">
        <v>49</v>
      </c>
      <c r="E447" s="27" t="e">
        <f t="shared" si="223"/>
        <v>#DIV/0!</v>
      </c>
      <c r="F447" s="27">
        <f t="shared" si="226"/>
        <v>1.4089829887331754E-4</v>
      </c>
      <c r="G447" s="29">
        <v>0</v>
      </c>
      <c r="H447" s="27">
        <f t="shared" si="226"/>
        <v>2.755454490211887E-4</v>
      </c>
      <c r="I447" s="27">
        <f t="shared" si="226"/>
        <v>2.755454490211887E-4</v>
      </c>
      <c r="J447" s="27">
        <f t="shared" si="226"/>
        <v>2.755454490211887E-4</v>
      </c>
      <c r="K447" s="27">
        <f t="shared" si="226"/>
        <v>6.5949822740469233E-5</v>
      </c>
      <c r="L447" s="27">
        <f t="shared" si="226"/>
        <v>1.2437309107337811E-4</v>
      </c>
      <c r="M447" s="29">
        <v>0</v>
      </c>
      <c r="N447" s="27">
        <f t="shared" si="226"/>
        <v>2.755454490211887E-4</v>
      </c>
      <c r="O447" s="27">
        <f t="shared" si="226"/>
        <v>2.755454490211887E-4</v>
      </c>
      <c r="P447" s="27">
        <f t="shared" si="226"/>
        <v>2.755454490211887E-4</v>
      </c>
      <c r="Q447" s="27">
        <f t="shared" si="226"/>
        <v>1.1853200846924158E-4</v>
      </c>
      <c r="R447" s="27">
        <f t="shared" si="226"/>
        <v>1.1853200846924158E-4</v>
      </c>
      <c r="S447" s="27">
        <f t="shared" si="226"/>
        <v>1.1853200846924158E-4</v>
      </c>
      <c r="T447" s="27">
        <f t="shared" si="226"/>
        <v>1.1853200846924158E-4</v>
      </c>
      <c r="U447" s="27">
        <f t="shared" si="226"/>
        <v>1.1853200846924158E-4</v>
      </c>
      <c r="V447" s="27">
        <f t="shared" si="226"/>
        <v>1.1853200846924158E-4</v>
      </c>
      <c r="W447" s="27">
        <f t="shared" si="226"/>
        <v>1.0460759986376684E-4</v>
      </c>
      <c r="X447" s="27">
        <f t="shared" si="226"/>
        <v>1.0460759986376684E-4</v>
      </c>
      <c r="Y447" s="27">
        <f t="shared" si="226"/>
        <v>1.0460759986376684E-4</v>
      </c>
    </row>
    <row r="448" spans="1:25" outlineLevel="1" x14ac:dyDescent="0.3">
      <c r="A448" t="s">
        <v>164</v>
      </c>
      <c r="B448" t="s">
        <v>85</v>
      </c>
      <c r="C448" s="6" t="s">
        <v>161</v>
      </c>
      <c r="D448" t="s">
        <v>49</v>
      </c>
      <c r="E448" s="27" t="e">
        <f t="shared" si="223"/>
        <v>#DIV/0!</v>
      </c>
      <c r="F448" s="27">
        <f t="shared" si="226"/>
        <v>1.0489107070894033E-4</v>
      </c>
      <c r="G448" s="29">
        <v>0</v>
      </c>
      <c r="H448" s="27">
        <f t="shared" si="226"/>
        <v>2.2555238132020351E-4</v>
      </c>
      <c r="I448" s="27">
        <f t="shared" si="226"/>
        <v>2.2555238132020351E-4</v>
      </c>
      <c r="J448" s="27">
        <f t="shared" si="226"/>
        <v>2.2555238132020351E-4</v>
      </c>
      <c r="K448" s="27">
        <f t="shared" si="226"/>
        <v>5.6617260604799429E-5</v>
      </c>
      <c r="L448" s="27">
        <f t="shared" si="226"/>
        <v>1.0811148743045437E-4</v>
      </c>
      <c r="M448" s="29">
        <v>0</v>
      </c>
      <c r="N448" s="27">
        <f t="shared" si="226"/>
        <v>2.2555238132020351E-4</v>
      </c>
      <c r="O448" s="27">
        <f t="shared" si="226"/>
        <v>2.2555238132020351E-4</v>
      </c>
      <c r="P448" s="27">
        <f t="shared" si="226"/>
        <v>2.2555238132020351E-4</v>
      </c>
      <c r="Q448" s="27">
        <f t="shared" si="226"/>
        <v>1.1733691030869012E-4</v>
      </c>
      <c r="R448" s="27">
        <f t="shared" si="226"/>
        <v>1.1733691030869012E-4</v>
      </c>
      <c r="S448" s="27">
        <f t="shared" si="226"/>
        <v>1.1733691030869012E-4</v>
      </c>
      <c r="T448" s="27">
        <f t="shared" si="226"/>
        <v>1.1733691030869012E-4</v>
      </c>
      <c r="U448" s="27">
        <f t="shared" si="226"/>
        <v>1.1733691030869012E-4</v>
      </c>
      <c r="V448" s="27">
        <f t="shared" si="226"/>
        <v>1.1733691030869012E-4</v>
      </c>
      <c r="W448" s="27">
        <f t="shared" si="226"/>
        <v>1.0407874445495103E-4</v>
      </c>
      <c r="X448" s="27">
        <f t="shared" si="226"/>
        <v>1.0407874445495103E-4</v>
      </c>
      <c r="Y448" s="27">
        <f t="shared" si="226"/>
        <v>1.0407874445495103E-4</v>
      </c>
    </row>
    <row r="449" spans="1:25" outlineLevel="1" x14ac:dyDescent="0.3">
      <c r="A449" t="s">
        <v>164</v>
      </c>
      <c r="B449" t="s">
        <v>86</v>
      </c>
      <c r="C449" s="6" t="s">
        <v>162</v>
      </c>
      <c r="D449" t="s">
        <v>49</v>
      </c>
      <c r="E449" s="27" t="e">
        <f t="shared" si="223"/>
        <v>#DIV/0!</v>
      </c>
      <c r="F449" s="27">
        <f t="shared" si="226"/>
        <v>7.5829237722299618E-5</v>
      </c>
      <c r="G449" s="29">
        <v>0</v>
      </c>
      <c r="H449" s="27">
        <f t="shared" si="226"/>
        <v>1.3402810757190189E-4</v>
      </c>
      <c r="I449" s="27">
        <f t="shared" si="226"/>
        <v>1.3402810757190189E-4</v>
      </c>
      <c r="J449" s="27">
        <f t="shared" si="226"/>
        <v>1.3402810757190189E-4</v>
      </c>
      <c r="K449" s="27">
        <f t="shared" si="226"/>
        <v>4.8928067936303613E-5</v>
      </c>
      <c r="L449" s="27">
        <f t="shared" si="226"/>
        <v>9.3754683786174395E-5</v>
      </c>
      <c r="M449" s="29">
        <v>0</v>
      </c>
      <c r="N449" s="27">
        <f t="shared" si="226"/>
        <v>1.3402810757190189E-4</v>
      </c>
      <c r="O449" s="27">
        <f t="shared" si="226"/>
        <v>1.3402810757190189E-4</v>
      </c>
      <c r="P449" s="27">
        <f t="shared" si="226"/>
        <v>1.3402810757190189E-4</v>
      </c>
      <c r="Q449" s="27">
        <f t="shared" si="226"/>
        <v>1.1635910272278435E-4</v>
      </c>
      <c r="R449" s="27">
        <f t="shared" si="226"/>
        <v>1.1635910272278435E-4</v>
      </c>
      <c r="S449" s="27">
        <f t="shared" si="226"/>
        <v>1.1635910272278435E-4</v>
      </c>
      <c r="T449" s="27">
        <f t="shared" si="226"/>
        <v>1.1635910272278435E-4</v>
      </c>
      <c r="U449" s="27">
        <f t="shared" si="226"/>
        <v>1.1635910272278435E-4</v>
      </c>
      <c r="V449" s="27">
        <f t="shared" si="226"/>
        <v>1.1635910272278435E-4</v>
      </c>
      <c r="W449" s="27">
        <f t="shared" si="226"/>
        <v>1.0365566012789837E-4</v>
      </c>
      <c r="X449" s="27">
        <f t="shared" si="226"/>
        <v>1.0365566012789837E-4</v>
      </c>
      <c r="Y449" s="27">
        <f t="shared" si="226"/>
        <v>1.0365566012789837E-4</v>
      </c>
    </row>
    <row r="450" spans="1:25" outlineLevel="1" x14ac:dyDescent="0.3">
      <c r="A450" t="s">
        <v>164</v>
      </c>
      <c r="B450" t="s">
        <v>87</v>
      </c>
      <c r="C450" s="6" t="s">
        <v>163</v>
      </c>
      <c r="D450" t="s">
        <v>49</v>
      </c>
      <c r="E450" s="27" t="e">
        <f t="shared" si="223"/>
        <v>#DIV/0!</v>
      </c>
      <c r="F450" s="27">
        <f t="shared" si="226"/>
        <v>5.597084917812654E-5</v>
      </c>
      <c r="G450" s="29">
        <v>0</v>
      </c>
      <c r="H450" s="27">
        <f t="shared" si="226"/>
        <v>7.0515513780572474E-5</v>
      </c>
      <c r="I450" s="27">
        <f t="shared" si="226"/>
        <v>7.0515513780572474E-5</v>
      </c>
      <c r="J450" s="27">
        <f t="shared" si="226"/>
        <v>7.0515513780572474E-5</v>
      </c>
      <c r="K450" s="27">
        <f t="shared" si="226"/>
        <v>4.4333515555439862E-5</v>
      </c>
      <c r="L450" s="27">
        <f t="shared" si="226"/>
        <v>7.992413734379705E-5</v>
      </c>
      <c r="M450" s="29">
        <v>0</v>
      </c>
      <c r="N450" s="27">
        <f t="shared" si="226"/>
        <v>7.0515513780572474E-5</v>
      </c>
      <c r="O450" s="27">
        <f t="shared" si="226"/>
        <v>7.0515513780572474E-5</v>
      </c>
      <c r="P450" s="27">
        <f t="shared" si="226"/>
        <v>7.0515513780572474E-5</v>
      </c>
      <c r="Q450" s="27">
        <f t="shared" si="226"/>
        <v>7.8115961585137206E-5</v>
      </c>
      <c r="R450" s="27">
        <f t="shared" si="226"/>
        <v>7.8115961585137206E-5</v>
      </c>
      <c r="S450" s="27">
        <f t="shared" si="226"/>
        <v>7.8115961585137206E-5</v>
      </c>
      <c r="T450" s="27">
        <f t="shared" si="226"/>
        <v>7.8115961585137206E-5</v>
      </c>
      <c r="U450" s="27">
        <f t="shared" si="226"/>
        <v>7.8115961585137206E-5</v>
      </c>
      <c r="V450" s="27">
        <f t="shared" si="226"/>
        <v>7.8115961585137206E-5</v>
      </c>
      <c r="W450" s="27">
        <f t="shared" si="226"/>
        <v>1.0333834688260889E-4</v>
      </c>
      <c r="X450" s="27">
        <f t="shared" si="226"/>
        <v>1.0333834688260889E-4</v>
      </c>
      <c r="Y450" s="27">
        <f t="shared" si="226"/>
        <v>1.0333834688260889E-4</v>
      </c>
    </row>
    <row r="451" spans="1:25" outlineLevel="1" x14ac:dyDescent="0.3">
      <c r="A451" t="s">
        <v>165</v>
      </c>
      <c r="B451" t="s">
        <v>64</v>
      </c>
      <c r="C451" s="6" t="s">
        <v>140</v>
      </c>
      <c r="D451" t="s">
        <v>49</v>
      </c>
      <c r="E451" s="27" t="e">
        <f t="shared" si="223"/>
        <v>#DIV/0!</v>
      </c>
      <c r="F451" s="27">
        <f t="shared" si="226"/>
        <v>8.8593090873516621E-5</v>
      </c>
      <c r="G451" s="29">
        <v>0</v>
      </c>
      <c r="H451" s="27">
        <f t="shared" si="226"/>
        <v>4.9020439924701412E-5</v>
      </c>
      <c r="I451" s="27">
        <f t="shared" si="226"/>
        <v>4.9020439924701412E-5</v>
      </c>
      <c r="J451" s="27">
        <f t="shared" si="226"/>
        <v>4.9020439924701412E-5</v>
      </c>
      <c r="K451" s="27">
        <f t="shared" si="226"/>
        <v>5.4488644365413821E-5</v>
      </c>
      <c r="L451" s="27">
        <f t="shared" si="226"/>
        <v>9.6602763486383389E-5</v>
      </c>
      <c r="M451" s="29">
        <v>0</v>
      </c>
      <c r="N451" s="27">
        <f t="shared" si="226"/>
        <v>4.9020439924701412E-5</v>
      </c>
      <c r="O451" s="27">
        <f t="shared" si="226"/>
        <v>4.9020439924701412E-5</v>
      </c>
      <c r="P451" s="27">
        <f t="shared" si="226"/>
        <v>4.9020439924701412E-5</v>
      </c>
      <c r="Q451" s="27">
        <f t="shared" si="226"/>
        <v>5.0302768030484751E-5</v>
      </c>
      <c r="R451" s="27">
        <f t="shared" si="226"/>
        <v>5.0302768030484751E-5</v>
      </c>
      <c r="S451" s="27">
        <f t="shared" si="226"/>
        <v>5.0302768030484751E-5</v>
      </c>
      <c r="T451" s="27">
        <f t="shared" si="226"/>
        <v>5.0302768030484751E-5</v>
      </c>
      <c r="U451" s="27">
        <f t="shared" si="226"/>
        <v>5.0302768030484751E-5</v>
      </c>
      <c r="V451" s="27">
        <f t="shared" si="226"/>
        <v>5.0302768030484751E-5</v>
      </c>
      <c r="W451" s="27">
        <f t="shared" si="226"/>
        <v>1.0259794931026676E-4</v>
      </c>
      <c r="X451" s="27">
        <f t="shared" si="226"/>
        <v>1.0259794931026676E-4</v>
      </c>
      <c r="Y451" s="27">
        <f t="shared" si="226"/>
        <v>1.0259794931026676E-4</v>
      </c>
    </row>
    <row r="452" spans="1:25" outlineLevel="1" x14ac:dyDescent="0.3">
      <c r="A452" t="s">
        <v>165</v>
      </c>
      <c r="B452" t="s">
        <v>65</v>
      </c>
      <c r="C452" s="6" t="s">
        <v>141</v>
      </c>
      <c r="D452" t="s">
        <v>49</v>
      </c>
      <c r="E452" s="27" t="e">
        <f t="shared" si="223"/>
        <v>#DIV/0!</v>
      </c>
      <c r="F452" s="27">
        <f t="shared" si="226"/>
        <v>7.8794644618040063E-5</v>
      </c>
      <c r="G452" s="29">
        <v>0</v>
      </c>
      <c r="H452" s="27">
        <f t="shared" si="226"/>
        <v>4.5227191597194754E-5</v>
      </c>
      <c r="I452" s="27">
        <f t="shared" si="226"/>
        <v>4.5227191597194754E-5</v>
      </c>
      <c r="J452" s="27">
        <f t="shared" si="226"/>
        <v>4.5227191597194754E-5</v>
      </c>
      <c r="K452" s="27">
        <f t="shared" si="226"/>
        <v>5.5520589745231135E-5</v>
      </c>
      <c r="L452" s="27">
        <f t="shared" si="226"/>
        <v>8.9719519896444539E-5</v>
      </c>
      <c r="M452" s="29">
        <v>0</v>
      </c>
      <c r="N452" s="27">
        <f t="shared" si="226"/>
        <v>4.5227191597194754E-5</v>
      </c>
      <c r="O452" s="27">
        <f t="shared" si="226"/>
        <v>4.5227191597194754E-5</v>
      </c>
      <c r="P452" s="27">
        <f t="shared" si="226"/>
        <v>4.5227191597194754E-5</v>
      </c>
      <c r="Q452" s="27">
        <f t="shared" si="226"/>
        <v>5.0302768030484751E-5</v>
      </c>
      <c r="R452" s="27">
        <f t="shared" si="226"/>
        <v>5.0302768030484751E-5</v>
      </c>
      <c r="S452" s="27">
        <f t="shared" si="226"/>
        <v>5.0302768030484751E-5</v>
      </c>
      <c r="T452" s="27">
        <f t="shared" si="226"/>
        <v>5.0302768030484751E-5</v>
      </c>
      <c r="U452" s="27">
        <f t="shared" si="226"/>
        <v>5.0302768030484751E-5</v>
      </c>
      <c r="V452" s="27">
        <f t="shared" si="226"/>
        <v>5.0302768030484751E-5</v>
      </c>
      <c r="W452" s="27">
        <f t="shared" si="226"/>
        <v>1.0249217822850359E-4</v>
      </c>
      <c r="X452" s="27">
        <f t="shared" si="226"/>
        <v>1.0249217822850359E-4</v>
      </c>
      <c r="Y452" s="27">
        <f t="shared" si="226"/>
        <v>1.0249217822850359E-4</v>
      </c>
    </row>
    <row r="453" spans="1:25" outlineLevel="1" x14ac:dyDescent="0.3">
      <c r="A453" t="s">
        <v>165</v>
      </c>
      <c r="B453" t="s">
        <v>66</v>
      </c>
      <c r="C453" s="6" t="s">
        <v>142</v>
      </c>
      <c r="D453" t="s">
        <v>49</v>
      </c>
      <c r="E453" s="27" t="e">
        <f t="shared" si="223"/>
        <v>#DIV/0!</v>
      </c>
      <c r="F453" s="27">
        <f t="shared" si="226"/>
        <v>7.5671636900023228E-5</v>
      </c>
      <c r="G453" s="29">
        <v>0</v>
      </c>
      <c r="H453" s="27">
        <f t="shared" si="226"/>
        <v>4.4838140486681255E-5</v>
      </c>
      <c r="I453" s="27">
        <f t="shared" si="226"/>
        <v>4.4838140486681255E-5</v>
      </c>
      <c r="J453" s="27">
        <f t="shared" si="226"/>
        <v>4.4838140486681255E-5</v>
      </c>
      <c r="K453" s="27">
        <f t="shared" si="226"/>
        <v>5.7440798908707241E-5</v>
      </c>
      <c r="L453" s="27">
        <f t="shared" si="226"/>
        <v>8.7108634396812555E-5</v>
      </c>
      <c r="M453" s="29">
        <v>0</v>
      </c>
      <c r="N453" s="27">
        <f t="shared" si="226"/>
        <v>4.4838140486681255E-5</v>
      </c>
      <c r="O453" s="27">
        <f t="shared" si="226"/>
        <v>4.4838140486681255E-5</v>
      </c>
      <c r="P453" s="27">
        <f t="shared" si="226"/>
        <v>4.4838140486681255E-5</v>
      </c>
      <c r="Q453" s="27">
        <f t="shared" si="226"/>
        <v>5.0194122743161881E-5</v>
      </c>
      <c r="R453" s="27">
        <f t="shared" si="226"/>
        <v>5.0194122743161881E-5</v>
      </c>
      <c r="S453" s="27">
        <f t="shared" si="226"/>
        <v>5.0194122743161881E-5</v>
      </c>
      <c r="T453" s="27">
        <f t="shared" si="226"/>
        <v>5.0194122743161881E-5</v>
      </c>
      <c r="U453" s="27">
        <f t="shared" si="226"/>
        <v>5.0194122743161881E-5</v>
      </c>
      <c r="V453" s="27">
        <f t="shared" si="226"/>
        <v>5.0194122743161881E-5</v>
      </c>
      <c r="W453" s="27">
        <f t="shared" si="226"/>
        <v>1.0249217822850359E-4</v>
      </c>
      <c r="X453" s="27">
        <f t="shared" si="226"/>
        <v>1.0249217822850359E-4</v>
      </c>
      <c r="Y453" s="27">
        <f t="shared" si="226"/>
        <v>1.0249217822850359E-4</v>
      </c>
    </row>
    <row r="454" spans="1:25" outlineLevel="1" x14ac:dyDescent="0.3">
      <c r="A454" t="s">
        <v>165</v>
      </c>
      <c r="B454" t="s">
        <v>67</v>
      </c>
      <c r="C454" s="6" t="s">
        <v>143</v>
      </c>
      <c r="D454" t="s">
        <v>49</v>
      </c>
      <c r="E454" s="27" t="e">
        <f t="shared" si="223"/>
        <v>#DIV/0!</v>
      </c>
      <c r="F454" s="27">
        <f t="shared" si="226"/>
        <v>7.9140244434439179E-5</v>
      </c>
      <c r="G454" s="29">
        <v>0</v>
      </c>
      <c r="H454" s="27">
        <f t="shared" si="226"/>
        <v>4.5810768262965008E-5</v>
      </c>
      <c r="I454" s="27">
        <f t="shared" si="226"/>
        <v>4.5810768262965008E-5</v>
      </c>
      <c r="J454" s="27">
        <f t="shared" si="226"/>
        <v>4.5810768262965008E-5</v>
      </c>
      <c r="K454" s="27">
        <f t="shared" si="226"/>
        <v>5.9218626964878934E-5</v>
      </c>
      <c r="L454" s="27">
        <f t="shared" si="226"/>
        <v>8.6871281169573276E-5</v>
      </c>
      <c r="M454" s="29">
        <v>0</v>
      </c>
      <c r="N454" s="27">
        <f t="shared" si="226"/>
        <v>4.5810768262965008E-5</v>
      </c>
      <c r="O454" s="27">
        <f t="shared" si="226"/>
        <v>4.5810768262965008E-5</v>
      </c>
      <c r="P454" s="27">
        <f t="shared" si="226"/>
        <v>4.5810768262965008E-5</v>
      </c>
      <c r="Q454" s="27">
        <f t="shared" si="226"/>
        <v>5.0302768030484751E-5</v>
      </c>
      <c r="R454" s="27">
        <f t="shared" si="226"/>
        <v>5.0302768030484751E-5</v>
      </c>
      <c r="S454" s="27">
        <f t="shared" si="226"/>
        <v>5.0302768030484751E-5</v>
      </c>
      <c r="T454" s="27">
        <f t="shared" si="226"/>
        <v>5.0302768030484751E-5</v>
      </c>
      <c r="U454" s="27">
        <f t="shared" ref="F454:Y467" si="227">U252/U$398</f>
        <v>5.0302768030484751E-5</v>
      </c>
      <c r="V454" s="27">
        <f t="shared" si="227"/>
        <v>5.0302768030484751E-5</v>
      </c>
      <c r="W454" s="27">
        <f t="shared" si="227"/>
        <v>1.0249217822850359E-4</v>
      </c>
      <c r="X454" s="27">
        <f t="shared" si="227"/>
        <v>1.0249217822850359E-4</v>
      </c>
      <c r="Y454" s="27">
        <f t="shared" si="227"/>
        <v>1.0249217822850359E-4</v>
      </c>
    </row>
    <row r="455" spans="1:25" outlineLevel="1" x14ac:dyDescent="0.3">
      <c r="A455" t="s">
        <v>165</v>
      </c>
      <c r="B455" t="s">
        <v>68</v>
      </c>
      <c r="C455" s="6" t="s">
        <v>144</v>
      </c>
      <c r="D455" t="s">
        <v>49</v>
      </c>
      <c r="E455" s="27" t="e">
        <f t="shared" si="223"/>
        <v>#DIV/0!</v>
      </c>
      <c r="F455" s="27">
        <f t="shared" si="227"/>
        <v>8.721804326879369E-5</v>
      </c>
      <c r="G455" s="29">
        <v>0</v>
      </c>
      <c r="H455" s="27">
        <f t="shared" si="227"/>
        <v>5.8941243242795748E-5</v>
      </c>
      <c r="I455" s="27">
        <f t="shared" si="227"/>
        <v>5.8941243242795748E-5</v>
      </c>
      <c r="J455" s="27">
        <f t="shared" si="227"/>
        <v>5.8941243242795748E-5</v>
      </c>
      <c r="K455" s="27">
        <f t="shared" si="227"/>
        <v>5.7426373946129943E-5</v>
      </c>
      <c r="L455" s="27">
        <f t="shared" si="227"/>
        <v>8.9244813441965981E-5</v>
      </c>
      <c r="M455" s="29">
        <v>0</v>
      </c>
      <c r="N455" s="27">
        <f t="shared" si="227"/>
        <v>5.8941243242795748E-5</v>
      </c>
      <c r="O455" s="27">
        <f t="shared" si="227"/>
        <v>5.8941243242795748E-5</v>
      </c>
      <c r="P455" s="27">
        <f t="shared" si="227"/>
        <v>5.8941243242795748E-5</v>
      </c>
      <c r="Q455" s="27">
        <f t="shared" si="227"/>
        <v>5.0194122743161881E-5</v>
      </c>
      <c r="R455" s="27">
        <f t="shared" si="227"/>
        <v>5.0194122743161881E-5</v>
      </c>
      <c r="S455" s="27">
        <f t="shared" si="227"/>
        <v>5.0194122743161881E-5</v>
      </c>
      <c r="T455" s="27">
        <f t="shared" si="227"/>
        <v>5.0194122743161881E-5</v>
      </c>
      <c r="U455" s="27">
        <f t="shared" si="227"/>
        <v>5.0194122743161881E-5</v>
      </c>
      <c r="V455" s="27">
        <f t="shared" si="227"/>
        <v>5.0194122743161881E-5</v>
      </c>
      <c r="W455" s="27">
        <f t="shared" si="227"/>
        <v>1.0259794931026676E-4</v>
      </c>
      <c r="X455" s="27">
        <f t="shared" si="227"/>
        <v>1.0259794931026676E-4</v>
      </c>
      <c r="Y455" s="27">
        <f t="shared" si="227"/>
        <v>1.0259794931026676E-4</v>
      </c>
    </row>
    <row r="456" spans="1:25" outlineLevel="1" x14ac:dyDescent="0.3">
      <c r="A456" t="s">
        <v>165</v>
      </c>
      <c r="B456" t="s">
        <v>69</v>
      </c>
      <c r="C456" s="6" t="s">
        <v>145</v>
      </c>
      <c r="D456" t="s">
        <v>49</v>
      </c>
      <c r="E456" s="27" t="e">
        <f t="shared" si="223"/>
        <v>#DIV/0!</v>
      </c>
      <c r="F456" s="27">
        <f t="shared" si="227"/>
        <v>9.675754406727178E-5</v>
      </c>
      <c r="G456" s="29">
        <v>0</v>
      </c>
      <c r="H456" s="27">
        <f t="shared" si="227"/>
        <v>1.013478142887676E-4</v>
      </c>
      <c r="I456" s="27">
        <f t="shared" si="227"/>
        <v>1.013478142887676E-4</v>
      </c>
      <c r="J456" s="27">
        <f t="shared" si="227"/>
        <v>1.013478142887676E-4</v>
      </c>
      <c r="K456" s="27">
        <f t="shared" si="227"/>
        <v>8.2740210113783655E-5</v>
      </c>
      <c r="L456" s="27">
        <f t="shared" si="227"/>
        <v>9.589070380466558E-5</v>
      </c>
      <c r="M456" s="29">
        <v>0</v>
      </c>
      <c r="N456" s="27">
        <f t="shared" si="227"/>
        <v>1.013478142887676E-4</v>
      </c>
      <c r="O456" s="27">
        <f t="shared" si="227"/>
        <v>1.013478142887676E-4</v>
      </c>
      <c r="P456" s="27">
        <f t="shared" si="227"/>
        <v>1.013478142887676E-4</v>
      </c>
      <c r="Q456" s="27">
        <f t="shared" si="227"/>
        <v>5.0411413317807608E-5</v>
      </c>
      <c r="R456" s="27">
        <f t="shared" si="227"/>
        <v>5.0411413317807608E-5</v>
      </c>
      <c r="S456" s="27">
        <f t="shared" si="227"/>
        <v>5.0411413317807608E-5</v>
      </c>
      <c r="T456" s="27">
        <f t="shared" si="227"/>
        <v>5.0411413317807608E-5</v>
      </c>
      <c r="U456" s="27">
        <f t="shared" si="227"/>
        <v>5.0411413317807608E-5</v>
      </c>
      <c r="V456" s="27">
        <f t="shared" si="227"/>
        <v>5.0411413317807608E-5</v>
      </c>
      <c r="W456" s="27">
        <f t="shared" si="227"/>
        <v>1.0302103363731941E-4</v>
      </c>
      <c r="X456" s="27">
        <f t="shared" si="227"/>
        <v>1.0302103363731941E-4</v>
      </c>
      <c r="Y456" s="27">
        <f t="shared" si="227"/>
        <v>1.0302103363731941E-4</v>
      </c>
    </row>
    <row r="457" spans="1:25" outlineLevel="1" x14ac:dyDescent="0.3">
      <c r="A457" t="s">
        <v>165</v>
      </c>
      <c r="B457" t="s">
        <v>70</v>
      </c>
      <c r="C457" s="6" t="s">
        <v>146</v>
      </c>
      <c r="D457" t="s">
        <v>49</v>
      </c>
      <c r="E457" s="27" t="e">
        <f t="shared" si="223"/>
        <v>#DIV/0!</v>
      </c>
      <c r="F457" s="27">
        <f t="shared" si="227"/>
        <v>1.0018447479483659E-4</v>
      </c>
      <c r="G457" s="29">
        <v>0</v>
      </c>
      <c r="H457" s="27">
        <f t="shared" si="227"/>
        <v>6.9153834893775215E-5</v>
      </c>
      <c r="I457" s="27">
        <f t="shared" si="227"/>
        <v>6.9153834893775215E-5</v>
      </c>
      <c r="J457" s="27">
        <f t="shared" si="227"/>
        <v>6.9153834893775215E-5</v>
      </c>
      <c r="K457" s="27">
        <f t="shared" si="227"/>
        <v>8.4714456831370559E-5</v>
      </c>
      <c r="L457" s="27">
        <f t="shared" si="227"/>
        <v>1.1060660389350041E-4</v>
      </c>
      <c r="M457" s="29">
        <v>0</v>
      </c>
      <c r="N457" s="27">
        <f t="shared" si="227"/>
        <v>6.9153834893775215E-5</v>
      </c>
      <c r="O457" s="27">
        <f t="shared" si="227"/>
        <v>6.9153834893775215E-5</v>
      </c>
      <c r="P457" s="27">
        <f t="shared" si="227"/>
        <v>6.9153834893775215E-5</v>
      </c>
      <c r="Q457" s="27">
        <f t="shared" si="227"/>
        <v>7.2900987793639876E-5</v>
      </c>
      <c r="R457" s="27">
        <f t="shared" si="227"/>
        <v>7.2900987793639876E-5</v>
      </c>
      <c r="S457" s="27">
        <f t="shared" si="227"/>
        <v>7.2900987793639876E-5</v>
      </c>
      <c r="T457" s="27">
        <f t="shared" si="227"/>
        <v>7.2900987793639876E-5</v>
      </c>
      <c r="U457" s="27">
        <f t="shared" si="227"/>
        <v>7.2900987793639876E-5</v>
      </c>
      <c r="V457" s="27">
        <f t="shared" si="227"/>
        <v>7.2900987793639876E-5</v>
      </c>
      <c r="W457" s="27">
        <f t="shared" si="227"/>
        <v>1.0365566012789837E-4</v>
      </c>
      <c r="X457" s="27">
        <f t="shared" si="227"/>
        <v>1.0365566012789837E-4</v>
      </c>
      <c r="Y457" s="27">
        <f t="shared" si="227"/>
        <v>1.0365566012789837E-4</v>
      </c>
    </row>
    <row r="458" spans="1:25" outlineLevel="1" x14ac:dyDescent="0.3">
      <c r="A458" t="s">
        <v>165</v>
      </c>
      <c r="B458" t="s">
        <v>71</v>
      </c>
      <c r="C458" s="6" t="s">
        <v>147</v>
      </c>
      <c r="D458" t="s">
        <v>49</v>
      </c>
      <c r="E458" s="27" t="e">
        <f t="shared" si="223"/>
        <v>#DIV/0!</v>
      </c>
      <c r="F458" s="27">
        <f t="shared" si="227"/>
        <v>9.7031225462081621E-5</v>
      </c>
      <c r="G458" s="29">
        <v>0</v>
      </c>
      <c r="H458" s="27">
        <f t="shared" si="227"/>
        <v>4.590803104059339E-5</v>
      </c>
      <c r="I458" s="27">
        <f t="shared" si="227"/>
        <v>4.590803104059339E-5</v>
      </c>
      <c r="J458" s="27">
        <f t="shared" si="227"/>
        <v>4.590803104059339E-5</v>
      </c>
      <c r="K458" s="27">
        <f t="shared" si="227"/>
        <v>9.0730219307570185E-5</v>
      </c>
      <c r="L458" s="27">
        <f t="shared" si="227"/>
        <v>1.352913395263846E-4</v>
      </c>
      <c r="M458" s="29">
        <v>0</v>
      </c>
      <c r="N458" s="27">
        <f t="shared" si="227"/>
        <v>4.590803104059339E-5</v>
      </c>
      <c r="O458" s="27">
        <f t="shared" si="227"/>
        <v>4.590803104059339E-5</v>
      </c>
      <c r="P458" s="27">
        <f t="shared" si="227"/>
        <v>4.590803104059339E-5</v>
      </c>
      <c r="Q458" s="27">
        <f t="shared" si="227"/>
        <v>1.4667113788586263E-4</v>
      </c>
      <c r="R458" s="27">
        <f t="shared" si="227"/>
        <v>1.4667113788586263E-4</v>
      </c>
      <c r="S458" s="27">
        <f t="shared" si="227"/>
        <v>1.4667113788586263E-4</v>
      </c>
      <c r="T458" s="27">
        <f t="shared" si="227"/>
        <v>1.4667113788586263E-4</v>
      </c>
      <c r="U458" s="27">
        <f t="shared" si="227"/>
        <v>1.4667113788586263E-4</v>
      </c>
      <c r="V458" s="27">
        <f t="shared" si="227"/>
        <v>1.4667113788586263E-4</v>
      </c>
      <c r="W458" s="27">
        <f t="shared" si="227"/>
        <v>1.0429028661847736E-4</v>
      </c>
      <c r="X458" s="27">
        <f t="shared" si="227"/>
        <v>1.0429028661847736E-4</v>
      </c>
      <c r="Y458" s="27">
        <f t="shared" si="227"/>
        <v>1.0429028661847736E-4</v>
      </c>
    </row>
    <row r="459" spans="1:25" outlineLevel="1" x14ac:dyDescent="0.3">
      <c r="A459" t="s">
        <v>165</v>
      </c>
      <c r="B459" t="s">
        <v>72</v>
      </c>
      <c r="C459" s="6" t="s">
        <v>148</v>
      </c>
      <c r="D459" t="s">
        <v>49</v>
      </c>
      <c r="E459" s="27" t="e">
        <f t="shared" si="223"/>
        <v>#DIV/0!</v>
      </c>
      <c r="F459" s="27">
        <f t="shared" si="227"/>
        <v>1.0041869075194891E-4</v>
      </c>
      <c r="G459" s="29">
        <v>0</v>
      </c>
      <c r="H459" s="27">
        <f t="shared" si="227"/>
        <v>4.493540326430963E-5</v>
      </c>
      <c r="I459" s="27">
        <f t="shared" si="227"/>
        <v>4.493540326430963E-5</v>
      </c>
      <c r="J459" s="27">
        <f t="shared" si="227"/>
        <v>4.493540326430963E-5</v>
      </c>
      <c r="K459" s="27">
        <f t="shared" si="227"/>
        <v>5.7316699386099237E-5</v>
      </c>
      <c r="L459" s="27">
        <f t="shared" si="227"/>
        <v>1.6923285102160039E-4</v>
      </c>
      <c r="M459" s="29">
        <v>0</v>
      </c>
      <c r="N459" s="27">
        <f t="shared" si="227"/>
        <v>4.493540326430963E-5</v>
      </c>
      <c r="O459" s="27">
        <f t="shared" si="227"/>
        <v>4.493540326430963E-5</v>
      </c>
      <c r="P459" s="27">
        <f t="shared" si="227"/>
        <v>4.493540326430963E-5</v>
      </c>
      <c r="Q459" s="27">
        <f t="shared" si="227"/>
        <v>1.4873539834499701E-4</v>
      </c>
      <c r="R459" s="27">
        <f t="shared" si="227"/>
        <v>1.4873539834499701E-4</v>
      </c>
      <c r="S459" s="27">
        <f t="shared" si="227"/>
        <v>1.4873539834499701E-4</v>
      </c>
      <c r="T459" s="27">
        <f t="shared" si="227"/>
        <v>1.4873539834499701E-4</v>
      </c>
      <c r="U459" s="27">
        <f t="shared" si="227"/>
        <v>1.4873539834499701E-4</v>
      </c>
      <c r="V459" s="27">
        <f t="shared" si="227"/>
        <v>1.4873539834499701E-4</v>
      </c>
      <c r="W459" s="27">
        <f t="shared" si="227"/>
        <v>1.0450182878200367E-4</v>
      </c>
      <c r="X459" s="27">
        <f t="shared" si="227"/>
        <v>1.0450182878200367E-4</v>
      </c>
      <c r="Y459" s="27">
        <f t="shared" si="227"/>
        <v>1.0450182878200367E-4</v>
      </c>
    </row>
    <row r="460" spans="1:25" outlineLevel="1" x14ac:dyDescent="0.3">
      <c r="A460" t="s">
        <v>165</v>
      </c>
      <c r="B460" t="s">
        <v>73</v>
      </c>
      <c r="C460" s="6" t="s">
        <v>149</v>
      </c>
      <c r="D460" t="s">
        <v>49</v>
      </c>
      <c r="E460" s="27" t="e">
        <f t="shared" si="223"/>
        <v>#DIV/0!</v>
      </c>
      <c r="F460" s="27">
        <f t="shared" si="227"/>
        <v>1.0883483559002161E-4</v>
      </c>
      <c r="G460" s="29">
        <v>0</v>
      </c>
      <c r="H460" s="27">
        <f t="shared" si="227"/>
        <v>4.328193604462724E-5</v>
      </c>
      <c r="I460" s="27">
        <f t="shared" si="227"/>
        <v>4.328193604462724E-5</v>
      </c>
      <c r="J460" s="27">
        <f t="shared" si="227"/>
        <v>4.328193604462724E-5</v>
      </c>
      <c r="K460" s="27">
        <f t="shared" si="227"/>
        <v>4.4399601316635963E-5</v>
      </c>
      <c r="L460" s="27">
        <f t="shared" si="227"/>
        <v>1.9724053183583441E-4</v>
      </c>
      <c r="M460" s="29">
        <v>0</v>
      </c>
      <c r="N460" s="27">
        <f t="shared" si="227"/>
        <v>4.328193604462724E-5</v>
      </c>
      <c r="O460" s="27">
        <f t="shared" si="227"/>
        <v>4.328193604462724E-5</v>
      </c>
      <c r="P460" s="27">
        <f t="shared" si="227"/>
        <v>4.328193604462724E-5</v>
      </c>
      <c r="Q460" s="27">
        <f t="shared" si="227"/>
        <v>1.3385099398176501E-4</v>
      </c>
      <c r="R460" s="27">
        <f t="shared" si="227"/>
        <v>1.3385099398176501E-4</v>
      </c>
      <c r="S460" s="27">
        <f t="shared" si="227"/>
        <v>1.3385099398176501E-4</v>
      </c>
      <c r="T460" s="27">
        <f t="shared" si="227"/>
        <v>1.3385099398176501E-4</v>
      </c>
      <c r="U460" s="27">
        <f t="shared" si="227"/>
        <v>1.3385099398176501E-4</v>
      </c>
      <c r="V460" s="27">
        <f t="shared" si="227"/>
        <v>1.3385099398176501E-4</v>
      </c>
      <c r="W460" s="27">
        <f t="shared" si="227"/>
        <v>1.0429028661847736E-4</v>
      </c>
      <c r="X460" s="27">
        <f t="shared" si="227"/>
        <v>1.0429028661847736E-4</v>
      </c>
      <c r="Y460" s="27">
        <f t="shared" si="227"/>
        <v>1.0429028661847736E-4</v>
      </c>
    </row>
    <row r="461" spans="1:25" outlineLevel="1" x14ac:dyDescent="0.3">
      <c r="A461" t="s">
        <v>165</v>
      </c>
      <c r="B461" t="s">
        <v>74</v>
      </c>
      <c r="C461" s="6" t="s">
        <v>150</v>
      </c>
      <c r="D461" t="s">
        <v>49</v>
      </c>
      <c r="E461" s="27" t="e">
        <f t="shared" si="223"/>
        <v>#DIV/0!</v>
      </c>
      <c r="F461" s="27">
        <f t="shared" si="227"/>
        <v>1.3099363514312547E-4</v>
      </c>
      <c r="G461" s="29">
        <v>0</v>
      </c>
      <c r="H461" s="27">
        <f t="shared" si="227"/>
        <v>4.396277548802587E-5</v>
      </c>
      <c r="I461" s="27">
        <f t="shared" si="227"/>
        <v>4.396277548802587E-5</v>
      </c>
      <c r="J461" s="27">
        <f t="shared" si="227"/>
        <v>4.396277548802587E-5</v>
      </c>
      <c r="K461" s="27">
        <f t="shared" si="227"/>
        <v>3.7665281378166216E-5</v>
      </c>
      <c r="L461" s="27">
        <f t="shared" si="227"/>
        <v>2.1955173519632592E-4</v>
      </c>
      <c r="M461" s="29">
        <v>0</v>
      </c>
      <c r="N461" s="27">
        <f t="shared" si="227"/>
        <v>4.396277548802587E-5</v>
      </c>
      <c r="O461" s="27">
        <f t="shared" si="227"/>
        <v>4.396277548802587E-5</v>
      </c>
      <c r="P461" s="27">
        <f t="shared" si="227"/>
        <v>4.396277548802587E-5</v>
      </c>
      <c r="Q461" s="27">
        <f t="shared" si="227"/>
        <v>1.1049225720734986E-4</v>
      </c>
      <c r="R461" s="27">
        <f t="shared" si="227"/>
        <v>1.1049225720734986E-4</v>
      </c>
      <c r="S461" s="27">
        <f t="shared" si="227"/>
        <v>1.1049225720734986E-4</v>
      </c>
      <c r="T461" s="27">
        <f t="shared" si="227"/>
        <v>1.1049225720734986E-4</v>
      </c>
      <c r="U461" s="27">
        <f t="shared" si="227"/>
        <v>1.1049225720734986E-4</v>
      </c>
      <c r="V461" s="27">
        <f t="shared" si="227"/>
        <v>1.1049225720734986E-4</v>
      </c>
      <c r="W461" s="27">
        <f t="shared" si="227"/>
        <v>1.0418451553671419E-4</v>
      </c>
      <c r="X461" s="27">
        <f t="shared" si="227"/>
        <v>1.0418451553671419E-4</v>
      </c>
      <c r="Y461" s="27">
        <f t="shared" si="227"/>
        <v>1.0418451553671419E-4</v>
      </c>
    </row>
    <row r="462" spans="1:25" outlineLevel="1" x14ac:dyDescent="0.3">
      <c r="A462" t="s">
        <v>165</v>
      </c>
      <c r="B462" t="s">
        <v>75</v>
      </c>
      <c r="C462" s="6" t="s">
        <v>151</v>
      </c>
      <c r="D462" t="s">
        <v>49</v>
      </c>
      <c r="E462" s="27" t="e">
        <f t="shared" si="223"/>
        <v>#DIV/0!</v>
      </c>
      <c r="F462" s="27">
        <f t="shared" si="227"/>
        <v>1.6930726914903574E-4</v>
      </c>
      <c r="G462" s="29">
        <v>0</v>
      </c>
      <c r="H462" s="27">
        <f t="shared" si="227"/>
        <v>4.8145074926046034E-5</v>
      </c>
      <c r="I462" s="27">
        <f t="shared" si="227"/>
        <v>4.8145074926046034E-5</v>
      </c>
      <c r="J462" s="27">
        <f t="shared" si="227"/>
        <v>4.8145074926046034E-5</v>
      </c>
      <c r="K462" s="27">
        <f t="shared" si="227"/>
        <v>3.2834533314728504E-5</v>
      </c>
      <c r="L462" s="27">
        <f t="shared" si="227"/>
        <v>2.3426763528516071E-4</v>
      </c>
      <c r="M462" s="29">
        <v>0</v>
      </c>
      <c r="N462" s="27">
        <f t="shared" si="227"/>
        <v>4.8145074926046034E-5</v>
      </c>
      <c r="O462" s="27">
        <f t="shared" si="227"/>
        <v>4.8145074926046034E-5</v>
      </c>
      <c r="P462" s="27">
        <f t="shared" si="227"/>
        <v>4.8145074926046034E-5</v>
      </c>
      <c r="Q462" s="27">
        <f t="shared" si="227"/>
        <v>1.1049225720734986E-4</v>
      </c>
      <c r="R462" s="27">
        <f t="shared" si="227"/>
        <v>1.1049225720734986E-4</v>
      </c>
      <c r="S462" s="27">
        <f t="shared" si="227"/>
        <v>1.1049225720734986E-4</v>
      </c>
      <c r="T462" s="27">
        <f t="shared" si="227"/>
        <v>1.1049225720734986E-4</v>
      </c>
      <c r="U462" s="27">
        <f t="shared" si="227"/>
        <v>1.1049225720734986E-4</v>
      </c>
      <c r="V462" s="27">
        <f t="shared" si="227"/>
        <v>1.1049225720734986E-4</v>
      </c>
      <c r="W462" s="27">
        <f t="shared" si="227"/>
        <v>1.0397297337318785E-4</v>
      </c>
      <c r="X462" s="27">
        <f t="shared" si="227"/>
        <v>1.0397297337318785E-4</v>
      </c>
      <c r="Y462" s="27">
        <f t="shared" si="227"/>
        <v>1.0397297337318785E-4</v>
      </c>
    </row>
    <row r="463" spans="1:25" outlineLevel="1" x14ac:dyDescent="0.3">
      <c r="A463" t="s">
        <v>165</v>
      </c>
      <c r="B463" t="s">
        <v>76</v>
      </c>
      <c r="C463" s="6" t="s">
        <v>152</v>
      </c>
      <c r="D463" t="s">
        <v>49</v>
      </c>
      <c r="E463" s="27" t="e">
        <f t="shared" si="223"/>
        <v>#DIV/0!</v>
      </c>
      <c r="F463" s="27">
        <f t="shared" si="227"/>
        <v>2.028719194037913E-4</v>
      </c>
      <c r="G463" s="29">
        <v>0</v>
      </c>
      <c r="H463" s="27">
        <f t="shared" si="227"/>
        <v>5.0673907144383802E-5</v>
      </c>
      <c r="I463" s="27">
        <f t="shared" si="227"/>
        <v>5.0673907144383802E-5</v>
      </c>
      <c r="J463" s="27">
        <f t="shared" si="227"/>
        <v>5.0673907144383802E-5</v>
      </c>
      <c r="K463" s="27">
        <f t="shared" si="227"/>
        <v>2.9593102216206222E-5</v>
      </c>
      <c r="L463" s="27">
        <f t="shared" si="227"/>
        <v>2.3925205305718543E-4</v>
      </c>
      <c r="M463" s="29">
        <v>0</v>
      </c>
      <c r="N463" s="27">
        <f t="shared" si="227"/>
        <v>5.0673907144383802E-5</v>
      </c>
      <c r="O463" s="27">
        <f t="shared" si="227"/>
        <v>5.0673907144383802E-5</v>
      </c>
      <c r="P463" s="27">
        <f t="shared" si="227"/>
        <v>5.0673907144383802E-5</v>
      </c>
      <c r="Q463" s="27">
        <f t="shared" si="227"/>
        <v>1.1081819306931845E-4</v>
      </c>
      <c r="R463" s="27">
        <f t="shared" si="227"/>
        <v>1.1081819306931845E-4</v>
      </c>
      <c r="S463" s="27">
        <f t="shared" si="227"/>
        <v>1.1081819306931845E-4</v>
      </c>
      <c r="T463" s="27">
        <f t="shared" si="227"/>
        <v>1.1081819306931845E-4</v>
      </c>
      <c r="U463" s="27">
        <f t="shared" si="227"/>
        <v>1.1081819306931845E-4</v>
      </c>
      <c r="V463" s="27">
        <f t="shared" si="227"/>
        <v>1.1081819306931845E-4</v>
      </c>
      <c r="W463" s="27">
        <f t="shared" si="227"/>
        <v>1.0365566012789837E-4</v>
      </c>
      <c r="X463" s="27">
        <f t="shared" si="227"/>
        <v>1.0365566012789837E-4</v>
      </c>
      <c r="Y463" s="27">
        <f t="shared" si="227"/>
        <v>1.0365566012789837E-4</v>
      </c>
    </row>
    <row r="464" spans="1:25" outlineLevel="1" x14ac:dyDescent="0.3">
      <c r="A464" t="s">
        <v>165</v>
      </c>
      <c r="B464" t="s">
        <v>77</v>
      </c>
      <c r="C464" s="6" t="s">
        <v>153</v>
      </c>
      <c r="D464" t="s">
        <v>49</v>
      </c>
      <c r="E464" s="27" t="e">
        <f t="shared" si="223"/>
        <v>#DIV/0!</v>
      </c>
      <c r="F464" s="27">
        <f t="shared" si="227"/>
        <v>2.2113691536297507E-4</v>
      </c>
      <c r="G464" s="29">
        <v>0</v>
      </c>
      <c r="H464" s="27">
        <f t="shared" si="227"/>
        <v>5.1549272143039187E-5</v>
      </c>
      <c r="I464" s="27">
        <f t="shared" si="227"/>
        <v>5.1549272143039187E-5</v>
      </c>
      <c r="J464" s="27">
        <f t="shared" si="227"/>
        <v>5.1549272143039187E-5</v>
      </c>
      <c r="K464" s="27">
        <f t="shared" si="227"/>
        <v>2.6823524349512917E-5</v>
      </c>
      <c r="L464" s="27">
        <f t="shared" si="227"/>
        <v>2.489835353739955E-4</v>
      </c>
      <c r="M464" s="29">
        <v>0</v>
      </c>
      <c r="N464" s="27">
        <f t="shared" si="227"/>
        <v>5.1549272143039187E-5</v>
      </c>
      <c r="O464" s="27">
        <f t="shared" si="227"/>
        <v>5.1549272143039187E-5</v>
      </c>
      <c r="P464" s="27">
        <f t="shared" si="227"/>
        <v>5.1549272143039187E-5</v>
      </c>
      <c r="Q464" s="27">
        <f t="shared" si="227"/>
        <v>1.1081819306931845E-4</v>
      </c>
      <c r="R464" s="27">
        <f t="shared" si="227"/>
        <v>1.1081819306931845E-4</v>
      </c>
      <c r="S464" s="27">
        <f t="shared" si="227"/>
        <v>1.1081819306931845E-4</v>
      </c>
      <c r="T464" s="27">
        <f t="shared" si="227"/>
        <v>1.1081819306931845E-4</v>
      </c>
      <c r="U464" s="27">
        <f t="shared" si="227"/>
        <v>1.1081819306931845E-4</v>
      </c>
      <c r="V464" s="27">
        <f t="shared" si="227"/>
        <v>1.1081819306931845E-4</v>
      </c>
      <c r="W464" s="27">
        <f t="shared" si="227"/>
        <v>1.0365566012789837E-4</v>
      </c>
      <c r="X464" s="27">
        <f t="shared" si="227"/>
        <v>1.0365566012789837E-4</v>
      </c>
      <c r="Y464" s="27">
        <f t="shared" si="227"/>
        <v>1.0365566012789837E-4</v>
      </c>
    </row>
    <row r="465" spans="1:25" outlineLevel="1" x14ac:dyDescent="0.3">
      <c r="A465" t="s">
        <v>165</v>
      </c>
      <c r="B465" t="s">
        <v>78</v>
      </c>
      <c r="C465" s="6" t="s">
        <v>154</v>
      </c>
      <c r="D465" t="s">
        <v>49</v>
      </c>
      <c r="E465" s="27" t="e">
        <f t="shared" si="223"/>
        <v>#DIV/0!</v>
      </c>
      <c r="F465" s="27">
        <f t="shared" si="227"/>
        <v>2.3548798361661946E-4</v>
      </c>
      <c r="G465" s="29">
        <v>0</v>
      </c>
      <c r="H465" s="27">
        <f t="shared" si="227"/>
        <v>5.2716425474579696E-5</v>
      </c>
      <c r="I465" s="27">
        <f t="shared" si="227"/>
        <v>5.2716425474579696E-5</v>
      </c>
      <c r="J465" s="27">
        <f t="shared" si="227"/>
        <v>5.2716425474579696E-5</v>
      </c>
      <c r="K465" s="27">
        <f t="shared" si="227"/>
        <v>2.4455304249866687E-5</v>
      </c>
      <c r="L465" s="27">
        <f t="shared" si="227"/>
        <v>2.5420530637325947E-4</v>
      </c>
      <c r="M465" s="29">
        <v>0</v>
      </c>
      <c r="N465" s="27">
        <f t="shared" si="227"/>
        <v>5.2716425474579696E-5</v>
      </c>
      <c r="O465" s="27">
        <f t="shared" si="227"/>
        <v>5.2716425474579696E-5</v>
      </c>
      <c r="P465" s="27">
        <f t="shared" si="227"/>
        <v>5.2716425474579696E-5</v>
      </c>
      <c r="Q465" s="27">
        <f t="shared" si="227"/>
        <v>1.1049225720734986E-4</v>
      </c>
      <c r="R465" s="27">
        <f t="shared" si="227"/>
        <v>1.1049225720734986E-4</v>
      </c>
      <c r="S465" s="27">
        <f t="shared" si="227"/>
        <v>1.1049225720734986E-4</v>
      </c>
      <c r="T465" s="27">
        <f t="shared" si="227"/>
        <v>1.1049225720734986E-4</v>
      </c>
      <c r="U465" s="27">
        <f t="shared" si="227"/>
        <v>1.1049225720734986E-4</v>
      </c>
      <c r="V465" s="27">
        <f t="shared" si="227"/>
        <v>1.1049225720734986E-4</v>
      </c>
      <c r="W465" s="27">
        <f t="shared" si="227"/>
        <v>1.0376143120966154E-4</v>
      </c>
      <c r="X465" s="27">
        <f t="shared" si="227"/>
        <v>1.0376143120966154E-4</v>
      </c>
      <c r="Y465" s="27">
        <f t="shared" si="227"/>
        <v>1.0376143120966154E-4</v>
      </c>
    </row>
    <row r="466" spans="1:25" outlineLevel="1" x14ac:dyDescent="0.3">
      <c r="A466" t="s">
        <v>165</v>
      </c>
      <c r="B466" t="s">
        <v>79</v>
      </c>
      <c r="C466" s="6" t="s">
        <v>155</v>
      </c>
      <c r="D466" t="s">
        <v>49</v>
      </c>
      <c r="E466" s="27" t="e">
        <f t="shared" si="223"/>
        <v>#DIV/0!</v>
      </c>
      <c r="F466" s="27">
        <f t="shared" si="227"/>
        <v>2.5244833700729008E-4</v>
      </c>
      <c r="G466" s="29">
        <v>0</v>
      </c>
      <c r="H466" s="27">
        <f t="shared" si="227"/>
        <v>5.709325046785661E-5</v>
      </c>
      <c r="I466" s="27">
        <f t="shared" si="227"/>
        <v>5.709325046785661E-5</v>
      </c>
      <c r="J466" s="27">
        <f t="shared" si="227"/>
        <v>5.709325046785661E-5</v>
      </c>
      <c r="K466" s="27">
        <f t="shared" si="227"/>
        <v>2.221384444312769E-5</v>
      </c>
      <c r="L466" s="27">
        <f t="shared" si="227"/>
        <v>2.5206912732810607E-4</v>
      </c>
      <c r="M466" s="29">
        <v>0</v>
      </c>
      <c r="N466" s="27">
        <f t="shared" si="227"/>
        <v>5.709325046785661E-5</v>
      </c>
      <c r="O466" s="27">
        <f t="shared" si="227"/>
        <v>5.709325046785661E-5</v>
      </c>
      <c r="P466" s="27">
        <f t="shared" si="227"/>
        <v>5.709325046785661E-5</v>
      </c>
      <c r="Q466" s="27">
        <f t="shared" si="227"/>
        <v>1.3287318639585926E-4</v>
      </c>
      <c r="R466" s="27">
        <f t="shared" si="227"/>
        <v>1.3287318639585926E-4</v>
      </c>
      <c r="S466" s="27">
        <f t="shared" si="227"/>
        <v>1.3287318639585926E-4</v>
      </c>
      <c r="T466" s="27">
        <f t="shared" si="227"/>
        <v>1.3287318639585926E-4</v>
      </c>
      <c r="U466" s="27">
        <f t="shared" si="227"/>
        <v>1.3287318639585926E-4</v>
      </c>
      <c r="V466" s="27">
        <f t="shared" si="227"/>
        <v>1.3287318639585926E-4</v>
      </c>
      <c r="W466" s="27">
        <f t="shared" si="227"/>
        <v>1.0429028661847736E-4</v>
      </c>
      <c r="X466" s="27">
        <f t="shared" si="227"/>
        <v>1.0429028661847736E-4</v>
      </c>
      <c r="Y466" s="27">
        <f t="shared" si="227"/>
        <v>1.0429028661847736E-4</v>
      </c>
    </row>
    <row r="467" spans="1:25" outlineLevel="1" x14ac:dyDescent="0.3">
      <c r="A467" t="s">
        <v>165</v>
      </c>
      <c r="B467" t="s">
        <v>80</v>
      </c>
      <c r="C467" s="6" t="s">
        <v>156</v>
      </c>
      <c r="D467" t="s">
        <v>49</v>
      </c>
      <c r="E467" s="27" t="e">
        <f t="shared" si="223"/>
        <v>#DIV/0!</v>
      </c>
      <c r="F467" s="27">
        <f t="shared" si="227"/>
        <v>2.6027619241836888E-4</v>
      </c>
      <c r="G467" s="29">
        <v>0</v>
      </c>
      <c r="H467" s="27">
        <f t="shared" si="227"/>
        <v>6.2150914904532146E-5</v>
      </c>
      <c r="I467" s="27">
        <f t="shared" si="227"/>
        <v>6.2150914904532146E-5</v>
      </c>
      <c r="J467" s="27">
        <f t="shared" si="227"/>
        <v>6.2150914904532146E-5</v>
      </c>
      <c r="K467" s="27">
        <f t="shared" si="227"/>
        <v>2.0694574498561704E-5</v>
      </c>
      <c r="L467" s="27">
        <f t="shared" si="227"/>
        <v>2.43287057920253E-4</v>
      </c>
      <c r="M467" s="29">
        <v>0</v>
      </c>
      <c r="N467" s="27">
        <f t="shared" si="227"/>
        <v>6.2150914904532146E-5</v>
      </c>
      <c r="O467" s="27">
        <f t="shared" si="227"/>
        <v>6.2150914904532146E-5</v>
      </c>
      <c r="P467" s="27">
        <f t="shared" ref="P467:Y468" si="228">P265/P$398</f>
        <v>6.2150914904532146E-5</v>
      </c>
      <c r="Q467" s="27">
        <f t="shared" si="228"/>
        <v>1.4830081719570558E-4</v>
      </c>
      <c r="R467" s="27">
        <f t="shared" si="228"/>
        <v>1.4830081719570558E-4</v>
      </c>
      <c r="S467" s="27">
        <f t="shared" si="228"/>
        <v>1.4830081719570558E-4</v>
      </c>
      <c r="T467" s="27">
        <f t="shared" si="228"/>
        <v>1.4830081719570558E-4</v>
      </c>
      <c r="U467" s="27">
        <f t="shared" si="228"/>
        <v>1.4830081719570558E-4</v>
      </c>
      <c r="V467" s="27">
        <f t="shared" si="228"/>
        <v>1.4830081719570558E-4</v>
      </c>
      <c r="W467" s="27">
        <f t="shared" si="228"/>
        <v>1.0492491310905632E-4</v>
      </c>
      <c r="X467" s="27">
        <f t="shared" si="228"/>
        <v>1.0492491310905632E-4</v>
      </c>
      <c r="Y467" s="27">
        <f t="shared" si="228"/>
        <v>1.0492491310905632E-4</v>
      </c>
    </row>
    <row r="468" spans="1:25" outlineLevel="1" x14ac:dyDescent="0.3">
      <c r="A468" t="s">
        <v>165</v>
      </c>
      <c r="B468" t="s">
        <v>81</v>
      </c>
      <c r="C468" s="6" t="s">
        <v>157</v>
      </c>
      <c r="D468" t="s">
        <v>49</v>
      </c>
      <c r="E468" s="27" t="e">
        <f t="shared" ref="E468:T531" si="229">E266/E$398</f>
        <v>#DIV/0!</v>
      </c>
      <c r="F468" s="27">
        <f t="shared" si="229"/>
        <v>2.5897154984985579E-4</v>
      </c>
      <c r="G468" s="29">
        <v>0</v>
      </c>
      <c r="H468" s="27">
        <f t="shared" si="229"/>
        <v>1.0572463928204452E-4</v>
      </c>
      <c r="I468" s="27">
        <f t="shared" si="229"/>
        <v>1.0572463928204452E-4</v>
      </c>
      <c r="J468" s="27">
        <f t="shared" si="229"/>
        <v>1.0572463928204452E-4</v>
      </c>
      <c r="K468" s="27">
        <f t="shared" si="229"/>
        <v>2.0762932378215571E-5</v>
      </c>
      <c r="L468" s="27">
        <f t="shared" si="229"/>
        <v>2.2667233201350404E-4</v>
      </c>
      <c r="M468" s="29">
        <v>0</v>
      </c>
      <c r="N468" s="27">
        <f t="shared" si="229"/>
        <v>1.0572463928204452E-4</v>
      </c>
      <c r="O468" s="27">
        <f t="shared" si="229"/>
        <v>1.0572463928204452E-4</v>
      </c>
      <c r="P468" s="27">
        <f t="shared" si="229"/>
        <v>1.0572463928204452E-4</v>
      </c>
      <c r="Q468" s="27">
        <f t="shared" si="229"/>
        <v>1.4971320593090278E-4</v>
      </c>
      <c r="R468" s="27">
        <f t="shared" si="229"/>
        <v>1.4971320593090278E-4</v>
      </c>
      <c r="S468" s="27">
        <f t="shared" si="229"/>
        <v>1.4971320593090278E-4</v>
      </c>
      <c r="T468" s="27">
        <f t="shared" si="229"/>
        <v>1.4971320593090278E-4</v>
      </c>
      <c r="U468" s="27">
        <f t="shared" si="228"/>
        <v>1.4971320593090278E-4</v>
      </c>
      <c r="V468" s="27">
        <f t="shared" si="228"/>
        <v>1.4971320593090278E-4</v>
      </c>
      <c r="W468" s="27">
        <f t="shared" si="228"/>
        <v>1.0492491310905632E-4</v>
      </c>
      <c r="X468" s="27">
        <f t="shared" si="228"/>
        <v>1.0492491310905632E-4</v>
      </c>
      <c r="Y468" s="27">
        <f t="shared" si="228"/>
        <v>1.0492491310905632E-4</v>
      </c>
    </row>
    <row r="469" spans="1:25" outlineLevel="1" x14ac:dyDescent="0.3">
      <c r="A469" t="s">
        <v>165</v>
      </c>
      <c r="B469" t="s">
        <v>82</v>
      </c>
      <c r="C469" s="6" t="s">
        <v>158</v>
      </c>
      <c r="D469" t="s">
        <v>49</v>
      </c>
      <c r="E469" s="27" t="e">
        <f t="shared" si="229"/>
        <v>#DIV/0!</v>
      </c>
      <c r="F469" s="27">
        <f t="shared" ref="F469:Y481" si="230">F267/F$398</f>
        <v>2.4788208801749417E-4</v>
      </c>
      <c r="G469" s="29">
        <v>0</v>
      </c>
      <c r="H469" s="27">
        <f t="shared" si="230"/>
        <v>2.4792282017472997E-4</v>
      </c>
      <c r="I469" s="27">
        <f t="shared" si="230"/>
        <v>2.4792282017472997E-4</v>
      </c>
      <c r="J469" s="27">
        <f t="shared" si="230"/>
        <v>2.4792282017472997E-4</v>
      </c>
      <c r="K469" s="27">
        <f t="shared" si="230"/>
        <v>2.4764387100862309E-5</v>
      </c>
      <c r="L469" s="27">
        <f t="shared" si="230"/>
        <v>2.0815878028884087E-4</v>
      </c>
      <c r="M469" s="29">
        <v>0</v>
      </c>
      <c r="N469" s="27">
        <f t="shared" si="230"/>
        <v>2.4792282017472997E-4</v>
      </c>
      <c r="O469" s="27">
        <f t="shared" si="230"/>
        <v>2.4792282017472997E-4</v>
      </c>
      <c r="P469" s="27">
        <f t="shared" si="230"/>
        <v>2.4792282017472997E-4</v>
      </c>
      <c r="Q469" s="27">
        <f t="shared" si="230"/>
        <v>1.3558931857893079E-4</v>
      </c>
      <c r="R469" s="27">
        <f t="shared" si="230"/>
        <v>1.3558931857893079E-4</v>
      </c>
      <c r="S469" s="27">
        <f t="shared" si="230"/>
        <v>1.3558931857893079E-4</v>
      </c>
      <c r="T469" s="27">
        <f t="shared" si="230"/>
        <v>1.3558931857893079E-4</v>
      </c>
      <c r="U469" s="27">
        <f t="shared" si="230"/>
        <v>1.3558931857893079E-4</v>
      </c>
      <c r="V469" s="27">
        <f t="shared" si="230"/>
        <v>1.3558931857893079E-4</v>
      </c>
      <c r="W469" s="27">
        <f t="shared" si="230"/>
        <v>1.0460759986376684E-4</v>
      </c>
      <c r="X469" s="27">
        <f t="shared" si="230"/>
        <v>1.0460759986376684E-4</v>
      </c>
      <c r="Y469" s="27">
        <f t="shared" si="230"/>
        <v>1.0460759986376684E-4</v>
      </c>
    </row>
    <row r="470" spans="1:25" outlineLevel="1" x14ac:dyDescent="0.3">
      <c r="A470" t="s">
        <v>165</v>
      </c>
      <c r="B470" t="s">
        <v>83</v>
      </c>
      <c r="C470" s="6" t="s">
        <v>159</v>
      </c>
      <c r="D470" t="s">
        <v>49</v>
      </c>
      <c r="E470" s="27" t="e">
        <f t="shared" si="229"/>
        <v>#DIV/0!</v>
      </c>
      <c r="F470" s="27">
        <f t="shared" si="230"/>
        <v>2.2439852178425787E-4</v>
      </c>
      <c r="G470" s="29">
        <v>0</v>
      </c>
      <c r="H470" s="27">
        <f t="shared" si="230"/>
        <v>2.667917990346349E-4</v>
      </c>
      <c r="I470" s="27">
        <f t="shared" si="230"/>
        <v>2.667917990346349E-4</v>
      </c>
      <c r="J470" s="27">
        <f t="shared" si="230"/>
        <v>2.667917990346349E-4</v>
      </c>
      <c r="K470" s="27">
        <f t="shared" si="230"/>
        <v>2.9629486007826059E-5</v>
      </c>
      <c r="L470" s="27">
        <f t="shared" si="230"/>
        <v>1.8537287047387083E-4</v>
      </c>
      <c r="M470" s="29">
        <v>0</v>
      </c>
      <c r="N470" s="27">
        <f t="shared" si="230"/>
        <v>2.667917990346349E-4</v>
      </c>
      <c r="O470" s="27">
        <f t="shared" si="230"/>
        <v>2.667917990346349E-4</v>
      </c>
      <c r="P470" s="27">
        <f t="shared" si="230"/>
        <v>2.667917990346349E-4</v>
      </c>
      <c r="Q470" s="27">
        <f t="shared" si="230"/>
        <v>1.1212193651719277E-4</v>
      </c>
      <c r="R470" s="27">
        <f t="shared" si="230"/>
        <v>1.1212193651719277E-4</v>
      </c>
      <c r="S470" s="27">
        <f t="shared" si="230"/>
        <v>1.1212193651719277E-4</v>
      </c>
      <c r="T470" s="27">
        <f t="shared" si="230"/>
        <v>1.1212193651719277E-4</v>
      </c>
      <c r="U470" s="27">
        <f t="shared" si="230"/>
        <v>1.1212193651719277E-4</v>
      </c>
      <c r="V470" s="27">
        <f t="shared" si="230"/>
        <v>1.1212193651719277E-4</v>
      </c>
      <c r="W470" s="27">
        <f t="shared" si="230"/>
        <v>1.0429028661847736E-4</v>
      </c>
      <c r="X470" s="27">
        <f t="shared" si="230"/>
        <v>1.0429028661847736E-4</v>
      </c>
      <c r="Y470" s="27">
        <f t="shared" si="230"/>
        <v>1.0429028661847736E-4</v>
      </c>
    </row>
    <row r="471" spans="1:25" outlineLevel="1" x14ac:dyDescent="0.3">
      <c r="A471" t="s">
        <v>165</v>
      </c>
      <c r="B471" t="s">
        <v>84</v>
      </c>
      <c r="C471" s="6" t="s">
        <v>160</v>
      </c>
      <c r="D471" t="s">
        <v>49</v>
      </c>
      <c r="E471" s="27" t="e">
        <f t="shared" si="229"/>
        <v>#DIV/0!</v>
      </c>
      <c r="F471" s="27">
        <f t="shared" si="230"/>
        <v>1.9387631756891347E-4</v>
      </c>
      <c r="G471" s="29">
        <v>0</v>
      </c>
      <c r="H471" s="27">
        <f t="shared" si="230"/>
        <v>2.7107136125028338E-4</v>
      </c>
      <c r="I471" s="27">
        <f t="shared" si="230"/>
        <v>2.7107136125028338E-4</v>
      </c>
      <c r="J471" s="27">
        <f t="shared" si="230"/>
        <v>2.7107136125028338E-4</v>
      </c>
      <c r="K471" s="27">
        <f t="shared" si="230"/>
        <v>4.1181564069340069E-5</v>
      </c>
      <c r="L471" s="27">
        <f t="shared" si="230"/>
        <v>1.6448578647681498E-4</v>
      </c>
      <c r="M471" s="29">
        <v>0</v>
      </c>
      <c r="N471" s="27">
        <f t="shared" si="230"/>
        <v>2.7107136125028338E-4</v>
      </c>
      <c r="O471" s="27">
        <f t="shared" si="230"/>
        <v>2.7107136125028338E-4</v>
      </c>
      <c r="P471" s="27">
        <f t="shared" si="230"/>
        <v>2.7107136125028338E-4</v>
      </c>
      <c r="Q471" s="27">
        <f t="shared" si="230"/>
        <v>1.1049225720734986E-4</v>
      </c>
      <c r="R471" s="27">
        <f t="shared" si="230"/>
        <v>1.1049225720734986E-4</v>
      </c>
      <c r="S471" s="27">
        <f t="shared" si="230"/>
        <v>1.1049225720734986E-4</v>
      </c>
      <c r="T471" s="27">
        <f t="shared" si="230"/>
        <v>1.1049225720734986E-4</v>
      </c>
      <c r="U471" s="27">
        <f t="shared" si="230"/>
        <v>1.1049225720734986E-4</v>
      </c>
      <c r="V471" s="27">
        <f t="shared" si="230"/>
        <v>1.1049225720734986E-4</v>
      </c>
      <c r="W471" s="27">
        <f t="shared" si="230"/>
        <v>1.0397297337318785E-4</v>
      </c>
      <c r="X471" s="27">
        <f t="shared" si="230"/>
        <v>1.0397297337318785E-4</v>
      </c>
      <c r="Y471" s="27">
        <f t="shared" si="230"/>
        <v>1.0397297337318785E-4</v>
      </c>
    </row>
    <row r="472" spans="1:25" outlineLevel="1" x14ac:dyDescent="0.3">
      <c r="A472" t="s">
        <v>165</v>
      </c>
      <c r="B472" t="s">
        <v>85</v>
      </c>
      <c r="C472" s="6" t="s">
        <v>161</v>
      </c>
      <c r="D472" t="s">
        <v>49</v>
      </c>
      <c r="E472" s="27" t="e">
        <f t="shared" si="229"/>
        <v>#DIV/0!</v>
      </c>
      <c r="F472" s="27">
        <f t="shared" si="230"/>
        <v>1.6118133552711593E-4</v>
      </c>
      <c r="G472" s="29">
        <v>0</v>
      </c>
      <c r="H472" s="27">
        <f t="shared" si="230"/>
        <v>2.219536585479536E-4</v>
      </c>
      <c r="I472" s="27">
        <f t="shared" si="230"/>
        <v>2.219536585479536E-4</v>
      </c>
      <c r="J472" s="27">
        <f t="shared" si="230"/>
        <v>2.219536585479536E-4</v>
      </c>
      <c r="K472" s="27">
        <f t="shared" si="230"/>
        <v>4.5983237985406952E-5</v>
      </c>
      <c r="L472" s="27">
        <f t="shared" si="230"/>
        <v>1.4573488152491254E-4</v>
      </c>
      <c r="M472" s="29">
        <v>0</v>
      </c>
      <c r="N472" s="27">
        <f t="shared" si="230"/>
        <v>2.219536585479536E-4</v>
      </c>
      <c r="O472" s="27">
        <f t="shared" si="230"/>
        <v>2.219536585479536E-4</v>
      </c>
      <c r="P472" s="27">
        <f t="shared" si="230"/>
        <v>2.219536585479536E-4</v>
      </c>
      <c r="Q472" s="27">
        <f t="shared" si="230"/>
        <v>1.0940580433412125E-4</v>
      </c>
      <c r="R472" s="27">
        <f t="shared" si="230"/>
        <v>1.0940580433412125E-4</v>
      </c>
      <c r="S472" s="27">
        <f t="shared" si="230"/>
        <v>1.0940580433412125E-4</v>
      </c>
      <c r="T472" s="27">
        <f t="shared" si="230"/>
        <v>1.0940580433412125E-4</v>
      </c>
      <c r="U472" s="27">
        <f t="shared" si="230"/>
        <v>1.0940580433412125E-4</v>
      </c>
      <c r="V472" s="27">
        <f t="shared" si="230"/>
        <v>1.0940580433412125E-4</v>
      </c>
      <c r="W472" s="27">
        <f t="shared" si="230"/>
        <v>1.0344411796437206E-4</v>
      </c>
      <c r="X472" s="27">
        <f t="shared" si="230"/>
        <v>1.0344411796437206E-4</v>
      </c>
      <c r="Y472" s="27">
        <f t="shared" si="230"/>
        <v>1.0344411796437206E-4</v>
      </c>
    </row>
    <row r="473" spans="1:25" outlineLevel="1" x14ac:dyDescent="0.3">
      <c r="A473" t="s">
        <v>165</v>
      </c>
      <c r="B473" t="s">
        <v>86</v>
      </c>
      <c r="C473" s="6" t="s">
        <v>162</v>
      </c>
      <c r="D473" t="s">
        <v>49</v>
      </c>
      <c r="E473" s="27" t="e">
        <f t="shared" si="229"/>
        <v>#DIV/0!</v>
      </c>
      <c r="F473" s="27">
        <f t="shared" si="230"/>
        <v>1.301928781506363E-4</v>
      </c>
      <c r="G473" s="29">
        <v>0</v>
      </c>
      <c r="H473" s="27">
        <f t="shared" si="230"/>
        <v>1.3188832646407762E-4</v>
      </c>
      <c r="I473" s="27">
        <f t="shared" si="230"/>
        <v>1.3188832646407762E-4</v>
      </c>
      <c r="J473" s="27">
        <f t="shared" si="230"/>
        <v>1.3188832646407762E-4</v>
      </c>
      <c r="K473" s="27">
        <f t="shared" si="230"/>
        <v>4.7283158809911532E-5</v>
      </c>
      <c r="L473" s="27">
        <f t="shared" si="230"/>
        <v>1.2817074270920646E-4</v>
      </c>
      <c r="M473" s="29">
        <v>0</v>
      </c>
      <c r="N473" s="27">
        <f t="shared" si="230"/>
        <v>1.3188832646407762E-4</v>
      </c>
      <c r="O473" s="27">
        <f t="shared" si="230"/>
        <v>1.3188832646407762E-4</v>
      </c>
      <c r="P473" s="27">
        <f t="shared" si="230"/>
        <v>1.3188832646407762E-4</v>
      </c>
      <c r="Q473" s="27">
        <f t="shared" si="230"/>
        <v>1.084279967482155E-4</v>
      </c>
      <c r="R473" s="27">
        <f t="shared" si="230"/>
        <v>1.084279967482155E-4</v>
      </c>
      <c r="S473" s="27">
        <f t="shared" si="230"/>
        <v>1.084279967482155E-4</v>
      </c>
      <c r="T473" s="27">
        <f t="shared" si="230"/>
        <v>1.084279967482155E-4</v>
      </c>
      <c r="U473" s="27">
        <f t="shared" si="230"/>
        <v>1.084279967482155E-4</v>
      </c>
      <c r="V473" s="27">
        <f t="shared" si="230"/>
        <v>1.084279967482155E-4</v>
      </c>
      <c r="W473" s="27">
        <f t="shared" si="230"/>
        <v>1.0291526255555625E-4</v>
      </c>
      <c r="X473" s="27">
        <f t="shared" si="230"/>
        <v>1.0291526255555625E-4</v>
      </c>
      <c r="Y473" s="27">
        <f t="shared" si="230"/>
        <v>1.0291526255555625E-4</v>
      </c>
    </row>
    <row r="474" spans="1:25" outlineLevel="1" x14ac:dyDescent="0.3">
      <c r="A474" t="s">
        <v>165</v>
      </c>
      <c r="B474" t="s">
        <v>87</v>
      </c>
      <c r="C474" s="6" t="s">
        <v>163</v>
      </c>
      <c r="D474" t="s">
        <v>49</v>
      </c>
      <c r="E474" s="27" t="e">
        <f t="shared" si="229"/>
        <v>#DIV/0!</v>
      </c>
      <c r="F474" s="27">
        <f t="shared" si="230"/>
        <v>1.0554377033954175E-4</v>
      </c>
      <c r="G474" s="29">
        <v>0</v>
      </c>
      <c r="H474" s="27">
        <f t="shared" si="230"/>
        <v>6.9445623226660326E-5</v>
      </c>
      <c r="I474" s="27">
        <f t="shared" si="230"/>
        <v>6.9445623226660326E-5</v>
      </c>
      <c r="J474" s="27">
        <f t="shared" si="230"/>
        <v>6.9445623226660326E-5</v>
      </c>
      <c r="K474" s="27">
        <f t="shared" si="230"/>
        <v>5.0879563573017313E-5</v>
      </c>
      <c r="L474" s="27">
        <f t="shared" si="230"/>
        <v>1.0989454421178257E-4</v>
      </c>
      <c r="M474" s="29">
        <v>0</v>
      </c>
      <c r="N474" s="27">
        <f t="shared" si="230"/>
        <v>6.9445623226660326E-5</v>
      </c>
      <c r="O474" s="27">
        <f t="shared" si="230"/>
        <v>6.9445623226660326E-5</v>
      </c>
      <c r="P474" s="27">
        <f t="shared" si="230"/>
        <v>6.9445623226660326E-5</v>
      </c>
      <c r="Q474" s="27">
        <f t="shared" si="230"/>
        <v>7.2792342506317013E-5</v>
      </c>
      <c r="R474" s="27">
        <f t="shared" si="230"/>
        <v>7.2792342506317013E-5</v>
      </c>
      <c r="S474" s="27">
        <f t="shared" si="230"/>
        <v>7.2792342506317013E-5</v>
      </c>
      <c r="T474" s="27">
        <f t="shared" si="230"/>
        <v>7.2792342506317013E-5</v>
      </c>
      <c r="U474" s="27">
        <f t="shared" si="230"/>
        <v>7.2792342506317013E-5</v>
      </c>
      <c r="V474" s="27">
        <f t="shared" si="230"/>
        <v>7.2792342506317013E-5</v>
      </c>
      <c r="W474" s="27">
        <f t="shared" si="230"/>
        <v>1.0259794931026676E-4</v>
      </c>
      <c r="X474" s="27">
        <f t="shared" si="230"/>
        <v>1.0259794931026676E-4</v>
      </c>
      <c r="Y474" s="27">
        <f t="shared" si="230"/>
        <v>1.0259794931026676E-4</v>
      </c>
    </row>
    <row r="475" spans="1:25" outlineLevel="1" x14ac:dyDescent="0.3">
      <c r="A475" t="s">
        <v>166</v>
      </c>
      <c r="B475" t="s">
        <v>64</v>
      </c>
      <c r="C475" s="6" t="s">
        <v>140</v>
      </c>
      <c r="D475" t="s">
        <v>49</v>
      </c>
      <c r="E475" s="27" t="e">
        <f t="shared" si="229"/>
        <v>#DIV/0!</v>
      </c>
      <c r="F475" s="27">
        <f t="shared" si="230"/>
        <v>3.7736848515657015E-5</v>
      </c>
      <c r="G475" s="29">
        <v>0</v>
      </c>
      <c r="H475" s="27">
        <f t="shared" si="230"/>
        <v>3.4022733378752299E-5</v>
      </c>
      <c r="I475" s="27">
        <f t="shared" si="230"/>
        <v>3.4022733378752299E-5</v>
      </c>
      <c r="J475" s="27">
        <f t="shared" si="230"/>
        <v>3.4022733378752299E-5</v>
      </c>
      <c r="K475" s="27">
        <f t="shared" si="230"/>
        <v>6.4863051332813724E-5</v>
      </c>
      <c r="L475" s="27">
        <f t="shared" si="230"/>
        <v>4.6700628907274704E-5</v>
      </c>
      <c r="M475" s="29">
        <v>0</v>
      </c>
      <c r="N475" s="27">
        <f t="shared" si="230"/>
        <v>3.4022733378752299E-5</v>
      </c>
      <c r="O475" s="27">
        <f t="shared" si="230"/>
        <v>3.4022733378752299E-5</v>
      </c>
      <c r="P475" s="27">
        <f t="shared" si="230"/>
        <v>3.4022733378752299E-5</v>
      </c>
      <c r="Q475" s="27">
        <f t="shared" si="230"/>
        <v>3.7125646753754869E-5</v>
      </c>
      <c r="R475" s="27">
        <f t="shared" si="230"/>
        <v>3.7125646753754869E-5</v>
      </c>
      <c r="S475" s="27">
        <f t="shared" si="230"/>
        <v>3.7125646753754869E-5</v>
      </c>
      <c r="T475" s="27">
        <f t="shared" si="230"/>
        <v>3.7125646753754869E-5</v>
      </c>
      <c r="U475" s="27">
        <f t="shared" si="230"/>
        <v>3.7125646753754869E-5</v>
      </c>
      <c r="V475" s="27">
        <f t="shared" si="230"/>
        <v>3.7125646753754869E-5</v>
      </c>
      <c r="W475" s="27">
        <f t="shared" si="230"/>
        <v>7.0041377879649652E-5</v>
      </c>
      <c r="X475" s="27">
        <f t="shared" si="230"/>
        <v>7.0041377879649652E-5</v>
      </c>
      <c r="Y475" s="27">
        <f t="shared" si="230"/>
        <v>7.0041377879649652E-5</v>
      </c>
    </row>
    <row r="476" spans="1:25" outlineLevel="1" x14ac:dyDescent="0.3">
      <c r="A476" t="s">
        <v>166</v>
      </c>
      <c r="B476" t="s">
        <v>65</v>
      </c>
      <c r="C476" s="6" t="s">
        <v>141</v>
      </c>
      <c r="D476" t="s">
        <v>49</v>
      </c>
      <c r="E476" s="27" t="e">
        <f t="shared" si="229"/>
        <v>#DIV/0!</v>
      </c>
      <c r="F476" s="27">
        <f t="shared" si="230"/>
        <v>3.3110449482025371E-5</v>
      </c>
      <c r="G476" s="29">
        <v>0</v>
      </c>
      <c r="H476" s="27">
        <f t="shared" si="230"/>
        <v>3.1269448596656744E-5</v>
      </c>
      <c r="I476" s="27">
        <f t="shared" si="230"/>
        <v>3.1269448596656744E-5</v>
      </c>
      <c r="J476" s="27">
        <f t="shared" si="230"/>
        <v>3.1269448596656744E-5</v>
      </c>
      <c r="K476" s="27">
        <f t="shared" si="230"/>
        <v>6.0560955356015275E-5</v>
      </c>
      <c r="L476" s="27">
        <f t="shared" si="230"/>
        <v>4.3381934904804164E-5</v>
      </c>
      <c r="M476" s="29">
        <v>0</v>
      </c>
      <c r="N476" s="27">
        <f t="shared" si="230"/>
        <v>3.1269448596656744E-5</v>
      </c>
      <c r="O476" s="27">
        <f t="shared" si="230"/>
        <v>3.1269448596656744E-5</v>
      </c>
      <c r="P476" s="27">
        <f t="shared" si="230"/>
        <v>3.1269448596656744E-5</v>
      </c>
      <c r="Q476" s="27">
        <f t="shared" si="230"/>
        <v>3.7015807562175711E-5</v>
      </c>
      <c r="R476" s="27">
        <f t="shared" si="230"/>
        <v>3.7015807562175711E-5</v>
      </c>
      <c r="S476" s="27">
        <f t="shared" si="230"/>
        <v>3.7015807562175711E-5</v>
      </c>
      <c r="T476" s="27">
        <f t="shared" si="230"/>
        <v>3.7015807562175711E-5</v>
      </c>
      <c r="U476" s="27">
        <f t="shared" si="230"/>
        <v>3.7015807562175711E-5</v>
      </c>
      <c r="V476" s="27">
        <f t="shared" si="230"/>
        <v>3.7015807562175711E-5</v>
      </c>
      <c r="W476" s="27">
        <f t="shared" si="230"/>
        <v>7.0041377879649652E-5</v>
      </c>
      <c r="X476" s="27">
        <f t="shared" si="230"/>
        <v>7.0041377879649652E-5</v>
      </c>
      <c r="Y476" s="27">
        <f t="shared" si="230"/>
        <v>7.0041377879649652E-5</v>
      </c>
    </row>
    <row r="477" spans="1:25" outlineLevel="1" x14ac:dyDescent="0.3">
      <c r="A477" t="s">
        <v>166</v>
      </c>
      <c r="B477" t="s">
        <v>66</v>
      </c>
      <c r="C477" s="6" t="s">
        <v>142</v>
      </c>
      <c r="D477" t="s">
        <v>49</v>
      </c>
      <c r="E477" s="27" t="e">
        <f t="shared" si="229"/>
        <v>#DIV/0!</v>
      </c>
      <c r="F477" s="27">
        <f t="shared" si="230"/>
        <v>3.1686888313290332E-5</v>
      </c>
      <c r="G477" s="29">
        <v>0</v>
      </c>
      <c r="H477" s="27">
        <f t="shared" si="230"/>
        <v>3.0974453798575071E-5</v>
      </c>
      <c r="I477" s="27">
        <f t="shared" si="230"/>
        <v>3.0974453798575071E-5</v>
      </c>
      <c r="J477" s="27">
        <f t="shared" si="230"/>
        <v>3.0974453798575071E-5</v>
      </c>
      <c r="K477" s="27">
        <f t="shared" si="230"/>
        <v>6.1584262184822191E-5</v>
      </c>
      <c r="L477" s="27">
        <f t="shared" si="230"/>
        <v>4.212747614985461E-5</v>
      </c>
      <c r="M477" s="29">
        <v>0</v>
      </c>
      <c r="N477" s="27">
        <f t="shared" si="230"/>
        <v>3.0974453798575071E-5</v>
      </c>
      <c r="O477" s="27">
        <f t="shared" si="230"/>
        <v>3.0974453798575071E-5</v>
      </c>
      <c r="P477" s="27">
        <f t="shared" si="230"/>
        <v>3.0974453798575071E-5</v>
      </c>
      <c r="Q477" s="27">
        <f t="shared" si="230"/>
        <v>3.7015807562175711E-5</v>
      </c>
      <c r="R477" s="27">
        <f t="shared" si="230"/>
        <v>3.7015807562175711E-5</v>
      </c>
      <c r="S477" s="27">
        <f t="shared" si="230"/>
        <v>3.7015807562175711E-5</v>
      </c>
      <c r="T477" s="27">
        <f t="shared" si="230"/>
        <v>3.7015807562175711E-5</v>
      </c>
      <c r="U477" s="27">
        <f t="shared" si="230"/>
        <v>3.7015807562175711E-5</v>
      </c>
      <c r="V477" s="27">
        <f t="shared" si="230"/>
        <v>3.7015807562175711E-5</v>
      </c>
      <c r="W477" s="27">
        <f t="shared" si="230"/>
        <v>7.0041377879649652E-5</v>
      </c>
      <c r="X477" s="27">
        <f t="shared" si="230"/>
        <v>7.0041377879649652E-5</v>
      </c>
      <c r="Y477" s="27">
        <f t="shared" si="230"/>
        <v>7.0041377879649652E-5</v>
      </c>
    </row>
    <row r="478" spans="1:25" outlineLevel="1" x14ac:dyDescent="0.3">
      <c r="A478" t="s">
        <v>166</v>
      </c>
      <c r="B478" t="s">
        <v>67</v>
      </c>
      <c r="C478" s="6" t="s">
        <v>143</v>
      </c>
      <c r="D478" t="s">
        <v>49</v>
      </c>
      <c r="E478" s="27" t="e">
        <f t="shared" si="229"/>
        <v>#DIV/0!</v>
      </c>
      <c r="F478" s="27">
        <f t="shared" si="230"/>
        <v>3.3255675697855753E-5</v>
      </c>
      <c r="G478" s="29">
        <v>0</v>
      </c>
      <c r="H478" s="27">
        <f t="shared" si="230"/>
        <v>3.1662774994098961E-5</v>
      </c>
      <c r="I478" s="27">
        <f t="shared" si="230"/>
        <v>3.1662774994098961E-5</v>
      </c>
      <c r="J478" s="27">
        <f t="shared" si="230"/>
        <v>3.1662774994098961E-5</v>
      </c>
      <c r="K478" s="27">
        <f t="shared" si="230"/>
        <v>6.2640317612834955E-5</v>
      </c>
      <c r="L478" s="27">
        <f t="shared" si="230"/>
        <v>4.2028923959972203E-5</v>
      </c>
      <c r="M478" s="29">
        <v>0</v>
      </c>
      <c r="N478" s="27">
        <f t="shared" si="230"/>
        <v>3.1662774994098961E-5</v>
      </c>
      <c r="O478" s="27">
        <f t="shared" si="230"/>
        <v>3.1662774994098961E-5</v>
      </c>
      <c r="P478" s="27">
        <f t="shared" si="230"/>
        <v>3.1662774994098961E-5</v>
      </c>
      <c r="Q478" s="27">
        <f t="shared" si="230"/>
        <v>3.7015807562175711E-5</v>
      </c>
      <c r="R478" s="27">
        <f t="shared" si="230"/>
        <v>3.7015807562175711E-5</v>
      </c>
      <c r="S478" s="27">
        <f t="shared" si="230"/>
        <v>3.7015807562175711E-5</v>
      </c>
      <c r="T478" s="27">
        <f t="shared" si="230"/>
        <v>3.7015807562175711E-5</v>
      </c>
      <c r="U478" s="27">
        <f t="shared" si="230"/>
        <v>3.7015807562175711E-5</v>
      </c>
      <c r="V478" s="27">
        <f t="shared" si="230"/>
        <v>3.7015807562175711E-5</v>
      </c>
      <c r="W478" s="27">
        <f t="shared" si="230"/>
        <v>7.0041377879649652E-5</v>
      </c>
      <c r="X478" s="27">
        <f t="shared" si="230"/>
        <v>7.0041377879649652E-5</v>
      </c>
      <c r="Y478" s="27">
        <f t="shared" si="230"/>
        <v>7.0041377879649652E-5</v>
      </c>
    </row>
    <row r="479" spans="1:25" outlineLevel="1" x14ac:dyDescent="0.3">
      <c r="A479" t="s">
        <v>166</v>
      </c>
      <c r="B479" t="s">
        <v>68</v>
      </c>
      <c r="C479" s="6" t="s">
        <v>144</v>
      </c>
      <c r="D479" t="s">
        <v>49</v>
      </c>
      <c r="E479" s="27" t="e">
        <f t="shared" si="229"/>
        <v>#DIV/0!</v>
      </c>
      <c r="F479" s="27">
        <f t="shared" si="230"/>
        <v>3.715113597278686E-5</v>
      </c>
      <c r="G479" s="29">
        <v>0</v>
      </c>
      <c r="H479" s="27">
        <f t="shared" si="230"/>
        <v>4.0807613734630653E-5</v>
      </c>
      <c r="I479" s="27">
        <f t="shared" si="230"/>
        <v>4.0807613734630653E-5</v>
      </c>
      <c r="J479" s="27">
        <f t="shared" si="230"/>
        <v>4.0807613734630653E-5</v>
      </c>
      <c r="K479" s="27">
        <f t="shared" si="230"/>
        <v>6.0670762149660677E-5</v>
      </c>
      <c r="L479" s="27">
        <f t="shared" si="230"/>
        <v>4.288860284701148E-5</v>
      </c>
      <c r="M479" s="29">
        <v>0</v>
      </c>
      <c r="N479" s="27">
        <f t="shared" si="230"/>
        <v>4.0807613734630653E-5</v>
      </c>
      <c r="O479" s="27">
        <f t="shared" si="230"/>
        <v>4.0807613734630653E-5</v>
      </c>
      <c r="P479" s="27">
        <f t="shared" si="230"/>
        <v>4.0807613734630653E-5</v>
      </c>
      <c r="Q479" s="27">
        <f t="shared" si="230"/>
        <v>3.7015807562175711E-5</v>
      </c>
      <c r="R479" s="27">
        <f t="shared" si="230"/>
        <v>3.7015807562175711E-5</v>
      </c>
      <c r="S479" s="27">
        <f t="shared" si="230"/>
        <v>3.7015807562175711E-5</v>
      </c>
      <c r="T479" s="27">
        <f t="shared" si="230"/>
        <v>3.7015807562175711E-5</v>
      </c>
      <c r="U479" s="27">
        <f t="shared" si="230"/>
        <v>3.7015807562175711E-5</v>
      </c>
      <c r="V479" s="27">
        <f t="shared" si="230"/>
        <v>3.7015807562175711E-5</v>
      </c>
      <c r="W479" s="27">
        <f t="shared" si="230"/>
        <v>7.0041377879649652E-5</v>
      </c>
      <c r="X479" s="27">
        <f t="shared" si="230"/>
        <v>7.0041377879649652E-5</v>
      </c>
      <c r="Y479" s="27">
        <f t="shared" si="230"/>
        <v>7.0041377879649652E-5</v>
      </c>
    </row>
    <row r="480" spans="1:25" outlineLevel="1" x14ac:dyDescent="0.3">
      <c r="A480" t="s">
        <v>166</v>
      </c>
      <c r="B480" t="s">
        <v>69</v>
      </c>
      <c r="C480" s="6" t="s">
        <v>145</v>
      </c>
      <c r="D480" t="s">
        <v>49</v>
      </c>
      <c r="E480" s="27" t="e">
        <f t="shared" si="229"/>
        <v>#DIV/0!</v>
      </c>
      <c r="F480" s="27">
        <f t="shared" si="230"/>
        <v>4.2004999581606085E-5</v>
      </c>
      <c r="G480" s="29">
        <v>0</v>
      </c>
      <c r="H480" s="27">
        <f t="shared" si="230"/>
        <v>7.0110430344076283E-5</v>
      </c>
      <c r="I480" s="27">
        <f t="shared" si="230"/>
        <v>7.0110430344076283E-5</v>
      </c>
      <c r="J480" s="27">
        <f t="shared" si="230"/>
        <v>7.0110430344076283E-5</v>
      </c>
      <c r="K480" s="27">
        <f t="shared" si="230"/>
        <v>9.6753567722354113E-5</v>
      </c>
      <c r="L480" s="27">
        <f t="shared" si="230"/>
        <v>4.60290222489723E-5</v>
      </c>
      <c r="M480" s="29">
        <v>0</v>
      </c>
      <c r="N480" s="27">
        <f t="shared" si="230"/>
        <v>7.0110430344076283E-5</v>
      </c>
      <c r="O480" s="27">
        <f t="shared" si="230"/>
        <v>7.0110430344076283E-5</v>
      </c>
      <c r="P480" s="27">
        <f t="shared" si="230"/>
        <v>7.0110430344076283E-5</v>
      </c>
      <c r="Q480" s="27">
        <f t="shared" si="230"/>
        <v>3.7235485945334026E-5</v>
      </c>
      <c r="R480" s="27">
        <f t="shared" si="230"/>
        <v>3.7235485945334026E-5</v>
      </c>
      <c r="S480" s="27">
        <f t="shared" si="230"/>
        <v>3.7235485945334026E-5</v>
      </c>
      <c r="T480" s="27">
        <f t="shared" si="230"/>
        <v>3.7235485945334026E-5</v>
      </c>
      <c r="U480" s="27">
        <f t="shared" si="230"/>
        <v>3.7235485945334026E-5</v>
      </c>
      <c r="V480" s="27">
        <f t="shared" si="230"/>
        <v>3.7235485945334026E-5</v>
      </c>
      <c r="W480" s="27">
        <f t="shared" si="230"/>
        <v>7.0469111485021565E-5</v>
      </c>
      <c r="X480" s="27">
        <f t="shared" si="230"/>
        <v>7.0469111485021565E-5</v>
      </c>
      <c r="Y480" s="27">
        <f t="shared" si="230"/>
        <v>7.0469111485021565E-5</v>
      </c>
    </row>
    <row r="481" spans="1:25" outlineLevel="1" x14ac:dyDescent="0.3">
      <c r="A481" t="s">
        <v>166</v>
      </c>
      <c r="B481" t="s">
        <v>70</v>
      </c>
      <c r="C481" s="6" t="s">
        <v>146</v>
      </c>
      <c r="D481" t="s">
        <v>49</v>
      </c>
      <c r="E481" s="27" t="e">
        <f t="shared" si="229"/>
        <v>#DIV/0!</v>
      </c>
      <c r="F481" s="27">
        <f t="shared" si="230"/>
        <v>4.4142240664900699E-5</v>
      </c>
      <c r="G481" s="29">
        <v>0</v>
      </c>
      <c r="H481" s="27">
        <f t="shared" si="230"/>
        <v>8.7121797033452416E-5</v>
      </c>
      <c r="I481" s="27">
        <f t="shared" si="230"/>
        <v>8.7121797033452416E-5</v>
      </c>
      <c r="J481" s="27">
        <f t="shared" si="230"/>
        <v>8.7121797033452416E-5</v>
      </c>
      <c r="K481" s="27">
        <f t="shared" si="230"/>
        <v>1.3518150244879102E-4</v>
      </c>
      <c r="L481" s="27">
        <f t="shared" si="230"/>
        <v>5.2724324963015202E-5</v>
      </c>
      <c r="M481" s="29">
        <v>0</v>
      </c>
      <c r="N481" s="27">
        <f t="shared" si="230"/>
        <v>8.7121797033452416E-5</v>
      </c>
      <c r="O481" s="27">
        <f t="shared" si="230"/>
        <v>8.7121797033452416E-5</v>
      </c>
      <c r="P481" s="27">
        <f t="shared" si="230"/>
        <v>8.7121797033452416E-5</v>
      </c>
      <c r="Q481" s="27">
        <f t="shared" si="230"/>
        <v>5.3821203873786646E-5</v>
      </c>
      <c r="R481" s="27">
        <f t="shared" si="230"/>
        <v>5.3821203873786646E-5</v>
      </c>
      <c r="S481" s="27">
        <f t="shared" si="230"/>
        <v>5.3821203873786646E-5</v>
      </c>
      <c r="T481" s="27">
        <f t="shared" si="230"/>
        <v>5.3821203873786646E-5</v>
      </c>
      <c r="U481" s="27">
        <f t="shared" ref="F481:Y494" si="231">U279/U$398</f>
        <v>5.3821203873786646E-5</v>
      </c>
      <c r="V481" s="27">
        <f t="shared" si="231"/>
        <v>5.3821203873786646E-5</v>
      </c>
      <c r="W481" s="27">
        <f t="shared" si="231"/>
        <v>7.0896845090393477E-5</v>
      </c>
      <c r="X481" s="27">
        <f t="shared" si="231"/>
        <v>7.0896845090393477E-5</v>
      </c>
      <c r="Y481" s="27">
        <f t="shared" si="231"/>
        <v>7.0896845090393477E-5</v>
      </c>
    </row>
    <row r="482" spans="1:25" outlineLevel="1" x14ac:dyDescent="0.3">
      <c r="A482" t="s">
        <v>166</v>
      </c>
      <c r="B482" t="s">
        <v>71</v>
      </c>
      <c r="C482" s="6" t="s">
        <v>147</v>
      </c>
      <c r="D482" t="s">
        <v>49</v>
      </c>
      <c r="E482" s="27" t="e">
        <f t="shared" si="229"/>
        <v>#DIV/0!</v>
      </c>
      <c r="F482" s="27">
        <f t="shared" si="231"/>
        <v>4.3720061770545413E-5</v>
      </c>
      <c r="G482" s="29">
        <v>0</v>
      </c>
      <c r="H482" s="27">
        <f t="shared" si="231"/>
        <v>3.3531075381949524E-5</v>
      </c>
      <c r="I482" s="27">
        <f t="shared" si="231"/>
        <v>3.3531075381949524E-5</v>
      </c>
      <c r="J482" s="27">
        <f t="shared" si="231"/>
        <v>3.3531075381949524E-5</v>
      </c>
      <c r="K482" s="27">
        <f t="shared" si="231"/>
        <v>1.2099452818194011E-4</v>
      </c>
      <c r="L482" s="27">
        <f t="shared" si="231"/>
        <v>6.4549644700192152E-5</v>
      </c>
      <c r="M482" s="29">
        <v>0</v>
      </c>
      <c r="N482" s="27">
        <f t="shared" si="231"/>
        <v>3.3531075381949524E-5</v>
      </c>
      <c r="O482" s="27">
        <f t="shared" si="231"/>
        <v>3.3531075381949524E-5</v>
      </c>
      <c r="P482" s="27">
        <f t="shared" si="231"/>
        <v>3.3531075381949524E-5</v>
      </c>
      <c r="Q482" s="27">
        <f t="shared" si="231"/>
        <v>1.0797192532231074E-4</v>
      </c>
      <c r="R482" s="27">
        <f t="shared" si="231"/>
        <v>1.0797192532231074E-4</v>
      </c>
      <c r="S482" s="27">
        <f t="shared" si="231"/>
        <v>1.0797192532231074E-4</v>
      </c>
      <c r="T482" s="27">
        <f t="shared" si="231"/>
        <v>1.0797192532231074E-4</v>
      </c>
      <c r="U482" s="27">
        <f t="shared" si="231"/>
        <v>1.0797192532231074E-4</v>
      </c>
      <c r="V482" s="27">
        <f t="shared" si="231"/>
        <v>1.0797192532231074E-4</v>
      </c>
      <c r="W482" s="27">
        <f t="shared" si="231"/>
        <v>7.1217645294422409E-5</v>
      </c>
      <c r="X482" s="27">
        <f t="shared" si="231"/>
        <v>7.1217645294422409E-5</v>
      </c>
      <c r="Y482" s="27">
        <f t="shared" si="231"/>
        <v>7.1217645294422409E-5</v>
      </c>
    </row>
    <row r="483" spans="1:25" outlineLevel="1" x14ac:dyDescent="0.3">
      <c r="A483" t="s">
        <v>166</v>
      </c>
      <c r="B483" t="s">
        <v>72</v>
      </c>
      <c r="C483" s="6" t="s">
        <v>148</v>
      </c>
      <c r="D483" t="s">
        <v>49</v>
      </c>
      <c r="E483" s="27" t="e">
        <f t="shared" si="229"/>
        <v>#DIV/0!</v>
      </c>
      <c r="F483" s="27">
        <f t="shared" si="231"/>
        <v>4.6529507464309995E-5</v>
      </c>
      <c r="G483" s="29">
        <v>0</v>
      </c>
      <c r="H483" s="27">
        <f t="shared" si="231"/>
        <v>3.1072785397935629E-5</v>
      </c>
      <c r="I483" s="27">
        <f t="shared" si="231"/>
        <v>3.1072785397935629E-5</v>
      </c>
      <c r="J483" s="27">
        <f t="shared" si="231"/>
        <v>3.1072785397935629E-5</v>
      </c>
      <c r="K483" s="27">
        <f t="shared" si="231"/>
        <v>8.1389124900577825E-5</v>
      </c>
      <c r="L483" s="27">
        <f t="shared" si="231"/>
        <v>8.1106988508048127E-5</v>
      </c>
      <c r="M483" s="29">
        <v>0</v>
      </c>
      <c r="N483" s="27">
        <f t="shared" si="231"/>
        <v>3.1072785397935629E-5</v>
      </c>
      <c r="O483" s="27">
        <f t="shared" si="231"/>
        <v>3.1072785397935629E-5</v>
      </c>
      <c r="P483" s="27">
        <f t="shared" si="231"/>
        <v>3.1072785397935629E-5</v>
      </c>
      <c r="Q483" s="27">
        <f t="shared" si="231"/>
        <v>1.0928999562126062E-4</v>
      </c>
      <c r="R483" s="27">
        <f t="shared" si="231"/>
        <v>1.0928999562126062E-4</v>
      </c>
      <c r="S483" s="27">
        <f t="shared" si="231"/>
        <v>1.0928999562126062E-4</v>
      </c>
      <c r="T483" s="27">
        <f t="shared" si="231"/>
        <v>1.0928999562126062E-4</v>
      </c>
      <c r="U483" s="27">
        <f t="shared" si="231"/>
        <v>1.0928999562126062E-4</v>
      </c>
      <c r="V483" s="27">
        <f t="shared" si="231"/>
        <v>1.0928999562126062E-4</v>
      </c>
      <c r="W483" s="27">
        <f t="shared" si="231"/>
        <v>7.132457869576539E-5</v>
      </c>
      <c r="X483" s="27">
        <f t="shared" si="231"/>
        <v>7.132457869576539E-5</v>
      </c>
      <c r="Y483" s="27">
        <f t="shared" si="231"/>
        <v>7.132457869576539E-5</v>
      </c>
    </row>
    <row r="484" spans="1:25" outlineLevel="1" x14ac:dyDescent="0.3">
      <c r="A484" t="s">
        <v>166</v>
      </c>
      <c r="B484" t="s">
        <v>73</v>
      </c>
      <c r="C484" s="6" t="s">
        <v>149</v>
      </c>
      <c r="D484" t="s">
        <v>49</v>
      </c>
      <c r="E484" s="27" t="e">
        <f t="shared" si="229"/>
        <v>#DIV/0!</v>
      </c>
      <c r="F484" s="27">
        <f t="shared" si="231"/>
        <v>5.2137833827645879E-5</v>
      </c>
      <c r="G484" s="29">
        <v>0</v>
      </c>
      <c r="H484" s="27">
        <f t="shared" si="231"/>
        <v>2.989280620560896E-5</v>
      </c>
      <c r="I484" s="27">
        <f t="shared" si="231"/>
        <v>2.989280620560896E-5</v>
      </c>
      <c r="J484" s="27">
        <f t="shared" si="231"/>
        <v>2.989280620560896E-5</v>
      </c>
      <c r="K484" s="27">
        <f t="shared" si="231"/>
        <v>6.1499043287304109E-5</v>
      </c>
      <c r="L484" s="27">
        <f t="shared" si="231"/>
        <v>9.5024755766825618E-5</v>
      </c>
      <c r="M484" s="29">
        <v>0</v>
      </c>
      <c r="N484" s="27">
        <f t="shared" si="231"/>
        <v>2.989280620560896E-5</v>
      </c>
      <c r="O484" s="27">
        <f t="shared" si="231"/>
        <v>2.989280620560896E-5</v>
      </c>
      <c r="P484" s="27">
        <f t="shared" si="231"/>
        <v>2.989280620560896E-5</v>
      </c>
      <c r="Q484" s="27">
        <f t="shared" si="231"/>
        <v>9.8415915654924142E-5</v>
      </c>
      <c r="R484" s="27">
        <f t="shared" si="231"/>
        <v>9.8415915654924142E-5</v>
      </c>
      <c r="S484" s="27">
        <f t="shared" si="231"/>
        <v>9.8415915654924142E-5</v>
      </c>
      <c r="T484" s="27">
        <f t="shared" si="231"/>
        <v>9.8415915654924142E-5</v>
      </c>
      <c r="U484" s="27">
        <f t="shared" si="231"/>
        <v>9.8415915654924142E-5</v>
      </c>
      <c r="V484" s="27">
        <f t="shared" si="231"/>
        <v>9.8415915654924142E-5</v>
      </c>
      <c r="W484" s="27">
        <f t="shared" si="231"/>
        <v>7.132457869576539E-5</v>
      </c>
      <c r="X484" s="27">
        <f t="shared" si="231"/>
        <v>7.132457869576539E-5</v>
      </c>
      <c r="Y484" s="27">
        <f t="shared" si="231"/>
        <v>7.132457869576539E-5</v>
      </c>
    </row>
    <row r="485" spans="1:25" outlineLevel="1" x14ac:dyDescent="0.3">
      <c r="A485" t="s">
        <v>166</v>
      </c>
      <c r="B485" t="s">
        <v>74</v>
      </c>
      <c r="C485" s="6" t="s">
        <v>150</v>
      </c>
      <c r="D485" t="s">
        <v>49</v>
      </c>
      <c r="E485" s="27" t="e">
        <f t="shared" si="229"/>
        <v>#DIV/0!</v>
      </c>
      <c r="F485" s="27">
        <f t="shared" si="231"/>
        <v>6.5023536150375254E-5</v>
      </c>
      <c r="G485" s="29">
        <v>0</v>
      </c>
      <c r="H485" s="27">
        <f t="shared" si="231"/>
        <v>3.0384464202411738E-5</v>
      </c>
      <c r="I485" s="27">
        <f t="shared" si="231"/>
        <v>3.0384464202411738E-5</v>
      </c>
      <c r="J485" s="27">
        <f t="shared" si="231"/>
        <v>3.0384464202411738E-5</v>
      </c>
      <c r="K485" s="27">
        <f t="shared" si="231"/>
        <v>4.9325057558900937E-5</v>
      </c>
      <c r="L485" s="27">
        <f t="shared" si="231"/>
        <v>1.0630294647652461E-4</v>
      </c>
      <c r="M485" s="29">
        <v>0</v>
      </c>
      <c r="N485" s="27">
        <f t="shared" si="231"/>
        <v>3.0384464202411738E-5</v>
      </c>
      <c r="O485" s="27">
        <f t="shared" si="231"/>
        <v>3.0384464202411738E-5</v>
      </c>
      <c r="P485" s="27">
        <f t="shared" si="231"/>
        <v>3.0384464202411738E-5</v>
      </c>
      <c r="Q485" s="27">
        <f t="shared" si="231"/>
        <v>8.1281001768575747E-5</v>
      </c>
      <c r="R485" s="27">
        <f t="shared" si="231"/>
        <v>8.1281001768575747E-5</v>
      </c>
      <c r="S485" s="27">
        <f t="shared" si="231"/>
        <v>8.1281001768575747E-5</v>
      </c>
      <c r="T485" s="27">
        <f t="shared" si="231"/>
        <v>8.1281001768575747E-5</v>
      </c>
      <c r="U485" s="27">
        <f t="shared" si="231"/>
        <v>8.1281001768575747E-5</v>
      </c>
      <c r="V485" s="27">
        <f t="shared" si="231"/>
        <v>8.1281001768575747E-5</v>
      </c>
      <c r="W485" s="27">
        <f t="shared" si="231"/>
        <v>7.1110711893079427E-5</v>
      </c>
      <c r="X485" s="27">
        <f t="shared" si="231"/>
        <v>7.1110711893079427E-5</v>
      </c>
      <c r="Y485" s="27">
        <f t="shared" si="231"/>
        <v>7.1110711893079427E-5</v>
      </c>
    </row>
    <row r="486" spans="1:25" outlineLevel="1" x14ac:dyDescent="0.3">
      <c r="A486" t="s">
        <v>166</v>
      </c>
      <c r="B486" t="s">
        <v>75</v>
      </c>
      <c r="C486" s="6" t="s">
        <v>151</v>
      </c>
      <c r="D486" t="s">
        <v>49</v>
      </c>
      <c r="E486" s="27" t="e">
        <f t="shared" si="229"/>
        <v>#DIV/0!</v>
      </c>
      <c r="F486" s="27">
        <f t="shared" si="231"/>
        <v>8.6496341092743615E-5</v>
      </c>
      <c r="G486" s="29">
        <v>0</v>
      </c>
      <c r="H486" s="27">
        <f t="shared" si="231"/>
        <v>3.3334412183228416E-5</v>
      </c>
      <c r="I486" s="27">
        <f t="shared" si="231"/>
        <v>3.3334412183228416E-5</v>
      </c>
      <c r="J486" s="27">
        <f t="shared" si="231"/>
        <v>3.3334412183228416E-5</v>
      </c>
      <c r="K486" s="27">
        <f t="shared" si="231"/>
        <v>4.0109477820591895E-5</v>
      </c>
      <c r="L486" s="27">
        <f t="shared" si="231"/>
        <v>1.1398171461929839E-4</v>
      </c>
      <c r="M486" s="29">
        <v>0</v>
      </c>
      <c r="N486" s="27">
        <f t="shared" si="231"/>
        <v>3.3334412183228416E-5</v>
      </c>
      <c r="O486" s="27">
        <f t="shared" si="231"/>
        <v>3.3334412183228416E-5</v>
      </c>
      <c r="P486" s="27">
        <f t="shared" si="231"/>
        <v>3.3334412183228416E-5</v>
      </c>
      <c r="Q486" s="27">
        <f t="shared" si="231"/>
        <v>8.1281001768575747E-5</v>
      </c>
      <c r="R486" s="27">
        <f t="shared" si="231"/>
        <v>8.1281001768575747E-5</v>
      </c>
      <c r="S486" s="27">
        <f t="shared" si="231"/>
        <v>8.1281001768575747E-5</v>
      </c>
      <c r="T486" s="27">
        <f t="shared" si="231"/>
        <v>8.1281001768575747E-5</v>
      </c>
      <c r="U486" s="27">
        <f t="shared" si="231"/>
        <v>8.1281001768575747E-5</v>
      </c>
      <c r="V486" s="27">
        <f t="shared" si="231"/>
        <v>8.1281001768575747E-5</v>
      </c>
      <c r="W486" s="27">
        <f t="shared" si="231"/>
        <v>7.0896845090393477E-5</v>
      </c>
      <c r="X486" s="27">
        <f t="shared" si="231"/>
        <v>7.0896845090393477E-5</v>
      </c>
      <c r="Y486" s="27">
        <f t="shared" si="231"/>
        <v>7.0896845090393477E-5</v>
      </c>
    </row>
    <row r="487" spans="1:25" outlineLevel="1" x14ac:dyDescent="0.3">
      <c r="A487" t="s">
        <v>166</v>
      </c>
      <c r="B487" t="s">
        <v>76</v>
      </c>
      <c r="C487" s="6" t="s">
        <v>152</v>
      </c>
      <c r="D487" t="s">
        <v>49</v>
      </c>
      <c r="E487" s="27" t="e">
        <f t="shared" si="229"/>
        <v>#DIV/0!</v>
      </c>
      <c r="F487" s="27">
        <f t="shared" si="231"/>
        <v>1.0536770337696294E-4</v>
      </c>
      <c r="G487" s="29">
        <v>0</v>
      </c>
      <c r="H487" s="27">
        <f t="shared" si="231"/>
        <v>3.5104380971718414E-5</v>
      </c>
      <c r="I487" s="27">
        <f t="shared" si="231"/>
        <v>3.5104380971718414E-5</v>
      </c>
      <c r="J487" s="27">
        <f t="shared" si="231"/>
        <v>3.5104380971718414E-5</v>
      </c>
      <c r="K487" s="27">
        <f t="shared" si="231"/>
        <v>3.6041609134560042E-5</v>
      </c>
      <c r="L487" s="27">
        <f t="shared" si="231"/>
        <v>1.1686125267283858E-4</v>
      </c>
      <c r="M487" s="29">
        <v>0</v>
      </c>
      <c r="N487" s="27">
        <f t="shared" si="231"/>
        <v>3.5104380971718414E-5</v>
      </c>
      <c r="O487" s="27">
        <f t="shared" si="231"/>
        <v>3.5104380971718414E-5</v>
      </c>
      <c r="P487" s="27">
        <f t="shared" si="231"/>
        <v>3.5104380971718414E-5</v>
      </c>
      <c r="Q487" s="27">
        <f t="shared" si="231"/>
        <v>8.1500680151734063E-5</v>
      </c>
      <c r="R487" s="27">
        <f t="shared" si="231"/>
        <v>8.1500680151734063E-5</v>
      </c>
      <c r="S487" s="27">
        <f t="shared" si="231"/>
        <v>8.1500680151734063E-5</v>
      </c>
      <c r="T487" s="27">
        <f t="shared" si="231"/>
        <v>8.1500680151734063E-5</v>
      </c>
      <c r="U487" s="27">
        <f t="shared" si="231"/>
        <v>8.1500680151734063E-5</v>
      </c>
      <c r="V487" s="27">
        <f t="shared" si="231"/>
        <v>8.1500680151734063E-5</v>
      </c>
      <c r="W487" s="27">
        <f t="shared" si="231"/>
        <v>7.0896845090393477E-5</v>
      </c>
      <c r="X487" s="27">
        <f t="shared" si="231"/>
        <v>7.0896845090393477E-5</v>
      </c>
      <c r="Y487" s="27">
        <f t="shared" si="231"/>
        <v>7.0896845090393477E-5</v>
      </c>
    </row>
    <row r="488" spans="1:25" outlineLevel="1" x14ac:dyDescent="0.3">
      <c r="A488" t="s">
        <v>166</v>
      </c>
      <c r="B488" t="s">
        <v>77</v>
      </c>
      <c r="C488" s="6" t="s">
        <v>153</v>
      </c>
      <c r="D488" t="s">
        <v>49</v>
      </c>
      <c r="E488" s="27" t="e">
        <f t="shared" si="229"/>
        <v>#DIV/0!</v>
      </c>
      <c r="F488" s="27">
        <f t="shared" si="231"/>
        <v>1.16126993436451E-4</v>
      </c>
      <c r="G488" s="29">
        <v>0</v>
      </c>
      <c r="H488" s="27">
        <f t="shared" si="231"/>
        <v>3.5596038968521189E-5</v>
      </c>
      <c r="I488" s="27">
        <f t="shared" si="231"/>
        <v>3.5596038968521189E-5</v>
      </c>
      <c r="J488" s="27">
        <f t="shared" si="231"/>
        <v>3.5596038968521189E-5</v>
      </c>
      <c r="K488" s="27">
        <f t="shared" si="231"/>
        <v>3.2846482305536435E-5</v>
      </c>
      <c r="L488" s="27">
        <f t="shared" si="231"/>
        <v>1.2166048276207219E-4</v>
      </c>
      <c r="M488" s="29">
        <v>0</v>
      </c>
      <c r="N488" s="27">
        <f t="shared" si="231"/>
        <v>3.5596038968521189E-5</v>
      </c>
      <c r="O488" s="27">
        <f t="shared" si="231"/>
        <v>3.5596038968521189E-5</v>
      </c>
      <c r="P488" s="27">
        <f t="shared" si="231"/>
        <v>3.5596038968521189E-5</v>
      </c>
      <c r="Q488" s="27">
        <f t="shared" si="231"/>
        <v>8.1500680151734063E-5</v>
      </c>
      <c r="R488" s="27">
        <f t="shared" si="231"/>
        <v>8.1500680151734063E-5</v>
      </c>
      <c r="S488" s="27">
        <f t="shared" si="231"/>
        <v>8.1500680151734063E-5</v>
      </c>
      <c r="T488" s="27">
        <f t="shared" si="231"/>
        <v>8.1500680151734063E-5</v>
      </c>
      <c r="U488" s="27">
        <f t="shared" si="231"/>
        <v>8.1500680151734063E-5</v>
      </c>
      <c r="V488" s="27">
        <f t="shared" si="231"/>
        <v>8.1500680151734063E-5</v>
      </c>
      <c r="W488" s="27">
        <f t="shared" si="231"/>
        <v>7.0789911689050496E-5</v>
      </c>
      <c r="X488" s="27">
        <f t="shared" si="231"/>
        <v>7.0789911689050496E-5</v>
      </c>
      <c r="Y488" s="27">
        <f t="shared" si="231"/>
        <v>7.0789911689050496E-5</v>
      </c>
    </row>
    <row r="489" spans="1:25" outlineLevel="1" x14ac:dyDescent="0.3">
      <c r="A489" t="s">
        <v>166</v>
      </c>
      <c r="B489" t="s">
        <v>78</v>
      </c>
      <c r="C489" s="6" t="s">
        <v>154</v>
      </c>
      <c r="D489" t="s">
        <v>49</v>
      </c>
      <c r="E489" s="27" t="e">
        <f t="shared" si="229"/>
        <v>#DIV/0!</v>
      </c>
      <c r="F489" s="27">
        <f t="shared" si="231"/>
        <v>1.2394925952937853E-4</v>
      </c>
      <c r="G489" s="29">
        <v>0</v>
      </c>
      <c r="H489" s="27">
        <f t="shared" si="231"/>
        <v>3.6579354962126752E-5</v>
      </c>
      <c r="I489" s="27">
        <f t="shared" si="231"/>
        <v>3.6579354962126752E-5</v>
      </c>
      <c r="J489" s="27">
        <f t="shared" si="231"/>
        <v>3.6579354962126752E-5</v>
      </c>
      <c r="K489" s="27">
        <f t="shared" si="231"/>
        <v>3.0556180986550145E-5</v>
      </c>
      <c r="L489" s="27">
        <f t="shared" si="231"/>
        <v>1.2454002081561236E-4</v>
      </c>
      <c r="M489" s="29">
        <v>0</v>
      </c>
      <c r="N489" s="27">
        <f t="shared" si="231"/>
        <v>3.6579354962126752E-5</v>
      </c>
      <c r="O489" s="27">
        <f t="shared" si="231"/>
        <v>3.6579354962126752E-5</v>
      </c>
      <c r="P489" s="27">
        <f t="shared" si="231"/>
        <v>3.6579354962126752E-5</v>
      </c>
      <c r="Q489" s="27">
        <f t="shared" si="231"/>
        <v>8.1281001768575747E-5</v>
      </c>
      <c r="R489" s="27">
        <f t="shared" si="231"/>
        <v>8.1281001768575747E-5</v>
      </c>
      <c r="S489" s="27">
        <f t="shared" si="231"/>
        <v>8.1281001768575747E-5</v>
      </c>
      <c r="T489" s="27">
        <f t="shared" si="231"/>
        <v>8.1281001768575747E-5</v>
      </c>
      <c r="U489" s="27">
        <f t="shared" si="231"/>
        <v>8.1281001768575747E-5</v>
      </c>
      <c r="V489" s="27">
        <f t="shared" si="231"/>
        <v>8.1281001768575747E-5</v>
      </c>
      <c r="W489" s="27">
        <f t="shared" si="231"/>
        <v>7.0896845090393477E-5</v>
      </c>
      <c r="X489" s="27">
        <f t="shared" si="231"/>
        <v>7.0896845090393477E-5</v>
      </c>
      <c r="Y489" s="27">
        <f t="shared" si="231"/>
        <v>7.0896845090393477E-5</v>
      </c>
    </row>
    <row r="490" spans="1:25" outlineLevel="1" x14ac:dyDescent="0.3">
      <c r="A490" t="s">
        <v>166</v>
      </c>
      <c r="B490" t="s">
        <v>79</v>
      </c>
      <c r="C490" s="6" t="s">
        <v>155</v>
      </c>
      <c r="D490" t="s">
        <v>49</v>
      </c>
      <c r="E490" s="27" t="e">
        <f t="shared" si="229"/>
        <v>#DIV/0!</v>
      </c>
      <c r="F490" s="27">
        <f t="shared" si="231"/>
        <v>1.323564401826997E-4</v>
      </c>
      <c r="G490" s="29">
        <v>0</v>
      </c>
      <c r="H490" s="27">
        <f t="shared" si="231"/>
        <v>3.952930294294343E-5</v>
      </c>
      <c r="I490" s="27">
        <f t="shared" si="231"/>
        <v>3.952930294294343E-5</v>
      </c>
      <c r="J490" s="27">
        <f t="shared" si="231"/>
        <v>3.952930294294343E-5</v>
      </c>
      <c r="K490" s="27">
        <f t="shared" si="231"/>
        <v>2.8503613038171602E-5</v>
      </c>
      <c r="L490" s="27">
        <f t="shared" si="231"/>
        <v>1.2334021329330397E-4</v>
      </c>
      <c r="M490" s="29">
        <v>0</v>
      </c>
      <c r="N490" s="27">
        <f t="shared" si="231"/>
        <v>3.952930294294343E-5</v>
      </c>
      <c r="O490" s="27">
        <f t="shared" si="231"/>
        <v>3.952930294294343E-5</v>
      </c>
      <c r="P490" s="27">
        <f t="shared" si="231"/>
        <v>3.952930294294343E-5</v>
      </c>
      <c r="Q490" s="27">
        <f t="shared" si="231"/>
        <v>9.7756880505449209E-5</v>
      </c>
      <c r="R490" s="27">
        <f t="shared" si="231"/>
        <v>9.7756880505449209E-5</v>
      </c>
      <c r="S490" s="27">
        <f t="shared" si="231"/>
        <v>9.7756880505449209E-5</v>
      </c>
      <c r="T490" s="27">
        <f t="shared" si="231"/>
        <v>9.7756880505449209E-5</v>
      </c>
      <c r="U490" s="27">
        <f t="shared" si="231"/>
        <v>9.7756880505449209E-5</v>
      </c>
      <c r="V490" s="27">
        <f t="shared" si="231"/>
        <v>9.7756880505449209E-5</v>
      </c>
      <c r="W490" s="27">
        <f t="shared" si="231"/>
        <v>7.1217645294422409E-5</v>
      </c>
      <c r="X490" s="27">
        <f t="shared" si="231"/>
        <v>7.1217645294422409E-5</v>
      </c>
      <c r="Y490" s="27">
        <f t="shared" si="231"/>
        <v>7.1217645294422409E-5</v>
      </c>
    </row>
    <row r="491" spans="1:25" outlineLevel="1" x14ac:dyDescent="0.3">
      <c r="A491" t="s">
        <v>166</v>
      </c>
      <c r="B491" t="s">
        <v>80</v>
      </c>
      <c r="C491" s="6" t="s">
        <v>156</v>
      </c>
      <c r="D491" t="s">
        <v>49</v>
      </c>
      <c r="E491" s="27" t="e">
        <f t="shared" si="229"/>
        <v>#DIV/0!</v>
      </c>
      <c r="F491" s="27">
        <f t="shared" si="231"/>
        <v>1.352857151458725E-4</v>
      </c>
      <c r="G491" s="29">
        <v>0</v>
      </c>
      <c r="H491" s="27">
        <f t="shared" si="231"/>
        <v>4.5429198904576771E-5</v>
      </c>
      <c r="I491" s="27">
        <f t="shared" si="231"/>
        <v>4.5429198904576771E-5</v>
      </c>
      <c r="J491" s="27">
        <f t="shared" si="231"/>
        <v>4.5429198904576771E-5</v>
      </c>
      <c r="K491" s="27">
        <f t="shared" si="231"/>
        <v>2.6709950951165616E-5</v>
      </c>
      <c r="L491" s="27">
        <f t="shared" si="231"/>
        <v>1.1854098320407034E-4</v>
      </c>
      <c r="M491" s="29">
        <v>0</v>
      </c>
      <c r="N491" s="27">
        <f t="shared" si="231"/>
        <v>4.5429198904576771E-5</v>
      </c>
      <c r="O491" s="27">
        <f t="shared" si="231"/>
        <v>4.5429198904576771E-5</v>
      </c>
      <c r="P491" s="27">
        <f t="shared" si="231"/>
        <v>4.5429198904576771E-5</v>
      </c>
      <c r="Q491" s="27">
        <f t="shared" si="231"/>
        <v>1.0907031723810232E-4</v>
      </c>
      <c r="R491" s="27">
        <f t="shared" si="231"/>
        <v>1.0907031723810232E-4</v>
      </c>
      <c r="S491" s="27">
        <f t="shared" si="231"/>
        <v>1.0907031723810232E-4</v>
      </c>
      <c r="T491" s="27">
        <f t="shared" si="231"/>
        <v>1.0907031723810232E-4</v>
      </c>
      <c r="U491" s="27">
        <f t="shared" si="231"/>
        <v>1.0907031723810232E-4</v>
      </c>
      <c r="V491" s="27">
        <f t="shared" si="231"/>
        <v>1.0907031723810232E-4</v>
      </c>
      <c r="W491" s="27">
        <f t="shared" si="231"/>
        <v>7.153844549845134E-5</v>
      </c>
      <c r="X491" s="27">
        <f t="shared" si="231"/>
        <v>7.153844549845134E-5</v>
      </c>
      <c r="Y491" s="27">
        <f t="shared" si="231"/>
        <v>7.153844549845134E-5</v>
      </c>
    </row>
    <row r="492" spans="1:25" outlineLevel="1" x14ac:dyDescent="0.3">
      <c r="A492" t="s">
        <v>166</v>
      </c>
      <c r="B492" t="s">
        <v>81</v>
      </c>
      <c r="C492" s="6" t="s">
        <v>157</v>
      </c>
      <c r="D492" t="s">
        <v>49</v>
      </c>
      <c r="E492" s="27" t="e">
        <f t="shared" si="229"/>
        <v>#DIV/0!</v>
      </c>
      <c r="F492" s="27">
        <f t="shared" si="231"/>
        <v>1.3249023084799881E-4</v>
      </c>
      <c r="G492" s="29">
        <v>0</v>
      </c>
      <c r="H492" s="27">
        <f t="shared" si="231"/>
        <v>1.3333764873291366E-4</v>
      </c>
      <c r="I492" s="27">
        <f t="shared" si="231"/>
        <v>1.3333764873291366E-4</v>
      </c>
      <c r="J492" s="27">
        <f t="shared" si="231"/>
        <v>1.3333764873291366E-4</v>
      </c>
      <c r="K492" s="27">
        <f t="shared" si="231"/>
        <v>3.025121249002328E-5</v>
      </c>
      <c r="L492" s="27">
        <f t="shared" si="231"/>
        <v>1.101423305479115E-4</v>
      </c>
      <c r="M492" s="29">
        <v>0</v>
      </c>
      <c r="N492" s="27">
        <f t="shared" si="231"/>
        <v>1.3333764873291366E-4</v>
      </c>
      <c r="O492" s="27">
        <f t="shared" si="231"/>
        <v>1.3333764873291366E-4</v>
      </c>
      <c r="P492" s="27">
        <f t="shared" si="231"/>
        <v>1.3333764873291366E-4</v>
      </c>
      <c r="Q492" s="27">
        <f t="shared" si="231"/>
        <v>1.0994903077073557E-4</v>
      </c>
      <c r="R492" s="27">
        <f t="shared" si="231"/>
        <v>1.0994903077073557E-4</v>
      </c>
      <c r="S492" s="27">
        <f t="shared" si="231"/>
        <v>1.0994903077073557E-4</v>
      </c>
      <c r="T492" s="27">
        <f t="shared" si="231"/>
        <v>1.0994903077073557E-4</v>
      </c>
      <c r="U492" s="27">
        <f t="shared" si="231"/>
        <v>1.0994903077073557E-4</v>
      </c>
      <c r="V492" s="27">
        <f t="shared" si="231"/>
        <v>1.0994903077073557E-4</v>
      </c>
      <c r="W492" s="27">
        <f t="shared" si="231"/>
        <v>7.1752312301137303E-5</v>
      </c>
      <c r="X492" s="27">
        <f t="shared" si="231"/>
        <v>7.1752312301137303E-5</v>
      </c>
      <c r="Y492" s="27">
        <f t="shared" si="231"/>
        <v>7.1752312301137303E-5</v>
      </c>
    </row>
    <row r="493" spans="1:25" outlineLevel="1" x14ac:dyDescent="0.3">
      <c r="A493" t="s">
        <v>166</v>
      </c>
      <c r="B493" t="s">
        <v>82</v>
      </c>
      <c r="C493" s="6" t="s">
        <v>158</v>
      </c>
      <c r="D493" t="s">
        <v>49</v>
      </c>
      <c r="E493" s="27" t="e">
        <f t="shared" si="229"/>
        <v>#DIV/0!</v>
      </c>
      <c r="F493" s="27">
        <f t="shared" si="231"/>
        <v>1.2343675693255685E-4</v>
      </c>
      <c r="G493" s="29">
        <v>0</v>
      </c>
      <c r="H493" s="27">
        <f t="shared" si="231"/>
        <v>1.7158864088416984E-4</v>
      </c>
      <c r="I493" s="27">
        <f t="shared" si="231"/>
        <v>1.7158864088416984E-4</v>
      </c>
      <c r="J493" s="27">
        <f t="shared" si="231"/>
        <v>1.7158864088416984E-4</v>
      </c>
      <c r="K493" s="27">
        <f t="shared" si="231"/>
        <v>3.7290937213815714E-5</v>
      </c>
      <c r="L493" s="27">
        <f t="shared" si="231"/>
        <v>1.003039088649826E-4</v>
      </c>
      <c r="M493" s="29">
        <v>0</v>
      </c>
      <c r="N493" s="27">
        <f t="shared" si="231"/>
        <v>1.7158864088416984E-4</v>
      </c>
      <c r="O493" s="27">
        <f t="shared" si="231"/>
        <v>1.7158864088416984E-4</v>
      </c>
      <c r="P493" s="27">
        <f t="shared" si="231"/>
        <v>1.7158864088416984E-4</v>
      </c>
      <c r="Q493" s="27">
        <f t="shared" si="231"/>
        <v>9.9514307570715705E-5</v>
      </c>
      <c r="R493" s="27">
        <f t="shared" si="231"/>
        <v>9.9514307570715705E-5</v>
      </c>
      <c r="S493" s="27">
        <f t="shared" si="231"/>
        <v>9.9514307570715705E-5</v>
      </c>
      <c r="T493" s="27">
        <f t="shared" si="231"/>
        <v>9.9514307570715705E-5</v>
      </c>
      <c r="U493" s="27">
        <f t="shared" si="231"/>
        <v>9.9514307570715705E-5</v>
      </c>
      <c r="V493" s="27">
        <f t="shared" si="231"/>
        <v>9.9514307570715705E-5</v>
      </c>
      <c r="W493" s="27">
        <f t="shared" si="231"/>
        <v>7.153844549845134E-5</v>
      </c>
      <c r="X493" s="27">
        <f t="shared" si="231"/>
        <v>7.153844549845134E-5</v>
      </c>
      <c r="Y493" s="27">
        <f t="shared" si="231"/>
        <v>7.153844549845134E-5</v>
      </c>
    </row>
    <row r="494" spans="1:25" outlineLevel="1" x14ac:dyDescent="0.3">
      <c r="A494" t="s">
        <v>166</v>
      </c>
      <c r="B494" t="s">
        <v>83</v>
      </c>
      <c r="C494" s="6" t="s">
        <v>159</v>
      </c>
      <c r="D494" t="s">
        <v>49</v>
      </c>
      <c r="E494" s="27" t="e">
        <f t="shared" si="229"/>
        <v>#DIV/0!</v>
      </c>
      <c r="F494" s="27">
        <f t="shared" si="231"/>
        <v>1.0769546442525115E-4</v>
      </c>
      <c r="G494" s="29">
        <v>0</v>
      </c>
      <c r="H494" s="27">
        <f t="shared" si="231"/>
        <v>1.8466674359912376E-4</v>
      </c>
      <c r="I494" s="27">
        <f t="shared" si="231"/>
        <v>1.8466674359912376E-4</v>
      </c>
      <c r="J494" s="27">
        <f t="shared" si="231"/>
        <v>1.8466674359912376E-4</v>
      </c>
      <c r="K494" s="27">
        <f t="shared" si="231"/>
        <v>4.5121993225201619E-5</v>
      </c>
      <c r="L494" s="27">
        <f t="shared" si="231"/>
        <v>8.8785756650821911E-5</v>
      </c>
      <c r="M494" s="29">
        <v>0</v>
      </c>
      <c r="N494" s="27">
        <f t="shared" si="231"/>
        <v>1.8466674359912376E-4</v>
      </c>
      <c r="O494" s="27">
        <f t="shared" si="231"/>
        <v>1.8466674359912376E-4</v>
      </c>
      <c r="P494" s="27">
        <f t="shared" ref="F494:Y507" si="232">P292/P$398</f>
        <v>1.8466674359912376E-4</v>
      </c>
      <c r="Q494" s="27">
        <f t="shared" si="232"/>
        <v>8.2379393684367311E-5</v>
      </c>
      <c r="R494" s="27">
        <f t="shared" si="232"/>
        <v>8.2379393684367311E-5</v>
      </c>
      <c r="S494" s="27">
        <f t="shared" si="232"/>
        <v>8.2379393684367311E-5</v>
      </c>
      <c r="T494" s="27">
        <f t="shared" si="232"/>
        <v>8.2379393684367311E-5</v>
      </c>
      <c r="U494" s="27">
        <f t="shared" si="232"/>
        <v>8.2379393684367311E-5</v>
      </c>
      <c r="V494" s="27">
        <f t="shared" si="232"/>
        <v>8.2379393684367311E-5</v>
      </c>
      <c r="W494" s="27">
        <f t="shared" si="232"/>
        <v>7.132457869576539E-5</v>
      </c>
      <c r="X494" s="27">
        <f t="shared" si="232"/>
        <v>7.132457869576539E-5</v>
      </c>
      <c r="Y494" s="27">
        <f t="shared" si="232"/>
        <v>7.132457869576539E-5</v>
      </c>
    </row>
    <row r="495" spans="1:25" outlineLevel="1" x14ac:dyDescent="0.3">
      <c r="A495" t="s">
        <v>166</v>
      </c>
      <c r="B495" t="s">
        <v>84</v>
      </c>
      <c r="C495" s="6" t="s">
        <v>160</v>
      </c>
      <c r="D495" t="s">
        <v>49</v>
      </c>
      <c r="E495" s="27" t="e">
        <f t="shared" si="229"/>
        <v>#DIV/0!</v>
      </c>
      <c r="F495" s="27">
        <f t="shared" si="232"/>
        <v>8.9933535199670478E-5</v>
      </c>
      <c r="G495" s="29">
        <v>0</v>
      </c>
      <c r="H495" s="27">
        <f t="shared" si="232"/>
        <v>1.8761669157994044E-4</v>
      </c>
      <c r="I495" s="27">
        <f t="shared" si="232"/>
        <v>1.8761669157994044E-4</v>
      </c>
      <c r="J495" s="27">
        <f t="shared" si="232"/>
        <v>1.8761669157994044E-4</v>
      </c>
      <c r="K495" s="27">
        <f t="shared" si="232"/>
        <v>5.6836954517851216E-5</v>
      </c>
      <c r="L495" s="27">
        <f t="shared" si="232"/>
        <v>7.8947334967892997E-5</v>
      </c>
      <c r="M495" s="29">
        <v>0</v>
      </c>
      <c r="N495" s="27">
        <f t="shared" si="232"/>
        <v>1.8761669157994044E-4</v>
      </c>
      <c r="O495" s="27">
        <f t="shared" si="232"/>
        <v>1.8761669157994044E-4</v>
      </c>
      <c r="P495" s="27">
        <f t="shared" si="232"/>
        <v>1.8761669157994044E-4</v>
      </c>
      <c r="Q495" s="27">
        <f t="shared" si="232"/>
        <v>8.1281001768575747E-5</v>
      </c>
      <c r="R495" s="27">
        <f t="shared" si="232"/>
        <v>8.1281001768575747E-5</v>
      </c>
      <c r="S495" s="27">
        <f t="shared" si="232"/>
        <v>8.1281001768575747E-5</v>
      </c>
      <c r="T495" s="27">
        <f t="shared" si="232"/>
        <v>8.1281001768575747E-5</v>
      </c>
      <c r="U495" s="27">
        <f t="shared" si="232"/>
        <v>8.1281001768575747E-5</v>
      </c>
      <c r="V495" s="27">
        <f t="shared" si="232"/>
        <v>8.1281001768575747E-5</v>
      </c>
      <c r="W495" s="27">
        <f t="shared" si="232"/>
        <v>7.0896845090393477E-5</v>
      </c>
      <c r="X495" s="27">
        <f t="shared" si="232"/>
        <v>7.0896845090393477E-5</v>
      </c>
      <c r="Y495" s="27">
        <f t="shared" si="232"/>
        <v>7.0896845090393477E-5</v>
      </c>
    </row>
    <row r="496" spans="1:25" outlineLevel="1" x14ac:dyDescent="0.3">
      <c r="A496" t="s">
        <v>166</v>
      </c>
      <c r="B496" t="s">
        <v>85</v>
      </c>
      <c r="C496" s="6" t="s">
        <v>161</v>
      </c>
      <c r="D496" t="s">
        <v>49</v>
      </c>
      <c r="E496" s="27" t="e">
        <f t="shared" si="229"/>
        <v>#DIV/0!</v>
      </c>
      <c r="F496" s="27">
        <f t="shared" si="232"/>
        <v>7.2624655578962388E-5</v>
      </c>
      <c r="G496" s="29">
        <v>0</v>
      </c>
      <c r="H496" s="27">
        <f t="shared" si="232"/>
        <v>1.5359395820118815E-4</v>
      </c>
      <c r="I496" s="27">
        <f t="shared" si="232"/>
        <v>1.5359395820118815E-4</v>
      </c>
      <c r="J496" s="27">
        <f t="shared" si="232"/>
        <v>1.5359395820118815E-4</v>
      </c>
      <c r="K496" s="27">
        <f t="shared" si="232"/>
        <v>4.552380206492691E-5</v>
      </c>
      <c r="L496" s="27">
        <f t="shared" si="232"/>
        <v>7.0068759302810806E-5</v>
      </c>
      <c r="M496" s="29">
        <v>0</v>
      </c>
      <c r="N496" s="27">
        <f t="shared" si="232"/>
        <v>1.5359395820118815E-4</v>
      </c>
      <c r="O496" s="27">
        <f t="shared" si="232"/>
        <v>1.5359395820118815E-4</v>
      </c>
      <c r="P496" s="27">
        <f t="shared" si="232"/>
        <v>1.5359395820118815E-4</v>
      </c>
      <c r="Q496" s="27">
        <f t="shared" si="232"/>
        <v>8.0621966619100801E-5</v>
      </c>
      <c r="R496" s="27">
        <f t="shared" si="232"/>
        <v>8.0621966619100801E-5</v>
      </c>
      <c r="S496" s="27">
        <f t="shared" si="232"/>
        <v>8.0621966619100801E-5</v>
      </c>
      <c r="T496" s="27">
        <f t="shared" si="232"/>
        <v>8.0621966619100801E-5</v>
      </c>
      <c r="U496" s="27">
        <f t="shared" si="232"/>
        <v>8.0621966619100801E-5</v>
      </c>
      <c r="V496" s="27">
        <f t="shared" si="232"/>
        <v>8.0621966619100801E-5</v>
      </c>
      <c r="W496" s="27">
        <f t="shared" si="232"/>
        <v>7.0682978287707528E-5</v>
      </c>
      <c r="X496" s="27">
        <f t="shared" si="232"/>
        <v>7.0682978287707528E-5</v>
      </c>
      <c r="Y496" s="27">
        <f t="shared" si="232"/>
        <v>7.0682978287707528E-5</v>
      </c>
    </row>
    <row r="497" spans="1:25" outlineLevel="1" x14ac:dyDescent="0.3">
      <c r="A497" t="s">
        <v>166</v>
      </c>
      <c r="B497" t="s">
        <v>86</v>
      </c>
      <c r="C497" s="6" t="s">
        <v>162</v>
      </c>
      <c r="D497" t="s">
        <v>49</v>
      </c>
      <c r="E497" s="27" t="e">
        <f t="shared" si="229"/>
        <v>#DIV/0!</v>
      </c>
      <c r="F497" s="27">
        <f t="shared" si="232"/>
        <v>5.7364223355070552E-5</v>
      </c>
      <c r="G497" s="29">
        <v>0</v>
      </c>
      <c r="H497" s="27">
        <f t="shared" si="232"/>
        <v>9.1251724206595772E-5</v>
      </c>
      <c r="I497" s="27">
        <f t="shared" si="232"/>
        <v>9.1251724206595772E-5</v>
      </c>
      <c r="J497" s="27">
        <f t="shared" si="232"/>
        <v>9.1251724206595772E-5</v>
      </c>
      <c r="K497" s="27">
        <f t="shared" si="232"/>
        <v>4.5720731920142051E-5</v>
      </c>
      <c r="L497" s="27">
        <f t="shared" si="232"/>
        <v>6.1670106646651983E-5</v>
      </c>
      <c r="M497" s="29">
        <v>0</v>
      </c>
      <c r="N497" s="27">
        <f t="shared" si="232"/>
        <v>9.1251724206595772E-5</v>
      </c>
      <c r="O497" s="27">
        <f t="shared" si="232"/>
        <v>9.1251724206595772E-5</v>
      </c>
      <c r="P497" s="27">
        <f t="shared" si="232"/>
        <v>9.1251724206595772E-5</v>
      </c>
      <c r="Q497" s="27">
        <f t="shared" si="232"/>
        <v>7.9962931469625869E-5</v>
      </c>
      <c r="R497" s="27">
        <f t="shared" si="232"/>
        <v>7.9962931469625869E-5</v>
      </c>
      <c r="S497" s="27">
        <f t="shared" si="232"/>
        <v>7.9962931469625869E-5</v>
      </c>
      <c r="T497" s="27">
        <f t="shared" si="232"/>
        <v>7.9962931469625869E-5</v>
      </c>
      <c r="U497" s="27">
        <f t="shared" si="232"/>
        <v>7.9962931469625869E-5</v>
      </c>
      <c r="V497" s="27">
        <f t="shared" si="232"/>
        <v>7.9962931469625869E-5</v>
      </c>
      <c r="W497" s="27">
        <f t="shared" si="232"/>
        <v>7.0255244682335615E-5</v>
      </c>
      <c r="X497" s="27">
        <f t="shared" si="232"/>
        <v>7.0255244682335615E-5</v>
      </c>
      <c r="Y497" s="27">
        <f t="shared" si="232"/>
        <v>7.0255244682335615E-5</v>
      </c>
    </row>
    <row r="498" spans="1:25" outlineLevel="1" x14ac:dyDescent="0.3">
      <c r="A498" t="s">
        <v>166</v>
      </c>
      <c r="B498" t="s">
        <v>87</v>
      </c>
      <c r="C498" s="6" t="s">
        <v>163</v>
      </c>
      <c r="D498" t="s">
        <v>49</v>
      </c>
      <c r="E498" s="27" t="e">
        <f t="shared" si="229"/>
        <v>#DIV/0!</v>
      </c>
      <c r="F498" s="27">
        <f t="shared" si="232"/>
        <v>4.5819329439792025E-5</v>
      </c>
      <c r="G498" s="29">
        <v>0</v>
      </c>
      <c r="H498" s="27">
        <f t="shared" si="232"/>
        <v>4.7985820487951224E-5</v>
      </c>
      <c r="I498" s="27">
        <f t="shared" si="232"/>
        <v>4.7985820487951224E-5</v>
      </c>
      <c r="J498" s="27">
        <f t="shared" si="232"/>
        <v>4.7985820487951224E-5</v>
      </c>
      <c r="K498" s="27">
        <f t="shared" si="232"/>
        <v>4.8203232909040564E-5</v>
      </c>
      <c r="L498" s="27">
        <f t="shared" si="232"/>
        <v>5.3055608617229862E-5</v>
      </c>
      <c r="M498" s="29">
        <v>0</v>
      </c>
      <c r="N498" s="27">
        <f t="shared" si="232"/>
        <v>4.7985820487951224E-5</v>
      </c>
      <c r="O498" s="27">
        <f t="shared" si="232"/>
        <v>4.7985820487951224E-5</v>
      </c>
      <c r="P498" s="27">
        <f t="shared" si="232"/>
        <v>4.7985820487951224E-5</v>
      </c>
      <c r="Q498" s="27">
        <f t="shared" si="232"/>
        <v>5.3601525490628331E-5</v>
      </c>
      <c r="R498" s="27">
        <f t="shared" si="232"/>
        <v>5.3601525490628331E-5</v>
      </c>
      <c r="S498" s="27">
        <f t="shared" si="232"/>
        <v>5.3601525490628331E-5</v>
      </c>
      <c r="T498" s="27">
        <f t="shared" si="232"/>
        <v>5.3601525490628331E-5</v>
      </c>
      <c r="U498" s="27">
        <f t="shared" si="232"/>
        <v>5.3601525490628331E-5</v>
      </c>
      <c r="V498" s="27">
        <f t="shared" si="232"/>
        <v>5.3601525490628331E-5</v>
      </c>
      <c r="W498" s="27">
        <f t="shared" si="232"/>
        <v>7.0041377879649652E-5</v>
      </c>
      <c r="X498" s="27">
        <f t="shared" si="232"/>
        <v>7.0041377879649652E-5</v>
      </c>
      <c r="Y498" s="27">
        <f t="shared" si="232"/>
        <v>7.0041377879649652E-5</v>
      </c>
    </row>
    <row r="499" spans="1:25" outlineLevel="1" x14ac:dyDescent="0.3">
      <c r="A499" t="s">
        <v>139</v>
      </c>
      <c r="B499" t="s">
        <v>64</v>
      </c>
      <c r="C499" s="6" t="s">
        <v>140</v>
      </c>
      <c r="D499" t="s">
        <v>48</v>
      </c>
      <c r="E499" s="27" t="e">
        <f t="shared" si="229"/>
        <v>#DIV/0!</v>
      </c>
      <c r="F499" s="27">
        <f t="shared" si="232"/>
        <v>1.4686151201338462E-5</v>
      </c>
      <c r="G499" s="29">
        <v>0</v>
      </c>
      <c r="H499" s="27">
        <f t="shared" si="232"/>
        <v>1.0663242520657606E-4</v>
      </c>
      <c r="I499" s="27">
        <f t="shared" si="232"/>
        <v>1.0663242520657606E-4</v>
      </c>
      <c r="J499" s="27">
        <f t="shared" si="232"/>
        <v>1.0663242520657606E-4</v>
      </c>
      <c r="K499" s="27">
        <f t="shared" si="232"/>
        <v>1.7847676175005602E-4</v>
      </c>
      <c r="L499" s="27">
        <f t="shared" si="232"/>
        <v>4.5957212702266581E-5</v>
      </c>
      <c r="M499" s="29">
        <v>0</v>
      </c>
      <c r="N499" s="27">
        <f t="shared" si="232"/>
        <v>1.0663242520657606E-4</v>
      </c>
      <c r="O499" s="27">
        <f t="shared" si="232"/>
        <v>1.0663242520657606E-4</v>
      </c>
      <c r="P499" s="27">
        <f t="shared" si="232"/>
        <v>1.0663242520657606E-4</v>
      </c>
      <c r="Q499" s="27">
        <f t="shared" si="232"/>
        <v>1.0381298637671222E-4</v>
      </c>
      <c r="R499" s="27">
        <f t="shared" si="232"/>
        <v>1.0381298637671222E-4</v>
      </c>
      <c r="S499" s="27">
        <f t="shared" si="232"/>
        <v>1.0381298637671222E-4</v>
      </c>
      <c r="T499" s="27">
        <f t="shared" si="232"/>
        <v>1.0381298637671222E-4</v>
      </c>
      <c r="U499" s="27">
        <f t="shared" si="232"/>
        <v>1.0381298637671222E-4</v>
      </c>
      <c r="V499" s="27">
        <f t="shared" si="232"/>
        <v>1.0381298637671222E-4</v>
      </c>
      <c r="W499" s="27">
        <f t="shared" si="232"/>
        <v>1.8272541991707082E-4</v>
      </c>
      <c r="X499" s="27">
        <f t="shared" si="232"/>
        <v>1.8272541991707082E-4</v>
      </c>
      <c r="Y499" s="27">
        <f t="shared" si="232"/>
        <v>1.8272541991707082E-4</v>
      </c>
    </row>
    <row r="500" spans="1:25" outlineLevel="1" x14ac:dyDescent="0.3">
      <c r="A500" t="s">
        <v>139</v>
      </c>
      <c r="B500" t="s">
        <v>65</v>
      </c>
      <c r="C500" s="6" t="s">
        <v>141</v>
      </c>
      <c r="D500" t="s">
        <v>48</v>
      </c>
      <c r="E500" s="27" t="e">
        <f t="shared" si="229"/>
        <v>#DIV/0!</v>
      </c>
      <c r="F500" s="27">
        <f t="shared" si="232"/>
        <v>1.1800982722767286E-5</v>
      </c>
      <c r="G500" s="29">
        <v>0</v>
      </c>
      <c r="H500" s="27">
        <f t="shared" si="232"/>
        <v>9.2153931680926456E-5</v>
      </c>
      <c r="I500" s="27">
        <f t="shared" si="232"/>
        <v>9.2153931680926456E-5</v>
      </c>
      <c r="J500" s="27">
        <f t="shared" si="232"/>
        <v>9.2153931680926456E-5</v>
      </c>
      <c r="K500" s="27">
        <f t="shared" si="232"/>
        <v>1.6751106298479874E-4</v>
      </c>
      <c r="L500" s="27">
        <f t="shared" si="232"/>
        <v>4.4494883161406743E-5</v>
      </c>
      <c r="M500" s="29">
        <v>0</v>
      </c>
      <c r="N500" s="27">
        <f t="shared" si="232"/>
        <v>9.2153931680926456E-5</v>
      </c>
      <c r="O500" s="27">
        <f t="shared" si="232"/>
        <v>9.2153931680926456E-5</v>
      </c>
      <c r="P500" s="27">
        <f t="shared" si="232"/>
        <v>9.2153931680926456E-5</v>
      </c>
      <c r="Q500" s="27">
        <f t="shared" si="232"/>
        <v>1.0314662861446532E-4</v>
      </c>
      <c r="R500" s="27">
        <f t="shared" si="232"/>
        <v>1.0314662861446532E-4</v>
      </c>
      <c r="S500" s="27">
        <f t="shared" si="232"/>
        <v>1.0314662861446532E-4</v>
      </c>
      <c r="T500" s="27">
        <f t="shared" si="232"/>
        <v>1.0314662861446532E-4</v>
      </c>
      <c r="U500" s="27">
        <f t="shared" si="232"/>
        <v>1.0314662861446532E-4</v>
      </c>
      <c r="V500" s="27">
        <f t="shared" si="232"/>
        <v>1.0314662861446532E-4</v>
      </c>
      <c r="W500" s="27">
        <f t="shared" si="232"/>
        <v>1.8272541991707082E-4</v>
      </c>
      <c r="X500" s="27">
        <f t="shared" si="232"/>
        <v>1.8272541991707082E-4</v>
      </c>
      <c r="Y500" s="27">
        <f t="shared" si="232"/>
        <v>1.8272541991707082E-4</v>
      </c>
    </row>
    <row r="501" spans="1:25" outlineLevel="1" x14ac:dyDescent="0.3">
      <c r="A501" t="s">
        <v>139</v>
      </c>
      <c r="B501" t="s">
        <v>66</v>
      </c>
      <c r="C501" s="6" t="s">
        <v>142</v>
      </c>
      <c r="D501" t="s">
        <v>48</v>
      </c>
      <c r="E501" s="27" t="e">
        <f t="shared" si="229"/>
        <v>#DIV/0!</v>
      </c>
      <c r="F501" s="27">
        <f t="shared" si="232"/>
        <v>1.0991283130272411E-5</v>
      </c>
      <c r="G501" s="29">
        <v>0</v>
      </c>
      <c r="H501" s="27">
        <f t="shared" si="232"/>
        <v>8.9004124178122799E-5</v>
      </c>
      <c r="I501" s="27">
        <f t="shared" si="232"/>
        <v>8.9004124178122799E-5</v>
      </c>
      <c r="J501" s="27">
        <f t="shared" si="232"/>
        <v>8.9004124178122799E-5</v>
      </c>
      <c r="K501" s="27">
        <f t="shared" si="232"/>
        <v>1.5062396940007807E-4</v>
      </c>
      <c r="L501" s="27">
        <f t="shared" si="232"/>
        <v>4.3944397205793327E-5</v>
      </c>
      <c r="M501" s="29">
        <v>0</v>
      </c>
      <c r="N501" s="27">
        <f t="shared" si="232"/>
        <v>8.9004124178122799E-5</v>
      </c>
      <c r="O501" s="27">
        <f t="shared" si="232"/>
        <v>8.9004124178122799E-5</v>
      </c>
      <c r="P501" s="27">
        <f t="shared" si="232"/>
        <v>8.9004124178122799E-5</v>
      </c>
      <c r="Q501" s="27">
        <f t="shared" si="232"/>
        <v>1.0295227426714332E-4</v>
      </c>
      <c r="R501" s="27">
        <f t="shared" si="232"/>
        <v>1.0295227426714332E-4</v>
      </c>
      <c r="S501" s="27">
        <f t="shared" si="232"/>
        <v>1.0295227426714332E-4</v>
      </c>
      <c r="T501" s="27">
        <f t="shared" si="232"/>
        <v>1.0295227426714332E-4</v>
      </c>
      <c r="U501" s="27">
        <f t="shared" si="232"/>
        <v>1.0295227426714332E-4</v>
      </c>
      <c r="V501" s="27">
        <f t="shared" si="232"/>
        <v>1.0295227426714332E-4</v>
      </c>
      <c r="W501" s="27">
        <f t="shared" si="232"/>
        <v>1.8272541991707082E-4</v>
      </c>
      <c r="X501" s="27">
        <f t="shared" si="232"/>
        <v>1.8272541991707082E-4</v>
      </c>
      <c r="Y501" s="27">
        <f t="shared" si="232"/>
        <v>1.8272541991707082E-4</v>
      </c>
    </row>
    <row r="502" spans="1:25" outlineLevel="1" x14ac:dyDescent="0.3">
      <c r="A502" t="s">
        <v>139</v>
      </c>
      <c r="B502" t="s">
        <v>67</v>
      </c>
      <c r="C502" s="6" t="s">
        <v>143</v>
      </c>
      <c r="D502" t="s">
        <v>48</v>
      </c>
      <c r="E502" s="27" t="e">
        <f t="shared" si="229"/>
        <v>#DIV/0!</v>
      </c>
      <c r="F502" s="27">
        <f t="shared" si="232"/>
        <v>1.1980423261640582E-5</v>
      </c>
      <c r="G502" s="29">
        <v>0</v>
      </c>
      <c r="H502" s="27">
        <f t="shared" si="232"/>
        <v>8.8928996787636345E-5</v>
      </c>
      <c r="I502" s="27">
        <f t="shared" si="232"/>
        <v>8.8928996787636345E-5</v>
      </c>
      <c r="J502" s="27">
        <f t="shared" si="232"/>
        <v>8.8928996787636345E-5</v>
      </c>
      <c r="K502" s="27">
        <f t="shared" si="232"/>
        <v>1.5751772794333856E-4</v>
      </c>
      <c r="L502" s="27">
        <f t="shared" si="232"/>
        <v>4.389345144537288E-5</v>
      </c>
      <c r="M502" s="29">
        <v>0</v>
      </c>
      <c r="N502" s="27">
        <f t="shared" si="232"/>
        <v>8.8928996787636345E-5</v>
      </c>
      <c r="O502" s="27">
        <f t="shared" si="232"/>
        <v>8.8928996787636345E-5</v>
      </c>
      <c r="P502" s="27">
        <f t="shared" si="232"/>
        <v>8.8928996787636345E-5</v>
      </c>
      <c r="Q502" s="27">
        <f t="shared" si="232"/>
        <v>1.0295227426714332E-4</v>
      </c>
      <c r="R502" s="27">
        <f t="shared" si="232"/>
        <v>1.0295227426714332E-4</v>
      </c>
      <c r="S502" s="27">
        <f t="shared" si="232"/>
        <v>1.0295227426714332E-4</v>
      </c>
      <c r="T502" s="27">
        <f t="shared" si="232"/>
        <v>1.0295227426714332E-4</v>
      </c>
      <c r="U502" s="27">
        <f t="shared" si="232"/>
        <v>1.0295227426714332E-4</v>
      </c>
      <c r="V502" s="27">
        <f t="shared" si="232"/>
        <v>1.0295227426714332E-4</v>
      </c>
      <c r="W502" s="27">
        <f t="shared" si="232"/>
        <v>1.8353633154392172E-4</v>
      </c>
      <c r="X502" s="27">
        <f t="shared" si="232"/>
        <v>1.8353633154392172E-4</v>
      </c>
      <c r="Y502" s="27">
        <f t="shared" si="232"/>
        <v>1.8353633154392172E-4</v>
      </c>
    </row>
    <row r="503" spans="1:25" outlineLevel="1" x14ac:dyDescent="0.3">
      <c r="A503" t="s">
        <v>139</v>
      </c>
      <c r="B503" t="s">
        <v>68</v>
      </c>
      <c r="C503" s="6" t="s">
        <v>144</v>
      </c>
      <c r="D503" t="s">
        <v>48</v>
      </c>
      <c r="E503" s="27" t="e">
        <f t="shared" si="229"/>
        <v>#DIV/0!</v>
      </c>
      <c r="F503" s="27">
        <f t="shared" si="232"/>
        <v>1.5089075562595203E-5</v>
      </c>
      <c r="G503" s="29">
        <v>0</v>
      </c>
      <c r="H503" s="27">
        <f t="shared" si="232"/>
        <v>9.3606302596304795E-5</v>
      </c>
      <c r="I503" s="27">
        <f t="shared" si="232"/>
        <v>9.3606302596304795E-5</v>
      </c>
      <c r="J503" s="27">
        <f t="shared" si="232"/>
        <v>9.3606302596304795E-5</v>
      </c>
      <c r="K503" s="27">
        <f t="shared" si="232"/>
        <v>1.6423327965185743E-4</v>
      </c>
      <c r="L503" s="27">
        <f t="shared" si="232"/>
        <v>4.4387538582032935E-5</v>
      </c>
      <c r="M503" s="29">
        <v>0</v>
      </c>
      <c r="N503" s="27">
        <f t="shared" si="232"/>
        <v>9.3606302596304795E-5</v>
      </c>
      <c r="O503" s="27">
        <f t="shared" si="232"/>
        <v>9.3606302596304795E-5</v>
      </c>
      <c r="P503" s="27">
        <f t="shared" si="232"/>
        <v>9.3606302596304795E-5</v>
      </c>
      <c r="Q503" s="27">
        <f t="shared" si="232"/>
        <v>1.0286897954686246E-4</v>
      </c>
      <c r="R503" s="27">
        <f t="shared" si="232"/>
        <v>1.0286897954686246E-4</v>
      </c>
      <c r="S503" s="27">
        <f t="shared" si="232"/>
        <v>1.0286897954686246E-4</v>
      </c>
      <c r="T503" s="27">
        <f t="shared" si="232"/>
        <v>1.0286897954686246E-4</v>
      </c>
      <c r="U503" s="27">
        <f t="shared" si="232"/>
        <v>1.0286897954686246E-4</v>
      </c>
      <c r="V503" s="27">
        <f t="shared" si="232"/>
        <v>1.0286897954686246E-4</v>
      </c>
      <c r="W503" s="27">
        <f t="shared" si="232"/>
        <v>1.8380663541953869E-4</v>
      </c>
      <c r="X503" s="27">
        <f t="shared" si="232"/>
        <v>1.8380663541953869E-4</v>
      </c>
      <c r="Y503" s="27">
        <f t="shared" si="232"/>
        <v>1.8380663541953869E-4</v>
      </c>
    </row>
    <row r="504" spans="1:25" outlineLevel="1" x14ac:dyDescent="0.3">
      <c r="A504" t="s">
        <v>139</v>
      </c>
      <c r="B504" t="s">
        <v>69</v>
      </c>
      <c r="C504" s="6" t="s">
        <v>145</v>
      </c>
      <c r="D504" t="s">
        <v>48</v>
      </c>
      <c r="E504" s="27" t="e">
        <f t="shared" si="229"/>
        <v>#DIV/0!</v>
      </c>
      <c r="F504" s="27">
        <f t="shared" si="232"/>
        <v>2.0706544650779163E-5</v>
      </c>
      <c r="G504" s="29">
        <v>0</v>
      </c>
      <c r="H504" s="27">
        <f t="shared" si="232"/>
        <v>1.2129749067787674E-4</v>
      </c>
      <c r="I504" s="27">
        <f t="shared" si="232"/>
        <v>1.2129749067787674E-4</v>
      </c>
      <c r="J504" s="27">
        <f t="shared" si="232"/>
        <v>1.2129749067787674E-4</v>
      </c>
      <c r="K504" s="27">
        <f t="shared" si="232"/>
        <v>1.7137519073498537E-4</v>
      </c>
      <c r="L504" s="27">
        <f t="shared" si="232"/>
        <v>4.5876987838911323E-5</v>
      </c>
      <c r="M504" s="29">
        <v>0</v>
      </c>
      <c r="N504" s="27">
        <f t="shared" si="232"/>
        <v>1.2129749067787674E-4</v>
      </c>
      <c r="O504" s="27">
        <f t="shared" si="232"/>
        <v>1.2129749067787674E-4</v>
      </c>
      <c r="P504" s="27">
        <f t="shared" si="232"/>
        <v>1.2129749067787674E-4</v>
      </c>
      <c r="Q504" s="27">
        <f t="shared" si="232"/>
        <v>1.0298003917390362E-4</v>
      </c>
      <c r="R504" s="27">
        <f t="shared" si="232"/>
        <v>1.0298003917390362E-4</v>
      </c>
      <c r="S504" s="27">
        <f t="shared" si="232"/>
        <v>1.0298003917390362E-4</v>
      </c>
      <c r="T504" s="27">
        <f t="shared" si="232"/>
        <v>1.0298003917390362E-4</v>
      </c>
      <c r="U504" s="27">
        <f t="shared" si="232"/>
        <v>1.0298003917390362E-4</v>
      </c>
      <c r="V504" s="27">
        <f t="shared" si="232"/>
        <v>1.0298003917390362E-4</v>
      </c>
      <c r="W504" s="27">
        <f t="shared" si="232"/>
        <v>1.8488785092200658E-4</v>
      </c>
      <c r="X504" s="27">
        <f t="shared" si="232"/>
        <v>1.8488785092200658E-4</v>
      </c>
      <c r="Y504" s="27">
        <f t="shared" si="232"/>
        <v>1.8488785092200658E-4</v>
      </c>
    </row>
    <row r="505" spans="1:25" outlineLevel="1" x14ac:dyDescent="0.3">
      <c r="A505" t="s">
        <v>139</v>
      </c>
      <c r="B505" t="s">
        <v>70</v>
      </c>
      <c r="C505" s="6" t="s">
        <v>146</v>
      </c>
      <c r="D505" t="s">
        <v>48</v>
      </c>
      <c r="E505" s="27" t="e">
        <f t="shared" si="229"/>
        <v>#DIV/0!</v>
      </c>
      <c r="F505" s="27">
        <f t="shared" si="232"/>
        <v>2.9385872134992314E-5</v>
      </c>
      <c r="G505" s="29">
        <v>0</v>
      </c>
      <c r="H505" s="27">
        <f t="shared" si="232"/>
        <v>2.0928788350568078E-4</v>
      </c>
      <c r="I505" s="27">
        <f t="shared" si="232"/>
        <v>2.0928788350568078E-4</v>
      </c>
      <c r="J505" s="27">
        <f t="shared" si="232"/>
        <v>2.0928788350568078E-4</v>
      </c>
      <c r="K505" s="27">
        <f t="shared" si="232"/>
        <v>2.1470733817728011E-4</v>
      </c>
      <c r="L505" s="27">
        <f t="shared" si="232"/>
        <v>4.9251448428426939E-5</v>
      </c>
      <c r="M505" s="29">
        <v>0</v>
      </c>
      <c r="N505" s="27">
        <f t="shared" si="232"/>
        <v>2.0928788350568078E-4</v>
      </c>
      <c r="O505" s="27">
        <f t="shared" si="232"/>
        <v>2.0928788350568078E-4</v>
      </c>
      <c r="P505" s="27">
        <f t="shared" si="232"/>
        <v>2.0928788350568078E-4</v>
      </c>
      <c r="Q505" s="27">
        <f t="shared" si="232"/>
        <v>1.2577502762409906E-4</v>
      </c>
      <c r="R505" s="27">
        <f t="shared" si="232"/>
        <v>1.2577502762409906E-4</v>
      </c>
      <c r="S505" s="27">
        <f t="shared" si="232"/>
        <v>1.2577502762409906E-4</v>
      </c>
      <c r="T505" s="27">
        <f t="shared" si="232"/>
        <v>1.2577502762409906E-4</v>
      </c>
      <c r="U505" s="27">
        <f t="shared" si="232"/>
        <v>1.2577502762409906E-4</v>
      </c>
      <c r="V505" s="27">
        <f t="shared" si="232"/>
        <v>1.2577502762409906E-4</v>
      </c>
      <c r="W505" s="27">
        <f t="shared" si="232"/>
        <v>1.8542845867324049E-4</v>
      </c>
      <c r="X505" s="27">
        <f t="shared" si="232"/>
        <v>1.8542845867324049E-4</v>
      </c>
      <c r="Y505" s="27">
        <f t="shared" si="232"/>
        <v>1.8542845867324049E-4</v>
      </c>
    </row>
    <row r="506" spans="1:25" outlineLevel="1" x14ac:dyDescent="0.3">
      <c r="A506" t="s">
        <v>139</v>
      </c>
      <c r="B506" t="s">
        <v>71</v>
      </c>
      <c r="C506" s="6" t="s">
        <v>147</v>
      </c>
      <c r="D506" t="s">
        <v>48</v>
      </c>
      <c r="E506" s="27" t="e">
        <f t="shared" si="229"/>
        <v>#DIV/0!</v>
      </c>
      <c r="F506" s="27">
        <f t="shared" si="232"/>
        <v>4.1484622128788479E-5</v>
      </c>
      <c r="G506" s="29">
        <v>0</v>
      </c>
      <c r="H506" s="27">
        <f t="shared" si="232"/>
        <v>1.32234149673423E-4</v>
      </c>
      <c r="I506" s="27">
        <f t="shared" si="232"/>
        <v>1.32234149673423E-4</v>
      </c>
      <c r="J506" s="27">
        <f t="shared" si="232"/>
        <v>1.32234149673423E-4</v>
      </c>
      <c r="K506" s="27">
        <f t="shared" si="232"/>
        <v>4.175999643198211E-4</v>
      </c>
      <c r="L506" s="27">
        <f t="shared" si="232"/>
        <v>5.5241211661133467E-5</v>
      </c>
      <c r="M506" s="29">
        <v>0</v>
      </c>
      <c r="N506" s="27">
        <f t="shared" si="232"/>
        <v>1.32234149673423E-4</v>
      </c>
      <c r="O506" s="27">
        <f t="shared" si="232"/>
        <v>1.32234149673423E-4</v>
      </c>
      <c r="P506" s="27">
        <f t="shared" si="232"/>
        <v>1.32234149673423E-4</v>
      </c>
      <c r="Q506" s="27">
        <f t="shared" si="232"/>
        <v>1.6270235361528045E-4</v>
      </c>
      <c r="R506" s="27">
        <f t="shared" si="232"/>
        <v>1.6270235361528045E-4</v>
      </c>
      <c r="S506" s="27">
        <f t="shared" si="232"/>
        <v>1.6270235361528045E-4</v>
      </c>
      <c r="T506" s="27">
        <f t="shared" si="232"/>
        <v>1.6270235361528045E-4</v>
      </c>
      <c r="U506" s="27">
        <f t="shared" si="232"/>
        <v>1.6270235361528045E-4</v>
      </c>
      <c r="V506" s="27">
        <f t="shared" si="232"/>
        <v>1.6270235361528045E-4</v>
      </c>
      <c r="W506" s="27">
        <f t="shared" si="232"/>
        <v>1.8596906642447445E-4</v>
      </c>
      <c r="X506" s="27">
        <f t="shared" si="232"/>
        <v>1.8596906642447445E-4</v>
      </c>
      <c r="Y506" s="27">
        <f t="shared" si="232"/>
        <v>1.8596906642447445E-4</v>
      </c>
    </row>
    <row r="507" spans="1:25" outlineLevel="1" x14ac:dyDescent="0.3">
      <c r="A507" t="s">
        <v>139</v>
      </c>
      <c r="B507" t="s">
        <v>72</v>
      </c>
      <c r="C507" s="6" t="s">
        <v>148</v>
      </c>
      <c r="D507" t="s">
        <v>48</v>
      </c>
      <c r="E507" s="27" t="e">
        <f t="shared" si="229"/>
        <v>#DIV/0!</v>
      </c>
      <c r="F507" s="27">
        <f t="shared" si="232"/>
        <v>5.6076485362097644E-5</v>
      </c>
      <c r="G507" s="29">
        <v>0</v>
      </c>
      <c r="H507" s="27">
        <f t="shared" si="232"/>
        <v>1.1806620506555626E-4</v>
      </c>
      <c r="I507" s="27">
        <f t="shared" si="232"/>
        <v>1.1806620506555626E-4</v>
      </c>
      <c r="J507" s="27">
        <f t="shared" si="232"/>
        <v>1.1806620506555626E-4</v>
      </c>
      <c r="K507" s="27">
        <f t="shared" ref="F507:Y519" si="233">K305/K$398</f>
        <v>5.0743294098965159E-4</v>
      </c>
      <c r="L507" s="27">
        <f t="shared" si="233"/>
        <v>6.4124213682789343E-5</v>
      </c>
      <c r="M507" s="29">
        <v>0</v>
      </c>
      <c r="N507" s="27">
        <f t="shared" si="233"/>
        <v>1.1806620506555626E-4</v>
      </c>
      <c r="O507" s="27">
        <f t="shared" si="233"/>
        <v>1.1806620506555626E-4</v>
      </c>
      <c r="P507" s="27">
        <f t="shared" si="233"/>
        <v>1.1806620506555626E-4</v>
      </c>
      <c r="Q507" s="27">
        <f t="shared" si="233"/>
        <v>1.8658017342912706E-4</v>
      </c>
      <c r="R507" s="27">
        <f t="shared" si="233"/>
        <v>1.8658017342912706E-4</v>
      </c>
      <c r="S507" s="27">
        <f t="shared" si="233"/>
        <v>1.8658017342912706E-4</v>
      </c>
      <c r="T507" s="27">
        <f t="shared" si="233"/>
        <v>1.8658017342912706E-4</v>
      </c>
      <c r="U507" s="27">
        <f t="shared" si="233"/>
        <v>1.8658017342912706E-4</v>
      </c>
      <c r="V507" s="27">
        <f t="shared" si="233"/>
        <v>1.8658017342912706E-4</v>
      </c>
      <c r="W507" s="27">
        <f t="shared" si="233"/>
        <v>1.8542845867324049E-4</v>
      </c>
      <c r="X507" s="27">
        <f t="shared" si="233"/>
        <v>1.8542845867324049E-4</v>
      </c>
      <c r="Y507" s="27">
        <f t="shared" si="233"/>
        <v>1.8542845867324049E-4</v>
      </c>
    </row>
    <row r="508" spans="1:25" outlineLevel="1" x14ac:dyDescent="0.3">
      <c r="A508" t="s">
        <v>139</v>
      </c>
      <c r="B508" t="s">
        <v>73</v>
      </c>
      <c r="C508" s="6" t="s">
        <v>149</v>
      </c>
      <c r="D508" t="s">
        <v>48</v>
      </c>
      <c r="E508" s="27" t="e">
        <f t="shared" si="229"/>
        <v>#DIV/0!</v>
      </c>
      <c r="F508" s="27">
        <f t="shared" si="233"/>
        <v>7.2656247697880223E-5</v>
      </c>
      <c r="G508" s="29">
        <v>0</v>
      </c>
      <c r="H508" s="27">
        <f t="shared" si="233"/>
        <v>1.2254029283646154E-4</v>
      </c>
      <c r="I508" s="27">
        <f t="shared" si="233"/>
        <v>1.2254029283646154E-4</v>
      </c>
      <c r="J508" s="27">
        <f t="shared" si="233"/>
        <v>1.2254029283646154E-4</v>
      </c>
      <c r="K508" s="27">
        <f t="shared" si="233"/>
        <v>4.1202592957502134E-4</v>
      </c>
      <c r="L508" s="27">
        <f t="shared" si="233"/>
        <v>7.3120759422662916E-5</v>
      </c>
      <c r="M508" s="29">
        <v>0</v>
      </c>
      <c r="N508" s="27">
        <f t="shared" si="233"/>
        <v>1.2254029283646154E-4</v>
      </c>
      <c r="O508" s="27">
        <f t="shared" si="233"/>
        <v>1.2254029283646154E-4</v>
      </c>
      <c r="P508" s="27">
        <f t="shared" si="233"/>
        <v>1.2254029283646154E-4</v>
      </c>
      <c r="Q508" s="27">
        <f t="shared" si="233"/>
        <v>2.0323911748529913E-4</v>
      </c>
      <c r="R508" s="27">
        <f t="shared" si="233"/>
        <v>2.0323911748529913E-4</v>
      </c>
      <c r="S508" s="27">
        <f t="shared" si="233"/>
        <v>2.0323911748529913E-4</v>
      </c>
      <c r="T508" s="27">
        <f t="shared" si="233"/>
        <v>2.0323911748529913E-4</v>
      </c>
      <c r="U508" s="27">
        <f t="shared" si="233"/>
        <v>2.0323911748529913E-4</v>
      </c>
      <c r="V508" s="27">
        <f t="shared" si="233"/>
        <v>2.0323911748529913E-4</v>
      </c>
      <c r="W508" s="27">
        <f t="shared" si="233"/>
        <v>1.8488785092200658E-4</v>
      </c>
      <c r="X508" s="27">
        <f t="shared" si="233"/>
        <v>1.8488785092200658E-4</v>
      </c>
      <c r="Y508" s="27">
        <f t="shared" si="233"/>
        <v>1.8488785092200658E-4</v>
      </c>
    </row>
    <row r="509" spans="1:25" outlineLevel="1" x14ac:dyDescent="0.3">
      <c r="A509" t="s">
        <v>139</v>
      </c>
      <c r="B509" t="s">
        <v>74</v>
      </c>
      <c r="C509" s="6" t="s">
        <v>150</v>
      </c>
      <c r="D509" t="s">
        <v>48</v>
      </c>
      <c r="E509" s="27" t="e">
        <f t="shared" si="229"/>
        <v>#DIV/0!</v>
      </c>
      <c r="F509" s="27">
        <f t="shared" si="233"/>
        <v>9.6350433977774423E-5</v>
      </c>
      <c r="G509" s="29">
        <v>0</v>
      </c>
      <c r="H509" s="27">
        <f t="shared" si="233"/>
        <v>1.2303741369989546E-4</v>
      </c>
      <c r="I509" s="27">
        <f t="shared" si="233"/>
        <v>1.2303741369989546E-4</v>
      </c>
      <c r="J509" s="27">
        <f t="shared" si="233"/>
        <v>1.2303741369989546E-4</v>
      </c>
      <c r="K509" s="27">
        <f t="shared" si="233"/>
        <v>3.4960181350242873E-4</v>
      </c>
      <c r="L509" s="27">
        <f t="shared" si="233"/>
        <v>8.237943411081242E-5</v>
      </c>
      <c r="M509" s="29">
        <v>0</v>
      </c>
      <c r="N509" s="27">
        <f t="shared" si="233"/>
        <v>1.2303741369989546E-4</v>
      </c>
      <c r="O509" s="27">
        <f t="shared" si="233"/>
        <v>1.2303741369989546E-4</v>
      </c>
      <c r="P509" s="27">
        <f t="shared" si="233"/>
        <v>1.2303741369989546E-4</v>
      </c>
      <c r="Q509" s="27">
        <f t="shared" si="233"/>
        <v>2.1129094044578228E-4</v>
      </c>
      <c r="R509" s="27">
        <f t="shared" si="233"/>
        <v>2.1129094044578228E-4</v>
      </c>
      <c r="S509" s="27">
        <f t="shared" si="233"/>
        <v>2.1129094044578228E-4</v>
      </c>
      <c r="T509" s="27">
        <f t="shared" si="233"/>
        <v>2.1129094044578228E-4</v>
      </c>
      <c r="U509" s="27">
        <f t="shared" si="233"/>
        <v>2.1129094044578228E-4</v>
      </c>
      <c r="V509" s="27">
        <f t="shared" si="233"/>
        <v>2.1129094044578228E-4</v>
      </c>
      <c r="W509" s="27">
        <f t="shared" si="233"/>
        <v>1.8488785092200658E-4</v>
      </c>
      <c r="X509" s="27">
        <f t="shared" si="233"/>
        <v>1.8488785092200658E-4</v>
      </c>
      <c r="Y509" s="27">
        <f t="shared" si="233"/>
        <v>1.8488785092200658E-4</v>
      </c>
    </row>
    <row r="510" spans="1:25" outlineLevel="1" x14ac:dyDescent="0.3">
      <c r="A510" t="s">
        <v>139</v>
      </c>
      <c r="B510" t="s">
        <v>75</v>
      </c>
      <c r="C510" s="6" t="s">
        <v>151</v>
      </c>
      <c r="D510" t="s">
        <v>48</v>
      </c>
      <c r="E510" s="27" t="e">
        <f t="shared" si="229"/>
        <v>#DIV/0!</v>
      </c>
      <c r="F510" s="27">
        <f t="shared" si="233"/>
        <v>1.3449521824326205E-4</v>
      </c>
      <c r="G510" s="29">
        <v>0</v>
      </c>
      <c r="H510" s="27">
        <f t="shared" si="233"/>
        <v>1.309913475148382E-4</v>
      </c>
      <c r="I510" s="27">
        <f t="shared" si="233"/>
        <v>1.309913475148382E-4</v>
      </c>
      <c r="J510" s="27">
        <f t="shared" si="233"/>
        <v>1.309913475148382E-4</v>
      </c>
      <c r="K510" s="27">
        <f t="shared" si="233"/>
        <v>3.0928646137700781E-4</v>
      </c>
      <c r="L510" s="27">
        <f t="shared" si="233"/>
        <v>9.176121205026956E-5</v>
      </c>
      <c r="M510" s="29">
        <v>0</v>
      </c>
      <c r="N510" s="27">
        <f t="shared" si="233"/>
        <v>1.309913475148382E-4</v>
      </c>
      <c r="O510" s="27">
        <f t="shared" si="233"/>
        <v>1.309913475148382E-4</v>
      </c>
      <c r="P510" s="27">
        <f t="shared" si="233"/>
        <v>1.309913475148382E-4</v>
      </c>
      <c r="Q510" s="27">
        <f t="shared" si="233"/>
        <v>2.121238876485909E-4</v>
      </c>
      <c r="R510" s="27">
        <f t="shared" si="233"/>
        <v>2.121238876485909E-4</v>
      </c>
      <c r="S510" s="27">
        <f t="shared" si="233"/>
        <v>2.121238876485909E-4</v>
      </c>
      <c r="T510" s="27">
        <f t="shared" si="233"/>
        <v>2.121238876485909E-4</v>
      </c>
      <c r="U510" s="27">
        <f t="shared" si="233"/>
        <v>2.121238876485909E-4</v>
      </c>
      <c r="V510" s="27">
        <f t="shared" si="233"/>
        <v>2.121238876485909E-4</v>
      </c>
      <c r="W510" s="27">
        <f t="shared" si="233"/>
        <v>1.8488785092200658E-4</v>
      </c>
      <c r="X510" s="27">
        <f t="shared" si="233"/>
        <v>1.8488785092200658E-4</v>
      </c>
      <c r="Y510" s="27">
        <f t="shared" si="233"/>
        <v>1.8488785092200658E-4</v>
      </c>
    </row>
    <row r="511" spans="1:25" outlineLevel="1" x14ac:dyDescent="0.3">
      <c r="A511" t="s">
        <v>139</v>
      </c>
      <c r="B511" t="s">
        <v>76</v>
      </c>
      <c r="C511" s="6" t="s">
        <v>152</v>
      </c>
      <c r="D511" t="s">
        <v>48</v>
      </c>
      <c r="E511" s="27" t="e">
        <f t="shared" si="229"/>
        <v>#DIV/0!</v>
      </c>
      <c r="F511" s="27">
        <f t="shared" si="233"/>
        <v>1.7189059987176433E-4</v>
      </c>
      <c r="G511" s="29">
        <v>0</v>
      </c>
      <c r="H511" s="27">
        <f t="shared" si="233"/>
        <v>1.3496831442230954E-4</v>
      </c>
      <c r="I511" s="27">
        <f t="shared" si="233"/>
        <v>1.3496831442230954E-4</v>
      </c>
      <c r="J511" s="27">
        <f t="shared" si="233"/>
        <v>1.3496831442230954E-4</v>
      </c>
      <c r="K511" s="27">
        <f t="shared" si="233"/>
        <v>2.806271732724606E-4</v>
      </c>
      <c r="L511" s="27">
        <f t="shared" si="233"/>
        <v>9.9839193416404506E-5</v>
      </c>
      <c r="M511" s="29">
        <v>0</v>
      </c>
      <c r="N511" s="27">
        <f t="shared" si="233"/>
        <v>1.3496831442230954E-4</v>
      </c>
      <c r="O511" s="27">
        <f t="shared" si="233"/>
        <v>1.3496831442230954E-4</v>
      </c>
      <c r="P511" s="27">
        <f t="shared" si="233"/>
        <v>1.3496831442230954E-4</v>
      </c>
      <c r="Q511" s="27">
        <f t="shared" si="233"/>
        <v>2.0490501189091633E-4</v>
      </c>
      <c r="R511" s="27">
        <f t="shared" si="233"/>
        <v>2.0490501189091633E-4</v>
      </c>
      <c r="S511" s="27">
        <f t="shared" si="233"/>
        <v>2.0490501189091633E-4</v>
      </c>
      <c r="T511" s="27">
        <f t="shared" si="233"/>
        <v>2.0490501189091633E-4</v>
      </c>
      <c r="U511" s="27">
        <f t="shared" si="233"/>
        <v>2.0490501189091633E-4</v>
      </c>
      <c r="V511" s="27">
        <f t="shared" si="233"/>
        <v>2.0490501189091633E-4</v>
      </c>
      <c r="W511" s="27">
        <f t="shared" si="233"/>
        <v>1.8461754704638959E-4</v>
      </c>
      <c r="X511" s="27">
        <f t="shared" si="233"/>
        <v>1.8461754704638959E-4</v>
      </c>
      <c r="Y511" s="27">
        <f t="shared" si="233"/>
        <v>1.8461754704638959E-4</v>
      </c>
    </row>
    <row r="512" spans="1:25" outlineLevel="1" x14ac:dyDescent="0.3">
      <c r="A512" t="s">
        <v>139</v>
      </c>
      <c r="B512" t="s">
        <v>77</v>
      </c>
      <c r="C512" s="6" t="s">
        <v>153</v>
      </c>
      <c r="D512" t="s">
        <v>48</v>
      </c>
      <c r="E512" s="27" t="e">
        <f t="shared" si="229"/>
        <v>#DIV/0!</v>
      </c>
      <c r="F512" s="27">
        <f t="shared" si="233"/>
        <v>1.9401966589593036E-4</v>
      </c>
      <c r="G512" s="29">
        <v>0</v>
      </c>
      <c r="H512" s="27">
        <f t="shared" si="233"/>
        <v>1.3496831442230954E-4</v>
      </c>
      <c r="I512" s="27">
        <f t="shared" si="233"/>
        <v>1.3496831442230954E-4</v>
      </c>
      <c r="J512" s="27">
        <f t="shared" si="233"/>
        <v>1.3496831442230954E-4</v>
      </c>
      <c r="K512" s="27">
        <f t="shared" si="233"/>
        <v>2.5958780313702686E-4</v>
      </c>
      <c r="L512" s="27">
        <f t="shared" si="233"/>
        <v>1.0481177016337385E-4</v>
      </c>
      <c r="M512" s="29">
        <v>0</v>
      </c>
      <c r="N512" s="27">
        <f t="shared" si="233"/>
        <v>1.3496831442230954E-4</v>
      </c>
      <c r="O512" s="27">
        <f t="shared" si="233"/>
        <v>1.3496831442230954E-4</v>
      </c>
      <c r="P512" s="27">
        <f t="shared" si="233"/>
        <v>1.3496831442230954E-4</v>
      </c>
      <c r="Q512" s="27">
        <f t="shared" si="233"/>
        <v>1.9018961130796432E-4</v>
      </c>
      <c r="R512" s="27">
        <f t="shared" si="233"/>
        <v>1.9018961130796432E-4</v>
      </c>
      <c r="S512" s="27">
        <f t="shared" si="233"/>
        <v>1.9018961130796432E-4</v>
      </c>
      <c r="T512" s="27">
        <f t="shared" si="233"/>
        <v>1.9018961130796432E-4</v>
      </c>
      <c r="U512" s="27">
        <f t="shared" si="233"/>
        <v>1.9018961130796432E-4</v>
      </c>
      <c r="V512" s="27">
        <f t="shared" si="233"/>
        <v>1.9018961130796432E-4</v>
      </c>
      <c r="W512" s="27">
        <f t="shared" si="233"/>
        <v>1.8488785092200658E-4</v>
      </c>
      <c r="X512" s="27">
        <f t="shared" si="233"/>
        <v>1.8488785092200658E-4</v>
      </c>
      <c r="Y512" s="27">
        <f t="shared" si="233"/>
        <v>1.8488785092200658E-4</v>
      </c>
    </row>
    <row r="513" spans="1:25" outlineLevel="1" x14ac:dyDescent="0.3">
      <c r="A513" t="s">
        <v>139</v>
      </c>
      <c r="B513" t="s">
        <v>78</v>
      </c>
      <c r="C513" s="6" t="s">
        <v>154</v>
      </c>
      <c r="D513" t="s">
        <v>48</v>
      </c>
      <c r="E513" s="27" t="e">
        <f t="shared" si="229"/>
        <v>#DIV/0!</v>
      </c>
      <c r="F513" s="27">
        <f t="shared" si="233"/>
        <v>2.0063319334510273E-4</v>
      </c>
      <c r="G513" s="29">
        <v>0</v>
      </c>
      <c r="H513" s="27">
        <f t="shared" si="233"/>
        <v>1.3397407269544174E-4</v>
      </c>
      <c r="I513" s="27">
        <f t="shared" si="233"/>
        <v>1.3397407269544174E-4</v>
      </c>
      <c r="J513" s="27">
        <f t="shared" si="233"/>
        <v>1.3397407269544174E-4</v>
      </c>
      <c r="K513" s="27">
        <f t="shared" si="233"/>
        <v>2.4661698142455541E-4</v>
      </c>
      <c r="L513" s="27">
        <f t="shared" si="233"/>
        <v>1.0651810436007764E-4</v>
      </c>
      <c r="M513" s="29">
        <v>0</v>
      </c>
      <c r="N513" s="27">
        <f t="shared" si="233"/>
        <v>1.3397407269544174E-4</v>
      </c>
      <c r="O513" s="27">
        <f t="shared" si="233"/>
        <v>1.3397407269544174E-4</v>
      </c>
      <c r="P513" s="27">
        <f t="shared" si="233"/>
        <v>1.3397407269544174E-4</v>
      </c>
      <c r="Q513" s="27">
        <f t="shared" si="233"/>
        <v>1.8991196224036147E-4</v>
      </c>
      <c r="R513" s="27">
        <f t="shared" si="233"/>
        <v>1.8991196224036147E-4</v>
      </c>
      <c r="S513" s="27">
        <f t="shared" si="233"/>
        <v>1.8991196224036147E-4</v>
      </c>
      <c r="T513" s="27">
        <f t="shared" si="233"/>
        <v>1.8991196224036147E-4</v>
      </c>
      <c r="U513" s="27">
        <f t="shared" si="233"/>
        <v>1.8991196224036147E-4</v>
      </c>
      <c r="V513" s="27">
        <f t="shared" si="233"/>
        <v>1.8991196224036147E-4</v>
      </c>
      <c r="W513" s="27">
        <f t="shared" si="233"/>
        <v>1.8488785092200658E-4</v>
      </c>
      <c r="X513" s="27">
        <f t="shared" si="233"/>
        <v>1.8488785092200658E-4</v>
      </c>
      <c r="Y513" s="27">
        <f t="shared" si="233"/>
        <v>1.8488785092200658E-4</v>
      </c>
    </row>
    <row r="514" spans="1:25" outlineLevel="1" x14ac:dyDescent="0.3">
      <c r="A514" t="s">
        <v>139</v>
      </c>
      <c r="B514" t="s">
        <v>79</v>
      </c>
      <c r="C514" s="6" t="s">
        <v>155</v>
      </c>
      <c r="D514" t="s">
        <v>48</v>
      </c>
      <c r="E514" s="27" t="e">
        <f t="shared" si="229"/>
        <v>#DIV/0!</v>
      </c>
      <c r="F514" s="27">
        <f t="shared" si="233"/>
        <v>1.9299596795732655E-4</v>
      </c>
      <c r="G514" s="29">
        <v>0</v>
      </c>
      <c r="H514" s="27">
        <f t="shared" si="233"/>
        <v>1.3397407269544174E-4</v>
      </c>
      <c r="I514" s="27">
        <f t="shared" si="233"/>
        <v>1.3397407269544174E-4</v>
      </c>
      <c r="J514" s="27">
        <f t="shared" si="233"/>
        <v>1.3397407269544174E-4</v>
      </c>
      <c r="K514" s="27">
        <f t="shared" si="233"/>
        <v>2.5315558692545943E-4</v>
      </c>
      <c r="L514" s="27">
        <f t="shared" si="233"/>
        <v>1.0482437467464351E-4</v>
      </c>
      <c r="M514" s="29">
        <v>0</v>
      </c>
      <c r="N514" s="27">
        <f t="shared" si="233"/>
        <v>1.3397407269544174E-4</v>
      </c>
      <c r="O514" s="27">
        <f t="shared" si="233"/>
        <v>1.3397407269544174E-4</v>
      </c>
      <c r="P514" s="27">
        <f t="shared" si="233"/>
        <v>1.3397407269544174E-4</v>
      </c>
      <c r="Q514" s="27">
        <f t="shared" si="233"/>
        <v>1.8935666410515575E-4</v>
      </c>
      <c r="R514" s="27">
        <f t="shared" si="233"/>
        <v>1.8935666410515575E-4</v>
      </c>
      <c r="S514" s="27">
        <f t="shared" si="233"/>
        <v>1.8935666410515575E-4</v>
      </c>
      <c r="T514" s="27">
        <f t="shared" si="233"/>
        <v>1.8935666410515575E-4</v>
      </c>
      <c r="U514" s="27">
        <f t="shared" si="233"/>
        <v>1.8935666410515575E-4</v>
      </c>
      <c r="V514" s="27">
        <f t="shared" si="233"/>
        <v>1.8935666410515575E-4</v>
      </c>
      <c r="W514" s="27">
        <f t="shared" si="233"/>
        <v>1.8596906642447445E-4</v>
      </c>
      <c r="X514" s="27">
        <f t="shared" si="233"/>
        <v>1.8596906642447445E-4</v>
      </c>
      <c r="Y514" s="27">
        <f t="shared" si="233"/>
        <v>1.8596906642447445E-4</v>
      </c>
    </row>
    <row r="515" spans="1:25" outlineLevel="1" x14ac:dyDescent="0.3">
      <c r="A515" t="s">
        <v>139</v>
      </c>
      <c r="B515" t="s">
        <v>80</v>
      </c>
      <c r="C515" s="6" t="s">
        <v>156</v>
      </c>
      <c r="D515" t="s">
        <v>48</v>
      </c>
      <c r="E515" s="27" t="e">
        <f t="shared" si="229"/>
        <v>#DIV/0!</v>
      </c>
      <c r="F515" s="27">
        <f t="shared" si="233"/>
        <v>1.7396440171455865E-4</v>
      </c>
      <c r="G515" s="29">
        <v>0</v>
      </c>
      <c r="H515" s="27">
        <f t="shared" si="233"/>
        <v>1.8791168637802212E-4</v>
      </c>
      <c r="I515" s="27">
        <f t="shared" si="233"/>
        <v>1.8791168637802212E-4</v>
      </c>
      <c r="J515" s="27">
        <f t="shared" si="233"/>
        <v>1.8791168637802212E-4</v>
      </c>
      <c r="K515" s="27">
        <f t="shared" si="233"/>
        <v>2.5218154236549326E-4</v>
      </c>
      <c r="L515" s="27">
        <f t="shared" si="233"/>
        <v>9.9238271218631783E-5</v>
      </c>
      <c r="M515" s="29">
        <v>0</v>
      </c>
      <c r="N515" s="27">
        <f t="shared" si="233"/>
        <v>1.8791168637802212E-4</v>
      </c>
      <c r="O515" s="27">
        <f t="shared" si="233"/>
        <v>1.8791168637802212E-4</v>
      </c>
      <c r="P515" s="27">
        <f t="shared" si="233"/>
        <v>1.8791168637802212E-4</v>
      </c>
      <c r="Q515" s="27">
        <f t="shared" si="233"/>
        <v>2.2517339382592568E-4</v>
      </c>
      <c r="R515" s="27">
        <f t="shared" si="233"/>
        <v>2.2517339382592568E-4</v>
      </c>
      <c r="S515" s="27">
        <f t="shared" si="233"/>
        <v>2.2517339382592568E-4</v>
      </c>
      <c r="T515" s="27">
        <f t="shared" si="233"/>
        <v>2.2517339382592568E-4</v>
      </c>
      <c r="U515" s="27">
        <f t="shared" si="233"/>
        <v>2.2517339382592568E-4</v>
      </c>
      <c r="V515" s="27">
        <f t="shared" si="233"/>
        <v>2.2517339382592568E-4</v>
      </c>
      <c r="W515" s="27">
        <f t="shared" si="233"/>
        <v>1.8705028192694229E-4</v>
      </c>
      <c r="X515" s="27">
        <f t="shared" si="233"/>
        <v>1.8705028192694229E-4</v>
      </c>
      <c r="Y515" s="27">
        <f t="shared" si="233"/>
        <v>1.8705028192694229E-4</v>
      </c>
    </row>
    <row r="516" spans="1:25" outlineLevel="1" x14ac:dyDescent="0.3">
      <c r="A516" t="s">
        <v>139</v>
      </c>
      <c r="B516" t="s">
        <v>81</v>
      </c>
      <c r="C516" s="6" t="s">
        <v>157</v>
      </c>
      <c r="D516" t="s">
        <v>48</v>
      </c>
      <c r="E516" s="27" t="e">
        <f t="shared" si="229"/>
        <v>#DIV/0!</v>
      </c>
      <c r="F516" s="27">
        <f t="shared" si="233"/>
        <v>1.4753741471206706E-4</v>
      </c>
      <c r="G516" s="29">
        <v>0</v>
      </c>
      <c r="H516" s="27">
        <f t="shared" si="233"/>
        <v>4.8171011666746952E-4</v>
      </c>
      <c r="I516" s="27">
        <f t="shared" si="233"/>
        <v>4.8171011666746952E-4</v>
      </c>
      <c r="J516" s="27">
        <f t="shared" si="233"/>
        <v>4.8171011666746952E-4</v>
      </c>
      <c r="K516" s="27">
        <f t="shared" si="233"/>
        <v>2.7412971005687638E-4</v>
      </c>
      <c r="L516" s="27">
        <f t="shared" si="233"/>
        <v>9.0108134643242111E-5</v>
      </c>
      <c r="M516" s="29">
        <v>0</v>
      </c>
      <c r="N516" s="27">
        <f t="shared" si="233"/>
        <v>4.8171011666746952E-4</v>
      </c>
      <c r="O516" s="27">
        <f t="shared" si="233"/>
        <v>4.8171011666746952E-4</v>
      </c>
      <c r="P516" s="27">
        <f t="shared" si="233"/>
        <v>4.8171011666746952E-4</v>
      </c>
      <c r="Q516" s="27">
        <f t="shared" si="233"/>
        <v>2.2545104289352854E-4</v>
      </c>
      <c r="R516" s="27">
        <f t="shared" si="233"/>
        <v>2.2545104289352854E-4</v>
      </c>
      <c r="S516" s="27">
        <f t="shared" si="233"/>
        <v>2.2545104289352854E-4</v>
      </c>
      <c r="T516" s="27">
        <f t="shared" si="233"/>
        <v>2.2545104289352854E-4</v>
      </c>
      <c r="U516" s="27">
        <f t="shared" si="233"/>
        <v>2.2545104289352854E-4</v>
      </c>
      <c r="V516" s="27">
        <f t="shared" si="233"/>
        <v>2.2545104289352854E-4</v>
      </c>
      <c r="W516" s="27">
        <f t="shared" si="233"/>
        <v>1.8759088967817625E-4</v>
      </c>
      <c r="X516" s="27">
        <f t="shared" si="233"/>
        <v>1.8759088967817625E-4</v>
      </c>
      <c r="Y516" s="27">
        <f t="shared" si="233"/>
        <v>1.8759088967817625E-4</v>
      </c>
    </row>
    <row r="517" spans="1:25" outlineLevel="1" x14ac:dyDescent="0.3">
      <c r="A517" t="s">
        <v>139</v>
      </c>
      <c r="B517" t="s">
        <v>82</v>
      </c>
      <c r="C517" s="6" t="s">
        <v>158</v>
      </c>
      <c r="D517" t="s">
        <v>48</v>
      </c>
      <c r="E517" s="27" t="e">
        <f t="shared" si="229"/>
        <v>#DIV/0!</v>
      </c>
      <c r="F517" s="27">
        <f t="shared" si="233"/>
        <v>1.1606955555176588E-4</v>
      </c>
      <c r="G517" s="29">
        <v>0</v>
      </c>
      <c r="H517" s="27">
        <f t="shared" si="233"/>
        <v>5.0880320372461818E-4</v>
      </c>
      <c r="I517" s="27">
        <f t="shared" si="233"/>
        <v>5.0880320372461818E-4</v>
      </c>
      <c r="J517" s="27">
        <f t="shared" si="233"/>
        <v>5.0880320372461818E-4</v>
      </c>
      <c r="K517" s="27">
        <f t="shared" si="233"/>
        <v>3.1544355526835879E-4</v>
      </c>
      <c r="L517" s="27">
        <f t="shared" si="233"/>
        <v>7.99125347268722E-5</v>
      </c>
      <c r="M517" s="29">
        <v>0</v>
      </c>
      <c r="N517" s="27">
        <f t="shared" si="233"/>
        <v>5.0880320372461818E-4</v>
      </c>
      <c r="O517" s="27">
        <f t="shared" si="233"/>
        <v>5.0880320372461818E-4</v>
      </c>
      <c r="P517" s="27">
        <f t="shared" si="233"/>
        <v>5.0880320372461818E-4</v>
      </c>
      <c r="Q517" s="27">
        <f t="shared" si="233"/>
        <v>2.2517339382592568E-4</v>
      </c>
      <c r="R517" s="27">
        <f t="shared" si="233"/>
        <v>2.2517339382592568E-4</v>
      </c>
      <c r="S517" s="27">
        <f t="shared" si="233"/>
        <v>2.2517339382592568E-4</v>
      </c>
      <c r="T517" s="27">
        <f t="shared" si="233"/>
        <v>2.2517339382592568E-4</v>
      </c>
      <c r="U517" s="27">
        <f t="shared" si="233"/>
        <v>2.2517339382592568E-4</v>
      </c>
      <c r="V517" s="27">
        <f t="shared" si="233"/>
        <v>2.2517339382592568E-4</v>
      </c>
      <c r="W517" s="27">
        <f t="shared" si="233"/>
        <v>1.8705028192694229E-4</v>
      </c>
      <c r="X517" s="27">
        <f t="shared" si="233"/>
        <v>1.8705028192694229E-4</v>
      </c>
      <c r="Y517" s="27">
        <f t="shared" si="233"/>
        <v>1.8705028192694229E-4</v>
      </c>
    </row>
    <row r="518" spans="1:25" outlineLevel="1" x14ac:dyDescent="0.3">
      <c r="A518" t="s">
        <v>139</v>
      </c>
      <c r="B518" t="s">
        <v>83</v>
      </c>
      <c r="C518" s="6" t="s">
        <v>159</v>
      </c>
      <c r="D518" t="s">
        <v>48</v>
      </c>
      <c r="E518" s="27" t="e">
        <f t="shared" si="229"/>
        <v>#DIV/0!</v>
      </c>
      <c r="F518" s="27">
        <f t="shared" si="233"/>
        <v>8.6791574457983884E-5</v>
      </c>
      <c r="G518" s="29">
        <v>0</v>
      </c>
      <c r="H518" s="27">
        <f t="shared" si="233"/>
        <v>5.3291356560116333E-4</v>
      </c>
      <c r="I518" s="27">
        <f t="shared" si="233"/>
        <v>5.3291356560116333E-4</v>
      </c>
      <c r="J518" s="27">
        <f t="shared" si="233"/>
        <v>5.3291356560116333E-4</v>
      </c>
      <c r="K518" s="27">
        <f t="shared" si="233"/>
        <v>2.235000595833502E-4</v>
      </c>
      <c r="L518" s="27">
        <f t="shared" si="233"/>
        <v>7.0536573787563067E-5</v>
      </c>
      <c r="M518" s="29">
        <v>0</v>
      </c>
      <c r="N518" s="27">
        <f t="shared" si="233"/>
        <v>5.3291356560116333E-4</v>
      </c>
      <c r="O518" s="27">
        <f t="shared" si="233"/>
        <v>5.3291356560116333E-4</v>
      </c>
      <c r="P518" s="27">
        <f t="shared" si="233"/>
        <v>5.3291356560116333E-4</v>
      </c>
      <c r="Q518" s="27">
        <f t="shared" si="233"/>
        <v>2.2461809569071994E-4</v>
      </c>
      <c r="R518" s="27">
        <f t="shared" si="233"/>
        <v>2.2461809569071994E-4</v>
      </c>
      <c r="S518" s="27">
        <f t="shared" si="233"/>
        <v>2.2461809569071994E-4</v>
      </c>
      <c r="T518" s="27">
        <f t="shared" si="233"/>
        <v>2.2461809569071994E-4</v>
      </c>
      <c r="U518" s="27">
        <f t="shared" si="233"/>
        <v>2.2461809569071994E-4</v>
      </c>
      <c r="V518" s="27">
        <f t="shared" si="233"/>
        <v>2.2461809569071994E-4</v>
      </c>
      <c r="W518" s="27">
        <f t="shared" si="233"/>
        <v>1.8650967417570838E-4</v>
      </c>
      <c r="X518" s="27">
        <f t="shared" si="233"/>
        <v>1.8650967417570838E-4</v>
      </c>
      <c r="Y518" s="27">
        <f t="shared" si="233"/>
        <v>1.8650967417570838E-4</v>
      </c>
    </row>
    <row r="519" spans="1:25" outlineLevel="1" x14ac:dyDescent="0.3">
      <c r="A519" t="s">
        <v>139</v>
      </c>
      <c r="B519" t="s">
        <v>84</v>
      </c>
      <c r="C519" s="6" t="s">
        <v>160</v>
      </c>
      <c r="D519" t="s">
        <v>48</v>
      </c>
      <c r="E519" s="27" t="e">
        <f t="shared" si="229"/>
        <v>#DIV/0!</v>
      </c>
      <c r="F519" s="27">
        <f t="shared" si="233"/>
        <v>6.1127676517822759E-5</v>
      </c>
      <c r="G519" s="29">
        <v>0</v>
      </c>
      <c r="H519" s="27">
        <f t="shared" si="233"/>
        <v>5.2993084042055982E-4</v>
      </c>
      <c r="I519" s="27">
        <f t="shared" si="233"/>
        <v>5.2993084042055982E-4</v>
      </c>
      <c r="J519" s="27">
        <f t="shared" si="233"/>
        <v>5.2993084042055982E-4</v>
      </c>
      <c r="K519" s="27">
        <f t="shared" si="233"/>
        <v>2.2822718210387943E-4</v>
      </c>
      <c r="L519" s="27">
        <f t="shared" si="233"/>
        <v>6.3140697862142526E-5</v>
      </c>
      <c r="M519" s="29">
        <v>0</v>
      </c>
      <c r="N519" s="27">
        <f t="shared" si="233"/>
        <v>5.2993084042055982E-4</v>
      </c>
      <c r="O519" s="27">
        <f t="shared" si="233"/>
        <v>5.2993084042055982E-4</v>
      </c>
      <c r="P519" s="27">
        <f t="shared" si="233"/>
        <v>5.2993084042055982E-4</v>
      </c>
      <c r="Q519" s="27">
        <f t="shared" si="233"/>
        <v>2.2350749942030845E-4</v>
      </c>
      <c r="R519" s="27">
        <f t="shared" si="233"/>
        <v>2.2350749942030845E-4</v>
      </c>
      <c r="S519" s="27">
        <f t="shared" si="233"/>
        <v>2.2350749942030845E-4</v>
      </c>
      <c r="T519" s="27">
        <f t="shared" si="233"/>
        <v>2.2350749942030845E-4</v>
      </c>
      <c r="U519" s="27">
        <f t="shared" si="233"/>
        <v>2.2350749942030845E-4</v>
      </c>
      <c r="V519" s="27">
        <f t="shared" si="233"/>
        <v>2.2350749942030845E-4</v>
      </c>
      <c r="W519" s="27">
        <f t="shared" si="233"/>
        <v>1.8596906642447445E-4</v>
      </c>
      <c r="X519" s="27">
        <f t="shared" si="233"/>
        <v>1.8596906642447445E-4</v>
      </c>
      <c r="Y519" s="27">
        <f t="shared" si="233"/>
        <v>1.8596906642447445E-4</v>
      </c>
    </row>
    <row r="520" spans="1:25" outlineLevel="1" x14ac:dyDescent="0.3">
      <c r="A520" t="s">
        <v>139</v>
      </c>
      <c r="B520" t="s">
        <v>85</v>
      </c>
      <c r="C520" s="6" t="s">
        <v>161</v>
      </c>
      <c r="D520" t="s">
        <v>48</v>
      </c>
      <c r="E520" s="27" t="e">
        <f t="shared" si="229"/>
        <v>#DIV/0!</v>
      </c>
      <c r="F520" s="27">
        <f t="shared" ref="F520:Y533" si="234">F318/F$398</f>
        <v>4.2170327041969011E-5</v>
      </c>
      <c r="G520" s="29">
        <v>0</v>
      </c>
      <c r="H520" s="27">
        <f t="shared" si="234"/>
        <v>4.382120411170014E-4</v>
      </c>
      <c r="I520" s="27">
        <f t="shared" si="234"/>
        <v>4.382120411170014E-4</v>
      </c>
      <c r="J520" s="27">
        <f t="shared" si="234"/>
        <v>4.382120411170014E-4</v>
      </c>
      <c r="K520" s="27">
        <f t="shared" si="234"/>
        <v>2.4573179197661689E-4</v>
      </c>
      <c r="L520" s="27">
        <f t="shared" si="234"/>
        <v>5.7538405069952445E-5</v>
      </c>
      <c r="M520" s="29">
        <v>0</v>
      </c>
      <c r="N520" s="27">
        <f t="shared" si="234"/>
        <v>4.382120411170014E-4</v>
      </c>
      <c r="O520" s="27">
        <f t="shared" si="234"/>
        <v>4.382120411170014E-4</v>
      </c>
      <c r="P520" s="27">
        <f t="shared" si="234"/>
        <v>4.382120411170014E-4</v>
      </c>
      <c r="Q520" s="27">
        <f t="shared" si="234"/>
        <v>2.2239690314989699E-4</v>
      </c>
      <c r="R520" s="27">
        <f t="shared" si="234"/>
        <v>2.2239690314989699E-4</v>
      </c>
      <c r="S520" s="27">
        <f t="shared" si="234"/>
        <v>2.2239690314989699E-4</v>
      </c>
      <c r="T520" s="27">
        <f t="shared" si="234"/>
        <v>2.2239690314989699E-4</v>
      </c>
      <c r="U520" s="27">
        <f t="shared" si="234"/>
        <v>2.2239690314989699E-4</v>
      </c>
      <c r="V520" s="27">
        <f t="shared" si="234"/>
        <v>2.2239690314989699E-4</v>
      </c>
      <c r="W520" s="27">
        <f t="shared" si="234"/>
        <v>1.8488785092200658E-4</v>
      </c>
      <c r="X520" s="27">
        <f t="shared" si="234"/>
        <v>1.8488785092200658E-4</v>
      </c>
      <c r="Y520" s="27">
        <f t="shared" si="234"/>
        <v>1.8488785092200658E-4</v>
      </c>
    </row>
    <row r="521" spans="1:25" outlineLevel="1" x14ac:dyDescent="0.3">
      <c r="A521" t="s">
        <v>139</v>
      </c>
      <c r="B521" t="s">
        <v>86</v>
      </c>
      <c r="C521" s="6" t="s">
        <v>162</v>
      </c>
      <c r="D521" t="s">
        <v>48</v>
      </c>
      <c r="E521" s="27" t="e">
        <f t="shared" si="229"/>
        <v>#DIV/0!</v>
      </c>
      <c r="F521" s="27">
        <f t="shared" si="234"/>
        <v>2.8817377034968424E-5</v>
      </c>
      <c r="G521" s="29">
        <v>0</v>
      </c>
      <c r="H521" s="27">
        <f t="shared" si="234"/>
        <v>2.8286177129390106E-4</v>
      </c>
      <c r="I521" s="27">
        <f t="shared" si="234"/>
        <v>2.8286177129390106E-4</v>
      </c>
      <c r="J521" s="27">
        <f t="shared" si="234"/>
        <v>2.8286177129390106E-4</v>
      </c>
      <c r="K521" s="27">
        <f t="shared" si="234"/>
        <v>2.4884214110662735E-4</v>
      </c>
      <c r="L521" s="27">
        <f t="shared" si="234"/>
        <v>5.3025061984303718E-5</v>
      </c>
      <c r="M521" s="29">
        <v>0</v>
      </c>
      <c r="N521" s="27">
        <f t="shared" si="234"/>
        <v>2.8286177129390106E-4</v>
      </c>
      <c r="O521" s="27">
        <f t="shared" si="234"/>
        <v>2.8286177129390106E-4</v>
      </c>
      <c r="P521" s="27">
        <f t="shared" si="234"/>
        <v>2.8286177129390106E-4</v>
      </c>
      <c r="Q521" s="27">
        <f t="shared" si="234"/>
        <v>2.2211925408229414E-4</v>
      </c>
      <c r="R521" s="27">
        <f t="shared" si="234"/>
        <v>2.2211925408229414E-4</v>
      </c>
      <c r="S521" s="27">
        <f t="shared" si="234"/>
        <v>2.2211925408229414E-4</v>
      </c>
      <c r="T521" s="27">
        <f t="shared" si="234"/>
        <v>2.2211925408229414E-4</v>
      </c>
      <c r="U521" s="27">
        <f t="shared" si="234"/>
        <v>2.2211925408229414E-4</v>
      </c>
      <c r="V521" s="27">
        <f t="shared" si="234"/>
        <v>2.2211925408229414E-4</v>
      </c>
      <c r="W521" s="27">
        <f t="shared" si="234"/>
        <v>1.8380663541953869E-4</v>
      </c>
      <c r="X521" s="27">
        <f t="shared" si="234"/>
        <v>1.8380663541953869E-4</v>
      </c>
      <c r="Y521" s="27">
        <f t="shared" si="234"/>
        <v>1.8380663541953869E-4</v>
      </c>
    </row>
    <row r="522" spans="1:25" outlineLevel="1" x14ac:dyDescent="0.3">
      <c r="A522" t="s">
        <v>139</v>
      </c>
      <c r="B522" t="s">
        <v>87</v>
      </c>
      <c r="C522" s="6" t="s">
        <v>163</v>
      </c>
      <c r="D522" t="s">
        <v>48</v>
      </c>
      <c r="E522" s="27" t="e">
        <f t="shared" si="229"/>
        <v>#DIV/0!</v>
      </c>
      <c r="F522" s="27">
        <f t="shared" si="234"/>
        <v>2.0102808255774028E-5</v>
      </c>
      <c r="G522" s="29">
        <v>0</v>
      </c>
      <c r="H522" s="27">
        <f t="shared" si="234"/>
        <v>1.5833299500370385E-4</v>
      </c>
      <c r="I522" s="27">
        <f t="shared" si="234"/>
        <v>1.5833299500370385E-4</v>
      </c>
      <c r="J522" s="27">
        <f t="shared" si="234"/>
        <v>1.5833299500370385E-4</v>
      </c>
      <c r="K522" s="27">
        <f t="shared" si="234"/>
        <v>2.0668787781061846E-4</v>
      </c>
      <c r="L522" s="27">
        <f t="shared" si="234"/>
        <v>4.8904672726172279E-5</v>
      </c>
      <c r="M522" s="29">
        <v>0</v>
      </c>
      <c r="N522" s="27">
        <f t="shared" si="234"/>
        <v>1.5833299500370385E-4</v>
      </c>
      <c r="O522" s="27">
        <f t="shared" si="234"/>
        <v>1.5833299500370385E-4</v>
      </c>
      <c r="P522" s="27">
        <f t="shared" si="234"/>
        <v>1.5833299500370385E-4</v>
      </c>
      <c r="Q522" s="27">
        <f t="shared" si="234"/>
        <v>1.4937519837034282E-4</v>
      </c>
      <c r="R522" s="27">
        <f t="shared" si="234"/>
        <v>1.4937519837034282E-4</v>
      </c>
      <c r="S522" s="27">
        <f t="shared" si="234"/>
        <v>1.4937519837034282E-4</v>
      </c>
      <c r="T522" s="27">
        <f t="shared" si="234"/>
        <v>1.4937519837034282E-4</v>
      </c>
      <c r="U522" s="27">
        <f t="shared" si="234"/>
        <v>1.4937519837034282E-4</v>
      </c>
      <c r="V522" s="27">
        <f t="shared" si="234"/>
        <v>1.4937519837034282E-4</v>
      </c>
      <c r="W522" s="27">
        <f t="shared" si="234"/>
        <v>1.8353633154392172E-4</v>
      </c>
      <c r="X522" s="27">
        <f t="shared" si="234"/>
        <v>1.8353633154392172E-4</v>
      </c>
      <c r="Y522" s="27">
        <f t="shared" si="234"/>
        <v>1.8353633154392172E-4</v>
      </c>
    </row>
    <row r="523" spans="1:25" outlineLevel="1" x14ac:dyDescent="0.3">
      <c r="A523" t="s">
        <v>164</v>
      </c>
      <c r="B523" t="s">
        <v>64</v>
      </c>
      <c r="C523" s="6" t="s">
        <v>140</v>
      </c>
      <c r="D523" t="s">
        <v>48</v>
      </c>
      <c r="E523" s="27" t="e">
        <f t="shared" si="229"/>
        <v>#DIV/0!</v>
      </c>
      <c r="F523" s="27">
        <f t="shared" si="234"/>
        <v>4.7538761607866614E-5</v>
      </c>
      <c r="G523" s="29">
        <v>0</v>
      </c>
      <c r="H523" s="27">
        <f t="shared" si="234"/>
        <v>7.3847026523843952E-5</v>
      </c>
      <c r="I523" s="27">
        <f t="shared" si="234"/>
        <v>7.3847026523843952E-5</v>
      </c>
      <c r="J523" s="27">
        <f t="shared" si="234"/>
        <v>7.3847026523843952E-5</v>
      </c>
      <c r="K523" s="27">
        <f t="shared" si="234"/>
        <v>3.8538193414087307E-5</v>
      </c>
      <c r="L523" s="27">
        <f t="shared" si="234"/>
        <v>8.526909941506277E-5</v>
      </c>
      <c r="M523" s="29">
        <v>0</v>
      </c>
      <c r="N523" s="27">
        <f t="shared" si="234"/>
        <v>7.3847026523843952E-5</v>
      </c>
      <c r="O523" s="27">
        <f t="shared" si="234"/>
        <v>7.3847026523843952E-5</v>
      </c>
      <c r="P523" s="27">
        <f t="shared" si="234"/>
        <v>7.3847026523843952E-5</v>
      </c>
      <c r="Q523" s="27">
        <f t="shared" si="234"/>
        <v>7.1081179230981964E-5</v>
      </c>
      <c r="R523" s="27">
        <f t="shared" si="234"/>
        <v>7.1081179230981964E-5</v>
      </c>
      <c r="S523" s="27">
        <f t="shared" si="234"/>
        <v>7.1081179230981964E-5</v>
      </c>
      <c r="T523" s="27">
        <f t="shared" si="234"/>
        <v>7.1081179230981964E-5</v>
      </c>
      <c r="U523" s="27">
        <f t="shared" si="234"/>
        <v>7.1081179230981964E-5</v>
      </c>
      <c r="V523" s="27">
        <f t="shared" si="234"/>
        <v>7.1081179230981964E-5</v>
      </c>
      <c r="W523" s="27">
        <f t="shared" si="234"/>
        <v>1.3406484613480736E-4</v>
      </c>
      <c r="X523" s="27">
        <f t="shared" si="234"/>
        <v>1.3406484613480736E-4</v>
      </c>
      <c r="Y523" s="27">
        <f t="shared" si="234"/>
        <v>1.3406484613480736E-4</v>
      </c>
    </row>
    <row r="524" spans="1:25" outlineLevel="1" x14ac:dyDescent="0.3">
      <c r="A524" t="s">
        <v>164</v>
      </c>
      <c r="B524" t="s">
        <v>65</v>
      </c>
      <c r="C524" s="6" t="s">
        <v>141</v>
      </c>
      <c r="D524" t="s">
        <v>48</v>
      </c>
      <c r="E524" s="27" t="e">
        <f t="shared" si="229"/>
        <v>#DIV/0!</v>
      </c>
      <c r="F524" s="27">
        <f t="shared" si="234"/>
        <v>4.0252610099266612E-5</v>
      </c>
      <c r="G524" s="29">
        <v>0</v>
      </c>
      <c r="H524" s="27">
        <f t="shared" si="234"/>
        <v>6.379874331468155E-5</v>
      </c>
      <c r="I524" s="27">
        <f t="shared" si="234"/>
        <v>6.379874331468155E-5</v>
      </c>
      <c r="J524" s="27">
        <f t="shared" si="234"/>
        <v>6.379874331468155E-5</v>
      </c>
      <c r="K524" s="27">
        <f t="shared" si="234"/>
        <v>3.4699060627841473E-5</v>
      </c>
      <c r="L524" s="27">
        <f t="shared" si="234"/>
        <v>8.1544748389636589E-5</v>
      </c>
      <c r="M524" s="29">
        <v>0</v>
      </c>
      <c r="N524" s="27">
        <f t="shared" si="234"/>
        <v>6.379874331468155E-5</v>
      </c>
      <c r="O524" s="27">
        <f t="shared" si="234"/>
        <v>6.379874331468155E-5</v>
      </c>
      <c r="P524" s="27">
        <f t="shared" si="234"/>
        <v>6.379874331468155E-5</v>
      </c>
      <c r="Q524" s="27">
        <f t="shared" si="234"/>
        <v>7.0592275438029079E-5</v>
      </c>
      <c r="R524" s="27">
        <f t="shared" si="234"/>
        <v>7.0592275438029079E-5</v>
      </c>
      <c r="S524" s="27">
        <f t="shared" si="234"/>
        <v>7.0592275438029079E-5</v>
      </c>
      <c r="T524" s="27">
        <f t="shared" si="234"/>
        <v>7.0592275438029079E-5</v>
      </c>
      <c r="U524" s="27">
        <f t="shared" si="234"/>
        <v>7.0592275438029079E-5</v>
      </c>
      <c r="V524" s="27">
        <f t="shared" si="234"/>
        <v>7.0592275438029079E-5</v>
      </c>
      <c r="W524" s="27">
        <f t="shared" si="234"/>
        <v>1.3380041843039946E-4</v>
      </c>
      <c r="X524" s="27">
        <f t="shared" si="234"/>
        <v>1.3380041843039946E-4</v>
      </c>
      <c r="Y524" s="27">
        <f t="shared" si="234"/>
        <v>1.3380041843039946E-4</v>
      </c>
    </row>
    <row r="525" spans="1:25" outlineLevel="1" x14ac:dyDescent="0.3">
      <c r="A525" t="s">
        <v>164</v>
      </c>
      <c r="B525" t="s">
        <v>66</v>
      </c>
      <c r="C525" s="6" t="s">
        <v>142</v>
      </c>
      <c r="D525" t="s">
        <v>48</v>
      </c>
      <c r="E525" s="27" t="e">
        <f t="shared" si="229"/>
        <v>#DIV/0!</v>
      </c>
      <c r="F525" s="27">
        <f t="shared" si="234"/>
        <v>3.8466505498875811E-5</v>
      </c>
      <c r="G525" s="29">
        <v>0</v>
      </c>
      <c r="H525" s="27">
        <f t="shared" si="234"/>
        <v>6.161811427182279E-5</v>
      </c>
      <c r="I525" s="27">
        <f t="shared" si="234"/>
        <v>6.161811427182279E-5</v>
      </c>
      <c r="J525" s="27">
        <f t="shared" si="234"/>
        <v>6.161811427182279E-5</v>
      </c>
      <c r="K525" s="27">
        <f t="shared" si="234"/>
        <v>3.4257679195197806E-5</v>
      </c>
      <c r="L525" s="27">
        <f t="shared" si="234"/>
        <v>8.0278445186992352E-5</v>
      </c>
      <c r="M525" s="29">
        <v>0</v>
      </c>
      <c r="N525" s="27">
        <f t="shared" si="234"/>
        <v>6.161811427182279E-5</v>
      </c>
      <c r="O525" s="27">
        <f t="shared" si="234"/>
        <v>6.161811427182279E-5</v>
      </c>
      <c r="P525" s="27">
        <f t="shared" si="234"/>
        <v>6.161811427182279E-5</v>
      </c>
      <c r="Q525" s="27">
        <f t="shared" si="234"/>
        <v>7.045646882887552E-5</v>
      </c>
      <c r="R525" s="27">
        <f t="shared" si="234"/>
        <v>7.045646882887552E-5</v>
      </c>
      <c r="S525" s="27">
        <f t="shared" si="234"/>
        <v>7.045646882887552E-5</v>
      </c>
      <c r="T525" s="27">
        <f t="shared" si="234"/>
        <v>7.045646882887552E-5</v>
      </c>
      <c r="U525" s="27">
        <f t="shared" si="234"/>
        <v>7.045646882887552E-5</v>
      </c>
      <c r="V525" s="27">
        <f t="shared" si="234"/>
        <v>7.045646882887552E-5</v>
      </c>
      <c r="W525" s="27">
        <f t="shared" si="234"/>
        <v>1.3380041843039946E-4</v>
      </c>
      <c r="X525" s="27">
        <f t="shared" si="234"/>
        <v>1.3380041843039946E-4</v>
      </c>
      <c r="Y525" s="27">
        <f t="shared" si="234"/>
        <v>1.3380041843039946E-4</v>
      </c>
    </row>
    <row r="526" spans="1:25" outlineLevel="1" x14ac:dyDescent="0.3">
      <c r="A526" t="s">
        <v>164</v>
      </c>
      <c r="B526" t="s">
        <v>67</v>
      </c>
      <c r="C526" s="6" t="s">
        <v>143</v>
      </c>
      <c r="D526" t="s">
        <v>48</v>
      </c>
      <c r="E526" s="27" t="e">
        <f t="shared" si="229"/>
        <v>#DIV/0!</v>
      </c>
      <c r="F526" s="27">
        <f t="shared" si="234"/>
        <v>4.0864585312091906E-5</v>
      </c>
      <c r="G526" s="29">
        <v>0</v>
      </c>
      <c r="H526" s="27">
        <f t="shared" si="234"/>
        <v>6.1566100569916584E-5</v>
      </c>
      <c r="I526" s="27">
        <f t="shared" si="234"/>
        <v>6.1566100569916584E-5</v>
      </c>
      <c r="J526" s="27">
        <f t="shared" si="234"/>
        <v>6.1566100569916584E-5</v>
      </c>
      <c r="K526" s="27">
        <f t="shared" si="234"/>
        <v>3.5113012209366656E-5</v>
      </c>
      <c r="L526" s="27">
        <f t="shared" si="234"/>
        <v>8.0546873885507927E-5</v>
      </c>
      <c r="M526" s="29">
        <v>0</v>
      </c>
      <c r="N526" s="27">
        <f t="shared" si="234"/>
        <v>6.1566100569916584E-5</v>
      </c>
      <c r="O526" s="27">
        <f t="shared" si="234"/>
        <v>6.1566100569916584E-5</v>
      </c>
      <c r="P526" s="27">
        <f t="shared" si="234"/>
        <v>6.1566100569916584E-5</v>
      </c>
      <c r="Q526" s="27">
        <f t="shared" si="234"/>
        <v>7.045646882887552E-5</v>
      </c>
      <c r="R526" s="27">
        <f t="shared" si="234"/>
        <v>7.045646882887552E-5</v>
      </c>
      <c r="S526" s="27">
        <f t="shared" si="234"/>
        <v>7.045646882887552E-5</v>
      </c>
      <c r="T526" s="27">
        <f t="shared" si="234"/>
        <v>7.045646882887552E-5</v>
      </c>
      <c r="U526" s="27">
        <f t="shared" si="234"/>
        <v>7.045646882887552E-5</v>
      </c>
      <c r="V526" s="27">
        <f t="shared" si="234"/>
        <v>7.045646882887552E-5</v>
      </c>
      <c r="W526" s="27">
        <f t="shared" si="234"/>
        <v>1.3406484613480736E-4</v>
      </c>
      <c r="X526" s="27">
        <f t="shared" si="234"/>
        <v>1.3406484613480736E-4</v>
      </c>
      <c r="Y526" s="27">
        <f t="shared" si="234"/>
        <v>1.3406484613480736E-4</v>
      </c>
    </row>
    <row r="527" spans="1:25" outlineLevel="1" x14ac:dyDescent="0.3">
      <c r="A527" t="s">
        <v>164</v>
      </c>
      <c r="B527" t="s">
        <v>68</v>
      </c>
      <c r="C527" s="6" t="s">
        <v>144</v>
      </c>
      <c r="D527" t="s">
        <v>48</v>
      </c>
      <c r="E527" s="27" t="e">
        <f t="shared" si="229"/>
        <v>#DIV/0!</v>
      </c>
      <c r="F527" s="27">
        <f t="shared" si="234"/>
        <v>4.8842980167544972E-5</v>
      </c>
      <c r="G527" s="29">
        <v>0</v>
      </c>
      <c r="H527" s="27">
        <f t="shared" si="234"/>
        <v>6.4804231320387051E-5</v>
      </c>
      <c r="I527" s="27">
        <f t="shared" si="234"/>
        <v>6.4804231320387051E-5</v>
      </c>
      <c r="J527" s="27">
        <f t="shared" si="234"/>
        <v>6.4804231320387051E-5</v>
      </c>
      <c r="K527" s="27">
        <f t="shared" si="234"/>
        <v>3.5577563271020492E-5</v>
      </c>
      <c r="L527" s="27">
        <f t="shared" si="234"/>
        <v>8.2664806401317351E-5</v>
      </c>
      <c r="M527" s="29">
        <v>0</v>
      </c>
      <c r="N527" s="27">
        <f t="shared" si="234"/>
        <v>6.4804231320387051E-5</v>
      </c>
      <c r="O527" s="27">
        <f t="shared" si="234"/>
        <v>6.4804231320387051E-5</v>
      </c>
      <c r="P527" s="27">
        <f t="shared" si="234"/>
        <v>6.4804231320387051E-5</v>
      </c>
      <c r="Q527" s="27">
        <f t="shared" si="234"/>
        <v>7.0402146185214088E-5</v>
      </c>
      <c r="R527" s="27">
        <f t="shared" si="234"/>
        <v>7.0402146185214088E-5</v>
      </c>
      <c r="S527" s="27">
        <f t="shared" si="234"/>
        <v>7.0402146185214088E-5</v>
      </c>
      <c r="T527" s="27">
        <f t="shared" si="234"/>
        <v>7.0402146185214088E-5</v>
      </c>
      <c r="U527" s="27">
        <f t="shared" si="234"/>
        <v>7.0402146185214088E-5</v>
      </c>
      <c r="V527" s="27">
        <f t="shared" si="234"/>
        <v>7.0402146185214088E-5</v>
      </c>
      <c r="W527" s="27">
        <f t="shared" si="234"/>
        <v>1.3459370154362318E-4</v>
      </c>
      <c r="X527" s="27">
        <f t="shared" si="234"/>
        <v>1.3459370154362318E-4</v>
      </c>
      <c r="Y527" s="27">
        <f t="shared" si="234"/>
        <v>1.3459370154362318E-4</v>
      </c>
    </row>
    <row r="528" spans="1:25" outlineLevel="1" x14ac:dyDescent="0.3">
      <c r="A528" t="s">
        <v>164</v>
      </c>
      <c r="B528" t="s">
        <v>69</v>
      </c>
      <c r="C528" s="6" t="s">
        <v>145</v>
      </c>
      <c r="D528" t="s">
        <v>48</v>
      </c>
      <c r="E528" s="27" t="e">
        <f t="shared" si="229"/>
        <v>#DIV/0!</v>
      </c>
      <c r="F528" s="27">
        <f t="shared" si="234"/>
        <v>6.2751953978816593E-5</v>
      </c>
      <c r="G528" s="29">
        <v>0</v>
      </c>
      <c r="H528" s="27">
        <f t="shared" si="234"/>
        <v>8.3889145704474157E-5</v>
      </c>
      <c r="I528" s="27">
        <f t="shared" si="234"/>
        <v>8.3889145704474157E-5</v>
      </c>
      <c r="J528" s="27">
        <f t="shared" si="234"/>
        <v>8.3889145704474157E-5</v>
      </c>
      <c r="K528" s="27">
        <f t="shared" si="234"/>
        <v>4.0762365687955164E-5</v>
      </c>
      <c r="L528" s="27">
        <f t="shared" si="234"/>
        <v>8.7505607669370237E-5</v>
      </c>
      <c r="M528" s="29">
        <v>0</v>
      </c>
      <c r="N528" s="27">
        <f t="shared" si="234"/>
        <v>8.3889145704474157E-5</v>
      </c>
      <c r="O528" s="27">
        <f t="shared" si="234"/>
        <v>8.3889145704474157E-5</v>
      </c>
      <c r="P528" s="27">
        <f t="shared" si="234"/>
        <v>8.3889145704474157E-5</v>
      </c>
      <c r="Q528" s="27">
        <f t="shared" si="234"/>
        <v>7.045646882887552E-5</v>
      </c>
      <c r="R528" s="27">
        <f t="shared" si="234"/>
        <v>7.045646882887552E-5</v>
      </c>
      <c r="S528" s="27">
        <f t="shared" si="234"/>
        <v>7.045646882887552E-5</v>
      </c>
      <c r="T528" s="27">
        <f t="shared" si="234"/>
        <v>7.045646882887552E-5</v>
      </c>
      <c r="U528" s="27">
        <f t="shared" si="234"/>
        <v>7.045646882887552E-5</v>
      </c>
      <c r="V528" s="27">
        <f t="shared" si="234"/>
        <v>7.045646882887552E-5</v>
      </c>
      <c r="W528" s="27">
        <f t="shared" si="234"/>
        <v>1.353869846568469E-4</v>
      </c>
      <c r="X528" s="27">
        <f t="shared" si="234"/>
        <v>1.353869846568469E-4</v>
      </c>
      <c r="Y528" s="27">
        <f t="shared" si="234"/>
        <v>1.353869846568469E-4</v>
      </c>
    </row>
    <row r="529" spans="1:25" outlineLevel="1" x14ac:dyDescent="0.3">
      <c r="A529" t="s">
        <v>164</v>
      </c>
      <c r="B529" t="s">
        <v>70</v>
      </c>
      <c r="C529" s="6" t="s">
        <v>146</v>
      </c>
      <c r="D529" t="s">
        <v>48</v>
      </c>
      <c r="E529" s="27" t="e">
        <f t="shared" si="229"/>
        <v>#DIV/0!</v>
      </c>
      <c r="F529" s="27">
        <f t="shared" si="234"/>
        <v>8.3843458062684073E-5</v>
      </c>
      <c r="G529" s="29">
        <v>0</v>
      </c>
      <c r="H529" s="27">
        <f t="shared" si="234"/>
        <v>9.6169772575360328E-5</v>
      </c>
      <c r="I529" s="27">
        <f t="shared" si="234"/>
        <v>9.6169772575360328E-5</v>
      </c>
      <c r="J529" s="27">
        <f t="shared" si="234"/>
        <v>9.6169772575360328E-5</v>
      </c>
      <c r="K529" s="27">
        <f t="shared" si="234"/>
        <v>7.0613218815788686E-5</v>
      </c>
      <c r="L529" s="27">
        <f t="shared" si="234"/>
        <v>9.7016743117672778E-5</v>
      </c>
      <c r="M529" s="29">
        <v>0</v>
      </c>
      <c r="N529" s="27">
        <f t="shared" si="234"/>
        <v>9.6169772575360328E-5</v>
      </c>
      <c r="O529" s="27">
        <f t="shared" si="234"/>
        <v>9.6169772575360328E-5</v>
      </c>
      <c r="P529" s="27">
        <f t="shared" si="234"/>
        <v>9.6169772575360328E-5</v>
      </c>
      <c r="Q529" s="27">
        <f t="shared" si="234"/>
        <v>8.6101390203367537E-5</v>
      </c>
      <c r="R529" s="27">
        <f t="shared" si="234"/>
        <v>8.6101390203367537E-5</v>
      </c>
      <c r="S529" s="27">
        <f t="shared" si="234"/>
        <v>8.6101390203367537E-5</v>
      </c>
      <c r="T529" s="27">
        <f t="shared" si="234"/>
        <v>8.6101390203367537E-5</v>
      </c>
      <c r="U529" s="27">
        <f t="shared" si="234"/>
        <v>8.6101390203367537E-5</v>
      </c>
      <c r="V529" s="27">
        <f t="shared" si="234"/>
        <v>8.6101390203367537E-5</v>
      </c>
      <c r="W529" s="27">
        <f t="shared" si="234"/>
        <v>1.3565141236125477E-4</v>
      </c>
      <c r="X529" s="27">
        <f t="shared" si="234"/>
        <v>1.3565141236125477E-4</v>
      </c>
      <c r="Y529" s="27">
        <f t="shared" si="234"/>
        <v>1.3565141236125477E-4</v>
      </c>
    </row>
    <row r="530" spans="1:25" outlineLevel="1" x14ac:dyDescent="0.3">
      <c r="A530" t="s">
        <v>164</v>
      </c>
      <c r="B530" t="s">
        <v>71</v>
      </c>
      <c r="C530" s="6" t="s">
        <v>147</v>
      </c>
      <c r="D530" t="s">
        <v>48</v>
      </c>
      <c r="E530" s="27" t="e">
        <f t="shared" si="229"/>
        <v>#DIV/0!</v>
      </c>
      <c r="F530" s="27">
        <f t="shared" si="234"/>
        <v>1.1234329343169281E-4</v>
      </c>
      <c r="G530" s="29">
        <v>0</v>
      </c>
      <c r="H530" s="27">
        <f t="shared" si="234"/>
        <v>6.8031125788471991E-5</v>
      </c>
      <c r="I530" s="27">
        <f t="shared" si="234"/>
        <v>6.8031125788471991E-5</v>
      </c>
      <c r="J530" s="27">
        <f t="shared" si="234"/>
        <v>6.8031125788471991E-5</v>
      </c>
      <c r="K530" s="27">
        <f t="shared" si="234"/>
        <v>9.046959087750131E-5</v>
      </c>
      <c r="L530" s="27">
        <f t="shared" si="234"/>
        <v>1.1294818248767604E-4</v>
      </c>
      <c r="M530" s="29">
        <v>0</v>
      </c>
      <c r="N530" s="27">
        <f t="shared" si="234"/>
        <v>6.8031125788471991E-5</v>
      </c>
      <c r="O530" s="27">
        <f t="shared" si="234"/>
        <v>6.8031125788471991E-5</v>
      </c>
      <c r="P530" s="27">
        <f t="shared" si="234"/>
        <v>6.8031125788471991E-5</v>
      </c>
      <c r="Q530" s="27">
        <f t="shared" si="234"/>
        <v>1.1136141950593277E-4</v>
      </c>
      <c r="R530" s="27">
        <f t="shared" si="234"/>
        <v>1.1136141950593277E-4</v>
      </c>
      <c r="S530" s="27">
        <f t="shared" si="234"/>
        <v>1.1136141950593277E-4</v>
      </c>
      <c r="T530" s="27">
        <f t="shared" si="234"/>
        <v>1.1136141950593277E-4</v>
      </c>
      <c r="U530" s="27">
        <f t="shared" si="234"/>
        <v>1.1136141950593277E-4</v>
      </c>
      <c r="V530" s="27">
        <f t="shared" si="234"/>
        <v>1.1136141950593277E-4</v>
      </c>
      <c r="W530" s="27">
        <f t="shared" si="234"/>
        <v>1.3591584006566269E-4</v>
      </c>
      <c r="X530" s="27">
        <f t="shared" si="234"/>
        <v>1.3591584006566269E-4</v>
      </c>
      <c r="Y530" s="27">
        <f t="shared" si="234"/>
        <v>1.3591584006566269E-4</v>
      </c>
    </row>
    <row r="531" spans="1:25" outlineLevel="1" x14ac:dyDescent="0.3">
      <c r="A531" t="s">
        <v>164</v>
      </c>
      <c r="B531" t="s">
        <v>72</v>
      </c>
      <c r="C531" s="6" t="s">
        <v>148</v>
      </c>
      <c r="D531" t="s">
        <v>48</v>
      </c>
      <c r="E531" s="27" t="e">
        <f t="shared" si="229"/>
        <v>#DIV/0!</v>
      </c>
      <c r="F531" s="27">
        <f t="shared" si="234"/>
        <v>1.4349298832160855E-4</v>
      </c>
      <c r="G531" s="29">
        <v>0</v>
      </c>
      <c r="H531" s="27">
        <f t="shared" si="234"/>
        <v>8.1943890151906651E-5</v>
      </c>
      <c r="I531" s="27">
        <f t="shared" si="234"/>
        <v>8.1943890151906651E-5</v>
      </c>
      <c r="J531" s="27">
        <f t="shared" si="234"/>
        <v>8.1943890151906651E-5</v>
      </c>
      <c r="K531" s="27">
        <f t="shared" si="234"/>
        <v>8.4492686111373923E-5</v>
      </c>
      <c r="L531" s="27">
        <f t="shared" si="234"/>
        <v>1.3537074011472686E-4</v>
      </c>
      <c r="M531" s="29">
        <v>0</v>
      </c>
      <c r="N531" s="27">
        <f t="shared" si="234"/>
        <v>8.1943890151906651E-5</v>
      </c>
      <c r="O531" s="27">
        <f t="shared" si="234"/>
        <v>8.1943890151906651E-5</v>
      </c>
      <c r="P531" s="27">
        <f t="shared" si="234"/>
        <v>8.1943890151906651E-5</v>
      </c>
      <c r="Q531" s="27">
        <f t="shared" si="234"/>
        <v>1.2765821260436196E-4</v>
      </c>
      <c r="R531" s="27">
        <f t="shared" si="234"/>
        <v>1.2765821260436196E-4</v>
      </c>
      <c r="S531" s="27">
        <f t="shared" si="234"/>
        <v>1.2765821260436196E-4</v>
      </c>
      <c r="T531" s="27">
        <f t="shared" si="234"/>
        <v>1.2765821260436196E-4</v>
      </c>
      <c r="U531" s="27">
        <f t="shared" si="234"/>
        <v>1.2765821260436196E-4</v>
      </c>
      <c r="V531" s="27">
        <f t="shared" si="234"/>
        <v>1.2765821260436196E-4</v>
      </c>
      <c r="W531" s="27">
        <f t="shared" si="234"/>
        <v>1.3565141236125477E-4</v>
      </c>
      <c r="X531" s="27">
        <f t="shared" si="234"/>
        <v>1.3565141236125477E-4</v>
      </c>
      <c r="Y531" s="27">
        <f t="shared" si="234"/>
        <v>1.3565141236125477E-4</v>
      </c>
    </row>
    <row r="532" spans="1:25" outlineLevel="1" x14ac:dyDescent="0.3">
      <c r="A532" t="s">
        <v>164</v>
      </c>
      <c r="B532" t="s">
        <v>73</v>
      </c>
      <c r="C532" s="6" t="s">
        <v>149</v>
      </c>
      <c r="D532" t="s">
        <v>48</v>
      </c>
      <c r="E532" s="27" t="e">
        <f t="shared" ref="E532:T594" si="235">E330/E$398</f>
        <v>#DIV/0!</v>
      </c>
      <c r="F532" s="27">
        <f t="shared" si="235"/>
        <v>1.7325614170577276E-4</v>
      </c>
      <c r="G532" s="29">
        <v>0</v>
      </c>
      <c r="H532" s="27">
        <f t="shared" si="235"/>
        <v>8.4861773480757917E-5</v>
      </c>
      <c r="I532" s="27">
        <f t="shared" si="235"/>
        <v>8.4861773480757917E-5</v>
      </c>
      <c r="J532" s="27">
        <f t="shared" si="235"/>
        <v>8.4861773480757917E-5</v>
      </c>
      <c r="K532" s="27">
        <f t="shared" si="235"/>
        <v>6.8645967831348068E-5</v>
      </c>
      <c r="L532" s="27">
        <f t="shared" si="235"/>
        <v>1.5942989571423786E-4</v>
      </c>
      <c r="M532" s="29">
        <v>0</v>
      </c>
      <c r="N532" s="27">
        <f t="shared" si="235"/>
        <v>8.4861773480757917E-5</v>
      </c>
      <c r="O532" s="27">
        <f t="shared" si="235"/>
        <v>8.4861773480757917E-5</v>
      </c>
      <c r="P532" s="27">
        <f t="shared" si="235"/>
        <v>8.4861773480757917E-5</v>
      </c>
      <c r="Q532" s="27">
        <f t="shared" si="235"/>
        <v>1.3906596777326239E-4</v>
      </c>
      <c r="R532" s="27">
        <f t="shared" si="235"/>
        <v>1.3906596777326239E-4</v>
      </c>
      <c r="S532" s="27">
        <f t="shared" si="235"/>
        <v>1.3906596777326239E-4</v>
      </c>
      <c r="T532" s="27">
        <f t="shared" si="235"/>
        <v>1.3906596777326239E-4</v>
      </c>
      <c r="U532" s="27">
        <f t="shared" si="234"/>
        <v>1.3906596777326239E-4</v>
      </c>
      <c r="V532" s="27">
        <f t="shared" si="234"/>
        <v>1.3906596777326239E-4</v>
      </c>
      <c r="W532" s="27">
        <f t="shared" si="234"/>
        <v>1.353869846568469E-4</v>
      </c>
      <c r="X532" s="27">
        <f t="shared" si="234"/>
        <v>1.353869846568469E-4</v>
      </c>
      <c r="Y532" s="27">
        <f t="shared" si="234"/>
        <v>1.353869846568469E-4</v>
      </c>
    </row>
    <row r="533" spans="1:25" outlineLevel="1" x14ac:dyDescent="0.3">
      <c r="A533" t="s">
        <v>164</v>
      </c>
      <c r="B533" t="s">
        <v>74</v>
      </c>
      <c r="C533" s="6" t="s">
        <v>150</v>
      </c>
      <c r="D533" t="s">
        <v>48</v>
      </c>
      <c r="E533" s="27" t="e">
        <f t="shared" si="235"/>
        <v>#DIV/0!</v>
      </c>
      <c r="F533" s="27">
        <f t="shared" si="234"/>
        <v>2.1162413038269373E-4</v>
      </c>
      <c r="G533" s="29">
        <v>0</v>
      </c>
      <c r="H533" s="27">
        <f t="shared" si="234"/>
        <v>8.5348087368899791E-5</v>
      </c>
      <c r="I533" s="27">
        <f t="shared" si="234"/>
        <v>8.5348087368899791E-5</v>
      </c>
      <c r="J533" s="27">
        <f t="shared" si="234"/>
        <v>8.5348087368899791E-5</v>
      </c>
      <c r="K533" s="27">
        <f t="shared" si="234"/>
        <v>5.830188695975927E-5</v>
      </c>
      <c r="L533" s="27">
        <f t="shared" si="234"/>
        <v>1.8270838468169756E-4</v>
      </c>
      <c r="M533" s="29">
        <v>0</v>
      </c>
      <c r="N533" s="27">
        <f t="shared" si="234"/>
        <v>8.5348087368899791E-5</v>
      </c>
      <c r="O533" s="27">
        <f t="shared" si="234"/>
        <v>8.5348087368899791E-5</v>
      </c>
      <c r="P533" s="27">
        <f t="shared" ref="F533:Y546" si="236">P331/P$398</f>
        <v>8.5348087368899791E-5</v>
      </c>
      <c r="Q533" s="27">
        <f t="shared" si="236"/>
        <v>1.4476984535771259E-4</v>
      </c>
      <c r="R533" s="27">
        <f t="shared" si="236"/>
        <v>1.4476984535771259E-4</v>
      </c>
      <c r="S533" s="27">
        <f t="shared" si="236"/>
        <v>1.4476984535771259E-4</v>
      </c>
      <c r="T533" s="27">
        <f t="shared" si="236"/>
        <v>1.4476984535771259E-4</v>
      </c>
      <c r="U533" s="27">
        <f t="shared" si="236"/>
        <v>1.4476984535771259E-4</v>
      </c>
      <c r="V533" s="27">
        <f t="shared" si="236"/>
        <v>1.4476984535771259E-4</v>
      </c>
      <c r="W533" s="27">
        <f t="shared" si="236"/>
        <v>1.353869846568469E-4</v>
      </c>
      <c r="X533" s="27">
        <f t="shared" si="236"/>
        <v>1.353869846568469E-4</v>
      </c>
      <c r="Y533" s="27">
        <f t="shared" si="236"/>
        <v>1.353869846568469E-4</v>
      </c>
    </row>
    <row r="534" spans="1:25" outlineLevel="1" x14ac:dyDescent="0.3">
      <c r="A534" t="s">
        <v>164</v>
      </c>
      <c r="B534" t="s">
        <v>75</v>
      </c>
      <c r="C534" s="6" t="s">
        <v>151</v>
      </c>
      <c r="D534" t="s">
        <v>48</v>
      </c>
      <c r="E534" s="27" t="e">
        <f t="shared" si="235"/>
        <v>#DIV/0!</v>
      </c>
      <c r="F534" s="27">
        <f t="shared" si="236"/>
        <v>2.641959747074345E-4</v>
      </c>
      <c r="G534" s="29">
        <v>0</v>
      </c>
      <c r="H534" s="27">
        <f t="shared" si="236"/>
        <v>9.0454383194389534E-5</v>
      </c>
      <c r="I534" s="27">
        <f t="shared" si="236"/>
        <v>9.0454383194389534E-5</v>
      </c>
      <c r="J534" s="27">
        <f t="shared" si="236"/>
        <v>9.0454383194389534E-5</v>
      </c>
      <c r="K534" s="27">
        <f t="shared" si="236"/>
        <v>5.1644691989597888E-5</v>
      </c>
      <c r="L534" s="27">
        <f t="shared" si="236"/>
        <v>2.0187233765347248E-4</v>
      </c>
      <c r="M534" s="29">
        <v>0</v>
      </c>
      <c r="N534" s="27">
        <f t="shared" si="236"/>
        <v>9.0454383194389534E-5</v>
      </c>
      <c r="O534" s="27">
        <f t="shared" si="236"/>
        <v>9.0454383194389534E-5</v>
      </c>
      <c r="P534" s="27">
        <f t="shared" si="236"/>
        <v>9.0454383194389534E-5</v>
      </c>
      <c r="Q534" s="27">
        <f t="shared" si="236"/>
        <v>1.4558468501263405E-4</v>
      </c>
      <c r="R534" s="27">
        <f t="shared" si="236"/>
        <v>1.4558468501263405E-4</v>
      </c>
      <c r="S534" s="27">
        <f t="shared" si="236"/>
        <v>1.4558468501263405E-4</v>
      </c>
      <c r="T534" s="27">
        <f t="shared" si="236"/>
        <v>1.4558468501263405E-4</v>
      </c>
      <c r="U534" s="27">
        <f t="shared" si="236"/>
        <v>1.4558468501263405E-4</v>
      </c>
      <c r="V534" s="27">
        <f t="shared" si="236"/>
        <v>1.4558468501263405E-4</v>
      </c>
      <c r="W534" s="27">
        <f t="shared" si="236"/>
        <v>1.3512255695243897E-4</v>
      </c>
      <c r="X534" s="27">
        <f t="shared" si="236"/>
        <v>1.3512255695243897E-4</v>
      </c>
      <c r="Y534" s="27">
        <f t="shared" si="236"/>
        <v>1.3512255695243897E-4</v>
      </c>
    </row>
    <row r="535" spans="1:25" outlineLevel="1" x14ac:dyDescent="0.3">
      <c r="A535" t="s">
        <v>164</v>
      </c>
      <c r="B535" t="s">
        <v>76</v>
      </c>
      <c r="C535" s="6" t="s">
        <v>152</v>
      </c>
      <c r="D535" t="s">
        <v>48</v>
      </c>
      <c r="E535" s="27" t="e">
        <f t="shared" si="235"/>
        <v>#DIV/0!</v>
      </c>
      <c r="F535" s="27">
        <f t="shared" si="236"/>
        <v>3.1170239748763408E-4</v>
      </c>
      <c r="G535" s="29">
        <v>0</v>
      </c>
      <c r="H535" s="27">
        <f t="shared" si="236"/>
        <v>9.3615423467311744E-5</v>
      </c>
      <c r="I535" s="27">
        <f t="shared" si="236"/>
        <v>9.3615423467311744E-5</v>
      </c>
      <c r="J535" s="27">
        <f t="shared" si="236"/>
        <v>9.3615423467311744E-5</v>
      </c>
      <c r="K535" s="27">
        <f t="shared" si="236"/>
        <v>4.6825708118438235E-5</v>
      </c>
      <c r="L535" s="27">
        <f t="shared" si="236"/>
        <v>2.1589765259382397E-4</v>
      </c>
      <c r="M535" s="29">
        <v>0</v>
      </c>
      <c r="N535" s="27">
        <f t="shared" si="236"/>
        <v>9.3615423467311744E-5</v>
      </c>
      <c r="O535" s="27">
        <f t="shared" si="236"/>
        <v>9.3615423467311744E-5</v>
      </c>
      <c r="P535" s="27">
        <f t="shared" si="236"/>
        <v>9.3615423467311744E-5</v>
      </c>
      <c r="Q535" s="27">
        <f t="shared" si="236"/>
        <v>1.4069564708310529E-4</v>
      </c>
      <c r="R535" s="27">
        <f t="shared" si="236"/>
        <v>1.4069564708310529E-4</v>
      </c>
      <c r="S535" s="27">
        <f t="shared" si="236"/>
        <v>1.4069564708310529E-4</v>
      </c>
      <c r="T535" s="27">
        <f t="shared" si="236"/>
        <v>1.4069564708310529E-4</v>
      </c>
      <c r="U535" s="27">
        <f t="shared" si="236"/>
        <v>1.4069564708310529E-4</v>
      </c>
      <c r="V535" s="27">
        <f t="shared" si="236"/>
        <v>1.4069564708310529E-4</v>
      </c>
      <c r="W535" s="27">
        <f t="shared" si="236"/>
        <v>1.3485812924803108E-4</v>
      </c>
      <c r="X535" s="27">
        <f t="shared" si="236"/>
        <v>1.3485812924803108E-4</v>
      </c>
      <c r="Y535" s="27">
        <f t="shared" si="236"/>
        <v>1.3485812924803108E-4</v>
      </c>
    </row>
    <row r="536" spans="1:25" outlineLevel="1" x14ac:dyDescent="0.3">
      <c r="A536" t="s">
        <v>164</v>
      </c>
      <c r="B536" t="s">
        <v>77</v>
      </c>
      <c r="C536" s="6" t="s">
        <v>153</v>
      </c>
      <c r="D536" t="s">
        <v>48</v>
      </c>
      <c r="E536" s="27" t="e">
        <f t="shared" si="235"/>
        <v>#DIV/0!</v>
      </c>
      <c r="F536" s="27">
        <f t="shared" si="236"/>
        <v>3.3765092277375486E-4</v>
      </c>
      <c r="G536" s="29">
        <v>0</v>
      </c>
      <c r="H536" s="27">
        <f t="shared" si="236"/>
        <v>9.3372266523240801E-5</v>
      </c>
      <c r="I536" s="27">
        <f t="shared" si="236"/>
        <v>9.3372266523240801E-5</v>
      </c>
      <c r="J536" s="27">
        <f t="shared" si="236"/>
        <v>9.3372266523240801E-5</v>
      </c>
      <c r="K536" s="27">
        <f t="shared" si="236"/>
        <v>4.3647395573783972E-5</v>
      </c>
      <c r="L536" s="27">
        <f t="shared" si="236"/>
        <v>2.2505300148832551E-4</v>
      </c>
      <c r="M536" s="29">
        <v>0</v>
      </c>
      <c r="N536" s="27">
        <f t="shared" si="236"/>
        <v>9.3372266523240801E-5</v>
      </c>
      <c r="O536" s="27">
        <f t="shared" si="236"/>
        <v>9.3372266523240801E-5</v>
      </c>
      <c r="P536" s="27">
        <f t="shared" si="236"/>
        <v>9.3372266523240801E-5</v>
      </c>
      <c r="Q536" s="27">
        <f t="shared" si="236"/>
        <v>1.3037434478743349E-4</v>
      </c>
      <c r="R536" s="27">
        <f t="shared" si="236"/>
        <v>1.3037434478743349E-4</v>
      </c>
      <c r="S536" s="27">
        <f t="shared" si="236"/>
        <v>1.3037434478743349E-4</v>
      </c>
      <c r="T536" s="27">
        <f t="shared" si="236"/>
        <v>1.3037434478743349E-4</v>
      </c>
      <c r="U536" s="27">
        <f t="shared" si="236"/>
        <v>1.3037434478743349E-4</v>
      </c>
      <c r="V536" s="27">
        <f t="shared" si="236"/>
        <v>1.3037434478743349E-4</v>
      </c>
      <c r="W536" s="27">
        <f t="shared" si="236"/>
        <v>1.3512255695243897E-4</v>
      </c>
      <c r="X536" s="27">
        <f t="shared" si="236"/>
        <v>1.3512255695243897E-4</v>
      </c>
      <c r="Y536" s="27">
        <f t="shared" si="236"/>
        <v>1.3512255695243897E-4</v>
      </c>
    </row>
    <row r="537" spans="1:25" outlineLevel="1" x14ac:dyDescent="0.3">
      <c r="A537" t="s">
        <v>164</v>
      </c>
      <c r="B537" t="s">
        <v>78</v>
      </c>
      <c r="C537" s="6" t="s">
        <v>154</v>
      </c>
      <c r="D537" t="s">
        <v>48</v>
      </c>
      <c r="E537" s="27" t="e">
        <f t="shared" si="235"/>
        <v>#DIV/0!</v>
      </c>
      <c r="F537" s="27">
        <f t="shared" si="236"/>
        <v>3.4477278716691485E-4</v>
      </c>
      <c r="G537" s="29">
        <v>0</v>
      </c>
      <c r="H537" s="27">
        <f t="shared" si="236"/>
        <v>9.2642795691027998E-5</v>
      </c>
      <c r="I537" s="27">
        <f t="shared" si="236"/>
        <v>9.2642795691027998E-5</v>
      </c>
      <c r="J537" s="27">
        <f t="shared" si="236"/>
        <v>9.2642795691027998E-5</v>
      </c>
      <c r="K537" s="27">
        <f t="shared" si="236"/>
        <v>4.2752038894018533E-5</v>
      </c>
      <c r="L537" s="27">
        <f t="shared" si="236"/>
        <v>2.2812196684886791E-4</v>
      </c>
      <c r="M537" s="29">
        <v>0</v>
      </c>
      <c r="N537" s="27">
        <f t="shared" si="236"/>
        <v>9.2642795691027998E-5</v>
      </c>
      <c r="O537" s="27">
        <f t="shared" si="236"/>
        <v>9.2642795691027998E-5</v>
      </c>
      <c r="P537" s="27">
        <f t="shared" si="236"/>
        <v>9.2642795691027998E-5</v>
      </c>
      <c r="Q537" s="27">
        <f t="shared" si="236"/>
        <v>1.3037434478743349E-4</v>
      </c>
      <c r="R537" s="27">
        <f t="shared" si="236"/>
        <v>1.3037434478743349E-4</v>
      </c>
      <c r="S537" s="27">
        <f t="shared" si="236"/>
        <v>1.3037434478743349E-4</v>
      </c>
      <c r="T537" s="27">
        <f t="shared" si="236"/>
        <v>1.3037434478743349E-4</v>
      </c>
      <c r="U537" s="27">
        <f t="shared" si="236"/>
        <v>1.3037434478743349E-4</v>
      </c>
      <c r="V537" s="27">
        <f t="shared" si="236"/>
        <v>1.3037434478743349E-4</v>
      </c>
      <c r="W537" s="27">
        <f t="shared" si="236"/>
        <v>1.353869846568469E-4</v>
      </c>
      <c r="X537" s="27">
        <f t="shared" si="236"/>
        <v>1.353869846568469E-4</v>
      </c>
      <c r="Y537" s="27">
        <f t="shared" si="236"/>
        <v>1.353869846568469E-4</v>
      </c>
    </row>
    <row r="538" spans="1:25" outlineLevel="1" x14ac:dyDescent="0.3">
      <c r="A538" t="s">
        <v>164</v>
      </c>
      <c r="B538" t="s">
        <v>79</v>
      </c>
      <c r="C538" s="6" t="s">
        <v>155</v>
      </c>
      <c r="D538" t="s">
        <v>48</v>
      </c>
      <c r="E538" s="27" t="e">
        <f t="shared" si="235"/>
        <v>#DIV/0!</v>
      </c>
      <c r="F538" s="27">
        <f t="shared" si="236"/>
        <v>3.358694496544823E-4</v>
      </c>
      <c r="G538" s="29">
        <v>0</v>
      </c>
      <c r="H538" s="27">
        <f t="shared" si="236"/>
        <v>9.2642795691027998E-5</v>
      </c>
      <c r="I538" s="27">
        <f t="shared" si="236"/>
        <v>9.2642795691027998E-5</v>
      </c>
      <c r="J538" s="27">
        <f t="shared" si="236"/>
        <v>9.2642795691027998E-5</v>
      </c>
      <c r="K538" s="27">
        <f t="shared" si="236"/>
        <v>4.0362054291250488E-5</v>
      </c>
      <c r="L538" s="27">
        <f t="shared" si="236"/>
        <v>2.2505774261903961E-4</v>
      </c>
      <c r="M538" s="29">
        <v>0</v>
      </c>
      <c r="N538" s="27">
        <f t="shared" si="236"/>
        <v>9.2642795691027998E-5</v>
      </c>
      <c r="O538" s="27">
        <f t="shared" si="236"/>
        <v>9.2642795691027998E-5</v>
      </c>
      <c r="P538" s="27">
        <f t="shared" si="236"/>
        <v>9.2642795691027998E-5</v>
      </c>
      <c r="Q538" s="27">
        <f t="shared" si="236"/>
        <v>1.2955950513251203E-4</v>
      </c>
      <c r="R538" s="27">
        <f t="shared" si="236"/>
        <v>1.2955950513251203E-4</v>
      </c>
      <c r="S538" s="27">
        <f t="shared" si="236"/>
        <v>1.2955950513251203E-4</v>
      </c>
      <c r="T538" s="27">
        <f t="shared" si="236"/>
        <v>1.2955950513251203E-4</v>
      </c>
      <c r="U538" s="27">
        <f t="shared" si="236"/>
        <v>1.2955950513251203E-4</v>
      </c>
      <c r="V538" s="27">
        <f t="shared" si="236"/>
        <v>1.2955950513251203E-4</v>
      </c>
      <c r="W538" s="27">
        <f t="shared" si="236"/>
        <v>1.3618026777007062E-4</v>
      </c>
      <c r="X538" s="27">
        <f t="shared" si="236"/>
        <v>1.3618026777007062E-4</v>
      </c>
      <c r="Y538" s="27">
        <f t="shared" si="236"/>
        <v>1.3618026777007062E-4</v>
      </c>
    </row>
    <row r="539" spans="1:25" outlineLevel="1" x14ac:dyDescent="0.3">
      <c r="A539" t="s">
        <v>164</v>
      </c>
      <c r="B539" t="s">
        <v>80</v>
      </c>
      <c r="C539" s="6" t="s">
        <v>156</v>
      </c>
      <c r="D539" t="s">
        <v>48</v>
      </c>
      <c r="E539" s="27" t="e">
        <f t="shared" si="235"/>
        <v>#DIV/0!</v>
      </c>
      <c r="F539" s="27">
        <f t="shared" si="236"/>
        <v>3.1546301338334108E-4</v>
      </c>
      <c r="G539" s="29">
        <v>0</v>
      </c>
      <c r="H539" s="27">
        <f t="shared" si="236"/>
        <v>9.6533306796163011E-5</v>
      </c>
      <c r="I539" s="27">
        <f t="shared" si="236"/>
        <v>9.6533306796163011E-5</v>
      </c>
      <c r="J539" s="27">
        <f t="shared" si="236"/>
        <v>9.6533306796163011E-5</v>
      </c>
      <c r="K539" s="27">
        <f t="shared" si="236"/>
        <v>3.9820370787214417E-5</v>
      </c>
      <c r="L539" s="27">
        <f t="shared" si="236"/>
        <v>2.1507829145190192E-4</v>
      </c>
      <c r="M539" s="29">
        <v>0</v>
      </c>
      <c r="N539" s="27">
        <f t="shared" si="236"/>
        <v>9.6533306796163011E-5</v>
      </c>
      <c r="O539" s="27">
        <f t="shared" si="236"/>
        <v>9.6533306796163011E-5</v>
      </c>
      <c r="P539" s="27">
        <f t="shared" si="236"/>
        <v>9.6533306796163011E-5</v>
      </c>
      <c r="Q539" s="27">
        <f t="shared" si="236"/>
        <v>1.545479212167701E-4</v>
      </c>
      <c r="R539" s="27">
        <f t="shared" si="236"/>
        <v>1.545479212167701E-4</v>
      </c>
      <c r="S539" s="27">
        <f t="shared" si="236"/>
        <v>1.545479212167701E-4</v>
      </c>
      <c r="T539" s="27">
        <f t="shared" si="236"/>
        <v>1.545479212167701E-4</v>
      </c>
      <c r="U539" s="27">
        <f t="shared" si="236"/>
        <v>1.545479212167701E-4</v>
      </c>
      <c r="V539" s="27">
        <f t="shared" si="236"/>
        <v>1.545479212167701E-4</v>
      </c>
      <c r="W539" s="27">
        <f t="shared" si="236"/>
        <v>1.3697355088329431E-4</v>
      </c>
      <c r="X539" s="27">
        <f t="shared" si="236"/>
        <v>1.3697355088329431E-4</v>
      </c>
      <c r="Y539" s="27">
        <f t="shared" si="236"/>
        <v>1.3697355088329431E-4</v>
      </c>
    </row>
    <row r="540" spans="1:25" outlineLevel="1" x14ac:dyDescent="0.3">
      <c r="A540" t="s">
        <v>164</v>
      </c>
      <c r="B540" t="s">
        <v>81</v>
      </c>
      <c r="C540" s="6" t="s">
        <v>157</v>
      </c>
      <c r="D540" t="s">
        <v>48</v>
      </c>
      <c r="E540" s="27" t="e">
        <f t="shared" si="235"/>
        <v>#DIV/0!</v>
      </c>
      <c r="F540" s="27">
        <f t="shared" si="236"/>
        <v>2.8981545282974415E-4</v>
      </c>
      <c r="G540" s="29">
        <v>0</v>
      </c>
      <c r="H540" s="27">
        <f t="shared" si="236"/>
        <v>2.2151597604862599E-4</v>
      </c>
      <c r="I540" s="27">
        <f t="shared" si="236"/>
        <v>2.2151597604862599E-4</v>
      </c>
      <c r="J540" s="27">
        <f t="shared" si="236"/>
        <v>2.2151597604862599E-4</v>
      </c>
      <c r="K540" s="27">
        <f t="shared" si="236"/>
        <v>4.3360577988859741E-5</v>
      </c>
      <c r="L540" s="27">
        <f t="shared" si="236"/>
        <v>1.9887716541127875E-4</v>
      </c>
      <c r="M540" s="29">
        <v>0</v>
      </c>
      <c r="N540" s="27">
        <f t="shared" si="236"/>
        <v>2.2151597604862599E-4</v>
      </c>
      <c r="O540" s="27">
        <f t="shared" si="236"/>
        <v>2.2151597604862599E-4</v>
      </c>
      <c r="P540" s="27">
        <f t="shared" si="236"/>
        <v>2.2151597604862599E-4</v>
      </c>
      <c r="Q540" s="27">
        <f t="shared" si="236"/>
        <v>1.545479212167701E-4</v>
      </c>
      <c r="R540" s="27">
        <f t="shared" si="236"/>
        <v>1.545479212167701E-4</v>
      </c>
      <c r="S540" s="27">
        <f t="shared" si="236"/>
        <v>1.545479212167701E-4</v>
      </c>
      <c r="T540" s="27">
        <f t="shared" si="236"/>
        <v>1.545479212167701E-4</v>
      </c>
      <c r="U540" s="27">
        <f t="shared" si="236"/>
        <v>1.545479212167701E-4</v>
      </c>
      <c r="V540" s="27">
        <f t="shared" si="236"/>
        <v>1.545479212167701E-4</v>
      </c>
      <c r="W540" s="27">
        <f t="shared" si="236"/>
        <v>1.3723797858770221E-4</v>
      </c>
      <c r="X540" s="27">
        <f t="shared" si="236"/>
        <v>1.3723797858770221E-4</v>
      </c>
      <c r="Y540" s="27">
        <f t="shared" si="236"/>
        <v>1.3723797858770221E-4</v>
      </c>
    </row>
    <row r="541" spans="1:25" outlineLevel="1" x14ac:dyDescent="0.3">
      <c r="A541" t="s">
        <v>164</v>
      </c>
      <c r="B541" t="s">
        <v>82</v>
      </c>
      <c r="C541" s="6" t="s">
        <v>158</v>
      </c>
      <c r="D541" t="s">
        <v>48</v>
      </c>
      <c r="E541" s="27" t="e">
        <f t="shared" si="235"/>
        <v>#DIV/0!</v>
      </c>
      <c r="F541" s="27">
        <f t="shared" si="236"/>
        <v>2.5493518143926143E-4</v>
      </c>
      <c r="G541" s="29">
        <v>0</v>
      </c>
      <c r="H541" s="27">
        <f t="shared" si="236"/>
        <v>3.5233441195879145E-4</v>
      </c>
      <c r="I541" s="27">
        <f t="shared" si="236"/>
        <v>3.5233441195879145E-4</v>
      </c>
      <c r="J541" s="27">
        <f t="shared" si="236"/>
        <v>3.5233441195879145E-4</v>
      </c>
      <c r="K541" s="27">
        <f t="shared" si="236"/>
        <v>4.2610218342254691E-5</v>
      </c>
      <c r="L541" s="27">
        <f t="shared" si="236"/>
        <v>1.7881379205403404E-4</v>
      </c>
      <c r="M541" s="29">
        <v>0</v>
      </c>
      <c r="N541" s="27">
        <f t="shared" si="236"/>
        <v>3.5233441195879145E-4</v>
      </c>
      <c r="O541" s="27">
        <f t="shared" si="236"/>
        <v>3.5233441195879145E-4</v>
      </c>
      <c r="P541" s="27">
        <f t="shared" si="236"/>
        <v>3.5233441195879145E-4</v>
      </c>
      <c r="Q541" s="27">
        <f t="shared" si="236"/>
        <v>1.5400469478015578E-4</v>
      </c>
      <c r="R541" s="27">
        <f t="shared" si="236"/>
        <v>1.5400469478015578E-4</v>
      </c>
      <c r="S541" s="27">
        <f t="shared" si="236"/>
        <v>1.5400469478015578E-4</v>
      </c>
      <c r="T541" s="27">
        <f t="shared" si="236"/>
        <v>1.5400469478015578E-4</v>
      </c>
      <c r="U541" s="27">
        <f t="shared" si="236"/>
        <v>1.5400469478015578E-4</v>
      </c>
      <c r="V541" s="27">
        <f t="shared" si="236"/>
        <v>1.5400469478015578E-4</v>
      </c>
      <c r="W541" s="27">
        <f t="shared" si="236"/>
        <v>1.3697355088329431E-4</v>
      </c>
      <c r="X541" s="27">
        <f t="shared" si="236"/>
        <v>1.3697355088329431E-4</v>
      </c>
      <c r="Y541" s="27">
        <f t="shared" si="236"/>
        <v>1.3697355088329431E-4</v>
      </c>
    </row>
    <row r="542" spans="1:25" outlineLevel="1" x14ac:dyDescent="0.3">
      <c r="A542" t="s">
        <v>164</v>
      </c>
      <c r="B542" t="s">
        <v>83</v>
      </c>
      <c r="C542" s="6" t="s">
        <v>159</v>
      </c>
      <c r="D542" t="s">
        <v>48</v>
      </c>
      <c r="E542" s="27" t="e">
        <f t="shared" si="235"/>
        <v>#DIV/0!</v>
      </c>
      <c r="F542" s="27">
        <f t="shared" si="236"/>
        <v>2.0696321326652003E-4</v>
      </c>
      <c r="G542" s="29">
        <v>0</v>
      </c>
      <c r="H542" s="27">
        <f t="shared" si="236"/>
        <v>3.6886908415561533E-4</v>
      </c>
      <c r="I542" s="27">
        <f t="shared" si="236"/>
        <v>3.6886908415561533E-4</v>
      </c>
      <c r="J542" s="27">
        <f t="shared" si="236"/>
        <v>3.6886908415561533E-4</v>
      </c>
      <c r="K542" s="27">
        <f t="shared" si="236"/>
        <v>3.9608032348447052E-5</v>
      </c>
      <c r="L542" s="27">
        <f t="shared" si="236"/>
        <v>1.5512278317763247E-4</v>
      </c>
      <c r="M542" s="29">
        <v>0</v>
      </c>
      <c r="N542" s="27">
        <f t="shared" si="236"/>
        <v>3.6886908415561533E-4</v>
      </c>
      <c r="O542" s="27">
        <f t="shared" si="236"/>
        <v>3.6886908415561533E-4</v>
      </c>
      <c r="P542" s="27">
        <f t="shared" si="236"/>
        <v>3.6886908415561533E-4</v>
      </c>
      <c r="Q542" s="27">
        <f t="shared" si="236"/>
        <v>1.5373308156184866E-4</v>
      </c>
      <c r="R542" s="27">
        <f t="shared" si="236"/>
        <v>1.5373308156184866E-4</v>
      </c>
      <c r="S542" s="27">
        <f t="shared" si="236"/>
        <v>1.5373308156184866E-4</v>
      </c>
      <c r="T542" s="27">
        <f t="shared" si="236"/>
        <v>1.5373308156184866E-4</v>
      </c>
      <c r="U542" s="27">
        <f t="shared" si="236"/>
        <v>1.5373308156184866E-4</v>
      </c>
      <c r="V542" s="27">
        <f t="shared" si="236"/>
        <v>1.5373308156184866E-4</v>
      </c>
      <c r="W542" s="27">
        <f t="shared" si="236"/>
        <v>1.3644469547447849E-4</v>
      </c>
      <c r="X542" s="27">
        <f t="shared" si="236"/>
        <v>1.3644469547447849E-4</v>
      </c>
      <c r="Y542" s="27">
        <f t="shared" si="236"/>
        <v>1.3644469547447849E-4</v>
      </c>
    </row>
    <row r="543" spans="1:25" outlineLevel="1" x14ac:dyDescent="0.3">
      <c r="A543" t="s">
        <v>164</v>
      </c>
      <c r="B543" t="s">
        <v>84</v>
      </c>
      <c r="C543" s="6" t="s">
        <v>160</v>
      </c>
      <c r="D543" t="s">
        <v>48</v>
      </c>
      <c r="E543" s="27" t="e">
        <f t="shared" si="235"/>
        <v>#DIV/0!</v>
      </c>
      <c r="F543" s="27">
        <f t="shared" si="236"/>
        <v>1.5641844102457446E-4</v>
      </c>
      <c r="G543" s="29">
        <v>0</v>
      </c>
      <c r="H543" s="27">
        <f t="shared" si="236"/>
        <v>3.6716698554711878E-4</v>
      </c>
      <c r="I543" s="27">
        <f t="shared" si="236"/>
        <v>3.6716698554711878E-4</v>
      </c>
      <c r="J543" s="27">
        <f t="shared" si="236"/>
        <v>3.6716698554711878E-4</v>
      </c>
      <c r="K543" s="27">
        <f t="shared" si="236"/>
        <v>4.4837866060474073E-5</v>
      </c>
      <c r="L543" s="27">
        <f t="shared" si="236"/>
        <v>1.3381562550517786E-4</v>
      </c>
      <c r="M543" s="29">
        <v>0</v>
      </c>
      <c r="N543" s="27">
        <f t="shared" si="236"/>
        <v>3.6716698554711878E-4</v>
      </c>
      <c r="O543" s="27">
        <f t="shared" si="236"/>
        <v>3.6716698554711878E-4</v>
      </c>
      <c r="P543" s="27">
        <f t="shared" si="236"/>
        <v>3.6716698554711878E-4</v>
      </c>
      <c r="Q543" s="27">
        <f t="shared" si="236"/>
        <v>1.5318985512523435E-4</v>
      </c>
      <c r="R543" s="27">
        <f t="shared" si="236"/>
        <v>1.5318985512523435E-4</v>
      </c>
      <c r="S543" s="27">
        <f t="shared" si="236"/>
        <v>1.5318985512523435E-4</v>
      </c>
      <c r="T543" s="27">
        <f t="shared" si="236"/>
        <v>1.5318985512523435E-4</v>
      </c>
      <c r="U543" s="27">
        <f t="shared" si="236"/>
        <v>1.5318985512523435E-4</v>
      </c>
      <c r="V543" s="27">
        <f t="shared" si="236"/>
        <v>1.5318985512523435E-4</v>
      </c>
      <c r="W543" s="27">
        <f t="shared" si="236"/>
        <v>1.3618026777007062E-4</v>
      </c>
      <c r="X543" s="27">
        <f t="shared" si="236"/>
        <v>1.3618026777007062E-4</v>
      </c>
      <c r="Y543" s="27">
        <f t="shared" si="236"/>
        <v>1.3618026777007062E-4</v>
      </c>
    </row>
    <row r="544" spans="1:25" outlineLevel="1" x14ac:dyDescent="0.3">
      <c r="A544" t="s">
        <v>164</v>
      </c>
      <c r="B544" t="s">
        <v>85</v>
      </c>
      <c r="C544" s="6" t="s">
        <v>161</v>
      </c>
      <c r="D544" t="s">
        <v>48</v>
      </c>
      <c r="E544" s="27" t="e">
        <f t="shared" si="235"/>
        <v>#DIV/0!</v>
      </c>
      <c r="F544" s="27">
        <f t="shared" si="236"/>
        <v>1.1420024012355385E-4</v>
      </c>
      <c r="G544" s="29">
        <v>0</v>
      </c>
      <c r="H544" s="27">
        <f t="shared" si="236"/>
        <v>3.0370302314460359E-4</v>
      </c>
      <c r="I544" s="27">
        <f t="shared" si="236"/>
        <v>3.0370302314460359E-4</v>
      </c>
      <c r="J544" s="27">
        <f t="shared" si="236"/>
        <v>3.0370302314460359E-4</v>
      </c>
      <c r="K544" s="27">
        <f t="shared" si="236"/>
        <v>4.6390231204155222E-5</v>
      </c>
      <c r="L544" s="27">
        <f t="shared" si="236"/>
        <v>1.1675952347088541E-4</v>
      </c>
      <c r="M544" s="29">
        <v>0</v>
      </c>
      <c r="N544" s="27">
        <f t="shared" si="236"/>
        <v>3.0370302314460359E-4</v>
      </c>
      <c r="O544" s="27">
        <f t="shared" si="236"/>
        <v>3.0370302314460359E-4</v>
      </c>
      <c r="P544" s="27">
        <f t="shared" si="236"/>
        <v>3.0370302314460359E-4</v>
      </c>
      <c r="Q544" s="27">
        <f t="shared" si="236"/>
        <v>1.5237501547031289E-4</v>
      </c>
      <c r="R544" s="27">
        <f t="shared" si="236"/>
        <v>1.5237501547031289E-4</v>
      </c>
      <c r="S544" s="27">
        <f t="shared" si="236"/>
        <v>1.5237501547031289E-4</v>
      </c>
      <c r="T544" s="27">
        <f t="shared" si="236"/>
        <v>1.5237501547031289E-4</v>
      </c>
      <c r="U544" s="27">
        <f t="shared" si="236"/>
        <v>1.5237501547031289E-4</v>
      </c>
      <c r="V544" s="27">
        <f t="shared" si="236"/>
        <v>1.5237501547031289E-4</v>
      </c>
      <c r="W544" s="27">
        <f t="shared" si="236"/>
        <v>1.353869846568469E-4</v>
      </c>
      <c r="X544" s="27">
        <f t="shared" si="236"/>
        <v>1.353869846568469E-4</v>
      </c>
      <c r="Y544" s="27">
        <f t="shared" si="236"/>
        <v>1.353869846568469E-4</v>
      </c>
    </row>
    <row r="545" spans="1:25" outlineLevel="1" x14ac:dyDescent="0.3">
      <c r="A545" t="s">
        <v>164</v>
      </c>
      <c r="B545" t="s">
        <v>86</v>
      </c>
      <c r="C545" s="6" t="s">
        <v>162</v>
      </c>
      <c r="D545" t="s">
        <v>48</v>
      </c>
      <c r="E545" s="27" t="e">
        <f t="shared" si="235"/>
        <v>#DIV/0!</v>
      </c>
      <c r="F545" s="27">
        <f t="shared" si="236"/>
        <v>8.2221412265283812E-5</v>
      </c>
      <c r="G545" s="29">
        <v>0</v>
      </c>
      <c r="H545" s="27">
        <f t="shared" si="236"/>
        <v>1.9574133997710637E-4</v>
      </c>
      <c r="I545" s="27">
        <f t="shared" si="236"/>
        <v>1.9574133997710637E-4</v>
      </c>
      <c r="J545" s="27">
        <f t="shared" si="236"/>
        <v>1.9574133997710637E-4</v>
      </c>
      <c r="K545" s="27">
        <f t="shared" si="236"/>
        <v>4.1843340992387544E-5</v>
      </c>
      <c r="L545" s="27">
        <f t="shared" si="236"/>
        <v>1.0327766434728234E-4</v>
      </c>
      <c r="M545" s="29">
        <v>0</v>
      </c>
      <c r="N545" s="27">
        <f t="shared" si="236"/>
        <v>1.9574133997710637E-4</v>
      </c>
      <c r="O545" s="27">
        <f t="shared" si="236"/>
        <v>1.9574133997710637E-4</v>
      </c>
      <c r="P545" s="27">
        <f t="shared" si="236"/>
        <v>1.9574133997710637E-4</v>
      </c>
      <c r="Q545" s="27">
        <f t="shared" si="236"/>
        <v>1.5210340225200572E-4</v>
      </c>
      <c r="R545" s="27">
        <f t="shared" si="236"/>
        <v>1.5210340225200572E-4</v>
      </c>
      <c r="S545" s="27">
        <f t="shared" si="236"/>
        <v>1.5210340225200572E-4</v>
      </c>
      <c r="T545" s="27">
        <f t="shared" si="236"/>
        <v>1.5210340225200572E-4</v>
      </c>
      <c r="U545" s="27">
        <f t="shared" si="236"/>
        <v>1.5210340225200572E-4</v>
      </c>
      <c r="V545" s="27">
        <f t="shared" si="236"/>
        <v>1.5210340225200572E-4</v>
      </c>
      <c r="W545" s="27">
        <f t="shared" si="236"/>
        <v>1.3459370154362318E-4</v>
      </c>
      <c r="X545" s="27">
        <f t="shared" si="236"/>
        <v>1.3459370154362318E-4</v>
      </c>
      <c r="Y545" s="27">
        <f t="shared" si="236"/>
        <v>1.3459370154362318E-4</v>
      </c>
    </row>
    <row r="546" spans="1:25" outlineLevel="1" x14ac:dyDescent="0.3">
      <c r="A546" t="s">
        <v>164</v>
      </c>
      <c r="B546" t="s">
        <v>87</v>
      </c>
      <c r="C546" s="6" t="s">
        <v>163</v>
      </c>
      <c r="D546" t="s">
        <v>48</v>
      </c>
      <c r="E546" s="27" t="e">
        <f t="shared" si="235"/>
        <v>#DIV/0!</v>
      </c>
      <c r="F546" s="27">
        <f t="shared" si="236"/>
        <v>6.0922323240733791E-5</v>
      </c>
      <c r="G546" s="29">
        <v>0</v>
      </c>
      <c r="H546" s="27">
        <f t="shared" si="236"/>
        <v>1.0942062483192282E-4</v>
      </c>
      <c r="I546" s="27">
        <f t="shared" si="236"/>
        <v>1.0942062483192282E-4</v>
      </c>
      <c r="J546" s="27">
        <f t="shared" si="236"/>
        <v>1.0942062483192282E-4</v>
      </c>
      <c r="K546" s="27">
        <f t="shared" ref="F546:Y558" si="237">K344/K$398</f>
        <v>4.1223329194149372E-5</v>
      </c>
      <c r="L546" s="27">
        <f t="shared" si="237"/>
        <v>9.2528927635339466E-5</v>
      </c>
      <c r="M546" s="29">
        <v>0</v>
      </c>
      <c r="N546" s="27">
        <f t="shared" si="237"/>
        <v>1.0942062483192282E-4</v>
      </c>
      <c r="O546" s="27">
        <f t="shared" si="237"/>
        <v>1.0942062483192282E-4</v>
      </c>
      <c r="P546" s="27">
        <f t="shared" si="237"/>
        <v>1.0942062483192282E-4</v>
      </c>
      <c r="Q546" s="27">
        <f t="shared" si="237"/>
        <v>1.018549568651824E-4</v>
      </c>
      <c r="R546" s="27">
        <f t="shared" si="237"/>
        <v>1.018549568651824E-4</v>
      </c>
      <c r="S546" s="27">
        <f t="shared" si="237"/>
        <v>1.018549568651824E-4</v>
      </c>
      <c r="T546" s="27">
        <f t="shared" si="237"/>
        <v>1.018549568651824E-4</v>
      </c>
      <c r="U546" s="27">
        <f t="shared" si="237"/>
        <v>1.018549568651824E-4</v>
      </c>
      <c r="V546" s="27">
        <f t="shared" si="237"/>
        <v>1.018549568651824E-4</v>
      </c>
      <c r="W546" s="27">
        <f t="shared" si="237"/>
        <v>1.3432927383921525E-4</v>
      </c>
      <c r="X546" s="27">
        <f t="shared" si="237"/>
        <v>1.3432927383921525E-4</v>
      </c>
      <c r="Y546" s="27">
        <f t="shared" si="237"/>
        <v>1.3432927383921525E-4</v>
      </c>
    </row>
    <row r="547" spans="1:25" outlineLevel="1" x14ac:dyDescent="0.3">
      <c r="A547" t="s">
        <v>165</v>
      </c>
      <c r="B547" t="s">
        <v>64</v>
      </c>
      <c r="C547" s="6" t="s">
        <v>140</v>
      </c>
      <c r="D547" t="s">
        <v>48</v>
      </c>
      <c r="E547" s="27" t="e">
        <f t="shared" si="235"/>
        <v>#DIV/0!</v>
      </c>
      <c r="F547" s="27">
        <f t="shared" si="237"/>
        <v>9.8989754885933545E-5</v>
      </c>
      <c r="G547" s="29">
        <v>0</v>
      </c>
      <c r="H547" s="27">
        <f t="shared" si="237"/>
        <v>7.247935381837535E-5</v>
      </c>
      <c r="I547" s="27">
        <f t="shared" si="237"/>
        <v>7.247935381837535E-5</v>
      </c>
      <c r="J547" s="27">
        <f t="shared" si="237"/>
        <v>7.247935381837535E-5</v>
      </c>
      <c r="K547" s="27">
        <f t="shared" si="237"/>
        <v>4.2217904204595447E-5</v>
      </c>
      <c r="L547" s="27">
        <f t="shared" si="237"/>
        <v>1.1854028979357077E-4</v>
      </c>
      <c r="M547" s="29">
        <v>0</v>
      </c>
      <c r="N547" s="27">
        <f t="shared" si="237"/>
        <v>7.247935381837535E-5</v>
      </c>
      <c r="O547" s="27">
        <f t="shared" si="237"/>
        <v>7.247935381837535E-5</v>
      </c>
      <c r="P547" s="27">
        <f t="shared" si="237"/>
        <v>7.247935381837535E-5</v>
      </c>
      <c r="Q547" s="27">
        <f t="shared" si="237"/>
        <v>6.6219302623283919E-5</v>
      </c>
      <c r="R547" s="27">
        <f t="shared" si="237"/>
        <v>6.6219302623283919E-5</v>
      </c>
      <c r="S547" s="27">
        <f t="shared" si="237"/>
        <v>6.6219302623283919E-5</v>
      </c>
      <c r="T547" s="27">
        <f t="shared" si="237"/>
        <v>6.6219302623283919E-5</v>
      </c>
      <c r="U547" s="27">
        <f t="shared" si="237"/>
        <v>6.6219302623283919E-5</v>
      </c>
      <c r="V547" s="27">
        <f t="shared" si="237"/>
        <v>6.6219302623283919E-5</v>
      </c>
      <c r="W547" s="27">
        <f t="shared" si="237"/>
        <v>1.3300713531717574E-4</v>
      </c>
      <c r="X547" s="27">
        <f t="shared" si="237"/>
        <v>1.3300713531717574E-4</v>
      </c>
      <c r="Y547" s="27">
        <f t="shared" si="237"/>
        <v>1.3300713531717574E-4</v>
      </c>
    </row>
    <row r="548" spans="1:25" outlineLevel="1" x14ac:dyDescent="0.3">
      <c r="A548" t="s">
        <v>165</v>
      </c>
      <c r="B548" t="s">
        <v>65</v>
      </c>
      <c r="C548" s="6" t="s">
        <v>141</v>
      </c>
      <c r="D548" t="s">
        <v>48</v>
      </c>
      <c r="E548" s="27" t="e">
        <f t="shared" si="235"/>
        <v>#DIV/0!</v>
      </c>
      <c r="F548" s="27">
        <f t="shared" si="237"/>
        <v>8.8890663535362381E-5</v>
      </c>
      <c r="G548" s="29">
        <v>0</v>
      </c>
      <c r="H548" s="27">
        <f t="shared" si="237"/>
        <v>6.2557349304977295E-5</v>
      </c>
      <c r="I548" s="27">
        <f t="shared" si="237"/>
        <v>6.2557349304977295E-5</v>
      </c>
      <c r="J548" s="27">
        <f t="shared" si="237"/>
        <v>6.2557349304977295E-5</v>
      </c>
      <c r="K548" s="27">
        <f t="shared" si="237"/>
        <v>4.3011912442626099E-5</v>
      </c>
      <c r="L548" s="27">
        <f t="shared" si="237"/>
        <v>1.1325999935613096E-4</v>
      </c>
      <c r="M548" s="29">
        <v>0</v>
      </c>
      <c r="N548" s="27">
        <f t="shared" si="237"/>
        <v>6.2557349304977295E-5</v>
      </c>
      <c r="O548" s="27">
        <f t="shared" si="237"/>
        <v>6.2557349304977295E-5</v>
      </c>
      <c r="P548" s="27">
        <f t="shared" si="237"/>
        <v>6.2557349304977295E-5</v>
      </c>
      <c r="Q548" s="27">
        <f t="shared" si="237"/>
        <v>6.5730398830331048E-5</v>
      </c>
      <c r="R548" s="27">
        <f t="shared" si="237"/>
        <v>6.5730398830331048E-5</v>
      </c>
      <c r="S548" s="27">
        <f t="shared" si="237"/>
        <v>6.5730398830331048E-5</v>
      </c>
      <c r="T548" s="27">
        <f t="shared" si="237"/>
        <v>6.5730398830331048E-5</v>
      </c>
      <c r="U548" s="27">
        <f t="shared" si="237"/>
        <v>6.5730398830331048E-5</v>
      </c>
      <c r="V548" s="27">
        <f t="shared" si="237"/>
        <v>6.5730398830331048E-5</v>
      </c>
      <c r="W548" s="27">
        <f t="shared" si="237"/>
        <v>1.3300713531717574E-4</v>
      </c>
      <c r="X548" s="27">
        <f t="shared" si="237"/>
        <v>1.3300713531717574E-4</v>
      </c>
      <c r="Y548" s="27">
        <f t="shared" si="237"/>
        <v>1.3300713531717574E-4</v>
      </c>
    </row>
    <row r="549" spans="1:25" outlineLevel="1" x14ac:dyDescent="0.3">
      <c r="A549" t="s">
        <v>165</v>
      </c>
      <c r="B549" t="s">
        <v>66</v>
      </c>
      <c r="C549" s="6" t="s">
        <v>142</v>
      </c>
      <c r="D549" t="s">
        <v>48</v>
      </c>
      <c r="E549" s="27" t="e">
        <f t="shared" si="235"/>
        <v>#DIV/0!</v>
      </c>
      <c r="F549" s="27">
        <f t="shared" si="237"/>
        <v>8.6169521606118223E-5</v>
      </c>
      <c r="G549" s="29">
        <v>0</v>
      </c>
      <c r="H549" s="27">
        <f t="shared" si="237"/>
        <v>6.0419156011997807E-5</v>
      </c>
      <c r="I549" s="27">
        <f t="shared" si="237"/>
        <v>6.0419156011997807E-5</v>
      </c>
      <c r="J549" s="27">
        <f t="shared" si="237"/>
        <v>6.0419156011997807E-5</v>
      </c>
      <c r="K549" s="27">
        <f t="shared" si="237"/>
        <v>4.4525262920683683E-5</v>
      </c>
      <c r="L549" s="27">
        <f t="shared" si="237"/>
        <v>1.1134719936696307E-4</v>
      </c>
      <c r="M549" s="29">
        <v>0</v>
      </c>
      <c r="N549" s="27">
        <f t="shared" si="237"/>
        <v>6.0419156011997807E-5</v>
      </c>
      <c r="O549" s="27">
        <f t="shared" si="237"/>
        <v>6.0419156011997807E-5</v>
      </c>
      <c r="P549" s="27">
        <f t="shared" si="237"/>
        <v>6.0419156011997807E-5</v>
      </c>
      <c r="Q549" s="27">
        <f t="shared" si="237"/>
        <v>6.5567430899346753E-5</v>
      </c>
      <c r="R549" s="27">
        <f t="shared" si="237"/>
        <v>6.5567430899346753E-5</v>
      </c>
      <c r="S549" s="27">
        <f t="shared" si="237"/>
        <v>6.5567430899346753E-5</v>
      </c>
      <c r="T549" s="27">
        <f t="shared" si="237"/>
        <v>6.5567430899346753E-5</v>
      </c>
      <c r="U549" s="27">
        <f t="shared" si="237"/>
        <v>6.5567430899346753E-5</v>
      </c>
      <c r="V549" s="27">
        <f t="shared" si="237"/>
        <v>6.5567430899346753E-5</v>
      </c>
      <c r="W549" s="27">
        <f t="shared" si="237"/>
        <v>1.3300713531717574E-4</v>
      </c>
      <c r="X549" s="27">
        <f t="shared" si="237"/>
        <v>1.3300713531717574E-4</v>
      </c>
      <c r="Y549" s="27">
        <f t="shared" si="237"/>
        <v>1.3300713531717574E-4</v>
      </c>
    </row>
    <row r="550" spans="1:25" outlineLevel="1" x14ac:dyDescent="0.3">
      <c r="A550" t="s">
        <v>165</v>
      </c>
      <c r="B550" t="s">
        <v>67</v>
      </c>
      <c r="C550" s="6" t="s">
        <v>143</v>
      </c>
      <c r="D550" t="s">
        <v>48</v>
      </c>
      <c r="E550" s="27" t="e">
        <f t="shared" si="235"/>
        <v>#DIV/0!</v>
      </c>
      <c r="F550" s="27">
        <f t="shared" si="237"/>
        <v>9.0242093847988823E-5</v>
      </c>
      <c r="G550" s="29">
        <v>0</v>
      </c>
      <c r="H550" s="27">
        <f t="shared" si="237"/>
        <v>6.0368153842978933E-5</v>
      </c>
      <c r="I550" s="27">
        <f t="shared" si="237"/>
        <v>6.0368153842978933E-5</v>
      </c>
      <c r="J550" s="27">
        <f t="shared" si="237"/>
        <v>6.0368153842978933E-5</v>
      </c>
      <c r="K550" s="27">
        <f t="shared" si="237"/>
        <v>4.5918355550104627E-5</v>
      </c>
      <c r="L550" s="27">
        <f t="shared" si="237"/>
        <v>1.1201987028062053E-4</v>
      </c>
      <c r="M550" s="29">
        <v>0</v>
      </c>
      <c r="N550" s="27">
        <f t="shared" si="237"/>
        <v>6.0368153842978933E-5</v>
      </c>
      <c r="O550" s="27">
        <f t="shared" si="237"/>
        <v>6.0368153842978933E-5</v>
      </c>
      <c r="P550" s="27">
        <f t="shared" si="237"/>
        <v>6.0368153842978933E-5</v>
      </c>
      <c r="Q550" s="27">
        <f t="shared" si="237"/>
        <v>6.5567430899346753E-5</v>
      </c>
      <c r="R550" s="27">
        <f t="shared" si="237"/>
        <v>6.5567430899346753E-5</v>
      </c>
      <c r="S550" s="27">
        <f t="shared" si="237"/>
        <v>6.5567430899346753E-5</v>
      </c>
      <c r="T550" s="27">
        <f t="shared" si="237"/>
        <v>6.5567430899346753E-5</v>
      </c>
      <c r="U550" s="27">
        <f t="shared" si="237"/>
        <v>6.5567430899346753E-5</v>
      </c>
      <c r="V550" s="27">
        <f t="shared" si="237"/>
        <v>6.5567430899346753E-5</v>
      </c>
      <c r="W550" s="27">
        <f t="shared" si="237"/>
        <v>1.3327156302158367E-4</v>
      </c>
      <c r="X550" s="27">
        <f t="shared" si="237"/>
        <v>1.3327156302158367E-4</v>
      </c>
      <c r="Y550" s="27">
        <f t="shared" si="237"/>
        <v>1.3327156302158367E-4</v>
      </c>
    </row>
    <row r="551" spans="1:25" outlineLevel="1" x14ac:dyDescent="0.3">
      <c r="A551" t="s">
        <v>165</v>
      </c>
      <c r="B551" t="s">
        <v>68</v>
      </c>
      <c r="C551" s="6" t="s">
        <v>144</v>
      </c>
      <c r="D551" t="s">
        <v>48</v>
      </c>
      <c r="E551" s="27" t="e">
        <f t="shared" si="235"/>
        <v>#DIV/0!</v>
      </c>
      <c r="F551" s="27">
        <f t="shared" si="237"/>
        <v>1.0170553147261467E-4</v>
      </c>
      <c r="G551" s="29">
        <v>0</v>
      </c>
      <c r="H551" s="27">
        <f t="shared" si="237"/>
        <v>6.354327776610173E-5</v>
      </c>
      <c r="I551" s="27">
        <f t="shared" si="237"/>
        <v>6.354327776610173E-5</v>
      </c>
      <c r="J551" s="27">
        <f t="shared" si="237"/>
        <v>6.354327776610173E-5</v>
      </c>
      <c r="K551" s="27">
        <f t="shared" si="237"/>
        <v>4.5679484149083679E-5</v>
      </c>
      <c r="L551" s="27">
        <f t="shared" si="237"/>
        <v>1.1530373525310538E-4</v>
      </c>
      <c r="M551" s="29">
        <v>0</v>
      </c>
      <c r="N551" s="27">
        <f t="shared" si="237"/>
        <v>6.354327776610173E-5</v>
      </c>
      <c r="O551" s="27">
        <f t="shared" si="237"/>
        <v>6.354327776610173E-5</v>
      </c>
      <c r="P551" s="27">
        <f t="shared" si="237"/>
        <v>6.354327776610173E-5</v>
      </c>
      <c r="Q551" s="27">
        <f t="shared" si="237"/>
        <v>6.5513108255685321E-5</v>
      </c>
      <c r="R551" s="27">
        <f t="shared" si="237"/>
        <v>6.5513108255685321E-5</v>
      </c>
      <c r="S551" s="27">
        <f t="shared" si="237"/>
        <v>6.5513108255685321E-5</v>
      </c>
      <c r="T551" s="27">
        <f t="shared" si="237"/>
        <v>6.5513108255685321E-5</v>
      </c>
      <c r="U551" s="27">
        <f t="shared" si="237"/>
        <v>6.5513108255685321E-5</v>
      </c>
      <c r="V551" s="27">
        <f t="shared" si="237"/>
        <v>6.5513108255685321E-5</v>
      </c>
      <c r="W551" s="27">
        <f t="shared" si="237"/>
        <v>1.3380041843039946E-4</v>
      </c>
      <c r="X551" s="27">
        <f t="shared" si="237"/>
        <v>1.3380041843039946E-4</v>
      </c>
      <c r="Y551" s="27">
        <f t="shared" si="237"/>
        <v>1.3380041843039946E-4</v>
      </c>
    </row>
    <row r="552" spans="1:25" outlineLevel="1" x14ac:dyDescent="0.3">
      <c r="A552" t="s">
        <v>165</v>
      </c>
      <c r="B552" t="s">
        <v>69</v>
      </c>
      <c r="C552" s="6" t="s">
        <v>145</v>
      </c>
      <c r="D552" t="s">
        <v>48</v>
      </c>
      <c r="E552" s="27" t="e">
        <f t="shared" si="235"/>
        <v>#DIV/0!</v>
      </c>
      <c r="F552" s="27">
        <f t="shared" si="237"/>
        <v>1.2050993190175021E-4</v>
      </c>
      <c r="G552" s="29">
        <v>0</v>
      </c>
      <c r="H552" s="27">
        <f t="shared" si="237"/>
        <v>8.2430204040048524E-5</v>
      </c>
      <c r="I552" s="27">
        <f t="shared" si="237"/>
        <v>8.2430204040048524E-5</v>
      </c>
      <c r="J552" s="27">
        <f t="shared" si="237"/>
        <v>8.2430204040048524E-5</v>
      </c>
      <c r="K552" s="27">
        <f t="shared" si="237"/>
        <v>4.8362676669938441E-5</v>
      </c>
      <c r="L552" s="27">
        <f t="shared" si="237"/>
        <v>1.2228251945083874E-4</v>
      </c>
      <c r="M552" s="29">
        <v>0</v>
      </c>
      <c r="N552" s="27">
        <f t="shared" si="237"/>
        <v>8.2430204040048524E-5</v>
      </c>
      <c r="O552" s="27">
        <f t="shared" si="237"/>
        <v>8.2430204040048524E-5</v>
      </c>
      <c r="P552" s="27">
        <f t="shared" si="237"/>
        <v>8.2430204040048524E-5</v>
      </c>
      <c r="Q552" s="27">
        <f t="shared" si="237"/>
        <v>6.5567430899346753E-5</v>
      </c>
      <c r="R552" s="27">
        <f t="shared" si="237"/>
        <v>6.5567430899346753E-5</v>
      </c>
      <c r="S552" s="27">
        <f t="shared" si="237"/>
        <v>6.5567430899346753E-5</v>
      </c>
      <c r="T552" s="27">
        <f t="shared" si="237"/>
        <v>6.5567430899346753E-5</v>
      </c>
      <c r="U552" s="27">
        <f t="shared" si="237"/>
        <v>6.5567430899346753E-5</v>
      </c>
      <c r="V552" s="27">
        <f t="shared" si="237"/>
        <v>6.5567430899346753E-5</v>
      </c>
      <c r="W552" s="27">
        <f t="shared" si="237"/>
        <v>1.3459370154362318E-4</v>
      </c>
      <c r="X552" s="27">
        <f t="shared" si="237"/>
        <v>1.3459370154362318E-4</v>
      </c>
      <c r="Y552" s="27">
        <f t="shared" si="237"/>
        <v>1.3459370154362318E-4</v>
      </c>
    </row>
    <row r="553" spans="1:25" outlineLevel="1" x14ac:dyDescent="0.3">
      <c r="A553" t="s">
        <v>165</v>
      </c>
      <c r="B553" t="s">
        <v>70</v>
      </c>
      <c r="C553" s="6" t="s">
        <v>146</v>
      </c>
      <c r="D553" t="s">
        <v>48</v>
      </c>
      <c r="E553" s="27" t="e">
        <f t="shared" si="235"/>
        <v>#DIV/0!</v>
      </c>
      <c r="F553" s="27">
        <f t="shared" si="237"/>
        <v>1.4662766932900715E-4</v>
      </c>
      <c r="G553" s="29">
        <v>0</v>
      </c>
      <c r="H553" s="27">
        <f t="shared" si="237"/>
        <v>6.6380800156507009E-5</v>
      </c>
      <c r="I553" s="27">
        <f t="shared" si="237"/>
        <v>6.6380800156507009E-5</v>
      </c>
      <c r="J553" s="27">
        <f t="shared" si="237"/>
        <v>6.6380800156507009E-5</v>
      </c>
      <c r="K553" s="27">
        <f t="shared" si="237"/>
        <v>5.0310794025260985E-5</v>
      </c>
      <c r="L553" s="27">
        <f t="shared" si="237"/>
        <v>1.3507873630691573E-4</v>
      </c>
      <c r="M553" s="29">
        <v>0</v>
      </c>
      <c r="N553" s="27">
        <f t="shared" si="237"/>
        <v>6.6380800156507009E-5</v>
      </c>
      <c r="O553" s="27">
        <f t="shared" si="237"/>
        <v>6.6380800156507009E-5</v>
      </c>
      <c r="P553" s="27">
        <f t="shared" si="237"/>
        <v>6.6380800156507009E-5</v>
      </c>
      <c r="Q553" s="27">
        <f t="shared" si="237"/>
        <v>8.0153060722440873E-5</v>
      </c>
      <c r="R553" s="27">
        <f t="shared" si="237"/>
        <v>8.0153060722440873E-5</v>
      </c>
      <c r="S553" s="27">
        <f t="shared" si="237"/>
        <v>8.0153060722440873E-5</v>
      </c>
      <c r="T553" s="27">
        <f t="shared" si="237"/>
        <v>8.0153060722440873E-5</v>
      </c>
      <c r="U553" s="27">
        <f t="shared" si="237"/>
        <v>8.0153060722440873E-5</v>
      </c>
      <c r="V553" s="27">
        <f t="shared" si="237"/>
        <v>8.0153060722440873E-5</v>
      </c>
      <c r="W553" s="27">
        <f t="shared" si="237"/>
        <v>1.3485812924803108E-4</v>
      </c>
      <c r="X553" s="27">
        <f t="shared" si="237"/>
        <v>1.3485812924803108E-4</v>
      </c>
      <c r="Y553" s="27">
        <f t="shared" si="237"/>
        <v>1.3485812924803108E-4</v>
      </c>
    </row>
    <row r="554" spans="1:25" outlineLevel="1" x14ac:dyDescent="0.3">
      <c r="A554" t="s">
        <v>165</v>
      </c>
      <c r="B554" t="s">
        <v>71</v>
      </c>
      <c r="C554" s="6" t="s">
        <v>147</v>
      </c>
      <c r="D554" t="s">
        <v>48</v>
      </c>
      <c r="E554" s="27" t="e">
        <f t="shared" si="235"/>
        <v>#DIV/0!</v>
      </c>
      <c r="F554" s="27">
        <f t="shared" si="237"/>
        <v>1.7590006510299306E-4</v>
      </c>
      <c r="G554" s="29">
        <v>0</v>
      </c>
      <c r="H554" s="27">
        <f t="shared" si="237"/>
        <v>6.5781979981912933E-5</v>
      </c>
      <c r="I554" s="27">
        <f t="shared" si="237"/>
        <v>6.5781979981912933E-5</v>
      </c>
      <c r="J554" s="27">
        <f t="shared" si="237"/>
        <v>6.5781979981912933E-5</v>
      </c>
      <c r="K554" s="27">
        <f t="shared" si="237"/>
        <v>5.6215611348871269E-5</v>
      </c>
      <c r="L554" s="27">
        <f t="shared" si="237"/>
        <v>1.5470495249023114E-4</v>
      </c>
      <c r="M554" s="29">
        <v>0</v>
      </c>
      <c r="N554" s="27">
        <f t="shared" si="237"/>
        <v>6.5781979981912933E-5</v>
      </c>
      <c r="O554" s="27">
        <f t="shared" si="237"/>
        <v>6.5781979981912933E-5</v>
      </c>
      <c r="P554" s="27">
        <f t="shared" si="237"/>
        <v>6.5781979981912933E-5</v>
      </c>
      <c r="Q554" s="27">
        <f t="shared" si="237"/>
        <v>1.0348463617502533E-4</v>
      </c>
      <c r="R554" s="27">
        <f t="shared" si="237"/>
        <v>1.0348463617502533E-4</v>
      </c>
      <c r="S554" s="27">
        <f t="shared" si="237"/>
        <v>1.0348463617502533E-4</v>
      </c>
      <c r="T554" s="27">
        <f t="shared" si="237"/>
        <v>1.0348463617502533E-4</v>
      </c>
      <c r="U554" s="27">
        <f t="shared" si="237"/>
        <v>1.0348463617502533E-4</v>
      </c>
      <c r="V554" s="27">
        <f t="shared" si="237"/>
        <v>1.0348463617502533E-4</v>
      </c>
      <c r="W554" s="27">
        <f t="shared" si="237"/>
        <v>1.3512255695243897E-4</v>
      </c>
      <c r="X554" s="27">
        <f t="shared" si="237"/>
        <v>1.3512255695243897E-4</v>
      </c>
      <c r="Y554" s="27">
        <f t="shared" si="237"/>
        <v>1.3512255695243897E-4</v>
      </c>
    </row>
    <row r="555" spans="1:25" outlineLevel="1" x14ac:dyDescent="0.3">
      <c r="A555" t="s">
        <v>165</v>
      </c>
      <c r="B555" t="s">
        <v>72</v>
      </c>
      <c r="C555" s="6" t="s">
        <v>148</v>
      </c>
      <c r="D555" t="s">
        <v>48</v>
      </c>
      <c r="E555" s="27" t="e">
        <f t="shared" si="235"/>
        <v>#DIV/0!</v>
      </c>
      <c r="F555" s="27">
        <f t="shared" si="237"/>
        <v>2.0148642161209459E-4</v>
      </c>
      <c r="G555" s="29">
        <v>0</v>
      </c>
      <c r="H555" s="27">
        <f t="shared" si="237"/>
        <v>8.0241791543410074E-5</v>
      </c>
      <c r="I555" s="27">
        <f t="shared" si="237"/>
        <v>8.0241791543410074E-5</v>
      </c>
      <c r="J555" s="27">
        <f t="shared" si="237"/>
        <v>8.0241791543410074E-5</v>
      </c>
      <c r="K555" s="27">
        <f t="shared" si="237"/>
        <v>4.5430074303900052E-5</v>
      </c>
      <c r="L555" s="27">
        <f t="shared" si="237"/>
        <v>1.8038845270184617E-4</v>
      </c>
      <c r="M555" s="29">
        <v>0</v>
      </c>
      <c r="N555" s="27">
        <f t="shared" si="237"/>
        <v>8.0241791543410074E-5</v>
      </c>
      <c r="O555" s="27">
        <f t="shared" si="237"/>
        <v>8.0241791543410074E-5</v>
      </c>
      <c r="P555" s="27">
        <f t="shared" si="237"/>
        <v>8.0241791543410074E-5</v>
      </c>
      <c r="Q555" s="27">
        <f t="shared" si="237"/>
        <v>1.1896658961853306E-4</v>
      </c>
      <c r="R555" s="27">
        <f t="shared" si="237"/>
        <v>1.1896658961853306E-4</v>
      </c>
      <c r="S555" s="27">
        <f t="shared" si="237"/>
        <v>1.1896658961853306E-4</v>
      </c>
      <c r="T555" s="27">
        <f t="shared" si="237"/>
        <v>1.1896658961853306E-4</v>
      </c>
      <c r="U555" s="27">
        <f t="shared" si="237"/>
        <v>1.1896658961853306E-4</v>
      </c>
      <c r="V555" s="27">
        <f t="shared" si="237"/>
        <v>1.1896658961853306E-4</v>
      </c>
      <c r="W555" s="27">
        <f t="shared" si="237"/>
        <v>1.3485812924803108E-4</v>
      </c>
      <c r="X555" s="27">
        <f t="shared" si="237"/>
        <v>1.3485812924803108E-4</v>
      </c>
      <c r="Y555" s="27">
        <f t="shared" si="237"/>
        <v>1.3485812924803108E-4</v>
      </c>
    </row>
    <row r="556" spans="1:25" outlineLevel="1" x14ac:dyDescent="0.3">
      <c r="A556" t="s">
        <v>165</v>
      </c>
      <c r="B556" t="s">
        <v>73</v>
      </c>
      <c r="C556" s="6" t="s">
        <v>149</v>
      </c>
      <c r="D556" t="s">
        <v>48</v>
      </c>
      <c r="E556" s="27" t="e">
        <f t="shared" si="235"/>
        <v>#DIV/0!</v>
      </c>
      <c r="F556" s="27">
        <f t="shared" si="237"/>
        <v>2.2015515552213687E-4</v>
      </c>
      <c r="G556" s="29">
        <v>0</v>
      </c>
      <c r="H556" s="27">
        <f t="shared" si="237"/>
        <v>8.3159674872261341E-5</v>
      </c>
      <c r="I556" s="27">
        <f t="shared" si="237"/>
        <v>8.3159674872261341E-5</v>
      </c>
      <c r="J556" s="27">
        <f t="shared" si="237"/>
        <v>8.3159674872261341E-5</v>
      </c>
      <c r="K556" s="27">
        <f t="shared" si="237"/>
        <v>3.7840301766079468E-5</v>
      </c>
      <c r="L556" s="27">
        <f t="shared" si="237"/>
        <v>2.0590392463006786E-4</v>
      </c>
      <c r="M556" s="29">
        <v>0</v>
      </c>
      <c r="N556" s="27">
        <f t="shared" si="237"/>
        <v>8.3159674872261341E-5</v>
      </c>
      <c r="O556" s="27">
        <f t="shared" si="237"/>
        <v>8.3159674872261341E-5</v>
      </c>
      <c r="P556" s="27">
        <f t="shared" si="237"/>
        <v>8.3159674872261341E-5</v>
      </c>
      <c r="Q556" s="27">
        <f t="shared" si="237"/>
        <v>1.2955950513251203E-4</v>
      </c>
      <c r="R556" s="27">
        <f t="shared" si="237"/>
        <v>1.2955950513251203E-4</v>
      </c>
      <c r="S556" s="27">
        <f t="shared" si="237"/>
        <v>1.2955950513251203E-4</v>
      </c>
      <c r="T556" s="27">
        <f t="shared" si="237"/>
        <v>1.2955950513251203E-4</v>
      </c>
      <c r="U556" s="27">
        <f t="shared" si="237"/>
        <v>1.2955950513251203E-4</v>
      </c>
      <c r="V556" s="27">
        <f t="shared" si="237"/>
        <v>1.2955950513251203E-4</v>
      </c>
      <c r="W556" s="27">
        <f t="shared" si="237"/>
        <v>1.3459370154362318E-4</v>
      </c>
      <c r="X556" s="27">
        <f t="shared" si="237"/>
        <v>1.3459370154362318E-4</v>
      </c>
      <c r="Y556" s="27">
        <f t="shared" si="237"/>
        <v>1.3459370154362318E-4</v>
      </c>
    </row>
    <row r="557" spans="1:25" outlineLevel="1" x14ac:dyDescent="0.3">
      <c r="A557" t="s">
        <v>165</v>
      </c>
      <c r="B557" t="s">
        <v>74</v>
      </c>
      <c r="C557" s="6" t="s">
        <v>150</v>
      </c>
      <c r="D557" t="s">
        <v>48</v>
      </c>
      <c r="E557" s="27" t="e">
        <f t="shared" si="235"/>
        <v>#DIV/0!</v>
      </c>
      <c r="F557" s="27">
        <f t="shared" si="237"/>
        <v>2.5022181769183353E-4</v>
      </c>
      <c r="G557" s="29">
        <v>0</v>
      </c>
      <c r="H557" s="27">
        <f t="shared" si="237"/>
        <v>8.3645988760403214E-5</v>
      </c>
      <c r="I557" s="27">
        <f t="shared" si="237"/>
        <v>8.3645988760403214E-5</v>
      </c>
      <c r="J557" s="27">
        <f t="shared" si="237"/>
        <v>8.3645988760403214E-5</v>
      </c>
      <c r="K557" s="27">
        <f t="shared" si="237"/>
        <v>3.2862008010290244E-5</v>
      </c>
      <c r="L557" s="27">
        <f t="shared" si="237"/>
        <v>2.284524812177986E-4</v>
      </c>
      <c r="M557" s="29">
        <v>0</v>
      </c>
      <c r="N557" s="27">
        <f t="shared" si="237"/>
        <v>8.3645988760403214E-5</v>
      </c>
      <c r="O557" s="27">
        <f t="shared" si="237"/>
        <v>8.3645988760403214E-5</v>
      </c>
      <c r="P557" s="27">
        <f t="shared" si="237"/>
        <v>8.3645988760403214E-5</v>
      </c>
      <c r="Q557" s="27">
        <f t="shared" si="237"/>
        <v>1.3472015628034794E-4</v>
      </c>
      <c r="R557" s="27">
        <f t="shared" si="237"/>
        <v>1.3472015628034794E-4</v>
      </c>
      <c r="S557" s="27">
        <f t="shared" si="237"/>
        <v>1.3472015628034794E-4</v>
      </c>
      <c r="T557" s="27">
        <f t="shared" si="237"/>
        <v>1.3472015628034794E-4</v>
      </c>
      <c r="U557" s="27">
        <f t="shared" si="237"/>
        <v>1.3472015628034794E-4</v>
      </c>
      <c r="V557" s="27">
        <f t="shared" si="237"/>
        <v>1.3472015628034794E-4</v>
      </c>
      <c r="W557" s="27">
        <f t="shared" si="237"/>
        <v>1.3459370154362318E-4</v>
      </c>
      <c r="X557" s="27">
        <f t="shared" si="237"/>
        <v>1.3459370154362318E-4</v>
      </c>
      <c r="Y557" s="27">
        <f t="shared" si="237"/>
        <v>1.3459370154362318E-4</v>
      </c>
    </row>
    <row r="558" spans="1:25" outlineLevel="1" x14ac:dyDescent="0.3">
      <c r="A558" t="s">
        <v>165</v>
      </c>
      <c r="B558" t="s">
        <v>75</v>
      </c>
      <c r="C558" s="6" t="s">
        <v>151</v>
      </c>
      <c r="D558" t="s">
        <v>48</v>
      </c>
      <c r="E558" s="27" t="e">
        <f t="shared" si="235"/>
        <v>#DIV/0!</v>
      </c>
      <c r="F558" s="27">
        <f t="shared" si="237"/>
        <v>2.9915899305282519E-4</v>
      </c>
      <c r="G558" s="29">
        <v>0</v>
      </c>
      <c r="H558" s="27">
        <f t="shared" si="237"/>
        <v>8.8752284585892957E-5</v>
      </c>
      <c r="I558" s="27">
        <f t="shared" si="237"/>
        <v>8.8752284585892957E-5</v>
      </c>
      <c r="J558" s="27">
        <f t="shared" si="237"/>
        <v>8.8752284585892957E-5</v>
      </c>
      <c r="K558" s="27">
        <f t="shared" si="237"/>
        <v>2.9781194759325534E-5</v>
      </c>
      <c r="L558" s="27">
        <f t="shared" si="237"/>
        <v>2.474407393969403E-4</v>
      </c>
      <c r="M558" s="29">
        <v>0</v>
      </c>
      <c r="N558" s="27">
        <f t="shared" si="237"/>
        <v>8.8752284585892957E-5</v>
      </c>
      <c r="O558" s="27">
        <f t="shared" si="237"/>
        <v>8.8752284585892957E-5</v>
      </c>
      <c r="P558" s="27">
        <f t="shared" si="237"/>
        <v>8.8752284585892957E-5</v>
      </c>
      <c r="Q558" s="27">
        <f t="shared" si="237"/>
        <v>1.355349959352694E-4</v>
      </c>
      <c r="R558" s="27">
        <f t="shared" si="237"/>
        <v>1.355349959352694E-4</v>
      </c>
      <c r="S558" s="27">
        <f t="shared" si="237"/>
        <v>1.355349959352694E-4</v>
      </c>
      <c r="T558" s="27">
        <f t="shared" si="237"/>
        <v>1.355349959352694E-4</v>
      </c>
      <c r="U558" s="27">
        <f t="shared" si="237"/>
        <v>1.355349959352694E-4</v>
      </c>
      <c r="V558" s="27">
        <f t="shared" si="237"/>
        <v>1.355349959352694E-4</v>
      </c>
      <c r="W558" s="27">
        <f t="shared" si="237"/>
        <v>1.3406484613480736E-4</v>
      </c>
      <c r="X558" s="27">
        <f t="shared" si="237"/>
        <v>1.3406484613480736E-4</v>
      </c>
      <c r="Y558" s="27">
        <f t="shared" si="237"/>
        <v>1.3406484613480736E-4</v>
      </c>
    </row>
    <row r="559" spans="1:25" outlineLevel="1" x14ac:dyDescent="0.3">
      <c r="A559" t="s">
        <v>165</v>
      </c>
      <c r="B559" t="s">
        <v>76</v>
      </c>
      <c r="C559" s="6" t="s">
        <v>152</v>
      </c>
      <c r="D559" t="s">
        <v>48</v>
      </c>
      <c r="E559" s="27" t="e">
        <f t="shared" si="235"/>
        <v>#DIV/0!</v>
      </c>
      <c r="F559" s="27">
        <f t="shared" ref="F559:Y571" si="238">F357/F$398</f>
        <v>3.4414168263242878E-4</v>
      </c>
      <c r="G559" s="29">
        <v>0</v>
      </c>
      <c r="H559" s="27">
        <f t="shared" si="238"/>
        <v>9.1913324858815167E-5</v>
      </c>
      <c r="I559" s="27">
        <f t="shared" si="238"/>
        <v>9.1913324858815167E-5</v>
      </c>
      <c r="J559" s="27">
        <f t="shared" si="238"/>
        <v>9.1913324858815167E-5</v>
      </c>
      <c r="K559" s="27">
        <f t="shared" si="238"/>
        <v>2.7459523191768113E-5</v>
      </c>
      <c r="L559" s="27">
        <f t="shared" si="238"/>
        <v>2.6168193303129658E-4</v>
      </c>
      <c r="M559" s="29">
        <v>0</v>
      </c>
      <c r="N559" s="27">
        <f t="shared" si="238"/>
        <v>9.1913324858815167E-5</v>
      </c>
      <c r="O559" s="27">
        <f t="shared" si="238"/>
        <v>9.1913324858815167E-5</v>
      </c>
      <c r="P559" s="27">
        <f t="shared" si="238"/>
        <v>9.1913324858815167E-5</v>
      </c>
      <c r="Q559" s="27">
        <f t="shared" si="238"/>
        <v>1.3118918444235492E-4</v>
      </c>
      <c r="R559" s="27">
        <f t="shared" si="238"/>
        <v>1.3118918444235492E-4</v>
      </c>
      <c r="S559" s="27">
        <f t="shared" si="238"/>
        <v>1.3118918444235492E-4</v>
      </c>
      <c r="T559" s="27">
        <f t="shared" si="238"/>
        <v>1.3118918444235492E-4</v>
      </c>
      <c r="U559" s="27">
        <f t="shared" si="238"/>
        <v>1.3118918444235492E-4</v>
      </c>
      <c r="V559" s="27">
        <f t="shared" si="238"/>
        <v>1.3118918444235492E-4</v>
      </c>
      <c r="W559" s="27">
        <f t="shared" si="238"/>
        <v>1.3406484613480736E-4</v>
      </c>
      <c r="X559" s="27">
        <f t="shared" si="238"/>
        <v>1.3406484613480736E-4</v>
      </c>
      <c r="Y559" s="27">
        <f t="shared" si="238"/>
        <v>1.3406484613480736E-4</v>
      </c>
    </row>
    <row r="560" spans="1:25" outlineLevel="1" x14ac:dyDescent="0.3">
      <c r="A560" t="s">
        <v>165</v>
      </c>
      <c r="B560" t="s">
        <v>77</v>
      </c>
      <c r="C560" s="6" t="s">
        <v>153</v>
      </c>
      <c r="D560" t="s">
        <v>48</v>
      </c>
      <c r="E560" s="27" t="e">
        <f t="shared" si="235"/>
        <v>#DIV/0!</v>
      </c>
      <c r="F560" s="27">
        <f t="shared" si="238"/>
        <v>3.6783787298826852E-4</v>
      </c>
      <c r="G560" s="29">
        <v>0</v>
      </c>
      <c r="H560" s="27">
        <f t="shared" si="238"/>
        <v>9.1913324858815167E-5</v>
      </c>
      <c r="I560" s="27">
        <f t="shared" si="238"/>
        <v>9.1913324858815167E-5</v>
      </c>
      <c r="J560" s="27">
        <f t="shared" si="238"/>
        <v>9.1913324858815167E-5</v>
      </c>
      <c r="K560" s="27">
        <f t="shared" si="238"/>
        <v>2.577703442193632E-5</v>
      </c>
      <c r="L560" s="27">
        <f t="shared" si="238"/>
        <v>2.6939591291657292E-4</v>
      </c>
      <c r="M560" s="29">
        <v>0</v>
      </c>
      <c r="N560" s="27">
        <f t="shared" si="238"/>
        <v>9.1913324858815167E-5</v>
      </c>
      <c r="O560" s="27">
        <f t="shared" si="238"/>
        <v>9.1913324858815167E-5</v>
      </c>
      <c r="P560" s="27">
        <f t="shared" si="238"/>
        <v>9.1913324858815167E-5</v>
      </c>
      <c r="Q560" s="27">
        <f t="shared" si="238"/>
        <v>1.2168272180160458E-4</v>
      </c>
      <c r="R560" s="27">
        <f t="shared" si="238"/>
        <v>1.2168272180160458E-4</v>
      </c>
      <c r="S560" s="27">
        <f t="shared" si="238"/>
        <v>1.2168272180160458E-4</v>
      </c>
      <c r="T560" s="27">
        <f t="shared" si="238"/>
        <v>1.2168272180160458E-4</v>
      </c>
      <c r="U560" s="27">
        <f t="shared" si="238"/>
        <v>1.2168272180160458E-4</v>
      </c>
      <c r="V560" s="27">
        <f t="shared" si="238"/>
        <v>1.2168272180160458E-4</v>
      </c>
      <c r="W560" s="27">
        <f t="shared" si="238"/>
        <v>1.3406484613480736E-4</v>
      </c>
      <c r="X560" s="27">
        <f t="shared" si="238"/>
        <v>1.3406484613480736E-4</v>
      </c>
      <c r="Y560" s="27">
        <f t="shared" si="238"/>
        <v>1.3406484613480736E-4</v>
      </c>
    </row>
    <row r="561" spans="1:25" outlineLevel="1" x14ac:dyDescent="0.3">
      <c r="A561" t="s">
        <v>165</v>
      </c>
      <c r="B561" t="s">
        <v>78</v>
      </c>
      <c r="C561" s="6" t="s">
        <v>154</v>
      </c>
      <c r="D561" t="s">
        <v>48</v>
      </c>
      <c r="E561" s="27" t="e">
        <f t="shared" si="235"/>
        <v>#DIV/0!</v>
      </c>
      <c r="F561" s="27">
        <f t="shared" si="238"/>
        <v>3.7399829734859481E-4</v>
      </c>
      <c r="G561" s="29">
        <v>0</v>
      </c>
      <c r="H561" s="27">
        <f t="shared" si="238"/>
        <v>9.0697540138460464E-5</v>
      </c>
      <c r="I561" s="27">
        <f t="shared" si="238"/>
        <v>9.0697540138460464E-5</v>
      </c>
      <c r="J561" s="27">
        <f t="shared" si="238"/>
        <v>9.0697540138460464E-5</v>
      </c>
      <c r="K561" s="27">
        <f t="shared" si="238"/>
        <v>2.4565188083965872E-5</v>
      </c>
      <c r="L561" s="27">
        <f t="shared" si="238"/>
        <v>2.7295621132516194E-4</v>
      </c>
      <c r="M561" s="29">
        <v>0</v>
      </c>
      <c r="N561" s="27">
        <f t="shared" si="238"/>
        <v>9.0697540138460464E-5</v>
      </c>
      <c r="O561" s="27">
        <f t="shared" si="238"/>
        <v>9.0697540138460464E-5</v>
      </c>
      <c r="P561" s="27">
        <f t="shared" si="238"/>
        <v>9.0697540138460464E-5</v>
      </c>
      <c r="Q561" s="27">
        <f t="shared" si="238"/>
        <v>1.2141110858329744E-4</v>
      </c>
      <c r="R561" s="27">
        <f t="shared" si="238"/>
        <v>1.2141110858329744E-4</v>
      </c>
      <c r="S561" s="27">
        <f t="shared" si="238"/>
        <v>1.2141110858329744E-4</v>
      </c>
      <c r="T561" s="27">
        <f t="shared" si="238"/>
        <v>1.2141110858329744E-4</v>
      </c>
      <c r="U561" s="27">
        <f t="shared" si="238"/>
        <v>1.2141110858329744E-4</v>
      </c>
      <c r="V561" s="27">
        <f t="shared" si="238"/>
        <v>1.2141110858329744E-4</v>
      </c>
      <c r="W561" s="27">
        <f t="shared" si="238"/>
        <v>1.3459370154362318E-4</v>
      </c>
      <c r="X561" s="27">
        <f t="shared" si="238"/>
        <v>1.3459370154362318E-4</v>
      </c>
      <c r="Y561" s="27">
        <f t="shared" si="238"/>
        <v>1.3459370154362318E-4</v>
      </c>
    </row>
    <row r="562" spans="1:25" outlineLevel="1" x14ac:dyDescent="0.3">
      <c r="A562" t="s">
        <v>165</v>
      </c>
      <c r="B562" t="s">
        <v>79</v>
      </c>
      <c r="C562" s="6" t="s">
        <v>155</v>
      </c>
      <c r="D562" t="s">
        <v>48</v>
      </c>
      <c r="E562" s="27" t="e">
        <f t="shared" si="235"/>
        <v>#DIV/0!</v>
      </c>
      <c r="F562" s="27">
        <f t="shared" si="238"/>
        <v>3.658971193194126E-4</v>
      </c>
      <c r="G562" s="29">
        <v>0</v>
      </c>
      <c r="H562" s="27">
        <f t="shared" si="238"/>
        <v>9.1183854026602337E-5</v>
      </c>
      <c r="I562" s="27">
        <f t="shared" si="238"/>
        <v>9.1183854026602337E-5</v>
      </c>
      <c r="J562" s="27">
        <f t="shared" si="238"/>
        <v>9.1183854026602337E-5</v>
      </c>
      <c r="K562" s="27">
        <f t="shared" si="238"/>
        <v>2.0804570443769006E-5</v>
      </c>
      <c r="L562" s="27">
        <f t="shared" si="238"/>
        <v>2.6939591291657292E-4</v>
      </c>
      <c r="M562" s="29">
        <v>0</v>
      </c>
      <c r="N562" s="27">
        <f t="shared" si="238"/>
        <v>9.1183854026602337E-5</v>
      </c>
      <c r="O562" s="27">
        <f t="shared" si="238"/>
        <v>9.1183854026602337E-5</v>
      </c>
      <c r="P562" s="27">
        <f t="shared" si="238"/>
        <v>9.1183854026602337E-5</v>
      </c>
      <c r="Q562" s="27">
        <f t="shared" si="238"/>
        <v>1.2113949536499029E-4</v>
      </c>
      <c r="R562" s="27">
        <f t="shared" si="238"/>
        <v>1.2113949536499029E-4</v>
      </c>
      <c r="S562" s="27">
        <f t="shared" si="238"/>
        <v>1.2113949536499029E-4</v>
      </c>
      <c r="T562" s="27">
        <f t="shared" si="238"/>
        <v>1.2113949536499029E-4</v>
      </c>
      <c r="U562" s="27">
        <f t="shared" si="238"/>
        <v>1.2113949536499029E-4</v>
      </c>
      <c r="V562" s="27">
        <f t="shared" si="238"/>
        <v>1.2113949536499029E-4</v>
      </c>
      <c r="W562" s="27">
        <f t="shared" si="238"/>
        <v>1.353869846568469E-4</v>
      </c>
      <c r="X562" s="27">
        <f t="shared" si="238"/>
        <v>1.353869846568469E-4</v>
      </c>
      <c r="Y562" s="27">
        <f t="shared" si="238"/>
        <v>1.353869846568469E-4</v>
      </c>
    </row>
    <row r="563" spans="1:25" outlineLevel="1" x14ac:dyDescent="0.3">
      <c r="A563" t="s">
        <v>165</v>
      </c>
      <c r="B563" t="s">
        <v>80</v>
      </c>
      <c r="C563" s="6" t="s">
        <v>156</v>
      </c>
      <c r="D563" t="s">
        <v>48</v>
      </c>
      <c r="E563" s="27" t="e">
        <f t="shared" si="235"/>
        <v>#DIV/0!</v>
      </c>
      <c r="F563" s="27">
        <f t="shared" si="238"/>
        <v>3.4829369129868969E-4</v>
      </c>
      <c r="G563" s="29">
        <v>0</v>
      </c>
      <c r="H563" s="27">
        <f t="shared" si="238"/>
        <v>9.3372266523240801E-5</v>
      </c>
      <c r="I563" s="27">
        <f t="shared" si="238"/>
        <v>9.3372266523240801E-5</v>
      </c>
      <c r="J563" s="27">
        <f t="shared" si="238"/>
        <v>9.3372266523240801E-5</v>
      </c>
      <c r="K563" s="27">
        <f t="shared" si="238"/>
        <v>2.0547985487666097E-5</v>
      </c>
      <c r="L563" s="27">
        <f t="shared" si="238"/>
        <v>2.6049516689510024E-4</v>
      </c>
      <c r="M563" s="29">
        <v>0</v>
      </c>
      <c r="N563" s="27">
        <f t="shared" si="238"/>
        <v>9.3372266523240801E-5</v>
      </c>
      <c r="O563" s="27">
        <f t="shared" si="238"/>
        <v>9.3372266523240801E-5</v>
      </c>
      <c r="P563" s="27">
        <f t="shared" si="238"/>
        <v>9.3372266523240801E-5</v>
      </c>
      <c r="Q563" s="27">
        <f t="shared" si="238"/>
        <v>1.4395500570279113E-4</v>
      </c>
      <c r="R563" s="27">
        <f t="shared" si="238"/>
        <v>1.4395500570279113E-4</v>
      </c>
      <c r="S563" s="27">
        <f t="shared" si="238"/>
        <v>1.4395500570279113E-4</v>
      </c>
      <c r="T563" s="27">
        <f t="shared" si="238"/>
        <v>1.4395500570279113E-4</v>
      </c>
      <c r="U563" s="27">
        <f t="shared" si="238"/>
        <v>1.4395500570279113E-4</v>
      </c>
      <c r="V563" s="27">
        <f t="shared" si="238"/>
        <v>1.4395500570279113E-4</v>
      </c>
      <c r="W563" s="27">
        <f t="shared" si="238"/>
        <v>1.3618026777007062E-4</v>
      </c>
      <c r="X563" s="27">
        <f t="shared" si="238"/>
        <v>1.3618026777007062E-4</v>
      </c>
      <c r="Y563" s="27">
        <f t="shared" si="238"/>
        <v>1.3618026777007062E-4</v>
      </c>
    </row>
    <row r="564" spans="1:25" outlineLevel="1" x14ac:dyDescent="0.3">
      <c r="A564" t="s">
        <v>165</v>
      </c>
      <c r="B564" t="s">
        <v>81</v>
      </c>
      <c r="C564" s="6" t="s">
        <v>157</v>
      </c>
      <c r="D564" t="s">
        <v>48</v>
      </c>
      <c r="E564" s="27" t="e">
        <f t="shared" si="235"/>
        <v>#DIV/0!</v>
      </c>
      <c r="F564" s="27">
        <f t="shared" si="238"/>
        <v>3.2816887843399416E-4</v>
      </c>
      <c r="G564" s="29">
        <v>0</v>
      </c>
      <c r="H564" s="27">
        <f t="shared" si="238"/>
        <v>1.5270256087655007E-4</v>
      </c>
      <c r="I564" s="27">
        <f t="shared" si="238"/>
        <v>1.5270256087655007E-4</v>
      </c>
      <c r="J564" s="27">
        <f t="shared" si="238"/>
        <v>1.5270256087655007E-4</v>
      </c>
      <c r="K564" s="27">
        <f t="shared" si="238"/>
        <v>2.2143476037601653E-5</v>
      </c>
      <c r="L564" s="27">
        <f t="shared" si="238"/>
        <v>2.4388044098835125E-4</v>
      </c>
      <c r="M564" s="29">
        <v>0</v>
      </c>
      <c r="N564" s="27">
        <f t="shared" si="238"/>
        <v>1.5270256087655007E-4</v>
      </c>
      <c r="O564" s="27">
        <f t="shared" si="238"/>
        <v>1.5270256087655007E-4</v>
      </c>
      <c r="P564" s="27">
        <f t="shared" si="238"/>
        <v>1.5270256087655007E-4</v>
      </c>
      <c r="Q564" s="27">
        <f t="shared" si="238"/>
        <v>1.4395500570279113E-4</v>
      </c>
      <c r="R564" s="27">
        <f t="shared" si="238"/>
        <v>1.4395500570279113E-4</v>
      </c>
      <c r="S564" s="27">
        <f t="shared" si="238"/>
        <v>1.4395500570279113E-4</v>
      </c>
      <c r="T564" s="27">
        <f t="shared" si="238"/>
        <v>1.4395500570279113E-4</v>
      </c>
      <c r="U564" s="27">
        <f t="shared" si="238"/>
        <v>1.4395500570279113E-4</v>
      </c>
      <c r="V564" s="27">
        <f t="shared" si="238"/>
        <v>1.4395500570279113E-4</v>
      </c>
      <c r="W564" s="27">
        <f t="shared" si="238"/>
        <v>1.3644469547447849E-4</v>
      </c>
      <c r="X564" s="27">
        <f t="shared" si="238"/>
        <v>1.3644469547447849E-4</v>
      </c>
      <c r="Y564" s="27">
        <f t="shared" si="238"/>
        <v>1.3644469547447849E-4</v>
      </c>
    </row>
    <row r="565" spans="1:25" outlineLevel="1" x14ac:dyDescent="0.3">
      <c r="A565" t="s">
        <v>165</v>
      </c>
      <c r="B565" t="s">
        <v>82</v>
      </c>
      <c r="C565" s="6" t="s">
        <v>158</v>
      </c>
      <c r="D565" t="s">
        <v>48</v>
      </c>
      <c r="E565" s="27" t="e">
        <f t="shared" si="235"/>
        <v>#DIV/0!</v>
      </c>
      <c r="F565" s="27">
        <f t="shared" si="238"/>
        <v>3.0143230011239508E-4</v>
      </c>
      <c r="G565" s="29">
        <v>0</v>
      </c>
      <c r="H565" s="27">
        <f t="shared" si="238"/>
        <v>3.452828605807342E-4</v>
      </c>
      <c r="I565" s="27">
        <f t="shared" si="238"/>
        <v>3.452828605807342E-4</v>
      </c>
      <c r="J565" s="27">
        <f t="shared" si="238"/>
        <v>3.452828605807342E-4</v>
      </c>
      <c r="K565" s="27">
        <f t="shared" si="238"/>
        <v>2.579310368076595E-5</v>
      </c>
      <c r="L565" s="27">
        <f t="shared" si="238"/>
        <v>2.2370541667301319E-4</v>
      </c>
      <c r="M565" s="29">
        <v>0</v>
      </c>
      <c r="N565" s="27">
        <f t="shared" si="238"/>
        <v>3.452828605807342E-4</v>
      </c>
      <c r="O565" s="27">
        <f t="shared" si="238"/>
        <v>3.452828605807342E-4</v>
      </c>
      <c r="P565" s="27">
        <f t="shared" si="238"/>
        <v>3.452828605807342E-4</v>
      </c>
      <c r="Q565" s="27">
        <f t="shared" si="238"/>
        <v>1.4368339248448399E-4</v>
      </c>
      <c r="R565" s="27">
        <f t="shared" si="238"/>
        <v>1.4368339248448399E-4</v>
      </c>
      <c r="S565" s="27">
        <f t="shared" si="238"/>
        <v>1.4368339248448399E-4</v>
      </c>
      <c r="T565" s="27">
        <f t="shared" si="238"/>
        <v>1.4368339248448399E-4</v>
      </c>
      <c r="U565" s="27">
        <f t="shared" si="238"/>
        <v>1.4368339248448399E-4</v>
      </c>
      <c r="V565" s="27">
        <f t="shared" si="238"/>
        <v>1.4368339248448399E-4</v>
      </c>
      <c r="W565" s="27">
        <f t="shared" si="238"/>
        <v>1.3618026777007062E-4</v>
      </c>
      <c r="X565" s="27">
        <f t="shared" si="238"/>
        <v>1.3618026777007062E-4</v>
      </c>
      <c r="Y565" s="27">
        <f t="shared" si="238"/>
        <v>1.3618026777007062E-4</v>
      </c>
    </row>
    <row r="566" spans="1:25" outlineLevel="1" x14ac:dyDescent="0.3">
      <c r="A566" t="s">
        <v>165</v>
      </c>
      <c r="B566" t="s">
        <v>83</v>
      </c>
      <c r="C566" s="6" t="s">
        <v>159</v>
      </c>
      <c r="D566" t="s">
        <v>48</v>
      </c>
      <c r="E566" s="27" t="e">
        <f t="shared" si="235"/>
        <v>#DIV/0!</v>
      </c>
      <c r="F566" s="27">
        <f t="shared" si="238"/>
        <v>2.6298645689019808E-4</v>
      </c>
      <c r="G566" s="29">
        <v>0</v>
      </c>
      <c r="H566" s="27">
        <f t="shared" si="238"/>
        <v>3.6181753277755814E-4</v>
      </c>
      <c r="I566" s="27">
        <f t="shared" si="238"/>
        <v>3.6181753277755814E-4</v>
      </c>
      <c r="J566" s="27">
        <f t="shared" si="238"/>
        <v>3.6181753277755814E-4</v>
      </c>
      <c r="K566" s="27">
        <f t="shared" si="238"/>
        <v>2.8484293460666151E-5</v>
      </c>
      <c r="L566" s="27">
        <f t="shared" si="238"/>
        <v>2.0056347701718423E-4</v>
      </c>
      <c r="M566" s="29">
        <v>0</v>
      </c>
      <c r="N566" s="27">
        <f t="shared" si="238"/>
        <v>3.6181753277755814E-4</v>
      </c>
      <c r="O566" s="27">
        <f t="shared" si="238"/>
        <v>3.6181753277755814E-4</v>
      </c>
      <c r="P566" s="27">
        <f t="shared" si="238"/>
        <v>3.6181753277755814E-4</v>
      </c>
      <c r="Q566" s="27">
        <f t="shared" si="238"/>
        <v>1.4314016604786967E-4</v>
      </c>
      <c r="R566" s="27">
        <f t="shared" si="238"/>
        <v>1.4314016604786967E-4</v>
      </c>
      <c r="S566" s="27">
        <f t="shared" si="238"/>
        <v>1.4314016604786967E-4</v>
      </c>
      <c r="T566" s="27">
        <f t="shared" si="238"/>
        <v>1.4314016604786967E-4</v>
      </c>
      <c r="U566" s="27">
        <f t="shared" si="238"/>
        <v>1.4314016604786967E-4</v>
      </c>
      <c r="V566" s="27">
        <f t="shared" si="238"/>
        <v>1.4314016604786967E-4</v>
      </c>
      <c r="W566" s="27">
        <f t="shared" si="238"/>
        <v>1.3565141236125477E-4</v>
      </c>
      <c r="X566" s="27">
        <f t="shared" si="238"/>
        <v>1.3565141236125477E-4</v>
      </c>
      <c r="Y566" s="27">
        <f t="shared" si="238"/>
        <v>1.3565141236125477E-4</v>
      </c>
    </row>
    <row r="567" spans="1:25" outlineLevel="1" x14ac:dyDescent="0.3">
      <c r="A567" t="s">
        <v>165</v>
      </c>
      <c r="B567" t="s">
        <v>84</v>
      </c>
      <c r="C567" s="6" t="s">
        <v>160</v>
      </c>
      <c r="D567" t="s">
        <v>48</v>
      </c>
      <c r="E567" s="27" t="e">
        <f t="shared" si="235"/>
        <v>#DIV/0!</v>
      </c>
      <c r="F567" s="27">
        <f t="shared" si="238"/>
        <v>2.1963574469954756E-4</v>
      </c>
      <c r="G567" s="29">
        <v>0</v>
      </c>
      <c r="H567" s="27">
        <f t="shared" si="238"/>
        <v>3.5987227722499064E-4</v>
      </c>
      <c r="I567" s="27">
        <f t="shared" si="238"/>
        <v>3.5987227722499064E-4</v>
      </c>
      <c r="J567" s="27">
        <f t="shared" si="238"/>
        <v>3.5987227722499064E-4</v>
      </c>
      <c r="K567" s="27">
        <f t="shared" si="238"/>
        <v>3.59786220751126E-5</v>
      </c>
      <c r="L567" s="27">
        <f t="shared" si="238"/>
        <v>1.7866583198600377E-4</v>
      </c>
      <c r="M567" s="29">
        <v>0</v>
      </c>
      <c r="N567" s="27">
        <f t="shared" si="238"/>
        <v>3.5987227722499064E-4</v>
      </c>
      <c r="O567" s="27">
        <f t="shared" si="238"/>
        <v>3.5987227722499064E-4</v>
      </c>
      <c r="P567" s="27">
        <f t="shared" si="238"/>
        <v>3.5987227722499064E-4</v>
      </c>
      <c r="Q567" s="27">
        <f t="shared" si="238"/>
        <v>1.4259693961125535E-4</v>
      </c>
      <c r="R567" s="27">
        <f t="shared" si="238"/>
        <v>1.4259693961125535E-4</v>
      </c>
      <c r="S567" s="27">
        <f t="shared" si="238"/>
        <v>1.4259693961125535E-4</v>
      </c>
      <c r="T567" s="27">
        <f t="shared" si="238"/>
        <v>1.4259693961125535E-4</v>
      </c>
      <c r="U567" s="27">
        <f t="shared" si="238"/>
        <v>1.4259693961125535E-4</v>
      </c>
      <c r="V567" s="27">
        <f t="shared" si="238"/>
        <v>1.4259693961125535E-4</v>
      </c>
      <c r="W567" s="27">
        <f t="shared" si="238"/>
        <v>1.353869846568469E-4</v>
      </c>
      <c r="X567" s="27">
        <f t="shared" si="238"/>
        <v>1.353869846568469E-4</v>
      </c>
      <c r="Y567" s="27">
        <f t="shared" si="238"/>
        <v>1.353869846568469E-4</v>
      </c>
    </row>
    <row r="568" spans="1:25" outlineLevel="1" x14ac:dyDescent="0.3">
      <c r="A568" t="s">
        <v>165</v>
      </c>
      <c r="B568" t="s">
        <v>85</v>
      </c>
      <c r="C568" s="6" t="s">
        <v>161</v>
      </c>
      <c r="D568" t="s">
        <v>48</v>
      </c>
      <c r="E568" s="27" t="e">
        <f t="shared" si="235"/>
        <v>#DIV/0!</v>
      </c>
      <c r="F568" s="27">
        <f t="shared" si="238"/>
        <v>1.7880755891511719E-4</v>
      </c>
      <c r="G568" s="29">
        <v>0</v>
      </c>
      <c r="H568" s="27">
        <f t="shared" si="238"/>
        <v>2.9762409954283006E-4</v>
      </c>
      <c r="I568" s="27">
        <f t="shared" si="238"/>
        <v>2.9762409954283006E-4</v>
      </c>
      <c r="J568" s="27">
        <f t="shared" si="238"/>
        <v>2.9762409954283006E-4</v>
      </c>
      <c r="K568" s="27">
        <f t="shared" si="238"/>
        <v>3.8268267236118868E-5</v>
      </c>
      <c r="L568" s="27">
        <f t="shared" si="238"/>
        <v>1.5944162096366351E-4</v>
      </c>
      <c r="M568" s="29">
        <v>0</v>
      </c>
      <c r="N568" s="27">
        <f t="shared" si="238"/>
        <v>2.9762409954283006E-4</v>
      </c>
      <c r="O568" s="27">
        <f t="shared" si="238"/>
        <v>2.9762409954283006E-4</v>
      </c>
      <c r="P568" s="27">
        <f t="shared" si="238"/>
        <v>2.9762409954283006E-4</v>
      </c>
      <c r="Q568" s="27">
        <f t="shared" si="238"/>
        <v>1.4178209995633392E-4</v>
      </c>
      <c r="R568" s="27">
        <f t="shared" si="238"/>
        <v>1.4178209995633392E-4</v>
      </c>
      <c r="S568" s="27">
        <f t="shared" si="238"/>
        <v>1.4178209995633392E-4</v>
      </c>
      <c r="T568" s="27">
        <f t="shared" si="238"/>
        <v>1.4178209995633392E-4</v>
      </c>
      <c r="U568" s="27">
        <f t="shared" si="238"/>
        <v>1.4178209995633392E-4</v>
      </c>
      <c r="V568" s="27">
        <f t="shared" si="238"/>
        <v>1.4178209995633392E-4</v>
      </c>
      <c r="W568" s="27">
        <f t="shared" si="238"/>
        <v>1.3459370154362318E-4</v>
      </c>
      <c r="X568" s="27">
        <f t="shared" si="238"/>
        <v>1.3459370154362318E-4</v>
      </c>
      <c r="Y568" s="27">
        <f t="shared" si="238"/>
        <v>1.3459370154362318E-4</v>
      </c>
    </row>
    <row r="569" spans="1:25" outlineLevel="1" x14ac:dyDescent="0.3">
      <c r="A569" t="s">
        <v>165</v>
      </c>
      <c r="B569" t="s">
        <v>86</v>
      </c>
      <c r="C569" s="6" t="s">
        <v>162</v>
      </c>
      <c r="D569" t="s">
        <v>48</v>
      </c>
      <c r="E569" s="27" t="e">
        <f t="shared" si="235"/>
        <v>#DIV/0!</v>
      </c>
      <c r="F569" s="27">
        <f t="shared" si="238"/>
        <v>1.4379106653244957E-4</v>
      </c>
      <c r="G569" s="29">
        <v>0</v>
      </c>
      <c r="H569" s="27">
        <f t="shared" si="238"/>
        <v>1.9209398581604227E-4</v>
      </c>
      <c r="I569" s="27">
        <f t="shared" si="238"/>
        <v>1.9209398581604227E-4</v>
      </c>
      <c r="J569" s="27">
        <f t="shared" si="238"/>
        <v>1.9209398581604227E-4</v>
      </c>
      <c r="K569" s="27">
        <f t="shared" si="238"/>
        <v>4.1210585898193778E-5</v>
      </c>
      <c r="L569" s="27">
        <f t="shared" si="238"/>
        <v>1.4285967947142691E-4</v>
      </c>
      <c r="M569" s="29">
        <v>0</v>
      </c>
      <c r="N569" s="27">
        <f t="shared" si="238"/>
        <v>1.9209398581604227E-4</v>
      </c>
      <c r="O569" s="27">
        <f t="shared" si="238"/>
        <v>1.9209398581604227E-4</v>
      </c>
      <c r="P569" s="27">
        <f t="shared" si="238"/>
        <v>1.9209398581604227E-4</v>
      </c>
      <c r="Q569" s="27">
        <f t="shared" si="238"/>
        <v>1.4151048673802675E-4</v>
      </c>
      <c r="R569" s="27">
        <f t="shared" si="238"/>
        <v>1.4151048673802675E-4</v>
      </c>
      <c r="S569" s="27">
        <f t="shared" si="238"/>
        <v>1.4151048673802675E-4</v>
      </c>
      <c r="T569" s="27">
        <f t="shared" si="238"/>
        <v>1.4151048673802675E-4</v>
      </c>
      <c r="U569" s="27">
        <f t="shared" si="238"/>
        <v>1.4151048673802675E-4</v>
      </c>
      <c r="V569" s="27">
        <f t="shared" si="238"/>
        <v>1.4151048673802675E-4</v>
      </c>
      <c r="W569" s="27">
        <f t="shared" si="238"/>
        <v>1.3380041843039946E-4</v>
      </c>
      <c r="X569" s="27">
        <f t="shared" si="238"/>
        <v>1.3380041843039946E-4</v>
      </c>
      <c r="Y569" s="27">
        <f t="shared" si="238"/>
        <v>1.3380041843039946E-4</v>
      </c>
    </row>
    <row r="570" spans="1:25" outlineLevel="1" x14ac:dyDescent="0.3">
      <c r="A570" t="s">
        <v>165</v>
      </c>
      <c r="B570" t="s">
        <v>87</v>
      </c>
      <c r="C570" s="6" t="s">
        <v>163</v>
      </c>
      <c r="D570" t="s">
        <v>48</v>
      </c>
      <c r="E570" s="27" t="e">
        <f t="shared" si="235"/>
        <v>#DIV/0!</v>
      </c>
      <c r="F570" s="27">
        <f t="shared" si="238"/>
        <v>1.1699623592016645E-4</v>
      </c>
      <c r="G570" s="29">
        <v>0</v>
      </c>
      <c r="H570" s="27">
        <f t="shared" si="238"/>
        <v>1.0723221233528436E-4</v>
      </c>
      <c r="I570" s="27">
        <f t="shared" si="238"/>
        <v>1.0723221233528436E-4</v>
      </c>
      <c r="J570" s="27">
        <f t="shared" si="238"/>
        <v>1.0723221233528436E-4</v>
      </c>
      <c r="K570" s="27">
        <f t="shared" si="238"/>
        <v>4.3678936165533295E-5</v>
      </c>
      <c r="L570" s="27">
        <f t="shared" si="238"/>
        <v>1.2852540776900877E-4</v>
      </c>
      <c r="M570" s="29">
        <v>0</v>
      </c>
      <c r="N570" s="27">
        <f t="shared" si="238"/>
        <v>1.0723221233528436E-4</v>
      </c>
      <c r="O570" s="27">
        <f t="shared" si="238"/>
        <v>1.0723221233528436E-4</v>
      </c>
      <c r="P570" s="27">
        <f t="shared" si="238"/>
        <v>1.0723221233528436E-4</v>
      </c>
      <c r="Q570" s="27">
        <f t="shared" si="238"/>
        <v>9.4793013189196424E-5</v>
      </c>
      <c r="R570" s="27">
        <f t="shared" si="238"/>
        <v>9.4793013189196424E-5</v>
      </c>
      <c r="S570" s="27">
        <f t="shared" si="238"/>
        <v>9.4793013189196424E-5</v>
      </c>
      <c r="T570" s="27">
        <f t="shared" si="238"/>
        <v>9.4793013189196424E-5</v>
      </c>
      <c r="U570" s="27">
        <f t="shared" si="238"/>
        <v>9.4793013189196424E-5</v>
      </c>
      <c r="V570" s="27">
        <f t="shared" si="238"/>
        <v>9.4793013189196424E-5</v>
      </c>
      <c r="W570" s="27">
        <f t="shared" si="238"/>
        <v>1.3327156302158367E-4</v>
      </c>
      <c r="X570" s="27">
        <f t="shared" si="238"/>
        <v>1.3327156302158367E-4</v>
      </c>
      <c r="Y570" s="27">
        <f t="shared" si="238"/>
        <v>1.3327156302158367E-4</v>
      </c>
    </row>
    <row r="571" spans="1:25" outlineLevel="1" x14ac:dyDescent="0.3">
      <c r="A571" t="s">
        <v>166</v>
      </c>
      <c r="B571" t="s">
        <v>64</v>
      </c>
      <c r="C571" s="6" t="s">
        <v>140</v>
      </c>
      <c r="D571" t="s">
        <v>48</v>
      </c>
      <c r="E571" s="27" t="e">
        <f t="shared" si="235"/>
        <v>#DIV/0!</v>
      </c>
      <c r="F571" s="27">
        <f t="shared" si="238"/>
        <v>4.1899454858017259E-5</v>
      </c>
      <c r="G571" s="29">
        <v>0</v>
      </c>
      <c r="H571" s="27">
        <f t="shared" si="238"/>
        <v>5.0394944672284841E-5</v>
      </c>
      <c r="I571" s="27">
        <f t="shared" si="238"/>
        <v>5.0394944672284841E-5</v>
      </c>
      <c r="J571" s="27">
        <f t="shared" si="238"/>
        <v>5.0394944672284841E-5</v>
      </c>
      <c r="K571" s="27">
        <f t="shared" si="238"/>
        <v>4.0697426252572952E-5</v>
      </c>
      <c r="L571" s="27">
        <f t="shared" si="238"/>
        <v>5.7740101113105125E-5</v>
      </c>
      <c r="M571" s="29">
        <v>0</v>
      </c>
      <c r="N571" s="27">
        <f t="shared" si="238"/>
        <v>5.0394944672284841E-5</v>
      </c>
      <c r="O571" s="27">
        <f t="shared" si="238"/>
        <v>5.0394944672284841E-5</v>
      </c>
      <c r="P571" s="27">
        <f t="shared" si="238"/>
        <v>5.0394944672284841E-5</v>
      </c>
      <c r="Q571" s="27">
        <f t="shared" si="238"/>
        <v>4.8768601061145447E-5</v>
      </c>
      <c r="R571" s="27">
        <f t="shared" si="238"/>
        <v>4.8768601061145447E-5</v>
      </c>
      <c r="S571" s="27">
        <f t="shared" si="238"/>
        <v>4.8768601061145447E-5</v>
      </c>
      <c r="T571" s="27">
        <f t="shared" si="238"/>
        <v>4.8768601061145447E-5</v>
      </c>
      <c r="U571" s="27">
        <f t="shared" ref="F571:Y584" si="239">U369/U$398</f>
        <v>4.8768601061145447E-5</v>
      </c>
      <c r="V571" s="27">
        <f t="shared" si="239"/>
        <v>4.8768601061145447E-5</v>
      </c>
      <c r="W571" s="27">
        <f t="shared" si="239"/>
        <v>9.0893391141530093E-5</v>
      </c>
      <c r="X571" s="27">
        <f t="shared" si="239"/>
        <v>9.0893391141530093E-5</v>
      </c>
      <c r="Y571" s="27">
        <f t="shared" si="239"/>
        <v>9.0893391141530093E-5</v>
      </c>
    </row>
    <row r="572" spans="1:25" outlineLevel="1" x14ac:dyDescent="0.3">
      <c r="A572" t="s">
        <v>166</v>
      </c>
      <c r="B572" t="s">
        <v>65</v>
      </c>
      <c r="C572" s="6" t="s">
        <v>141</v>
      </c>
      <c r="D572" t="s">
        <v>48</v>
      </c>
      <c r="E572" s="27" t="e">
        <f t="shared" si="235"/>
        <v>#DIV/0!</v>
      </c>
      <c r="F572" s="27">
        <f t="shared" si="239"/>
        <v>3.7121172060538308E-5</v>
      </c>
      <c r="G572" s="29">
        <v>0</v>
      </c>
      <c r="H572" s="27">
        <f t="shared" si="239"/>
        <v>4.3585147089128526E-5</v>
      </c>
      <c r="I572" s="27">
        <f t="shared" si="239"/>
        <v>4.3585147089128526E-5</v>
      </c>
      <c r="J572" s="27">
        <f t="shared" si="239"/>
        <v>4.3585147089128526E-5</v>
      </c>
      <c r="K572" s="27">
        <f t="shared" si="239"/>
        <v>3.7849983155727013E-5</v>
      </c>
      <c r="L572" s="27">
        <f t="shared" si="239"/>
        <v>5.5340744027105621E-5</v>
      </c>
      <c r="M572" s="29">
        <v>0</v>
      </c>
      <c r="N572" s="27">
        <f t="shared" si="239"/>
        <v>4.3585147089128526E-5</v>
      </c>
      <c r="O572" s="27">
        <f t="shared" si="239"/>
        <v>4.3585147089128526E-5</v>
      </c>
      <c r="P572" s="27">
        <f t="shared" si="239"/>
        <v>4.3585147089128526E-5</v>
      </c>
      <c r="Q572" s="27">
        <f t="shared" si="239"/>
        <v>4.8439083486407974E-5</v>
      </c>
      <c r="R572" s="27">
        <f t="shared" si="239"/>
        <v>4.8439083486407974E-5</v>
      </c>
      <c r="S572" s="27">
        <f t="shared" si="239"/>
        <v>4.8439083486407974E-5</v>
      </c>
      <c r="T572" s="27">
        <f t="shared" si="239"/>
        <v>4.8439083486407974E-5</v>
      </c>
      <c r="U572" s="27">
        <f t="shared" si="239"/>
        <v>4.8439083486407974E-5</v>
      </c>
      <c r="V572" s="27">
        <f t="shared" si="239"/>
        <v>4.8439083486407974E-5</v>
      </c>
      <c r="W572" s="27">
        <f t="shared" si="239"/>
        <v>9.0893391141530093E-5</v>
      </c>
      <c r="X572" s="27">
        <f t="shared" si="239"/>
        <v>9.0893391141530093E-5</v>
      </c>
      <c r="Y572" s="27">
        <f t="shared" si="239"/>
        <v>9.0893391141530093E-5</v>
      </c>
    </row>
    <row r="573" spans="1:25" outlineLevel="1" x14ac:dyDescent="0.3">
      <c r="A573" t="s">
        <v>166</v>
      </c>
      <c r="B573" t="s">
        <v>66</v>
      </c>
      <c r="C573" s="6" t="s">
        <v>142</v>
      </c>
      <c r="D573" t="s">
        <v>48</v>
      </c>
      <c r="E573" s="27" t="e">
        <f t="shared" si="235"/>
        <v>#DIV/0!</v>
      </c>
      <c r="F573" s="27">
        <f t="shared" si="239"/>
        <v>3.5859914592120852E-5</v>
      </c>
      <c r="G573" s="29">
        <v>0</v>
      </c>
      <c r="H573" s="27">
        <f t="shared" si="239"/>
        <v>4.2095413525656171E-5</v>
      </c>
      <c r="I573" s="27">
        <f t="shared" si="239"/>
        <v>4.2095413525656171E-5</v>
      </c>
      <c r="J573" s="27">
        <f t="shared" si="239"/>
        <v>4.2095413525656171E-5</v>
      </c>
      <c r="K573" s="27">
        <f t="shared" si="239"/>
        <v>3.8494943166159398E-5</v>
      </c>
      <c r="L573" s="27">
        <f t="shared" si="239"/>
        <v>5.4476384690921809E-5</v>
      </c>
      <c r="M573" s="29">
        <v>0</v>
      </c>
      <c r="N573" s="27">
        <f t="shared" si="239"/>
        <v>4.2095413525656171E-5</v>
      </c>
      <c r="O573" s="27">
        <f t="shared" si="239"/>
        <v>4.2095413525656171E-5</v>
      </c>
      <c r="P573" s="27">
        <f t="shared" si="239"/>
        <v>4.2095413525656171E-5</v>
      </c>
      <c r="Q573" s="27">
        <f t="shared" si="239"/>
        <v>4.8356704092723614E-5</v>
      </c>
      <c r="R573" s="27">
        <f t="shared" si="239"/>
        <v>4.8356704092723614E-5</v>
      </c>
      <c r="S573" s="27">
        <f t="shared" si="239"/>
        <v>4.8356704092723614E-5</v>
      </c>
      <c r="T573" s="27">
        <f t="shared" si="239"/>
        <v>4.8356704092723614E-5</v>
      </c>
      <c r="U573" s="27">
        <f t="shared" si="239"/>
        <v>4.8356704092723614E-5</v>
      </c>
      <c r="V573" s="27">
        <f t="shared" si="239"/>
        <v>4.8356704092723614E-5</v>
      </c>
      <c r="W573" s="27">
        <f t="shared" si="239"/>
        <v>9.0893391141530093E-5</v>
      </c>
      <c r="X573" s="27">
        <f t="shared" si="239"/>
        <v>9.0893391141530093E-5</v>
      </c>
      <c r="Y573" s="27">
        <f t="shared" si="239"/>
        <v>9.0893391141530093E-5</v>
      </c>
    </row>
    <row r="574" spans="1:25" outlineLevel="1" x14ac:dyDescent="0.3">
      <c r="A574" t="s">
        <v>166</v>
      </c>
      <c r="B574" t="s">
        <v>67</v>
      </c>
      <c r="C574" s="6" t="s">
        <v>143</v>
      </c>
      <c r="D574" t="s">
        <v>48</v>
      </c>
      <c r="E574" s="27" t="e">
        <f t="shared" si="235"/>
        <v>#DIV/0!</v>
      </c>
      <c r="F574" s="27">
        <f t="shared" si="239"/>
        <v>3.7685530328540898E-5</v>
      </c>
      <c r="G574" s="29">
        <v>0</v>
      </c>
      <c r="H574" s="27">
        <f t="shared" si="239"/>
        <v>4.205988140222723E-5</v>
      </c>
      <c r="I574" s="27">
        <f t="shared" si="239"/>
        <v>4.205988140222723E-5</v>
      </c>
      <c r="J574" s="27">
        <f t="shared" si="239"/>
        <v>4.205988140222723E-5</v>
      </c>
      <c r="K574" s="27">
        <f t="shared" si="239"/>
        <v>3.9161513927336743E-5</v>
      </c>
      <c r="L574" s="27">
        <f t="shared" si="239"/>
        <v>5.4693783814926477E-5</v>
      </c>
      <c r="M574" s="29">
        <v>0</v>
      </c>
      <c r="N574" s="27">
        <f t="shared" si="239"/>
        <v>4.205988140222723E-5</v>
      </c>
      <c r="O574" s="27">
        <f t="shared" si="239"/>
        <v>4.205988140222723E-5</v>
      </c>
      <c r="P574" s="27">
        <f t="shared" si="239"/>
        <v>4.205988140222723E-5</v>
      </c>
      <c r="Q574" s="27">
        <f t="shared" si="239"/>
        <v>4.8356704092723614E-5</v>
      </c>
      <c r="R574" s="27">
        <f t="shared" si="239"/>
        <v>4.8356704092723614E-5</v>
      </c>
      <c r="S574" s="27">
        <f t="shared" si="239"/>
        <v>4.8356704092723614E-5</v>
      </c>
      <c r="T574" s="27">
        <f t="shared" si="239"/>
        <v>4.8356704092723614E-5</v>
      </c>
      <c r="U574" s="27">
        <f t="shared" si="239"/>
        <v>4.8356704092723614E-5</v>
      </c>
      <c r="V574" s="27">
        <f t="shared" si="239"/>
        <v>4.8356704092723614E-5</v>
      </c>
      <c r="W574" s="27">
        <f t="shared" si="239"/>
        <v>9.116072464488754E-5</v>
      </c>
      <c r="X574" s="27">
        <f t="shared" si="239"/>
        <v>9.116072464488754E-5</v>
      </c>
      <c r="Y574" s="27">
        <f t="shared" si="239"/>
        <v>9.116072464488754E-5</v>
      </c>
    </row>
    <row r="575" spans="1:25" outlineLevel="1" x14ac:dyDescent="0.3">
      <c r="A575" t="s">
        <v>166</v>
      </c>
      <c r="B575" t="s">
        <v>68</v>
      </c>
      <c r="C575" s="6" t="s">
        <v>144</v>
      </c>
      <c r="D575" t="s">
        <v>48</v>
      </c>
      <c r="E575" s="27" t="e">
        <f t="shared" si="235"/>
        <v>#DIV/0!</v>
      </c>
      <c r="F575" s="27">
        <f t="shared" si="239"/>
        <v>4.3048978292480484E-5</v>
      </c>
      <c r="G575" s="29">
        <v>0</v>
      </c>
      <c r="H575" s="27">
        <f t="shared" si="239"/>
        <v>4.4272059684491581E-5</v>
      </c>
      <c r="I575" s="27">
        <f t="shared" si="239"/>
        <v>4.4272059684491581E-5</v>
      </c>
      <c r="J575" s="27">
        <f t="shared" si="239"/>
        <v>4.4272059684491581E-5</v>
      </c>
      <c r="K575" s="27">
        <f t="shared" si="239"/>
        <v>3.8835010242130444E-5</v>
      </c>
      <c r="L575" s="27">
        <f t="shared" si="239"/>
        <v>5.6051647981186187E-5</v>
      </c>
      <c r="M575" s="29">
        <v>0</v>
      </c>
      <c r="N575" s="27">
        <f t="shared" si="239"/>
        <v>4.4272059684491581E-5</v>
      </c>
      <c r="O575" s="27">
        <f t="shared" si="239"/>
        <v>4.4272059684491581E-5</v>
      </c>
      <c r="P575" s="27">
        <f t="shared" si="239"/>
        <v>4.4272059684491581E-5</v>
      </c>
      <c r="Q575" s="27">
        <f t="shared" si="239"/>
        <v>4.8301784496934032E-5</v>
      </c>
      <c r="R575" s="27">
        <f t="shared" si="239"/>
        <v>4.8301784496934032E-5</v>
      </c>
      <c r="S575" s="27">
        <f t="shared" si="239"/>
        <v>4.8301784496934032E-5</v>
      </c>
      <c r="T575" s="27">
        <f t="shared" si="239"/>
        <v>4.8301784496934032E-5</v>
      </c>
      <c r="U575" s="27">
        <f t="shared" si="239"/>
        <v>4.8301784496934032E-5</v>
      </c>
      <c r="V575" s="27">
        <f t="shared" si="239"/>
        <v>4.8301784496934032E-5</v>
      </c>
      <c r="W575" s="27">
        <f t="shared" si="239"/>
        <v>9.1428058148244987E-5</v>
      </c>
      <c r="X575" s="27">
        <f t="shared" si="239"/>
        <v>9.1428058148244987E-5</v>
      </c>
      <c r="Y575" s="27">
        <f t="shared" si="239"/>
        <v>9.1428058148244987E-5</v>
      </c>
    </row>
    <row r="576" spans="1:25" outlineLevel="1" x14ac:dyDescent="0.3">
      <c r="A576" t="s">
        <v>166</v>
      </c>
      <c r="B576" t="s">
        <v>69</v>
      </c>
      <c r="C576" s="6" t="s">
        <v>145</v>
      </c>
      <c r="D576" t="s">
        <v>48</v>
      </c>
      <c r="E576" s="27" t="e">
        <f t="shared" si="235"/>
        <v>#DIV/0!</v>
      </c>
      <c r="F576" s="27">
        <f t="shared" si="239"/>
        <v>5.1981732627486708E-5</v>
      </c>
      <c r="G576" s="29">
        <v>0</v>
      </c>
      <c r="H576" s="27">
        <f t="shared" si="239"/>
        <v>5.7523985625925133E-5</v>
      </c>
      <c r="I576" s="27">
        <f t="shared" si="239"/>
        <v>5.7523985625925133E-5</v>
      </c>
      <c r="J576" s="27">
        <f t="shared" si="239"/>
        <v>5.7523985625925133E-5</v>
      </c>
      <c r="K576" s="27">
        <f t="shared" si="239"/>
        <v>4.4241702717845738E-5</v>
      </c>
      <c r="L576" s="27">
        <f t="shared" si="239"/>
        <v>5.9083945528466656E-5</v>
      </c>
      <c r="M576" s="29">
        <v>0</v>
      </c>
      <c r="N576" s="27">
        <f t="shared" si="239"/>
        <v>5.7523985625925133E-5</v>
      </c>
      <c r="O576" s="27">
        <f t="shared" si="239"/>
        <v>5.7523985625925133E-5</v>
      </c>
      <c r="P576" s="27">
        <f t="shared" si="239"/>
        <v>5.7523985625925133E-5</v>
      </c>
      <c r="Q576" s="27">
        <f t="shared" si="239"/>
        <v>4.8356704092723614E-5</v>
      </c>
      <c r="R576" s="27">
        <f t="shared" si="239"/>
        <v>4.8356704092723614E-5</v>
      </c>
      <c r="S576" s="27">
        <f t="shared" si="239"/>
        <v>4.8356704092723614E-5</v>
      </c>
      <c r="T576" s="27">
        <f t="shared" si="239"/>
        <v>4.8356704092723614E-5</v>
      </c>
      <c r="U576" s="27">
        <f t="shared" si="239"/>
        <v>4.8356704092723614E-5</v>
      </c>
      <c r="V576" s="27">
        <f t="shared" si="239"/>
        <v>4.8356704092723614E-5</v>
      </c>
      <c r="W576" s="27">
        <f t="shared" si="239"/>
        <v>9.1695391651602421E-5</v>
      </c>
      <c r="X576" s="27">
        <f t="shared" si="239"/>
        <v>9.1695391651602421E-5</v>
      </c>
      <c r="Y576" s="27">
        <f t="shared" si="239"/>
        <v>9.1695391651602421E-5</v>
      </c>
    </row>
    <row r="577" spans="1:25" outlineLevel="1" x14ac:dyDescent="0.3">
      <c r="A577" t="s">
        <v>166</v>
      </c>
      <c r="B577" t="s">
        <v>70</v>
      </c>
      <c r="C577" s="6" t="s">
        <v>146</v>
      </c>
      <c r="D577" t="s">
        <v>48</v>
      </c>
      <c r="E577" s="27" t="e">
        <f t="shared" si="235"/>
        <v>#DIV/0!</v>
      </c>
      <c r="F577" s="27">
        <f t="shared" si="239"/>
        <v>6.4186017269335374E-5</v>
      </c>
      <c r="G577" s="29">
        <v>0</v>
      </c>
      <c r="H577" s="27">
        <f t="shared" si="239"/>
        <v>8.4319346451676582E-5</v>
      </c>
      <c r="I577" s="27">
        <f t="shared" si="239"/>
        <v>8.4319346451676582E-5</v>
      </c>
      <c r="J577" s="27">
        <f t="shared" si="239"/>
        <v>8.4319346451676582E-5</v>
      </c>
      <c r="K577" s="27">
        <f t="shared" si="239"/>
        <v>7.695758354929965E-5</v>
      </c>
      <c r="L577" s="27">
        <f t="shared" si="239"/>
        <v>6.4734601028793609E-5</v>
      </c>
      <c r="M577" s="29">
        <v>0</v>
      </c>
      <c r="N577" s="27">
        <f t="shared" si="239"/>
        <v>8.4319346451676582E-5</v>
      </c>
      <c r="O577" s="27">
        <f t="shared" si="239"/>
        <v>8.4319346451676582E-5</v>
      </c>
      <c r="P577" s="27">
        <f t="shared" si="239"/>
        <v>8.4319346451676582E-5</v>
      </c>
      <c r="Q577" s="27">
        <f t="shared" si="239"/>
        <v>5.9313163452744462E-5</v>
      </c>
      <c r="R577" s="27">
        <f t="shared" si="239"/>
        <v>5.9313163452744462E-5</v>
      </c>
      <c r="S577" s="27">
        <f t="shared" si="239"/>
        <v>5.9313163452744462E-5</v>
      </c>
      <c r="T577" s="27">
        <f t="shared" si="239"/>
        <v>5.9313163452744462E-5</v>
      </c>
      <c r="U577" s="27">
        <f t="shared" si="239"/>
        <v>5.9313163452744462E-5</v>
      </c>
      <c r="V577" s="27">
        <f t="shared" si="239"/>
        <v>5.9313163452744462E-5</v>
      </c>
      <c r="W577" s="27">
        <f t="shared" si="239"/>
        <v>9.2230058658317315E-5</v>
      </c>
      <c r="X577" s="27">
        <f t="shared" si="239"/>
        <v>9.2230058658317315E-5</v>
      </c>
      <c r="Y577" s="27">
        <f t="shared" si="239"/>
        <v>9.2230058658317315E-5</v>
      </c>
    </row>
    <row r="578" spans="1:25" outlineLevel="1" x14ac:dyDescent="0.3">
      <c r="A578" t="s">
        <v>166</v>
      </c>
      <c r="B578" t="s">
        <v>71</v>
      </c>
      <c r="C578" s="6" t="s">
        <v>147</v>
      </c>
      <c r="D578" t="s">
        <v>48</v>
      </c>
      <c r="E578" s="27" t="e">
        <f t="shared" si="235"/>
        <v>#DIV/0!</v>
      </c>
      <c r="F578" s="27">
        <f t="shared" si="239"/>
        <v>7.8734457872171678E-5</v>
      </c>
      <c r="G578" s="29">
        <v>0</v>
      </c>
      <c r="H578" s="27">
        <f t="shared" si="239"/>
        <v>4.8458092409940068E-5</v>
      </c>
      <c r="I578" s="27">
        <f t="shared" si="239"/>
        <v>4.8458092409940068E-5</v>
      </c>
      <c r="J578" s="27">
        <f t="shared" si="239"/>
        <v>4.8458092409940068E-5</v>
      </c>
      <c r="K578" s="27">
        <f t="shared" si="239"/>
        <v>8.5740540237555445E-5</v>
      </c>
      <c r="L578" s="27">
        <f t="shared" si="239"/>
        <v>7.3786170941479831E-5</v>
      </c>
      <c r="M578" s="29">
        <v>0</v>
      </c>
      <c r="N578" s="27">
        <f t="shared" si="239"/>
        <v>4.8458092409940068E-5</v>
      </c>
      <c r="O578" s="27">
        <f t="shared" si="239"/>
        <v>4.8458092409940068E-5</v>
      </c>
      <c r="P578" s="27">
        <f t="shared" si="239"/>
        <v>4.8458092409940068E-5</v>
      </c>
      <c r="Q578" s="27">
        <f t="shared" si="239"/>
        <v>7.6338238147513699E-5</v>
      </c>
      <c r="R578" s="27">
        <f t="shared" si="239"/>
        <v>7.6338238147513699E-5</v>
      </c>
      <c r="S578" s="27">
        <f t="shared" si="239"/>
        <v>7.6338238147513699E-5</v>
      </c>
      <c r="T578" s="27">
        <f t="shared" si="239"/>
        <v>7.6338238147513699E-5</v>
      </c>
      <c r="U578" s="27">
        <f t="shared" si="239"/>
        <v>7.6338238147513699E-5</v>
      </c>
      <c r="V578" s="27">
        <f t="shared" si="239"/>
        <v>7.6338238147513699E-5</v>
      </c>
      <c r="W578" s="27">
        <f t="shared" si="239"/>
        <v>9.2230058658317315E-5</v>
      </c>
      <c r="X578" s="27">
        <f t="shared" si="239"/>
        <v>9.2230058658317315E-5</v>
      </c>
      <c r="Y578" s="27">
        <f t="shared" si="239"/>
        <v>9.2230058658317315E-5</v>
      </c>
    </row>
    <row r="579" spans="1:25" outlineLevel="1" x14ac:dyDescent="0.3">
      <c r="A579" t="s">
        <v>166</v>
      </c>
      <c r="B579" t="s">
        <v>72</v>
      </c>
      <c r="C579" s="6" t="s">
        <v>148</v>
      </c>
      <c r="D579" t="s">
        <v>48</v>
      </c>
      <c r="E579" s="27" t="e">
        <f t="shared" si="235"/>
        <v>#DIV/0!</v>
      </c>
      <c r="F579" s="27">
        <f t="shared" si="239"/>
        <v>9.2734697703430834E-5</v>
      </c>
      <c r="G579" s="29">
        <v>0</v>
      </c>
      <c r="H579" s="27">
        <f t="shared" si="239"/>
        <v>5.6049011635516794E-5</v>
      </c>
      <c r="I579" s="27">
        <f t="shared" si="239"/>
        <v>5.6049011635516794E-5</v>
      </c>
      <c r="J579" s="27">
        <f t="shared" si="239"/>
        <v>5.6049011635516794E-5</v>
      </c>
      <c r="K579" s="27">
        <f t="shared" si="239"/>
        <v>6.9495111737420285E-5</v>
      </c>
      <c r="L579" s="27">
        <f t="shared" si="239"/>
        <v>8.6170938129966271E-5</v>
      </c>
      <c r="M579" s="29">
        <v>0</v>
      </c>
      <c r="N579" s="27">
        <f t="shared" si="239"/>
        <v>5.6049011635516794E-5</v>
      </c>
      <c r="O579" s="27">
        <f t="shared" si="239"/>
        <v>5.6049011635516794E-5</v>
      </c>
      <c r="P579" s="27">
        <f t="shared" si="239"/>
        <v>5.6049011635516794E-5</v>
      </c>
      <c r="Q579" s="27">
        <f t="shared" si="239"/>
        <v>8.7596755284377229E-5</v>
      </c>
      <c r="R579" s="27">
        <f t="shared" si="239"/>
        <v>8.7596755284377229E-5</v>
      </c>
      <c r="S579" s="27">
        <f t="shared" si="239"/>
        <v>8.7596755284377229E-5</v>
      </c>
      <c r="T579" s="27">
        <f t="shared" si="239"/>
        <v>8.7596755284377229E-5</v>
      </c>
      <c r="U579" s="27">
        <f t="shared" si="239"/>
        <v>8.7596755284377229E-5</v>
      </c>
      <c r="V579" s="27">
        <f t="shared" si="239"/>
        <v>8.7596755284377229E-5</v>
      </c>
      <c r="W579" s="27">
        <f t="shared" si="239"/>
        <v>9.2230058658317315E-5</v>
      </c>
      <c r="X579" s="27">
        <f t="shared" si="239"/>
        <v>9.2230058658317315E-5</v>
      </c>
      <c r="Y579" s="27">
        <f t="shared" si="239"/>
        <v>9.2230058658317315E-5</v>
      </c>
    </row>
    <row r="580" spans="1:25" outlineLevel="1" x14ac:dyDescent="0.3">
      <c r="A580" t="s">
        <v>166</v>
      </c>
      <c r="B580" t="s">
        <v>73</v>
      </c>
      <c r="C580" s="6" t="s">
        <v>149</v>
      </c>
      <c r="D580" t="s">
        <v>48</v>
      </c>
      <c r="E580" s="27" t="e">
        <f t="shared" si="235"/>
        <v>#DIV/0!</v>
      </c>
      <c r="F580" s="27">
        <f t="shared" si="239"/>
        <v>1.0474914824952191E-4</v>
      </c>
      <c r="G580" s="29">
        <v>0</v>
      </c>
      <c r="H580" s="27">
        <f t="shared" si="239"/>
        <v>5.8015643622727915E-5</v>
      </c>
      <c r="I580" s="27">
        <f t="shared" si="239"/>
        <v>5.8015643622727915E-5</v>
      </c>
      <c r="J580" s="27">
        <f t="shared" si="239"/>
        <v>5.8015643622727915E-5</v>
      </c>
      <c r="K580" s="27">
        <f t="shared" si="239"/>
        <v>5.6791466154395038E-5</v>
      </c>
      <c r="L580" s="27">
        <f t="shared" si="239"/>
        <v>9.8388272178714551E-5</v>
      </c>
      <c r="M580" s="29">
        <v>0</v>
      </c>
      <c r="N580" s="27">
        <f t="shared" si="239"/>
        <v>5.8015643622727915E-5</v>
      </c>
      <c r="O580" s="27">
        <f t="shared" si="239"/>
        <v>5.8015643622727915E-5</v>
      </c>
      <c r="P580" s="27">
        <f t="shared" si="239"/>
        <v>5.8015643622727915E-5</v>
      </c>
      <c r="Q580" s="27">
        <f t="shared" si="239"/>
        <v>9.5285498694918185E-5</v>
      </c>
      <c r="R580" s="27">
        <f t="shared" si="239"/>
        <v>9.5285498694918185E-5</v>
      </c>
      <c r="S580" s="27">
        <f t="shared" si="239"/>
        <v>9.5285498694918185E-5</v>
      </c>
      <c r="T580" s="27">
        <f t="shared" si="239"/>
        <v>9.5285498694918185E-5</v>
      </c>
      <c r="U580" s="27">
        <f t="shared" si="239"/>
        <v>9.5285498694918185E-5</v>
      </c>
      <c r="V580" s="27">
        <f t="shared" si="239"/>
        <v>9.5285498694918185E-5</v>
      </c>
      <c r="W580" s="27">
        <f t="shared" si="239"/>
        <v>9.1962725154959854E-5</v>
      </c>
      <c r="X580" s="27">
        <f t="shared" si="239"/>
        <v>9.1962725154959854E-5</v>
      </c>
      <c r="Y580" s="27">
        <f t="shared" si="239"/>
        <v>9.1962725154959854E-5</v>
      </c>
    </row>
    <row r="581" spans="1:25" outlineLevel="1" x14ac:dyDescent="0.3">
      <c r="A581" t="s">
        <v>166</v>
      </c>
      <c r="B581" t="s">
        <v>74</v>
      </c>
      <c r="C581" s="6" t="s">
        <v>150</v>
      </c>
      <c r="D581" t="s">
        <v>48</v>
      </c>
      <c r="E581" s="27" t="e">
        <f t="shared" si="235"/>
        <v>#DIV/0!</v>
      </c>
      <c r="F581" s="27">
        <f t="shared" si="239"/>
        <v>1.2334703666312018E-4</v>
      </c>
      <c r="G581" s="29">
        <v>0</v>
      </c>
      <c r="H581" s="27">
        <f t="shared" si="239"/>
        <v>5.8261472621129302E-5</v>
      </c>
      <c r="I581" s="27">
        <f t="shared" si="239"/>
        <v>5.8261472621129302E-5</v>
      </c>
      <c r="J581" s="27">
        <f t="shared" si="239"/>
        <v>5.8261472621129302E-5</v>
      </c>
      <c r="K581" s="27">
        <f t="shared" si="239"/>
        <v>4.7893617345482877E-5</v>
      </c>
      <c r="L581" s="27">
        <f t="shared" si="239"/>
        <v>1.1028894702713759E-4</v>
      </c>
      <c r="M581" s="29">
        <v>0</v>
      </c>
      <c r="N581" s="27">
        <f t="shared" si="239"/>
        <v>5.8261472621129302E-5</v>
      </c>
      <c r="O581" s="27">
        <f t="shared" si="239"/>
        <v>5.8261472621129302E-5</v>
      </c>
      <c r="P581" s="27">
        <f t="shared" si="239"/>
        <v>5.8261472621129302E-5</v>
      </c>
      <c r="Q581" s="27">
        <f t="shared" si="239"/>
        <v>9.9404468379136541E-5</v>
      </c>
      <c r="R581" s="27">
        <f t="shared" si="239"/>
        <v>9.9404468379136541E-5</v>
      </c>
      <c r="S581" s="27">
        <f t="shared" si="239"/>
        <v>9.9404468379136541E-5</v>
      </c>
      <c r="T581" s="27">
        <f t="shared" si="239"/>
        <v>9.9404468379136541E-5</v>
      </c>
      <c r="U581" s="27">
        <f t="shared" si="239"/>
        <v>9.9404468379136541E-5</v>
      </c>
      <c r="V581" s="27">
        <f t="shared" si="239"/>
        <v>9.9404468379136541E-5</v>
      </c>
      <c r="W581" s="27">
        <f t="shared" si="239"/>
        <v>9.1695391651602421E-5</v>
      </c>
      <c r="X581" s="27">
        <f t="shared" si="239"/>
        <v>9.1695391651602421E-5</v>
      </c>
      <c r="Y581" s="27">
        <f t="shared" si="239"/>
        <v>9.1695391651602421E-5</v>
      </c>
    </row>
    <row r="582" spans="1:25" outlineLevel="1" x14ac:dyDescent="0.3">
      <c r="A582" t="s">
        <v>166</v>
      </c>
      <c r="B582" t="s">
        <v>75</v>
      </c>
      <c r="C582" s="6" t="s">
        <v>151</v>
      </c>
      <c r="D582" t="s">
        <v>48</v>
      </c>
      <c r="E582" s="27" t="e">
        <f t="shared" si="235"/>
        <v>#DIV/0!</v>
      </c>
      <c r="F582" s="27">
        <f t="shared" si="239"/>
        <v>1.5176253316239461E-4</v>
      </c>
      <c r="G582" s="29">
        <v>0</v>
      </c>
      <c r="H582" s="27">
        <f t="shared" si="239"/>
        <v>6.1948907597150142E-5</v>
      </c>
      <c r="I582" s="27">
        <f t="shared" si="239"/>
        <v>6.1948907597150142E-5</v>
      </c>
      <c r="J582" s="27">
        <f t="shared" si="239"/>
        <v>6.1948907597150142E-5</v>
      </c>
      <c r="K582" s="27">
        <f t="shared" si="239"/>
        <v>4.249410326599406E-5</v>
      </c>
      <c r="L582" s="27">
        <f t="shared" si="239"/>
        <v>1.2022520701447316E-4</v>
      </c>
      <c r="M582" s="29">
        <v>0</v>
      </c>
      <c r="N582" s="27">
        <f t="shared" si="239"/>
        <v>6.1948907597150142E-5</v>
      </c>
      <c r="O582" s="27">
        <f t="shared" si="239"/>
        <v>6.1948907597150142E-5</v>
      </c>
      <c r="P582" s="27">
        <f t="shared" si="239"/>
        <v>6.1948907597150142E-5</v>
      </c>
      <c r="Q582" s="27">
        <f t="shared" si="239"/>
        <v>9.9953664337032336E-5</v>
      </c>
      <c r="R582" s="27">
        <f t="shared" si="239"/>
        <v>9.9953664337032336E-5</v>
      </c>
      <c r="S582" s="27">
        <f t="shared" si="239"/>
        <v>9.9953664337032336E-5</v>
      </c>
      <c r="T582" s="27">
        <f t="shared" si="239"/>
        <v>9.9953664337032336E-5</v>
      </c>
      <c r="U582" s="27">
        <f t="shared" si="239"/>
        <v>9.9953664337032336E-5</v>
      </c>
      <c r="V582" s="27">
        <f t="shared" si="239"/>
        <v>9.9953664337032336E-5</v>
      </c>
      <c r="W582" s="27">
        <f t="shared" si="239"/>
        <v>9.1695391651602421E-5</v>
      </c>
      <c r="X582" s="27">
        <f t="shared" si="239"/>
        <v>9.1695391651602421E-5</v>
      </c>
      <c r="Y582" s="27">
        <f t="shared" si="239"/>
        <v>9.1695391651602421E-5</v>
      </c>
    </row>
    <row r="583" spans="1:25" outlineLevel="1" x14ac:dyDescent="0.3">
      <c r="A583" t="s">
        <v>166</v>
      </c>
      <c r="B583" t="s">
        <v>76</v>
      </c>
      <c r="C583" s="6" t="s">
        <v>152</v>
      </c>
      <c r="D583" t="s">
        <v>48</v>
      </c>
      <c r="E583" s="27" t="e">
        <f t="shared" si="235"/>
        <v>#DIV/0!</v>
      </c>
      <c r="F583" s="27">
        <f t="shared" si="239"/>
        <v>1.7756163637315409E-4</v>
      </c>
      <c r="G583" s="29">
        <v>0</v>
      </c>
      <c r="H583" s="27">
        <f t="shared" si="239"/>
        <v>6.3915539584361256E-5</v>
      </c>
      <c r="I583" s="27">
        <f t="shared" si="239"/>
        <v>6.3915539584361256E-5</v>
      </c>
      <c r="J583" s="27">
        <f t="shared" si="239"/>
        <v>6.3915539584361256E-5</v>
      </c>
      <c r="K583" s="27">
        <f t="shared" si="239"/>
        <v>3.8606775023161319E-5</v>
      </c>
      <c r="L583" s="27">
        <f t="shared" si="239"/>
        <v>1.2732076671776566E-4</v>
      </c>
      <c r="M583" s="29">
        <v>0</v>
      </c>
      <c r="N583" s="27">
        <f t="shared" si="239"/>
        <v>6.3915539584361256E-5</v>
      </c>
      <c r="O583" s="27">
        <f t="shared" si="239"/>
        <v>6.3915539584361256E-5</v>
      </c>
      <c r="P583" s="27">
        <f t="shared" si="239"/>
        <v>6.3915539584361256E-5</v>
      </c>
      <c r="Q583" s="27">
        <f t="shared" si="239"/>
        <v>9.6383890610709749E-5</v>
      </c>
      <c r="R583" s="27">
        <f t="shared" si="239"/>
        <v>9.6383890610709749E-5</v>
      </c>
      <c r="S583" s="27">
        <f t="shared" si="239"/>
        <v>9.6383890610709749E-5</v>
      </c>
      <c r="T583" s="27">
        <f t="shared" si="239"/>
        <v>9.6383890610709749E-5</v>
      </c>
      <c r="U583" s="27">
        <f t="shared" si="239"/>
        <v>9.6383890610709749E-5</v>
      </c>
      <c r="V583" s="27">
        <f t="shared" si="239"/>
        <v>9.6383890610709749E-5</v>
      </c>
      <c r="W583" s="27">
        <f t="shared" si="239"/>
        <v>9.1695391651602421E-5</v>
      </c>
      <c r="X583" s="27">
        <f t="shared" si="239"/>
        <v>9.1695391651602421E-5</v>
      </c>
      <c r="Y583" s="27">
        <f t="shared" si="239"/>
        <v>9.1695391651602421E-5</v>
      </c>
    </row>
    <row r="584" spans="1:25" outlineLevel="1" x14ac:dyDescent="0.3">
      <c r="A584" t="s">
        <v>166</v>
      </c>
      <c r="B584" t="s">
        <v>77</v>
      </c>
      <c r="C584" s="6" t="s">
        <v>153</v>
      </c>
      <c r="D584" t="s">
        <v>48</v>
      </c>
      <c r="E584" s="27" t="e">
        <f t="shared" si="235"/>
        <v>#DIV/0!</v>
      </c>
      <c r="F584" s="27">
        <f t="shared" si="239"/>
        <v>1.914938828214964E-4</v>
      </c>
      <c r="G584" s="29">
        <v>0</v>
      </c>
      <c r="H584" s="27">
        <f t="shared" si="239"/>
        <v>6.3915539584361256E-5</v>
      </c>
      <c r="I584" s="27">
        <f t="shared" si="239"/>
        <v>6.3915539584361256E-5</v>
      </c>
      <c r="J584" s="27">
        <f t="shared" si="239"/>
        <v>6.3915539584361256E-5</v>
      </c>
      <c r="K584" s="27">
        <f t="shared" si="239"/>
        <v>3.6253432272893479E-5</v>
      </c>
      <c r="L584" s="27">
        <f t="shared" si="239"/>
        <v>1.318242742479383E-4</v>
      </c>
      <c r="M584" s="29">
        <v>0</v>
      </c>
      <c r="N584" s="27">
        <f t="shared" si="239"/>
        <v>6.3915539584361256E-5</v>
      </c>
      <c r="O584" s="27">
        <f t="shared" si="239"/>
        <v>6.3915539584361256E-5</v>
      </c>
      <c r="P584" s="27">
        <f t="shared" ref="F584:Y594" si="240">P382/P$398</f>
        <v>6.3915539584361256E-5</v>
      </c>
      <c r="Q584" s="27">
        <f t="shared" si="240"/>
        <v>8.9518941137012472E-5</v>
      </c>
      <c r="R584" s="27">
        <f t="shared" si="240"/>
        <v>8.9518941137012472E-5</v>
      </c>
      <c r="S584" s="27">
        <f t="shared" si="240"/>
        <v>8.9518941137012472E-5</v>
      </c>
      <c r="T584" s="27">
        <f t="shared" si="240"/>
        <v>8.9518941137012472E-5</v>
      </c>
      <c r="U584" s="27">
        <f t="shared" si="240"/>
        <v>8.9518941137012472E-5</v>
      </c>
      <c r="V584" s="27">
        <f t="shared" si="240"/>
        <v>8.9518941137012472E-5</v>
      </c>
      <c r="W584" s="27">
        <f t="shared" si="240"/>
        <v>9.1695391651602421E-5</v>
      </c>
      <c r="X584" s="27">
        <f t="shared" si="240"/>
        <v>9.1695391651602421E-5</v>
      </c>
      <c r="Y584" s="27">
        <f t="shared" si="240"/>
        <v>9.1695391651602421E-5</v>
      </c>
    </row>
    <row r="585" spans="1:25" outlineLevel="1" x14ac:dyDescent="0.3">
      <c r="A585" t="s">
        <v>166</v>
      </c>
      <c r="B585" t="s">
        <v>78</v>
      </c>
      <c r="C585" s="6" t="s">
        <v>154</v>
      </c>
      <c r="D585" t="s">
        <v>48</v>
      </c>
      <c r="E585" s="27" t="e">
        <f t="shared" si="235"/>
        <v>#DIV/0!</v>
      </c>
      <c r="F585" s="27">
        <f t="shared" si="240"/>
        <v>1.952541279334844E-4</v>
      </c>
      <c r="G585" s="29">
        <v>0</v>
      </c>
      <c r="H585" s="27">
        <f t="shared" si="240"/>
        <v>6.3178052589157093E-5</v>
      </c>
      <c r="I585" s="27">
        <f t="shared" si="240"/>
        <v>6.3178052589157093E-5</v>
      </c>
      <c r="J585" s="27">
        <f t="shared" si="240"/>
        <v>6.3178052589157093E-5</v>
      </c>
      <c r="K585" s="27">
        <f t="shared" si="240"/>
        <v>3.6127696995831854E-5</v>
      </c>
      <c r="L585" s="27">
        <f t="shared" si="240"/>
        <v>1.3374190861373099E-4</v>
      </c>
      <c r="M585" s="29">
        <v>0</v>
      </c>
      <c r="N585" s="27">
        <f t="shared" si="240"/>
        <v>6.3178052589157093E-5</v>
      </c>
      <c r="O585" s="27">
        <f t="shared" si="240"/>
        <v>6.3178052589157093E-5</v>
      </c>
      <c r="P585" s="27">
        <f t="shared" si="240"/>
        <v>6.3178052589157093E-5</v>
      </c>
      <c r="Q585" s="27">
        <f t="shared" si="240"/>
        <v>8.9244343158064588E-5</v>
      </c>
      <c r="R585" s="27">
        <f t="shared" si="240"/>
        <v>8.9244343158064588E-5</v>
      </c>
      <c r="S585" s="27">
        <f t="shared" si="240"/>
        <v>8.9244343158064588E-5</v>
      </c>
      <c r="T585" s="27">
        <f t="shared" si="240"/>
        <v>8.9244343158064588E-5</v>
      </c>
      <c r="U585" s="27">
        <f t="shared" si="240"/>
        <v>8.9244343158064588E-5</v>
      </c>
      <c r="V585" s="27">
        <f t="shared" si="240"/>
        <v>8.9244343158064588E-5</v>
      </c>
      <c r="W585" s="27">
        <f t="shared" si="240"/>
        <v>9.1962725154959854E-5</v>
      </c>
      <c r="X585" s="27">
        <f t="shared" si="240"/>
        <v>9.1962725154959854E-5</v>
      </c>
      <c r="Y585" s="27">
        <f t="shared" si="240"/>
        <v>9.1962725154959854E-5</v>
      </c>
    </row>
    <row r="586" spans="1:25" outlineLevel="1" x14ac:dyDescent="0.3">
      <c r="A586" t="s">
        <v>166</v>
      </c>
      <c r="B586" t="s">
        <v>79</v>
      </c>
      <c r="C586" s="6" t="s">
        <v>155</v>
      </c>
      <c r="D586" t="s">
        <v>48</v>
      </c>
      <c r="E586" s="27" t="e">
        <f t="shared" si="235"/>
        <v>#DIV/0!</v>
      </c>
      <c r="F586" s="27">
        <f t="shared" si="240"/>
        <v>1.9048352819042816E-4</v>
      </c>
      <c r="G586" s="29">
        <v>0</v>
      </c>
      <c r="H586" s="27">
        <f t="shared" si="240"/>
        <v>6.3423881587558481E-5</v>
      </c>
      <c r="I586" s="27">
        <f t="shared" si="240"/>
        <v>6.3423881587558481E-5</v>
      </c>
      <c r="J586" s="27">
        <f t="shared" si="240"/>
        <v>6.3423881587558481E-5</v>
      </c>
      <c r="K586" s="27">
        <f t="shared" si="240"/>
        <v>3.2210635080208405E-5</v>
      </c>
      <c r="L586" s="27">
        <f t="shared" si="240"/>
        <v>1.3183030927977553E-4</v>
      </c>
      <c r="M586" s="29">
        <v>0</v>
      </c>
      <c r="N586" s="27">
        <f t="shared" si="240"/>
        <v>6.3423881587558481E-5</v>
      </c>
      <c r="O586" s="27">
        <f t="shared" si="240"/>
        <v>6.3423881587558481E-5</v>
      </c>
      <c r="P586" s="27">
        <f t="shared" si="240"/>
        <v>6.3423881587558481E-5</v>
      </c>
      <c r="Q586" s="27">
        <f t="shared" si="240"/>
        <v>8.896974517911669E-5</v>
      </c>
      <c r="R586" s="27">
        <f t="shared" si="240"/>
        <v>8.896974517911669E-5</v>
      </c>
      <c r="S586" s="27">
        <f t="shared" si="240"/>
        <v>8.896974517911669E-5</v>
      </c>
      <c r="T586" s="27">
        <f t="shared" si="240"/>
        <v>8.896974517911669E-5</v>
      </c>
      <c r="U586" s="27">
        <f t="shared" si="240"/>
        <v>8.896974517911669E-5</v>
      </c>
      <c r="V586" s="27">
        <f t="shared" si="240"/>
        <v>8.896974517911669E-5</v>
      </c>
      <c r="W586" s="27">
        <f t="shared" si="240"/>
        <v>9.2497392161674749E-5</v>
      </c>
      <c r="X586" s="27">
        <f t="shared" si="240"/>
        <v>9.2497392161674749E-5</v>
      </c>
      <c r="Y586" s="27">
        <f t="shared" si="240"/>
        <v>9.2497392161674749E-5</v>
      </c>
    </row>
    <row r="587" spans="1:25" outlineLevel="1" x14ac:dyDescent="0.3">
      <c r="A587" t="s">
        <v>166</v>
      </c>
      <c r="B587" t="s">
        <v>80</v>
      </c>
      <c r="C587" s="6" t="s">
        <v>156</v>
      </c>
      <c r="D587" t="s">
        <v>48</v>
      </c>
      <c r="E587" s="27" t="e">
        <f t="shared" si="235"/>
        <v>#DIV/0!</v>
      </c>
      <c r="F587" s="27">
        <f t="shared" si="240"/>
        <v>1.7970385660330632E-4</v>
      </c>
      <c r="G587" s="29">
        <v>0</v>
      </c>
      <c r="H587" s="27">
        <f t="shared" si="240"/>
        <v>6.8586290553987659E-5</v>
      </c>
      <c r="I587" s="27">
        <f t="shared" si="240"/>
        <v>6.8586290553987659E-5</v>
      </c>
      <c r="J587" s="27">
        <f t="shared" si="240"/>
        <v>6.8586290553987659E-5</v>
      </c>
      <c r="K587" s="27">
        <f t="shared" si="240"/>
        <v>3.2753057367700505E-5</v>
      </c>
      <c r="L587" s="27">
        <f t="shared" si="240"/>
        <v>1.2703328083734535E-4</v>
      </c>
      <c r="M587" s="29">
        <v>0</v>
      </c>
      <c r="N587" s="27">
        <f t="shared" si="240"/>
        <v>6.8586290553987659E-5</v>
      </c>
      <c r="O587" s="27">
        <f t="shared" si="240"/>
        <v>6.8586290553987659E-5</v>
      </c>
      <c r="P587" s="27">
        <f t="shared" si="240"/>
        <v>6.8586290553987659E-5</v>
      </c>
      <c r="Q587" s="27">
        <f t="shared" si="240"/>
        <v>1.0599481987388593E-4</v>
      </c>
      <c r="R587" s="27">
        <f t="shared" si="240"/>
        <v>1.0599481987388593E-4</v>
      </c>
      <c r="S587" s="27">
        <f t="shared" si="240"/>
        <v>1.0599481987388593E-4</v>
      </c>
      <c r="T587" s="27">
        <f t="shared" si="240"/>
        <v>1.0599481987388593E-4</v>
      </c>
      <c r="U587" s="27">
        <f t="shared" si="240"/>
        <v>1.0599481987388593E-4</v>
      </c>
      <c r="V587" s="27">
        <f t="shared" si="240"/>
        <v>1.0599481987388593E-4</v>
      </c>
      <c r="W587" s="27">
        <f t="shared" si="240"/>
        <v>9.3032059168389629E-5</v>
      </c>
      <c r="X587" s="27">
        <f t="shared" si="240"/>
        <v>9.3032059168389629E-5</v>
      </c>
      <c r="Y587" s="27">
        <f t="shared" si="240"/>
        <v>9.3032059168389629E-5</v>
      </c>
    </row>
    <row r="588" spans="1:25" outlineLevel="1" x14ac:dyDescent="0.3">
      <c r="A588" t="s">
        <v>166</v>
      </c>
      <c r="B588" t="s">
        <v>81</v>
      </c>
      <c r="C588" s="6" t="s">
        <v>157</v>
      </c>
      <c r="D588" t="s">
        <v>48</v>
      </c>
      <c r="E588" s="27" t="e">
        <f t="shared" si="235"/>
        <v>#DIV/0!</v>
      </c>
      <c r="F588" s="27">
        <f t="shared" si="240"/>
        <v>1.6647916011322664E-4</v>
      </c>
      <c r="G588" s="29">
        <v>0</v>
      </c>
      <c r="H588" s="27">
        <f t="shared" si="240"/>
        <v>1.9395907973869628E-4</v>
      </c>
      <c r="I588" s="27">
        <f t="shared" si="240"/>
        <v>1.9395907973869628E-4</v>
      </c>
      <c r="J588" s="27">
        <f t="shared" si="240"/>
        <v>1.9395907973869628E-4</v>
      </c>
      <c r="K588" s="27">
        <f t="shared" si="240"/>
        <v>3.7486491839437992E-5</v>
      </c>
      <c r="L588" s="27">
        <f t="shared" si="240"/>
        <v>1.1823454636383516E-4</v>
      </c>
      <c r="M588" s="29">
        <v>0</v>
      </c>
      <c r="N588" s="27">
        <f t="shared" si="240"/>
        <v>1.9395907973869628E-4</v>
      </c>
      <c r="O588" s="27">
        <f t="shared" si="240"/>
        <v>1.9395907973869628E-4</v>
      </c>
      <c r="P588" s="27">
        <f t="shared" si="240"/>
        <v>1.9395907973869628E-4</v>
      </c>
      <c r="Q588" s="27">
        <f t="shared" si="240"/>
        <v>1.0599481987388593E-4</v>
      </c>
      <c r="R588" s="27">
        <f t="shared" si="240"/>
        <v>1.0599481987388593E-4</v>
      </c>
      <c r="S588" s="27">
        <f t="shared" si="240"/>
        <v>1.0599481987388593E-4</v>
      </c>
      <c r="T588" s="27">
        <f t="shared" si="240"/>
        <v>1.0599481987388593E-4</v>
      </c>
      <c r="U588" s="27">
        <f t="shared" si="240"/>
        <v>1.0599481987388593E-4</v>
      </c>
      <c r="V588" s="27">
        <f t="shared" si="240"/>
        <v>1.0599481987388593E-4</v>
      </c>
      <c r="W588" s="27">
        <f t="shared" si="240"/>
        <v>9.3299392671747076E-5</v>
      </c>
      <c r="X588" s="27">
        <f t="shared" si="240"/>
        <v>9.3299392671747076E-5</v>
      </c>
      <c r="Y588" s="27">
        <f t="shared" si="240"/>
        <v>9.3299392671747076E-5</v>
      </c>
    </row>
    <row r="589" spans="1:25" outlineLevel="1" x14ac:dyDescent="0.3">
      <c r="A589" t="s">
        <v>166</v>
      </c>
      <c r="B589" t="s">
        <v>82</v>
      </c>
      <c r="C589" s="6" t="s">
        <v>158</v>
      </c>
      <c r="D589" t="s">
        <v>48</v>
      </c>
      <c r="E589" s="27" t="e">
        <f t="shared" si="235"/>
        <v>#DIV/0!</v>
      </c>
      <c r="F589" s="27">
        <f t="shared" si="240"/>
        <v>1.4859129474407859E-4</v>
      </c>
      <c r="G589" s="29">
        <v>0</v>
      </c>
      <c r="H589" s="27">
        <f t="shared" si="240"/>
        <v>2.4066658943496029E-4</v>
      </c>
      <c r="I589" s="27">
        <f t="shared" si="240"/>
        <v>2.4066658943496029E-4</v>
      </c>
      <c r="J589" s="27">
        <f t="shared" si="240"/>
        <v>2.4066658943496029E-4</v>
      </c>
      <c r="K589" s="27">
        <f t="shared" si="240"/>
        <v>3.5971472425324099E-5</v>
      </c>
      <c r="L589" s="27">
        <f t="shared" si="240"/>
        <v>1.0790895483454815E-4</v>
      </c>
      <c r="M589" s="29">
        <v>0</v>
      </c>
      <c r="N589" s="27">
        <f t="shared" si="240"/>
        <v>2.4066658943496029E-4</v>
      </c>
      <c r="O589" s="27">
        <f t="shared" si="240"/>
        <v>2.4066658943496029E-4</v>
      </c>
      <c r="P589" s="27">
        <f t="shared" si="240"/>
        <v>2.4066658943496029E-4</v>
      </c>
      <c r="Q589" s="27">
        <f t="shared" si="240"/>
        <v>1.0572022189493804E-4</v>
      </c>
      <c r="R589" s="27">
        <f t="shared" si="240"/>
        <v>1.0572022189493804E-4</v>
      </c>
      <c r="S589" s="27">
        <f t="shared" si="240"/>
        <v>1.0572022189493804E-4</v>
      </c>
      <c r="T589" s="27">
        <f t="shared" si="240"/>
        <v>1.0572022189493804E-4</v>
      </c>
      <c r="U589" s="27">
        <f t="shared" si="240"/>
        <v>1.0572022189493804E-4</v>
      </c>
      <c r="V589" s="27">
        <f t="shared" si="240"/>
        <v>1.0572022189493804E-4</v>
      </c>
      <c r="W589" s="27">
        <f t="shared" si="240"/>
        <v>9.2764725665032182E-5</v>
      </c>
      <c r="X589" s="27">
        <f t="shared" si="240"/>
        <v>9.2764725665032182E-5</v>
      </c>
      <c r="Y589" s="27">
        <f t="shared" si="240"/>
        <v>9.2764725665032182E-5</v>
      </c>
    </row>
    <row r="590" spans="1:25" outlineLevel="1" x14ac:dyDescent="0.3">
      <c r="A590" t="s">
        <v>166</v>
      </c>
      <c r="B590" t="s">
        <v>83</v>
      </c>
      <c r="C590" s="6" t="s">
        <v>159</v>
      </c>
      <c r="D590" t="s">
        <v>48</v>
      </c>
      <c r="E590" s="27" t="e">
        <f t="shared" si="235"/>
        <v>#DIV/0!</v>
      </c>
      <c r="F590" s="27">
        <f t="shared" si="240"/>
        <v>1.2512815333540528E-4</v>
      </c>
      <c r="G590" s="29">
        <v>0</v>
      </c>
      <c r="H590" s="27">
        <f t="shared" si="240"/>
        <v>2.5197472336142422E-4</v>
      </c>
      <c r="I590" s="27">
        <f t="shared" si="240"/>
        <v>2.5197472336142422E-4</v>
      </c>
      <c r="J590" s="27">
        <f t="shared" si="240"/>
        <v>2.5197472336142422E-4</v>
      </c>
      <c r="K590" s="27">
        <f t="shared" si="240"/>
        <v>3.962183803061763E-5</v>
      </c>
      <c r="L590" s="27">
        <f t="shared" si="240"/>
        <v>9.5608528115842382E-5</v>
      </c>
      <c r="M590" s="29">
        <v>0</v>
      </c>
      <c r="N590" s="27">
        <f t="shared" si="240"/>
        <v>2.5197472336142422E-4</v>
      </c>
      <c r="O590" s="27">
        <f t="shared" si="240"/>
        <v>2.5197472336142422E-4</v>
      </c>
      <c r="P590" s="27">
        <f t="shared" si="240"/>
        <v>2.5197472336142422E-4</v>
      </c>
      <c r="Q590" s="27">
        <f t="shared" si="240"/>
        <v>1.0544562391599015E-4</v>
      </c>
      <c r="R590" s="27">
        <f t="shared" si="240"/>
        <v>1.0544562391599015E-4</v>
      </c>
      <c r="S590" s="27">
        <f t="shared" si="240"/>
        <v>1.0544562391599015E-4</v>
      </c>
      <c r="T590" s="27">
        <f t="shared" si="240"/>
        <v>1.0544562391599015E-4</v>
      </c>
      <c r="U590" s="27">
        <f t="shared" si="240"/>
        <v>1.0544562391599015E-4</v>
      </c>
      <c r="V590" s="27">
        <f t="shared" si="240"/>
        <v>1.0544562391599015E-4</v>
      </c>
      <c r="W590" s="27">
        <f t="shared" si="240"/>
        <v>9.2764725665032182E-5</v>
      </c>
      <c r="X590" s="27">
        <f t="shared" si="240"/>
        <v>9.2764725665032182E-5</v>
      </c>
      <c r="Y590" s="27">
        <f t="shared" si="240"/>
        <v>9.2764725665032182E-5</v>
      </c>
    </row>
    <row r="591" spans="1:25" outlineLevel="1" x14ac:dyDescent="0.3">
      <c r="A591" t="s">
        <v>166</v>
      </c>
      <c r="B591" t="s">
        <v>84</v>
      </c>
      <c r="C591" s="6" t="s">
        <v>160</v>
      </c>
      <c r="D591" t="s">
        <v>48</v>
      </c>
      <c r="E591" s="27" t="e">
        <f t="shared" si="235"/>
        <v>#DIV/0!</v>
      </c>
      <c r="F591" s="27">
        <f t="shared" si="240"/>
        <v>1.0108795848296657E-4</v>
      </c>
      <c r="G591" s="29">
        <v>0</v>
      </c>
      <c r="H591" s="27">
        <f t="shared" si="240"/>
        <v>2.5074557836941727E-4</v>
      </c>
      <c r="I591" s="27">
        <f t="shared" si="240"/>
        <v>2.5074557836941727E-4</v>
      </c>
      <c r="J591" s="27">
        <f t="shared" si="240"/>
        <v>2.5074557836941727E-4</v>
      </c>
      <c r="K591" s="27">
        <f t="shared" si="240"/>
        <v>4.5898892158276604E-5</v>
      </c>
      <c r="L591" s="27">
        <f t="shared" si="240"/>
        <v>8.5112995849095604E-5</v>
      </c>
      <c r="M591" s="29">
        <v>0</v>
      </c>
      <c r="N591" s="27">
        <f t="shared" si="240"/>
        <v>2.5074557836941727E-4</v>
      </c>
      <c r="O591" s="27">
        <f t="shared" si="240"/>
        <v>2.5074557836941727E-4</v>
      </c>
      <c r="P591" s="27">
        <f t="shared" si="240"/>
        <v>2.5074557836941727E-4</v>
      </c>
      <c r="Q591" s="27">
        <f t="shared" si="240"/>
        <v>1.0489642795809438E-4</v>
      </c>
      <c r="R591" s="27">
        <f t="shared" si="240"/>
        <v>1.0489642795809438E-4</v>
      </c>
      <c r="S591" s="27">
        <f t="shared" si="240"/>
        <v>1.0489642795809438E-4</v>
      </c>
      <c r="T591" s="27">
        <f t="shared" si="240"/>
        <v>1.0489642795809438E-4</v>
      </c>
      <c r="U591" s="27">
        <f t="shared" si="240"/>
        <v>1.0489642795809438E-4</v>
      </c>
      <c r="V591" s="27">
        <f t="shared" si="240"/>
        <v>1.0489642795809438E-4</v>
      </c>
      <c r="W591" s="27">
        <f t="shared" si="240"/>
        <v>9.2230058658317315E-5</v>
      </c>
      <c r="X591" s="27">
        <f t="shared" si="240"/>
        <v>9.2230058658317315E-5</v>
      </c>
      <c r="Y591" s="27">
        <f t="shared" si="240"/>
        <v>9.2230058658317315E-5</v>
      </c>
    </row>
    <row r="592" spans="1:25" outlineLevel="1" x14ac:dyDescent="0.3">
      <c r="A592" t="s">
        <v>166</v>
      </c>
      <c r="B592" t="s">
        <v>85</v>
      </c>
      <c r="C592" s="6" t="s">
        <v>161</v>
      </c>
      <c r="D592" t="s">
        <v>48</v>
      </c>
      <c r="E592" s="27" t="e">
        <f t="shared" si="235"/>
        <v>#DIV/0!</v>
      </c>
      <c r="F592" s="27">
        <f t="shared" si="240"/>
        <v>8.0035878260275204E-5</v>
      </c>
      <c r="G592" s="29">
        <v>0</v>
      </c>
      <c r="H592" s="27">
        <f t="shared" si="240"/>
        <v>2.0723384565237134E-4</v>
      </c>
      <c r="I592" s="27">
        <f t="shared" si="240"/>
        <v>2.0723384565237134E-4</v>
      </c>
      <c r="J592" s="27">
        <f t="shared" si="240"/>
        <v>2.0723384565237134E-4</v>
      </c>
      <c r="K592" s="27">
        <f t="shared" si="240"/>
        <v>4.6049109544573783E-5</v>
      </c>
      <c r="L592" s="27">
        <f t="shared" si="240"/>
        <v>7.6257210527899664E-5</v>
      </c>
      <c r="M592" s="29">
        <v>0</v>
      </c>
      <c r="N592" s="27">
        <f t="shared" si="240"/>
        <v>2.0723384565237134E-4</v>
      </c>
      <c r="O592" s="27">
        <f t="shared" si="240"/>
        <v>2.0723384565237134E-4</v>
      </c>
      <c r="P592" s="27">
        <f t="shared" si="240"/>
        <v>2.0723384565237134E-4</v>
      </c>
      <c r="Q592" s="27">
        <f t="shared" si="240"/>
        <v>1.0434723200019859E-4</v>
      </c>
      <c r="R592" s="27">
        <f t="shared" si="240"/>
        <v>1.0434723200019859E-4</v>
      </c>
      <c r="S592" s="27">
        <f t="shared" si="240"/>
        <v>1.0434723200019859E-4</v>
      </c>
      <c r="T592" s="27">
        <f t="shared" si="240"/>
        <v>1.0434723200019859E-4</v>
      </c>
      <c r="U592" s="27">
        <f t="shared" si="240"/>
        <v>1.0434723200019859E-4</v>
      </c>
      <c r="V592" s="27">
        <f t="shared" si="240"/>
        <v>1.0434723200019859E-4</v>
      </c>
      <c r="W592" s="27">
        <f t="shared" si="240"/>
        <v>9.1695391651602421E-5</v>
      </c>
      <c r="X592" s="27">
        <f t="shared" si="240"/>
        <v>9.1695391651602421E-5</v>
      </c>
      <c r="Y592" s="27">
        <f t="shared" si="240"/>
        <v>9.1695391651602421E-5</v>
      </c>
    </row>
    <row r="593" spans="1:26" outlineLevel="1" x14ac:dyDescent="0.3">
      <c r="A593" t="s">
        <v>166</v>
      </c>
      <c r="B593" t="s">
        <v>86</v>
      </c>
      <c r="C593" s="6" t="s">
        <v>162</v>
      </c>
      <c r="D593" t="s">
        <v>48</v>
      </c>
      <c r="E593" s="27" t="e">
        <f t="shared" si="235"/>
        <v>#DIV/0!</v>
      </c>
      <c r="F593" s="27">
        <f t="shared" si="240"/>
        <v>6.2944297181799689E-5</v>
      </c>
      <c r="G593" s="29">
        <v>0</v>
      </c>
      <c r="H593" s="27">
        <f t="shared" si="240"/>
        <v>1.3373097513035587E-4</v>
      </c>
      <c r="I593" s="27">
        <f t="shared" si="240"/>
        <v>1.3373097513035587E-4</v>
      </c>
      <c r="J593" s="27">
        <f t="shared" si="240"/>
        <v>1.3373097513035587E-4</v>
      </c>
      <c r="K593" s="27">
        <f t="shared" si="240"/>
        <v>4.153797866966038E-5</v>
      </c>
      <c r="L593" s="27">
        <f t="shared" si="240"/>
        <v>6.8793783839229774E-5</v>
      </c>
      <c r="M593" s="29">
        <v>0</v>
      </c>
      <c r="N593" s="27">
        <f t="shared" si="240"/>
        <v>1.3373097513035587E-4</v>
      </c>
      <c r="O593" s="27">
        <f t="shared" si="240"/>
        <v>1.3373097513035587E-4</v>
      </c>
      <c r="P593" s="27">
        <f t="shared" si="240"/>
        <v>1.3373097513035587E-4</v>
      </c>
      <c r="Q593" s="27">
        <f t="shared" si="240"/>
        <v>1.0434723200019859E-4</v>
      </c>
      <c r="R593" s="27">
        <f t="shared" si="240"/>
        <v>1.0434723200019859E-4</v>
      </c>
      <c r="S593" s="27">
        <f t="shared" si="240"/>
        <v>1.0434723200019859E-4</v>
      </c>
      <c r="T593" s="27">
        <f t="shared" si="240"/>
        <v>1.0434723200019859E-4</v>
      </c>
      <c r="U593" s="27">
        <f t="shared" si="240"/>
        <v>1.0434723200019859E-4</v>
      </c>
      <c r="V593" s="27">
        <f t="shared" si="240"/>
        <v>1.0434723200019859E-4</v>
      </c>
      <c r="W593" s="27">
        <f t="shared" si="240"/>
        <v>9.1428058148244987E-5</v>
      </c>
      <c r="X593" s="27">
        <f t="shared" si="240"/>
        <v>9.1428058148244987E-5</v>
      </c>
      <c r="Y593" s="27">
        <f t="shared" si="240"/>
        <v>9.1428058148244987E-5</v>
      </c>
    </row>
    <row r="594" spans="1:26" outlineLevel="1" x14ac:dyDescent="0.3">
      <c r="A594" t="s">
        <v>166</v>
      </c>
      <c r="B594" t="s">
        <v>87</v>
      </c>
      <c r="C594" s="6" t="s">
        <v>163</v>
      </c>
      <c r="D594" t="s">
        <v>48</v>
      </c>
      <c r="E594" s="27" t="e">
        <f t="shared" si="235"/>
        <v>#DIV/0!</v>
      </c>
      <c r="F594" s="27">
        <f t="shared" si="240"/>
        <v>5.0466110001057451E-5</v>
      </c>
      <c r="G594" s="29">
        <v>0</v>
      </c>
      <c r="H594" s="27">
        <f t="shared" si="240"/>
        <v>7.4732015514022401E-5</v>
      </c>
      <c r="I594" s="27">
        <f t="shared" si="240"/>
        <v>7.4732015514022401E-5</v>
      </c>
      <c r="J594" s="27">
        <f t="shared" si="240"/>
        <v>7.4732015514022401E-5</v>
      </c>
      <c r="K594" s="27">
        <f t="shared" si="240"/>
        <v>4.3523409722805003E-5</v>
      </c>
      <c r="L594" s="27">
        <f t="shared" si="240"/>
        <v>6.2340757058359093E-5</v>
      </c>
      <c r="M594" s="29">
        <v>0</v>
      </c>
      <c r="N594" s="27">
        <f t="shared" si="240"/>
        <v>7.4732015514022401E-5</v>
      </c>
      <c r="O594" s="27">
        <f t="shared" si="240"/>
        <v>7.4732015514022401E-5</v>
      </c>
      <c r="P594" s="27">
        <f t="shared" si="240"/>
        <v>7.4732015514022401E-5</v>
      </c>
      <c r="Q594" s="27">
        <f t="shared" si="240"/>
        <v>7.0022484631712217E-5</v>
      </c>
      <c r="R594" s="27">
        <f t="shared" si="240"/>
        <v>7.0022484631712217E-5</v>
      </c>
      <c r="S594" s="27">
        <f t="shared" si="240"/>
        <v>7.0022484631712217E-5</v>
      </c>
      <c r="T594" s="27">
        <f t="shared" si="240"/>
        <v>7.0022484631712217E-5</v>
      </c>
      <c r="U594" s="27">
        <f t="shared" si="240"/>
        <v>7.0022484631712217E-5</v>
      </c>
      <c r="V594" s="27">
        <f t="shared" si="240"/>
        <v>7.0022484631712217E-5</v>
      </c>
      <c r="W594" s="27">
        <f t="shared" si="240"/>
        <v>9.116072464488754E-5</v>
      </c>
      <c r="X594" s="27">
        <f t="shared" si="240"/>
        <v>9.116072464488754E-5</v>
      </c>
      <c r="Y594" s="27">
        <f t="shared" si="240"/>
        <v>9.116072464488754E-5</v>
      </c>
    </row>
    <row r="595" spans="1:26" outlineLevel="1" x14ac:dyDescent="0.3"/>
    <row r="597" spans="1:26" x14ac:dyDescent="0.3">
      <c r="A597" s="51" t="s">
        <v>170</v>
      </c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</row>
    <row r="598" spans="1:26" outlineLevel="1" x14ac:dyDescent="0.3">
      <c r="D598" t="s">
        <v>118</v>
      </c>
      <c r="E598" t="s">
        <v>118</v>
      </c>
      <c r="F598" t="s">
        <v>118</v>
      </c>
      <c r="G598" t="s">
        <v>118</v>
      </c>
      <c r="H598" t="s">
        <v>118</v>
      </c>
      <c r="I598" t="s">
        <v>118</v>
      </c>
      <c r="J598" t="s">
        <v>119</v>
      </c>
      <c r="K598" t="s">
        <v>119</v>
      </c>
      <c r="L598" t="s">
        <v>119</v>
      </c>
      <c r="M598" t="s">
        <v>119</v>
      </c>
      <c r="N598" t="s">
        <v>119</v>
      </c>
      <c r="O598" t="s">
        <v>119</v>
      </c>
      <c r="P598" t="s">
        <v>120</v>
      </c>
      <c r="Q598" t="s">
        <v>120</v>
      </c>
      <c r="R598" t="s">
        <v>120</v>
      </c>
      <c r="S598" t="s">
        <v>120</v>
      </c>
      <c r="T598" t="s">
        <v>120</v>
      </c>
      <c r="U598" t="s">
        <v>120</v>
      </c>
      <c r="V598" t="s">
        <v>121</v>
      </c>
      <c r="W598" t="s">
        <v>121</v>
      </c>
      <c r="X598" t="s">
        <v>121</v>
      </c>
    </row>
    <row r="599" spans="1:26" ht="28.8" outlineLevel="1" x14ac:dyDescent="0.3">
      <c r="A599" s="4" t="s">
        <v>122</v>
      </c>
      <c r="B599" s="50" t="s">
        <v>123</v>
      </c>
      <c r="C599" s="50"/>
      <c r="D599" s="4" t="s">
        <v>125</v>
      </c>
      <c r="E599" s="4" t="s">
        <v>126</v>
      </c>
      <c r="F599" s="4" t="s">
        <v>127</v>
      </c>
      <c r="G599" s="4" t="s">
        <v>128</v>
      </c>
      <c r="H599" s="4" t="s">
        <v>129</v>
      </c>
      <c r="I599" s="4" t="s">
        <v>130</v>
      </c>
      <c r="J599" s="4" t="s">
        <v>125</v>
      </c>
      <c r="K599" s="4" t="s">
        <v>126</v>
      </c>
      <c r="L599" s="4" t="s">
        <v>127</v>
      </c>
      <c r="M599" s="4" t="s">
        <v>128</v>
      </c>
      <c r="N599" s="4" t="s">
        <v>129</v>
      </c>
      <c r="O599" s="4" t="s">
        <v>130</v>
      </c>
      <c r="P599" s="4" t="s">
        <v>131</v>
      </c>
      <c r="Q599" s="4" t="s">
        <v>132</v>
      </c>
      <c r="R599" s="4" t="s">
        <v>133</v>
      </c>
      <c r="S599" s="4" t="s">
        <v>134</v>
      </c>
      <c r="T599" s="4" t="s">
        <v>135</v>
      </c>
      <c r="U599" s="4" t="s">
        <v>136</v>
      </c>
      <c r="V599" s="4" t="s">
        <v>121</v>
      </c>
      <c r="W599" s="4" t="s">
        <v>137</v>
      </c>
      <c r="X599" s="4" t="s">
        <v>138</v>
      </c>
      <c r="Y599" s="20" t="s">
        <v>50</v>
      </c>
    </row>
    <row r="600" spans="1:26" outlineLevel="1" x14ac:dyDescent="0.3">
      <c r="A600" t="s">
        <v>139</v>
      </c>
      <c r="B600" t="s">
        <v>64</v>
      </c>
      <c r="C600" s="6" t="s">
        <v>140</v>
      </c>
      <c r="D600" s="10">
        <v>0</v>
      </c>
      <c r="E600" s="10" cm="1">
        <f t="array" ref="E600">(INDEX(F$403:F$594,MATCH(1,($A600=$A$403:$A$594)*($B600=$B$403:$B$594)*("Weekday"=$D$403:$D$594),0))*Weekdays+INDEX(F$403:F$594,MATCH(1,($A600=$A$403:$A$594)*($B600=$B$403:$B$594)*("Weekend"=$D$403:$D$594),0))*WeekendDays)/DaysPerWeek</f>
        <v>1.3903641084772827E-5</v>
      </c>
      <c r="F600" s="10" cm="1">
        <f t="array" ref="F600">(INDEX(G$403:G$594,MATCH(1,($A600=$A$403:$A$594)*($B600=$B$403:$B$594)*("Weekday"=$D$403:$D$594),0))*Weekdays+INDEX(G$403:G$594,MATCH(1,($A600=$A$403:$A$594)*($B600=$B$403:$B$594)*("Weekend"=$D$403:$D$594),0))*WeekendDays)/DaysPerWeek</f>
        <v>0</v>
      </c>
      <c r="G600" s="10" cm="1">
        <f t="array" ref="G600">(INDEX(H$403:H$594,MATCH(1,($A600=$A$403:$A$594)*($B600=$B$403:$B$594)*("Weekday"=$D$403:$D$594),0))*Weekdays+INDEX(H$403:H$594,MATCH(1,($A600=$A$403:$A$594)*($B600=$B$403:$B$594)*("Weekend"=$D$403:$D$594),0))*WeekendDays)/DaysPerWeek</f>
        <v>8.1669856135572734E-5</v>
      </c>
      <c r="H600" s="10" cm="1">
        <f t="array" ref="H600">(INDEX(I$403:I$594,MATCH(1,($A600=$A$403:$A$594)*($B600=$B$403:$B$594)*("Weekday"=$D$403:$D$594),0))*Weekdays+INDEX(I$403:I$594,MATCH(1,($A600=$A$403:$A$594)*($B600=$B$403:$B$594)*("Weekend"=$D$403:$D$594),0))*WeekendDays)/DaysPerWeek</f>
        <v>8.1669856135572734E-5</v>
      </c>
      <c r="I600" s="10" cm="1">
        <f t="array" ref="I600">(INDEX(J$403:J$594,MATCH(1,($A600=$A$403:$A$594)*($B600=$B$403:$B$594)*("Weekday"=$D$403:$D$594),0))*Weekdays+INDEX(J$403:J$594,MATCH(1,($A600=$A$403:$A$594)*($B600=$B$403:$B$594)*("Weekend"=$D$403:$D$594),0))*WeekendDays)/DaysPerWeek</f>
        <v>8.1669856135572734E-5</v>
      </c>
      <c r="J600" s="10">
        <v>0</v>
      </c>
      <c r="K600" s="10" cm="1">
        <f t="array" ref="K600">(INDEX(L$403:L$594,MATCH(1,($A600=$A$403:$A$594)*($B600=$B$403:$B$594)*("Weekday"=$D$403:$D$594),0))*Weekdays+INDEX(L$403:L$594,MATCH(1,($A600=$A$403:$A$594)*($B600=$B$403:$B$594)*("Weekend"=$D$403:$D$594),0))*WeekendDays)/DaysPerWeek</f>
        <v>3.9101393205603864E-5</v>
      </c>
      <c r="L600" s="10" cm="1">
        <f t="array" ref="L600">(INDEX(M$403:M$594,MATCH(1,($A600=$A$403:$A$594)*($B600=$B$403:$B$594)*("Weekday"=$D$403:$D$594),0))*Weekdays+INDEX(M$403:M$594,MATCH(1,($A600=$A$403:$A$594)*($B600=$B$403:$B$594)*("Weekend"=$D$403:$D$594),0))*WeekendDays)/DaysPerWeek</f>
        <v>0</v>
      </c>
      <c r="M600" s="10" cm="1">
        <f t="array" ref="M600">(INDEX(N$403:N$594,MATCH(1,($A600=$A$403:$A$594)*($B600=$B$403:$B$594)*("Weekday"=$D$403:$D$594),0))*Weekdays+INDEX(N$403:N$594,MATCH(1,($A600=$A$403:$A$594)*($B600=$B$403:$B$594)*("Weekend"=$D$403:$D$594),0))*WeekendDays)/DaysPerWeek</f>
        <v>8.1669856135572734E-5</v>
      </c>
      <c r="N600" s="10" cm="1">
        <f t="array" ref="N600">(INDEX(O$403:O$594,MATCH(1,($A600=$A$403:$A$594)*($B600=$B$403:$B$594)*("Weekday"=$D$403:$D$594),0))*Weekdays+INDEX(O$403:O$594,MATCH(1,($A600=$A$403:$A$594)*($B600=$B$403:$B$594)*("Weekend"=$D$403:$D$594),0))*WeekendDays)/DaysPerWeek</f>
        <v>8.1669856135572734E-5</v>
      </c>
      <c r="O600" s="10" cm="1">
        <f t="array" ref="O600">(INDEX(P$403:P$594,MATCH(1,($A600=$A$403:$A$594)*($B600=$B$403:$B$594)*("Weekday"=$D$403:$D$594),0))*Weekdays+INDEX(P$403:P$594,MATCH(1,($A600=$A$403:$A$594)*($B600=$B$403:$B$594)*("Weekend"=$D$403:$D$594),0))*WeekendDays)/DaysPerWeek</f>
        <v>8.1669856135572734E-5</v>
      </c>
      <c r="P600" s="10" cm="1">
        <f t="array" ref="P600">(INDEX(Q$403:Q$594,MATCH(1,($A600=$A$403:$A$594)*($B600=$B$403:$B$594)*("Weekday"=$D$403:$D$594),0))*Weekdays+INDEX(Q$403:Q$594,MATCH(1,($A600=$A$403:$A$594)*($B600=$B$403:$B$594)*("Weekend"=$D$403:$D$594),0))*WeekendDays)/DaysPerWeek</f>
        <v>8.6142606431415422E-5</v>
      </c>
      <c r="Q600" s="10" cm="1">
        <f t="array" ref="Q600">(INDEX(R$403:R$594,MATCH(1,($A600=$A$403:$A$594)*($B600=$B$403:$B$594)*("Weekday"=$D$403:$D$594),0))*Weekdays+INDEX(R$403:R$594,MATCH(1,($A600=$A$403:$A$594)*($B600=$B$403:$B$594)*("Weekend"=$D$403:$D$594),0))*WeekendDays)/DaysPerWeek</f>
        <v>8.6142606431415422E-5</v>
      </c>
      <c r="R600" s="10" cm="1">
        <f t="array" ref="R600">(INDEX(S$403:S$594,MATCH(1,($A600=$A$403:$A$594)*($B600=$B$403:$B$594)*("Weekday"=$D$403:$D$594),0))*Weekdays+INDEX(S$403:S$594,MATCH(1,($A600=$A$403:$A$594)*($B600=$B$403:$B$594)*("Weekend"=$D$403:$D$594),0))*WeekendDays)/DaysPerWeek</f>
        <v>8.6142606431415422E-5</v>
      </c>
      <c r="S600" s="10" cm="1">
        <f t="array" ref="S600">(INDEX(T$403:T$594,MATCH(1,($A600=$A$403:$A$594)*($B600=$B$403:$B$594)*("Weekday"=$D$403:$D$594),0))*Weekdays+INDEX(T$403:T$594,MATCH(1,($A600=$A$403:$A$594)*($B600=$B$403:$B$594)*("Weekend"=$D$403:$D$594),0))*WeekendDays)/DaysPerWeek</f>
        <v>8.6142606431415422E-5</v>
      </c>
      <c r="T600" s="10" cm="1">
        <f t="array" ref="T600">(INDEX(U$403:U$594,MATCH(1,($A600=$A$403:$A$594)*($B600=$B$403:$B$594)*("Weekday"=$D$403:$D$594),0))*Weekdays+INDEX(U$403:U$594,MATCH(1,($A600=$A$403:$A$594)*($B600=$B$403:$B$594)*("Weekend"=$D$403:$D$594),0))*WeekendDays)/DaysPerWeek</f>
        <v>8.6142606431415422E-5</v>
      </c>
      <c r="U600" s="10" cm="1">
        <f t="array" ref="U600">(INDEX(V$403:V$594,MATCH(1,($A600=$A$403:$A$594)*($B600=$B$403:$B$594)*("Weekday"=$D$403:$D$594),0))*Weekdays+INDEX(V$403:V$594,MATCH(1,($A600=$A$403:$A$594)*($B600=$B$403:$B$594)*("Weekend"=$D$403:$D$594),0))*WeekendDays)/DaysPerWeek</f>
        <v>8.6142606431415422E-5</v>
      </c>
      <c r="V600" s="10" cm="1">
        <f t="array" ref="V600">(INDEX(W$403:W$594,MATCH(1,($A600=$A$403:$A$594)*($B600=$B$403:$B$594)*("Weekday"=$D$403:$D$594),0))*Weekdays+INDEX(W$403:W$594,MATCH(1,($A600=$A$403:$A$594)*($B600=$B$403:$B$594)*("Weekend"=$D$403:$D$594),0))*WeekendDays)/DaysPerWeek</f>
        <v>1.5299199359920427E-4</v>
      </c>
      <c r="W600" s="10" cm="1">
        <f t="array" ref="W600">(INDEX(X$403:X$594,MATCH(1,($A600=$A$403:$A$594)*($B600=$B$403:$B$594)*("Weekday"=$D$403:$D$594),0))*Weekdays+INDEX(X$403:X$594,MATCH(1,($A600=$A$403:$A$594)*($B600=$B$403:$B$594)*("Weekend"=$D$403:$D$594),0))*WeekendDays)/DaysPerWeek</f>
        <v>1.5299199359920427E-4</v>
      </c>
      <c r="X600" s="10" cm="1">
        <f t="array" ref="X600">(INDEX(Y$403:Y$594,MATCH(1,($A600=$A$403:$A$594)*($B600=$B$403:$B$594)*("Weekday"=$D$403:$D$594),0))*Weekdays+INDEX(Y$403:Y$594,MATCH(1,($A600=$A$403:$A$594)*($B600=$B$403:$B$594)*("Weekend"=$D$403:$D$594),0))*WeekendDays)/DaysPerWeek</f>
        <v>1.5299199359920427E-4</v>
      </c>
      <c r="Y600" s="27">
        <f>SUM(D600:X600)</f>
        <v>1.5188557904899185E-3</v>
      </c>
      <c r="Z600" s="32" t="str">
        <f t="shared" ref="Z600:Z631" si="241">IF(AND(A600=A599,Y600=_xlfn.MAXIFS($Y$600:$Y$743,LoadFactorSeasons,A600)),A600&amp;" Peak","")</f>
        <v/>
      </c>
    </row>
    <row r="601" spans="1:26" outlineLevel="1" x14ac:dyDescent="0.3">
      <c r="A601" t="s">
        <v>139</v>
      </c>
      <c r="B601" t="s">
        <v>65</v>
      </c>
      <c r="C601" s="6" t="s">
        <v>141</v>
      </c>
      <c r="D601" s="10">
        <v>0</v>
      </c>
      <c r="E601" s="10" cm="1">
        <f t="array" ref="E601">(INDEX(F$403:F$594,MATCH(1,($A601=$A$403:$A$594)*($B601=$B$403:$B$594)*("Weekday"=$D$403:$D$594),0))*Weekdays+INDEX(F$403:F$594,MATCH(1,($A601=$A$403:$A$594)*($B601=$B$403:$B$594)*("Weekend"=$D$403:$D$594),0))*WeekendDays)/DaysPerWeek</f>
        <v>1.1096078233959043E-5</v>
      </c>
      <c r="F601" s="10" cm="1">
        <f t="array" ref="F601">(INDEX(G$403:G$594,MATCH(1,($A601=$A$403:$A$594)*($B601=$B$403:$B$594)*("Weekday"=$D$403:$D$594),0))*Weekdays+INDEX(G$403:G$594,MATCH(1,($A601=$A$403:$A$594)*($B601=$B$403:$B$594)*("Weekend"=$D$403:$D$594),0))*WeekendDays)/DaysPerWeek</f>
        <v>0</v>
      </c>
      <c r="G601" s="10" cm="1">
        <f t="array" ref="G601">(INDEX(H$403:H$594,MATCH(1,($A601=$A$403:$A$594)*($B601=$B$403:$B$594)*("Weekday"=$D$403:$D$594),0))*Weekdays+INDEX(H$403:H$594,MATCH(1,($A601=$A$403:$A$594)*($B601=$B$403:$B$594)*("Weekend"=$D$403:$D$594),0))*WeekendDays)/DaysPerWeek</f>
        <v>7.3556176792201482E-5</v>
      </c>
      <c r="H601" s="10" cm="1">
        <f t="array" ref="H601">(INDEX(I$403:I$594,MATCH(1,($A601=$A$403:$A$594)*($B601=$B$403:$B$594)*("Weekday"=$D$403:$D$594),0))*Weekdays+INDEX(I$403:I$594,MATCH(1,($A601=$A$403:$A$594)*($B601=$B$403:$B$594)*("Weekend"=$D$403:$D$594),0))*WeekendDays)/DaysPerWeek</f>
        <v>7.3556176792201482E-5</v>
      </c>
      <c r="I601" s="10" cm="1">
        <f t="array" ref="I601">(INDEX(J$403:J$594,MATCH(1,($A601=$A$403:$A$594)*($B601=$B$403:$B$594)*("Weekday"=$D$403:$D$594),0))*Weekdays+INDEX(J$403:J$594,MATCH(1,($A601=$A$403:$A$594)*($B601=$B$403:$B$594)*("Weekend"=$D$403:$D$594),0))*WeekendDays)/DaysPerWeek</f>
        <v>7.3556176792201482E-5</v>
      </c>
      <c r="J601" s="10">
        <v>0</v>
      </c>
      <c r="K601" s="10" cm="1">
        <f t="array" ref="K601">(INDEX(L$403:L$594,MATCH(1,($A601=$A$403:$A$594)*($B601=$B$403:$B$594)*("Weekday"=$D$403:$D$594),0))*Weekdays+INDEX(L$403:L$594,MATCH(1,($A601=$A$403:$A$594)*($B601=$B$403:$B$594)*("Weekend"=$D$403:$D$594),0))*WeekendDays)/DaysPerWeek</f>
        <v>3.7003009836254611E-5</v>
      </c>
      <c r="L601" s="10" cm="1">
        <f t="array" ref="L601">(INDEX(M$403:M$594,MATCH(1,($A601=$A$403:$A$594)*($B601=$B$403:$B$594)*("Weekday"=$D$403:$D$594),0))*Weekdays+INDEX(M$403:M$594,MATCH(1,($A601=$A$403:$A$594)*($B601=$B$403:$B$594)*("Weekend"=$D$403:$D$594),0))*WeekendDays)/DaysPerWeek</f>
        <v>0</v>
      </c>
      <c r="M601" s="10" cm="1">
        <f t="array" ref="M601">(INDEX(N$403:N$594,MATCH(1,($A601=$A$403:$A$594)*($B601=$B$403:$B$594)*("Weekday"=$D$403:$D$594),0))*Weekdays+INDEX(N$403:N$594,MATCH(1,($A601=$A$403:$A$594)*($B601=$B$403:$B$594)*("Weekend"=$D$403:$D$594),0))*WeekendDays)/DaysPerWeek</f>
        <v>7.3556176792201482E-5</v>
      </c>
      <c r="N601" s="10" cm="1">
        <f t="array" ref="N601">(INDEX(O$403:O$594,MATCH(1,($A601=$A$403:$A$594)*($B601=$B$403:$B$594)*("Weekday"=$D$403:$D$594),0))*Weekdays+INDEX(O$403:O$594,MATCH(1,($A601=$A$403:$A$594)*($B601=$B$403:$B$594)*("Weekend"=$D$403:$D$594),0))*WeekendDays)/DaysPerWeek</f>
        <v>7.3556176792201482E-5</v>
      </c>
      <c r="O601" s="10" cm="1">
        <f t="array" ref="O601">(INDEX(P$403:P$594,MATCH(1,($A601=$A$403:$A$594)*($B601=$B$403:$B$594)*("Weekday"=$D$403:$D$594),0))*Weekdays+INDEX(P$403:P$594,MATCH(1,($A601=$A$403:$A$594)*($B601=$B$403:$B$594)*("Weekend"=$D$403:$D$594),0))*WeekendDays)/DaysPerWeek</f>
        <v>7.3556176792201482E-5</v>
      </c>
      <c r="P601" s="10" cm="1">
        <f t="array" ref="P601">(INDEX(Q$403:Q$594,MATCH(1,($A601=$A$403:$A$594)*($B601=$B$403:$B$594)*("Weekday"=$D$403:$D$594),0))*Weekdays+INDEX(Q$403:Q$594,MATCH(1,($A601=$A$403:$A$594)*($B601=$B$403:$B$594)*("Weekend"=$D$403:$D$594),0))*WeekendDays)/DaysPerWeek</f>
        <v>8.5793561889286086E-5</v>
      </c>
      <c r="Q601" s="10" cm="1">
        <f t="array" ref="Q601">(INDEX(R$403:R$594,MATCH(1,($A601=$A$403:$A$594)*($B601=$B$403:$B$594)*("Weekday"=$D$403:$D$594),0))*Weekdays+INDEX(R$403:R$594,MATCH(1,($A601=$A$403:$A$594)*($B601=$B$403:$B$594)*("Weekend"=$D$403:$D$594),0))*WeekendDays)/DaysPerWeek</f>
        <v>8.5793561889286086E-5</v>
      </c>
      <c r="R601" s="10" cm="1">
        <f t="array" ref="R601">(INDEX(S$403:S$594,MATCH(1,($A601=$A$403:$A$594)*($B601=$B$403:$B$594)*("Weekday"=$D$403:$D$594),0))*Weekdays+INDEX(S$403:S$594,MATCH(1,($A601=$A$403:$A$594)*($B601=$B$403:$B$594)*("Weekend"=$D$403:$D$594),0))*WeekendDays)/DaysPerWeek</f>
        <v>8.5793561889286086E-5</v>
      </c>
      <c r="S601" s="10" cm="1">
        <f t="array" ref="S601">(INDEX(T$403:T$594,MATCH(1,($A601=$A$403:$A$594)*($B601=$B$403:$B$594)*("Weekday"=$D$403:$D$594),0))*Weekdays+INDEX(T$403:T$594,MATCH(1,($A601=$A$403:$A$594)*($B601=$B$403:$B$594)*("Weekend"=$D$403:$D$594),0))*WeekendDays)/DaysPerWeek</f>
        <v>8.5793561889286086E-5</v>
      </c>
      <c r="T601" s="10" cm="1">
        <f t="array" ref="T601">(INDEX(U$403:U$594,MATCH(1,($A601=$A$403:$A$594)*($B601=$B$403:$B$594)*("Weekday"=$D$403:$D$594),0))*Weekdays+INDEX(U$403:U$594,MATCH(1,($A601=$A$403:$A$594)*($B601=$B$403:$B$594)*("Weekend"=$D$403:$D$594),0))*WeekendDays)/DaysPerWeek</f>
        <v>8.5793561889286086E-5</v>
      </c>
      <c r="U601" s="10" cm="1">
        <f t="array" ref="U601">(INDEX(V$403:V$594,MATCH(1,($A601=$A$403:$A$594)*($B601=$B$403:$B$594)*("Weekday"=$D$403:$D$594),0))*Weekdays+INDEX(V$403:V$594,MATCH(1,($A601=$A$403:$A$594)*($B601=$B$403:$B$594)*("Weekend"=$D$403:$D$594),0))*WeekendDays)/DaysPerWeek</f>
        <v>8.5793561889286086E-5</v>
      </c>
      <c r="V601" s="10" cm="1">
        <f t="array" ref="V601">(INDEX(W$403:W$594,MATCH(1,($A601=$A$403:$A$594)*($B601=$B$403:$B$594)*("Weekday"=$D$403:$D$594),0))*Weekdays+INDEX(W$403:W$594,MATCH(1,($A601=$A$403:$A$594)*($B601=$B$403:$B$594)*("Weekend"=$D$403:$D$594),0))*WeekendDays)/DaysPerWeek</f>
        <v>1.5283753424170886E-4</v>
      </c>
      <c r="W601" s="10" cm="1">
        <f t="array" ref="W601">(INDEX(X$403:X$594,MATCH(1,($A601=$A$403:$A$594)*($B601=$B$403:$B$594)*("Weekday"=$D$403:$D$594),0))*Weekdays+INDEX(X$403:X$594,MATCH(1,($A601=$A$403:$A$594)*($B601=$B$403:$B$594)*("Weekend"=$D$403:$D$594),0))*WeekendDays)/DaysPerWeek</f>
        <v>1.5283753424170886E-4</v>
      </c>
      <c r="X601" s="10" cm="1">
        <f t="array" ref="X601">(INDEX(Y$403:Y$594,MATCH(1,($A601=$A$403:$A$594)*($B601=$B$403:$B$594)*("Weekday"=$D$403:$D$594),0))*Weekdays+INDEX(Y$403:Y$594,MATCH(1,($A601=$A$403:$A$594)*($B601=$B$403:$B$594)*("Weekend"=$D$403:$D$594),0))*WeekendDays)/DaysPerWeek</f>
        <v>1.5283753424170886E-4</v>
      </c>
      <c r="Y601" s="27">
        <f t="shared" ref="Y601:Y664" si="242">SUM(D601:X601)</f>
        <v>1.4627101228842658E-3</v>
      </c>
      <c r="Z601" s="32" t="str">
        <f t="shared" si="241"/>
        <v/>
      </c>
    </row>
    <row r="602" spans="1:26" outlineLevel="1" x14ac:dyDescent="0.3">
      <c r="A602" t="s">
        <v>139</v>
      </c>
      <c r="B602" t="s">
        <v>66</v>
      </c>
      <c r="C602" s="6" t="s">
        <v>142</v>
      </c>
      <c r="D602" s="10">
        <v>0</v>
      </c>
      <c r="E602" s="10" cm="1">
        <f t="array" ref="E602">(INDEX(F$403:F$594,MATCH(1,($A602=$A$403:$A$594)*($B602=$B$403:$B$594)*("Weekday"=$D$403:$D$594),0))*Weekdays+INDEX(F$403:F$594,MATCH(1,($A602=$A$403:$A$594)*($B602=$B$403:$B$594)*("Weekend"=$D$403:$D$594),0))*WeekendDays)/DaysPerWeek</f>
        <v>1.0267190973288476E-5</v>
      </c>
      <c r="F602" s="10" cm="1">
        <f t="array" ref="F602">(INDEX(G$403:G$594,MATCH(1,($A602=$A$403:$A$594)*($B602=$B$403:$B$594)*("Weekday"=$D$403:$D$594),0))*Weekdays+INDEX(G$403:G$594,MATCH(1,($A602=$A$403:$A$594)*($B602=$B$403:$B$594)*("Weekend"=$D$403:$D$594),0))*WeekendDays)/DaysPerWeek</f>
        <v>0</v>
      </c>
      <c r="G602" s="10" cm="1">
        <f t="array" ref="G602">(INDEX(H$403:H$594,MATCH(1,($A602=$A$403:$A$594)*($B602=$B$403:$B$594)*("Weekday"=$D$403:$D$594),0))*Weekdays+INDEX(H$403:H$594,MATCH(1,($A602=$A$403:$A$594)*($B602=$B$403:$B$594)*("Weekend"=$D$403:$D$594),0))*WeekendDays)/DaysPerWeek</f>
        <v>7.2159110927966517E-5</v>
      </c>
      <c r="H602" s="10" cm="1">
        <f t="array" ref="H602">(INDEX(I$403:I$594,MATCH(1,($A602=$A$403:$A$594)*($B602=$B$403:$B$594)*("Weekday"=$D$403:$D$594),0))*Weekdays+INDEX(I$403:I$594,MATCH(1,($A602=$A$403:$A$594)*($B602=$B$403:$B$594)*("Weekend"=$D$403:$D$594),0))*WeekendDays)/DaysPerWeek</f>
        <v>7.2159110927966517E-5</v>
      </c>
      <c r="I602" s="10" cm="1">
        <f t="array" ref="I602">(INDEX(J$403:J$594,MATCH(1,($A602=$A$403:$A$594)*($B602=$B$403:$B$594)*("Weekday"=$D$403:$D$594),0))*Weekdays+INDEX(J$403:J$594,MATCH(1,($A602=$A$403:$A$594)*($B602=$B$403:$B$594)*("Weekend"=$D$403:$D$594),0))*WeekendDays)/DaysPerWeek</f>
        <v>7.2159110927966517E-5</v>
      </c>
      <c r="J602" s="10">
        <v>0</v>
      </c>
      <c r="K602" s="10" cm="1">
        <f t="array" ref="K602">(INDEX(L$403:L$594,MATCH(1,($A602=$A$403:$A$594)*($B602=$B$403:$B$594)*("Weekday"=$D$403:$D$594),0))*Weekdays+INDEX(L$403:L$594,MATCH(1,($A602=$A$403:$A$594)*($B602=$B$403:$B$594)*("Weekend"=$D$403:$D$594),0))*WeekendDays)/DaysPerWeek</f>
        <v>3.6174853758872833E-5</v>
      </c>
      <c r="L602" s="10" cm="1">
        <f t="array" ref="L602">(INDEX(M$403:M$594,MATCH(1,($A602=$A$403:$A$594)*($B602=$B$403:$B$594)*("Weekday"=$D$403:$D$594),0))*Weekdays+INDEX(M$403:M$594,MATCH(1,($A602=$A$403:$A$594)*($B602=$B$403:$B$594)*("Weekend"=$D$403:$D$594),0))*WeekendDays)/DaysPerWeek</f>
        <v>0</v>
      </c>
      <c r="M602" s="10" cm="1">
        <f t="array" ref="M602">(INDEX(N$403:N$594,MATCH(1,($A602=$A$403:$A$594)*($B602=$B$403:$B$594)*("Weekday"=$D$403:$D$594),0))*Weekdays+INDEX(N$403:N$594,MATCH(1,($A602=$A$403:$A$594)*($B602=$B$403:$B$594)*("Weekend"=$D$403:$D$594),0))*WeekendDays)/DaysPerWeek</f>
        <v>7.2159110927966517E-5</v>
      </c>
      <c r="N602" s="10" cm="1">
        <f t="array" ref="N602">(INDEX(O$403:O$594,MATCH(1,($A602=$A$403:$A$594)*($B602=$B$403:$B$594)*("Weekday"=$D$403:$D$594),0))*Weekdays+INDEX(O$403:O$594,MATCH(1,($A602=$A$403:$A$594)*($B602=$B$403:$B$594)*("Weekend"=$D$403:$D$594),0))*WeekendDays)/DaysPerWeek</f>
        <v>7.2159110927966517E-5</v>
      </c>
      <c r="O602" s="10" cm="1">
        <f t="array" ref="O602">(INDEX(P$403:P$594,MATCH(1,($A602=$A$403:$A$594)*($B602=$B$403:$B$594)*("Weekday"=$D$403:$D$594),0))*Weekdays+INDEX(P$403:P$594,MATCH(1,($A602=$A$403:$A$594)*($B602=$B$403:$B$594)*("Weekend"=$D$403:$D$594),0))*WeekendDays)/DaysPerWeek</f>
        <v>7.2159110927966517E-5</v>
      </c>
      <c r="P602" s="10" cm="1">
        <f t="array" ref="P602">(INDEX(Q$403:Q$594,MATCH(1,($A602=$A$403:$A$594)*($B602=$B$403:$B$594)*("Weekday"=$D$403:$D$594),0))*Weekdays+INDEX(Q$403:Q$594,MATCH(1,($A602=$A$403:$A$594)*($B602=$B$403:$B$594)*("Weekend"=$D$403:$D$594),0))*WeekendDays)/DaysPerWeek</f>
        <v>8.5738032075765504E-5</v>
      </c>
      <c r="Q602" s="10" cm="1">
        <f t="array" ref="Q602">(INDEX(R$403:R$594,MATCH(1,($A602=$A$403:$A$594)*($B602=$B$403:$B$594)*("Weekday"=$D$403:$D$594),0))*Weekdays+INDEX(R$403:R$594,MATCH(1,($A602=$A$403:$A$594)*($B602=$B$403:$B$594)*("Weekend"=$D$403:$D$594),0))*WeekendDays)/DaysPerWeek</f>
        <v>8.5738032075765504E-5</v>
      </c>
      <c r="R602" s="10" cm="1">
        <f t="array" ref="R602">(INDEX(S$403:S$594,MATCH(1,($A602=$A$403:$A$594)*($B602=$B$403:$B$594)*("Weekday"=$D$403:$D$594),0))*Weekdays+INDEX(S$403:S$594,MATCH(1,($A602=$A$403:$A$594)*($B602=$B$403:$B$594)*("Weekend"=$D$403:$D$594),0))*WeekendDays)/DaysPerWeek</f>
        <v>8.5738032075765504E-5</v>
      </c>
      <c r="S602" s="10" cm="1">
        <f t="array" ref="S602">(INDEX(T$403:T$594,MATCH(1,($A602=$A$403:$A$594)*($B602=$B$403:$B$594)*("Weekday"=$D$403:$D$594),0))*Weekdays+INDEX(T$403:T$594,MATCH(1,($A602=$A$403:$A$594)*($B602=$B$403:$B$594)*("Weekend"=$D$403:$D$594),0))*WeekendDays)/DaysPerWeek</f>
        <v>8.5738032075765504E-5</v>
      </c>
      <c r="T602" s="10" cm="1">
        <f t="array" ref="T602">(INDEX(U$403:U$594,MATCH(1,($A602=$A$403:$A$594)*($B602=$B$403:$B$594)*("Weekday"=$D$403:$D$594),0))*Weekdays+INDEX(U$403:U$594,MATCH(1,($A602=$A$403:$A$594)*($B602=$B$403:$B$594)*("Weekend"=$D$403:$D$594),0))*WeekendDays)/DaysPerWeek</f>
        <v>8.5738032075765504E-5</v>
      </c>
      <c r="U602" s="10" cm="1">
        <f t="array" ref="U602">(INDEX(V$403:V$594,MATCH(1,($A602=$A$403:$A$594)*($B602=$B$403:$B$594)*("Weekday"=$D$403:$D$594),0))*Weekdays+INDEX(V$403:V$594,MATCH(1,($A602=$A$403:$A$594)*($B602=$B$403:$B$594)*("Weekend"=$D$403:$D$594),0))*WeekendDays)/DaysPerWeek</f>
        <v>8.5738032075765504E-5</v>
      </c>
      <c r="V602" s="10" cm="1">
        <f t="array" ref="V602">(INDEX(W$403:W$594,MATCH(1,($A602=$A$403:$A$594)*($B602=$B$403:$B$594)*("Weekday"=$D$403:$D$594),0))*Weekdays+INDEX(W$403:W$594,MATCH(1,($A602=$A$403:$A$594)*($B602=$B$403:$B$594)*("Weekend"=$D$403:$D$594),0))*WeekendDays)/DaysPerWeek</f>
        <v>1.5283753424170886E-4</v>
      </c>
      <c r="W602" s="10" cm="1">
        <f t="array" ref="W602">(INDEX(X$403:X$594,MATCH(1,($A602=$A$403:$A$594)*($B602=$B$403:$B$594)*("Weekday"=$D$403:$D$594),0))*Weekdays+INDEX(X$403:X$594,MATCH(1,($A602=$A$403:$A$594)*($B602=$B$403:$B$594)*("Weekend"=$D$403:$D$594),0))*WeekendDays)/DaysPerWeek</f>
        <v>1.5283753424170886E-4</v>
      </c>
      <c r="X602" s="10" cm="1">
        <f t="array" ref="X602">(INDEX(Y$403:Y$594,MATCH(1,($A602=$A$403:$A$594)*($B602=$B$403:$B$594)*("Weekday"=$D$403:$D$594),0))*Weekdays+INDEX(Y$403:Y$594,MATCH(1,($A602=$A$403:$A$594)*($B602=$B$403:$B$594)*("Weekend"=$D$403:$D$594),0))*WeekendDays)/DaysPerWeek</f>
        <v>1.5283753424170886E-4</v>
      </c>
      <c r="Y602" s="27">
        <f t="shared" si="242"/>
        <v>1.4523375054796798E-3</v>
      </c>
      <c r="Z602" s="32" t="str">
        <f t="shared" si="241"/>
        <v/>
      </c>
    </row>
    <row r="603" spans="1:26" outlineLevel="1" x14ac:dyDescent="0.3">
      <c r="A603" t="s">
        <v>139</v>
      </c>
      <c r="B603" t="s">
        <v>67</v>
      </c>
      <c r="C603" s="6" t="s">
        <v>143</v>
      </c>
      <c r="D603" s="10">
        <v>0</v>
      </c>
      <c r="E603" s="10" cm="1">
        <f t="array" ref="E603">(INDEX(F$403:F$594,MATCH(1,($A603=$A$403:$A$594)*($B603=$B$403:$B$594)*("Weekday"=$D$403:$D$594),0))*Weekdays+INDEX(F$403:F$594,MATCH(1,($A603=$A$403:$A$594)*($B603=$B$403:$B$594)*("Weekend"=$D$403:$D$594),0))*WeekendDays)/DaysPerWeek</f>
        <v>1.1181226041822237E-5</v>
      </c>
      <c r="F603" s="10" cm="1">
        <f t="array" ref="F603">(INDEX(G$403:G$594,MATCH(1,($A603=$A$403:$A$594)*($B603=$B$403:$B$594)*("Weekday"=$D$403:$D$594),0))*Weekdays+INDEX(G$403:G$594,MATCH(1,($A603=$A$403:$A$594)*($B603=$B$403:$B$594)*("Weekend"=$D$403:$D$594),0))*WeekendDays)/DaysPerWeek</f>
        <v>0</v>
      </c>
      <c r="G603" s="10" cm="1">
        <f t="array" ref="G603">(INDEX(H$403:H$594,MATCH(1,($A603=$A$403:$A$594)*($B603=$B$403:$B$594)*("Weekday"=$D$403:$D$594),0))*Weekdays+INDEX(H$403:H$594,MATCH(1,($A603=$A$403:$A$594)*($B603=$B$403:$B$594)*("Weekend"=$D$403:$D$594),0))*WeekendDays)/DaysPerWeek</f>
        <v>7.3202904952328779E-5</v>
      </c>
      <c r="H603" s="10" cm="1">
        <f t="array" ref="H603">(INDEX(I$403:I$594,MATCH(1,($A603=$A$403:$A$594)*($B603=$B$403:$B$594)*("Weekday"=$D$403:$D$594),0))*Weekdays+INDEX(I$403:I$594,MATCH(1,($A603=$A$403:$A$594)*($B603=$B$403:$B$594)*("Weekend"=$D$403:$D$594),0))*WeekendDays)/DaysPerWeek</f>
        <v>7.3202904952328779E-5</v>
      </c>
      <c r="I603" s="10" cm="1">
        <f t="array" ref="I603">(INDEX(J$403:J$594,MATCH(1,($A603=$A$403:$A$594)*($B603=$B$403:$B$594)*("Weekday"=$D$403:$D$594),0))*Weekdays+INDEX(J$403:J$594,MATCH(1,($A603=$A$403:$A$594)*($B603=$B$403:$B$594)*("Weekend"=$D$403:$D$594),0))*WeekendDays)/DaysPerWeek</f>
        <v>7.3202904952328779E-5</v>
      </c>
      <c r="J603" s="10">
        <v>0</v>
      </c>
      <c r="K603" s="10" cm="1">
        <f t="array" ref="K603">(INDEX(L$403:L$594,MATCH(1,($A603=$A$403:$A$594)*($B603=$B$403:$B$594)*("Weekday"=$D$403:$D$594),0))*Weekdays+INDEX(L$403:L$594,MATCH(1,($A603=$A$403:$A$594)*($B603=$B$403:$B$594)*("Weekend"=$D$403:$D$594),0))*WeekendDays)/DaysPerWeek</f>
        <v>3.5914037599994219E-5</v>
      </c>
      <c r="L603" s="10" cm="1">
        <f t="array" ref="L603">(INDEX(M$403:M$594,MATCH(1,($A603=$A$403:$A$594)*($B603=$B$403:$B$594)*("Weekday"=$D$403:$D$594),0))*Weekdays+INDEX(M$403:M$594,MATCH(1,($A603=$A$403:$A$594)*($B603=$B$403:$B$594)*("Weekend"=$D$403:$D$594),0))*WeekendDays)/DaysPerWeek</f>
        <v>0</v>
      </c>
      <c r="M603" s="10" cm="1">
        <f t="array" ref="M603">(INDEX(N$403:N$594,MATCH(1,($A603=$A$403:$A$594)*($B603=$B$403:$B$594)*("Weekday"=$D$403:$D$594),0))*Weekdays+INDEX(N$403:N$594,MATCH(1,($A603=$A$403:$A$594)*($B603=$B$403:$B$594)*("Weekend"=$D$403:$D$594),0))*WeekendDays)/DaysPerWeek</f>
        <v>7.3202904952328779E-5</v>
      </c>
      <c r="N603" s="10" cm="1">
        <f t="array" ref="N603">(INDEX(O$403:O$594,MATCH(1,($A603=$A$403:$A$594)*($B603=$B$403:$B$594)*("Weekday"=$D$403:$D$594),0))*Weekdays+INDEX(O$403:O$594,MATCH(1,($A603=$A$403:$A$594)*($B603=$B$403:$B$594)*("Weekend"=$D$403:$D$594),0))*WeekendDays)/DaysPerWeek</f>
        <v>7.3202904952328779E-5</v>
      </c>
      <c r="O603" s="10" cm="1">
        <f t="array" ref="O603">(INDEX(P$403:P$594,MATCH(1,($A603=$A$403:$A$594)*($B603=$B$403:$B$594)*("Weekday"=$D$403:$D$594),0))*Weekdays+INDEX(P$403:P$594,MATCH(1,($A603=$A$403:$A$594)*($B603=$B$403:$B$594)*("Weekend"=$D$403:$D$594),0))*WeekendDays)/DaysPerWeek</f>
        <v>7.3202904952328779E-5</v>
      </c>
      <c r="P603" s="10" cm="1">
        <f t="array" ref="P603">(INDEX(Q$403:Q$594,MATCH(1,($A603=$A$403:$A$594)*($B603=$B$403:$B$594)*("Weekday"=$D$403:$D$594),0))*Weekdays+INDEX(Q$403:Q$594,MATCH(1,($A603=$A$403:$A$594)*($B603=$B$403:$B$594)*("Weekend"=$D$403:$D$594),0))*WeekendDays)/DaysPerWeek</f>
        <v>8.5738032075765504E-5</v>
      </c>
      <c r="Q603" s="10" cm="1">
        <f t="array" ref="Q603">(INDEX(R$403:R$594,MATCH(1,($A603=$A$403:$A$594)*($B603=$B$403:$B$594)*("Weekday"=$D$403:$D$594),0))*Weekdays+INDEX(R$403:R$594,MATCH(1,($A603=$A$403:$A$594)*($B603=$B$403:$B$594)*("Weekend"=$D$403:$D$594),0))*WeekendDays)/DaysPerWeek</f>
        <v>8.5738032075765504E-5</v>
      </c>
      <c r="R603" s="10" cm="1">
        <f t="array" ref="R603">(INDEX(S$403:S$594,MATCH(1,($A603=$A$403:$A$594)*($B603=$B$403:$B$594)*("Weekday"=$D$403:$D$594),0))*Weekdays+INDEX(S$403:S$594,MATCH(1,($A603=$A$403:$A$594)*($B603=$B$403:$B$594)*("Weekend"=$D$403:$D$594),0))*WeekendDays)/DaysPerWeek</f>
        <v>8.5738032075765504E-5</v>
      </c>
      <c r="S603" s="10" cm="1">
        <f t="array" ref="S603">(INDEX(T$403:T$594,MATCH(1,($A603=$A$403:$A$594)*($B603=$B$403:$B$594)*("Weekday"=$D$403:$D$594),0))*Weekdays+INDEX(T$403:T$594,MATCH(1,($A603=$A$403:$A$594)*($B603=$B$403:$B$594)*("Weekend"=$D$403:$D$594),0))*WeekendDays)/DaysPerWeek</f>
        <v>8.5738032075765504E-5</v>
      </c>
      <c r="T603" s="10" cm="1">
        <f t="array" ref="T603">(INDEX(U$403:U$594,MATCH(1,($A603=$A$403:$A$594)*($B603=$B$403:$B$594)*("Weekday"=$D$403:$D$594),0))*Weekdays+INDEX(U$403:U$594,MATCH(1,($A603=$A$403:$A$594)*($B603=$B$403:$B$594)*("Weekend"=$D$403:$D$594),0))*WeekendDays)/DaysPerWeek</f>
        <v>8.5738032075765504E-5</v>
      </c>
      <c r="U603" s="10" cm="1">
        <f t="array" ref="U603">(INDEX(V$403:V$594,MATCH(1,($A603=$A$403:$A$594)*($B603=$B$403:$B$594)*("Weekday"=$D$403:$D$594),0))*Weekdays+INDEX(V$403:V$594,MATCH(1,($A603=$A$403:$A$594)*($B603=$B$403:$B$594)*("Weekend"=$D$403:$D$594),0))*WeekendDays)/DaysPerWeek</f>
        <v>8.5738032075765504E-5</v>
      </c>
      <c r="V603" s="10" cm="1">
        <f t="array" ref="V603">(INDEX(W$403:W$594,MATCH(1,($A603=$A$403:$A$594)*($B603=$B$403:$B$594)*("Weekday"=$D$403:$D$594),0))*Weekdays+INDEX(W$403:W$594,MATCH(1,($A603=$A$403:$A$594)*($B603=$B$403:$B$594)*("Weekend"=$D$403:$D$594),0))*WeekendDays)/DaysPerWeek</f>
        <v>1.5306922327795196E-4</v>
      </c>
      <c r="W603" s="10" cm="1">
        <f t="array" ref="W603">(INDEX(X$403:X$594,MATCH(1,($A603=$A$403:$A$594)*($B603=$B$403:$B$594)*("Weekday"=$D$403:$D$594),0))*Weekdays+INDEX(X$403:X$594,MATCH(1,($A603=$A$403:$A$594)*($B603=$B$403:$B$594)*("Weekend"=$D$403:$D$594),0))*WeekendDays)/DaysPerWeek</f>
        <v>1.5306922327795196E-4</v>
      </c>
      <c r="X603" s="10" cm="1">
        <f t="array" ref="X603">(INDEX(Y$403:Y$594,MATCH(1,($A603=$A$403:$A$594)*($B603=$B$403:$B$594)*("Weekday"=$D$403:$D$594),0))*Weekdays+INDEX(Y$403:Y$594,MATCH(1,($A603=$A$403:$A$594)*($B603=$B$403:$B$594)*("Weekend"=$D$403:$D$594),0))*WeekendDays)/DaysPerWeek</f>
        <v>1.5306922327795196E-4</v>
      </c>
      <c r="Y603" s="27">
        <f t="shared" si="242"/>
        <v>1.4599485556442376E-3</v>
      </c>
      <c r="Z603" s="32" t="str">
        <f t="shared" si="241"/>
        <v/>
      </c>
    </row>
    <row r="604" spans="1:26" outlineLevel="1" x14ac:dyDescent="0.3">
      <c r="A604" t="s">
        <v>139</v>
      </c>
      <c r="B604" t="s">
        <v>68</v>
      </c>
      <c r="C604" s="6" t="s">
        <v>144</v>
      </c>
      <c r="D604" s="10">
        <v>0</v>
      </c>
      <c r="E604" s="10" cm="1">
        <f t="array" ref="E604">(INDEX(F$403:F$594,MATCH(1,($A604=$A$403:$A$594)*($B604=$B$403:$B$594)*("Weekday"=$D$403:$D$594),0))*Weekdays+INDEX(F$403:F$594,MATCH(1,($A604=$A$403:$A$594)*($B604=$B$403:$B$594)*("Weekend"=$D$403:$D$594),0))*WeekendDays)/DaysPerWeek</f>
        <v>1.3868094959020016E-5</v>
      </c>
      <c r="F604" s="10" cm="1">
        <f t="array" ref="F604">(INDEX(G$403:G$594,MATCH(1,($A604=$A$403:$A$594)*($B604=$B$403:$B$594)*("Weekday"=$D$403:$D$594),0))*Weekdays+INDEX(G$403:G$594,MATCH(1,($A604=$A$403:$A$594)*($B604=$B$403:$B$594)*("Weekend"=$D$403:$D$594),0))*WeekendDays)/DaysPerWeek</f>
        <v>0</v>
      </c>
      <c r="G604" s="10" cm="1">
        <f t="array" ref="G604">(INDEX(H$403:H$594,MATCH(1,($A604=$A$403:$A$594)*($B604=$B$403:$B$594)*("Weekday"=$D$403:$D$594),0))*Weekdays+INDEX(H$403:H$594,MATCH(1,($A604=$A$403:$A$594)*($B604=$B$403:$B$594)*("Weekend"=$D$403:$D$594),0))*WeekendDays)/DaysPerWeek</f>
        <v>8.8174593151850187E-5</v>
      </c>
      <c r="H604" s="10" cm="1">
        <f t="array" ref="H604">(INDEX(I$403:I$594,MATCH(1,($A604=$A$403:$A$594)*($B604=$B$403:$B$594)*("Weekday"=$D$403:$D$594),0))*Weekdays+INDEX(I$403:I$594,MATCH(1,($A604=$A$403:$A$594)*($B604=$B$403:$B$594)*("Weekend"=$D$403:$D$594),0))*WeekendDays)/DaysPerWeek</f>
        <v>8.8174593151850187E-5</v>
      </c>
      <c r="I604" s="10" cm="1">
        <f t="array" ref="I604">(INDEX(J$403:J$594,MATCH(1,($A604=$A$403:$A$594)*($B604=$B$403:$B$594)*("Weekday"=$D$403:$D$594),0))*Weekdays+INDEX(J$403:J$594,MATCH(1,($A604=$A$403:$A$594)*($B604=$B$403:$B$594)*("Weekend"=$D$403:$D$594),0))*WeekendDays)/DaysPerWeek</f>
        <v>8.8174593151850187E-5</v>
      </c>
      <c r="J604" s="10">
        <v>0</v>
      </c>
      <c r="K604" s="10" cm="1">
        <f t="array" ref="K604">(INDEX(L$403:L$594,MATCH(1,($A604=$A$403:$A$594)*($B604=$B$403:$B$594)*("Weekday"=$D$403:$D$594),0))*Weekdays+INDEX(L$403:L$594,MATCH(1,($A604=$A$403:$A$594)*($B604=$B$403:$B$594)*("Weekend"=$D$403:$D$594),0))*WeekendDays)/DaysPerWeek</f>
        <v>3.6259315942461036E-5</v>
      </c>
      <c r="L604" s="10" cm="1">
        <f t="array" ref="L604">(INDEX(M$403:M$594,MATCH(1,($A604=$A$403:$A$594)*($B604=$B$403:$B$594)*("Weekday"=$D$403:$D$594),0))*Weekdays+INDEX(M$403:M$594,MATCH(1,($A604=$A$403:$A$594)*($B604=$B$403:$B$594)*("Weekend"=$D$403:$D$594),0))*WeekendDays)/DaysPerWeek</f>
        <v>0</v>
      </c>
      <c r="M604" s="10" cm="1">
        <f t="array" ref="M604">(INDEX(N$403:N$594,MATCH(1,($A604=$A$403:$A$594)*($B604=$B$403:$B$594)*("Weekday"=$D$403:$D$594),0))*Weekdays+INDEX(N$403:N$594,MATCH(1,($A604=$A$403:$A$594)*($B604=$B$403:$B$594)*("Weekend"=$D$403:$D$594),0))*WeekendDays)/DaysPerWeek</f>
        <v>8.8174593151850187E-5</v>
      </c>
      <c r="N604" s="10" cm="1">
        <f t="array" ref="N604">(INDEX(O$403:O$594,MATCH(1,($A604=$A$403:$A$594)*($B604=$B$403:$B$594)*("Weekday"=$D$403:$D$594),0))*Weekdays+INDEX(O$403:O$594,MATCH(1,($A604=$A$403:$A$594)*($B604=$B$403:$B$594)*("Weekend"=$D$403:$D$594),0))*WeekendDays)/DaysPerWeek</f>
        <v>8.8174593151850187E-5</v>
      </c>
      <c r="O604" s="10" cm="1">
        <f t="array" ref="O604">(INDEX(P$403:P$594,MATCH(1,($A604=$A$403:$A$594)*($B604=$B$403:$B$594)*("Weekday"=$D$403:$D$594),0))*Weekdays+INDEX(P$403:P$594,MATCH(1,($A604=$A$403:$A$594)*($B604=$B$403:$B$594)*("Weekend"=$D$403:$D$594),0))*WeekendDays)/DaysPerWeek</f>
        <v>8.8174593151850187E-5</v>
      </c>
      <c r="P604" s="10" cm="1">
        <f t="array" ref="P604">(INDEX(Q$403:Q$594,MATCH(1,($A604=$A$403:$A$594)*($B604=$B$403:$B$594)*("Weekday"=$D$403:$D$594),0))*Weekdays+INDEX(Q$403:Q$594,MATCH(1,($A604=$A$403:$A$594)*($B604=$B$403:$B$594)*("Weekend"=$D$403:$D$594),0))*WeekendDays)/DaysPerWeek</f>
        <v>8.57142335842567E-5</v>
      </c>
      <c r="Q604" s="10" cm="1">
        <f t="array" ref="Q604">(INDEX(R$403:R$594,MATCH(1,($A604=$A$403:$A$594)*($B604=$B$403:$B$594)*("Weekday"=$D$403:$D$594),0))*Weekdays+INDEX(R$403:R$594,MATCH(1,($A604=$A$403:$A$594)*($B604=$B$403:$B$594)*("Weekend"=$D$403:$D$594),0))*WeekendDays)/DaysPerWeek</f>
        <v>8.57142335842567E-5</v>
      </c>
      <c r="R604" s="10" cm="1">
        <f t="array" ref="R604">(INDEX(S$403:S$594,MATCH(1,($A604=$A$403:$A$594)*($B604=$B$403:$B$594)*("Weekday"=$D$403:$D$594),0))*Weekdays+INDEX(S$403:S$594,MATCH(1,($A604=$A$403:$A$594)*($B604=$B$403:$B$594)*("Weekend"=$D$403:$D$594),0))*WeekendDays)/DaysPerWeek</f>
        <v>8.57142335842567E-5</v>
      </c>
      <c r="S604" s="10" cm="1">
        <f t="array" ref="S604">(INDEX(T$403:T$594,MATCH(1,($A604=$A$403:$A$594)*($B604=$B$403:$B$594)*("Weekday"=$D$403:$D$594),0))*Weekdays+INDEX(T$403:T$594,MATCH(1,($A604=$A$403:$A$594)*($B604=$B$403:$B$594)*("Weekend"=$D$403:$D$594),0))*WeekendDays)/DaysPerWeek</f>
        <v>8.57142335842567E-5</v>
      </c>
      <c r="T604" s="10" cm="1">
        <f t="array" ref="T604">(INDEX(U$403:U$594,MATCH(1,($A604=$A$403:$A$594)*($B604=$B$403:$B$594)*("Weekday"=$D$403:$D$594),0))*Weekdays+INDEX(U$403:U$594,MATCH(1,($A604=$A$403:$A$594)*($B604=$B$403:$B$594)*("Weekend"=$D$403:$D$594),0))*WeekendDays)/DaysPerWeek</f>
        <v>8.57142335842567E-5</v>
      </c>
      <c r="U604" s="10" cm="1">
        <f t="array" ref="U604">(INDEX(V$403:V$594,MATCH(1,($A604=$A$403:$A$594)*($B604=$B$403:$B$594)*("Weekday"=$D$403:$D$594),0))*Weekdays+INDEX(V$403:V$594,MATCH(1,($A604=$A$403:$A$594)*($B604=$B$403:$B$594)*("Weekend"=$D$403:$D$594),0))*WeekendDays)/DaysPerWeek</f>
        <v>8.57142335842567E-5</v>
      </c>
      <c r="V604" s="10" cm="1">
        <f t="array" ref="V604">(INDEX(W$403:W$594,MATCH(1,($A604=$A$403:$A$594)*($B604=$B$403:$B$594)*("Weekday"=$D$403:$D$594),0))*Weekdays+INDEX(W$403:W$594,MATCH(1,($A604=$A$403:$A$594)*($B604=$B$403:$B$594)*("Weekend"=$D$403:$D$594),0))*WeekendDays)/DaysPerWeek</f>
        <v>1.5330091231419507E-4</v>
      </c>
      <c r="W604" s="10" cm="1">
        <f t="array" ref="W604">(INDEX(X$403:X$594,MATCH(1,($A604=$A$403:$A$594)*($B604=$B$403:$B$594)*("Weekday"=$D$403:$D$594),0))*Weekdays+INDEX(X$403:X$594,MATCH(1,($A604=$A$403:$A$594)*($B604=$B$403:$B$594)*("Weekend"=$D$403:$D$594),0))*WeekendDays)/DaysPerWeek</f>
        <v>1.5330091231419507E-4</v>
      </c>
      <c r="X604" s="10" cm="1">
        <f t="array" ref="X604">(INDEX(Y$403:Y$594,MATCH(1,($A604=$A$403:$A$594)*($B604=$B$403:$B$594)*("Weekday"=$D$403:$D$594),0))*Weekdays+INDEX(Y$403:Y$594,MATCH(1,($A604=$A$403:$A$594)*($B604=$B$403:$B$594)*("Weekend"=$D$403:$D$594),0))*WeekendDays)/DaysPerWeek</f>
        <v>1.5330091231419507E-4</v>
      </c>
      <c r="Y604" s="27">
        <f t="shared" si="242"/>
        <v>1.5533631082607074E-3</v>
      </c>
      <c r="Z604" s="32" t="str">
        <f t="shared" si="241"/>
        <v/>
      </c>
    </row>
    <row r="605" spans="1:26" outlineLevel="1" x14ac:dyDescent="0.3">
      <c r="A605" t="s">
        <v>139</v>
      </c>
      <c r="B605" t="s">
        <v>69</v>
      </c>
      <c r="C605" s="6" t="s">
        <v>145</v>
      </c>
      <c r="D605" s="10">
        <v>0</v>
      </c>
      <c r="E605" s="10" cm="1">
        <f t="array" ref="E605">(INDEX(F$403:F$594,MATCH(1,($A605=$A$403:$A$594)*($B605=$B$403:$B$594)*("Weekday"=$D$403:$D$594),0))*Weekdays+INDEX(F$403:F$594,MATCH(1,($A605=$A$403:$A$594)*($B605=$B$403:$B$594)*("Weekend"=$D$403:$D$594),0))*WeekendDays)/DaysPerWeek</f>
        <v>1.819781597869473E-5</v>
      </c>
      <c r="F605" s="10" cm="1">
        <f t="array" ref="F605">(INDEX(G$403:G$594,MATCH(1,($A605=$A$403:$A$594)*($B605=$B$403:$B$594)*("Weekday"=$D$403:$D$594),0))*Weekdays+INDEX(G$403:G$594,MATCH(1,($A605=$A$403:$A$594)*($B605=$B$403:$B$594)*("Weekend"=$D$403:$D$594),0))*WeekendDays)/DaysPerWeek</f>
        <v>0</v>
      </c>
      <c r="G605" s="10" cm="1">
        <f t="array" ref="G605">(INDEX(H$403:H$594,MATCH(1,($A605=$A$403:$A$594)*($B605=$B$403:$B$594)*("Weekday"=$D$403:$D$594),0))*Weekdays+INDEX(H$403:H$594,MATCH(1,($A605=$A$403:$A$594)*($B605=$B$403:$B$594)*("Weekend"=$D$403:$D$594),0))*WeekendDays)/DaysPerWeek</f>
        <v>1.4033011802077542E-4</v>
      </c>
      <c r="H605" s="10" cm="1">
        <f t="array" ref="H605">(INDEX(I$403:I$594,MATCH(1,($A605=$A$403:$A$594)*($B605=$B$403:$B$594)*("Weekday"=$D$403:$D$594),0))*Weekdays+INDEX(I$403:I$594,MATCH(1,($A605=$A$403:$A$594)*($B605=$B$403:$B$594)*("Weekend"=$D$403:$D$594),0))*WeekendDays)/DaysPerWeek</f>
        <v>1.4033011802077542E-4</v>
      </c>
      <c r="I605" s="10" cm="1">
        <f t="array" ref="I605">(INDEX(J$403:J$594,MATCH(1,($A605=$A$403:$A$594)*($B605=$B$403:$B$594)*("Weekday"=$D$403:$D$594),0))*Weekdays+INDEX(J$403:J$594,MATCH(1,($A605=$A$403:$A$594)*($B605=$B$403:$B$594)*("Weekend"=$D$403:$D$594),0))*WeekendDays)/DaysPerWeek</f>
        <v>1.4033011802077542E-4</v>
      </c>
      <c r="J605" s="10">
        <v>0</v>
      </c>
      <c r="K605" s="10" cm="1">
        <f t="array" ref="K605">(INDEX(L$403:L$594,MATCH(1,($A605=$A$403:$A$594)*($B605=$B$403:$B$594)*("Weekday"=$D$403:$D$594),0))*Weekdays+INDEX(L$403:L$594,MATCH(1,($A605=$A$403:$A$594)*($B605=$B$403:$B$594)*("Weekend"=$D$403:$D$594),0))*WeekendDays)/DaysPerWeek</f>
        <v>3.7906274797716523E-5</v>
      </c>
      <c r="L605" s="10" cm="1">
        <f t="array" ref="L605">(INDEX(M$403:M$594,MATCH(1,($A605=$A$403:$A$594)*($B605=$B$403:$B$594)*("Weekday"=$D$403:$D$594),0))*Weekdays+INDEX(M$403:M$594,MATCH(1,($A605=$A$403:$A$594)*($B605=$B$403:$B$594)*("Weekend"=$D$403:$D$594),0))*WeekendDays)/DaysPerWeek</f>
        <v>0</v>
      </c>
      <c r="M605" s="10" cm="1">
        <f t="array" ref="M605">(INDEX(N$403:N$594,MATCH(1,($A605=$A$403:$A$594)*($B605=$B$403:$B$594)*("Weekday"=$D$403:$D$594),0))*Weekdays+INDEX(N$403:N$594,MATCH(1,($A605=$A$403:$A$594)*($B605=$B$403:$B$594)*("Weekend"=$D$403:$D$594),0))*WeekendDays)/DaysPerWeek</f>
        <v>1.4033011802077542E-4</v>
      </c>
      <c r="N605" s="10" cm="1">
        <f t="array" ref="N605">(INDEX(O$403:O$594,MATCH(1,($A605=$A$403:$A$594)*($B605=$B$403:$B$594)*("Weekday"=$D$403:$D$594),0))*Weekdays+INDEX(O$403:O$594,MATCH(1,($A605=$A$403:$A$594)*($B605=$B$403:$B$594)*("Weekend"=$D$403:$D$594),0))*WeekendDays)/DaysPerWeek</f>
        <v>1.4033011802077542E-4</v>
      </c>
      <c r="O605" s="10" cm="1">
        <f t="array" ref="O605">(INDEX(P$403:P$594,MATCH(1,($A605=$A$403:$A$594)*($B605=$B$403:$B$594)*("Weekday"=$D$403:$D$594),0))*Weekdays+INDEX(P$403:P$594,MATCH(1,($A605=$A$403:$A$594)*($B605=$B$403:$B$594)*("Weekend"=$D$403:$D$594),0))*WeekendDays)/DaysPerWeek</f>
        <v>1.4033011802077542E-4</v>
      </c>
      <c r="P605" s="10" cm="1">
        <f t="array" ref="P605">(INDEX(Q$403:Q$594,MATCH(1,($A605=$A$403:$A$594)*($B605=$B$403:$B$594)*("Weekday"=$D$403:$D$594),0))*Weekdays+INDEX(Q$403:Q$594,MATCH(1,($A605=$A$403:$A$594)*($B605=$B$403:$B$594)*("Weekend"=$D$403:$D$594),0))*WeekendDays)/DaysPerWeek</f>
        <v>8.5904621516327251E-5</v>
      </c>
      <c r="Q605" s="10" cm="1">
        <f t="array" ref="Q605">(INDEX(R$403:R$594,MATCH(1,($A605=$A$403:$A$594)*($B605=$B$403:$B$594)*("Weekday"=$D$403:$D$594),0))*Weekdays+INDEX(R$403:R$594,MATCH(1,($A605=$A$403:$A$594)*($B605=$B$403:$B$594)*("Weekend"=$D$403:$D$594),0))*WeekendDays)/DaysPerWeek</f>
        <v>8.5904621516327251E-5</v>
      </c>
      <c r="R605" s="10" cm="1">
        <f t="array" ref="R605">(INDEX(S$403:S$594,MATCH(1,($A605=$A$403:$A$594)*($B605=$B$403:$B$594)*("Weekday"=$D$403:$D$594),0))*Weekdays+INDEX(S$403:S$594,MATCH(1,($A605=$A$403:$A$594)*($B605=$B$403:$B$594)*("Weekend"=$D$403:$D$594),0))*WeekendDays)/DaysPerWeek</f>
        <v>8.5904621516327251E-5</v>
      </c>
      <c r="S605" s="10" cm="1">
        <f t="array" ref="S605">(INDEX(T$403:T$594,MATCH(1,($A605=$A$403:$A$594)*($B605=$B$403:$B$594)*("Weekday"=$D$403:$D$594),0))*Weekdays+INDEX(T$403:T$594,MATCH(1,($A605=$A$403:$A$594)*($B605=$B$403:$B$594)*("Weekend"=$D$403:$D$594),0))*WeekendDays)/DaysPerWeek</f>
        <v>8.5904621516327251E-5</v>
      </c>
      <c r="T605" s="10" cm="1">
        <f t="array" ref="T605">(INDEX(U$403:U$594,MATCH(1,($A605=$A$403:$A$594)*($B605=$B$403:$B$594)*("Weekday"=$D$403:$D$594),0))*Weekdays+INDEX(U$403:U$594,MATCH(1,($A605=$A$403:$A$594)*($B605=$B$403:$B$594)*("Weekend"=$D$403:$D$594),0))*WeekendDays)/DaysPerWeek</f>
        <v>8.5904621516327251E-5</v>
      </c>
      <c r="U605" s="10" cm="1">
        <f t="array" ref="U605">(INDEX(V$403:V$594,MATCH(1,($A605=$A$403:$A$594)*($B605=$B$403:$B$594)*("Weekday"=$D$403:$D$594),0))*Weekdays+INDEX(V$403:V$594,MATCH(1,($A605=$A$403:$A$594)*($B605=$B$403:$B$594)*("Weekend"=$D$403:$D$594),0))*WeekendDays)/DaysPerWeek</f>
        <v>8.5904621516327251E-5</v>
      </c>
      <c r="V605" s="10" cm="1">
        <f t="array" ref="V605">(INDEX(W$403:W$594,MATCH(1,($A605=$A$403:$A$594)*($B605=$B$403:$B$594)*("Weekday"=$D$403:$D$594),0))*Weekdays+INDEX(W$403:W$594,MATCH(1,($A605=$A$403:$A$594)*($B605=$B$403:$B$594)*("Weekend"=$D$403:$D$594),0))*WeekendDays)/DaysPerWeek</f>
        <v>1.5407320910167213E-4</v>
      </c>
      <c r="W605" s="10" cm="1">
        <f t="array" ref="W605">(INDEX(X$403:X$594,MATCH(1,($A605=$A$403:$A$594)*($B605=$B$403:$B$594)*("Weekday"=$D$403:$D$594),0))*Weekdays+INDEX(X$403:X$594,MATCH(1,($A605=$A$403:$A$594)*($B605=$B$403:$B$594)*("Weekend"=$D$403:$D$594),0))*WeekendDays)/DaysPerWeek</f>
        <v>1.5407320910167213E-4</v>
      </c>
      <c r="X605" s="10" cm="1">
        <f t="array" ref="X605">(INDEX(Y$403:Y$594,MATCH(1,($A605=$A$403:$A$594)*($B605=$B$403:$B$594)*("Weekday"=$D$403:$D$594),0))*Weekdays+INDEX(Y$403:Y$594,MATCH(1,($A605=$A$403:$A$594)*($B605=$B$403:$B$594)*("Weekend"=$D$403:$D$594),0))*WeekendDays)/DaysPerWeek</f>
        <v>1.5407320910167213E-4</v>
      </c>
      <c r="Y605" s="27">
        <f t="shared" si="242"/>
        <v>1.8757321553040439E-3</v>
      </c>
      <c r="Z605" s="32" t="str">
        <f t="shared" si="241"/>
        <v/>
      </c>
    </row>
    <row r="606" spans="1:26" outlineLevel="1" x14ac:dyDescent="0.3">
      <c r="A606" t="s">
        <v>139</v>
      </c>
      <c r="B606" t="s">
        <v>70</v>
      </c>
      <c r="C606" s="6" t="s">
        <v>146</v>
      </c>
      <c r="D606" s="10">
        <v>0</v>
      </c>
      <c r="E606" s="10" cm="1">
        <f t="array" ref="E606">(INDEX(F$403:F$594,MATCH(1,($A606=$A$403:$A$594)*($B606=$B$403:$B$594)*("Weekday"=$D$403:$D$594),0))*Weekdays+INDEX(F$403:F$594,MATCH(1,($A606=$A$403:$A$594)*($B606=$B$403:$B$594)*("Weekend"=$D$403:$D$594),0))*WeekendDays)/DaysPerWeek</f>
        <v>2.3230424364806475E-5</v>
      </c>
      <c r="F606" s="10" cm="1">
        <f t="array" ref="F606">(INDEX(G$403:G$594,MATCH(1,($A606=$A$403:$A$594)*($B606=$B$403:$B$594)*("Weekday"=$D$403:$D$594),0))*Weekdays+INDEX(G$403:G$594,MATCH(1,($A606=$A$403:$A$594)*($B606=$B$403:$B$594)*("Weekend"=$D$403:$D$594),0))*WeekendDays)/DaysPerWeek</f>
        <v>0</v>
      </c>
      <c r="G606" s="10" cm="1">
        <f t="array" ref="G606">(INDEX(H$403:H$594,MATCH(1,($A606=$A$403:$A$594)*($B606=$B$403:$B$594)*("Weekday"=$D$403:$D$594),0))*Weekdays+INDEX(H$403:H$594,MATCH(1,($A606=$A$403:$A$594)*($B606=$B$403:$B$594)*("Weekend"=$D$403:$D$594),0))*WeekendDays)/DaysPerWeek</f>
        <v>2.141880748738151E-4</v>
      </c>
      <c r="H606" s="10" cm="1">
        <f t="array" ref="H606">(INDEX(I$403:I$594,MATCH(1,($A606=$A$403:$A$594)*($B606=$B$403:$B$594)*("Weekday"=$D$403:$D$594),0))*Weekdays+INDEX(I$403:I$594,MATCH(1,($A606=$A$403:$A$594)*($B606=$B$403:$B$594)*("Weekend"=$D$403:$D$594),0))*WeekendDays)/DaysPerWeek</f>
        <v>2.141880748738151E-4</v>
      </c>
      <c r="I606" s="10" cm="1">
        <f t="array" ref="I606">(INDEX(J$403:J$594,MATCH(1,($A606=$A$403:$A$594)*($B606=$B$403:$B$594)*("Weekday"=$D$403:$D$594),0))*Weekdays+INDEX(J$403:J$594,MATCH(1,($A606=$A$403:$A$594)*($B606=$B$403:$B$594)*("Weekend"=$D$403:$D$594),0))*WeekendDays)/DaysPerWeek</f>
        <v>2.141880748738151E-4</v>
      </c>
      <c r="J606" s="10">
        <v>0</v>
      </c>
      <c r="K606" s="10" cm="1">
        <f t="array" ref="K606">(INDEX(L$403:L$594,MATCH(1,($A606=$A$403:$A$594)*($B606=$B$403:$B$594)*("Weekday"=$D$403:$D$594),0))*Weekdays+INDEX(L$403:L$594,MATCH(1,($A606=$A$403:$A$594)*($B606=$B$403:$B$594)*("Weekend"=$D$403:$D$594),0))*WeekendDays)/DaysPerWeek</f>
        <v>4.224466161718237E-5</v>
      </c>
      <c r="L606" s="10" cm="1">
        <f t="array" ref="L606">(INDEX(M$403:M$594,MATCH(1,($A606=$A$403:$A$594)*($B606=$B$403:$B$594)*("Weekday"=$D$403:$D$594),0))*Weekdays+INDEX(M$403:M$594,MATCH(1,($A606=$A$403:$A$594)*($B606=$B$403:$B$594)*("Weekend"=$D$403:$D$594),0))*WeekendDays)/DaysPerWeek</f>
        <v>0</v>
      </c>
      <c r="M606" s="10" cm="1">
        <f t="array" ref="M606">(INDEX(N$403:N$594,MATCH(1,($A606=$A$403:$A$594)*($B606=$B$403:$B$594)*("Weekday"=$D$403:$D$594),0))*Weekdays+INDEX(N$403:N$594,MATCH(1,($A606=$A$403:$A$594)*($B606=$B$403:$B$594)*("Weekend"=$D$403:$D$594),0))*WeekendDays)/DaysPerWeek</f>
        <v>2.141880748738151E-4</v>
      </c>
      <c r="N606" s="10" cm="1">
        <f t="array" ref="N606">(INDEX(O$403:O$594,MATCH(1,($A606=$A$403:$A$594)*($B606=$B$403:$B$594)*("Weekday"=$D$403:$D$594),0))*Weekdays+INDEX(O$403:O$594,MATCH(1,($A606=$A$403:$A$594)*($B606=$B$403:$B$594)*("Weekend"=$D$403:$D$594),0))*WeekendDays)/DaysPerWeek</f>
        <v>2.141880748738151E-4</v>
      </c>
      <c r="O606" s="10" cm="1">
        <f t="array" ref="O606">(INDEX(P$403:P$594,MATCH(1,($A606=$A$403:$A$594)*($B606=$B$403:$B$594)*("Weekday"=$D$403:$D$594),0))*Weekdays+INDEX(P$403:P$594,MATCH(1,($A606=$A$403:$A$594)*($B606=$B$403:$B$594)*("Weekend"=$D$403:$D$594),0))*WeekendDays)/DaysPerWeek</f>
        <v>2.141880748738151E-4</v>
      </c>
      <c r="P606" s="10" cm="1">
        <f t="array" ref="P606">(INDEX(Q$403:Q$594,MATCH(1,($A606=$A$403:$A$594)*($B606=$B$403:$B$594)*("Weekday"=$D$403:$D$594),0))*Weekdays+INDEX(Q$403:Q$594,MATCH(1,($A606=$A$403:$A$594)*($B606=$B$403:$B$594)*("Weekend"=$D$403:$D$594),0))*WeekendDays)/DaysPerWeek</f>
        <v>1.177232046636159E-4</v>
      </c>
      <c r="Q606" s="10" cm="1">
        <f t="array" ref="Q606">(INDEX(R$403:R$594,MATCH(1,($A606=$A$403:$A$594)*($B606=$B$403:$B$594)*("Weekday"=$D$403:$D$594),0))*Weekdays+INDEX(R$403:R$594,MATCH(1,($A606=$A$403:$A$594)*($B606=$B$403:$B$594)*("Weekend"=$D$403:$D$594),0))*WeekendDays)/DaysPerWeek</f>
        <v>1.177232046636159E-4</v>
      </c>
      <c r="R606" s="10" cm="1">
        <f t="array" ref="R606">(INDEX(S$403:S$594,MATCH(1,($A606=$A$403:$A$594)*($B606=$B$403:$B$594)*("Weekday"=$D$403:$D$594),0))*Weekdays+INDEX(S$403:S$594,MATCH(1,($A606=$A$403:$A$594)*($B606=$B$403:$B$594)*("Weekend"=$D$403:$D$594),0))*WeekendDays)/DaysPerWeek</f>
        <v>1.177232046636159E-4</v>
      </c>
      <c r="S606" s="10" cm="1">
        <f t="array" ref="S606">(INDEX(T$403:T$594,MATCH(1,($A606=$A$403:$A$594)*($B606=$B$403:$B$594)*("Weekday"=$D$403:$D$594),0))*Weekdays+INDEX(T$403:T$594,MATCH(1,($A606=$A$403:$A$594)*($B606=$B$403:$B$594)*("Weekend"=$D$403:$D$594),0))*WeekendDays)/DaysPerWeek</f>
        <v>1.177232046636159E-4</v>
      </c>
      <c r="T606" s="10" cm="1">
        <f t="array" ref="T606">(INDEX(U$403:U$594,MATCH(1,($A606=$A$403:$A$594)*($B606=$B$403:$B$594)*("Weekday"=$D$403:$D$594),0))*Weekdays+INDEX(U$403:U$594,MATCH(1,($A606=$A$403:$A$594)*($B606=$B$403:$B$594)*("Weekend"=$D$403:$D$594),0))*WeekendDays)/DaysPerWeek</f>
        <v>1.177232046636159E-4</v>
      </c>
      <c r="U606" s="10" cm="1">
        <f t="array" ref="U606">(INDEX(V$403:V$594,MATCH(1,($A606=$A$403:$A$594)*($B606=$B$403:$B$594)*("Weekday"=$D$403:$D$594),0))*Weekdays+INDEX(V$403:V$594,MATCH(1,($A606=$A$403:$A$594)*($B606=$B$403:$B$594)*("Weekend"=$D$403:$D$594),0))*WeekendDays)/DaysPerWeek</f>
        <v>1.177232046636159E-4</v>
      </c>
      <c r="V606" s="10" cm="1">
        <f t="array" ref="V606">(INDEX(W$403:W$594,MATCH(1,($A606=$A$403:$A$594)*($B606=$B$403:$B$594)*("Weekday"=$D$403:$D$594),0))*Weekdays+INDEX(W$403:W$594,MATCH(1,($A606=$A$403:$A$594)*($B606=$B$403:$B$594)*("Weekend"=$D$403:$D$594),0))*WeekendDays)/DaysPerWeek</f>
        <v>1.5484550588914917E-4</v>
      </c>
      <c r="W606" s="10" cm="1">
        <f t="array" ref="W606">(INDEX(X$403:X$594,MATCH(1,($A606=$A$403:$A$594)*($B606=$B$403:$B$594)*("Weekday"=$D$403:$D$594),0))*Weekdays+INDEX(X$403:X$594,MATCH(1,($A606=$A$403:$A$594)*($B606=$B$403:$B$594)*("Weekend"=$D$403:$D$594),0))*WeekendDays)/DaysPerWeek</f>
        <v>1.5484550588914917E-4</v>
      </c>
      <c r="X606" s="10" cm="1">
        <f t="array" ref="X606">(INDEX(Y$403:Y$594,MATCH(1,($A606=$A$403:$A$594)*($B606=$B$403:$B$594)*("Weekday"=$D$403:$D$594),0))*Weekdays+INDEX(Y$403:Y$594,MATCH(1,($A606=$A$403:$A$594)*($B606=$B$403:$B$594)*("Weekend"=$D$403:$D$594),0))*WeekendDays)/DaysPerWeek</f>
        <v>1.5484550588914917E-4</v>
      </c>
      <c r="Y606" s="27">
        <f t="shared" si="242"/>
        <v>2.521479280874022E-3</v>
      </c>
      <c r="Z606" s="32" t="str">
        <f t="shared" si="241"/>
        <v/>
      </c>
    </row>
    <row r="607" spans="1:26" outlineLevel="1" x14ac:dyDescent="0.3">
      <c r="A607" t="s">
        <v>139</v>
      </c>
      <c r="B607" t="s">
        <v>71</v>
      </c>
      <c r="C607" s="6" t="s">
        <v>147</v>
      </c>
      <c r="D607" s="10">
        <v>0</v>
      </c>
      <c r="E607" s="10" cm="1">
        <f t="array" ref="E607">(INDEX(F$403:F$594,MATCH(1,($A607=$A$403:$A$594)*($B607=$B$403:$B$594)*("Weekday"=$D$403:$D$594),0))*Weekdays+INDEX(F$403:F$594,MATCH(1,($A607=$A$403:$A$594)*($B607=$B$403:$B$594)*("Weekend"=$D$403:$D$594),0))*WeekendDays)/DaysPerWeek</f>
        <v>2.8763283861958284E-5</v>
      </c>
      <c r="F607" s="10" cm="1">
        <f t="array" ref="F607">(INDEX(G$403:G$594,MATCH(1,($A607=$A$403:$A$594)*($B607=$B$403:$B$594)*("Weekday"=$D$403:$D$594),0))*Weekdays+INDEX(G$403:G$594,MATCH(1,($A607=$A$403:$A$594)*($B607=$B$403:$B$594)*("Weekend"=$D$403:$D$594),0))*WeekendDays)/DaysPerWeek</f>
        <v>0</v>
      </c>
      <c r="G607" s="10" cm="1">
        <f t="array" ref="G607">(INDEX(H$403:H$594,MATCH(1,($A607=$A$403:$A$594)*($B607=$B$403:$B$594)*("Weekday"=$D$403:$D$594),0))*Weekdays+INDEX(H$403:H$594,MATCH(1,($A607=$A$403:$A$594)*($B607=$B$403:$B$594)*("Weekend"=$D$403:$D$594),0))*WeekendDays)/DaysPerWeek</f>
        <v>1.0311707052943618E-4</v>
      </c>
      <c r="H607" s="10" cm="1">
        <f t="array" ref="H607">(INDEX(I$403:I$594,MATCH(1,($A607=$A$403:$A$594)*($B607=$B$403:$B$594)*("Weekday"=$D$403:$D$594),0))*Weekdays+INDEX(I$403:I$594,MATCH(1,($A607=$A$403:$A$594)*($B607=$B$403:$B$594)*("Weekend"=$D$403:$D$594),0))*WeekendDays)/DaysPerWeek</f>
        <v>1.0311707052943618E-4</v>
      </c>
      <c r="I607" s="10" cm="1">
        <f t="array" ref="I607">(INDEX(J$403:J$594,MATCH(1,($A607=$A$403:$A$594)*($B607=$B$403:$B$594)*("Weekday"=$D$403:$D$594),0))*Weekdays+INDEX(J$403:J$594,MATCH(1,($A607=$A$403:$A$594)*($B607=$B$403:$B$594)*("Weekend"=$D$403:$D$594),0))*WeekendDays)/DaysPerWeek</f>
        <v>1.0311707052943618E-4</v>
      </c>
      <c r="J607" s="10">
        <v>0</v>
      </c>
      <c r="K607" s="10" cm="1">
        <f t="array" ref="K607">(INDEX(L$403:L$594,MATCH(1,($A607=$A$403:$A$594)*($B607=$B$403:$B$594)*("Weekday"=$D$403:$D$594),0))*Weekdays+INDEX(L$403:L$594,MATCH(1,($A607=$A$403:$A$594)*($B607=$B$403:$B$594)*("Weekend"=$D$403:$D$594),0))*WeekendDays)/DaysPerWeek</f>
        <v>5.0272017838129237E-5</v>
      </c>
      <c r="L607" s="10" cm="1">
        <f t="array" ref="L607">(INDEX(M$403:M$594,MATCH(1,($A607=$A$403:$A$594)*($B607=$B$403:$B$594)*("Weekday"=$D$403:$D$594),0))*Weekdays+INDEX(M$403:M$594,MATCH(1,($A607=$A$403:$A$594)*($B607=$B$403:$B$594)*("Weekend"=$D$403:$D$594),0))*WeekendDays)/DaysPerWeek</f>
        <v>0</v>
      </c>
      <c r="M607" s="10" cm="1">
        <f t="array" ref="M607">(INDEX(N$403:N$594,MATCH(1,($A607=$A$403:$A$594)*($B607=$B$403:$B$594)*("Weekday"=$D$403:$D$594),0))*Weekdays+INDEX(N$403:N$594,MATCH(1,($A607=$A$403:$A$594)*($B607=$B$403:$B$594)*("Weekend"=$D$403:$D$594),0))*WeekendDays)/DaysPerWeek</f>
        <v>1.0311707052943618E-4</v>
      </c>
      <c r="N607" s="10" cm="1">
        <f t="array" ref="N607">(INDEX(O$403:O$594,MATCH(1,($A607=$A$403:$A$594)*($B607=$B$403:$B$594)*("Weekday"=$D$403:$D$594),0))*Weekdays+INDEX(O$403:O$594,MATCH(1,($A607=$A$403:$A$594)*($B607=$B$403:$B$594)*("Weekend"=$D$403:$D$594),0))*WeekendDays)/DaysPerWeek</f>
        <v>1.0311707052943618E-4</v>
      </c>
      <c r="O607" s="10" cm="1">
        <f t="array" ref="O607">(INDEX(P$403:P$594,MATCH(1,($A607=$A$403:$A$594)*($B607=$B$403:$B$594)*("Weekday"=$D$403:$D$594),0))*Weekdays+INDEX(P$403:P$594,MATCH(1,($A607=$A$403:$A$594)*($B607=$B$403:$B$594)*("Weekend"=$D$403:$D$594),0))*WeekendDays)/DaysPerWeek</f>
        <v>1.0311707052943618E-4</v>
      </c>
      <c r="P607" s="10" cm="1">
        <f t="array" ref="P607">(INDEX(Q$403:Q$594,MATCH(1,($A607=$A$403:$A$594)*($B607=$B$403:$B$594)*("Weekday"=$D$403:$D$594),0))*Weekdays+INDEX(Q$403:Q$594,MATCH(1,($A607=$A$403:$A$594)*($B607=$B$403:$B$594)*("Weekend"=$D$403:$D$594),0))*WeekendDays)/DaysPerWeek</f>
        <v>2.1053732154800305E-4</v>
      </c>
      <c r="Q607" s="10" cm="1">
        <f t="array" ref="Q607">(INDEX(R$403:R$594,MATCH(1,($A607=$A$403:$A$594)*($B607=$B$403:$B$594)*("Weekday"=$D$403:$D$594),0))*Weekdays+INDEX(R$403:R$594,MATCH(1,($A607=$A$403:$A$594)*($B607=$B$403:$B$594)*("Weekend"=$D$403:$D$594),0))*WeekendDays)/DaysPerWeek</f>
        <v>2.1053732154800305E-4</v>
      </c>
      <c r="R607" s="10" cm="1">
        <f t="array" ref="R607">(INDEX(S$403:S$594,MATCH(1,($A607=$A$403:$A$594)*($B607=$B$403:$B$594)*("Weekday"=$D$403:$D$594),0))*Weekdays+INDEX(S$403:S$594,MATCH(1,($A607=$A$403:$A$594)*($B607=$B$403:$B$594)*("Weekend"=$D$403:$D$594),0))*WeekendDays)/DaysPerWeek</f>
        <v>2.1053732154800305E-4</v>
      </c>
      <c r="S607" s="10" cm="1">
        <f t="array" ref="S607">(INDEX(T$403:T$594,MATCH(1,($A607=$A$403:$A$594)*($B607=$B$403:$B$594)*("Weekday"=$D$403:$D$594),0))*Weekdays+INDEX(T$403:T$594,MATCH(1,($A607=$A$403:$A$594)*($B607=$B$403:$B$594)*("Weekend"=$D$403:$D$594),0))*WeekendDays)/DaysPerWeek</f>
        <v>2.1053732154800305E-4</v>
      </c>
      <c r="T607" s="10" cm="1">
        <f t="array" ref="T607">(INDEX(U$403:U$594,MATCH(1,($A607=$A$403:$A$594)*($B607=$B$403:$B$594)*("Weekday"=$D$403:$D$594),0))*Weekdays+INDEX(U$403:U$594,MATCH(1,($A607=$A$403:$A$594)*($B607=$B$403:$B$594)*("Weekend"=$D$403:$D$594),0))*WeekendDays)/DaysPerWeek</f>
        <v>2.1053732154800305E-4</v>
      </c>
      <c r="U607" s="10" cm="1">
        <f t="array" ref="U607">(INDEX(V$403:V$594,MATCH(1,($A607=$A$403:$A$594)*($B607=$B$403:$B$594)*("Weekday"=$D$403:$D$594),0))*Weekdays+INDEX(V$403:V$594,MATCH(1,($A607=$A$403:$A$594)*($B607=$B$403:$B$594)*("Weekend"=$D$403:$D$594),0))*WeekendDays)/DaysPerWeek</f>
        <v>2.1053732154800305E-4</v>
      </c>
      <c r="V607" s="10" cm="1">
        <f t="array" ref="V607">(INDEX(W$403:W$594,MATCH(1,($A607=$A$403:$A$594)*($B607=$B$403:$B$594)*("Weekday"=$D$403:$D$594),0))*Weekdays+INDEX(W$403:W$594,MATCH(1,($A607=$A$403:$A$594)*($B607=$B$403:$B$594)*("Weekend"=$D$403:$D$594),0))*WeekendDays)/DaysPerWeek</f>
        <v>1.5554057299787852E-4</v>
      </c>
      <c r="W607" s="10" cm="1">
        <f t="array" ref="W607">(INDEX(X$403:X$594,MATCH(1,($A607=$A$403:$A$594)*($B607=$B$403:$B$594)*("Weekday"=$D$403:$D$594),0))*Weekdays+INDEX(X$403:X$594,MATCH(1,($A607=$A$403:$A$594)*($B607=$B$403:$B$594)*("Weekend"=$D$403:$D$594),0))*WeekendDays)/DaysPerWeek</f>
        <v>1.5554057299787852E-4</v>
      </c>
      <c r="X607" s="10" cm="1">
        <f t="array" ref="X607">(INDEX(Y$403:Y$594,MATCH(1,($A607=$A$403:$A$594)*($B607=$B$403:$B$594)*("Weekday"=$D$403:$D$594),0))*Weekdays+INDEX(Y$403:Y$594,MATCH(1,($A607=$A$403:$A$594)*($B607=$B$403:$B$594)*("Weekend"=$D$403:$D$594),0))*WeekendDays)/DaysPerWeek</f>
        <v>1.5554057299787852E-4</v>
      </c>
      <c r="Y607" s="27">
        <f t="shared" si="242"/>
        <v>2.4275833731583576E-3</v>
      </c>
      <c r="Z607" s="32" t="str">
        <f t="shared" si="241"/>
        <v/>
      </c>
    </row>
    <row r="608" spans="1:26" outlineLevel="1" x14ac:dyDescent="0.3">
      <c r="A608" t="s">
        <v>139</v>
      </c>
      <c r="B608" t="s">
        <v>72</v>
      </c>
      <c r="C608" s="6" t="s">
        <v>148</v>
      </c>
      <c r="D608" s="10">
        <v>0</v>
      </c>
      <c r="E608" s="10" cm="1">
        <f t="array" ref="E608">(INDEX(F$403:F$594,MATCH(1,($A608=$A$403:$A$594)*($B608=$B$403:$B$594)*("Weekday"=$D$403:$D$594),0))*Weekdays+INDEX(F$403:F$594,MATCH(1,($A608=$A$403:$A$594)*($B608=$B$403:$B$594)*("Weekend"=$D$403:$D$594),0))*WeekendDays)/DaysPerWeek</f>
        <v>3.6677243197525454E-5</v>
      </c>
      <c r="F608" s="10" cm="1">
        <f t="array" ref="F608">(INDEX(G$403:G$594,MATCH(1,($A608=$A$403:$A$594)*($B608=$B$403:$B$594)*("Weekday"=$D$403:$D$594),0))*Weekdays+INDEX(G$403:G$594,MATCH(1,($A608=$A$403:$A$594)*($B608=$B$403:$B$594)*("Weekend"=$D$403:$D$594),0))*WeekendDays)/DaysPerWeek</f>
        <v>0</v>
      </c>
      <c r="G608" s="10" cm="1">
        <f t="array" ref="G608">(INDEX(H$403:H$594,MATCH(1,($A608=$A$403:$A$594)*($B608=$B$403:$B$594)*("Weekday"=$D$403:$D$594),0))*Weekdays+INDEX(H$403:H$594,MATCH(1,($A608=$A$403:$A$594)*($B608=$B$403:$B$594)*("Weekend"=$D$403:$D$594),0))*WeekendDays)/DaysPerWeek</f>
        <v>8.0675614408704899E-5</v>
      </c>
      <c r="H608" s="10" cm="1">
        <f t="array" ref="H608">(INDEX(I$403:I$594,MATCH(1,($A608=$A$403:$A$594)*($B608=$B$403:$B$594)*("Weekday"=$D$403:$D$594),0))*Weekdays+INDEX(I$403:I$594,MATCH(1,($A608=$A$403:$A$594)*($B608=$B$403:$B$594)*("Weekend"=$D$403:$D$594),0))*WeekendDays)/DaysPerWeek</f>
        <v>8.0675614408704899E-5</v>
      </c>
      <c r="I608" s="10" cm="1">
        <f t="array" ref="I608">(INDEX(J$403:J$594,MATCH(1,($A608=$A$403:$A$594)*($B608=$B$403:$B$594)*("Weekday"=$D$403:$D$594),0))*Weekdays+INDEX(J$403:J$594,MATCH(1,($A608=$A$403:$A$594)*($B608=$B$403:$B$594)*("Weekend"=$D$403:$D$594),0))*WeekendDays)/DaysPerWeek</f>
        <v>8.0675614408704899E-5</v>
      </c>
      <c r="J608" s="10">
        <v>0</v>
      </c>
      <c r="K608" s="10" cm="1">
        <f t="array" ref="K608">(INDEX(L$403:L$594,MATCH(1,($A608=$A$403:$A$594)*($B608=$B$403:$B$594)*("Weekday"=$D$403:$D$594),0))*Weekdays+INDEX(L$403:L$594,MATCH(1,($A608=$A$403:$A$594)*($B608=$B$403:$B$594)*("Weekend"=$D$403:$D$594),0))*WeekendDays)/DaysPerWeek</f>
        <v>6.2134367234867189E-5</v>
      </c>
      <c r="L608" s="10" cm="1">
        <f t="array" ref="L608">(INDEX(M$403:M$594,MATCH(1,($A608=$A$403:$A$594)*($B608=$B$403:$B$594)*("Weekday"=$D$403:$D$594),0))*Weekdays+INDEX(M$403:M$594,MATCH(1,($A608=$A$403:$A$594)*($B608=$B$403:$B$594)*("Weekend"=$D$403:$D$594),0))*WeekendDays)/DaysPerWeek</f>
        <v>0</v>
      </c>
      <c r="M608" s="10" cm="1">
        <f t="array" ref="M608">(INDEX(N$403:N$594,MATCH(1,($A608=$A$403:$A$594)*($B608=$B$403:$B$594)*("Weekday"=$D$403:$D$594),0))*Weekdays+INDEX(N$403:N$594,MATCH(1,($A608=$A$403:$A$594)*($B608=$B$403:$B$594)*("Weekend"=$D$403:$D$594),0))*WeekendDays)/DaysPerWeek</f>
        <v>8.0675614408704899E-5</v>
      </c>
      <c r="N608" s="10" cm="1">
        <f t="array" ref="N608">(INDEX(O$403:O$594,MATCH(1,($A608=$A$403:$A$594)*($B608=$B$403:$B$594)*("Weekday"=$D$403:$D$594),0))*Weekdays+INDEX(O$403:O$594,MATCH(1,($A608=$A$403:$A$594)*($B608=$B$403:$B$594)*("Weekend"=$D$403:$D$594),0))*WeekendDays)/DaysPerWeek</f>
        <v>8.0675614408704899E-5</v>
      </c>
      <c r="O608" s="10" cm="1">
        <f t="array" ref="O608">(INDEX(P$403:P$594,MATCH(1,($A608=$A$403:$A$594)*($B608=$B$403:$B$594)*("Weekday"=$D$403:$D$594),0))*Weekdays+INDEX(P$403:P$594,MATCH(1,($A608=$A$403:$A$594)*($B608=$B$403:$B$594)*("Weekend"=$D$403:$D$594),0))*WeekendDays)/DaysPerWeek</f>
        <v>8.0675614408704899E-5</v>
      </c>
      <c r="P608" s="10" cm="1">
        <f t="array" ref="P608">(INDEX(Q$403:Q$594,MATCH(1,($A608=$A$403:$A$594)*($B608=$B$403:$B$594)*("Weekday"=$D$403:$D$594),0))*Weekdays+INDEX(Q$403:Q$594,MATCH(1,($A608=$A$403:$A$594)*($B608=$B$403:$B$594)*("Weekend"=$D$403:$D$594),0))*WeekendDays)/DaysPerWeek</f>
        <v>2.1942209171129482E-4</v>
      </c>
      <c r="Q608" s="10" cm="1">
        <f t="array" ref="Q608">(INDEX(R$403:R$594,MATCH(1,($A608=$A$403:$A$594)*($B608=$B$403:$B$594)*("Weekday"=$D$403:$D$594),0))*Weekdays+INDEX(R$403:R$594,MATCH(1,($A608=$A$403:$A$594)*($B608=$B$403:$B$594)*("Weekend"=$D$403:$D$594),0))*WeekendDays)/DaysPerWeek</f>
        <v>2.1942209171129482E-4</v>
      </c>
      <c r="R608" s="10" cm="1">
        <f t="array" ref="R608">(INDEX(S$403:S$594,MATCH(1,($A608=$A$403:$A$594)*($B608=$B$403:$B$594)*("Weekday"=$D$403:$D$594),0))*Weekdays+INDEX(S$403:S$594,MATCH(1,($A608=$A$403:$A$594)*($B608=$B$403:$B$594)*("Weekend"=$D$403:$D$594),0))*WeekendDays)/DaysPerWeek</f>
        <v>2.1942209171129482E-4</v>
      </c>
      <c r="S608" s="10" cm="1">
        <f t="array" ref="S608">(INDEX(T$403:T$594,MATCH(1,($A608=$A$403:$A$594)*($B608=$B$403:$B$594)*("Weekday"=$D$403:$D$594),0))*Weekdays+INDEX(T$403:T$594,MATCH(1,($A608=$A$403:$A$594)*($B608=$B$403:$B$594)*("Weekend"=$D$403:$D$594),0))*WeekendDays)/DaysPerWeek</f>
        <v>2.1942209171129482E-4</v>
      </c>
      <c r="T608" s="10" cm="1">
        <f t="array" ref="T608">(INDEX(U$403:U$594,MATCH(1,($A608=$A$403:$A$594)*($B608=$B$403:$B$594)*("Weekday"=$D$403:$D$594),0))*Weekdays+INDEX(U$403:U$594,MATCH(1,($A608=$A$403:$A$594)*($B608=$B$403:$B$594)*("Weekend"=$D$403:$D$594),0))*WeekendDays)/DaysPerWeek</f>
        <v>2.1942209171129482E-4</v>
      </c>
      <c r="U608" s="10" cm="1">
        <f t="array" ref="U608">(INDEX(V$403:V$594,MATCH(1,($A608=$A$403:$A$594)*($B608=$B$403:$B$594)*("Weekday"=$D$403:$D$594),0))*Weekdays+INDEX(V$403:V$594,MATCH(1,($A608=$A$403:$A$594)*($B608=$B$403:$B$594)*("Weekend"=$D$403:$D$594),0))*WeekendDays)/DaysPerWeek</f>
        <v>2.1942209171129482E-4</v>
      </c>
      <c r="V608" s="10" cm="1">
        <f t="array" ref="V608">(INDEX(W$403:W$594,MATCH(1,($A608=$A$403:$A$594)*($B608=$B$403:$B$594)*("Weekday"=$D$403:$D$594),0))*Weekdays+INDEX(W$403:W$594,MATCH(1,($A608=$A$403:$A$594)*($B608=$B$403:$B$594)*("Weekend"=$D$403:$D$594),0))*WeekendDays)/DaysPerWeek</f>
        <v>1.5554057299787852E-4</v>
      </c>
      <c r="W608" s="10" cm="1">
        <f t="array" ref="W608">(INDEX(X$403:X$594,MATCH(1,($A608=$A$403:$A$594)*($B608=$B$403:$B$594)*("Weekday"=$D$403:$D$594),0))*Weekdays+INDEX(X$403:X$594,MATCH(1,($A608=$A$403:$A$594)*($B608=$B$403:$B$594)*("Weekend"=$D$403:$D$594),0))*WeekendDays)/DaysPerWeek</f>
        <v>1.5554057299787852E-4</v>
      </c>
      <c r="X608" s="10" cm="1">
        <f t="array" ref="X608">(INDEX(Y$403:Y$594,MATCH(1,($A608=$A$403:$A$594)*($B608=$B$403:$B$594)*("Weekday"=$D$403:$D$594),0))*Weekdays+INDEX(Y$403:Y$594,MATCH(1,($A608=$A$403:$A$594)*($B608=$B$403:$B$594)*("Weekend"=$D$403:$D$594),0))*WeekendDays)/DaysPerWeek</f>
        <v>1.5554057299787852E-4</v>
      </c>
      <c r="Y608" s="35">
        <f t="shared" si="242"/>
        <v>2.3660195661460255E-3</v>
      </c>
      <c r="Z608" s="32" t="str">
        <f t="shared" si="241"/>
        <v/>
      </c>
    </row>
    <row r="609" spans="1:26" outlineLevel="1" x14ac:dyDescent="0.3">
      <c r="A609" t="s">
        <v>139</v>
      </c>
      <c r="B609" t="s">
        <v>73</v>
      </c>
      <c r="C609" s="6" t="s">
        <v>149</v>
      </c>
      <c r="D609" s="10">
        <v>0</v>
      </c>
      <c r="E609" s="10" cm="1">
        <f t="array" ref="E609">(INDEX(F$403:F$594,MATCH(1,($A609=$A$403:$A$594)*($B609=$B$403:$B$594)*("Weekday"=$D$403:$D$594),0))*Weekdays+INDEX(F$403:F$594,MATCH(1,($A609=$A$403:$A$594)*($B609=$B$403:$B$594)*("Weekend"=$D$403:$D$594),0))*WeekendDays)/DaysPerWeek</f>
        <v>4.7307339967341326E-5</v>
      </c>
      <c r="F609" s="10" cm="1">
        <f t="array" ref="F609">(INDEX(G$403:G$594,MATCH(1,($A609=$A$403:$A$594)*($B609=$B$403:$B$594)*("Weekday"=$D$403:$D$594),0))*Weekdays+INDEX(G$403:G$594,MATCH(1,($A609=$A$403:$A$594)*($B609=$B$403:$B$594)*("Weekend"=$D$403:$D$594),0))*WeekendDays)/DaysPerWeek</f>
        <v>0</v>
      </c>
      <c r="G609" s="10" cm="1">
        <f t="array" ref="G609">(INDEX(H$403:H$594,MATCH(1,($A609=$A$403:$A$594)*($B609=$B$403:$B$594)*("Weekday"=$D$403:$D$594),0))*Weekdays+INDEX(H$403:H$594,MATCH(1,($A609=$A$403:$A$594)*($B609=$B$403:$B$594)*("Weekend"=$D$403:$D$594),0))*WeekendDays)/DaysPerWeek</f>
        <v>8.0107476279066124E-5</v>
      </c>
      <c r="H609" s="10" cm="1">
        <f t="array" ref="H609">(INDEX(I$403:I$594,MATCH(1,($A609=$A$403:$A$594)*($B609=$B$403:$B$594)*("Weekday"=$D$403:$D$594),0))*Weekdays+INDEX(I$403:I$594,MATCH(1,($A609=$A$403:$A$594)*($B609=$B$403:$B$594)*("Weekend"=$D$403:$D$594),0))*WeekendDays)/DaysPerWeek</f>
        <v>8.0107476279066124E-5</v>
      </c>
      <c r="I609" s="10" cm="1">
        <f t="array" ref="I609">(INDEX(J$403:J$594,MATCH(1,($A609=$A$403:$A$594)*($B609=$B$403:$B$594)*("Weekday"=$D$403:$D$594),0))*Weekdays+INDEX(J$403:J$594,MATCH(1,($A609=$A$403:$A$594)*($B609=$B$403:$B$594)*("Weekend"=$D$403:$D$594),0))*WeekendDays)/DaysPerWeek</f>
        <v>8.0107476279066124E-5</v>
      </c>
      <c r="J609" s="10">
        <v>0</v>
      </c>
      <c r="K609" s="10" cm="1">
        <f t="array" ref="K609">(INDEX(L$403:L$594,MATCH(1,($A609=$A$403:$A$594)*($B609=$B$403:$B$594)*("Weekday"=$D$403:$D$594),0))*Weekdays+INDEX(L$403:L$594,MATCH(1,($A609=$A$403:$A$594)*($B609=$B$403:$B$594)*("Weekend"=$D$403:$D$594),0))*WeekendDays)/DaysPerWeek</f>
        <v>7.2351485632493731E-5</v>
      </c>
      <c r="L609" s="10" cm="1">
        <f t="array" ref="L609">(INDEX(M$403:M$594,MATCH(1,($A609=$A$403:$A$594)*($B609=$B$403:$B$594)*("Weekday"=$D$403:$D$594),0))*Weekdays+INDEX(M$403:M$594,MATCH(1,($A609=$A$403:$A$594)*($B609=$B$403:$B$594)*("Weekend"=$D$403:$D$594),0))*WeekendDays)/DaysPerWeek</f>
        <v>0</v>
      </c>
      <c r="M609" s="10" cm="1">
        <f t="array" ref="M609">(INDEX(N$403:N$594,MATCH(1,($A609=$A$403:$A$594)*($B609=$B$403:$B$594)*("Weekday"=$D$403:$D$594),0))*Weekdays+INDEX(N$403:N$594,MATCH(1,($A609=$A$403:$A$594)*($B609=$B$403:$B$594)*("Weekend"=$D$403:$D$594),0))*WeekendDays)/DaysPerWeek</f>
        <v>8.0107476279066124E-5</v>
      </c>
      <c r="N609" s="10" cm="1">
        <f t="array" ref="N609">(INDEX(O$403:O$594,MATCH(1,($A609=$A$403:$A$594)*($B609=$B$403:$B$594)*("Weekday"=$D$403:$D$594),0))*Weekdays+INDEX(O$403:O$594,MATCH(1,($A609=$A$403:$A$594)*($B609=$B$403:$B$594)*("Weekend"=$D$403:$D$594),0))*WeekendDays)/DaysPerWeek</f>
        <v>8.0107476279066124E-5</v>
      </c>
      <c r="O609" s="10" cm="1">
        <f t="array" ref="O609">(INDEX(P$403:P$594,MATCH(1,($A609=$A$403:$A$594)*($B609=$B$403:$B$594)*("Weekday"=$D$403:$D$594),0))*Weekdays+INDEX(P$403:P$594,MATCH(1,($A609=$A$403:$A$594)*($B609=$B$403:$B$594)*("Weekend"=$D$403:$D$594),0))*WeekendDays)/DaysPerWeek</f>
        <v>8.0107476279066124E-5</v>
      </c>
      <c r="P609" s="10" cm="1">
        <f t="array" ref="P609">(INDEX(Q$403:Q$594,MATCH(1,($A609=$A$403:$A$594)*($B609=$B$403:$B$594)*("Weekday"=$D$403:$D$594),0))*Weekdays+INDEX(Q$403:Q$594,MATCH(1,($A609=$A$403:$A$594)*($B609=$B$403:$B$594)*("Weekend"=$D$403:$D$594),0))*WeekendDays)/DaysPerWeek</f>
        <v>2.0760217426191559E-4</v>
      </c>
      <c r="Q609" s="10" cm="1">
        <f t="array" ref="Q609">(INDEX(R$403:R$594,MATCH(1,($A609=$A$403:$A$594)*($B609=$B$403:$B$594)*("Weekday"=$D$403:$D$594),0))*Weekdays+INDEX(R$403:R$594,MATCH(1,($A609=$A$403:$A$594)*($B609=$B$403:$B$594)*("Weekend"=$D$403:$D$594),0))*WeekendDays)/DaysPerWeek</f>
        <v>2.0760217426191559E-4</v>
      </c>
      <c r="R609" s="10" cm="1">
        <f t="array" ref="R609">(INDEX(S$403:S$594,MATCH(1,($A609=$A$403:$A$594)*($B609=$B$403:$B$594)*("Weekday"=$D$403:$D$594),0))*Weekdays+INDEX(S$403:S$594,MATCH(1,($A609=$A$403:$A$594)*($B609=$B$403:$B$594)*("Weekend"=$D$403:$D$594),0))*WeekendDays)/DaysPerWeek</f>
        <v>2.0760217426191559E-4</v>
      </c>
      <c r="S609" s="10" cm="1">
        <f t="array" ref="S609">(INDEX(T$403:T$594,MATCH(1,($A609=$A$403:$A$594)*($B609=$B$403:$B$594)*("Weekday"=$D$403:$D$594),0))*Weekdays+INDEX(T$403:T$594,MATCH(1,($A609=$A$403:$A$594)*($B609=$B$403:$B$594)*("Weekend"=$D$403:$D$594),0))*WeekendDays)/DaysPerWeek</f>
        <v>2.0760217426191559E-4</v>
      </c>
      <c r="T609" s="10" cm="1">
        <f t="array" ref="T609">(INDEX(U$403:U$594,MATCH(1,($A609=$A$403:$A$594)*($B609=$B$403:$B$594)*("Weekday"=$D$403:$D$594),0))*Weekdays+INDEX(U$403:U$594,MATCH(1,($A609=$A$403:$A$594)*($B609=$B$403:$B$594)*("Weekend"=$D$403:$D$594),0))*WeekendDays)/DaysPerWeek</f>
        <v>2.0760217426191559E-4</v>
      </c>
      <c r="U609" s="10" cm="1">
        <f t="array" ref="U609">(INDEX(V$403:V$594,MATCH(1,($A609=$A$403:$A$594)*($B609=$B$403:$B$594)*("Weekday"=$D$403:$D$594),0))*Weekdays+INDEX(V$403:V$594,MATCH(1,($A609=$A$403:$A$594)*($B609=$B$403:$B$594)*("Weekend"=$D$403:$D$594),0))*WeekendDays)/DaysPerWeek</f>
        <v>2.0760217426191559E-4</v>
      </c>
      <c r="V609" s="10" cm="1">
        <f t="array" ref="V609">(INDEX(W$403:W$594,MATCH(1,($A609=$A$403:$A$594)*($B609=$B$403:$B$594)*("Weekday"=$D$403:$D$594),0))*Weekdays+INDEX(W$403:W$594,MATCH(1,($A609=$A$403:$A$594)*($B609=$B$403:$B$594)*("Weekend"=$D$403:$D$594),0))*WeekendDays)/DaysPerWeek</f>
        <v>1.5523165428288769E-4</v>
      </c>
      <c r="W609" s="10" cm="1">
        <f t="array" ref="W609">(INDEX(X$403:X$594,MATCH(1,($A609=$A$403:$A$594)*($B609=$B$403:$B$594)*("Weekday"=$D$403:$D$594),0))*Weekdays+INDEX(X$403:X$594,MATCH(1,($A609=$A$403:$A$594)*($B609=$B$403:$B$594)*("Weekend"=$D$403:$D$594),0))*WeekendDays)/DaysPerWeek</f>
        <v>1.5523165428288769E-4</v>
      </c>
      <c r="X609" s="10" cm="1">
        <f t="array" ref="X609">(INDEX(Y$403:Y$594,MATCH(1,($A609=$A$403:$A$594)*($B609=$B$403:$B$594)*("Weekday"=$D$403:$D$594),0))*Weekdays+INDEX(Y$403:Y$594,MATCH(1,($A609=$A$403:$A$594)*($B609=$B$403:$B$594)*("Weekend"=$D$403:$D$594),0))*WeekendDays)/DaysPerWeek</f>
        <v>1.5523165428288769E-4</v>
      </c>
      <c r="Y609" s="27">
        <f t="shared" si="242"/>
        <v>2.3116116916943887E-3</v>
      </c>
      <c r="Z609" s="32" t="str">
        <f t="shared" si="241"/>
        <v/>
      </c>
    </row>
    <row r="610" spans="1:26" outlineLevel="1" x14ac:dyDescent="0.3">
      <c r="A610" t="s">
        <v>139</v>
      </c>
      <c r="B610" t="s">
        <v>74</v>
      </c>
      <c r="C610" s="6" t="s">
        <v>150</v>
      </c>
      <c r="D610" s="10">
        <v>0</v>
      </c>
      <c r="E610" s="10" cm="1">
        <f t="array" ref="E610">(INDEX(F$403:F$594,MATCH(1,($A610=$A$403:$A$594)*($B610=$B$403:$B$594)*("Weekday"=$D$403:$D$594),0))*Weekdays+INDEX(F$403:F$594,MATCH(1,($A610=$A$403:$A$594)*($B610=$B$403:$B$594)*("Weekend"=$D$403:$D$594),0))*WeekendDays)/DaysPerWeek</f>
        <v>6.4813914067668918E-5</v>
      </c>
      <c r="F610" s="10" cm="1">
        <f t="array" ref="F610">(INDEX(G$403:G$594,MATCH(1,($A610=$A$403:$A$594)*($B610=$B$403:$B$594)*("Weekday"=$D$403:$D$594),0))*Weekdays+INDEX(G$403:G$594,MATCH(1,($A610=$A$403:$A$594)*($B610=$B$403:$B$594)*("Weekend"=$D$403:$D$594),0))*WeekendDays)/DaysPerWeek</f>
        <v>0</v>
      </c>
      <c r="G610" s="10" cm="1">
        <f t="array" ref="G610">(INDEX(H$403:H$594,MATCH(1,($A610=$A$403:$A$594)*($B610=$B$403:$B$594)*("Weekday"=$D$403:$D$594),0))*Weekdays+INDEX(H$403:H$594,MATCH(1,($A610=$A$403:$A$594)*($B610=$B$403:$B$594)*("Weekend"=$D$403:$D$594),0))*WeekendDays)/DaysPerWeek</f>
        <v>8.0959683473524286E-5</v>
      </c>
      <c r="H610" s="10" cm="1">
        <f t="array" ref="H610">(INDEX(I$403:I$594,MATCH(1,($A610=$A$403:$A$594)*($B610=$B$403:$B$594)*("Weekday"=$D$403:$D$594),0))*Weekdays+INDEX(I$403:I$594,MATCH(1,($A610=$A$403:$A$594)*($B610=$B$403:$B$594)*("Weekend"=$D$403:$D$594),0))*WeekendDays)/DaysPerWeek</f>
        <v>8.0959683473524286E-5</v>
      </c>
      <c r="I610" s="10" cm="1">
        <f t="array" ref="I610">(INDEX(J$403:J$594,MATCH(1,($A610=$A$403:$A$594)*($B610=$B$403:$B$594)*("Weekday"=$D$403:$D$594),0))*Weekdays+INDEX(J$403:J$594,MATCH(1,($A610=$A$403:$A$594)*($B610=$B$403:$B$594)*("Weekend"=$D$403:$D$594),0))*WeekendDays)/DaysPerWeek</f>
        <v>8.0959683473524286E-5</v>
      </c>
      <c r="J610" s="10">
        <v>0</v>
      </c>
      <c r="K610" s="10" cm="1">
        <f t="array" ref="K610">(INDEX(L$403:L$594,MATCH(1,($A610=$A$403:$A$594)*($B610=$B$403:$B$594)*("Weekday"=$D$403:$D$594),0))*Weekdays+INDEX(L$403:L$594,MATCH(1,($A610=$A$403:$A$594)*($B610=$B$403:$B$594)*("Weekend"=$D$403:$D$594),0))*WeekendDays)/DaysPerWeek</f>
        <v>8.1362213830496683E-5</v>
      </c>
      <c r="L610" s="10" cm="1">
        <f t="array" ref="L610">(INDEX(M$403:M$594,MATCH(1,($A610=$A$403:$A$594)*($B610=$B$403:$B$594)*("Weekday"=$D$403:$D$594),0))*Weekdays+INDEX(M$403:M$594,MATCH(1,($A610=$A$403:$A$594)*($B610=$B$403:$B$594)*("Weekend"=$D$403:$D$594),0))*WeekendDays)/DaysPerWeek</f>
        <v>0</v>
      </c>
      <c r="M610" s="10" cm="1">
        <f t="array" ref="M610">(INDEX(N$403:N$594,MATCH(1,($A610=$A$403:$A$594)*($B610=$B$403:$B$594)*("Weekday"=$D$403:$D$594),0))*Weekdays+INDEX(N$403:N$594,MATCH(1,($A610=$A$403:$A$594)*($B610=$B$403:$B$594)*("Weekend"=$D$403:$D$594),0))*WeekendDays)/DaysPerWeek</f>
        <v>8.0959683473524286E-5</v>
      </c>
      <c r="N610" s="10" cm="1">
        <f t="array" ref="N610">(INDEX(O$403:O$594,MATCH(1,($A610=$A$403:$A$594)*($B610=$B$403:$B$594)*("Weekday"=$D$403:$D$594),0))*Weekdays+INDEX(O$403:O$594,MATCH(1,($A610=$A$403:$A$594)*($B610=$B$403:$B$594)*("Weekend"=$D$403:$D$594),0))*WeekendDays)/DaysPerWeek</f>
        <v>8.0959683473524286E-5</v>
      </c>
      <c r="O610" s="10" cm="1">
        <f t="array" ref="O610">(INDEX(P$403:P$594,MATCH(1,($A610=$A$403:$A$594)*($B610=$B$403:$B$594)*("Weekday"=$D$403:$D$594),0))*Weekdays+INDEX(P$403:P$594,MATCH(1,($A610=$A$403:$A$594)*($B610=$B$403:$B$594)*("Weekend"=$D$403:$D$594),0))*WeekendDays)/DaysPerWeek</f>
        <v>8.0959683473524286E-5</v>
      </c>
      <c r="P610" s="10" cm="1">
        <f t="array" ref="P610">(INDEX(Q$403:Q$594,MATCH(1,($A610=$A$403:$A$594)*($B610=$B$403:$B$594)*("Weekday"=$D$403:$D$594),0))*Weekdays+INDEX(Q$403:Q$594,MATCH(1,($A610=$A$403:$A$594)*($B610=$B$403:$B$594)*("Weekend"=$D$403:$D$594),0))*WeekendDays)/DaysPerWeek</f>
        <v>1.8388301105812778E-4</v>
      </c>
      <c r="Q610" s="10" cm="1">
        <f t="array" ref="Q610">(INDEX(R$403:R$594,MATCH(1,($A610=$A$403:$A$594)*($B610=$B$403:$B$594)*("Weekday"=$D$403:$D$594),0))*Weekdays+INDEX(R$403:R$594,MATCH(1,($A610=$A$403:$A$594)*($B610=$B$403:$B$594)*("Weekend"=$D$403:$D$594),0))*WeekendDays)/DaysPerWeek</f>
        <v>1.8388301105812778E-4</v>
      </c>
      <c r="R610" s="10" cm="1">
        <f t="array" ref="R610">(INDEX(S$403:S$594,MATCH(1,($A610=$A$403:$A$594)*($B610=$B$403:$B$594)*("Weekday"=$D$403:$D$594),0))*Weekdays+INDEX(S$403:S$594,MATCH(1,($A610=$A$403:$A$594)*($B610=$B$403:$B$594)*("Weekend"=$D$403:$D$594),0))*WeekendDays)/DaysPerWeek</f>
        <v>1.8388301105812778E-4</v>
      </c>
      <c r="S610" s="10" cm="1">
        <f t="array" ref="S610">(INDEX(T$403:T$594,MATCH(1,($A610=$A$403:$A$594)*($B610=$B$403:$B$594)*("Weekday"=$D$403:$D$594),0))*Weekdays+INDEX(T$403:T$594,MATCH(1,($A610=$A$403:$A$594)*($B610=$B$403:$B$594)*("Weekend"=$D$403:$D$594),0))*WeekendDays)/DaysPerWeek</f>
        <v>1.8388301105812778E-4</v>
      </c>
      <c r="T610" s="10" cm="1">
        <f t="array" ref="T610">(INDEX(U$403:U$594,MATCH(1,($A610=$A$403:$A$594)*($B610=$B$403:$B$594)*("Weekday"=$D$403:$D$594),0))*Weekdays+INDEX(U$403:U$594,MATCH(1,($A610=$A$403:$A$594)*($B610=$B$403:$B$594)*("Weekend"=$D$403:$D$594),0))*WeekendDays)/DaysPerWeek</f>
        <v>1.8388301105812778E-4</v>
      </c>
      <c r="U610" s="10" cm="1">
        <f t="array" ref="U610">(INDEX(V$403:V$594,MATCH(1,($A610=$A$403:$A$594)*($B610=$B$403:$B$594)*("Weekday"=$D$403:$D$594),0))*Weekdays+INDEX(V$403:V$594,MATCH(1,($A610=$A$403:$A$594)*($B610=$B$403:$B$594)*("Weekend"=$D$403:$D$594),0))*WeekendDays)/DaysPerWeek</f>
        <v>1.8388301105812778E-4</v>
      </c>
      <c r="V610" s="10" cm="1">
        <f t="array" ref="V610">(INDEX(W$403:W$594,MATCH(1,($A610=$A$403:$A$594)*($B610=$B$403:$B$594)*("Weekday"=$D$403:$D$594),0))*Weekdays+INDEX(W$403:W$594,MATCH(1,($A610=$A$403:$A$594)*($B610=$B$403:$B$594)*("Weekend"=$D$403:$D$594),0))*WeekendDays)/DaysPerWeek</f>
        <v>1.5507719492539228E-4</v>
      </c>
      <c r="W610" s="10" cm="1">
        <f t="array" ref="W610">(INDEX(X$403:X$594,MATCH(1,($A610=$A$403:$A$594)*($B610=$B$403:$B$594)*("Weekday"=$D$403:$D$594),0))*Weekdays+INDEX(X$403:X$594,MATCH(1,($A610=$A$403:$A$594)*($B610=$B$403:$B$594)*("Weekend"=$D$403:$D$594),0))*WeekendDays)/DaysPerWeek</f>
        <v>1.5507719492539228E-4</v>
      </c>
      <c r="X610" s="10" cm="1">
        <f t="array" ref="X610">(INDEX(Y$403:Y$594,MATCH(1,($A610=$A$403:$A$594)*($B610=$B$403:$B$594)*("Weekday"=$D$403:$D$594),0))*Weekdays+INDEX(Y$403:Y$594,MATCH(1,($A610=$A$403:$A$594)*($B610=$B$403:$B$594)*("Weekend"=$D$403:$D$594),0))*WeekendDays)/DaysPerWeek</f>
        <v>1.5507719492539228E-4</v>
      </c>
      <c r="Y610" s="27">
        <f t="shared" si="242"/>
        <v>2.200463879864255E-3</v>
      </c>
      <c r="Z610" s="32" t="str">
        <f t="shared" si="241"/>
        <v/>
      </c>
    </row>
    <row r="611" spans="1:26" outlineLevel="1" x14ac:dyDescent="0.3">
      <c r="A611" t="s">
        <v>139</v>
      </c>
      <c r="B611" t="s">
        <v>75</v>
      </c>
      <c r="C611" s="6" t="s">
        <v>151</v>
      </c>
      <c r="D611" s="10">
        <v>0</v>
      </c>
      <c r="E611" s="10" cm="1">
        <f t="array" ref="E611">(INDEX(F$403:F$594,MATCH(1,($A611=$A$403:$A$594)*($B611=$B$403:$B$594)*("Weekday"=$D$403:$D$594),0))*Weekdays+INDEX(F$403:F$594,MATCH(1,($A611=$A$403:$A$594)*($B611=$B$403:$B$594)*("Weekend"=$D$403:$D$594),0))*WeekendDays)/DaysPerWeek</f>
        <v>9.4695383881454145E-5</v>
      </c>
      <c r="F611" s="10" cm="1">
        <f t="array" ref="F611">(INDEX(G$403:G$594,MATCH(1,($A611=$A$403:$A$594)*($B611=$B$403:$B$594)*("Weekday"=$D$403:$D$594),0))*Weekdays+INDEX(G$403:G$594,MATCH(1,($A611=$A$403:$A$594)*($B611=$B$403:$B$594)*("Weekend"=$D$403:$D$594),0))*WeekendDays)/DaysPerWeek</f>
        <v>0</v>
      </c>
      <c r="G611" s="10" cm="1">
        <f t="array" ref="G611">(INDEX(H$403:H$594,MATCH(1,($A611=$A$403:$A$594)*($B611=$B$403:$B$594)*("Weekday"=$D$403:$D$594),0))*Weekdays+INDEX(H$403:H$594,MATCH(1,($A611=$A$403:$A$594)*($B611=$B$403:$B$594)*("Weekend"=$D$403:$D$594),0))*WeekendDays)/DaysPerWeek</f>
        <v>8.7706323762984633E-5</v>
      </c>
      <c r="H611" s="10" cm="1">
        <f t="array" ref="H611">(INDEX(I$403:I$594,MATCH(1,($A611=$A$403:$A$594)*($B611=$B$403:$B$594)*("Weekday"=$D$403:$D$594),0))*Weekdays+INDEX(I$403:I$594,MATCH(1,($A611=$A$403:$A$594)*($B611=$B$403:$B$594)*("Weekend"=$D$403:$D$594),0))*WeekendDays)/DaysPerWeek</f>
        <v>8.7706323762984633E-5</v>
      </c>
      <c r="I611" s="10" cm="1">
        <f t="array" ref="I611">(INDEX(J$403:J$594,MATCH(1,($A611=$A$403:$A$594)*($B611=$B$403:$B$594)*("Weekday"=$D$403:$D$594),0))*Weekdays+INDEX(J$403:J$594,MATCH(1,($A611=$A$403:$A$594)*($B611=$B$403:$B$594)*("Weekend"=$D$403:$D$594),0))*WeekendDays)/DaysPerWeek</f>
        <v>8.7706323762984633E-5</v>
      </c>
      <c r="J611" s="10">
        <v>0</v>
      </c>
      <c r="K611" s="10" cm="1">
        <f t="array" ref="K611">(INDEX(L$403:L$594,MATCH(1,($A611=$A$403:$A$594)*($B611=$B$403:$B$594)*("Weekday"=$D$403:$D$594),0))*Weekdays+INDEX(L$403:L$594,MATCH(1,($A611=$A$403:$A$594)*($B611=$B$403:$B$594)*("Weekend"=$D$403:$D$594),0))*WeekendDays)/DaysPerWeek</f>
        <v>8.916643571417029E-5</v>
      </c>
      <c r="L611" s="10" cm="1">
        <f t="array" ref="L611">(INDEX(M$403:M$594,MATCH(1,($A611=$A$403:$A$594)*($B611=$B$403:$B$594)*("Weekday"=$D$403:$D$594),0))*Weekdays+INDEX(M$403:M$594,MATCH(1,($A611=$A$403:$A$594)*($B611=$B$403:$B$594)*("Weekend"=$D$403:$D$594),0))*WeekendDays)/DaysPerWeek</f>
        <v>0</v>
      </c>
      <c r="M611" s="10" cm="1">
        <f t="array" ref="M611">(INDEX(N$403:N$594,MATCH(1,($A611=$A$403:$A$594)*($B611=$B$403:$B$594)*("Weekday"=$D$403:$D$594),0))*Weekdays+INDEX(N$403:N$594,MATCH(1,($A611=$A$403:$A$594)*($B611=$B$403:$B$594)*("Weekend"=$D$403:$D$594),0))*WeekendDays)/DaysPerWeek</f>
        <v>8.7706323762984633E-5</v>
      </c>
      <c r="N611" s="10" cm="1">
        <f t="array" ref="N611">(INDEX(O$403:O$594,MATCH(1,($A611=$A$403:$A$594)*($B611=$B$403:$B$594)*("Weekday"=$D$403:$D$594),0))*Weekdays+INDEX(O$403:O$594,MATCH(1,($A611=$A$403:$A$594)*($B611=$B$403:$B$594)*("Weekend"=$D$403:$D$594),0))*WeekendDays)/DaysPerWeek</f>
        <v>8.7706323762984633E-5</v>
      </c>
      <c r="O611" s="10" cm="1">
        <f t="array" ref="O611">(INDEX(P$403:P$594,MATCH(1,($A611=$A$403:$A$594)*($B611=$B$403:$B$594)*("Weekday"=$D$403:$D$594),0))*Weekdays+INDEX(P$403:P$594,MATCH(1,($A611=$A$403:$A$594)*($B611=$B$403:$B$594)*("Weekend"=$D$403:$D$594),0))*WeekendDays)/DaysPerWeek</f>
        <v>8.7706323762984633E-5</v>
      </c>
      <c r="P611" s="10" cm="1">
        <f t="array" ref="P611">(INDEX(Q$403:Q$594,MATCH(1,($A611=$A$403:$A$594)*($B611=$B$403:$B$594)*("Weekday"=$D$403:$D$594),0))*Weekdays+INDEX(Q$403:Q$594,MATCH(1,($A611=$A$403:$A$594)*($B611=$B$403:$B$594)*("Weekend"=$D$403:$D$594),0))*WeekendDays)/DaysPerWeek</f>
        <v>1.8420032427824532E-4</v>
      </c>
      <c r="Q611" s="10" cm="1">
        <f t="array" ref="Q611">(INDEX(R$403:R$594,MATCH(1,($A611=$A$403:$A$594)*($B611=$B$403:$B$594)*("Weekday"=$D$403:$D$594),0))*Weekdays+INDEX(R$403:R$594,MATCH(1,($A611=$A$403:$A$594)*($B611=$B$403:$B$594)*("Weekend"=$D$403:$D$594),0))*WeekendDays)/DaysPerWeek</f>
        <v>1.8420032427824532E-4</v>
      </c>
      <c r="R611" s="10" cm="1">
        <f t="array" ref="R611">(INDEX(S$403:S$594,MATCH(1,($A611=$A$403:$A$594)*($B611=$B$403:$B$594)*("Weekday"=$D$403:$D$594),0))*Weekdays+INDEX(S$403:S$594,MATCH(1,($A611=$A$403:$A$594)*($B611=$B$403:$B$594)*("Weekend"=$D$403:$D$594),0))*WeekendDays)/DaysPerWeek</f>
        <v>1.8420032427824532E-4</v>
      </c>
      <c r="S611" s="10" cm="1">
        <f t="array" ref="S611">(INDEX(T$403:T$594,MATCH(1,($A611=$A$403:$A$594)*($B611=$B$403:$B$594)*("Weekday"=$D$403:$D$594),0))*Weekdays+INDEX(T$403:T$594,MATCH(1,($A611=$A$403:$A$594)*($B611=$B$403:$B$594)*("Weekend"=$D$403:$D$594),0))*WeekendDays)/DaysPerWeek</f>
        <v>1.8420032427824532E-4</v>
      </c>
      <c r="T611" s="10" cm="1">
        <f t="array" ref="T611">(INDEX(U$403:U$594,MATCH(1,($A611=$A$403:$A$594)*($B611=$B$403:$B$594)*("Weekday"=$D$403:$D$594),0))*Weekdays+INDEX(U$403:U$594,MATCH(1,($A611=$A$403:$A$594)*($B611=$B$403:$B$594)*("Weekend"=$D$403:$D$594),0))*WeekendDays)/DaysPerWeek</f>
        <v>1.8420032427824532E-4</v>
      </c>
      <c r="U611" s="10" cm="1">
        <f t="array" ref="U611">(INDEX(V$403:V$594,MATCH(1,($A611=$A$403:$A$594)*($B611=$B$403:$B$594)*("Weekday"=$D$403:$D$594),0))*Weekdays+INDEX(V$403:V$594,MATCH(1,($A611=$A$403:$A$594)*($B611=$B$403:$B$594)*("Weekend"=$D$403:$D$594),0))*WeekendDays)/DaysPerWeek</f>
        <v>1.8420032427824532E-4</v>
      </c>
      <c r="V611" s="10" cm="1">
        <f t="array" ref="V611">(INDEX(W$403:W$594,MATCH(1,($A611=$A$403:$A$594)*($B611=$B$403:$B$594)*("Weekday"=$D$403:$D$594),0))*Weekdays+INDEX(W$403:W$594,MATCH(1,($A611=$A$403:$A$594)*($B611=$B$403:$B$594)*("Weekend"=$D$403:$D$594),0))*WeekendDays)/DaysPerWeek</f>
        <v>1.5476827621040148E-4</v>
      </c>
      <c r="W611" s="10" cm="1">
        <f t="array" ref="W611">(INDEX(X$403:X$594,MATCH(1,($A611=$A$403:$A$594)*($B611=$B$403:$B$594)*("Weekday"=$D$403:$D$594),0))*Weekdays+INDEX(X$403:X$594,MATCH(1,($A611=$A$403:$A$594)*($B611=$B$403:$B$594)*("Weekend"=$D$403:$D$594),0))*WeekendDays)/DaysPerWeek</f>
        <v>1.5476827621040148E-4</v>
      </c>
      <c r="X611" s="10" cm="1">
        <f t="array" ref="X611">(INDEX(Y$403:Y$594,MATCH(1,($A611=$A$403:$A$594)*($B611=$B$403:$B$594)*("Weekday"=$D$403:$D$594),0))*Weekdays+INDEX(Y$403:Y$594,MATCH(1,($A611=$A$403:$A$594)*($B611=$B$403:$B$594)*("Weekend"=$D$403:$D$594),0))*WeekendDays)/DaysPerWeek</f>
        <v>1.5476827621040148E-4</v>
      </c>
      <c r="Y611" s="27">
        <f t="shared" si="242"/>
        <v>2.2796065364742084E-3</v>
      </c>
      <c r="Z611" s="32" t="str">
        <f t="shared" si="241"/>
        <v/>
      </c>
    </row>
    <row r="612" spans="1:26" outlineLevel="1" x14ac:dyDescent="0.3">
      <c r="A612" t="s">
        <v>139</v>
      </c>
      <c r="B612" t="s">
        <v>76</v>
      </c>
      <c r="C612" s="6" t="s">
        <v>152</v>
      </c>
      <c r="D612" s="10">
        <v>0</v>
      </c>
      <c r="E612" s="10" cm="1">
        <f t="array" ref="E612">(INDEX(F$403:F$594,MATCH(1,($A612=$A$403:$A$594)*($B612=$B$403:$B$594)*("Weekday"=$D$403:$D$594),0))*Weekdays+INDEX(F$403:F$594,MATCH(1,($A612=$A$403:$A$594)*($B612=$B$403:$B$594)*("Weekend"=$D$403:$D$594),0))*WeekendDays)/DaysPerWeek</f>
        <v>1.2398850172823657E-4</v>
      </c>
      <c r="F612" s="10" cm="1">
        <f t="array" ref="F612">(INDEX(G$403:G$594,MATCH(1,($A612=$A$403:$A$594)*($B612=$B$403:$B$594)*("Weekday"=$D$403:$D$594),0))*Weekdays+INDEX(G$403:G$594,MATCH(1,($A612=$A$403:$A$594)*($B612=$B$403:$B$594)*("Weekend"=$D$403:$D$594),0))*WeekendDays)/DaysPerWeek</f>
        <v>0</v>
      </c>
      <c r="G612" s="10" cm="1">
        <f t="array" ref="G612">(INDEX(H$403:H$594,MATCH(1,($A612=$A$403:$A$594)*($B612=$B$403:$B$594)*("Weekday"=$D$403:$D$594),0))*Weekdays+INDEX(H$403:H$594,MATCH(1,($A612=$A$403:$A$594)*($B612=$B$403:$B$594)*("Weekend"=$D$403:$D$594),0))*WeekendDays)/DaysPerWeek</f>
        <v>9.1541256138046303E-5</v>
      </c>
      <c r="H612" s="10" cm="1">
        <f t="array" ref="H612">(INDEX(I$403:I$594,MATCH(1,($A612=$A$403:$A$594)*($B612=$B$403:$B$594)*("Weekday"=$D$403:$D$594),0))*Weekdays+INDEX(I$403:I$594,MATCH(1,($A612=$A$403:$A$594)*($B612=$B$403:$B$594)*("Weekend"=$D$403:$D$594),0))*WeekendDays)/DaysPerWeek</f>
        <v>9.1541256138046303E-5</v>
      </c>
      <c r="I612" s="10" cm="1">
        <f t="array" ref="I612">(INDEX(J$403:J$594,MATCH(1,($A612=$A$403:$A$594)*($B612=$B$403:$B$594)*("Weekday"=$D$403:$D$594),0))*Weekdays+INDEX(J$403:J$594,MATCH(1,($A612=$A$403:$A$594)*($B612=$B$403:$B$594)*("Weekend"=$D$403:$D$594),0))*WeekendDays)/DaysPerWeek</f>
        <v>9.1541256138046303E-5</v>
      </c>
      <c r="J612" s="10">
        <v>0</v>
      </c>
      <c r="K612" s="10" cm="1">
        <f t="array" ref="K612">(INDEX(L$403:L$594,MATCH(1,($A612=$A$403:$A$594)*($B612=$B$403:$B$594)*("Weekday"=$D$403:$D$594),0))*Weekdays+INDEX(L$403:L$594,MATCH(1,($A612=$A$403:$A$594)*($B612=$B$403:$B$594)*("Weekend"=$D$403:$D$594),0))*WeekendDays)/DaysPerWeek</f>
        <v>9.3716581095854549E-5</v>
      </c>
      <c r="L612" s="10" cm="1">
        <f t="array" ref="L612">(INDEX(M$403:M$594,MATCH(1,($A612=$A$403:$A$594)*($B612=$B$403:$B$594)*("Weekday"=$D$403:$D$594),0))*Weekdays+INDEX(M$403:M$594,MATCH(1,($A612=$A$403:$A$594)*($B612=$B$403:$B$594)*("Weekend"=$D$403:$D$594),0))*WeekendDays)/DaysPerWeek</f>
        <v>0</v>
      </c>
      <c r="M612" s="10" cm="1">
        <f t="array" ref="M612">(INDEX(N$403:N$594,MATCH(1,($A612=$A$403:$A$594)*($B612=$B$403:$B$594)*("Weekday"=$D$403:$D$594),0))*Weekdays+INDEX(N$403:N$594,MATCH(1,($A612=$A$403:$A$594)*($B612=$B$403:$B$594)*("Weekend"=$D$403:$D$594),0))*WeekendDays)/DaysPerWeek</f>
        <v>9.1541256138046303E-5</v>
      </c>
      <c r="N612" s="10" cm="1">
        <f t="array" ref="N612">(INDEX(O$403:O$594,MATCH(1,($A612=$A$403:$A$594)*($B612=$B$403:$B$594)*("Weekday"=$D$403:$D$594),0))*Weekdays+INDEX(O$403:O$594,MATCH(1,($A612=$A$403:$A$594)*($B612=$B$403:$B$594)*("Weekend"=$D$403:$D$594),0))*WeekendDays)/DaysPerWeek</f>
        <v>9.1541256138046303E-5</v>
      </c>
      <c r="O612" s="10" cm="1">
        <f t="array" ref="O612">(INDEX(P$403:P$594,MATCH(1,($A612=$A$403:$A$594)*($B612=$B$403:$B$594)*("Weekday"=$D$403:$D$594),0))*Weekdays+INDEX(P$403:P$594,MATCH(1,($A612=$A$403:$A$594)*($B612=$B$403:$B$594)*("Weekend"=$D$403:$D$594),0))*WeekendDays)/DaysPerWeek</f>
        <v>9.1541256138046303E-5</v>
      </c>
      <c r="P612" s="10" cm="1">
        <f t="array" ref="P612">(INDEX(Q$403:Q$594,MATCH(1,($A612=$A$403:$A$594)*($B612=$B$403:$B$594)*("Weekday"=$D$403:$D$594),0))*Weekdays+INDEX(Q$403:Q$594,MATCH(1,($A612=$A$403:$A$594)*($B612=$B$403:$B$594)*("Weekend"=$D$403:$D$594),0))*WeekendDays)/DaysPerWeek</f>
        <v>1.8245510156759872E-4</v>
      </c>
      <c r="Q612" s="10" cm="1">
        <f t="array" ref="Q612">(INDEX(R$403:R$594,MATCH(1,($A612=$A$403:$A$594)*($B612=$B$403:$B$594)*("Weekday"=$D$403:$D$594),0))*Weekdays+INDEX(R$403:R$594,MATCH(1,($A612=$A$403:$A$594)*($B612=$B$403:$B$594)*("Weekend"=$D$403:$D$594),0))*WeekendDays)/DaysPerWeek</f>
        <v>1.8245510156759872E-4</v>
      </c>
      <c r="R612" s="10" cm="1">
        <f t="array" ref="R612">(INDEX(S$403:S$594,MATCH(1,($A612=$A$403:$A$594)*($B612=$B$403:$B$594)*("Weekday"=$D$403:$D$594),0))*Weekdays+INDEX(S$403:S$594,MATCH(1,($A612=$A$403:$A$594)*($B612=$B$403:$B$594)*("Weekend"=$D$403:$D$594),0))*WeekendDays)/DaysPerWeek</f>
        <v>1.8245510156759872E-4</v>
      </c>
      <c r="S612" s="10" cm="1">
        <f t="array" ref="S612">(INDEX(T$403:T$594,MATCH(1,($A612=$A$403:$A$594)*($B612=$B$403:$B$594)*("Weekday"=$D$403:$D$594),0))*Weekdays+INDEX(T$403:T$594,MATCH(1,($A612=$A$403:$A$594)*($B612=$B$403:$B$594)*("Weekend"=$D$403:$D$594),0))*WeekendDays)/DaysPerWeek</f>
        <v>1.8245510156759872E-4</v>
      </c>
      <c r="T612" s="10" cm="1">
        <f t="array" ref="T612">(INDEX(U$403:U$594,MATCH(1,($A612=$A$403:$A$594)*($B612=$B$403:$B$594)*("Weekday"=$D$403:$D$594),0))*Weekdays+INDEX(U$403:U$594,MATCH(1,($A612=$A$403:$A$594)*($B612=$B$403:$B$594)*("Weekend"=$D$403:$D$594),0))*WeekendDays)/DaysPerWeek</f>
        <v>1.8245510156759872E-4</v>
      </c>
      <c r="U612" s="10" cm="1">
        <f t="array" ref="U612">(INDEX(V$403:V$594,MATCH(1,($A612=$A$403:$A$594)*($B612=$B$403:$B$594)*("Weekday"=$D$403:$D$594),0))*Weekdays+INDEX(V$403:V$594,MATCH(1,($A612=$A$403:$A$594)*($B612=$B$403:$B$594)*("Weekend"=$D$403:$D$594),0))*WeekendDays)/DaysPerWeek</f>
        <v>1.8245510156759872E-4</v>
      </c>
      <c r="V612" s="10" cm="1">
        <f t="array" ref="V612">(INDEX(W$403:W$594,MATCH(1,($A612=$A$403:$A$594)*($B612=$B$403:$B$594)*("Weekday"=$D$403:$D$594),0))*Weekdays+INDEX(W$403:W$594,MATCH(1,($A612=$A$403:$A$594)*($B612=$B$403:$B$594)*("Weekend"=$D$403:$D$594),0))*WeekendDays)/DaysPerWeek</f>
        <v>1.5461381685290607E-4</v>
      </c>
      <c r="W612" s="10" cm="1">
        <f t="array" ref="W612">(INDEX(X$403:X$594,MATCH(1,($A612=$A$403:$A$594)*($B612=$B$403:$B$594)*("Weekday"=$D$403:$D$594),0))*Weekdays+INDEX(X$403:X$594,MATCH(1,($A612=$A$403:$A$594)*($B612=$B$403:$B$594)*("Weekend"=$D$403:$D$594),0))*WeekendDays)/DaysPerWeek</f>
        <v>1.5461381685290607E-4</v>
      </c>
      <c r="X612" s="10" cm="1">
        <f t="array" ref="X612">(INDEX(Y$403:Y$594,MATCH(1,($A612=$A$403:$A$594)*($B612=$B$403:$B$594)*("Weekday"=$D$403:$D$594),0))*Weekdays+INDEX(Y$403:Y$594,MATCH(1,($A612=$A$403:$A$594)*($B612=$B$403:$B$594)*("Weekend"=$D$403:$D$594),0))*WeekendDays)/DaysPerWeek</f>
        <v>1.5461381685290607E-4</v>
      </c>
      <c r="Y612" s="27">
        <f t="shared" si="242"/>
        <v>2.3255246796166796E-3</v>
      </c>
      <c r="Z612" s="32" t="str">
        <f t="shared" si="241"/>
        <v/>
      </c>
    </row>
    <row r="613" spans="1:26" outlineLevel="1" x14ac:dyDescent="0.3">
      <c r="A613" t="s">
        <v>139</v>
      </c>
      <c r="B613" t="s">
        <v>77</v>
      </c>
      <c r="C613" s="6" t="s">
        <v>153</v>
      </c>
      <c r="D613" s="10">
        <v>0</v>
      </c>
      <c r="E613" s="10" cm="1">
        <f t="array" ref="E613">(INDEX(F$403:F$594,MATCH(1,($A613=$A$403:$A$594)*($B613=$B$403:$B$594)*("Weekday"=$D$403:$D$594),0))*Weekdays+INDEX(F$403:F$594,MATCH(1,($A613=$A$403:$A$594)*($B613=$B$403:$B$594)*("Weekend"=$D$403:$D$594),0))*WeekendDays)/DaysPerWeek</f>
        <v>1.4180576982949966E-4</v>
      </c>
      <c r="F613" s="10" cm="1">
        <f t="array" ref="F613">(INDEX(G$403:G$594,MATCH(1,($A613=$A$403:$A$594)*($B613=$B$403:$B$594)*("Weekday"=$D$403:$D$594),0))*Weekdays+INDEX(G$403:G$594,MATCH(1,($A613=$A$403:$A$594)*($B613=$B$403:$B$594)*("Weekend"=$D$403:$D$594),0))*WeekendDays)/DaysPerWeek</f>
        <v>0</v>
      </c>
      <c r="G613" s="10" cm="1">
        <f t="array" ref="G613">(INDEX(H$403:H$594,MATCH(1,($A613=$A$403:$A$594)*($B613=$B$403:$B$594)*("Weekday"=$D$403:$D$594),0))*Weekdays+INDEX(H$403:H$594,MATCH(1,($A613=$A$403:$A$594)*($B613=$B$403:$B$594)*("Weekend"=$D$403:$D$594),0))*WeekendDays)/DaysPerWeek</f>
        <v>9.2251428800094765E-5</v>
      </c>
      <c r="H613" s="10" cm="1">
        <f t="array" ref="H613">(INDEX(I$403:I$594,MATCH(1,($A613=$A$403:$A$594)*($B613=$B$403:$B$594)*("Weekday"=$D$403:$D$594),0))*Weekdays+INDEX(I$403:I$594,MATCH(1,($A613=$A$403:$A$594)*($B613=$B$403:$B$594)*("Weekend"=$D$403:$D$594),0))*WeekendDays)/DaysPerWeek</f>
        <v>9.2251428800094765E-5</v>
      </c>
      <c r="I613" s="10" cm="1">
        <f t="array" ref="I613">(INDEX(J$403:J$594,MATCH(1,($A613=$A$403:$A$594)*($B613=$B$403:$B$594)*("Weekday"=$D$403:$D$594),0))*Weekdays+INDEX(J$403:J$594,MATCH(1,($A613=$A$403:$A$594)*($B613=$B$403:$B$594)*("Weekend"=$D$403:$D$594),0))*WeekendDays)/DaysPerWeek</f>
        <v>9.2251428800094765E-5</v>
      </c>
      <c r="J613" s="10">
        <v>0</v>
      </c>
      <c r="K613" s="10" cm="1">
        <f t="array" ref="K613">(INDEX(L$403:L$594,MATCH(1,($A613=$A$403:$A$594)*($B613=$B$403:$B$594)*("Weekday"=$D$403:$D$594),0))*Weekdays+INDEX(L$403:L$594,MATCH(1,($A613=$A$403:$A$594)*($B613=$B$403:$B$594)*("Weekend"=$D$403:$D$594),0))*WeekendDays)/DaysPerWeek</f>
        <v>9.8780260227832365E-5</v>
      </c>
      <c r="L613" s="10" cm="1">
        <f t="array" ref="L613">(INDEX(M$403:M$594,MATCH(1,($A613=$A$403:$A$594)*($B613=$B$403:$B$594)*("Weekday"=$D$403:$D$594),0))*Weekdays+INDEX(M$403:M$594,MATCH(1,($A613=$A$403:$A$594)*($B613=$B$403:$B$594)*("Weekend"=$D$403:$D$594),0))*WeekendDays)/DaysPerWeek</f>
        <v>0</v>
      </c>
      <c r="M613" s="10" cm="1">
        <f t="array" ref="M613">(INDEX(N$403:N$594,MATCH(1,($A613=$A$403:$A$594)*($B613=$B$403:$B$594)*("Weekday"=$D$403:$D$594),0))*Weekdays+INDEX(N$403:N$594,MATCH(1,($A613=$A$403:$A$594)*($B613=$B$403:$B$594)*("Weekend"=$D$403:$D$594),0))*WeekendDays)/DaysPerWeek</f>
        <v>9.2251428800094765E-5</v>
      </c>
      <c r="N613" s="10" cm="1">
        <f t="array" ref="N613">(INDEX(O$403:O$594,MATCH(1,($A613=$A$403:$A$594)*($B613=$B$403:$B$594)*("Weekday"=$D$403:$D$594),0))*Weekdays+INDEX(O$403:O$594,MATCH(1,($A613=$A$403:$A$594)*($B613=$B$403:$B$594)*("Weekend"=$D$403:$D$594),0))*WeekendDays)/DaysPerWeek</f>
        <v>9.2251428800094765E-5</v>
      </c>
      <c r="O613" s="10" cm="1">
        <f t="array" ref="O613">(INDEX(P$403:P$594,MATCH(1,($A613=$A$403:$A$594)*($B613=$B$403:$B$594)*("Weekday"=$D$403:$D$594),0))*Weekdays+INDEX(P$403:P$594,MATCH(1,($A613=$A$403:$A$594)*($B613=$B$403:$B$594)*("Weekend"=$D$403:$D$594),0))*WeekendDays)/DaysPerWeek</f>
        <v>9.2251428800094765E-5</v>
      </c>
      <c r="P613" s="10" cm="1">
        <f t="array" ref="P613">(INDEX(Q$403:Q$594,MATCH(1,($A613=$A$403:$A$594)*($B613=$B$403:$B$594)*("Weekday"=$D$403:$D$594),0))*Weekdays+INDEX(Q$403:Q$594,MATCH(1,($A613=$A$403:$A$594)*($B613=$B$403:$B$594)*("Weekend"=$D$403:$D$594),0))*WeekendDays)/DaysPerWeek</f>
        <v>1.781713730960116E-4</v>
      </c>
      <c r="Q613" s="10" cm="1">
        <f t="array" ref="Q613">(INDEX(R$403:R$594,MATCH(1,($A613=$A$403:$A$594)*($B613=$B$403:$B$594)*("Weekday"=$D$403:$D$594),0))*Weekdays+INDEX(R$403:R$594,MATCH(1,($A613=$A$403:$A$594)*($B613=$B$403:$B$594)*("Weekend"=$D$403:$D$594),0))*WeekendDays)/DaysPerWeek</f>
        <v>1.781713730960116E-4</v>
      </c>
      <c r="R613" s="10" cm="1">
        <f t="array" ref="R613">(INDEX(S$403:S$594,MATCH(1,($A613=$A$403:$A$594)*($B613=$B$403:$B$594)*("Weekday"=$D$403:$D$594),0))*Weekdays+INDEX(S$403:S$594,MATCH(1,($A613=$A$403:$A$594)*($B613=$B$403:$B$594)*("Weekend"=$D$403:$D$594),0))*WeekendDays)/DaysPerWeek</f>
        <v>1.781713730960116E-4</v>
      </c>
      <c r="S613" s="10" cm="1">
        <f t="array" ref="S613">(INDEX(T$403:T$594,MATCH(1,($A613=$A$403:$A$594)*($B613=$B$403:$B$594)*("Weekday"=$D$403:$D$594),0))*Weekdays+INDEX(T$403:T$594,MATCH(1,($A613=$A$403:$A$594)*($B613=$B$403:$B$594)*("Weekend"=$D$403:$D$594),0))*WeekendDays)/DaysPerWeek</f>
        <v>1.781713730960116E-4</v>
      </c>
      <c r="T613" s="10" cm="1">
        <f t="array" ref="T613">(INDEX(U$403:U$594,MATCH(1,($A613=$A$403:$A$594)*($B613=$B$403:$B$594)*("Weekday"=$D$403:$D$594),0))*Weekdays+INDEX(U$403:U$594,MATCH(1,($A613=$A$403:$A$594)*($B613=$B$403:$B$594)*("Weekend"=$D$403:$D$594),0))*WeekendDays)/DaysPerWeek</f>
        <v>1.781713730960116E-4</v>
      </c>
      <c r="U613" s="10" cm="1">
        <f t="array" ref="U613">(INDEX(V$403:V$594,MATCH(1,($A613=$A$403:$A$594)*($B613=$B$403:$B$594)*("Weekday"=$D$403:$D$594),0))*Weekdays+INDEX(V$403:V$594,MATCH(1,($A613=$A$403:$A$594)*($B613=$B$403:$B$594)*("Weekend"=$D$403:$D$594),0))*WeekendDays)/DaysPerWeek</f>
        <v>1.781713730960116E-4</v>
      </c>
      <c r="V613" s="10" cm="1">
        <f t="array" ref="V613">(INDEX(W$403:W$594,MATCH(1,($A613=$A$403:$A$594)*($B613=$B$403:$B$594)*("Weekday"=$D$403:$D$594),0))*Weekdays+INDEX(W$403:W$594,MATCH(1,($A613=$A$403:$A$594)*($B613=$B$403:$B$594)*("Weekend"=$D$403:$D$594),0))*WeekendDays)/DaysPerWeek</f>
        <v>1.5469104653165379E-4</v>
      </c>
      <c r="W613" s="10" cm="1">
        <f t="array" ref="W613">(INDEX(X$403:X$594,MATCH(1,($A613=$A$403:$A$594)*($B613=$B$403:$B$594)*("Weekday"=$D$403:$D$594),0))*Weekdays+INDEX(X$403:X$594,MATCH(1,($A613=$A$403:$A$594)*($B613=$B$403:$B$594)*("Weekend"=$D$403:$D$594),0))*WeekendDays)/DaysPerWeek</f>
        <v>1.5469104653165379E-4</v>
      </c>
      <c r="X613" s="10" cm="1">
        <f t="array" ref="X613">(INDEX(Y$403:Y$594,MATCH(1,($A613=$A$403:$A$594)*($B613=$B$403:$B$594)*("Weekday"=$D$403:$D$594),0))*Weekdays+INDEX(Y$403:Y$594,MATCH(1,($A613=$A$403:$A$594)*($B613=$B$403:$B$594)*("Weekend"=$D$403:$D$594),0))*WeekendDays)/DaysPerWeek</f>
        <v>1.5469104653165379E-4</v>
      </c>
      <c r="Y613" s="27">
        <f t="shared" si="242"/>
        <v>2.3271959810289311E-3</v>
      </c>
      <c r="Z613" s="32" t="str">
        <f t="shared" si="241"/>
        <v/>
      </c>
    </row>
    <row r="614" spans="1:26" outlineLevel="1" x14ac:dyDescent="0.3">
      <c r="A614" t="s">
        <v>139</v>
      </c>
      <c r="B614" t="s">
        <v>78</v>
      </c>
      <c r="C614" s="6" t="s">
        <v>154</v>
      </c>
      <c r="D614" s="10">
        <v>0</v>
      </c>
      <c r="E614" s="10" cm="1">
        <f t="array" ref="E614">(INDEX(F$403:F$594,MATCH(1,($A614=$A$403:$A$594)*($B614=$B$403:$B$594)*("Weekday"=$D$403:$D$594),0))*Weekdays+INDEX(F$403:F$594,MATCH(1,($A614=$A$403:$A$594)*($B614=$B$403:$B$594)*("Weekend"=$D$403:$D$594),0))*WeekendDays)/DaysPerWeek</f>
        <v>1.5078619867130567E-4</v>
      </c>
      <c r="F614" s="10" cm="1">
        <f t="array" ref="F614">(INDEX(G$403:G$594,MATCH(1,($A614=$A$403:$A$594)*($B614=$B$403:$B$594)*("Weekday"=$D$403:$D$594),0))*Weekdays+INDEX(G$403:G$594,MATCH(1,($A614=$A$403:$A$594)*($B614=$B$403:$B$594)*("Weekend"=$D$403:$D$594),0))*WeekendDays)/DaysPerWeek</f>
        <v>0</v>
      </c>
      <c r="G614" s="10" cm="1">
        <f t="array" ref="G614">(INDEX(H$403:H$594,MATCH(1,($A614=$A$403:$A$594)*($B614=$B$403:$B$594)*("Weekday"=$D$403:$D$594),0))*Weekdays+INDEX(H$403:H$594,MATCH(1,($A614=$A$403:$A$594)*($B614=$B$403:$B$594)*("Weekend"=$D$403:$D$594),0))*WeekendDays)/DaysPerWeek</f>
        <v>9.3387705059372301E-5</v>
      </c>
      <c r="H614" s="10" cm="1">
        <f t="array" ref="H614">(INDEX(I$403:I$594,MATCH(1,($A614=$A$403:$A$594)*($B614=$B$403:$B$594)*("Weekday"=$D$403:$D$594),0))*Weekdays+INDEX(I$403:I$594,MATCH(1,($A614=$A$403:$A$594)*($B614=$B$403:$B$594)*("Weekend"=$D$403:$D$594),0))*WeekendDays)/DaysPerWeek</f>
        <v>9.3387705059372301E-5</v>
      </c>
      <c r="I614" s="10" cm="1">
        <f t="array" ref="I614">(INDEX(J$403:J$594,MATCH(1,($A614=$A$403:$A$594)*($B614=$B$403:$B$594)*("Weekday"=$D$403:$D$594),0))*Weekdays+INDEX(J$403:J$594,MATCH(1,($A614=$A$403:$A$594)*($B614=$B$403:$B$594)*("Weekend"=$D$403:$D$594),0))*WeekendDays)/DaysPerWeek</f>
        <v>9.3387705059372301E-5</v>
      </c>
      <c r="J614" s="10">
        <v>0</v>
      </c>
      <c r="K614" s="10" cm="1">
        <f t="array" ref="K614">(INDEX(L$403:L$594,MATCH(1,($A614=$A$403:$A$594)*($B614=$B$403:$B$594)*("Weekday"=$D$403:$D$594),0))*Weekdays+INDEX(L$403:L$594,MATCH(1,($A614=$A$403:$A$594)*($B614=$B$403:$B$594)*("Weekend"=$D$403:$D$594),0))*WeekendDays)/DaysPerWeek</f>
        <v>1.0105076371834969E-4</v>
      </c>
      <c r="L614" s="10" cm="1">
        <f t="array" ref="L614">(INDEX(M$403:M$594,MATCH(1,($A614=$A$403:$A$594)*($B614=$B$403:$B$594)*("Weekday"=$D$403:$D$594),0))*Weekdays+INDEX(M$403:M$594,MATCH(1,($A614=$A$403:$A$594)*($B614=$B$403:$B$594)*("Weekend"=$D$403:$D$594),0))*WeekendDays)/DaysPerWeek</f>
        <v>0</v>
      </c>
      <c r="M614" s="10" cm="1">
        <f t="array" ref="M614">(INDEX(N$403:N$594,MATCH(1,($A614=$A$403:$A$594)*($B614=$B$403:$B$594)*("Weekday"=$D$403:$D$594),0))*Weekdays+INDEX(N$403:N$594,MATCH(1,($A614=$A$403:$A$594)*($B614=$B$403:$B$594)*("Weekend"=$D$403:$D$594),0))*WeekendDays)/DaysPerWeek</f>
        <v>9.3387705059372301E-5</v>
      </c>
      <c r="N614" s="10" cm="1">
        <f t="array" ref="N614">(INDEX(O$403:O$594,MATCH(1,($A614=$A$403:$A$594)*($B614=$B$403:$B$594)*("Weekday"=$D$403:$D$594),0))*Weekdays+INDEX(O$403:O$594,MATCH(1,($A614=$A$403:$A$594)*($B614=$B$403:$B$594)*("Weekend"=$D$403:$D$594),0))*WeekendDays)/DaysPerWeek</f>
        <v>9.3387705059372301E-5</v>
      </c>
      <c r="O614" s="10" cm="1">
        <f t="array" ref="O614">(INDEX(P$403:P$594,MATCH(1,($A614=$A$403:$A$594)*($B614=$B$403:$B$594)*("Weekday"=$D$403:$D$594),0))*Weekdays+INDEX(P$403:P$594,MATCH(1,($A614=$A$403:$A$594)*($B614=$B$403:$B$594)*("Weekend"=$D$403:$D$594),0))*WeekendDays)/DaysPerWeek</f>
        <v>9.3387705059372301E-5</v>
      </c>
      <c r="P614" s="10" cm="1">
        <f t="array" ref="P614">(INDEX(Q$403:Q$594,MATCH(1,($A614=$A$403:$A$594)*($B614=$B$403:$B$594)*("Weekday"=$D$403:$D$594),0))*Weekdays+INDEX(Q$403:Q$594,MATCH(1,($A614=$A$403:$A$594)*($B614=$B$403:$B$594)*("Weekend"=$D$403:$D$594),0))*WeekendDays)/DaysPerWeek</f>
        <v>1.7785405987589406E-4</v>
      </c>
      <c r="Q614" s="10" cm="1">
        <f t="array" ref="Q614">(INDEX(R$403:R$594,MATCH(1,($A614=$A$403:$A$594)*($B614=$B$403:$B$594)*("Weekday"=$D$403:$D$594),0))*Weekdays+INDEX(R$403:R$594,MATCH(1,($A614=$A$403:$A$594)*($B614=$B$403:$B$594)*("Weekend"=$D$403:$D$594),0))*WeekendDays)/DaysPerWeek</f>
        <v>1.7785405987589406E-4</v>
      </c>
      <c r="R614" s="10" cm="1">
        <f t="array" ref="R614">(INDEX(S$403:S$594,MATCH(1,($A614=$A$403:$A$594)*($B614=$B$403:$B$594)*("Weekday"=$D$403:$D$594),0))*Weekdays+INDEX(S$403:S$594,MATCH(1,($A614=$A$403:$A$594)*($B614=$B$403:$B$594)*("Weekend"=$D$403:$D$594),0))*WeekendDays)/DaysPerWeek</f>
        <v>1.7785405987589406E-4</v>
      </c>
      <c r="S614" s="10" cm="1">
        <f t="array" ref="S614">(INDEX(T$403:T$594,MATCH(1,($A614=$A$403:$A$594)*($B614=$B$403:$B$594)*("Weekday"=$D$403:$D$594),0))*Weekdays+INDEX(T$403:T$594,MATCH(1,($A614=$A$403:$A$594)*($B614=$B$403:$B$594)*("Weekend"=$D$403:$D$594),0))*WeekendDays)/DaysPerWeek</f>
        <v>1.7785405987589406E-4</v>
      </c>
      <c r="T614" s="10" cm="1">
        <f t="array" ref="T614">(INDEX(U$403:U$594,MATCH(1,($A614=$A$403:$A$594)*($B614=$B$403:$B$594)*("Weekday"=$D$403:$D$594),0))*Weekdays+INDEX(U$403:U$594,MATCH(1,($A614=$A$403:$A$594)*($B614=$B$403:$B$594)*("Weekend"=$D$403:$D$594),0))*WeekendDays)/DaysPerWeek</f>
        <v>1.7785405987589406E-4</v>
      </c>
      <c r="U614" s="10" cm="1">
        <f t="array" ref="U614">(INDEX(V$403:V$594,MATCH(1,($A614=$A$403:$A$594)*($B614=$B$403:$B$594)*("Weekday"=$D$403:$D$594),0))*Weekdays+INDEX(V$403:V$594,MATCH(1,($A614=$A$403:$A$594)*($B614=$B$403:$B$594)*("Weekend"=$D$403:$D$594),0))*WeekendDays)/DaysPerWeek</f>
        <v>1.7785405987589406E-4</v>
      </c>
      <c r="V614" s="10" cm="1">
        <f t="array" ref="V614">(INDEX(W$403:W$594,MATCH(1,($A614=$A$403:$A$594)*($B614=$B$403:$B$594)*("Weekday"=$D$403:$D$594),0))*Weekdays+INDEX(W$403:W$594,MATCH(1,($A614=$A$403:$A$594)*($B614=$B$403:$B$594)*("Weekend"=$D$403:$D$594),0))*WeekendDays)/DaysPerWeek</f>
        <v>1.5476827621040148E-4</v>
      </c>
      <c r="W614" s="10" cm="1">
        <f t="array" ref="W614">(INDEX(X$403:X$594,MATCH(1,($A614=$A$403:$A$594)*($B614=$B$403:$B$594)*("Weekday"=$D$403:$D$594),0))*Weekdays+INDEX(X$403:X$594,MATCH(1,($A614=$A$403:$A$594)*($B614=$B$403:$B$594)*("Weekend"=$D$403:$D$594),0))*WeekendDays)/DaysPerWeek</f>
        <v>1.5476827621040148E-4</v>
      </c>
      <c r="X614" s="10" cm="1">
        <f t="array" ref="X614">(INDEX(Y$403:Y$594,MATCH(1,($A614=$A$403:$A$594)*($B614=$B$403:$B$594)*("Weekday"=$D$403:$D$594),0))*Weekdays+INDEX(Y$403:Y$594,MATCH(1,($A614=$A$403:$A$594)*($B614=$B$403:$B$594)*("Weekend"=$D$403:$D$594),0))*WeekendDays)/DaysPerWeek</f>
        <v>1.5476827621040148E-4</v>
      </c>
      <c r="Y614" s="27">
        <f t="shared" si="242"/>
        <v>2.3435923806324577E-3</v>
      </c>
      <c r="Z614" s="32" t="str">
        <f t="shared" si="241"/>
        <v/>
      </c>
    </row>
    <row r="615" spans="1:26" outlineLevel="1" x14ac:dyDescent="0.3">
      <c r="A615" t="s">
        <v>139</v>
      </c>
      <c r="B615" t="s">
        <v>79</v>
      </c>
      <c r="C615" s="6" t="s">
        <v>155</v>
      </c>
      <c r="D615" s="10">
        <v>0</v>
      </c>
      <c r="E615" s="10" cm="1">
        <f t="array" ref="E615">(INDEX(F$403:F$594,MATCH(1,($A615=$A$403:$A$594)*($B615=$B$403:$B$594)*("Weekday"=$D$403:$D$594),0))*Weekdays+INDEX(F$403:F$594,MATCH(1,($A615=$A$403:$A$594)*($B615=$B$403:$B$594)*("Weekend"=$D$403:$D$594),0))*WeekendDays)/DaysPerWeek</f>
        <v>1.5365138406390661E-4</v>
      </c>
      <c r="F615" s="10" cm="1">
        <f t="array" ref="F615">(INDEX(G$403:G$594,MATCH(1,($A615=$A$403:$A$594)*($B615=$B$403:$B$594)*("Weekday"=$D$403:$D$594),0))*Weekdays+INDEX(G$403:G$594,MATCH(1,($A615=$A$403:$A$594)*($B615=$B$403:$B$594)*("Weekend"=$D$403:$D$594),0))*WeekendDays)/DaysPerWeek</f>
        <v>0</v>
      </c>
      <c r="G615" s="10" cm="1">
        <f t="array" ref="G615">(INDEX(H$403:H$594,MATCH(1,($A615=$A$403:$A$594)*($B615=$B$403:$B$594)*("Weekday"=$D$403:$D$594),0))*Weekdays+INDEX(H$403:H$594,MATCH(1,($A615=$A$403:$A$594)*($B615=$B$403:$B$594)*("Weekend"=$D$403:$D$594),0))*WeekendDays)/DaysPerWeek</f>
        <v>9.7861792830277602E-5</v>
      </c>
      <c r="H615" s="10" cm="1">
        <f t="array" ref="H615">(INDEX(I$403:I$594,MATCH(1,($A615=$A$403:$A$594)*($B615=$B$403:$B$594)*("Weekday"=$D$403:$D$594),0))*Weekdays+INDEX(I$403:I$594,MATCH(1,($A615=$A$403:$A$594)*($B615=$B$403:$B$594)*("Weekend"=$D$403:$D$594),0))*WeekendDays)/DaysPerWeek</f>
        <v>9.7861792830277602E-5</v>
      </c>
      <c r="I615" s="10" cm="1">
        <f t="array" ref="I615">(INDEX(J$403:J$594,MATCH(1,($A615=$A$403:$A$594)*($B615=$B$403:$B$594)*("Weekday"=$D$403:$D$594),0))*Weekdays+INDEX(J$403:J$594,MATCH(1,($A615=$A$403:$A$594)*($B615=$B$403:$B$594)*("Weekend"=$D$403:$D$594),0))*WeekendDays)/DaysPerWeek</f>
        <v>9.7861792830277602E-5</v>
      </c>
      <c r="J615" s="10">
        <v>0</v>
      </c>
      <c r="K615" s="10" cm="1">
        <f t="array" ref="K615">(INDEX(L$403:L$594,MATCH(1,($A615=$A$403:$A$594)*($B615=$B$403:$B$594)*("Weekday"=$D$403:$D$594),0))*Weekdays+INDEX(L$403:L$594,MATCH(1,($A615=$A$403:$A$594)*($B615=$B$403:$B$594)*("Weekend"=$D$403:$D$594),0))*WeekendDays)/DaysPerWeek</f>
        <v>9.9846132569865749E-5</v>
      </c>
      <c r="L615" s="10" cm="1">
        <f t="array" ref="L615">(INDEX(M$403:M$594,MATCH(1,($A615=$A$403:$A$594)*($B615=$B$403:$B$594)*("Weekday"=$D$403:$D$594),0))*Weekdays+INDEX(M$403:M$594,MATCH(1,($A615=$A$403:$A$594)*($B615=$B$403:$B$594)*("Weekend"=$D$403:$D$594),0))*WeekendDays)/DaysPerWeek</f>
        <v>0</v>
      </c>
      <c r="M615" s="10" cm="1">
        <f t="array" ref="M615">(INDEX(N$403:N$594,MATCH(1,($A615=$A$403:$A$594)*($B615=$B$403:$B$594)*("Weekday"=$D$403:$D$594),0))*Weekdays+INDEX(N$403:N$594,MATCH(1,($A615=$A$403:$A$594)*($B615=$B$403:$B$594)*("Weekend"=$D$403:$D$594),0))*WeekendDays)/DaysPerWeek</f>
        <v>9.7861792830277602E-5</v>
      </c>
      <c r="N615" s="10" cm="1">
        <f t="array" ref="N615">(INDEX(O$403:O$594,MATCH(1,($A615=$A$403:$A$594)*($B615=$B$403:$B$594)*("Weekday"=$D$403:$D$594),0))*Weekdays+INDEX(O$403:O$594,MATCH(1,($A615=$A$403:$A$594)*($B615=$B$403:$B$594)*("Weekend"=$D$403:$D$594),0))*WeekendDays)/DaysPerWeek</f>
        <v>9.7861792830277602E-5</v>
      </c>
      <c r="O615" s="10" cm="1">
        <f t="array" ref="O615">(INDEX(P$403:P$594,MATCH(1,($A615=$A$403:$A$594)*($B615=$B$403:$B$594)*("Weekday"=$D$403:$D$594),0))*Weekdays+INDEX(P$403:P$594,MATCH(1,($A615=$A$403:$A$594)*($B615=$B$403:$B$594)*("Weekend"=$D$403:$D$594),0))*WeekendDays)/DaysPerWeek</f>
        <v>9.7861792830277602E-5</v>
      </c>
      <c r="P615" s="10" cm="1">
        <f t="array" ref="P615">(INDEX(Q$403:Q$594,MATCH(1,($A615=$A$403:$A$594)*($B615=$B$403:$B$594)*("Weekday"=$D$403:$D$594),0))*Weekdays+INDEX(Q$403:Q$594,MATCH(1,($A615=$A$403:$A$594)*($B615=$B$403:$B$594)*("Weekend"=$D$403:$D$594),0))*WeekendDays)/DaysPerWeek</f>
        <v>2.0276314765512278E-4</v>
      </c>
      <c r="Q615" s="10" cm="1">
        <f t="array" ref="Q615">(INDEX(R$403:R$594,MATCH(1,($A615=$A$403:$A$594)*($B615=$B$403:$B$594)*("Weekday"=$D$403:$D$594),0))*Weekdays+INDEX(R$403:R$594,MATCH(1,($A615=$A$403:$A$594)*($B615=$B$403:$B$594)*("Weekend"=$D$403:$D$594),0))*WeekendDays)/DaysPerWeek</f>
        <v>2.0276314765512278E-4</v>
      </c>
      <c r="R615" s="10" cm="1">
        <f t="array" ref="R615">(INDEX(S$403:S$594,MATCH(1,($A615=$A$403:$A$594)*($B615=$B$403:$B$594)*("Weekday"=$D$403:$D$594),0))*Weekdays+INDEX(S$403:S$594,MATCH(1,($A615=$A$403:$A$594)*($B615=$B$403:$B$594)*("Weekend"=$D$403:$D$594),0))*WeekendDays)/DaysPerWeek</f>
        <v>2.0276314765512278E-4</v>
      </c>
      <c r="S615" s="10" cm="1">
        <f t="array" ref="S615">(INDEX(T$403:T$594,MATCH(1,($A615=$A$403:$A$594)*($B615=$B$403:$B$594)*("Weekday"=$D$403:$D$594),0))*Weekdays+INDEX(T$403:T$594,MATCH(1,($A615=$A$403:$A$594)*($B615=$B$403:$B$594)*("Weekend"=$D$403:$D$594),0))*WeekendDays)/DaysPerWeek</f>
        <v>2.0276314765512278E-4</v>
      </c>
      <c r="T615" s="10" cm="1">
        <f t="array" ref="T615">(INDEX(U$403:U$594,MATCH(1,($A615=$A$403:$A$594)*($B615=$B$403:$B$594)*("Weekday"=$D$403:$D$594),0))*Weekdays+INDEX(U$403:U$594,MATCH(1,($A615=$A$403:$A$594)*($B615=$B$403:$B$594)*("Weekend"=$D$403:$D$594),0))*WeekendDays)/DaysPerWeek</f>
        <v>2.0276314765512278E-4</v>
      </c>
      <c r="U615" s="10" cm="1">
        <f t="array" ref="U615">(INDEX(V$403:V$594,MATCH(1,($A615=$A$403:$A$594)*($B615=$B$403:$B$594)*("Weekday"=$D$403:$D$594),0))*Weekdays+INDEX(V$403:V$594,MATCH(1,($A615=$A$403:$A$594)*($B615=$B$403:$B$594)*("Weekend"=$D$403:$D$594),0))*WeekendDays)/DaysPerWeek</f>
        <v>2.0276314765512278E-4</v>
      </c>
      <c r="V615" s="10" cm="1">
        <f t="array" ref="V615">(INDEX(W$403:W$594,MATCH(1,($A615=$A$403:$A$594)*($B615=$B$403:$B$594)*("Weekday"=$D$403:$D$594),0))*Weekdays+INDEX(W$403:W$594,MATCH(1,($A615=$A$403:$A$594)*($B615=$B$403:$B$594)*("Weekend"=$D$403:$D$594),0))*WeekendDays)/DaysPerWeek</f>
        <v>1.5554057299787852E-4</v>
      </c>
      <c r="W615" s="10" cm="1">
        <f t="array" ref="W615">(INDEX(X$403:X$594,MATCH(1,($A615=$A$403:$A$594)*($B615=$B$403:$B$594)*("Weekday"=$D$403:$D$594),0))*Weekdays+INDEX(X$403:X$594,MATCH(1,($A615=$A$403:$A$594)*($B615=$B$403:$B$594)*("Weekend"=$D$403:$D$594),0))*WeekendDays)/DaysPerWeek</f>
        <v>1.5554057299787852E-4</v>
      </c>
      <c r="X615" s="10" cm="1">
        <f t="array" ref="X615">(INDEX(Y$403:Y$594,MATCH(1,($A615=$A$403:$A$594)*($B615=$B$403:$B$594)*("Weekday"=$D$403:$D$594),0))*Weekdays+INDEX(Y$403:Y$594,MATCH(1,($A615=$A$403:$A$594)*($B615=$B$403:$B$594)*("Weekend"=$D$403:$D$594),0))*WeekendDays)/DaysPerWeek</f>
        <v>1.5554057299787852E-4</v>
      </c>
      <c r="Y615" s="27">
        <f t="shared" si="242"/>
        <v>2.5238688785398098E-3</v>
      </c>
      <c r="Z615" s="32" t="str">
        <f t="shared" si="241"/>
        <v/>
      </c>
    </row>
    <row r="616" spans="1:26" outlineLevel="1" x14ac:dyDescent="0.3">
      <c r="A616" t="s">
        <v>139</v>
      </c>
      <c r="B616" t="s">
        <v>80</v>
      </c>
      <c r="C616" s="6" t="s">
        <v>156</v>
      </c>
      <c r="D616" s="10">
        <v>0</v>
      </c>
      <c r="E616" s="10" cm="1">
        <f t="array" ref="E616">(INDEX(F$403:F$594,MATCH(1,($A616=$A$403:$A$594)*($B616=$B$403:$B$594)*("Weekday"=$D$403:$D$594),0))*Weekdays+INDEX(F$403:F$594,MATCH(1,($A616=$A$403:$A$594)*($B616=$B$403:$B$594)*("Weekend"=$D$403:$D$594),0))*WeekendDays)/DaysPerWeek</f>
        <v>1.4589258835404615E-4</v>
      </c>
      <c r="F616" s="10" cm="1">
        <f t="array" ref="F616">(INDEX(G$403:G$594,MATCH(1,($A616=$A$403:$A$594)*($B616=$B$403:$B$594)*("Weekday"=$D$403:$D$594),0))*Weekdays+INDEX(G$403:G$594,MATCH(1,($A616=$A$403:$A$594)*($B616=$B$403:$B$594)*("Weekend"=$D$403:$D$594),0))*WeekendDays)/DaysPerWeek</f>
        <v>0</v>
      </c>
      <c r="G616" s="10" cm="1">
        <f t="array" ref="G616">(INDEX(H$403:H$594,MATCH(1,($A616=$A$403:$A$594)*($B616=$B$403:$B$594)*("Weekday"=$D$403:$D$594),0))*Weekdays+INDEX(H$403:H$594,MATCH(1,($A616=$A$403:$A$594)*($B616=$B$403:$B$594)*("Weekend"=$D$403:$D$594),0))*WeekendDays)/DaysPerWeek</f>
        <v>1.4224758420830624E-4</v>
      </c>
      <c r="H616" s="10" cm="1">
        <f t="array" ref="H616">(INDEX(I$403:I$594,MATCH(1,($A616=$A$403:$A$594)*($B616=$B$403:$B$594)*("Weekday"=$D$403:$D$594),0))*Weekdays+INDEX(I$403:I$594,MATCH(1,($A616=$A$403:$A$594)*($B616=$B$403:$B$594)*("Weekend"=$D$403:$D$594),0))*WeekendDays)/DaysPerWeek</f>
        <v>1.4224758420830624E-4</v>
      </c>
      <c r="I616" s="10" cm="1">
        <f t="array" ref="I616">(INDEX(J$403:J$594,MATCH(1,($A616=$A$403:$A$594)*($B616=$B$403:$B$594)*("Weekday"=$D$403:$D$594),0))*Weekdays+INDEX(J$403:J$594,MATCH(1,($A616=$A$403:$A$594)*($B616=$B$403:$B$594)*("Weekend"=$D$403:$D$594),0))*WeekendDays)/DaysPerWeek</f>
        <v>1.4224758420830624E-4</v>
      </c>
      <c r="J616" s="10">
        <v>0</v>
      </c>
      <c r="K616" s="10" cm="1">
        <f t="array" ref="K616">(INDEX(L$403:L$594,MATCH(1,($A616=$A$403:$A$594)*($B616=$B$403:$B$594)*("Weekday"=$D$403:$D$594),0))*Weekdays+INDEX(L$403:L$594,MATCH(1,($A616=$A$403:$A$594)*($B616=$B$403:$B$594)*("Weekend"=$D$403:$D$594),0))*WeekendDays)/DaysPerWeek</f>
        <v>9.4721245390449297E-5</v>
      </c>
      <c r="L616" s="10" cm="1">
        <f t="array" ref="L616">(INDEX(M$403:M$594,MATCH(1,($A616=$A$403:$A$594)*($B616=$B$403:$B$594)*("Weekday"=$D$403:$D$594),0))*Weekdays+INDEX(M$403:M$594,MATCH(1,($A616=$A$403:$A$594)*($B616=$B$403:$B$594)*("Weekend"=$D$403:$D$594),0))*WeekendDays)/DaysPerWeek</f>
        <v>0</v>
      </c>
      <c r="M616" s="10" cm="1">
        <f t="array" ref="M616">(INDEX(N$403:N$594,MATCH(1,($A616=$A$403:$A$594)*($B616=$B$403:$B$594)*("Weekday"=$D$403:$D$594),0))*Weekdays+INDEX(N$403:N$594,MATCH(1,($A616=$A$403:$A$594)*($B616=$B$403:$B$594)*("Weekend"=$D$403:$D$594),0))*WeekendDays)/DaysPerWeek</f>
        <v>1.4224758420830624E-4</v>
      </c>
      <c r="N616" s="10" cm="1">
        <f t="array" ref="N616">(INDEX(O$403:O$594,MATCH(1,($A616=$A$403:$A$594)*($B616=$B$403:$B$594)*("Weekday"=$D$403:$D$594),0))*Weekdays+INDEX(O$403:O$594,MATCH(1,($A616=$A$403:$A$594)*($B616=$B$403:$B$594)*("Weekend"=$D$403:$D$594),0))*WeekendDays)/DaysPerWeek</f>
        <v>1.4224758420830624E-4</v>
      </c>
      <c r="O616" s="10" cm="1">
        <f t="array" ref="O616">(INDEX(P$403:P$594,MATCH(1,($A616=$A$403:$A$594)*($B616=$B$403:$B$594)*("Weekday"=$D$403:$D$594),0))*Weekdays+INDEX(P$403:P$594,MATCH(1,($A616=$A$403:$A$594)*($B616=$B$403:$B$594)*("Weekend"=$D$403:$D$594),0))*WeekendDays)/DaysPerWeek</f>
        <v>1.4224758420830624E-4</v>
      </c>
      <c r="P616" s="10" cm="1">
        <f t="array" ref="P616">(INDEX(Q$403:Q$594,MATCH(1,($A616=$A$403:$A$594)*($B616=$B$403:$B$594)*("Weekday"=$D$403:$D$594),0))*Weekdays+INDEX(Q$403:Q$594,MATCH(1,($A616=$A$403:$A$594)*($B616=$B$403:$B$594)*("Weekend"=$D$403:$D$594),0))*WeekendDays)/DaysPerWeek</f>
        <v>2.299727562802038E-4</v>
      </c>
      <c r="Q616" s="10" cm="1">
        <f t="array" ref="Q616">(INDEX(R$403:R$594,MATCH(1,($A616=$A$403:$A$594)*($B616=$B$403:$B$594)*("Weekday"=$D$403:$D$594),0))*Weekdays+INDEX(R$403:R$594,MATCH(1,($A616=$A$403:$A$594)*($B616=$B$403:$B$594)*("Weekend"=$D$403:$D$594),0))*WeekendDays)/DaysPerWeek</f>
        <v>2.299727562802038E-4</v>
      </c>
      <c r="R616" s="10" cm="1">
        <f t="array" ref="R616">(INDEX(S$403:S$594,MATCH(1,($A616=$A$403:$A$594)*($B616=$B$403:$B$594)*("Weekday"=$D$403:$D$594),0))*Weekdays+INDEX(S$403:S$594,MATCH(1,($A616=$A$403:$A$594)*($B616=$B$403:$B$594)*("Weekend"=$D$403:$D$594),0))*WeekendDays)/DaysPerWeek</f>
        <v>2.299727562802038E-4</v>
      </c>
      <c r="S616" s="10" cm="1">
        <f t="array" ref="S616">(INDEX(T$403:T$594,MATCH(1,($A616=$A$403:$A$594)*($B616=$B$403:$B$594)*("Weekday"=$D$403:$D$594),0))*Weekdays+INDEX(T$403:T$594,MATCH(1,($A616=$A$403:$A$594)*($B616=$B$403:$B$594)*("Weekend"=$D$403:$D$594),0))*WeekendDays)/DaysPerWeek</f>
        <v>2.299727562802038E-4</v>
      </c>
      <c r="T616" s="10" cm="1">
        <f t="array" ref="T616">(INDEX(U$403:U$594,MATCH(1,($A616=$A$403:$A$594)*($B616=$B$403:$B$594)*("Weekday"=$D$403:$D$594),0))*Weekdays+INDEX(U$403:U$594,MATCH(1,($A616=$A$403:$A$594)*($B616=$B$403:$B$594)*("Weekend"=$D$403:$D$594),0))*WeekendDays)/DaysPerWeek</f>
        <v>2.299727562802038E-4</v>
      </c>
      <c r="U616" s="10" cm="1">
        <f t="array" ref="U616">(INDEX(V$403:V$594,MATCH(1,($A616=$A$403:$A$594)*($B616=$B$403:$B$594)*("Weekday"=$D$403:$D$594),0))*Weekdays+INDEX(V$403:V$594,MATCH(1,($A616=$A$403:$A$594)*($B616=$B$403:$B$594)*("Weekend"=$D$403:$D$594),0))*WeekendDays)/DaysPerWeek</f>
        <v>2.299727562802038E-4</v>
      </c>
      <c r="V616" s="10" cm="1">
        <f t="array" ref="V616">(INDEX(W$403:W$594,MATCH(1,($A616=$A$403:$A$594)*($B616=$B$403:$B$594)*("Weekday"=$D$403:$D$594),0))*Weekdays+INDEX(W$403:W$594,MATCH(1,($A616=$A$403:$A$594)*($B616=$B$403:$B$594)*("Weekend"=$D$403:$D$594),0))*WeekendDays)/DaysPerWeek</f>
        <v>1.5639009946410331E-4</v>
      </c>
      <c r="W616" s="10" cm="1">
        <f t="array" ref="W616">(INDEX(X$403:X$594,MATCH(1,($A616=$A$403:$A$594)*($B616=$B$403:$B$594)*("Weekday"=$D$403:$D$594),0))*Weekdays+INDEX(X$403:X$594,MATCH(1,($A616=$A$403:$A$594)*($B616=$B$403:$B$594)*("Weekend"=$D$403:$D$594),0))*WeekendDays)/DaysPerWeek</f>
        <v>1.5639009946410331E-4</v>
      </c>
      <c r="X616" s="10" cm="1">
        <f t="array" ref="X616">(INDEX(Y$403:Y$594,MATCH(1,($A616=$A$403:$A$594)*($B616=$B$403:$B$594)*("Weekday"=$D$403:$D$594),0))*Weekdays+INDEX(Y$403:Y$594,MATCH(1,($A616=$A$403:$A$594)*($B616=$B$403:$B$594)*("Weekend"=$D$403:$D$594),0))*WeekendDays)/DaysPerWeek</f>
        <v>1.5639009946410331E-4</v>
      </c>
      <c r="Y616" s="27">
        <f t="shared" si="242"/>
        <v>2.943106175067866E-3</v>
      </c>
      <c r="Z616" s="32" t="str">
        <f t="shared" si="241"/>
        <v/>
      </c>
    </row>
    <row r="617" spans="1:26" outlineLevel="1" x14ac:dyDescent="0.3">
      <c r="A617" t="s">
        <v>139</v>
      </c>
      <c r="B617" t="s">
        <v>81</v>
      </c>
      <c r="C617" s="6" t="s">
        <v>157</v>
      </c>
      <c r="D617" s="10">
        <v>0</v>
      </c>
      <c r="E617" s="10" cm="1">
        <f t="array" ref="E617">(INDEX(F$403:F$594,MATCH(1,($A617=$A$403:$A$594)*($B617=$B$403:$B$594)*("Weekday"=$D$403:$D$594),0))*Weekdays+INDEX(F$403:F$594,MATCH(1,($A617=$A$403:$A$594)*($B617=$B$403:$B$594)*("Weekend"=$D$403:$D$594),0))*WeekendDays)/DaysPerWeek</f>
        <v>1.2815710539619747E-4</v>
      </c>
      <c r="F617" s="10" cm="1">
        <f t="array" ref="F617">(INDEX(G$403:G$594,MATCH(1,($A617=$A$403:$A$594)*($B617=$B$403:$B$594)*("Weekday"=$D$403:$D$594),0))*Weekdays+INDEX(G$403:G$594,MATCH(1,($A617=$A$403:$A$594)*($B617=$B$403:$B$594)*("Weekend"=$D$403:$D$594),0))*WeekendDays)/DaysPerWeek</f>
        <v>0</v>
      </c>
      <c r="G617" s="10" cm="1">
        <f t="array" ref="G617">(INDEX(H$403:H$594,MATCH(1,($A617=$A$403:$A$594)*($B617=$B$403:$B$594)*("Weekday"=$D$403:$D$594),0))*Weekdays+INDEX(H$403:H$594,MATCH(1,($A617=$A$403:$A$594)*($B617=$B$403:$B$594)*("Weekend"=$D$403:$D$594),0))*WeekendDays)/DaysPerWeek</f>
        <v>3.7390590656851346E-4</v>
      </c>
      <c r="H617" s="10" cm="1">
        <f t="array" ref="H617">(INDEX(I$403:I$594,MATCH(1,($A617=$A$403:$A$594)*($B617=$B$403:$B$594)*("Weekday"=$D$403:$D$594),0))*Weekdays+INDEX(I$403:I$594,MATCH(1,($A617=$A$403:$A$594)*($B617=$B$403:$B$594)*("Weekend"=$D$403:$D$594),0))*WeekendDays)/DaysPerWeek</f>
        <v>3.7390590656851346E-4</v>
      </c>
      <c r="I617" s="10" cm="1">
        <f t="array" ref="I617">(INDEX(J$403:J$594,MATCH(1,($A617=$A$403:$A$594)*($B617=$B$403:$B$594)*("Weekday"=$D$403:$D$594),0))*Weekdays+INDEX(J$403:J$594,MATCH(1,($A617=$A$403:$A$594)*($B617=$B$403:$B$594)*("Weekend"=$D$403:$D$594),0))*WeekendDays)/DaysPerWeek</f>
        <v>3.7390590656851346E-4</v>
      </c>
      <c r="J617" s="10">
        <v>0</v>
      </c>
      <c r="K617" s="10" cm="1">
        <f t="array" ref="K617">(INDEX(L$403:L$594,MATCH(1,($A617=$A$403:$A$594)*($B617=$B$403:$B$594)*("Weekday"=$D$403:$D$594),0))*Weekdays+INDEX(L$403:L$594,MATCH(1,($A617=$A$403:$A$594)*($B617=$B$403:$B$594)*("Weekend"=$D$403:$D$594),0))*WeekendDays)/DaysPerWeek</f>
        <v>8.610938680426433E-5</v>
      </c>
      <c r="L617" s="10" cm="1">
        <f t="array" ref="L617">(INDEX(M$403:M$594,MATCH(1,($A617=$A$403:$A$594)*($B617=$B$403:$B$594)*("Weekday"=$D$403:$D$594),0))*Weekdays+INDEX(M$403:M$594,MATCH(1,($A617=$A$403:$A$594)*($B617=$B$403:$B$594)*("Weekend"=$D$403:$D$594),0))*WeekendDays)/DaysPerWeek</f>
        <v>0</v>
      </c>
      <c r="M617" s="10" cm="1">
        <f t="array" ref="M617">(INDEX(N$403:N$594,MATCH(1,($A617=$A$403:$A$594)*($B617=$B$403:$B$594)*("Weekday"=$D$403:$D$594),0))*Weekdays+INDEX(N$403:N$594,MATCH(1,($A617=$A$403:$A$594)*($B617=$B$403:$B$594)*("Weekend"=$D$403:$D$594),0))*WeekendDays)/DaysPerWeek</f>
        <v>3.7390590656851346E-4</v>
      </c>
      <c r="N617" s="10" cm="1">
        <f t="array" ref="N617">(INDEX(O$403:O$594,MATCH(1,($A617=$A$403:$A$594)*($B617=$B$403:$B$594)*("Weekday"=$D$403:$D$594),0))*Weekdays+INDEX(O$403:O$594,MATCH(1,($A617=$A$403:$A$594)*($B617=$B$403:$B$594)*("Weekend"=$D$403:$D$594),0))*WeekendDays)/DaysPerWeek</f>
        <v>3.7390590656851346E-4</v>
      </c>
      <c r="O617" s="10" cm="1">
        <f t="array" ref="O617">(INDEX(P$403:P$594,MATCH(1,($A617=$A$403:$A$594)*($B617=$B$403:$B$594)*("Weekday"=$D$403:$D$594),0))*Weekdays+INDEX(P$403:P$594,MATCH(1,($A617=$A$403:$A$594)*($B617=$B$403:$B$594)*("Weekend"=$D$403:$D$594),0))*WeekendDays)/DaysPerWeek</f>
        <v>3.7390590656851346E-4</v>
      </c>
      <c r="P617" s="10" cm="1">
        <f t="array" ref="P617">(INDEX(Q$403:Q$594,MATCH(1,($A617=$A$403:$A$594)*($B617=$B$403:$B$594)*("Weekday"=$D$403:$D$594),0))*Weekdays+INDEX(Q$403:Q$594,MATCH(1,($A617=$A$403:$A$594)*($B617=$B$403:$B$594)*("Weekend"=$D$403:$D$594),0))*WeekendDays)/DaysPerWeek</f>
        <v>2.3140066577073286E-4</v>
      </c>
      <c r="Q617" s="10" cm="1">
        <f t="array" ref="Q617">(INDEX(R$403:R$594,MATCH(1,($A617=$A$403:$A$594)*($B617=$B$403:$B$594)*("Weekday"=$D$403:$D$594),0))*Weekdays+INDEX(R$403:R$594,MATCH(1,($A617=$A$403:$A$594)*($B617=$B$403:$B$594)*("Weekend"=$D$403:$D$594),0))*WeekendDays)/DaysPerWeek</f>
        <v>2.3140066577073286E-4</v>
      </c>
      <c r="R617" s="10" cm="1">
        <f t="array" ref="R617">(INDEX(S$403:S$594,MATCH(1,($A617=$A$403:$A$594)*($B617=$B$403:$B$594)*("Weekday"=$D$403:$D$594),0))*Weekdays+INDEX(S$403:S$594,MATCH(1,($A617=$A$403:$A$594)*($B617=$B$403:$B$594)*("Weekend"=$D$403:$D$594),0))*WeekendDays)/DaysPerWeek</f>
        <v>2.3140066577073286E-4</v>
      </c>
      <c r="S617" s="10" cm="1">
        <f t="array" ref="S617">(INDEX(T$403:T$594,MATCH(1,($A617=$A$403:$A$594)*($B617=$B$403:$B$594)*("Weekday"=$D$403:$D$594),0))*Weekdays+INDEX(T$403:T$594,MATCH(1,($A617=$A$403:$A$594)*($B617=$B$403:$B$594)*("Weekend"=$D$403:$D$594),0))*WeekendDays)/DaysPerWeek</f>
        <v>2.3140066577073286E-4</v>
      </c>
      <c r="T617" s="10" cm="1">
        <f t="array" ref="T617">(INDEX(U$403:U$594,MATCH(1,($A617=$A$403:$A$594)*($B617=$B$403:$B$594)*("Weekday"=$D$403:$D$594),0))*Weekdays+INDEX(U$403:U$594,MATCH(1,($A617=$A$403:$A$594)*($B617=$B$403:$B$594)*("Weekend"=$D$403:$D$594),0))*WeekendDays)/DaysPerWeek</f>
        <v>2.3140066577073286E-4</v>
      </c>
      <c r="U617" s="10" cm="1">
        <f t="array" ref="U617">(INDEX(V$403:V$594,MATCH(1,($A617=$A$403:$A$594)*($B617=$B$403:$B$594)*("Weekday"=$D$403:$D$594),0))*Weekdays+INDEX(V$403:V$594,MATCH(1,($A617=$A$403:$A$594)*($B617=$B$403:$B$594)*("Weekend"=$D$403:$D$594),0))*WeekendDays)/DaysPerWeek</f>
        <v>2.3140066577073286E-4</v>
      </c>
      <c r="V617" s="10" cm="1">
        <f t="array" ref="V617">(INDEX(W$403:W$594,MATCH(1,($A617=$A$403:$A$594)*($B617=$B$403:$B$594)*("Weekday"=$D$403:$D$594),0))*Weekdays+INDEX(W$403:W$594,MATCH(1,($A617=$A$403:$A$594)*($B617=$B$403:$B$594)*("Weekend"=$D$403:$D$594),0))*WeekendDays)/DaysPerWeek</f>
        <v>1.5662178850034639E-4</v>
      </c>
      <c r="W617" s="10" cm="1">
        <f t="array" ref="W617">(INDEX(X$403:X$594,MATCH(1,($A617=$A$403:$A$594)*($B617=$B$403:$B$594)*("Weekday"=$D$403:$D$594),0))*Weekdays+INDEX(X$403:X$594,MATCH(1,($A617=$A$403:$A$594)*($B617=$B$403:$B$594)*("Weekend"=$D$403:$D$594),0))*WeekendDays)/DaysPerWeek</f>
        <v>1.5662178850034639E-4</v>
      </c>
      <c r="X617" s="10" cm="1">
        <f t="array" ref="X617">(INDEX(Y$403:Y$594,MATCH(1,($A617=$A$403:$A$594)*($B617=$B$403:$B$594)*("Weekday"=$D$403:$D$594),0))*Weekdays+INDEX(Y$403:Y$594,MATCH(1,($A617=$A$403:$A$594)*($B617=$B$403:$B$594)*("Weekend"=$D$403:$D$594),0))*WeekendDays)/DaysPerWeek</f>
        <v>1.5662178850034639E-4</v>
      </c>
      <c r="Y617" s="27">
        <f t="shared" si="242"/>
        <v>4.3159712917369801E-3</v>
      </c>
      <c r="Z617" s="32" t="str">
        <f t="shared" si="241"/>
        <v/>
      </c>
    </row>
    <row r="618" spans="1:26" outlineLevel="1" x14ac:dyDescent="0.3">
      <c r="A618" t="s">
        <v>139</v>
      </c>
      <c r="B618" t="s">
        <v>82</v>
      </c>
      <c r="C618" s="6" t="s">
        <v>158</v>
      </c>
      <c r="D618" s="10">
        <v>0</v>
      </c>
      <c r="E618" s="10" cm="1">
        <f t="array" ref="E618">(INDEX(F$403:F$594,MATCH(1,($A618=$A$403:$A$594)*($B618=$B$403:$B$594)*("Weekday"=$D$403:$D$594),0))*Weekdays+INDEX(F$403:F$594,MATCH(1,($A618=$A$403:$A$594)*($B618=$B$403:$B$594)*("Weekend"=$D$403:$D$594),0))*WeekendDays)/DaysPerWeek</f>
        <v>1.0391761973280305E-4</v>
      </c>
      <c r="F618" s="10" cm="1">
        <f t="array" ref="F618">(INDEX(G$403:G$594,MATCH(1,($A618=$A$403:$A$594)*($B618=$B$403:$B$594)*("Weekday"=$D$403:$D$594),0))*Weekdays+INDEX(G$403:G$594,MATCH(1,($A618=$A$403:$A$594)*($B618=$B$403:$B$594)*("Weekend"=$D$403:$D$594),0))*WeekendDays)/DaysPerWeek</f>
        <v>0</v>
      </c>
      <c r="G618" s="10" cm="1">
        <f t="array" ref="G618">(INDEX(H$403:H$594,MATCH(1,($A618=$A$403:$A$594)*($B618=$B$403:$B$594)*("Weekday"=$D$403:$D$594),0))*Weekdays+INDEX(H$403:H$594,MATCH(1,($A618=$A$403:$A$594)*($B618=$B$403:$B$594)*("Weekend"=$D$403:$D$594),0))*WeekendDays)/DaysPerWeek</f>
        <v>4.040882447055729E-4</v>
      </c>
      <c r="H618" s="10" cm="1">
        <f t="array" ref="H618">(INDEX(I$403:I$594,MATCH(1,($A618=$A$403:$A$594)*($B618=$B$403:$B$594)*("Weekday"=$D$403:$D$594),0))*Weekdays+INDEX(I$403:I$594,MATCH(1,($A618=$A$403:$A$594)*($B618=$B$403:$B$594)*("Weekend"=$D$403:$D$594),0))*WeekendDays)/DaysPerWeek</f>
        <v>4.040882447055729E-4</v>
      </c>
      <c r="I618" s="10" cm="1">
        <f t="array" ref="I618">(INDEX(J$403:J$594,MATCH(1,($A618=$A$403:$A$594)*($B618=$B$403:$B$594)*("Weekday"=$D$403:$D$594),0))*Weekdays+INDEX(J$403:J$594,MATCH(1,($A618=$A$403:$A$594)*($B618=$B$403:$B$594)*("Weekend"=$D$403:$D$594),0))*WeekendDays)/DaysPerWeek</f>
        <v>4.040882447055729E-4</v>
      </c>
      <c r="J618" s="10">
        <v>0</v>
      </c>
      <c r="K618" s="10" cm="1">
        <f t="array" ref="K618">(INDEX(L$403:L$594,MATCH(1,($A618=$A$403:$A$594)*($B618=$B$403:$B$594)*("Weekday"=$D$403:$D$594),0))*Weekdays+INDEX(L$403:L$594,MATCH(1,($A618=$A$403:$A$594)*($B618=$B$403:$B$594)*("Weekend"=$D$403:$D$594),0))*WeekendDays)/DaysPerWeek</f>
        <v>7.6880156725831744E-5</v>
      </c>
      <c r="L618" s="10" cm="1">
        <f t="array" ref="L618">(INDEX(M$403:M$594,MATCH(1,($A618=$A$403:$A$594)*($B618=$B$403:$B$594)*("Weekday"=$D$403:$D$594),0))*Weekdays+INDEX(M$403:M$594,MATCH(1,($A618=$A$403:$A$594)*($B618=$B$403:$B$594)*("Weekend"=$D$403:$D$594),0))*WeekendDays)/DaysPerWeek</f>
        <v>0</v>
      </c>
      <c r="M618" s="10" cm="1">
        <f t="array" ref="M618">(INDEX(N$403:N$594,MATCH(1,($A618=$A$403:$A$594)*($B618=$B$403:$B$594)*("Weekday"=$D$403:$D$594),0))*Weekdays+INDEX(N$403:N$594,MATCH(1,($A618=$A$403:$A$594)*($B618=$B$403:$B$594)*("Weekend"=$D$403:$D$594),0))*WeekendDays)/DaysPerWeek</f>
        <v>4.040882447055729E-4</v>
      </c>
      <c r="N618" s="10" cm="1">
        <f t="array" ref="N618">(INDEX(O$403:O$594,MATCH(1,($A618=$A$403:$A$594)*($B618=$B$403:$B$594)*("Weekday"=$D$403:$D$594),0))*Weekdays+INDEX(O$403:O$594,MATCH(1,($A618=$A$403:$A$594)*($B618=$B$403:$B$594)*("Weekend"=$D$403:$D$594),0))*WeekendDays)/DaysPerWeek</f>
        <v>4.040882447055729E-4</v>
      </c>
      <c r="O618" s="10" cm="1">
        <f t="array" ref="O618">(INDEX(P$403:P$594,MATCH(1,($A618=$A$403:$A$594)*($B618=$B$403:$B$594)*("Weekday"=$D$403:$D$594),0))*Weekdays+INDEX(P$403:P$594,MATCH(1,($A618=$A$403:$A$594)*($B618=$B$403:$B$594)*("Weekend"=$D$403:$D$594),0))*WeekendDays)/DaysPerWeek</f>
        <v>4.040882447055729E-4</v>
      </c>
      <c r="P618" s="10" cm="1">
        <f t="array" ref="P618">(INDEX(Q$403:Q$594,MATCH(1,($A618=$A$403:$A$594)*($B618=$B$403:$B$594)*("Weekday"=$D$403:$D$594),0))*Weekdays+INDEX(Q$403:Q$594,MATCH(1,($A618=$A$403:$A$594)*($B618=$B$403:$B$594)*("Weekend"=$D$403:$D$594),0))*WeekendDays)/DaysPerWeek</f>
        <v>2.1561433306988408E-4</v>
      </c>
      <c r="Q618" s="10" cm="1">
        <f t="array" ref="Q618">(INDEX(R$403:R$594,MATCH(1,($A618=$A$403:$A$594)*($B618=$B$403:$B$594)*("Weekday"=$D$403:$D$594),0))*Weekdays+INDEX(R$403:R$594,MATCH(1,($A618=$A$403:$A$594)*($B618=$B$403:$B$594)*("Weekend"=$D$403:$D$594),0))*WeekendDays)/DaysPerWeek</f>
        <v>2.1561433306988408E-4</v>
      </c>
      <c r="R618" s="10" cm="1">
        <f t="array" ref="R618">(INDEX(S$403:S$594,MATCH(1,($A618=$A$403:$A$594)*($B618=$B$403:$B$594)*("Weekday"=$D$403:$D$594),0))*Weekdays+INDEX(S$403:S$594,MATCH(1,($A618=$A$403:$A$594)*($B618=$B$403:$B$594)*("Weekend"=$D$403:$D$594),0))*WeekendDays)/DaysPerWeek</f>
        <v>2.1561433306988408E-4</v>
      </c>
      <c r="S618" s="10" cm="1">
        <f t="array" ref="S618">(INDEX(T$403:T$594,MATCH(1,($A618=$A$403:$A$594)*($B618=$B$403:$B$594)*("Weekday"=$D$403:$D$594),0))*Weekdays+INDEX(T$403:T$594,MATCH(1,($A618=$A$403:$A$594)*($B618=$B$403:$B$594)*("Weekend"=$D$403:$D$594),0))*WeekendDays)/DaysPerWeek</f>
        <v>2.1561433306988408E-4</v>
      </c>
      <c r="T618" s="10" cm="1">
        <f t="array" ref="T618">(INDEX(U$403:U$594,MATCH(1,($A618=$A$403:$A$594)*($B618=$B$403:$B$594)*("Weekday"=$D$403:$D$594),0))*Weekdays+INDEX(U$403:U$594,MATCH(1,($A618=$A$403:$A$594)*($B618=$B$403:$B$594)*("Weekend"=$D$403:$D$594),0))*WeekendDays)/DaysPerWeek</f>
        <v>2.1561433306988408E-4</v>
      </c>
      <c r="U618" s="10" cm="1">
        <f t="array" ref="U618">(INDEX(V$403:V$594,MATCH(1,($A618=$A$403:$A$594)*($B618=$B$403:$B$594)*("Weekday"=$D$403:$D$594),0))*Weekdays+INDEX(V$403:V$594,MATCH(1,($A618=$A$403:$A$594)*($B618=$B$403:$B$594)*("Weekend"=$D$403:$D$594),0))*WeekendDays)/DaysPerWeek</f>
        <v>2.1561433306988408E-4</v>
      </c>
      <c r="V618" s="10" cm="1">
        <f t="array" ref="V618">(INDEX(W$403:W$594,MATCH(1,($A618=$A$403:$A$594)*($B618=$B$403:$B$594)*("Weekday"=$D$403:$D$594),0))*Weekdays+INDEX(W$403:W$594,MATCH(1,($A618=$A$403:$A$594)*($B618=$B$403:$B$594)*("Weekend"=$D$403:$D$594),0))*WeekendDays)/DaysPerWeek</f>
        <v>1.5623564010660787E-4</v>
      </c>
      <c r="W618" s="10" cm="1">
        <f t="array" ref="W618">(INDEX(X$403:X$594,MATCH(1,($A618=$A$403:$A$594)*($B618=$B$403:$B$594)*("Weekday"=$D$403:$D$594),0))*Weekdays+INDEX(X$403:X$594,MATCH(1,($A618=$A$403:$A$594)*($B618=$B$403:$B$594)*("Weekend"=$D$403:$D$594),0))*WeekendDays)/DaysPerWeek</f>
        <v>1.5623564010660787E-4</v>
      </c>
      <c r="X618" s="10" cm="1">
        <f t="array" ref="X618">(INDEX(Y$403:Y$594,MATCH(1,($A618=$A$403:$A$594)*($B618=$B$403:$B$594)*("Weekday"=$D$403:$D$594),0))*Weekdays+INDEX(Y$403:Y$594,MATCH(1,($A618=$A$403:$A$594)*($B618=$B$403:$B$594)*("Weekend"=$D$403:$D$594),0))*WeekendDays)/DaysPerWeek</f>
        <v>1.5623564010660787E-4</v>
      </c>
      <c r="Y618" s="27">
        <f t="shared" si="242"/>
        <v>4.3677201634311994E-3</v>
      </c>
      <c r="Z618" s="32" t="str">
        <f t="shared" si="241"/>
        <v>Winter Peak</v>
      </c>
    </row>
    <row r="619" spans="1:26" outlineLevel="1" x14ac:dyDescent="0.3">
      <c r="A619" t="s">
        <v>139</v>
      </c>
      <c r="B619" t="s">
        <v>83</v>
      </c>
      <c r="C619" s="6" t="s">
        <v>159</v>
      </c>
      <c r="D619" s="10">
        <v>0</v>
      </c>
      <c r="E619" s="10" cm="1">
        <f t="array" ref="E619">(INDEX(F$403:F$594,MATCH(1,($A619=$A$403:$A$594)*($B619=$B$403:$B$594)*("Weekday"=$D$403:$D$594),0))*Weekdays+INDEX(F$403:F$594,MATCH(1,($A619=$A$403:$A$594)*($B619=$B$403:$B$594)*("Weekend"=$D$403:$D$594),0))*WeekendDays)/DaysPerWeek</f>
        <v>7.9635767355142094E-5</v>
      </c>
      <c r="F619" s="10" cm="1">
        <f t="array" ref="F619">(INDEX(G$403:G$594,MATCH(1,($A619=$A$403:$A$594)*($B619=$B$403:$B$594)*("Weekday"=$D$403:$D$594),0))*Weekdays+INDEX(G$403:G$594,MATCH(1,($A619=$A$403:$A$594)*($B619=$B$403:$B$594)*("Weekend"=$D$403:$D$594),0))*WeekendDays)/DaysPerWeek</f>
        <v>0</v>
      </c>
      <c r="G619" s="10" cm="1">
        <f t="array" ref="G619">(INDEX(H$403:H$594,MATCH(1,($A619=$A$403:$A$594)*($B619=$B$403:$B$594)*("Weekday"=$D$403:$D$594),0))*Weekdays+INDEX(H$403:H$594,MATCH(1,($A619=$A$403:$A$594)*($B619=$B$403:$B$594)*("Weekend"=$D$403:$D$594),0))*WeekendDays)/DaysPerWeek</f>
        <v>4.3071971953239008E-4</v>
      </c>
      <c r="H619" s="10" cm="1">
        <f t="array" ref="H619">(INDEX(I$403:I$594,MATCH(1,($A619=$A$403:$A$594)*($B619=$B$403:$B$594)*("Weekday"=$D$403:$D$594),0))*Weekdays+INDEX(I$403:I$594,MATCH(1,($A619=$A$403:$A$594)*($B619=$B$403:$B$594)*("Weekend"=$D$403:$D$594),0))*WeekendDays)/DaysPerWeek</f>
        <v>4.3071971953239008E-4</v>
      </c>
      <c r="I619" s="10" cm="1">
        <f t="array" ref="I619">(INDEX(J$403:J$594,MATCH(1,($A619=$A$403:$A$594)*($B619=$B$403:$B$594)*("Weekday"=$D$403:$D$594),0))*Weekdays+INDEX(J$403:J$594,MATCH(1,($A619=$A$403:$A$594)*($B619=$B$403:$B$594)*("Weekend"=$D$403:$D$594),0))*WeekendDays)/DaysPerWeek</f>
        <v>4.3071971953239008E-4</v>
      </c>
      <c r="J619" s="10">
        <v>0</v>
      </c>
      <c r="K619" s="10" cm="1">
        <f t="array" ref="K619">(INDEX(L$403:L$594,MATCH(1,($A619=$A$403:$A$594)*($B619=$B$403:$B$594)*("Weekday"=$D$403:$D$594),0))*Weekdays+INDEX(L$403:L$594,MATCH(1,($A619=$A$403:$A$594)*($B619=$B$403:$B$594)*("Weekend"=$D$403:$D$594),0))*WeekendDays)/DaysPerWeek</f>
        <v>6.7672510118229923E-5</v>
      </c>
      <c r="L619" s="10" cm="1">
        <f t="array" ref="L619">(INDEX(M$403:M$594,MATCH(1,($A619=$A$403:$A$594)*($B619=$B$403:$B$594)*("Weekday"=$D$403:$D$594),0))*Weekdays+INDEX(M$403:M$594,MATCH(1,($A619=$A$403:$A$594)*($B619=$B$403:$B$594)*("Weekend"=$D$403:$D$594),0))*WeekendDays)/DaysPerWeek</f>
        <v>0</v>
      </c>
      <c r="M619" s="10" cm="1">
        <f t="array" ref="M619">(INDEX(N$403:N$594,MATCH(1,($A619=$A$403:$A$594)*($B619=$B$403:$B$594)*("Weekday"=$D$403:$D$594),0))*Weekdays+INDEX(N$403:N$594,MATCH(1,($A619=$A$403:$A$594)*($B619=$B$403:$B$594)*("Weekend"=$D$403:$D$594),0))*WeekendDays)/DaysPerWeek</f>
        <v>4.3071971953239008E-4</v>
      </c>
      <c r="N619" s="10" cm="1">
        <f t="array" ref="N619">(INDEX(O$403:O$594,MATCH(1,($A619=$A$403:$A$594)*($B619=$B$403:$B$594)*("Weekday"=$D$403:$D$594),0))*Weekdays+INDEX(O$403:O$594,MATCH(1,($A619=$A$403:$A$594)*($B619=$B$403:$B$594)*("Weekend"=$D$403:$D$594),0))*WeekendDays)/DaysPerWeek</f>
        <v>4.3071971953239008E-4</v>
      </c>
      <c r="O619" s="10" cm="1">
        <f t="array" ref="O619">(INDEX(P$403:P$594,MATCH(1,($A619=$A$403:$A$594)*($B619=$B$403:$B$594)*("Weekday"=$D$403:$D$594),0))*Weekdays+INDEX(P$403:P$594,MATCH(1,($A619=$A$403:$A$594)*($B619=$B$403:$B$594)*("Weekend"=$D$403:$D$594),0))*WeekendDays)/DaysPerWeek</f>
        <v>4.3071971953239008E-4</v>
      </c>
      <c r="P619" s="10" cm="1">
        <f t="array" ref="P619">(INDEX(Q$403:Q$594,MATCH(1,($A619=$A$403:$A$594)*($B619=$B$403:$B$594)*("Weekday"=$D$403:$D$594),0))*Weekdays+INDEX(Q$403:Q$594,MATCH(1,($A619=$A$403:$A$594)*($B619=$B$403:$B$594)*("Weekend"=$D$403:$D$594),0))*WeekendDays)/DaysPerWeek</f>
        <v>1.8935666410515575E-4</v>
      </c>
      <c r="Q619" s="10" cm="1">
        <f t="array" ref="Q619">(INDEX(R$403:R$594,MATCH(1,($A619=$A$403:$A$594)*($B619=$B$403:$B$594)*("Weekday"=$D$403:$D$594),0))*Weekdays+INDEX(R$403:R$594,MATCH(1,($A619=$A$403:$A$594)*($B619=$B$403:$B$594)*("Weekend"=$D$403:$D$594),0))*WeekendDays)/DaysPerWeek</f>
        <v>1.8935666410515575E-4</v>
      </c>
      <c r="R619" s="10" cm="1">
        <f t="array" ref="R619">(INDEX(S$403:S$594,MATCH(1,($A619=$A$403:$A$594)*($B619=$B$403:$B$594)*("Weekday"=$D$403:$D$594),0))*Weekdays+INDEX(S$403:S$594,MATCH(1,($A619=$A$403:$A$594)*($B619=$B$403:$B$594)*("Weekend"=$D$403:$D$594),0))*WeekendDays)/DaysPerWeek</f>
        <v>1.8935666410515575E-4</v>
      </c>
      <c r="S619" s="10" cm="1">
        <f t="array" ref="S619">(INDEX(T$403:T$594,MATCH(1,($A619=$A$403:$A$594)*($B619=$B$403:$B$594)*("Weekday"=$D$403:$D$594),0))*Weekdays+INDEX(T$403:T$594,MATCH(1,($A619=$A$403:$A$594)*($B619=$B$403:$B$594)*("Weekend"=$D$403:$D$594),0))*WeekendDays)/DaysPerWeek</f>
        <v>1.8935666410515575E-4</v>
      </c>
      <c r="T619" s="10" cm="1">
        <f t="array" ref="T619">(INDEX(U$403:U$594,MATCH(1,($A619=$A$403:$A$594)*($B619=$B$403:$B$594)*("Weekday"=$D$403:$D$594),0))*Weekdays+INDEX(U$403:U$594,MATCH(1,($A619=$A$403:$A$594)*($B619=$B$403:$B$594)*("Weekend"=$D$403:$D$594),0))*WeekendDays)/DaysPerWeek</f>
        <v>1.8935666410515575E-4</v>
      </c>
      <c r="U619" s="10" cm="1">
        <f t="array" ref="U619">(INDEX(V$403:V$594,MATCH(1,($A619=$A$403:$A$594)*($B619=$B$403:$B$594)*("Weekday"=$D$403:$D$594),0))*Weekdays+INDEX(V$403:V$594,MATCH(1,($A619=$A$403:$A$594)*($B619=$B$403:$B$594)*("Weekend"=$D$403:$D$594),0))*WeekendDays)/DaysPerWeek</f>
        <v>1.8935666410515575E-4</v>
      </c>
      <c r="V619" s="10" cm="1">
        <f t="array" ref="V619">(INDEX(W$403:W$594,MATCH(1,($A619=$A$403:$A$594)*($B619=$B$403:$B$594)*("Weekday"=$D$403:$D$594),0))*Weekdays+INDEX(W$403:W$594,MATCH(1,($A619=$A$403:$A$594)*($B619=$B$403:$B$594)*("Weekend"=$D$403:$D$594),0))*WeekendDays)/DaysPerWeek</f>
        <v>1.5569503235537393E-4</v>
      </c>
      <c r="W619" s="10" cm="1">
        <f t="array" ref="W619">(INDEX(X$403:X$594,MATCH(1,($A619=$A$403:$A$594)*($B619=$B$403:$B$594)*("Weekday"=$D$403:$D$594),0))*Weekdays+INDEX(X$403:X$594,MATCH(1,($A619=$A$403:$A$594)*($B619=$B$403:$B$594)*("Weekend"=$D$403:$D$594),0))*WeekendDays)/DaysPerWeek</f>
        <v>1.5569503235537393E-4</v>
      </c>
      <c r="X619" s="10" cm="1">
        <f t="array" ref="X619">(INDEX(Y$403:Y$594,MATCH(1,($A619=$A$403:$A$594)*($B619=$B$403:$B$594)*("Weekday"=$D$403:$D$594),0))*Weekdays+INDEX(Y$403:Y$594,MATCH(1,($A619=$A$403:$A$594)*($B619=$B$403:$B$594)*("Weekend"=$D$403:$D$594),0))*WeekendDays)/DaysPerWeek</f>
        <v>1.5569503235537393E-4</v>
      </c>
      <c r="Y619" s="27">
        <f t="shared" si="242"/>
        <v>4.3348516763647678E-3</v>
      </c>
      <c r="Z619" s="32" t="str">
        <f t="shared" si="241"/>
        <v/>
      </c>
    </row>
    <row r="620" spans="1:26" outlineLevel="1" x14ac:dyDescent="0.3">
      <c r="A620" t="s">
        <v>139</v>
      </c>
      <c r="B620" t="s">
        <v>84</v>
      </c>
      <c r="C620" s="6" t="s">
        <v>160</v>
      </c>
      <c r="D620" s="10">
        <v>0</v>
      </c>
      <c r="E620" s="10" cm="1">
        <f t="array" ref="E620">(INDEX(F$403:F$594,MATCH(1,($A620=$A$403:$A$594)*($B620=$B$403:$B$594)*("Weekday"=$D$403:$D$594),0))*Weekdays+INDEX(F$403:F$594,MATCH(1,($A620=$A$403:$A$594)*($B620=$B$403:$B$594)*("Weekend"=$D$403:$D$594),0))*WeekendDays)/DaysPerWeek</f>
        <v>5.7388365072858879E-5</v>
      </c>
      <c r="F620" s="10" cm="1">
        <f t="array" ref="F620">(INDEX(G$403:G$594,MATCH(1,($A620=$A$403:$A$594)*($B620=$B$403:$B$594)*("Weekday"=$D$403:$D$594),0))*Weekdays+INDEX(G$403:G$594,MATCH(1,($A620=$A$403:$A$594)*($B620=$B$403:$B$594)*("Weekend"=$D$403:$D$594),0))*WeekendDays)/DaysPerWeek</f>
        <v>0</v>
      </c>
      <c r="G620" s="10" cm="1">
        <f t="array" ref="G620">(INDEX(H$403:H$594,MATCH(1,($A620=$A$403:$A$594)*($B620=$B$403:$B$594)*("Weekday"=$D$403:$D$594),0))*Weekdays+INDEX(H$403:H$594,MATCH(1,($A620=$A$403:$A$594)*($B620=$B$403:$B$594)*("Weekend"=$D$403:$D$594),0))*WeekendDays)/DaysPerWeek</f>
        <v>4.3441261737504211E-4</v>
      </c>
      <c r="H620" s="10" cm="1">
        <f t="array" ref="H620">(INDEX(I$403:I$594,MATCH(1,($A620=$A$403:$A$594)*($B620=$B$403:$B$594)*("Weekday"=$D$403:$D$594),0))*Weekdays+INDEX(I$403:I$594,MATCH(1,($A620=$A$403:$A$594)*($B620=$B$403:$B$594)*("Weekend"=$D$403:$D$594),0))*WeekendDays)/DaysPerWeek</f>
        <v>4.3441261737504211E-4</v>
      </c>
      <c r="I620" s="10" cm="1">
        <f t="array" ref="I620">(INDEX(J$403:J$594,MATCH(1,($A620=$A$403:$A$594)*($B620=$B$403:$B$594)*("Weekday"=$D$403:$D$594),0))*Weekdays+INDEX(J$403:J$594,MATCH(1,($A620=$A$403:$A$594)*($B620=$B$403:$B$594)*("Weekend"=$D$403:$D$594),0))*WeekendDays)/DaysPerWeek</f>
        <v>4.3441261737504211E-4</v>
      </c>
      <c r="J620" s="10">
        <v>0</v>
      </c>
      <c r="K620" s="10" cm="1">
        <f t="array" ref="K620">(INDEX(L$403:L$594,MATCH(1,($A620=$A$403:$A$594)*($B620=$B$403:$B$594)*("Weekday"=$D$403:$D$594),0))*Weekdays+INDEX(L$403:L$594,MATCH(1,($A620=$A$403:$A$594)*($B620=$B$403:$B$594)*("Weekend"=$D$403:$D$594),0))*WeekendDays)/DaysPerWeek</f>
        <v>6.035360611134776E-5</v>
      </c>
      <c r="L620" s="10" cm="1">
        <f t="array" ref="L620">(INDEX(M$403:M$594,MATCH(1,($A620=$A$403:$A$594)*($B620=$B$403:$B$594)*("Weekday"=$D$403:$D$594),0))*Weekdays+INDEX(M$403:M$594,MATCH(1,($A620=$A$403:$A$594)*($B620=$B$403:$B$594)*("Weekend"=$D$403:$D$594),0))*WeekendDays)/DaysPerWeek</f>
        <v>0</v>
      </c>
      <c r="M620" s="10" cm="1">
        <f t="array" ref="M620">(INDEX(N$403:N$594,MATCH(1,($A620=$A$403:$A$594)*($B620=$B$403:$B$594)*("Weekday"=$D$403:$D$594),0))*Weekdays+INDEX(N$403:N$594,MATCH(1,($A620=$A$403:$A$594)*($B620=$B$403:$B$594)*("Weekend"=$D$403:$D$594),0))*WeekendDays)/DaysPerWeek</f>
        <v>4.3441261737504211E-4</v>
      </c>
      <c r="N620" s="10" cm="1">
        <f t="array" ref="N620">(INDEX(O$403:O$594,MATCH(1,($A620=$A$403:$A$594)*($B620=$B$403:$B$594)*("Weekday"=$D$403:$D$594),0))*Weekdays+INDEX(O$403:O$594,MATCH(1,($A620=$A$403:$A$594)*($B620=$B$403:$B$594)*("Weekend"=$D$403:$D$594),0))*WeekendDays)/DaysPerWeek</f>
        <v>4.3441261737504211E-4</v>
      </c>
      <c r="O620" s="10" cm="1">
        <f t="array" ref="O620">(INDEX(P$403:P$594,MATCH(1,($A620=$A$403:$A$594)*($B620=$B$403:$B$594)*("Weekday"=$D$403:$D$594),0))*Weekdays+INDEX(P$403:P$594,MATCH(1,($A620=$A$403:$A$594)*($B620=$B$403:$B$594)*("Weekend"=$D$403:$D$594),0))*WeekendDays)/DaysPerWeek</f>
        <v>4.3441261737504211E-4</v>
      </c>
      <c r="P620" s="10" cm="1">
        <f t="array" ref="P620">(INDEX(Q$403:Q$594,MATCH(1,($A620=$A$403:$A$594)*($B620=$B$403:$B$594)*("Weekday"=$D$403:$D$594),0))*Weekdays+INDEX(Q$403:Q$594,MATCH(1,($A620=$A$403:$A$594)*($B620=$B$403:$B$594)*("Weekend"=$D$403:$D$594),0))*WeekendDays)/DaysPerWeek</f>
        <v>1.8737345647942095E-4</v>
      </c>
      <c r="Q620" s="10" cm="1">
        <f t="array" ref="Q620">(INDEX(R$403:R$594,MATCH(1,($A620=$A$403:$A$594)*($B620=$B$403:$B$594)*("Weekday"=$D$403:$D$594),0))*Weekdays+INDEX(R$403:R$594,MATCH(1,($A620=$A$403:$A$594)*($B620=$B$403:$B$594)*("Weekend"=$D$403:$D$594),0))*WeekendDays)/DaysPerWeek</f>
        <v>1.8737345647942095E-4</v>
      </c>
      <c r="R620" s="10" cm="1">
        <f t="array" ref="R620">(INDEX(S$403:S$594,MATCH(1,($A620=$A$403:$A$594)*($B620=$B$403:$B$594)*("Weekday"=$D$403:$D$594),0))*Weekdays+INDEX(S$403:S$594,MATCH(1,($A620=$A$403:$A$594)*($B620=$B$403:$B$594)*("Weekend"=$D$403:$D$594),0))*WeekendDays)/DaysPerWeek</f>
        <v>1.8737345647942095E-4</v>
      </c>
      <c r="S620" s="10" cm="1">
        <f t="array" ref="S620">(INDEX(T$403:T$594,MATCH(1,($A620=$A$403:$A$594)*($B620=$B$403:$B$594)*("Weekday"=$D$403:$D$594),0))*Weekdays+INDEX(T$403:T$594,MATCH(1,($A620=$A$403:$A$594)*($B620=$B$403:$B$594)*("Weekend"=$D$403:$D$594),0))*WeekendDays)/DaysPerWeek</f>
        <v>1.8737345647942095E-4</v>
      </c>
      <c r="T620" s="10" cm="1">
        <f t="array" ref="T620">(INDEX(U$403:U$594,MATCH(1,($A620=$A$403:$A$594)*($B620=$B$403:$B$594)*("Weekday"=$D$403:$D$594),0))*Weekdays+INDEX(U$403:U$594,MATCH(1,($A620=$A$403:$A$594)*($B620=$B$403:$B$594)*("Weekend"=$D$403:$D$594),0))*WeekendDays)/DaysPerWeek</f>
        <v>1.8737345647942095E-4</v>
      </c>
      <c r="U620" s="10" cm="1">
        <f t="array" ref="U620">(INDEX(V$403:V$594,MATCH(1,($A620=$A$403:$A$594)*($B620=$B$403:$B$594)*("Weekday"=$D$403:$D$594),0))*Weekdays+INDEX(V$403:V$594,MATCH(1,($A620=$A$403:$A$594)*($B620=$B$403:$B$594)*("Weekend"=$D$403:$D$594),0))*WeekendDays)/DaysPerWeek</f>
        <v>1.8737345647942095E-4</v>
      </c>
      <c r="V620" s="10" cm="1">
        <f t="array" ref="V620">(INDEX(W$403:W$594,MATCH(1,($A620=$A$403:$A$594)*($B620=$B$403:$B$594)*("Weekday"=$D$403:$D$594),0))*Weekdays+INDEX(W$403:W$594,MATCH(1,($A620=$A$403:$A$594)*($B620=$B$403:$B$594)*("Weekend"=$D$403:$D$594),0))*WeekendDays)/DaysPerWeek</f>
        <v>1.5515442460414003E-4</v>
      </c>
      <c r="W620" s="10" cm="1">
        <f t="array" ref="W620">(INDEX(X$403:X$594,MATCH(1,($A620=$A$403:$A$594)*($B620=$B$403:$B$594)*("Weekday"=$D$403:$D$594),0))*Weekdays+INDEX(X$403:X$594,MATCH(1,($A620=$A$403:$A$594)*($B620=$B$403:$B$594)*("Weekend"=$D$403:$D$594),0))*WeekendDays)/DaysPerWeek</f>
        <v>1.5515442460414003E-4</v>
      </c>
      <c r="X620" s="10" cm="1">
        <f t="array" ref="X620">(INDEX(Y$403:Y$594,MATCH(1,($A620=$A$403:$A$594)*($B620=$B$403:$B$594)*("Weekday"=$D$403:$D$594),0))*Weekdays+INDEX(Y$403:Y$594,MATCH(1,($A620=$A$403:$A$594)*($B620=$B$403:$B$594)*("Weekend"=$D$403:$D$594),0))*WeekendDays)/DaysPerWeek</f>
        <v>1.5515442460414003E-4</v>
      </c>
      <c r="Y620" s="27">
        <f t="shared" si="242"/>
        <v>4.3139216881234047E-3</v>
      </c>
      <c r="Z620" s="32" t="str">
        <f t="shared" si="241"/>
        <v/>
      </c>
    </row>
    <row r="621" spans="1:26" outlineLevel="1" x14ac:dyDescent="0.3">
      <c r="A621" t="s">
        <v>139</v>
      </c>
      <c r="B621" t="s">
        <v>85</v>
      </c>
      <c r="C621" s="6" t="s">
        <v>161</v>
      </c>
      <c r="D621" s="10">
        <v>0</v>
      </c>
      <c r="E621" s="10" cm="1">
        <f t="array" ref="E621">(INDEX(F$403:F$594,MATCH(1,($A621=$A$403:$A$594)*($B621=$B$403:$B$594)*("Weekday"=$D$403:$D$594),0))*Weekdays+INDEX(F$403:F$594,MATCH(1,($A621=$A$403:$A$594)*($B621=$B$403:$B$594)*("Weekend"=$D$403:$D$594),0))*WeekendDays)/DaysPerWeek</f>
        <v>4.0139230085078448E-5</v>
      </c>
      <c r="F621" s="10" cm="1">
        <f t="array" ref="F621">(INDEX(G$403:G$594,MATCH(1,($A621=$A$403:$A$594)*($B621=$B$403:$B$594)*("Weekday"=$D$403:$D$594),0))*Weekdays+INDEX(G$403:G$594,MATCH(1,($A621=$A$403:$A$594)*($B621=$B$403:$B$594)*("Weekend"=$D$403:$D$594),0))*WeekendDays)/DaysPerWeek</f>
        <v>0</v>
      </c>
      <c r="G621" s="10" cm="1">
        <f t="array" ref="G621">(INDEX(H$403:H$594,MATCH(1,($A621=$A$403:$A$594)*($B621=$B$403:$B$594)*("Weekday"=$D$403:$D$594),0))*Weekdays+INDEX(H$403:H$594,MATCH(1,($A621=$A$403:$A$594)*($B621=$B$403:$B$594)*("Weekend"=$D$403:$D$594),0))*WeekendDays)/DaysPerWeek</f>
        <v>3.5671972814694077E-4</v>
      </c>
      <c r="H621" s="10" cm="1">
        <f t="array" ref="H621">(INDEX(I$403:I$594,MATCH(1,($A621=$A$403:$A$594)*($B621=$B$403:$B$594)*("Weekday"=$D$403:$D$594),0))*Weekdays+INDEX(I$403:I$594,MATCH(1,($A621=$A$403:$A$594)*($B621=$B$403:$B$594)*("Weekend"=$D$403:$D$594),0))*WeekendDays)/DaysPerWeek</f>
        <v>3.5671972814694077E-4</v>
      </c>
      <c r="I621" s="10" cm="1">
        <f t="array" ref="I621">(INDEX(J$403:J$594,MATCH(1,($A621=$A$403:$A$594)*($B621=$B$403:$B$594)*("Weekday"=$D$403:$D$594),0))*Weekdays+INDEX(J$403:J$594,MATCH(1,($A621=$A$403:$A$594)*($B621=$B$403:$B$594)*("Weekend"=$D$403:$D$594),0))*WeekendDays)/DaysPerWeek</f>
        <v>3.5671972814694077E-4</v>
      </c>
      <c r="J621" s="10">
        <v>0</v>
      </c>
      <c r="K621" s="10" cm="1">
        <f t="array" ref="K621">(INDEX(L$403:L$594,MATCH(1,($A621=$A$403:$A$594)*($B621=$B$403:$B$594)*("Weekday"=$D$403:$D$594),0))*Weekdays+INDEX(L$403:L$594,MATCH(1,($A621=$A$403:$A$594)*($B621=$B$403:$B$594)*("Weekend"=$D$403:$D$594),0))*WeekendDays)/DaysPerWeek</f>
        <v>5.4431362713518876E-5</v>
      </c>
      <c r="L621" s="10" cm="1">
        <f t="array" ref="L621">(INDEX(M$403:M$594,MATCH(1,($A621=$A$403:$A$594)*($B621=$B$403:$B$594)*("Weekday"=$D$403:$D$594),0))*Weekdays+INDEX(M$403:M$594,MATCH(1,($A621=$A$403:$A$594)*($B621=$B$403:$B$594)*("Weekend"=$D$403:$D$594),0))*WeekendDays)/DaysPerWeek</f>
        <v>0</v>
      </c>
      <c r="M621" s="10" cm="1">
        <f t="array" ref="M621">(INDEX(N$403:N$594,MATCH(1,($A621=$A$403:$A$594)*($B621=$B$403:$B$594)*("Weekday"=$D$403:$D$594),0))*Weekdays+INDEX(N$403:N$594,MATCH(1,($A621=$A$403:$A$594)*($B621=$B$403:$B$594)*("Weekend"=$D$403:$D$594),0))*WeekendDays)/DaysPerWeek</f>
        <v>3.5671972814694077E-4</v>
      </c>
      <c r="N621" s="10" cm="1">
        <f t="array" ref="N621">(INDEX(O$403:O$594,MATCH(1,($A621=$A$403:$A$594)*($B621=$B$403:$B$594)*("Weekday"=$D$403:$D$594),0))*Weekdays+INDEX(O$403:O$594,MATCH(1,($A621=$A$403:$A$594)*($B621=$B$403:$B$594)*("Weekend"=$D$403:$D$594),0))*WeekendDays)/DaysPerWeek</f>
        <v>3.5671972814694077E-4</v>
      </c>
      <c r="O621" s="10" cm="1">
        <f t="array" ref="O621">(INDEX(P$403:P$594,MATCH(1,($A621=$A$403:$A$594)*($B621=$B$403:$B$594)*("Weekday"=$D$403:$D$594),0))*Weekdays+INDEX(P$403:P$594,MATCH(1,($A621=$A$403:$A$594)*($B621=$B$403:$B$594)*("Weekend"=$D$403:$D$594),0))*WeekendDays)/DaysPerWeek</f>
        <v>3.5671972814694077E-4</v>
      </c>
      <c r="P621" s="10" cm="1">
        <f t="array" ref="P621">(INDEX(Q$403:Q$594,MATCH(1,($A621=$A$403:$A$594)*($B621=$B$403:$B$594)*("Weekday"=$D$403:$D$594),0))*Weekdays+INDEX(Q$403:Q$594,MATCH(1,($A621=$A$403:$A$594)*($B621=$B$403:$B$594)*("Weekend"=$D$403:$D$594),0))*WeekendDays)/DaysPerWeek</f>
        <v>1.8602487529392129E-4</v>
      </c>
      <c r="Q621" s="10" cm="1">
        <f t="array" ref="Q621">(INDEX(R$403:R$594,MATCH(1,($A621=$A$403:$A$594)*($B621=$B$403:$B$594)*("Weekday"=$D$403:$D$594),0))*Weekdays+INDEX(R$403:R$594,MATCH(1,($A621=$A$403:$A$594)*($B621=$B$403:$B$594)*("Weekend"=$D$403:$D$594),0))*WeekendDays)/DaysPerWeek</f>
        <v>1.8602487529392129E-4</v>
      </c>
      <c r="R621" s="10" cm="1">
        <f t="array" ref="R621">(INDEX(S$403:S$594,MATCH(1,($A621=$A$403:$A$594)*($B621=$B$403:$B$594)*("Weekday"=$D$403:$D$594),0))*Weekdays+INDEX(S$403:S$594,MATCH(1,($A621=$A$403:$A$594)*($B621=$B$403:$B$594)*("Weekend"=$D$403:$D$594),0))*WeekendDays)/DaysPerWeek</f>
        <v>1.8602487529392129E-4</v>
      </c>
      <c r="S621" s="10" cm="1">
        <f t="array" ref="S621">(INDEX(T$403:T$594,MATCH(1,($A621=$A$403:$A$594)*($B621=$B$403:$B$594)*("Weekday"=$D$403:$D$594),0))*Weekdays+INDEX(T$403:T$594,MATCH(1,($A621=$A$403:$A$594)*($B621=$B$403:$B$594)*("Weekend"=$D$403:$D$594),0))*WeekendDays)/DaysPerWeek</f>
        <v>1.8602487529392129E-4</v>
      </c>
      <c r="T621" s="10" cm="1">
        <f t="array" ref="T621">(INDEX(U$403:U$594,MATCH(1,($A621=$A$403:$A$594)*($B621=$B$403:$B$594)*("Weekday"=$D$403:$D$594),0))*Weekdays+INDEX(U$403:U$594,MATCH(1,($A621=$A$403:$A$594)*($B621=$B$403:$B$594)*("Weekend"=$D$403:$D$594),0))*WeekendDays)/DaysPerWeek</f>
        <v>1.8602487529392129E-4</v>
      </c>
      <c r="U621" s="10" cm="1">
        <f t="array" ref="U621">(INDEX(V$403:V$594,MATCH(1,($A621=$A$403:$A$594)*($B621=$B$403:$B$594)*("Weekday"=$D$403:$D$594),0))*Weekdays+INDEX(V$403:V$594,MATCH(1,($A621=$A$403:$A$594)*($B621=$B$403:$B$594)*("Weekend"=$D$403:$D$594),0))*WeekendDays)/DaysPerWeek</f>
        <v>1.8602487529392129E-4</v>
      </c>
      <c r="V621" s="10" cm="1">
        <f t="array" ref="V621">(INDEX(W$403:W$594,MATCH(1,($A621=$A$403:$A$594)*($B621=$B$403:$B$594)*("Weekday"=$D$403:$D$594),0))*Weekdays+INDEX(W$403:W$594,MATCH(1,($A621=$A$403:$A$594)*($B621=$B$403:$B$594)*("Weekend"=$D$403:$D$594),0))*WeekendDays)/DaysPerWeek</f>
        <v>1.5438212781666293E-4</v>
      </c>
      <c r="W621" s="10" cm="1">
        <f t="array" ref="W621">(INDEX(X$403:X$594,MATCH(1,($A621=$A$403:$A$594)*($B621=$B$403:$B$594)*("Weekday"=$D$403:$D$594),0))*Weekdays+INDEX(X$403:X$594,MATCH(1,($A621=$A$403:$A$594)*($B621=$B$403:$B$594)*("Weekend"=$D$403:$D$594),0))*WeekendDays)/DaysPerWeek</f>
        <v>1.5438212781666293E-4</v>
      </c>
      <c r="X621" s="10" cm="1">
        <f t="array" ref="X621">(INDEX(Y$403:Y$594,MATCH(1,($A621=$A$403:$A$594)*($B621=$B$403:$B$594)*("Weekday"=$D$403:$D$594),0))*Weekdays+INDEX(Y$403:Y$594,MATCH(1,($A621=$A$403:$A$594)*($B621=$B$403:$B$594)*("Weekend"=$D$403:$D$594),0))*WeekendDays)/DaysPerWeek</f>
        <v>1.5438212781666293E-4</v>
      </c>
      <c r="Y621" s="27">
        <f t="shared" si="242"/>
        <v>3.8141845968937592E-3</v>
      </c>
      <c r="Z621" s="32" t="str">
        <f t="shared" si="241"/>
        <v/>
      </c>
    </row>
    <row r="622" spans="1:26" outlineLevel="1" x14ac:dyDescent="0.3">
      <c r="A622" t="s">
        <v>139</v>
      </c>
      <c r="B622" t="s">
        <v>86</v>
      </c>
      <c r="C622" s="6" t="s">
        <v>162</v>
      </c>
      <c r="D622" s="10">
        <v>0</v>
      </c>
      <c r="E622" s="10" cm="1">
        <f t="array" ref="E622">(INDEX(F$403:F$594,MATCH(1,($A622=$A$403:$A$594)*($B622=$B$403:$B$594)*("Weekday"=$D$403:$D$594),0))*Weekdays+INDEX(F$403:F$594,MATCH(1,($A622=$A$403:$A$594)*($B622=$B$403:$B$594)*("Weekend"=$D$403:$D$594),0))*WeekendDays)/DaysPerWeek</f>
        <v>2.7511391512954216E-5</v>
      </c>
      <c r="F622" s="10" cm="1">
        <f t="array" ref="F622">(INDEX(G$403:G$594,MATCH(1,($A622=$A$403:$A$594)*($B622=$B$403:$B$594)*("Weekday"=$D$403:$D$594),0))*Weekdays+INDEX(G$403:G$594,MATCH(1,($A622=$A$403:$A$594)*($B622=$B$403:$B$594)*("Weekend"=$D$403:$D$594),0))*WeekendDays)/DaysPerWeek</f>
        <v>0</v>
      </c>
      <c r="G622" s="10" cm="1">
        <f t="array" ref="G622">(INDEX(H$403:H$594,MATCH(1,($A622=$A$403:$A$594)*($B622=$B$403:$B$594)*("Weekday"=$D$403:$D$594),0))*Weekdays+INDEX(H$403:H$594,MATCH(1,($A622=$A$403:$A$594)*($B622=$B$403:$B$594)*("Weekend"=$D$403:$D$594),0))*WeekendDays)/DaysPerWeek</f>
        <v>2.1837809357990099E-4</v>
      </c>
      <c r="H622" s="10" cm="1">
        <f t="array" ref="H622">(INDEX(I$403:I$594,MATCH(1,($A622=$A$403:$A$594)*($B622=$B$403:$B$594)*("Weekday"=$D$403:$D$594),0))*Weekdays+INDEX(I$403:I$594,MATCH(1,($A622=$A$403:$A$594)*($B622=$B$403:$B$594)*("Weekend"=$D$403:$D$594),0))*WeekendDays)/DaysPerWeek</f>
        <v>2.1837809357990099E-4</v>
      </c>
      <c r="I622" s="10" cm="1">
        <f t="array" ref="I622">(INDEX(J$403:J$594,MATCH(1,($A622=$A$403:$A$594)*($B622=$B$403:$B$594)*("Weekday"=$D$403:$D$594),0))*Weekdays+INDEX(J$403:J$594,MATCH(1,($A622=$A$403:$A$594)*($B622=$B$403:$B$594)*("Weekend"=$D$403:$D$594),0))*WeekendDays)/DaysPerWeek</f>
        <v>2.1837809357990099E-4</v>
      </c>
      <c r="J622" s="10">
        <v>0</v>
      </c>
      <c r="K622" s="10" cm="1">
        <f t="array" ref="K622">(INDEX(L$403:L$594,MATCH(1,($A622=$A$403:$A$594)*($B622=$B$403:$B$594)*("Weekday"=$D$403:$D$594),0))*Weekdays+INDEX(L$403:L$594,MATCH(1,($A622=$A$403:$A$594)*($B622=$B$403:$B$594)*("Weekend"=$D$403:$D$594),0))*WeekendDays)/DaysPerWeek</f>
        <v>4.9077237376027361E-5</v>
      </c>
      <c r="L622" s="10" cm="1">
        <f t="array" ref="L622">(INDEX(M$403:M$594,MATCH(1,($A622=$A$403:$A$594)*($B622=$B$403:$B$594)*("Weekday"=$D$403:$D$594),0))*Weekdays+INDEX(M$403:M$594,MATCH(1,($A622=$A$403:$A$594)*($B622=$B$403:$B$594)*("Weekend"=$D$403:$D$594),0))*WeekendDays)/DaysPerWeek</f>
        <v>0</v>
      </c>
      <c r="M622" s="10" cm="1">
        <f t="array" ref="M622">(INDEX(N$403:N$594,MATCH(1,($A622=$A$403:$A$594)*($B622=$B$403:$B$594)*("Weekday"=$D$403:$D$594),0))*Weekdays+INDEX(N$403:N$594,MATCH(1,($A622=$A$403:$A$594)*($B622=$B$403:$B$594)*("Weekend"=$D$403:$D$594),0))*WeekendDays)/DaysPerWeek</f>
        <v>2.1837809357990099E-4</v>
      </c>
      <c r="N622" s="10" cm="1">
        <f t="array" ref="N622">(INDEX(O$403:O$594,MATCH(1,($A622=$A$403:$A$594)*($B622=$B$403:$B$594)*("Weekday"=$D$403:$D$594),0))*Weekdays+INDEX(O$403:O$594,MATCH(1,($A622=$A$403:$A$594)*($B622=$B$403:$B$594)*("Weekend"=$D$403:$D$594),0))*WeekendDays)/DaysPerWeek</f>
        <v>2.1837809357990099E-4</v>
      </c>
      <c r="O622" s="10" cm="1">
        <f t="array" ref="O622">(INDEX(P$403:P$594,MATCH(1,($A622=$A$403:$A$594)*($B622=$B$403:$B$594)*("Weekday"=$D$403:$D$594),0))*Weekdays+INDEX(P$403:P$594,MATCH(1,($A622=$A$403:$A$594)*($B622=$B$403:$B$594)*("Weekend"=$D$403:$D$594),0))*WeekendDays)/DaysPerWeek</f>
        <v>2.1837809357990099E-4</v>
      </c>
      <c r="P622" s="10" cm="1">
        <f t="array" ref="P622">(INDEX(Q$403:Q$594,MATCH(1,($A622=$A$403:$A$594)*($B622=$B$403:$B$594)*("Weekday"=$D$403:$D$594),0))*Weekdays+INDEX(Q$403:Q$594,MATCH(1,($A622=$A$403:$A$594)*($B622=$B$403:$B$594)*("Weekend"=$D$403:$D$594),0))*WeekendDays)/DaysPerWeek</f>
        <v>1.8499360732853926E-4</v>
      </c>
      <c r="Q622" s="10" cm="1">
        <f t="array" ref="Q622">(INDEX(R$403:R$594,MATCH(1,($A622=$A$403:$A$594)*($B622=$B$403:$B$594)*("Weekday"=$D$403:$D$594),0))*Weekdays+INDEX(R$403:R$594,MATCH(1,($A622=$A$403:$A$594)*($B622=$B$403:$B$594)*("Weekend"=$D$403:$D$594),0))*WeekendDays)/DaysPerWeek</f>
        <v>1.8499360732853926E-4</v>
      </c>
      <c r="R622" s="10" cm="1">
        <f t="array" ref="R622">(INDEX(S$403:S$594,MATCH(1,($A622=$A$403:$A$594)*($B622=$B$403:$B$594)*("Weekday"=$D$403:$D$594),0))*Weekdays+INDEX(S$403:S$594,MATCH(1,($A622=$A$403:$A$594)*($B622=$B$403:$B$594)*("Weekend"=$D$403:$D$594),0))*WeekendDays)/DaysPerWeek</f>
        <v>1.8499360732853926E-4</v>
      </c>
      <c r="S622" s="10" cm="1">
        <f t="array" ref="S622">(INDEX(T$403:T$594,MATCH(1,($A622=$A$403:$A$594)*($B622=$B$403:$B$594)*("Weekday"=$D$403:$D$594),0))*Weekdays+INDEX(T$403:T$594,MATCH(1,($A622=$A$403:$A$594)*($B622=$B$403:$B$594)*("Weekend"=$D$403:$D$594),0))*WeekendDays)/DaysPerWeek</f>
        <v>1.8499360732853926E-4</v>
      </c>
      <c r="T622" s="10" cm="1">
        <f t="array" ref="T622">(INDEX(U$403:U$594,MATCH(1,($A622=$A$403:$A$594)*($B622=$B$403:$B$594)*("Weekday"=$D$403:$D$594),0))*Weekdays+INDEX(U$403:U$594,MATCH(1,($A622=$A$403:$A$594)*($B622=$B$403:$B$594)*("Weekend"=$D$403:$D$594),0))*WeekendDays)/DaysPerWeek</f>
        <v>1.8499360732853926E-4</v>
      </c>
      <c r="U622" s="10" cm="1">
        <f t="array" ref="U622">(INDEX(V$403:V$594,MATCH(1,($A622=$A$403:$A$594)*($B622=$B$403:$B$594)*("Weekday"=$D$403:$D$594),0))*Weekdays+INDEX(V$403:V$594,MATCH(1,($A622=$A$403:$A$594)*($B622=$B$403:$B$594)*("Weekend"=$D$403:$D$594),0))*WeekendDays)/DaysPerWeek</f>
        <v>1.8499360732853926E-4</v>
      </c>
      <c r="V622" s="10" cm="1">
        <f t="array" ref="V622">(INDEX(W$403:W$594,MATCH(1,($A622=$A$403:$A$594)*($B622=$B$403:$B$594)*("Weekday"=$D$403:$D$594),0))*Weekdays+INDEX(W$403:W$594,MATCH(1,($A622=$A$403:$A$594)*($B622=$B$403:$B$594)*("Weekend"=$D$403:$D$594),0))*WeekendDays)/DaysPerWeek</f>
        <v>1.5360983102918589E-4</v>
      </c>
      <c r="W622" s="10" cm="1">
        <f t="array" ref="W622">(INDEX(X$403:X$594,MATCH(1,($A622=$A$403:$A$594)*($B622=$B$403:$B$594)*("Weekday"=$D$403:$D$594),0))*Weekdays+INDEX(X$403:X$594,MATCH(1,($A622=$A$403:$A$594)*($B622=$B$403:$B$594)*("Weekend"=$D$403:$D$594),0))*WeekendDays)/DaysPerWeek</f>
        <v>1.5360983102918589E-4</v>
      </c>
      <c r="X622" s="10" cm="1">
        <f t="array" ref="X622">(INDEX(Y$403:Y$594,MATCH(1,($A622=$A$403:$A$594)*($B622=$B$403:$B$594)*("Weekday"=$D$403:$D$594),0))*Weekdays+INDEX(Y$403:Y$594,MATCH(1,($A622=$A$403:$A$594)*($B622=$B$403:$B$594)*("Weekend"=$D$403:$D$594),0))*WeekendDays)/DaysPerWeek</f>
        <v>1.5360983102918589E-4</v>
      </c>
      <c r="Y622" s="27">
        <f t="shared" si="242"/>
        <v>2.9576483274271802E-3</v>
      </c>
      <c r="Z622" s="32" t="str">
        <f t="shared" si="241"/>
        <v/>
      </c>
    </row>
    <row r="623" spans="1:26" outlineLevel="1" x14ac:dyDescent="0.3">
      <c r="A623" t="s">
        <v>139</v>
      </c>
      <c r="B623" t="s">
        <v>87</v>
      </c>
      <c r="C623" s="6" t="s">
        <v>163</v>
      </c>
      <c r="D623" s="10">
        <v>0</v>
      </c>
      <c r="E623" s="10" cm="1">
        <f t="array" ref="E623">(INDEX(F$403:F$594,MATCH(1,($A623=$A$403:$A$594)*($B623=$B$403:$B$594)*("Weekday"=$D$403:$D$594),0))*Weekdays+INDEX(F$403:F$594,MATCH(1,($A623=$A$403:$A$594)*($B623=$B$403:$B$594)*("Weekend"=$D$403:$D$594),0))*WeekendDays)/DaysPerWeek</f>
        <v>1.9140576584467562E-5</v>
      </c>
      <c r="F623" s="10" cm="1">
        <f t="array" ref="F623">(INDEX(G$403:G$594,MATCH(1,($A623=$A$403:$A$594)*($B623=$B$403:$B$594)*("Weekday"=$D$403:$D$594),0))*Weekdays+INDEX(G$403:G$594,MATCH(1,($A623=$A$403:$A$594)*($B623=$B$403:$B$594)*("Weekend"=$D$403:$D$594),0))*WeekendDays)/DaysPerWeek</f>
        <v>0</v>
      </c>
      <c r="G623" s="10" cm="1">
        <f t="array" ref="G623">(INDEX(H$403:H$594,MATCH(1,($A623=$A$403:$A$594)*($B623=$B$403:$B$594)*("Weekday"=$D$403:$D$594),0))*Weekdays+INDEX(H$403:H$594,MATCH(1,($A623=$A$403:$A$594)*($B623=$B$403:$B$594)*("Weekend"=$D$403:$D$594),0))*WeekendDays)/DaysPerWeek</f>
        <v>1.175335755690199E-4</v>
      </c>
      <c r="H623" s="10" cm="1">
        <f t="array" ref="H623">(INDEX(I$403:I$594,MATCH(1,($A623=$A$403:$A$594)*($B623=$B$403:$B$594)*("Weekday"=$D$403:$D$594),0))*Weekdays+INDEX(I$403:I$594,MATCH(1,($A623=$A$403:$A$594)*($B623=$B$403:$B$594)*("Weekend"=$D$403:$D$594),0))*WeekendDays)/DaysPerWeek</f>
        <v>1.175335755690199E-4</v>
      </c>
      <c r="I623" s="10" cm="1">
        <f t="array" ref="I623">(INDEX(J$403:J$594,MATCH(1,($A623=$A$403:$A$594)*($B623=$B$403:$B$594)*("Weekday"=$D$403:$D$594),0))*Weekdays+INDEX(J$403:J$594,MATCH(1,($A623=$A$403:$A$594)*($B623=$B$403:$B$594)*("Weekend"=$D$403:$D$594),0))*WeekendDays)/DaysPerWeek</f>
        <v>1.175335755690199E-4</v>
      </c>
      <c r="J623" s="10">
        <v>0</v>
      </c>
      <c r="K623" s="10" cm="1">
        <f t="array" ref="K623">(INDEX(L$403:L$594,MATCH(1,($A623=$A$403:$A$594)*($B623=$B$403:$B$594)*("Weekday"=$D$403:$D$594),0))*Weekdays+INDEX(L$403:L$594,MATCH(1,($A623=$A$403:$A$594)*($B623=$B$403:$B$594)*("Weekend"=$D$403:$D$594),0))*WeekendDays)/DaysPerWeek</f>
        <v>4.3388258023758676E-5</v>
      </c>
      <c r="L623" s="10" cm="1">
        <f t="array" ref="L623">(INDEX(M$403:M$594,MATCH(1,($A623=$A$403:$A$594)*($B623=$B$403:$B$594)*("Weekday"=$D$403:$D$594),0))*Weekdays+INDEX(M$403:M$594,MATCH(1,($A623=$A$403:$A$594)*($B623=$B$403:$B$594)*("Weekend"=$D$403:$D$594),0))*WeekendDays)/DaysPerWeek</f>
        <v>0</v>
      </c>
      <c r="M623" s="10" cm="1">
        <f t="array" ref="M623">(INDEX(N$403:N$594,MATCH(1,($A623=$A$403:$A$594)*($B623=$B$403:$B$594)*("Weekday"=$D$403:$D$594),0))*Weekdays+INDEX(N$403:N$594,MATCH(1,($A623=$A$403:$A$594)*($B623=$B$403:$B$594)*("Weekend"=$D$403:$D$594),0))*WeekendDays)/DaysPerWeek</f>
        <v>1.175335755690199E-4</v>
      </c>
      <c r="N623" s="10" cm="1">
        <f t="array" ref="N623">(INDEX(O$403:O$594,MATCH(1,($A623=$A$403:$A$594)*($B623=$B$403:$B$594)*("Weekday"=$D$403:$D$594),0))*Weekdays+INDEX(O$403:O$594,MATCH(1,($A623=$A$403:$A$594)*($B623=$B$403:$B$594)*("Weekend"=$D$403:$D$594),0))*WeekendDays)/DaysPerWeek</f>
        <v>1.175335755690199E-4</v>
      </c>
      <c r="O623" s="10" cm="1">
        <f t="array" ref="O623">(INDEX(P$403:P$594,MATCH(1,($A623=$A$403:$A$594)*($B623=$B$403:$B$594)*("Weekday"=$D$403:$D$594),0))*Weekdays+INDEX(P$403:P$594,MATCH(1,($A623=$A$403:$A$594)*($B623=$B$403:$B$594)*("Weekend"=$D$403:$D$594),0))*WeekendDays)/DaysPerWeek</f>
        <v>1.175335755690199E-4</v>
      </c>
      <c r="P623" s="10" cm="1">
        <f t="array" ref="P623">(INDEX(Q$403:Q$594,MATCH(1,($A623=$A$403:$A$594)*($B623=$B$403:$B$594)*("Weekday"=$D$403:$D$594),0))*Weekdays+INDEX(Q$403:Q$594,MATCH(1,($A623=$A$403:$A$594)*($B623=$B$403:$B$594)*("Weekend"=$D$403:$D$594),0))*WeekendDays)/DaysPerWeek</f>
        <v>1.2422812567602592E-4</v>
      </c>
      <c r="Q623" s="10" cm="1">
        <f t="array" ref="Q623">(INDEX(R$403:R$594,MATCH(1,($A623=$A$403:$A$594)*($B623=$B$403:$B$594)*("Weekday"=$D$403:$D$594),0))*Weekdays+INDEX(R$403:R$594,MATCH(1,($A623=$A$403:$A$594)*($B623=$B$403:$B$594)*("Weekend"=$D$403:$D$594),0))*WeekendDays)/DaysPerWeek</f>
        <v>1.2422812567602592E-4</v>
      </c>
      <c r="R623" s="10" cm="1">
        <f t="array" ref="R623">(INDEX(S$403:S$594,MATCH(1,($A623=$A$403:$A$594)*($B623=$B$403:$B$594)*("Weekday"=$D$403:$D$594),0))*Weekdays+INDEX(S$403:S$594,MATCH(1,($A623=$A$403:$A$594)*($B623=$B$403:$B$594)*("Weekend"=$D$403:$D$594),0))*WeekendDays)/DaysPerWeek</f>
        <v>1.2422812567602592E-4</v>
      </c>
      <c r="S623" s="10" cm="1">
        <f t="array" ref="S623">(INDEX(T$403:T$594,MATCH(1,($A623=$A$403:$A$594)*($B623=$B$403:$B$594)*("Weekday"=$D$403:$D$594),0))*Weekdays+INDEX(T$403:T$594,MATCH(1,($A623=$A$403:$A$594)*($B623=$B$403:$B$594)*("Weekend"=$D$403:$D$594),0))*WeekendDays)/DaysPerWeek</f>
        <v>1.2422812567602592E-4</v>
      </c>
      <c r="T623" s="10" cm="1">
        <f t="array" ref="T623">(INDEX(U$403:U$594,MATCH(1,($A623=$A$403:$A$594)*($B623=$B$403:$B$594)*("Weekday"=$D$403:$D$594),0))*Weekdays+INDEX(U$403:U$594,MATCH(1,($A623=$A$403:$A$594)*($B623=$B$403:$B$594)*("Weekend"=$D$403:$D$594),0))*WeekendDays)/DaysPerWeek</f>
        <v>1.2422812567602592E-4</v>
      </c>
      <c r="U623" s="10" cm="1">
        <f t="array" ref="U623">(INDEX(V$403:V$594,MATCH(1,($A623=$A$403:$A$594)*($B623=$B$403:$B$594)*("Weekday"=$D$403:$D$594),0))*Weekdays+INDEX(V$403:V$594,MATCH(1,($A623=$A$403:$A$594)*($B623=$B$403:$B$594)*("Weekend"=$D$403:$D$594),0))*WeekendDays)/DaysPerWeek</f>
        <v>1.2422812567602592E-4</v>
      </c>
      <c r="V623" s="10" cm="1">
        <f t="array" ref="V623">(INDEX(W$403:W$594,MATCH(1,($A623=$A$403:$A$594)*($B623=$B$403:$B$594)*("Weekday"=$D$403:$D$594),0))*Weekdays+INDEX(W$403:W$594,MATCH(1,($A623=$A$403:$A$594)*($B623=$B$403:$B$594)*("Weekend"=$D$403:$D$594),0))*WeekendDays)/DaysPerWeek</f>
        <v>1.5322368263544738E-4</v>
      </c>
      <c r="W623" s="10" cm="1">
        <f t="array" ref="W623">(INDEX(X$403:X$594,MATCH(1,($A623=$A$403:$A$594)*($B623=$B$403:$B$594)*("Weekday"=$D$403:$D$594),0))*Weekdays+INDEX(X$403:X$594,MATCH(1,($A623=$A$403:$A$594)*($B623=$B$403:$B$594)*("Weekend"=$D$403:$D$594),0))*WeekendDays)/DaysPerWeek</f>
        <v>1.5322368263544738E-4</v>
      </c>
      <c r="X623" s="10" cm="1">
        <f t="array" ref="X623">(INDEX(Y$403:Y$594,MATCH(1,($A623=$A$403:$A$594)*($B623=$B$403:$B$594)*("Weekday"=$D$403:$D$594),0))*Weekdays+INDEX(Y$403:Y$594,MATCH(1,($A623=$A$403:$A$594)*($B623=$B$403:$B$594)*("Weekend"=$D$403:$D$594),0))*WeekendDays)/DaysPerWeek</f>
        <v>1.5322368263544738E-4</v>
      </c>
      <c r="Y623" s="27">
        <f t="shared" si="242"/>
        <v>1.9727700899848429E-3</v>
      </c>
      <c r="Z623" s="32" t="str">
        <f t="shared" si="241"/>
        <v/>
      </c>
    </row>
    <row r="624" spans="1:26" outlineLevel="1" x14ac:dyDescent="0.3">
      <c r="A624" t="s">
        <v>164</v>
      </c>
      <c r="B624" t="s">
        <v>64</v>
      </c>
      <c r="C624" s="6" t="s">
        <v>140</v>
      </c>
      <c r="D624" s="10">
        <v>0</v>
      </c>
      <c r="E624" s="10" cm="1">
        <f t="array" ref="E624">(INDEX(F$403:F$594,MATCH(1,($A624=$A$403:$A$594)*($B624=$B$403:$B$594)*("Weekday"=$D$403:$D$594),0))*Weekdays+INDEX(F$403:F$594,MATCH(1,($A624=$A$403:$A$594)*($B624=$B$403:$B$594)*("Weekend"=$D$403:$D$594),0))*WeekendDays)/DaysPerWeek</f>
        <v>4.4524976701910602E-5</v>
      </c>
      <c r="F624" s="10" cm="1">
        <f t="array" ref="F624">(INDEX(G$403:G$594,MATCH(1,($A624=$A$403:$A$594)*($B624=$B$403:$B$594)*("Weekday"=$D$403:$D$594),0))*Weekdays+INDEX(G$403:G$594,MATCH(1,($A624=$A$403:$A$594)*($B624=$B$403:$B$594)*("Weekend"=$D$403:$D$594),0))*WeekendDays)/DaysPerWeek</f>
        <v>0</v>
      </c>
      <c r="G624" s="10" cm="1">
        <f t="array" ref="G624">(INDEX(H$403:H$594,MATCH(1,($A624=$A$403:$A$594)*($B624=$B$403:$B$594)*("Weekday"=$D$403:$D$594),0))*Weekdays+INDEX(H$403:H$594,MATCH(1,($A624=$A$403:$A$594)*($B624=$B$403:$B$594)*("Weekend"=$D$403:$D$594),0))*WeekendDays)/DaysPerWeek</f>
        <v>5.6739011094924553E-5</v>
      </c>
      <c r="H624" s="10" cm="1">
        <f t="array" ref="H624">(INDEX(I$403:I$594,MATCH(1,($A624=$A$403:$A$594)*($B624=$B$403:$B$594)*("Weekday"=$D$403:$D$594),0))*Weekdays+INDEX(I$403:I$594,MATCH(1,($A624=$A$403:$A$594)*($B624=$B$403:$B$594)*("Weekend"=$D$403:$D$594),0))*WeekendDays)/DaysPerWeek</f>
        <v>5.6739011094924553E-5</v>
      </c>
      <c r="I624" s="10" cm="1">
        <f t="array" ref="I624">(INDEX(J$403:J$594,MATCH(1,($A624=$A$403:$A$594)*($B624=$B$403:$B$594)*("Weekday"=$D$403:$D$594),0))*Weekdays+INDEX(J$403:J$594,MATCH(1,($A624=$A$403:$A$594)*($B624=$B$403:$B$594)*("Weekend"=$D$403:$D$594),0))*WeekendDays)/DaysPerWeek</f>
        <v>5.6739011094924553E-5</v>
      </c>
      <c r="J624" s="10">
        <v>0</v>
      </c>
      <c r="K624" s="10" cm="1">
        <f t="array" ref="K624">(INDEX(L$403:L$594,MATCH(1,($A624=$A$403:$A$594)*($B624=$B$403:$B$594)*("Weekday"=$D$403:$D$594),0))*Weekdays+INDEX(L$403:L$594,MATCH(1,($A624=$A$403:$A$594)*($B624=$B$403:$B$594)*("Weekend"=$D$403:$D$594),0))*WeekendDays)/DaysPerWeek</f>
        <v>7.4232705002437536E-5</v>
      </c>
      <c r="L624" s="10" cm="1">
        <f t="array" ref="L624">(INDEX(M$403:M$594,MATCH(1,($A624=$A$403:$A$594)*($B624=$B$403:$B$594)*("Weekday"=$D$403:$D$594),0))*Weekdays+INDEX(M$403:M$594,MATCH(1,($A624=$A$403:$A$594)*($B624=$B$403:$B$594)*("Weekend"=$D$403:$D$594),0))*WeekendDays)/DaysPerWeek</f>
        <v>0</v>
      </c>
      <c r="M624" s="10" cm="1">
        <f t="array" ref="M624">(INDEX(N$403:N$594,MATCH(1,($A624=$A$403:$A$594)*($B624=$B$403:$B$594)*("Weekday"=$D$403:$D$594),0))*Weekdays+INDEX(N$403:N$594,MATCH(1,($A624=$A$403:$A$594)*($B624=$B$403:$B$594)*("Weekend"=$D$403:$D$594),0))*WeekendDays)/DaysPerWeek</f>
        <v>5.6739011094924553E-5</v>
      </c>
      <c r="N624" s="10" cm="1">
        <f t="array" ref="N624">(INDEX(O$403:O$594,MATCH(1,($A624=$A$403:$A$594)*($B624=$B$403:$B$594)*("Weekday"=$D$403:$D$594),0))*Weekdays+INDEX(O$403:O$594,MATCH(1,($A624=$A$403:$A$594)*($B624=$B$403:$B$594)*("Weekend"=$D$403:$D$594),0))*WeekendDays)/DaysPerWeek</f>
        <v>5.6739011094924553E-5</v>
      </c>
      <c r="O624" s="10" cm="1">
        <f t="array" ref="O624">(INDEX(P$403:P$594,MATCH(1,($A624=$A$403:$A$594)*($B624=$B$403:$B$594)*("Weekday"=$D$403:$D$594),0))*Weekdays+INDEX(P$403:P$594,MATCH(1,($A624=$A$403:$A$594)*($B624=$B$403:$B$594)*("Weekend"=$D$403:$D$594),0))*WeekendDays)/DaysPerWeek</f>
        <v>5.6739011094924553E-5</v>
      </c>
      <c r="P624" s="10" cm="1">
        <f t="array" ref="P624">(INDEX(Q$403:Q$594,MATCH(1,($A624=$A$403:$A$594)*($B624=$B$403:$B$594)*("Weekday"=$D$403:$D$594),0))*Weekdays+INDEX(Q$403:Q$594,MATCH(1,($A624=$A$403:$A$594)*($B624=$B$403:$B$594)*("Weekend"=$D$403:$D$594),0))*WeekendDays)/DaysPerWeek</f>
        <v>5.8955589127984047E-5</v>
      </c>
      <c r="Q624" s="10" cm="1">
        <f t="array" ref="Q624">(INDEX(R$403:R$594,MATCH(1,($A624=$A$403:$A$594)*($B624=$B$403:$B$594)*("Weekday"=$D$403:$D$594),0))*Weekdays+INDEX(R$403:R$594,MATCH(1,($A624=$A$403:$A$594)*($B624=$B$403:$B$594)*("Weekend"=$D$403:$D$594),0))*WeekendDays)/DaysPerWeek</f>
        <v>5.8955589127984047E-5</v>
      </c>
      <c r="R624" s="10" cm="1">
        <f t="array" ref="R624">(INDEX(S$403:S$594,MATCH(1,($A624=$A$403:$A$594)*($B624=$B$403:$B$594)*("Weekday"=$D$403:$D$594),0))*Weekdays+INDEX(S$403:S$594,MATCH(1,($A624=$A$403:$A$594)*($B624=$B$403:$B$594)*("Weekend"=$D$403:$D$594),0))*WeekendDays)/DaysPerWeek</f>
        <v>5.8955589127984047E-5</v>
      </c>
      <c r="S624" s="10" cm="1">
        <f t="array" ref="S624">(INDEX(T$403:T$594,MATCH(1,($A624=$A$403:$A$594)*($B624=$B$403:$B$594)*("Weekday"=$D$403:$D$594),0))*Weekdays+INDEX(T$403:T$594,MATCH(1,($A624=$A$403:$A$594)*($B624=$B$403:$B$594)*("Weekend"=$D$403:$D$594),0))*WeekendDays)/DaysPerWeek</f>
        <v>5.8955589127984047E-5</v>
      </c>
      <c r="T624" s="10" cm="1">
        <f t="array" ref="T624">(INDEX(U$403:U$594,MATCH(1,($A624=$A$403:$A$594)*($B624=$B$403:$B$594)*("Weekday"=$D$403:$D$594),0))*Weekdays+INDEX(U$403:U$594,MATCH(1,($A624=$A$403:$A$594)*($B624=$B$403:$B$594)*("Weekend"=$D$403:$D$594),0))*WeekendDays)/DaysPerWeek</f>
        <v>5.8955589127984047E-5</v>
      </c>
      <c r="U624" s="10" cm="1">
        <f t="array" ref="U624">(INDEX(V$403:V$594,MATCH(1,($A624=$A$403:$A$594)*($B624=$B$403:$B$594)*("Weekday"=$D$403:$D$594),0))*Weekdays+INDEX(V$403:V$594,MATCH(1,($A624=$A$403:$A$594)*($B624=$B$403:$B$594)*("Weekend"=$D$403:$D$594),0))*WeekendDays)/DaysPerWeek</f>
        <v>5.8955589127984047E-5</v>
      </c>
      <c r="V624" s="10" cm="1">
        <f t="array" ref="V624">(INDEX(W$403:W$594,MATCH(1,($A624=$A$403:$A$594)*($B624=$B$403:$B$594)*("Weekday"=$D$403:$D$594),0))*Weekdays+INDEX(W$403:W$594,MATCH(1,($A624=$A$403:$A$594)*($B624=$B$403:$B$594)*("Weekend"=$D$403:$D$594),0))*WeekendDays)/DaysPerWeek</f>
        <v>1.1204179589626333E-4</v>
      </c>
      <c r="W624" s="10" cm="1">
        <f t="array" ref="W624">(INDEX(X$403:X$594,MATCH(1,($A624=$A$403:$A$594)*($B624=$B$403:$B$594)*("Weekday"=$D$403:$D$594),0))*Weekdays+INDEX(X$403:X$594,MATCH(1,($A624=$A$403:$A$594)*($B624=$B$403:$B$594)*("Weekend"=$D$403:$D$594),0))*WeekendDays)/DaysPerWeek</f>
        <v>1.1204179589626333E-4</v>
      </c>
      <c r="X624" s="10" cm="1">
        <f t="array" ref="X624">(INDEX(Y$403:Y$594,MATCH(1,($A624=$A$403:$A$594)*($B624=$B$403:$B$594)*("Weekday"=$D$403:$D$594),0))*Weekdays+INDEX(Y$403:Y$594,MATCH(1,($A624=$A$403:$A$594)*($B624=$B$403:$B$594)*("Weekend"=$D$403:$D$594),0))*WeekendDays)/DaysPerWeek</f>
        <v>1.1204179589626333E-4</v>
      </c>
      <c r="Y624" s="27">
        <f t="shared" si="242"/>
        <v>1.14905067073059E-3</v>
      </c>
      <c r="Z624" s="32" t="str">
        <f t="shared" si="241"/>
        <v/>
      </c>
    </row>
    <row r="625" spans="1:26" outlineLevel="1" x14ac:dyDescent="0.3">
      <c r="A625" t="s">
        <v>164</v>
      </c>
      <c r="B625" t="s">
        <v>65</v>
      </c>
      <c r="C625" s="6" t="s">
        <v>141</v>
      </c>
      <c r="D625" s="10">
        <v>0</v>
      </c>
      <c r="E625" s="10" cm="1">
        <f t="array" ref="E625">(INDEX(F$403:F$594,MATCH(1,($A625=$A$403:$A$594)*($B625=$B$403:$B$594)*("Weekday"=$D$403:$D$594),0))*Weekdays+INDEX(F$403:F$594,MATCH(1,($A625=$A$403:$A$594)*($B625=$B$403:$B$594)*("Weekend"=$D$403:$D$594),0))*WeekendDays)/DaysPerWeek</f>
        <v>3.7443894037611007E-5</v>
      </c>
      <c r="F625" s="10" cm="1">
        <f t="array" ref="F625">(INDEX(G$403:G$594,MATCH(1,($A625=$A$403:$A$594)*($B625=$B$403:$B$594)*("Weekday"=$D$403:$D$594),0))*Weekdays+INDEX(G$403:G$594,MATCH(1,($A625=$A$403:$A$594)*($B625=$B$403:$B$594)*("Weekend"=$D$403:$D$594),0))*WeekendDays)/DaysPerWeek</f>
        <v>0</v>
      </c>
      <c r="G625" s="10" cm="1">
        <f t="array" ref="G625">(INDEX(H$403:H$594,MATCH(1,($A625=$A$403:$A$594)*($B625=$B$403:$B$594)*("Weekday"=$D$403:$D$594),0))*Weekdays+INDEX(H$403:H$594,MATCH(1,($A625=$A$403:$A$594)*($B625=$B$403:$B$594)*("Weekend"=$D$403:$D$594),0))*WeekendDays)/DaysPerWeek</f>
        <v>5.1089136531495987E-5</v>
      </c>
      <c r="H625" s="10" cm="1">
        <f t="array" ref="H625">(INDEX(I$403:I$594,MATCH(1,($A625=$A$403:$A$594)*($B625=$B$403:$B$594)*("Weekday"=$D$403:$D$594),0))*Weekdays+INDEX(I$403:I$594,MATCH(1,($A625=$A$403:$A$594)*($B625=$B$403:$B$594)*("Weekend"=$D$403:$D$594),0))*WeekendDays)/DaysPerWeek</f>
        <v>5.1089136531495987E-5</v>
      </c>
      <c r="I625" s="10" cm="1">
        <f t="array" ref="I625">(INDEX(J$403:J$594,MATCH(1,($A625=$A$403:$A$594)*($B625=$B$403:$B$594)*("Weekday"=$D$403:$D$594),0))*Weekdays+INDEX(J$403:J$594,MATCH(1,($A625=$A$403:$A$594)*($B625=$B$403:$B$594)*("Weekend"=$D$403:$D$594),0))*WeekendDays)/DaysPerWeek</f>
        <v>5.1089136531495987E-5</v>
      </c>
      <c r="J625" s="10">
        <v>0</v>
      </c>
      <c r="K625" s="10" cm="1">
        <f t="array" ref="K625">(INDEX(L$403:L$594,MATCH(1,($A625=$A$403:$A$594)*($B625=$B$403:$B$594)*("Weekday"=$D$403:$D$594),0))*Weekdays+INDEX(L$403:L$594,MATCH(1,($A625=$A$403:$A$594)*($B625=$B$403:$B$594)*("Weekend"=$D$403:$D$594),0))*WeekendDays)/DaysPerWeek</f>
        <v>6.9492737319146565E-5</v>
      </c>
      <c r="L625" s="10" cm="1">
        <f t="array" ref="L625">(INDEX(M$403:M$594,MATCH(1,($A625=$A$403:$A$594)*($B625=$B$403:$B$594)*("Weekday"=$D$403:$D$594),0))*Weekdays+INDEX(M$403:M$594,MATCH(1,($A625=$A$403:$A$594)*($B625=$B$403:$B$594)*("Weekend"=$D$403:$D$594),0))*WeekendDays)/DaysPerWeek</f>
        <v>0</v>
      </c>
      <c r="M625" s="10" cm="1">
        <f t="array" ref="M625">(INDEX(N$403:N$594,MATCH(1,($A625=$A$403:$A$594)*($B625=$B$403:$B$594)*("Weekday"=$D$403:$D$594),0))*Weekdays+INDEX(N$403:N$594,MATCH(1,($A625=$A$403:$A$594)*($B625=$B$403:$B$594)*("Weekend"=$D$403:$D$594),0))*WeekendDays)/DaysPerWeek</f>
        <v>5.1089136531495987E-5</v>
      </c>
      <c r="N625" s="10" cm="1">
        <f t="array" ref="N625">(INDEX(O$403:O$594,MATCH(1,($A625=$A$403:$A$594)*($B625=$B$403:$B$594)*("Weekday"=$D$403:$D$594),0))*Weekdays+INDEX(O$403:O$594,MATCH(1,($A625=$A$403:$A$594)*($B625=$B$403:$B$594)*("Weekend"=$D$403:$D$594),0))*WeekendDays)/DaysPerWeek</f>
        <v>5.1089136531495987E-5</v>
      </c>
      <c r="O625" s="10" cm="1">
        <f t="array" ref="O625">(INDEX(P$403:P$594,MATCH(1,($A625=$A$403:$A$594)*($B625=$B$403:$B$594)*("Weekday"=$D$403:$D$594),0))*Weekdays+INDEX(P$403:P$594,MATCH(1,($A625=$A$403:$A$594)*($B625=$B$403:$B$594)*("Weekend"=$D$403:$D$594),0))*WeekendDays)/DaysPerWeek</f>
        <v>5.1089136531495987E-5</v>
      </c>
      <c r="P625" s="10" cm="1">
        <f t="array" ref="P625">(INDEX(Q$403:Q$594,MATCH(1,($A625=$A$403:$A$594)*($B625=$B$403:$B$594)*("Weekday"=$D$403:$D$594),0))*Weekdays+INDEX(Q$403:Q$594,MATCH(1,($A625=$A$403:$A$594)*($B625=$B$403:$B$594)*("Weekend"=$D$403:$D$594),0))*WeekendDays)/DaysPerWeek</f>
        <v>5.8738298553338321E-5</v>
      </c>
      <c r="Q625" s="10" cm="1">
        <f t="array" ref="Q625">(INDEX(R$403:R$594,MATCH(1,($A625=$A$403:$A$594)*($B625=$B$403:$B$594)*("Weekday"=$D$403:$D$594),0))*Weekdays+INDEX(R$403:R$594,MATCH(1,($A625=$A$403:$A$594)*($B625=$B$403:$B$594)*("Weekend"=$D$403:$D$594),0))*WeekendDays)/DaysPerWeek</f>
        <v>5.8738298553338321E-5</v>
      </c>
      <c r="R625" s="10" cm="1">
        <f t="array" ref="R625">(INDEX(S$403:S$594,MATCH(1,($A625=$A$403:$A$594)*($B625=$B$403:$B$594)*("Weekday"=$D$403:$D$594),0))*Weekdays+INDEX(S$403:S$594,MATCH(1,($A625=$A$403:$A$594)*($B625=$B$403:$B$594)*("Weekend"=$D$403:$D$594),0))*WeekendDays)/DaysPerWeek</f>
        <v>5.8738298553338321E-5</v>
      </c>
      <c r="S625" s="10" cm="1">
        <f t="array" ref="S625">(INDEX(T$403:T$594,MATCH(1,($A625=$A$403:$A$594)*($B625=$B$403:$B$594)*("Weekday"=$D$403:$D$594),0))*Weekdays+INDEX(T$403:T$594,MATCH(1,($A625=$A$403:$A$594)*($B625=$B$403:$B$594)*("Weekend"=$D$403:$D$594),0))*WeekendDays)/DaysPerWeek</f>
        <v>5.8738298553338321E-5</v>
      </c>
      <c r="T625" s="10" cm="1">
        <f t="array" ref="T625">(INDEX(U$403:U$594,MATCH(1,($A625=$A$403:$A$594)*($B625=$B$403:$B$594)*("Weekday"=$D$403:$D$594),0))*Weekdays+INDEX(U$403:U$594,MATCH(1,($A625=$A$403:$A$594)*($B625=$B$403:$B$594)*("Weekend"=$D$403:$D$594),0))*WeekendDays)/DaysPerWeek</f>
        <v>5.8738298553338321E-5</v>
      </c>
      <c r="U625" s="10" cm="1">
        <f t="array" ref="U625">(INDEX(V$403:V$594,MATCH(1,($A625=$A$403:$A$594)*($B625=$B$403:$B$594)*("Weekday"=$D$403:$D$594),0))*Weekdays+INDEX(V$403:V$594,MATCH(1,($A625=$A$403:$A$594)*($B625=$B$403:$B$594)*("Weekend"=$D$403:$D$594),0))*WeekendDays)/DaysPerWeek</f>
        <v>5.8738298553338321E-5</v>
      </c>
      <c r="V625" s="10" cm="1">
        <f t="array" ref="V625">(INDEX(W$403:W$594,MATCH(1,($A625=$A$403:$A$594)*($B625=$B$403:$B$594)*("Weekday"=$D$403:$D$594),0))*Weekdays+INDEX(W$403:W$594,MATCH(1,($A625=$A$403:$A$594)*($B625=$B$403:$B$594)*("Weekend"=$D$403:$D$594),0))*WeekendDays)/DaysPerWeek</f>
        <v>1.1189069435088739E-4</v>
      </c>
      <c r="W625" s="10" cm="1">
        <f t="array" ref="W625">(INDEX(X$403:X$594,MATCH(1,($A625=$A$403:$A$594)*($B625=$B$403:$B$594)*("Weekday"=$D$403:$D$594),0))*Weekdays+INDEX(X$403:X$594,MATCH(1,($A625=$A$403:$A$594)*($B625=$B$403:$B$594)*("Weekend"=$D$403:$D$594),0))*WeekendDays)/DaysPerWeek</f>
        <v>1.1189069435088739E-4</v>
      </c>
      <c r="X625" s="10" cm="1">
        <f t="array" ref="X625">(INDEX(Y$403:Y$594,MATCH(1,($A625=$A$403:$A$594)*($B625=$B$403:$B$594)*("Weekday"=$D$403:$D$594),0))*Weekdays+INDEX(Y$403:Y$594,MATCH(1,($A625=$A$403:$A$594)*($B625=$B$403:$B$594)*("Weekend"=$D$403:$D$594),0))*WeekendDays)/DaysPerWeek</f>
        <v>1.1189069435088739E-4</v>
      </c>
      <c r="Y625" s="27">
        <f t="shared" si="242"/>
        <v>1.1015733249184257E-3</v>
      </c>
      <c r="Z625" s="32" t="str">
        <f t="shared" si="241"/>
        <v/>
      </c>
    </row>
    <row r="626" spans="1:26" outlineLevel="1" x14ac:dyDescent="0.3">
      <c r="A626" t="s">
        <v>164</v>
      </c>
      <c r="B626" t="s">
        <v>66</v>
      </c>
      <c r="C626" s="6" t="s">
        <v>142</v>
      </c>
      <c r="D626" s="10">
        <v>0</v>
      </c>
      <c r="E626" s="10" cm="1">
        <f t="array" ref="E626">(INDEX(F$403:F$594,MATCH(1,($A626=$A$403:$A$594)*($B626=$B$403:$B$594)*("Weekday"=$D$403:$D$594),0))*Weekdays+INDEX(F$403:F$594,MATCH(1,($A626=$A$403:$A$594)*($B626=$B$403:$B$594)*("Weekend"=$D$403:$D$594),0))*WeekendDays)/DaysPerWeek</f>
        <v>3.5549716108451015E-5</v>
      </c>
      <c r="F626" s="10" cm="1">
        <f t="array" ref="F626">(INDEX(G$403:G$594,MATCH(1,($A626=$A$403:$A$594)*($B626=$B$403:$B$594)*("Weekday"=$D$403:$D$594),0))*Weekdays+INDEX(G$403:G$594,MATCH(1,($A626=$A$403:$A$594)*($B626=$B$403:$B$594)*("Weekend"=$D$403:$D$594),0))*WeekendDays)/DaysPerWeek</f>
        <v>0</v>
      </c>
      <c r="G626" s="10" cm="1">
        <f t="array" ref="G626">(INDEX(H$403:H$594,MATCH(1,($A626=$A$403:$A$594)*($B626=$B$403:$B$594)*("Weekday"=$D$403:$D$594),0))*Weekdays+INDEX(H$403:H$594,MATCH(1,($A626=$A$403:$A$594)*($B626=$B$403:$B$594)*("Weekend"=$D$403:$D$594),0))*WeekendDays)/DaysPerWeek</f>
        <v>5.011873259914929E-5</v>
      </c>
      <c r="H626" s="10" cm="1">
        <f t="array" ref="H626">(INDEX(I$403:I$594,MATCH(1,($A626=$A$403:$A$594)*($B626=$B$403:$B$594)*("Weekday"=$D$403:$D$594),0))*Weekdays+INDEX(I$403:I$594,MATCH(1,($A626=$A$403:$A$594)*($B626=$B$403:$B$594)*("Weekend"=$D$403:$D$594),0))*WeekendDays)/DaysPerWeek</f>
        <v>5.011873259914929E-5</v>
      </c>
      <c r="I626" s="10" cm="1">
        <f t="array" ref="I626">(INDEX(J$403:J$594,MATCH(1,($A626=$A$403:$A$594)*($B626=$B$403:$B$594)*("Weekday"=$D$403:$D$594),0))*Weekdays+INDEX(J$403:J$594,MATCH(1,($A626=$A$403:$A$594)*($B626=$B$403:$B$594)*("Weekend"=$D$403:$D$594),0))*WeekendDays)/DaysPerWeek</f>
        <v>5.011873259914929E-5</v>
      </c>
      <c r="J626" s="10">
        <v>0</v>
      </c>
      <c r="K626" s="10" cm="1">
        <f t="array" ref="K626">(INDEX(L$403:L$594,MATCH(1,($A626=$A$403:$A$594)*($B626=$B$403:$B$594)*("Weekday"=$D$403:$D$594),0))*Weekdays+INDEX(L$403:L$594,MATCH(1,($A626=$A$403:$A$594)*($B626=$B$403:$B$594)*("Weekend"=$D$403:$D$594),0))*WeekendDays)/DaysPerWeek</f>
        <v>6.7861530655705067E-5</v>
      </c>
      <c r="L626" s="10" cm="1">
        <f t="array" ref="L626">(INDEX(M$403:M$594,MATCH(1,($A626=$A$403:$A$594)*($B626=$B$403:$B$594)*("Weekday"=$D$403:$D$594),0))*Weekdays+INDEX(M$403:M$594,MATCH(1,($A626=$A$403:$A$594)*($B626=$B$403:$B$594)*("Weekend"=$D$403:$D$594),0))*WeekendDays)/DaysPerWeek</f>
        <v>0</v>
      </c>
      <c r="M626" s="10" cm="1">
        <f t="array" ref="M626">(INDEX(N$403:N$594,MATCH(1,($A626=$A$403:$A$594)*($B626=$B$403:$B$594)*("Weekday"=$D$403:$D$594),0))*Weekdays+INDEX(N$403:N$594,MATCH(1,($A626=$A$403:$A$594)*($B626=$B$403:$B$594)*("Weekend"=$D$403:$D$594),0))*WeekendDays)/DaysPerWeek</f>
        <v>5.011873259914929E-5</v>
      </c>
      <c r="N626" s="10" cm="1">
        <f t="array" ref="N626">(INDEX(O$403:O$594,MATCH(1,($A626=$A$403:$A$594)*($B626=$B$403:$B$594)*("Weekday"=$D$403:$D$594),0))*Weekdays+INDEX(O$403:O$594,MATCH(1,($A626=$A$403:$A$594)*($B626=$B$403:$B$594)*("Weekend"=$D$403:$D$594),0))*WeekendDays)/DaysPerWeek</f>
        <v>5.011873259914929E-5</v>
      </c>
      <c r="O626" s="10" cm="1">
        <f t="array" ref="O626">(INDEX(P$403:P$594,MATCH(1,($A626=$A$403:$A$594)*($B626=$B$403:$B$594)*("Weekday"=$D$403:$D$594),0))*Weekdays+INDEX(P$403:P$594,MATCH(1,($A626=$A$403:$A$594)*($B626=$B$403:$B$594)*("Weekend"=$D$403:$D$594),0))*WeekendDays)/DaysPerWeek</f>
        <v>5.011873259914929E-5</v>
      </c>
      <c r="P626" s="10" cm="1">
        <f t="array" ref="P626">(INDEX(Q$403:Q$594,MATCH(1,($A626=$A$403:$A$594)*($B626=$B$403:$B$594)*("Weekday"=$D$403:$D$594),0))*Weekdays+INDEX(Q$403:Q$594,MATCH(1,($A626=$A$403:$A$594)*($B626=$B$403:$B$594)*("Weekend"=$D$403:$D$594),0))*WeekendDays)/DaysPerWeek</f>
        <v>5.869949666500873E-5</v>
      </c>
      <c r="Q626" s="10" cm="1">
        <f t="array" ref="Q626">(INDEX(R$403:R$594,MATCH(1,($A626=$A$403:$A$594)*($B626=$B$403:$B$594)*("Weekday"=$D$403:$D$594),0))*Weekdays+INDEX(R$403:R$594,MATCH(1,($A626=$A$403:$A$594)*($B626=$B$403:$B$594)*("Weekend"=$D$403:$D$594),0))*WeekendDays)/DaysPerWeek</f>
        <v>5.869949666500873E-5</v>
      </c>
      <c r="R626" s="10" cm="1">
        <f t="array" ref="R626">(INDEX(S$403:S$594,MATCH(1,($A626=$A$403:$A$594)*($B626=$B$403:$B$594)*("Weekday"=$D$403:$D$594),0))*Weekdays+INDEX(S$403:S$594,MATCH(1,($A626=$A$403:$A$594)*($B626=$B$403:$B$594)*("Weekend"=$D$403:$D$594),0))*WeekendDays)/DaysPerWeek</f>
        <v>5.869949666500873E-5</v>
      </c>
      <c r="S626" s="10" cm="1">
        <f t="array" ref="S626">(INDEX(T$403:T$594,MATCH(1,($A626=$A$403:$A$594)*($B626=$B$403:$B$594)*("Weekday"=$D$403:$D$594),0))*Weekdays+INDEX(T$403:T$594,MATCH(1,($A626=$A$403:$A$594)*($B626=$B$403:$B$594)*("Weekend"=$D$403:$D$594),0))*WeekendDays)/DaysPerWeek</f>
        <v>5.869949666500873E-5</v>
      </c>
      <c r="T626" s="10" cm="1">
        <f t="array" ref="T626">(INDEX(U$403:U$594,MATCH(1,($A626=$A$403:$A$594)*($B626=$B$403:$B$594)*("Weekday"=$D$403:$D$594),0))*Weekdays+INDEX(U$403:U$594,MATCH(1,($A626=$A$403:$A$594)*($B626=$B$403:$B$594)*("Weekend"=$D$403:$D$594),0))*WeekendDays)/DaysPerWeek</f>
        <v>5.869949666500873E-5</v>
      </c>
      <c r="U626" s="10" cm="1">
        <f t="array" ref="U626">(INDEX(V$403:V$594,MATCH(1,($A626=$A$403:$A$594)*($B626=$B$403:$B$594)*("Weekday"=$D$403:$D$594),0))*Weekdays+INDEX(V$403:V$594,MATCH(1,($A626=$A$403:$A$594)*($B626=$B$403:$B$594)*("Weekend"=$D$403:$D$594),0))*WeekendDays)/DaysPerWeek</f>
        <v>5.869949666500873E-5</v>
      </c>
      <c r="V626" s="10" cm="1">
        <f t="array" ref="V626">(INDEX(W$403:W$594,MATCH(1,($A626=$A$403:$A$594)*($B626=$B$403:$B$594)*("Weekday"=$D$403:$D$594),0))*Weekdays+INDEX(W$403:W$594,MATCH(1,($A626=$A$403:$A$594)*($B626=$B$403:$B$594)*("Weekend"=$D$403:$D$594),0))*WeekendDays)/DaysPerWeek</f>
        <v>1.1189069435088739E-4</v>
      </c>
      <c r="W626" s="10" cm="1">
        <f t="array" ref="W626">(INDEX(X$403:X$594,MATCH(1,($A626=$A$403:$A$594)*($B626=$B$403:$B$594)*("Weekday"=$D$403:$D$594),0))*Weekdays+INDEX(X$403:X$594,MATCH(1,($A626=$A$403:$A$594)*($B626=$B$403:$B$594)*("Weekend"=$D$403:$D$594),0))*WeekendDays)/DaysPerWeek</f>
        <v>1.1189069435088739E-4</v>
      </c>
      <c r="X626" s="10" cm="1">
        <f t="array" ref="X626">(INDEX(Y$403:Y$594,MATCH(1,($A626=$A$403:$A$594)*($B626=$B$403:$B$594)*("Weekday"=$D$403:$D$594),0))*Weekdays+INDEX(Y$403:Y$594,MATCH(1,($A626=$A$403:$A$594)*($B626=$B$403:$B$594)*("Weekend"=$D$403:$D$594),0))*WeekendDays)/DaysPerWeek</f>
        <v>1.1189069435088739E-4</v>
      </c>
      <c r="Y626" s="27">
        <f t="shared" si="242"/>
        <v>1.0919927054017665E-3</v>
      </c>
      <c r="Z626" s="32" t="str">
        <f t="shared" si="241"/>
        <v/>
      </c>
    </row>
    <row r="627" spans="1:26" outlineLevel="1" x14ac:dyDescent="0.3">
      <c r="A627" t="s">
        <v>164</v>
      </c>
      <c r="B627" t="s">
        <v>67</v>
      </c>
      <c r="C627" s="6" t="s">
        <v>143</v>
      </c>
      <c r="D627" s="10">
        <v>0</v>
      </c>
      <c r="E627" s="10" cm="1">
        <f t="array" ref="E627">(INDEX(F$403:F$594,MATCH(1,($A627=$A$403:$A$594)*($B627=$B$403:$B$594)*("Weekday"=$D$403:$D$594),0))*Weekdays+INDEX(F$403:F$594,MATCH(1,($A627=$A$403:$A$594)*($B627=$B$403:$B$594)*("Weekend"=$D$403:$D$594),0))*WeekendDays)/DaysPerWeek</f>
        <v>3.7732536887019052E-5</v>
      </c>
      <c r="F627" s="10" cm="1">
        <f t="array" ref="F627">(INDEX(G$403:G$594,MATCH(1,($A627=$A$403:$A$594)*($B627=$B$403:$B$594)*("Weekday"=$D$403:$D$594),0))*Weekdays+INDEX(G$403:G$594,MATCH(1,($A627=$A$403:$A$594)*($B627=$B$403:$B$594)*("Weekend"=$D$403:$D$594),0))*WeekendDays)/DaysPerWeek</f>
        <v>0</v>
      </c>
      <c r="G627" s="10" cm="1">
        <f t="array" ref="G627">(INDEX(H$403:H$594,MATCH(1,($A627=$A$403:$A$594)*($B627=$B$403:$B$594)*("Weekday"=$D$403:$D$594),0))*Weekdays+INDEX(H$403:H$594,MATCH(1,($A627=$A$403:$A$594)*($B627=$B$403:$B$594)*("Weekend"=$D$403:$D$594),0))*WeekendDays)/DaysPerWeek</f>
        <v>5.0868079079970465E-5</v>
      </c>
      <c r="H627" s="10" cm="1">
        <f t="array" ref="H627">(INDEX(I$403:I$594,MATCH(1,($A627=$A$403:$A$594)*($B627=$B$403:$B$594)*("Weekday"=$D$403:$D$594),0))*Weekdays+INDEX(I$403:I$594,MATCH(1,($A627=$A$403:$A$594)*($B627=$B$403:$B$594)*("Weekend"=$D$403:$D$594),0))*WeekendDays)/DaysPerWeek</f>
        <v>5.0868079079970465E-5</v>
      </c>
      <c r="I627" s="10" cm="1">
        <f t="array" ref="I627">(INDEX(J$403:J$594,MATCH(1,($A627=$A$403:$A$594)*($B627=$B$403:$B$594)*("Weekday"=$D$403:$D$594),0))*Weekdays+INDEX(J$403:J$594,MATCH(1,($A627=$A$403:$A$594)*($B627=$B$403:$B$594)*("Weekend"=$D$403:$D$594),0))*WeekendDays)/DaysPerWeek</f>
        <v>5.0868079079970465E-5</v>
      </c>
      <c r="J627" s="10">
        <v>0</v>
      </c>
      <c r="K627" s="10" cm="1">
        <f t="array" ref="K627">(INDEX(L$403:L$594,MATCH(1,($A627=$A$403:$A$594)*($B627=$B$403:$B$594)*("Weekday"=$D$403:$D$594),0))*Weekdays+INDEX(L$403:L$594,MATCH(1,($A627=$A$403:$A$594)*($B627=$B$403:$B$594)*("Weekend"=$D$403:$D$594),0))*WeekendDays)/DaysPerWeek</f>
        <v>6.7598487332377536E-5</v>
      </c>
      <c r="L627" s="10" cm="1">
        <f t="array" ref="L627">(INDEX(M$403:M$594,MATCH(1,($A627=$A$403:$A$594)*($B627=$B$403:$B$594)*("Weekday"=$D$403:$D$594),0))*Weekdays+INDEX(M$403:M$594,MATCH(1,($A627=$A$403:$A$594)*($B627=$B$403:$B$594)*("Weekend"=$D$403:$D$594),0))*WeekendDays)/DaysPerWeek</f>
        <v>0</v>
      </c>
      <c r="M627" s="10" cm="1">
        <f t="array" ref="M627">(INDEX(N$403:N$594,MATCH(1,($A627=$A$403:$A$594)*($B627=$B$403:$B$594)*("Weekday"=$D$403:$D$594),0))*Weekdays+INDEX(N$403:N$594,MATCH(1,($A627=$A$403:$A$594)*($B627=$B$403:$B$594)*("Weekend"=$D$403:$D$594),0))*WeekendDays)/DaysPerWeek</f>
        <v>5.0868079079970465E-5</v>
      </c>
      <c r="N627" s="10" cm="1">
        <f t="array" ref="N627">(INDEX(O$403:O$594,MATCH(1,($A627=$A$403:$A$594)*($B627=$B$403:$B$594)*("Weekday"=$D$403:$D$594),0))*Weekdays+INDEX(O$403:O$594,MATCH(1,($A627=$A$403:$A$594)*($B627=$B$403:$B$594)*("Weekend"=$D$403:$D$594),0))*WeekendDays)/DaysPerWeek</f>
        <v>5.0868079079970465E-5</v>
      </c>
      <c r="O627" s="10" cm="1">
        <f t="array" ref="O627">(INDEX(P$403:P$594,MATCH(1,($A627=$A$403:$A$594)*($B627=$B$403:$B$594)*("Weekday"=$D$403:$D$594),0))*Weekdays+INDEX(P$403:P$594,MATCH(1,($A627=$A$403:$A$594)*($B627=$B$403:$B$594)*("Weekend"=$D$403:$D$594),0))*WeekendDays)/DaysPerWeek</f>
        <v>5.0868079079970465E-5</v>
      </c>
      <c r="P627" s="10" cm="1">
        <f t="array" ref="P627">(INDEX(Q$403:Q$594,MATCH(1,($A627=$A$403:$A$594)*($B627=$B$403:$B$594)*("Weekday"=$D$403:$D$594),0))*Weekdays+INDEX(Q$403:Q$594,MATCH(1,($A627=$A$403:$A$594)*($B627=$B$403:$B$594)*("Weekend"=$D$403:$D$594),0))*WeekendDays)/DaysPerWeek</f>
        <v>5.869949666500873E-5</v>
      </c>
      <c r="Q627" s="10" cm="1">
        <f t="array" ref="Q627">(INDEX(R$403:R$594,MATCH(1,($A627=$A$403:$A$594)*($B627=$B$403:$B$594)*("Weekday"=$D$403:$D$594),0))*Weekdays+INDEX(R$403:R$594,MATCH(1,($A627=$A$403:$A$594)*($B627=$B$403:$B$594)*("Weekend"=$D$403:$D$594),0))*WeekendDays)/DaysPerWeek</f>
        <v>5.869949666500873E-5</v>
      </c>
      <c r="R627" s="10" cm="1">
        <f t="array" ref="R627">(INDEX(S$403:S$594,MATCH(1,($A627=$A$403:$A$594)*($B627=$B$403:$B$594)*("Weekday"=$D$403:$D$594),0))*Weekdays+INDEX(S$403:S$594,MATCH(1,($A627=$A$403:$A$594)*($B627=$B$403:$B$594)*("Weekend"=$D$403:$D$594),0))*WeekendDays)/DaysPerWeek</f>
        <v>5.869949666500873E-5</v>
      </c>
      <c r="S627" s="10" cm="1">
        <f t="array" ref="S627">(INDEX(T$403:T$594,MATCH(1,($A627=$A$403:$A$594)*($B627=$B$403:$B$594)*("Weekday"=$D$403:$D$594),0))*Weekdays+INDEX(T$403:T$594,MATCH(1,($A627=$A$403:$A$594)*($B627=$B$403:$B$594)*("Weekend"=$D$403:$D$594),0))*WeekendDays)/DaysPerWeek</f>
        <v>5.869949666500873E-5</v>
      </c>
      <c r="T627" s="10" cm="1">
        <f t="array" ref="T627">(INDEX(U$403:U$594,MATCH(1,($A627=$A$403:$A$594)*($B627=$B$403:$B$594)*("Weekday"=$D$403:$D$594),0))*Weekdays+INDEX(U$403:U$594,MATCH(1,($A627=$A$403:$A$594)*($B627=$B$403:$B$594)*("Weekend"=$D$403:$D$594),0))*WeekendDays)/DaysPerWeek</f>
        <v>5.869949666500873E-5</v>
      </c>
      <c r="U627" s="10" cm="1">
        <f t="array" ref="U627">(INDEX(V$403:V$594,MATCH(1,($A627=$A$403:$A$594)*($B627=$B$403:$B$594)*("Weekday"=$D$403:$D$594),0))*Weekdays+INDEX(V$403:V$594,MATCH(1,($A627=$A$403:$A$594)*($B627=$B$403:$B$594)*("Weekend"=$D$403:$D$594),0))*WeekendDays)/DaysPerWeek</f>
        <v>5.869949666500873E-5</v>
      </c>
      <c r="V627" s="10" cm="1">
        <f t="array" ref="V627">(INDEX(W$403:W$594,MATCH(1,($A627=$A$403:$A$594)*($B627=$B$403:$B$594)*("Weekday"=$D$403:$D$594),0))*Weekdays+INDEX(W$403:W$594,MATCH(1,($A627=$A$403:$A$594)*($B627=$B$403:$B$594)*("Weekend"=$D$403:$D$594),0))*WeekendDays)/DaysPerWeek</f>
        <v>1.1196624512357539E-4</v>
      </c>
      <c r="W627" s="10" cm="1">
        <f t="array" ref="W627">(INDEX(X$403:X$594,MATCH(1,($A627=$A$403:$A$594)*($B627=$B$403:$B$594)*("Weekday"=$D$403:$D$594),0))*Weekdays+INDEX(X$403:X$594,MATCH(1,($A627=$A$403:$A$594)*($B627=$B$403:$B$594)*("Weekend"=$D$403:$D$594),0))*WeekendDays)/DaysPerWeek</f>
        <v>1.1196624512357539E-4</v>
      </c>
      <c r="X627" s="10" cm="1">
        <f t="array" ref="X627">(INDEX(Y$403:Y$594,MATCH(1,($A627=$A$403:$A$594)*($B627=$B$403:$B$594)*("Weekday"=$D$403:$D$594),0))*Weekdays+INDEX(Y$403:Y$594,MATCH(1,($A627=$A$403:$A$594)*($B627=$B$403:$B$594)*("Weekend"=$D$403:$D$594),0))*WeekendDays)/DaysPerWeek</f>
        <v>1.1196624512357539E-4</v>
      </c>
      <c r="Y627" s="27">
        <f t="shared" si="242"/>
        <v>1.098635214059998E-3</v>
      </c>
      <c r="Z627" s="32" t="str">
        <f t="shared" si="241"/>
        <v/>
      </c>
    </row>
    <row r="628" spans="1:26" outlineLevel="1" x14ac:dyDescent="0.3">
      <c r="A628" t="s">
        <v>164</v>
      </c>
      <c r="B628" t="s">
        <v>68</v>
      </c>
      <c r="C628" s="6" t="s">
        <v>144</v>
      </c>
      <c r="D628" s="10">
        <v>0</v>
      </c>
      <c r="E628" s="10" cm="1">
        <f t="array" ref="E628">(INDEX(F$403:F$594,MATCH(1,($A628=$A$403:$A$594)*($B628=$B$403:$B$594)*("Weekday"=$D$403:$D$594),0))*Weekdays+INDEX(F$403:F$594,MATCH(1,($A628=$A$403:$A$594)*($B628=$B$403:$B$594)*("Weekend"=$D$403:$D$594),0))*WeekendDays)/DaysPerWeek</f>
        <v>4.4417362327759252E-5</v>
      </c>
      <c r="F628" s="10" cm="1">
        <f t="array" ref="F628">(INDEX(G$403:G$594,MATCH(1,($A628=$A$403:$A$594)*($B628=$B$403:$B$594)*("Weekday"=$D$403:$D$594),0))*Weekdays+INDEX(G$403:G$594,MATCH(1,($A628=$A$403:$A$594)*($B628=$B$403:$B$594)*("Weekend"=$D$403:$D$594),0))*WeekendDays)/DaysPerWeek</f>
        <v>0</v>
      </c>
      <c r="G628" s="10" cm="1">
        <f t="array" ref="G628">(INDEX(H$403:H$594,MATCH(1,($A628=$A$403:$A$594)*($B628=$B$403:$B$594)*("Weekday"=$D$403:$D$594),0))*Weekdays+INDEX(H$403:H$594,MATCH(1,($A628=$A$403:$A$594)*($B628=$B$403:$B$594)*("Weekend"=$D$403:$D$594),0))*WeekendDays)/DaysPerWeek</f>
        <v>6.1311116819453087E-5</v>
      </c>
      <c r="H628" s="10" cm="1">
        <f t="array" ref="H628">(INDEX(I$403:I$594,MATCH(1,($A628=$A$403:$A$594)*($B628=$B$403:$B$594)*("Weekday"=$D$403:$D$594),0))*Weekdays+INDEX(I$403:I$594,MATCH(1,($A628=$A$403:$A$594)*($B628=$B$403:$B$594)*("Weekend"=$D$403:$D$594),0))*WeekendDays)/DaysPerWeek</f>
        <v>6.1311116819453087E-5</v>
      </c>
      <c r="I628" s="10" cm="1">
        <f t="array" ref="I628">(INDEX(J$403:J$594,MATCH(1,($A628=$A$403:$A$594)*($B628=$B$403:$B$594)*("Weekday"=$D$403:$D$594),0))*Weekdays+INDEX(J$403:J$594,MATCH(1,($A628=$A$403:$A$594)*($B628=$B$403:$B$594)*("Weekend"=$D$403:$D$594),0))*WeekendDays)/DaysPerWeek</f>
        <v>6.1311116819453087E-5</v>
      </c>
      <c r="J628" s="10">
        <v>0</v>
      </c>
      <c r="K628" s="10" cm="1">
        <f t="array" ref="K628">(INDEX(L$403:L$594,MATCH(1,($A628=$A$403:$A$594)*($B628=$B$403:$B$594)*("Weekday"=$D$403:$D$594),0))*Weekdays+INDEX(L$403:L$594,MATCH(1,($A628=$A$403:$A$594)*($B628=$B$403:$B$594)*("Weekend"=$D$403:$D$594),0))*WeekendDays)/DaysPerWeek</f>
        <v>6.9234800480965064E-5</v>
      </c>
      <c r="L628" s="10" cm="1">
        <f t="array" ref="L628">(INDEX(M$403:M$594,MATCH(1,($A628=$A$403:$A$594)*($B628=$B$403:$B$594)*("Weekday"=$D$403:$D$594),0))*Weekdays+INDEX(M$403:M$594,MATCH(1,($A628=$A$403:$A$594)*($B628=$B$403:$B$594)*("Weekend"=$D$403:$D$594),0))*WeekendDays)/DaysPerWeek</f>
        <v>0</v>
      </c>
      <c r="M628" s="10" cm="1">
        <f t="array" ref="M628">(INDEX(N$403:N$594,MATCH(1,($A628=$A$403:$A$594)*($B628=$B$403:$B$594)*("Weekday"=$D$403:$D$594),0))*Weekdays+INDEX(N$403:N$594,MATCH(1,($A628=$A$403:$A$594)*($B628=$B$403:$B$594)*("Weekend"=$D$403:$D$594),0))*WeekendDays)/DaysPerWeek</f>
        <v>6.1311116819453087E-5</v>
      </c>
      <c r="N628" s="10" cm="1">
        <f t="array" ref="N628">(INDEX(O$403:O$594,MATCH(1,($A628=$A$403:$A$594)*($B628=$B$403:$B$594)*("Weekday"=$D$403:$D$594),0))*Weekdays+INDEX(O$403:O$594,MATCH(1,($A628=$A$403:$A$594)*($B628=$B$403:$B$594)*("Weekend"=$D$403:$D$594),0))*WeekendDays)/DaysPerWeek</f>
        <v>6.1311116819453087E-5</v>
      </c>
      <c r="O628" s="10" cm="1">
        <f t="array" ref="O628">(INDEX(P$403:P$594,MATCH(1,($A628=$A$403:$A$594)*($B628=$B$403:$B$594)*("Weekday"=$D$403:$D$594),0))*Weekdays+INDEX(P$403:P$594,MATCH(1,($A628=$A$403:$A$594)*($B628=$B$403:$B$594)*("Weekend"=$D$403:$D$594),0))*WeekendDays)/DaysPerWeek</f>
        <v>6.1311116819453087E-5</v>
      </c>
      <c r="P628" s="10" cm="1">
        <f t="array" ref="P628">(INDEX(Q$403:Q$594,MATCH(1,($A628=$A$403:$A$594)*($B628=$B$403:$B$594)*("Weekday"=$D$403:$D$594),0))*Weekdays+INDEX(Q$403:Q$594,MATCH(1,($A628=$A$403:$A$594)*($B628=$B$403:$B$594)*("Weekend"=$D$403:$D$594),0))*WeekendDays)/DaysPerWeek</f>
        <v>5.8683975909676896E-5</v>
      </c>
      <c r="Q628" s="10" cm="1">
        <f t="array" ref="Q628">(INDEX(R$403:R$594,MATCH(1,($A628=$A$403:$A$594)*($B628=$B$403:$B$594)*("Weekday"=$D$403:$D$594),0))*Weekdays+INDEX(R$403:R$594,MATCH(1,($A628=$A$403:$A$594)*($B628=$B$403:$B$594)*("Weekend"=$D$403:$D$594),0))*WeekendDays)/DaysPerWeek</f>
        <v>5.8683975909676896E-5</v>
      </c>
      <c r="R628" s="10" cm="1">
        <f t="array" ref="R628">(INDEX(S$403:S$594,MATCH(1,($A628=$A$403:$A$594)*($B628=$B$403:$B$594)*("Weekday"=$D$403:$D$594),0))*Weekdays+INDEX(S$403:S$594,MATCH(1,($A628=$A$403:$A$594)*($B628=$B$403:$B$594)*("Weekend"=$D$403:$D$594),0))*WeekendDays)/DaysPerWeek</f>
        <v>5.8683975909676896E-5</v>
      </c>
      <c r="S628" s="10" cm="1">
        <f t="array" ref="S628">(INDEX(T$403:T$594,MATCH(1,($A628=$A$403:$A$594)*($B628=$B$403:$B$594)*("Weekday"=$D$403:$D$594),0))*Weekdays+INDEX(T$403:T$594,MATCH(1,($A628=$A$403:$A$594)*($B628=$B$403:$B$594)*("Weekend"=$D$403:$D$594),0))*WeekendDays)/DaysPerWeek</f>
        <v>5.8683975909676896E-5</v>
      </c>
      <c r="T628" s="10" cm="1">
        <f t="array" ref="T628">(INDEX(U$403:U$594,MATCH(1,($A628=$A$403:$A$594)*($B628=$B$403:$B$594)*("Weekday"=$D$403:$D$594),0))*Weekdays+INDEX(U$403:U$594,MATCH(1,($A628=$A$403:$A$594)*($B628=$B$403:$B$594)*("Weekend"=$D$403:$D$594),0))*WeekendDays)/DaysPerWeek</f>
        <v>5.8683975909676896E-5</v>
      </c>
      <c r="U628" s="10" cm="1">
        <f t="array" ref="U628">(INDEX(V$403:V$594,MATCH(1,($A628=$A$403:$A$594)*($B628=$B$403:$B$594)*("Weekday"=$D$403:$D$594),0))*Weekdays+INDEX(V$403:V$594,MATCH(1,($A628=$A$403:$A$594)*($B628=$B$403:$B$594)*("Weekend"=$D$403:$D$594),0))*WeekendDays)/DaysPerWeek</f>
        <v>5.8683975909676896E-5</v>
      </c>
      <c r="V628" s="10" cm="1">
        <f t="array" ref="V628">(INDEX(W$403:W$594,MATCH(1,($A628=$A$403:$A$594)*($B628=$B$403:$B$594)*("Weekday"=$D$403:$D$594),0))*Weekdays+INDEX(W$403:W$594,MATCH(1,($A628=$A$403:$A$594)*($B628=$B$403:$B$594)*("Weekend"=$D$403:$D$594),0))*WeekendDays)/DaysPerWeek</f>
        <v>1.1226844821432727E-4</v>
      </c>
      <c r="W628" s="10" cm="1">
        <f t="array" ref="W628">(INDEX(X$403:X$594,MATCH(1,($A628=$A$403:$A$594)*($B628=$B$403:$B$594)*("Weekday"=$D$403:$D$594),0))*Weekdays+INDEX(X$403:X$594,MATCH(1,($A628=$A$403:$A$594)*($B628=$B$403:$B$594)*("Weekend"=$D$403:$D$594),0))*WeekendDays)/DaysPerWeek</f>
        <v>1.1226844821432727E-4</v>
      </c>
      <c r="X628" s="10" cm="1">
        <f t="array" ref="X628">(INDEX(Y$403:Y$594,MATCH(1,($A628=$A$403:$A$594)*($B628=$B$403:$B$594)*("Weekday"=$D$403:$D$594),0))*Weekdays+INDEX(Y$403:Y$594,MATCH(1,($A628=$A$403:$A$594)*($B628=$B$403:$B$594)*("Weekend"=$D$403:$D$594),0))*WeekendDays)/DaysPerWeek</f>
        <v>1.1226844821432727E-4</v>
      </c>
      <c r="Y628" s="27">
        <f t="shared" si="242"/>
        <v>1.1704280638264858E-3</v>
      </c>
      <c r="Z628" s="32" t="str">
        <f t="shared" si="241"/>
        <v/>
      </c>
    </row>
    <row r="629" spans="1:26" outlineLevel="1" x14ac:dyDescent="0.3">
      <c r="A629" t="s">
        <v>164</v>
      </c>
      <c r="B629" t="s">
        <v>69</v>
      </c>
      <c r="C629" s="6" t="s">
        <v>145</v>
      </c>
      <c r="D629" s="10">
        <v>0</v>
      </c>
      <c r="E629" s="10" cm="1">
        <f t="array" ref="E629">(INDEX(F$403:F$594,MATCH(1,($A629=$A$403:$A$594)*($B629=$B$403:$B$594)*("Weekday"=$D$403:$D$594),0))*Weekdays+INDEX(F$403:F$594,MATCH(1,($A629=$A$403:$A$594)*($B629=$B$403:$B$594)*("Weekend"=$D$403:$D$594),0))*WeekendDays)/DaysPerWeek</f>
        <v>5.4580155181456934E-5</v>
      </c>
      <c r="F629" s="10" cm="1">
        <f t="array" ref="F629">(INDEX(G$403:G$594,MATCH(1,($A629=$A$403:$A$594)*($B629=$B$403:$B$594)*("Weekday"=$D$403:$D$594),0))*Weekdays+INDEX(G$403:G$594,MATCH(1,($A629=$A$403:$A$594)*($B629=$B$403:$B$594)*("Weekend"=$D$403:$D$594),0))*WeekendDays)/DaysPerWeek</f>
        <v>0</v>
      </c>
      <c r="G629" s="10" cm="1">
        <f t="array" ref="G629">(INDEX(H$403:H$594,MATCH(1,($A629=$A$403:$A$594)*($B629=$B$403:$B$594)*("Weekday"=$D$403:$D$594),0))*Weekdays+INDEX(H$403:H$594,MATCH(1,($A629=$A$403:$A$594)*($B629=$B$403:$B$594)*("Weekend"=$D$403:$D$594),0))*WeekendDays)/DaysPerWeek</f>
        <v>9.7540671278742612E-5</v>
      </c>
      <c r="H629" s="10" cm="1">
        <f t="array" ref="H629">(INDEX(I$403:I$594,MATCH(1,($A629=$A$403:$A$594)*($B629=$B$403:$B$594)*("Weekday"=$D$403:$D$594),0))*Weekdays+INDEX(I$403:I$594,MATCH(1,($A629=$A$403:$A$594)*($B629=$B$403:$B$594)*("Weekend"=$D$403:$D$594),0))*WeekendDays)/DaysPerWeek</f>
        <v>9.7540671278742612E-5</v>
      </c>
      <c r="I629" s="10" cm="1">
        <f t="array" ref="I629">(INDEX(J$403:J$594,MATCH(1,($A629=$A$403:$A$594)*($B629=$B$403:$B$594)*("Weekday"=$D$403:$D$594),0))*Weekdays+INDEX(J$403:J$594,MATCH(1,($A629=$A$403:$A$594)*($B629=$B$403:$B$594)*("Weekend"=$D$403:$D$594),0))*WeekendDays)/DaysPerWeek</f>
        <v>9.7540671278742612E-5</v>
      </c>
      <c r="J629" s="10">
        <v>0</v>
      </c>
      <c r="K629" s="10" cm="1">
        <f t="array" ref="K629">(INDEX(L$403:L$594,MATCH(1,($A629=$A$403:$A$594)*($B629=$B$403:$B$594)*("Weekday"=$D$403:$D$594),0))*Weekdays+INDEX(L$403:L$594,MATCH(1,($A629=$A$403:$A$594)*($B629=$B$403:$B$594)*("Weekend"=$D$403:$D$594),0))*WeekendDays)/DaysPerWeek</f>
        <v>7.4032804419076433E-5</v>
      </c>
      <c r="L629" s="10" cm="1">
        <f t="array" ref="L629">(INDEX(M$403:M$594,MATCH(1,($A629=$A$403:$A$594)*($B629=$B$403:$B$594)*("Weekday"=$D$403:$D$594),0))*Weekdays+INDEX(M$403:M$594,MATCH(1,($A629=$A$403:$A$594)*($B629=$B$403:$B$594)*("Weekend"=$D$403:$D$594),0))*WeekendDays)/DaysPerWeek</f>
        <v>0</v>
      </c>
      <c r="M629" s="10" cm="1">
        <f t="array" ref="M629">(INDEX(N$403:N$594,MATCH(1,($A629=$A$403:$A$594)*($B629=$B$403:$B$594)*("Weekday"=$D$403:$D$594),0))*Weekdays+INDEX(N$403:N$594,MATCH(1,($A629=$A$403:$A$594)*($B629=$B$403:$B$594)*("Weekend"=$D$403:$D$594),0))*WeekendDays)/DaysPerWeek</f>
        <v>9.7540671278742612E-5</v>
      </c>
      <c r="N629" s="10" cm="1">
        <f t="array" ref="N629">(INDEX(O$403:O$594,MATCH(1,($A629=$A$403:$A$594)*($B629=$B$403:$B$594)*("Weekday"=$D$403:$D$594),0))*Weekdays+INDEX(O$403:O$594,MATCH(1,($A629=$A$403:$A$594)*($B629=$B$403:$B$594)*("Weekend"=$D$403:$D$594),0))*WeekendDays)/DaysPerWeek</f>
        <v>9.7540671278742612E-5</v>
      </c>
      <c r="O629" s="10" cm="1">
        <f t="array" ref="O629">(INDEX(P$403:P$594,MATCH(1,($A629=$A$403:$A$594)*($B629=$B$403:$B$594)*("Weekday"=$D$403:$D$594),0))*Weekdays+INDEX(P$403:P$594,MATCH(1,($A629=$A$403:$A$594)*($B629=$B$403:$B$594)*("Weekend"=$D$403:$D$594),0))*WeekendDays)/DaysPerWeek</f>
        <v>9.7540671278742612E-5</v>
      </c>
      <c r="P629" s="10" cm="1">
        <f t="array" ref="P629">(INDEX(Q$403:Q$594,MATCH(1,($A629=$A$403:$A$594)*($B629=$B$403:$B$594)*("Weekday"=$D$403:$D$594),0))*Weekdays+INDEX(Q$403:Q$594,MATCH(1,($A629=$A$403:$A$594)*($B629=$B$403:$B$594)*("Weekend"=$D$403:$D$594),0))*WeekendDays)/DaysPerWeek</f>
        <v>5.8777100441667926E-5</v>
      </c>
      <c r="Q629" s="10" cm="1">
        <f t="array" ref="Q629">(INDEX(R$403:R$594,MATCH(1,($A629=$A$403:$A$594)*($B629=$B$403:$B$594)*("Weekday"=$D$403:$D$594),0))*Weekdays+INDEX(R$403:R$594,MATCH(1,($A629=$A$403:$A$594)*($B629=$B$403:$B$594)*("Weekend"=$D$403:$D$594),0))*WeekendDays)/DaysPerWeek</f>
        <v>5.8777100441667926E-5</v>
      </c>
      <c r="R629" s="10" cm="1">
        <f t="array" ref="R629">(INDEX(S$403:S$594,MATCH(1,($A629=$A$403:$A$594)*($B629=$B$403:$B$594)*("Weekday"=$D$403:$D$594),0))*Weekdays+INDEX(S$403:S$594,MATCH(1,($A629=$A$403:$A$594)*($B629=$B$403:$B$594)*("Weekend"=$D$403:$D$594),0))*WeekendDays)/DaysPerWeek</f>
        <v>5.8777100441667926E-5</v>
      </c>
      <c r="S629" s="10" cm="1">
        <f t="array" ref="S629">(INDEX(T$403:T$594,MATCH(1,($A629=$A$403:$A$594)*($B629=$B$403:$B$594)*("Weekday"=$D$403:$D$594),0))*Weekdays+INDEX(T$403:T$594,MATCH(1,($A629=$A$403:$A$594)*($B629=$B$403:$B$594)*("Weekend"=$D$403:$D$594),0))*WeekendDays)/DaysPerWeek</f>
        <v>5.8777100441667926E-5</v>
      </c>
      <c r="T629" s="10" cm="1">
        <f t="array" ref="T629">(INDEX(U$403:U$594,MATCH(1,($A629=$A$403:$A$594)*($B629=$B$403:$B$594)*("Weekday"=$D$403:$D$594),0))*Weekdays+INDEX(U$403:U$594,MATCH(1,($A629=$A$403:$A$594)*($B629=$B$403:$B$594)*("Weekend"=$D$403:$D$594),0))*WeekendDays)/DaysPerWeek</f>
        <v>5.8777100441667926E-5</v>
      </c>
      <c r="U629" s="10" cm="1">
        <f t="array" ref="U629">(INDEX(V$403:V$594,MATCH(1,($A629=$A$403:$A$594)*($B629=$B$403:$B$594)*("Weekday"=$D$403:$D$594),0))*Weekdays+INDEX(V$403:V$594,MATCH(1,($A629=$A$403:$A$594)*($B629=$B$403:$B$594)*("Weekend"=$D$403:$D$594),0))*WeekendDays)/DaysPerWeek</f>
        <v>5.8777100441667926E-5</v>
      </c>
      <c r="V629" s="10" cm="1">
        <f t="array" ref="V629">(INDEX(W$403:W$594,MATCH(1,($A629=$A$403:$A$594)*($B629=$B$403:$B$594)*("Weekday"=$D$403:$D$594),0))*Weekdays+INDEX(W$403:W$594,MATCH(1,($A629=$A$403:$A$594)*($B629=$B$403:$B$594)*("Weekend"=$D$403:$D$594),0))*WeekendDays)/DaysPerWeek</f>
        <v>1.1279730362314308E-4</v>
      </c>
      <c r="W629" s="10" cm="1">
        <f t="array" ref="W629">(INDEX(X$403:X$594,MATCH(1,($A629=$A$403:$A$594)*($B629=$B$403:$B$594)*("Weekday"=$D$403:$D$594),0))*Weekdays+INDEX(X$403:X$594,MATCH(1,($A629=$A$403:$A$594)*($B629=$B$403:$B$594)*("Weekend"=$D$403:$D$594),0))*WeekendDays)/DaysPerWeek</f>
        <v>1.1279730362314308E-4</v>
      </c>
      <c r="X629" s="10" cm="1">
        <f t="array" ref="X629">(INDEX(Y$403:Y$594,MATCH(1,($A629=$A$403:$A$594)*($B629=$B$403:$B$594)*("Weekday"=$D$403:$D$594),0))*Weekdays+INDEX(Y$403:Y$594,MATCH(1,($A629=$A$403:$A$594)*($B629=$B$403:$B$594)*("Weekend"=$D$403:$D$594),0))*WeekendDays)/DaysPerWeek</f>
        <v>1.1279730362314308E-4</v>
      </c>
      <c r="Y629" s="27">
        <f t="shared" si="242"/>
        <v>1.4049115007924255E-3</v>
      </c>
      <c r="Z629" s="32" t="str">
        <f t="shared" si="241"/>
        <v/>
      </c>
    </row>
    <row r="630" spans="1:26" outlineLevel="1" x14ac:dyDescent="0.3">
      <c r="A630" t="s">
        <v>164</v>
      </c>
      <c r="B630" t="s">
        <v>70</v>
      </c>
      <c r="C630" s="6" t="s">
        <v>146</v>
      </c>
      <c r="D630" s="10">
        <v>0</v>
      </c>
      <c r="E630" s="10" cm="1">
        <f t="array" ref="E630">(INDEX(F$403:F$594,MATCH(1,($A630=$A$403:$A$594)*($B630=$B$403:$B$594)*("Weekday"=$D$403:$D$594),0))*Weekdays+INDEX(F$403:F$594,MATCH(1,($A630=$A$403:$A$594)*($B630=$B$403:$B$594)*("Weekend"=$D$403:$D$594),0))*WeekendDays)/DaysPerWeek</f>
        <v>6.5634703846797552E-5</v>
      </c>
      <c r="F630" s="10" cm="1">
        <f t="array" ref="F630">(INDEX(G$403:G$594,MATCH(1,($A630=$A$403:$A$594)*($B630=$B$403:$B$594)*("Weekday"=$D$403:$D$594),0))*Weekdays+INDEX(G$403:G$594,MATCH(1,($A630=$A$403:$A$594)*($B630=$B$403:$B$594)*("Weekend"=$D$403:$D$594),0))*WeekendDays)/DaysPerWeek</f>
        <v>0</v>
      </c>
      <c r="G630" s="10" cm="1">
        <f t="array" ref="G630">(INDEX(H$403:H$594,MATCH(1,($A630=$A$403:$A$594)*($B630=$B$403:$B$594)*("Weekday"=$D$403:$D$594),0))*Weekdays+INDEX(H$403:H$594,MATCH(1,($A630=$A$403:$A$594)*($B630=$B$403:$B$594)*("Weekend"=$D$403:$D$594),0))*WeekendDays)/DaysPerWeek</f>
        <v>9.8756799197755502E-5</v>
      </c>
      <c r="H630" s="10" cm="1">
        <f t="array" ref="H630">(INDEX(I$403:I$594,MATCH(1,($A630=$A$403:$A$594)*($B630=$B$403:$B$594)*("Weekday"=$D$403:$D$594),0))*Weekdays+INDEX(I$403:I$594,MATCH(1,($A630=$A$403:$A$594)*($B630=$B$403:$B$594)*("Weekend"=$D$403:$D$594),0))*WeekendDays)/DaysPerWeek</f>
        <v>9.8756799197755502E-5</v>
      </c>
      <c r="I630" s="10" cm="1">
        <f t="array" ref="I630">(INDEX(J$403:J$594,MATCH(1,($A630=$A$403:$A$594)*($B630=$B$403:$B$594)*("Weekday"=$D$403:$D$594),0))*Weekdays+INDEX(J$403:J$594,MATCH(1,($A630=$A$403:$A$594)*($B630=$B$403:$B$594)*("Weekend"=$D$403:$D$594),0))*WeekendDays)/DaysPerWeek</f>
        <v>9.8756799197755502E-5</v>
      </c>
      <c r="J630" s="10">
        <v>0</v>
      </c>
      <c r="K630" s="10" cm="1">
        <f t="array" ref="K630">(INDEX(L$403:L$594,MATCH(1,($A630=$A$403:$A$594)*($B630=$B$403:$B$594)*("Weekday"=$D$403:$D$594),0))*Weekdays+INDEX(L$403:L$594,MATCH(1,($A630=$A$403:$A$594)*($B630=$B$403:$B$594)*("Weekend"=$D$403:$D$594),0))*WeekendDays)/DaysPerWeek</f>
        <v>8.4833268028445595E-5</v>
      </c>
      <c r="L630" s="10" cm="1">
        <f t="array" ref="L630">(INDEX(M$403:M$594,MATCH(1,($A630=$A$403:$A$594)*($B630=$B$403:$B$594)*("Weekday"=$D$403:$D$594),0))*Weekdays+INDEX(M$403:M$594,MATCH(1,($A630=$A$403:$A$594)*($B630=$B$403:$B$594)*("Weekend"=$D$403:$D$594),0))*WeekendDays)/DaysPerWeek</f>
        <v>0</v>
      </c>
      <c r="M630" s="10" cm="1">
        <f t="array" ref="M630">(INDEX(N$403:N$594,MATCH(1,($A630=$A$403:$A$594)*($B630=$B$403:$B$594)*("Weekday"=$D$403:$D$594),0))*Weekdays+INDEX(N$403:N$594,MATCH(1,($A630=$A$403:$A$594)*($B630=$B$403:$B$594)*("Weekend"=$D$403:$D$594),0))*WeekendDays)/DaysPerWeek</f>
        <v>9.8756799197755502E-5</v>
      </c>
      <c r="N630" s="10" cm="1">
        <f t="array" ref="N630">(INDEX(O$403:O$594,MATCH(1,($A630=$A$403:$A$594)*($B630=$B$403:$B$594)*("Weekday"=$D$403:$D$594),0))*Weekdays+INDEX(O$403:O$594,MATCH(1,($A630=$A$403:$A$594)*($B630=$B$403:$B$594)*("Weekend"=$D$403:$D$594),0))*WeekendDays)/DaysPerWeek</f>
        <v>9.8756799197755502E-5</v>
      </c>
      <c r="O630" s="10" cm="1">
        <f t="array" ref="O630">(INDEX(P$403:P$594,MATCH(1,($A630=$A$403:$A$594)*($B630=$B$403:$B$594)*("Weekday"=$D$403:$D$594),0))*Weekdays+INDEX(P$403:P$594,MATCH(1,($A630=$A$403:$A$594)*($B630=$B$403:$B$594)*("Weekend"=$D$403:$D$594),0))*WeekendDays)/DaysPerWeek</f>
        <v>9.8756799197755502E-5</v>
      </c>
      <c r="P630" s="10" cm="1">
        <f t="array" ref="P630">(INDEX(Q$403:Q$594,MATCH(1,($A630=$A$403:$A$594)*($B630=$B$403:$B$594)*("Weekday"=$D$403:$D$594),0))*Weekdays+INDEX(Q$403:Q$594,MATCH(1,($A630=$A$403:$A$594)*($B630=$B$403:$B$594)*("Weekend"=$D$403:$D$594),0))*WeekendDays)/DaysPerWeek</f>
        <v>8.0630323948894882E-5</v>
      </c>
      <c r="Q630" s="10" cm="1">
        <f t="array" ref="Q630">(INDEX(R$403:R$594,MATCH(1,($A630=$A$403:$A$594)*($B630=$B$403:$B$594)*("Weekday"=$D$403:$D$594),0))*Weekdays+INDEX(R$403:R$594,MATCH(1,($A630=$A$403:$A$594)*($B630=$B$403:$B$594)*("Weekend"=$D$403:$D$594),0))*WeekendDays)/DaysPerWeek</f>
        <v>8.0630323948894882E-5</v>
      </c>
      <c r="R630" s="10" cm="1">
        <f t="array" ref="R630">(INDEX(S$403:S$594,MATCH(1,($A630=$A$403:$A$594)*($B630=$B$403:$B$594)*("Weekday"=$D$403:$D$594),0))*Weekdays+INDEX(S$403:S$594,MATCH(1,($A630=$A$403:$A$594)*($B630=$B$403:$B$594)*("Weekend"=$D$403:$D$594),0))*WeekendDays)/DaysPerWeek</f>
        <v>8.0630323948894882E-5</v>
      </c>
      <c r="S630" s="10" cm="1">
        <f t="array" ref="S630">(INDEX(T$403:T$594,MATCH(1,($A630=$A$403:$A$594)*($B630=$B$403:$B$594)*("Weekday"=$D$403:$D$594),0))*Weekdays+INDEX(T$403:T$594,MATCH(1,($A630=$A$403:$A$594)*($B630=$B$403:$B$594)*("Weekend"=$D$403:$D$594),0))*WeekendDays)/DaysPerWeek</f>
        <v>8.0630323948894882E-5</v>
      </c>
      <c r="T630" s="10" cm="1">
        <f t="array" ref="T630">(INDEX(U$403:U$594,MATCH(1,($A630=$A$403:$A$594)*($B630=$B$403:$B$594)*("Weekday"=$D$403:$D$594),0))*Weekdays+INDEX(U$403:U$594,MATCH(1,($A630=$A$403:$A$594)*($B630=$B$403:$B$594)*("Weekend"=$D$403:$D$594),0))*WeekendDays)/DaysPerWeek</f>
        <v>8.0630323948894882E-5</v>
      </c>
      <c r="U630" s="10" cm="1">
        <f t="array" ref="U630">(INDEX(V$403:V$594,MATCH(1,($A630=$A$403:$A$594)*($B630=$B$403:$B$594)*("Weekday"=$D$403:$D$594),0))*Weekdays+INDEX(V$403:V$594,MATCH(1,($A630=$A$403:$A$594)*($B630=$B$403:$B$594)*("Weekend"=$D$403:$D$594),0))*WeekendDays)/DaysPerWeek</f>
        <v>8.0630323948894882E-5</v>
      </c>
      <c r="V630" s="10" cm="1">
        <f t="array" ref="V630">(INDEX(W$403:W$594,MATCH(1,($A630=$A$403:$A$594)*($B630=$B$403:$B$594)*("Weekday"=$D$403:$D$594),0))*Weekdays+INDEX(W$403:W$594,MATCH(1,($A630=$A$403:$A$594)*($B630=$B$403:$B$594)*("Weekend"=$D$403:$D$594),0))*WeekendDays)/DaysPerWeek</f>
        <v>1.132506082592709E-4</v>
      </c>
      <c r="W630" s="10" cm="1">
        <f t="array" ref="W630">(INDEX(X$403:X$594,MATCH(1,($A630=$A$403:$A$594)*($B630=$B$403:$B$594)*("Weekday"=$D$403:$D$594),0))*Weekdays+INDEX(X$403:X$594,MATCH(1,($A630=$A$403:$A$594)*($B630=$B$403:$B$594)*("Weekend"=$D$403:$D$594),0))*WeekendDays)/DaysPerWeek</f>
        <v>1.132506082592709E-4</v>
      </c>
      <c r="X630" s="10" cm="1">
        <f t="array" ref="X630">(INDEX(Y$403:Y$594,MATCH(1,($A630=$A$403:$A$594)*($B630=$B$403:$B$594)*("Weekday"=$D$403:$D$594),0))*Weekdays+INDEX(Y$403:Y$594,MATCH(1,($A630=$A$403:$A$594)*($B630=$B$403:$B$594)*("Weekend"=$D$403:$D$594),0))*WeekendDays)/DaysPerWeek</f>
        <v>1.132506082592709E-4</v>
      </c>
      <c r="Y630" s="27">
        <f t="shared" si="242"/>
        <v>1.5665425355329587E-3</v>
      </c>
      <c r="Z630" s="32" t="str">
        <f t="shared" si="241"/>
        <v/>
      </c>
    </row>
    <row r="631" spans="1:26" outlineLevel="1" x14ac:dyDescent="0.3">
      <c r="A631" t="s">
        <v>164</v>
      </c>
      <c r="B631" t="s">
        <v>71</v>
      </c>
      <c r="C631" s="6" t="s">
        <v>147</v>
      </c>
      <c r="D631" s="10">
        <v>0</v>
      </c>
      <c r="E631" s="10" cm="1">
        <f t="array" ref="E631">(INDEX(F$403:F$594,MATCH(1,($A631=$A$403:$A$594)*($B631=$B$403:$B$594)*("Weekday"=$D$403:$D$594),0))*Weekdays+INDEX(F$403:F$594,MATCH(1,($A631=$A$403:$A$594)*($B631=$B$403:$B$594)*("Weekend"=$D$403:$D$594),0))*WeekendDays)/DaysPerWeek</f>
        <v>7.7201268807026668E-5</v>
      </c>
      <c r="F631" s="10" cm="1">
        <f t="array" ref="F631">(INDEX(G$403:G$594,MATCH(1,($A631=$A$403:$A$594)*($B631=$B$403:$B$594)*("Weekday"=$D$403:$D$594),0))*Weekdays+INDEX(G$403:G$594,MATCH(1,($A631=$A$403:$A$594)*($B631=$B$403:$B$594)*("Weekend"=$D$403:$D$594),0))*WeekendDays)/DaysPerWeek</f>
        <v>0</v>
      </c>
      <c r="G631" s="10" cm="1">
        <f t="array" ref="G631">(INDEX(H$403:H$594,MATCH(1,($A631=$A$403:$A$594)*($B631=$B$403:$B$594)*("Weekday"=$D$403:$D$594),0))*Weekdays+INDEX(H$403:H$594,MATCH(1,($A631=$A$403:$A$594)*($B631=$B$403:$B$594)*("Weekend"=$D$403:$D$594),0))*WeekendDays)/DaysPerWeek</f>
        <v>5.320154303055674E-5</v>
      </c>
      <c r="H631" s="10" cm="1">
        <f t="array" ref="H631">(INDEX(I$403:I$594,MATCH(1,($A631=$A$403:$A$594)*($B631=$B$403:$B$594)*("Weekday"=$D$403:$D$594),0))*Weekdays+INDEX(I$403:I$594,MATCH(1,($A631=$A$403:$A$594)*($B631=$B$403:$B$594)*("Weekend"=$D$403:$D$594),0))*WeekendDays)/DaysPerWeek</f>
        <v>5.320154303055674E-5</v>
      </c>
      <c r="I631" s="10" cm="1">
        <f t="array" ref="I631">(INDEX(J$403:J$594,MATCH(1,($A631=$A$403:$A$594)*($B631=$B$403:$B$594)*("Weekday"=$D$403:$D$594),0))*Weekdays+INDEX(J$403:J$594,MATCH(1,($A631=$A$403:$A$594)*($B631=$B$403:$B$594)*("Weekend"=$D$403:$D$594),0))*WeekendDays)/DaysPerWeek</f>
        <v>5.320154303055674E-5</v>
      </c>
      <c r="J631" s="10">
        <v>0</v>
      </c>
      <c r="K631" s="10" cm="1">
        <f t="array" ref="K631">(INDEX(L$403:L$594,MATCH(1,($A631=$A$403:$A$594)*($B631=$B$403:$B$594)*("Weekday"=$D$403:$D$594),0))*Weekdays+INDEX(L$403:L$594,MATCH(1,($A631=$A$403:$A$594)*($B631=$B$403:$B$594)*("Weekend"=$D$403:$D$594),0))*WeekendDays)/DaysPerWeek</f>
        <v>1.0339233562519229E-4</v>
      </c>
      <c r="L631" s="10" cm="1">
        <f t="array" ref="L631">(INDEX(M$403:M$594,MATCH(1,($A631=$A$403:$A$594)*($B631=$B$403:$B$594)*("Weekday"=$D$403:$D$594),0))*Weekdays+INDEX(M$403:M$594,MATCH(1,($A631=$A$403:$A$594)*($B631=$B$403:$B$594)*("Weekend"=$D$403:$D$594),0))*WeekendDays)/DaysPerWeek</f>
        <v>0</v>
      </c>
      <c r="M631" s="10" cm="1">
        <f t="array" ref="M631">(INDEX(N$403:N$594,MATCH(1,($A631=$A$403:$A$594)*($B631=$B$403:$B$594)*("Weekday"=$D$403:$D$594),0))*Weekdays+INDEX(N$403:N$594,MATCH(1,($A631=$A$403:$A$594)*($B631=$B$403:$B$594)*("Weekend"=$D$403:$D$594),0))*WeekendDays)/DaysPerWeek</f>
        <v>5.320154303055674E-5</v>
      </c>
      <c r="N631" s="10" cm="1">
        <f t="array" ref="N631">(INDEX(O$403:O$594,MATCH(1,($A631=$A$403:$A$594)*($B631=$B$403:$B$594)*("Weekday"=$D$403:$D$594),0))*Weekdays+INDEX(O$403:O$594,MATCH(1,($A631=$A$403:$A$594)*($B631=$B$403:$B$594)*("Weekend"=$D$403:$D$594),0))*WeekendDays)/DaysPerWeek</f>
        <v>5.320154303055674E-5</v>
      </c>
      <c r="O631" s="10" cm="1">
        <f t="array" ref="O631">(INDEX(P$403:P$594,MATCH(1,($A631=$A$403:$A$594)*($B631=$B$403:$B$594)*("Weekday"=$D$403:$D$594),0))*Weekdays+INDEX(P$403:P$594,MATCH(1,($A631=$A$403:$A$594)*($B631=$B$403:$B$594)*("Weekend"=$D$403:$D$594),0))*WeekendDays)/DaysPerWeek</f>
        <v>5.320154303055674E-5</v>
      </c>
      <c r="P631" s="10" cm="1">
        <f t="array" ref="P631">(INDEX(Q$403:Q$594,MATCH(1,($A631=$A$403:$A$594)*($B631=$B$403:$B$594)*("Weekday"=$D$403:$D$594),0))*Weekdays+INDEX(Q$403:Q$594,MATCH(1,($A631=$A$403:$A$594)*($B631=$B$403:$B$594)*("Weekend"=$D$403:$D$594),0))*WeekendDays)/DaysPerWeek</f>
        <v>1.4426542080942786E-4</v>
      </c>
      <c r="Q631" s="10" cm="1">
        <f t="array" ref="Q631">(INDEX(R$403:R$594,MATCH(1,($A631=$A$403:$A$594)*($B631=$B$403:$B$594)*("Weekday"=$D$403:$D$594),0))*Weekdays+INDEX(R$403:R$594,MATCH(1,($A631=$A$403:$A$594)*($B631=$B$403:$B$594)*("Weekend"=$D$403:$D$594),0))*WeekendDays)/DaysPerWeek</f>
        <v>1.4426542080942786E-4</v>
      </c>
      <c r="R631" s="10" cm="1">
        <f t="array" ref="R631">(INDEX(S$403:S$594,MATCH(1,($A631=$A$403:$A$594)*($B631=$B$403:$B$594)*("Weekday"=$D$403:$D$594),0))*Weekdays+INDEX(S$403:S$594,MATCH(1,($A631=$A$403:$A$594)*($B631=$B$403:$B$594)*("Weekend"=$D$403:$D$594),0))*WeekendDays)/DaysPerWeek</f>
        <v>1.4426542080942786E-4</v>
      </c>
      <c r="S631" s="10" cm="1">
        <f t="array" ref="S631">(INDEX(T$403:T$594,MATCH(1,($A631=$A$403:$A$594)*($B631=$B$403:$B$594)*("Weekday"=$D$403:$D$594),0))*Weekdays+INDEX(T$403:T$594,MATCH(1,($A631=$A$403:$A$594)*($B631=$B$403:$B$594)*("Weekend"=$D$403:$D$594),0))*WeekendDays)/DaysPerWeek</f>
        <v>1.4426542080942786E-4</v>
      </c>
      <c r="T631" s="10" cm="1">
        <f t="array" ref="T631">(INDEX(U$403:U$594,MATCH(1,($A631=$A$403:$A$594)*($B631=$B$403:$B$594)*("Weekday"=$D$403:$D$594),0))*Weekdays+INDEX(U$403:U$594,MATCH(1,($A631=$A$403:$A$594)*($B631=$B$403:$B$594)*("Weekend"=$D$403:$D$594),0))*WeekendDays)/DaysPerWeek</f>
        <v>1.4426542080942786E-4</v>
      </c>
      <c r="U631" s="10" cm="1">
        <f t="array" ref="U631">(INDEX(V$403:V$594,MATCH(1,($A631=$A$403:$A$594)*($B631=$B$403:$B$594)*("Weekday"=$D$403:$D$594),0))*Weekdays+INDEX(V$403:V$594,MATCH(1,($A631=$A$403:$A$594)*($B631=$B$403:$B$594)*("Weekend"=$D$403:$D$594),0))*WeekendDays)/DaysPerWeek</f>
        <v>1.4426542080942786E-4</v>
      </c>
      <c r="V631" s="10" cm="1">
        <f t="array" ref="V631">(INDEX(W$403:W$594,MATCH(1,($A631=$A$403:$A$594)*($B631=$B$403:$B$594)*("Weekday"=$D$403:$D$594),0))*Weekdays+INDEX(W$403:W$594,MATCH(1,($A631=$A$403:$A$594)*($B631=$B$403:$B$594)*("Weekend"=$D$403:$D$594),0))*WeekendDays)/DaysPerWeek</f>
        <v>1.1377946366808671E-4</v>
      </c>
      <c r="W631" s="10" cm="1">
        <f t="array" ref="W631">(INDEX(X$403:X$594,MATCH(1,($A631=$A$403:$A$594)*($B631=$B$403:$B$594)*("Weekday"=$D$403:$D$594),0))*Weekdays+INDEX(X$403:X$594,MATCH(1,($A631=$A$403:$A$594)*($B631=$B$403:$B$594)*("Weekend"=$D$403:$D$594),0))*WeekendDays)/DaysPerWeek</f>
        <v>1.1377946366808671E-4</v>
      </c>
      <c r="X631" s="10" cm="1">
        <f t="array" ref="X631">(INDEX(Y$403:Y$594,MATCH(1,($A631=$A$403:$A$594)*($B631=$B$403:$B$594)*("Weekday"=$D$403:$D$594),0))*Weekdays+INDEX(Y$403:Y$594,MATCH(1,($A631=$A$403:$A$594)*($B631=$B$403:$B$594)*("Weekend"=$D$403:$D$594),0))*WeekendDays)/DaysPerWeek</f>
        <v>1.1377946366808671E-4</v>
      </c>
      <c r="Y631" s="27">
        <f t="shared" si="242"/>
        <v>1.7067337784763864E-3</v>
      </c>
      <c r="Z631" s="32" t="str">
        <f t="shared" si="241"/>
        <v/>
      </c>
    </row>
    <row r="632" spans="1:26" outlineLevel="1" x14ac:dyDescent="0.3">
      <c r="A632" t="s">
        <v>164</v>
      </c>
      <c r="B632" t="s">
        <v>72</v>
      </c>
      <c r="C632" s="6" t="s">
        <v>148</v>
      </c>
      <c r="D632" s="10">
        <v>0</v>
      </c>
      <c r="E632" s="10" cm="1">
        <f t="array" ref="E632">(INDEX(F$403:F$594,MATCH(1,($A632=$A$403:$A$594)*($B632=$B$403:$B$594)*("Weekday"=$D$403:$D$594),0))*Weekdays+INDEX(F$403:F$594,MATCH(1,($A632=$A$403:$A$594)*($B632=$B$403:$B$594)*("Weekend"=$D$403:$D$594),0))*WeekendDays)/DaysPerWeek</f>
        <v>9.3067623490746101E-5</v>
      </c>
      <c r="F632" s="10" cm="1">
        <f t="array" ref="F632">(INDEX(G$403:G$594,MATCH(1,($A632=$A$403:$A$594)*($B632=$B$403:$B$594)*("Weekday"=$D$403:$D$594),0))*Weekdays+INDEX(G$403:G$594,MATCH(1,($A632=$A$403:$A$594)*($B632=$B$403:$B$594)*("Weekend"=$D$403:$D$594),0))*WeekendDays)/DaysPerWeek</f>
        <v>0</v>
      </c>
      <c r="G632" s="10" cm="1">
        <f t="array" ref="G632">(INDEX(H$403:H$594,MATCH(1,($A632=$A$403:$A$594)*($B632=$B$403:$B$594)*("Weekday"=$D$403:$D$594),0))*Weekdays+INDEX(H$403:H$594,MATCH(1,($A632=$A$403:$A$594)*($B632=$B$403:$B$594)*("Weekend"=$D$403:$D$594),0))*WeekendDays)/DaysPerWeek</f>
        <v>5.6065043961499499E-5</v>
      </c>
      <c r="H632" s="10" cm="1">
        <f t="array" ref="H632">(INDEX(I$403:I$594,MATCH(1,($A632=$A$403:$A$594)*($B632=$B$403:$B$594)*("Weekday"=$D$403:$D$594),0))*Weekdays+INDEX(I$403:I$594,MATCH(1,($A632=$A$403:$A$594)*($B632=$B$403:$B$594)*("Weekend"=$D$403:$D$594),0))*WeekendDays)/DaysPerWeek</f>
        <v>5.6065043961499499E-5</v>
      </c>
      <c r="I632" s="10" cm="1">
        <f t="array" ref="I632">(INDEX(J$403:J$594,MATCH(1,($A632=$A$403:$A$594)*($B632=$B$403:$B$594)*("Weekday"=$D$403:$D$594),0))*Weekdays+INDEX(J$403:J$594,MATCH(1,($A632=$A$403:$A$594)*($B632=$B$403:$B$594)*("Weekend"=$D$403:$D$594),0))*WeekendDays)/DaysPerWeek</f>
        <v>5.6065043961499499E-5</v>
      </c>
      <c r="J632" s="10">
        <v>0</v>
      </c>
      <c r="K632" s="10" cm="1">
        <f t="array" ref="K632">(INDEX(L$403:L$594,MATCH(1,($A632=$A$403:$A$594)*($B632=$B$403:$B$594)*("Weekday"=$D$403:$D$594),0))*Weekdays+INDEX(L$403:L$594,MATCH(1,($A632=$A$403:$A$594)*($B632=$B$403:$B$594)*("Weekend"=$D$403:$D$594),0))*WeekendDays)/DaysPerWeek</f>
        <v>1.3022788482506943E-4</v>
      </c>
      <c r="L632" s="10" cm="1">
        <f t="array" ref="L632">(INDEX(M$403:M$594,MATCH(1,($A632=$A$403:$A$594)*($B632=$B$403:$B$594)*("Weekday"=$D$403:$D$594),0))*Weekdays+INDEX(M$403:M$594,MATCH(1,($A632=$A$403:$A$594)*($B632=$B$403:$B$594)*("Weekend"=$D$403:$D$594),0))*WeekendDays)/DaysPerWeek</f>
        <v>0</v>
      </c>
      <c r="M632" s="10" cm="1">
        <f t="array" ref="M632">(INDEX(N$403:N$594,MATCH(1,($A632=$A$403:$A$594)*($B632=$B$403:$B$594)*("Weekday"=$D$403:$D$594),0))*Weekdays+INDEX(N$403:N$594,MATCH(1,($A632=$A$403:$A$594)*($B632=$B$403:$B$594)*("Weekend"=$D$403:$D$594),0))*WeekendDays)/DaysPerWeek</f>
        <v>5.6065043961499499E-5</v>
      </c>
      <c r="N632" s="10" cm="1">
        <f t="array" ref="N632">(INDEX(O$403:O$594,MATCH(1,($A632=$A$403:$A$594)*($B632=$B$403:$B$594)*("Weekday"=$D$403:$D$594),0))*Weekdays+INDEX(O$403:O$594,MATCH(1,($A632=$A$403:$A$594)*($B632=$B$403:$B$594)*("Weekend"=$D$403:$D$594),0))*WeekendDays)/DaysPerWeek</f>
        <v>5.6065043961499499E-5</v>
      </c>
      <c r="O632" s="10" cm="1">
        <f t="array" ref="O632">(INDEX(P$403:P$594,MATCH(1,($A632=$A$403:$A$594)*($B632=$B$403:$B$594)*("Weekday"=$D$403:$D$594),0))*Weekdays+INDEX(P$403:P$594,MATCH(1,($A632=$A$403:$A$594)*($B632=$B$403:$B$594)*("Weekend"=$D$403:$D$594),0))*WeekendDays)/DaysPerWeek</f>
        <v>5.6065043961499499E-5</v>
      </c>
      <c r="P632" s="10" cm="1">
        <f t="array" ref="P632">(INDEX(Q$403:Q$594,MATCH(1,($A632=$A$403:$A$594)*($B632=$B$403:$B$594)*("Weekday"=$D$403:$D$594),0))*Weekdays+INDEX(Q$403:Q$594,MATCH(1,($A632=$A$403:$A$594)*($B632=$B$403:$B$594)*("Weekend"=$D$403:$D$594),0))*WeekendDays)/DaysPerWeek</f>
        <v>1.503961191655036E-4</v>
      </c>
      <c r="Q632" s="10" cm="1">
        <f t="array" ref="Q632">(INDEX(R$403:R$594,MATCH(1,($A632=$A$403:$A$594)*($B632=$B$403:$B$594)*("Weekday"=$D$403:$D$594),0))*Weekdays+INDEX(R$403:R$594,MATCH(1,($A632=$A$403:$A$594)*($B632=$B$403:$B$594)*("Weekend"=$D$403:$D$594),0))*WeekendDays)/DaysPerWeek</f>
        <v>1.503961191655036E-4</v>
      </c>
      <c r="R632" s="10" cm="1">
        <f t="array" ref="R632">(INDEX(S$403:S$594,MATCH(1,($A632=$A$403:$A$594)*($B632=$B$403:$B$594)*("Weekday"=$D$403:$D$594),0))*Weekdays+INDEX(S$403:S$594,MATCH(1,($A632=$A$403:$A$594)*($B632=$B$403:$B$594)*("Weekend"=$D$403:$D$594),0))*WeekendDays)/DaysPerWeek</f>
        <v>1.503961191655036E-4</v>
      </c>
      <c r="S632" s="10" cm="1">
        <f t="array" ref="S632">(INDEX(T$403:T$594,MATCH(1,($A632=$A$403:$A$594)*($B632=$B$403:$B$594)*("Weekday"=$D$403:$D$594),0))*Weekdays+INDEX(T$403:T$594,MATCH(1,($A632=$A$403:$A$594)*($B632=$B$403:$B$594)*("Weekend"=$D$403:$D$594),0))*WeekendDays)/DaysPerWeek</f>
        <v>1.503961191655036E-4</v>
      </c>
      <c r="T632" s="10" cm="1">
        <f t="array" ref="T632">(INDEX(U$403:U$594,MATCH(1,($A632=$A$403:$A$594)*($B632=$B$403:$B$594)*("Weekday"=$D$403:$D$594),0))*Weekdays+INDEX(U$403:U$594,MATCH(1,($A632=$A$403:$A$594)*($B632=$B$403:$B$594)*("Weekend"=$D$403:$D$594),0))*WeekendDays)/DaysPerWeek</f>
        <v>1.503961191655036E-4</v>
      </c>
      <c r="U632" s="10" cm="1">
        <f t="array" ref="U632">(INDEX(V$403:V$594,MATCH(1,($A632=$A$403:$A$594)*($B632=$B$403:$B$594)*("Weekday"=$D$403:$D$594),0))*Weekdays+INDEX(V$403:V$594,MATCH(1,($A632=$A$403:$A$594)*($B632=$B$403:$B$594)*("Weekend"=$D$403:$D$594),0))*WeekendDays)/DaysPerWeek</f>
        <v>1.503961191655036E-4</v>
      </c>
      <c r="V632" s="10" cm="1">
        <f t="array" ref="V632">(INDEX(W$403:W$594,MATCH(1,($A632=$A$403:$A$594)*($B632=$B$403:$B$594)*("Weekday"=$D$403:$D$594),0))*Weekdays+INDEX(W$403:W$594,MATCH(1,($A632=$A$403:$A$594)*($B632=$B$403:$B$594)*("Weekend"=$D$403:$D$594),0))*WeekendDays)/DaysPerWeek</f>
        <v>1.1385501444077468E-4</v>
      </c>
      <c r="W632" s="10" cm="1">
        <f t="array" ref="W632">(INDEX(X$403:X$594,MATCH(1,($A632=$A$403:$A$594)*($B632=$B$403:$B$594)*("Weekday"=$D$403:$D$594),0))*Weekdays+INDEX(X$403:X$594,MATCH(1,($A632=$A$403:$A$594)*($B632=$B$403:$B$594)*("Weekend"=$D$403:$D$594),0))*WeekendDays)/DaysPerWeek</f>
        <v>1.1385501444077468E-4</v>
      </c>
      <c r="X632" s="10" cm="1">
        <f t="array" ref="X632">(INDEX(Y$403:Y$594,MATCH(1,($A632=$A$403:$A$594)*($B632=$B$403:$B$594)*("Weekday"=$D$403:$D$594),0))*Weekdays+INDEX(Y$403:Y$594,MATCH(1,($A632=$A$403:$A$594)*($B632=$B$403:$B$594)*("Weekend"=$D$403:$D$594),0))*WeekendDays)/DaysPerWeek</f>
        <v>1.1385501444077468E-4</v>
      </c>
      <c r="Y632" s="27">
        <f t="shared" si="242"/>
        <v>1.803627530400158E-3</v>
      </c>
      <c r="Z632" s="32" t="str">
        <f t="shared" ref="Z632:Z663" si="243">IF(AND(A632=A631,Y632=_xlfn.MAXIFS($Y$600:$Y$743,LoadFactorSeasons,A632)),A632&amp;" Peak","")</f>
        <v/>
      </c>
    </row>
    <row r="633" spans="1:26" outlineLevel="1" x14ac:dyDescent="0.3">
      <c r="A633" t="s">
        <v>164</v>
      </c>
      <c r="B633" t="s">
        <v>73</v>
      </c>
      <c r="C633" s="6" t="s">
        <v>149</v>
      </c>
      <c r="D633" s="10">
        <v>0</v>
      </c>
      <c r="E633" s="10" cm="1">
        <f t="array" ref="E633">(INDEX(F$403:F$594,MATCH(1,($A633=$A$403:$A$594)*($B633=$B$403:$B$594)*("Weekday"=$D$403:$D$594),0))*Weekdays+INDEX(F$403:F$594,MATCH(1,($A633=$A$403:$A$594)*($B633=$B$403:$B$594)*("Weekend"=$D$403:$D$594),0))*WeekendDays)/DaysPerWeek</f>
        <v>1.1188623986444068E-4</v>
      </c>
      <c r="F633" s="10" cm="1">
        <f t="array" ref="F633">(INDEX(G$403:G$594,MATCH(1,($A633=$A$403:$A$594)*($B633=$B$403:$B$594)*("Weekday"=$D$403:$D$594),0))*Weekdays+INDEX(G$403:G$594,MATCH(1,($A633=$A$403:$A$594)*($B633=$B$403:$B$594)*("Weekend"=$D$403:$D$594),0))*WeekendDays)/DaysPerWeek</f>
        <v>0</v>
      </c>
      <c r="G633" s="10" cm="1">
        <f t="array" ref="G633">(INDEX(H$403:H$594,MATCH(1,($A633=$A$403:$A$594)*($B633=$B$403:$B$594)*("Weekday"=$D$403:$D$594),0))*Weekdays+INDEX(H$403:H$594,MATCH(1,($A633=$A$403:$A$594)*($B633=$B$403:$B$594)*("Weekend"=$D$403:$D$594),0))*WeekendDays)/DaysPerWeek</f>
        <v>5.5648203485949316E-5</v>
      </c>
      <c r="H633" s="10" cm="1">
        <f t="array" ref="H633">(INDEX(I$403:I$594,MATCH(1,($A633=$A$403:$A$594)*($B633=$B$403:$B$594)*("Weekday"=$D$403:$D$594),0))*Weekdays+INDEX(I$403:I$594,MATCH(1,($A633=$A$403:$A$594)*($B633=$B$403:$B$594)*("Weekend"=$D$403:$D$594),0))*WeekendDays)/DaysPerWeek</f>
        <v>5.5648203485949316E-5</v>
      </c>
      <c r="I633" s="10" cm="1">
        <f t="array" ref="I633">(INDEX(J$403:J$594,MATCH(1,($A633=$A$403:$A$594)*($B633=$B$403:$B$594)*("Weekday"=$D$403:$D$594),0))*Weekdays+INDEX(J$403:J$594,MATCH(1,($A633=$A$403:$A$594)*($B633=$B$403:$B$594)*("Weekend"=$D$403:$D$594),0))*WeekendDays)/DaysPerWeek</f>
        <v>5.5648203485949316E-5</v>
      </c>
      <c r="J633" s="10">
        <v>0</v>
      </c>
      <c r="K633" s="10" cm="1">
        <f t="array" ref="K633">(INDEX(L$403:L$594,MATCH(1,($A633=$A$403:$A$594)*($B633=$B$403:$B$594)*("Weekday"=$D$403:$D$594),0))*Weekdays+INDEX(L$403:L$594,MATCH(1,($A633=$A$403:$A$594)*($B633=$B$403:$B$594)*("Weekend"=$D$403:$D$594),0))*WeekendDays)/DaysPerWeek</f>
        <v>1.5507295934447454E-4</v>
      </c>
      <c r="L633" s="10" cm="1">
        <f t="array" ref="L633">(INDEX(M$403:M$594,MATCH(1,($A633=$A$403:$A$594)*($B633=$B$403:$B$594)*("Weekday"=$D$403:$D$594),0))*Weekdays+INDEX(M$403:M$594,MATCH(1,($A633=$A$403:$A$594)*($B633=$B$403:$B$594)*("Weekend"=$D$403:$D$594),0))*WeekendDays)/DaysPerWeek</f>
        <v>0</v>
      </c>
      <c r="M633" s="10" cm="1">
        <f t="array" ref="M633">(INDEX(N$403:N$594,MATCH(1,($A633=$A$403:$A$594)*($B633=$B$403:$B$594)*("Weekday"=$D$403:$D$594),0))*Weekdays+INDEX(N$403:N$594,MATCH(1,($A633=$A$403:$A$594)*($B633=$B$403:$B$594)*("Weekend"=$D$403:$D$594),0))*WeekendDays)/DaysPerWeek</f>
        <v>5.5648203485949316E-5</v>
      </c>
      <c r="N633" s="10" cm="1">
        <f t="array" ref="N633">(INDEX(O$403:O$594,MATCH(1,($A633=$A$403:$A$594)*($B633=$B$403:$B$594)*("Weekday"=$D$403:$D$594),0))*Weekdays+INDEX(O$403:O$594,MATCH(1,($A633=$A$403:$A$594)*($B633=$B$403:$B$594)*("Weekend"=$D$403:$D$594),0))*WeekendDays)/DaysPerWeek</f>
        <v>5.5648203485949316E-5</v>
      </c>
      <c r="O633" s="10" cm="1">
        <f t="array" ref="O633">(INDEX(P$403:P$594,MATCH(1,($A633=$A$403:$A$594)*($B633=$B$403:$B$594)*("Weekday"=$D$403:$D$594),0))*Weekdays+INDEX(P$403:P$594,MATCH(1,($A633=$A$403:$A$594)*($B633=$B$403:$B$594)*("Weekend"=$D$403:$D$594),0))*WeekendDays)/DaysPerWeek</f>
        <v>5.5648203485949316E-5</v>
      </c>
      <c r="P633" s="10" cm="1">
        <f t="array" ref="P633">(INDEX(Q$403:Q$594,MATCH(1,($A633=$A$403:$A$594)*($B633=$B$403:$B$594)*("Weekday"=$D$403:$D$594),0))*Weekdays+INDEX(Q$403:Q$594,MATCH(1,($A633=$A$403:$A$594)*($B633=$B$403:$B$594)*("Weekend"=$D$403:$D$594),0))*WeekendDays)/DaysPerWeek</f>
        <v>1.4232532639294821E-4</v>
      </c>
      <c r="Q633" s="10" cm="1">
        <f t="array" ref="Q633">(INDEX(R$403:R$594,MATCH(1,($A633=$A$403:$A$594)*($B633=$B$403:$B$594)*("Weekday"=$D$403:$D$594),0))*Weekdays+INDEX(R$403:R$594,MATCH(1,($A633=$A$403:$A$594)*($B633=$B$403:$B$594)*("Weekend"=$D$403:$D$594),0))*WeekendDays)/DaysPerWeek</f>
        <v>1.4232532639294821E-4</v>
      </c>
      <c r="R633" s="10" cm="1">
        <f t="array" ref="R633">(INDEX(S$403:S$594,MATCH(1,($A633=$A$403:$A$594)*($B633=$B$403:$B$594)*("Weekday"=$D$403:$D$594),0))*Weekdays+INDEX(S$403:S$594,MATCH(1,($A633=$A$403:$A$594)*($B633=$B$403:$B$594)*("Weekend"=$D$403:$D$594),0))*WeekendDays)/DaysPerWeek</f>
        <v>1.4232532639294821E-4</v>
      </c>
      <c r="S633" s="10" cm="1">
        <f t="array" ref="S633">(INDEX(T$403:T$594,MATCH(1,($A633=$A$403:$A$594)*($B633=$B$403:$B$594)*("Weekday"=$D$403:$D$594),0))*Weekdays+INDEX(T$403:T$594,MATCH(1,($A633=$A$403:$A$594)*($B633=$B$403:$B$594)*("Weekend"=$D$403:$D$594),0))*WeekendDays)/DaysPerWeek</f>
        <v>1.4232532639294821E-4</v>
      </c>
      <c r="T633" s="10" cm="1">
        <f t="array" ref="T633">(INDEX(U$403:U$594,MATCH(1,($A633=$A$403:$A$594)*($B633=$B$403:$B$594)*("Weekday"=$D$403:$D$594),0))*Weekdays+INDEX(U$403:U$594,MATCH(1,($A633=$A$403:$A$594)*($B633=$B$403:$B$594)*("Weekend"=$D$403:$D$594),0))*WeekendDays)/DaysPerWeek</f>
        <v>1.4232532639294821E-4</v>
      </c>
      <c r="U633" s="10" cm="1">
        <f t="array" ref="U633">(INDEX(V$403:V$594,MATCH(1,($A633=$A$403:$A$594)*($B633=$B$403:$B$594)*("Weekday"=$D$403:$D$594),0))*Weekdays+INDEX(V$403:V$594,MATCH(1,($A633=$A$403:$A$594)*($B633=$B$403:$B$594)*("Weekend"=$D$403:$D$594),0))*WeekendDays)/DaysPerWeek</f>
        <v>1.4232532639294821E-4</v>
      </c>
      <c r="V633" s="10" cm="1">
        <f t="array" ref="V633">(INDEX(W$403:W$594,MATCH(1,($A633=$A$403:$A$594)*($B633=$B$403:$B$594)*("Weekday"=$D$403:$D$594),0))*Weekdays+INDEX(W$403:W$594,MATCH(1,($A633=$A$403:$A$594)*($B633=$B$403:$B$594)*("Weekend"=$D$403:$D$594),0))*WeekendDays)/DaysPerWeek</f>
        <v>1.1362836212271077E-4</v>
      </c>
      <c r="W633" s="10" cm="1">
        <f t="array" ref="W633">(INDEX(X$403:X$594,MATCH(1,($A633=$A$403:$A$594)*($B633=$B$403:$B$594)*("Weekday"=$D$403:$D$594),0))*Weekdays+INDEX(X$403:X$594,MATCH(1,($A633=$A$403:$A$594)*($B633=$B$403:$B$594)*("Weekend"=$D$403:$D$594),0))*WeekendDays)/DaysPerWeek</f>
        <v>1.1362836212271077E-4</v>
      </c>
      <c r="X633" s="10" cm="1">
        <f t="array" ref="X633">(INDEX(Y$403:Y$594,MATCH(1,($A633=$A$403:$A$594)*($B633=$B$403:$B$594)*("Weekday"=$D$403:$D$594),0))*Weekdays+INDEX(Y$403:Y$594,MATCH(1,($A633=$A$403:$A$594)*($B633=$B$403:$B$594)*("Weekend"=$D$403:$D$594),0))*WeekendDays)/DaysPerWeek</f>
        <v>1.1362836212271077E-4</v>
      </c>
      <c r="Y633" s="27">
        <f t="shared" si="242"/>
        <v>1.7956854648504327E-3</v>
      </c>
      <c r="Z633" s="32" t="str">
        <f t="shared" si="243"/>
        <v/>
      </c>
    </row>
    <row r="634" spans="1:26" outlineLevel="1" x14ac:dyDescent="0.3">
      <c r="A634" t="s">
        <v>164</v>
      </c>
      <c r="B634" t="s">
        <v>74</v>
      </c>
      <c r="C634" s="6" t="s">
        <v>150</v>
      </c>
      <c r="D634" s="10">
        <v>0</v>
      </c>
      <c r="E634" s="10" cm="1">
        <f t="array" ref="E634">(INDEX(F$403:F$594,MATCH(1,($A634=$A$403:$A$594)*($B634=$B$403:$B$594)*("Weekday"=$D$403:$D$594),0))*Weekdays+INDEX(F$403:F$594,MATCH(1,($A634=$A$403:$A$594)*($B634=$B$403:$B$594)*("Weekend"=$D$403:$D$594),0))*WeekendDays)/DaysPerWeek</f>
        <v>1.4118445358296991E-4</v>
      </c>
      <c r="F634" s="10" cm="1">
        <f t="array" ref="F634">(INDEX(G$403:G$594,MATCH(1,($A634=$A$403:$A$594)*($B634=$B$403:$B$594)*("Weekday"=$D$403:$D$594),0))*Weekdays+INDEX(G$403:G$594,MATCH(1,($A634=$A$403:$A$594)*($B634=$B$403:$B$594)*("Weekend"=$D$403:$D$594),0))*WeekendDays)/DaysPerWeek</f>
        <v>0</v>
      </c>
      <c r="G634" s="10" cm="1">
        <f t="array" ref="G634">(INDEX(H$403:H$594,MATCH(1,($A634=$A$403:$A$594)*($B634=$B$403:$B$594)*("Weekday"=$D$403:$D$594),0))*Weekdays+INDEX(H$403:H$594,MATCH(1,($A634=$A$403:$A$594)*($B634=$B$403:$B$594)*("Weekend"=$D$403:$D$594),0))*WeekendDays)/DaysPerWeek</f>
        <v>5.6273464199274588E-5</v>
      </c>
      <c r="H634" s="10" cm="1">
        <f t="array" ref="H634">(INDEX(I$403:I$594,MATCH(1,($A634=$A$403:$A$594)*($B634=$B$403:$B$594)*("Weekday"=$D$403:$D$594),0))*Weekdays+INDEX(I$403:I$594,MATCH(1,($A634=$A$403:$A$594)*($B634=$B$403:$B$594)*("Weekend"=$D$403:$D$594),0))*WeekendDays)/DaysPerWeek</f>
        <v>5.6273464199274588E-5</v>
      </c>
      <c r="I634" s="10" cm="1">
        <f t="array" ref="I634">(INDEX(J$403:J$594,MATCH(1,($A634=$A$403:$A$594)*($B634=$B$403:$B$594)*("Weekday"=$D$403:$D$594),0))*Weekdays+INDEX(J$403:J$594,MATCH(1,($A634=$A$403:$A$594)*($B634=$B$403:$B$594)*("Weekend"=$D$403:$D$594),0))*WeekendDays)/DaysPerWeek</f>
        <v>5.6273464199274588E-5</v>
      </c>
      <c r="J634" s="10">
        <v>0</v>
      </c>
      <c r="K634" s="10" cm="1">
        <f t="array" ref="K634">(INDEX(L$403:L$594,MATCH(1,($A634=$A$403:$A$594)*($B634=$B$403:$B$594)*("Weekday"=$D$403:$D$594),0))*Weekdays+INDEX(L$403:L$594,MATCH(1,($A634=$A$403:$A$594)*($B634=$B$403:$B$594)*("Weekend"=$D$403:$D$594),0))*WeekendDays)/DaysPerWeek</f>
        <v>1.7681283992395958E-4</v>
      </c>
      <c r="L634" s="10" cm="1">
        <f t="array" ref="L634">(INDEX(M$403:M$594,MATCH(1,($A634=$A$403:$A$594)*($B634=$B$403:$B$594)*("Weekday"=$D$403:$D$594),0))*Weekdays+INDEX(M$403:M$594,MATCH(1,($A634=$A$403:$A$594)*($B634=$B$403:$B$594)*("Weekend"=$D$403:$D$594),0))*WeekendDays)/DaysPerWeek</f>
        <v>0</v>
      </c>
      <c r="M634" s="10" cm="1">
        <f t="array" ref="M634">(INDEX(N$403:N$594,MATCH(1,($A634=$A$403:$A$594)*($B634=$B$403:$B$594)*("Weekday"=$D$403:$D$594),0))*Weekdays+INDEX(N$403:N$594,MATCH(1,($A634=$A$403:$A$594)*($B634=$B$403:$B$594)*("Weekend"=$D$403:$D$594),0))*WeekendDays)/DaysPerWeek</f>
        <v>5.6273464199274588E-5</v>
      </c>
      <c r="N634" s="10" cm="1">
        <f t="array" ref="N634">(INDEX(O$403:O$594,MATCH(1,($A634=$A$403:$A$594)*($B634=$B$403:$B$594)*("Weekday"=$D$403:$D$594),0))*Weekdays+INDEX(O$403:O$594,MATCH(1,($A634=$A$403:$A$594)*($B634=$B$403:$B$594)*("Weekend"=$D$403:$D$594),0))*WeekendDays)/DaysPerWeek</f>
        <v>5.6273464199274588E-5</v>
      </c>
      <c r="O634" s="10" cm="1">
        <f t="array" ref="O634">(INDEX(P$403:P$594,MATCH(1,($A634=$A$403:$A$594)*($B634=$B$403:$B$594)*("Weekday"=$D$403:$D$594),0))*Weekdays+INDEX(P$403:P$594,MATCH(1,($A634=$A$403:$A$594)*($B634=$B$403:$B$594)*("Weekend"=$D$403:$D$594),0))*WeekendDays)/DaysPerWeek</f>
        <v>5.6273464199274588E-5</v>
      </c>
      <c r="P634" s="10" cm="1">
        <f t="array" ref="P634">(INDEX(Q$403:Q$594,MATCH(1,($A634=$A$403:$A$594)*($B634=$B$403:$B$594)*("Weekday"=$D$403:$D$594),0))*Weekdays+INDEX(Q$403:Q$594,MATCH(1,($A634=$A$403:$A$594)*($B634=$B$403:$B$594)*("Weekend"=$D$403:$D$594),0))*WeekendDays)/DaysPerWeek</f>
        <v>1.2602853329451901E-4</v>
      </c>
      <c r="Q634" s="10" cm="1">
        <f t="array" ref="Q634">(INDEX(R$403:R$594,MATCH(1,($A634=$A$403:$A$594)*($B634=$B$403:$B$594)*("Weekday"=$D$403:$D$594),0))*Weekdays+INDEX(R$403:R$594,MATCH(1,($A634=$A$403:$A$594)*($B634=$B$403:$B$594)*("Weekend"=$D$403:$D$594),0))*WeekendDays)/DaysPerWeek</f>
        <v>1.2602853329451901E-4</v>
      </c>
      <c r="R634" s="10" cm="1">
        <f t="array" ref="R634">(INDEX(S$403:S$594,MATCH(1,($A634=$A$403:$A$594)*($B634=$B$403:$B$594)*("Weekday"=$D$403:$D$594),0))*Weekdays+INDEX(S$403:S$594,MATCH(1,($A634=$A$403:$A$594)*($B634=$B$403:$B$594)*("Weekend"=$D$403:$D$594),0))*WeekendDays)/DaysPerWeek</f>
        <v>1.2602853329451901E-4</v>
      </c>
      <c r="S634" s="10" cm="1">
        <f t="array" ref="S634">(INDEX(T$403:T$594,MATCH(1,($A634=$A$403:$A$594)*($B634=$B$403:$B$594)*("Weekday"=$D$403:$D$594),0))*Weekdays+INDEX(T$403:T$594,MATCH(1,($A634=$A$403:$A$594)*($B634=$B$403:$B$594)*("Weekend"=$D$403:$D$594),0))*WeekendDays)/DaysPerWeek</f>
        <v>1.2602853329451901E-4</v>
      </c>
      <c r="T634" s="10" cm="1">
        <f t="array" ref="T634">(INDEX(U$403:U$594,MATCH(1,($A634=$A$403:$A$594)*($B634=$B$403:$B$594)*("Weekday"=$D$403:$D$594),0))*Weekdays+INDEX(U$403:U$594,MATCH(1,($A634=$A$403:$A$594)*($B634=$B$403:$B$594)*("Weekend"=$D$403:$D$594),0))*WeekendDays)/DaysPerWeek</f>
        <v>1.2602853329451901E-4</v>
      </c>
      <c r="U634" s="10" cm="1">
        <f t="array" ref="U634">(INDEX(V$403:V$594,MATCH(1,($A634=$A$403:$A$594)*($B634=$B$403:$B$594)*("Weekday"=$D$403:$D$594),0))*Weekdays+INDEX(V$403:V$594,MATCH(1,($A634=$A$403:$A$594)*($B634=$B$403:$B$594)*("Weekend"=$D$403:$D$594),0))*WeekendDays)/DaysPerWeek</f>
        <v>1.2602853329451901E-4</v>
      </c>
      <c r="V634" s="10" cm="1">
        <f t="array" ref="V634">(INDEX(W$403:W$594,MATCH(1,($A634=$A$403:$A$594)*($B634=$B$403:$B$594)*("Weekday"=$D$403:$D$594),0))*Weekdays+INDEX(W$403:W$594,MATCH(1,($A634=$A$403:$A$594)*($B634=$B$403:$B$594)*("Weekend"=$D$403:$D$594),0))*WeekendDays)/DaysPerWeek</f>
        <v>1.1347726057733483E-4</v>
      </c>
      <c r="W634" s="10" cm="1">
        <f t="array" ref="W634">(INDEX(X$403:X$594,MATCH(1,($A634=$A$403:$A$594)*($B634=$B$403:$B$594)*("Weekday"=$D$403:$D$594),0))*Weekdays+INDEX(X$403:X$594,MATCH(1,($A634=$A$403:$A$594)*($B634=$B$403:$B$594)*("Weekend"=$D$403:$D$594),0))*WeekendDays)/DaysPerWeek</f>
        <v>1.1347726057733483E-4</v>
      </c>
      <c r="X634" s="10" cm="1">
        <f t="array" ref="X634">(INDEX(Y$403:Y$594,MATCH(1,($A634=$A$403:$A$594)*($B634=$B$403:$B$594)*("Weekday"=$D$403:$D$594),0))*Weekdays+INDEX(Y$403:Y$594,MATCH(1,($A634=$A$403:$A$594)*($B634=$B$403:$B$594)*("Weekend"=$D$403:$D$594),0))*WeekendDays)/DaysPerWeek</f>
        <v>1.1347726057733483E-4</v>
      </c>
      <c r="Y634" s="27">
        <f t="shared" si="242"/>
        <v>1.7522410602016955E-3</v>
      </c>
      <c r="Z634" s="32" t="str">
        <f t="shared" si="243"/>
        <v/>
      </c>
    </row>
    <row r="635" spans="1:26" outlineLevel="1" x14ac:dyDescent="0.3">
      <c r="A635" t="s">
        <v>164</v>
      </c>
      <c r="B635" t="s">
        <v>75</v>
      </c>
      <c r="C635" s="6" t="s">
        <v>151</v>
      </c>
      <c r="D635" s="10">
        <v>0</v>
      </c>
      <c r="E635" s="10" cm="1">
        <f t="array" ref="E635">(INDEX(F$403:F$594,MATCH(1,($A635=$A$403:$A$594)*($B635=$B$403:$B$594)*("Weekday"=$D$403:$D$594),0))*Weekdays+INDEX(F$403:F$594,MATCH(1,($A635=$A$403:$A$594)*($B635=$B$403:$B$594)*("Weekend"=$D$403:$D$594),0))*WeekendDays)/DaysPerWeek</f>
        <v>1.8444932262233111E-4</v>
      </c>
      <c r="F635" s="10" cm="1">
        <f t="array" ref="F635">(INDEX(G$403:G$594,MATCH(1,($A635=$A$403:$A$594)*($B635=$B$403:$B$594)*("Weekday"=$D$403:$D$594),0))*Weekdays+INDEX(G$403:G$594,MATCH(1,($A635=$A$403:$A$594)*($B635=$B$403:$B$594)*("Weekend"=$D$403:$D$594),0))*WeekendDays)/DaysPerWeek</f>
        <v>0</v>
      </c>
      <c r="G635" s="10" cm="1">
        <f t="array" ref="G635">(INDEX(H$403:H$594,MATCH(1,($A635=$A$403:$A$594)*($B635=$B$403:$B$594)*("Weekday"=$D$403:$D$594),0))*Weekdays+INDEX(H$403:H$594,MATCH(1,($A635=$A$403:$A$594)*($B635=$B$403:$B$594)*("Weekend"=$D$403:$D$594),0))*WeekendDays)/DaysPerWeek</f>
        <v>6.085870943032659E-5</v>
      </c>
      <c r="H635" s="10" cm="1">
        <f t="array" ref="H635">(INDEX(I$403:I$594,MATCH(1,($A635=$A$403:$A$594)*($B635=$B$403:$B$594)*("Weekday"=$D$403:$D$594),0))*Weekdays+INDEX(I$403:I$594,MATCH(1,($A635=$A$403:$A$594)*($B635=$B$403:$B$594)*("Weekend"=$D$403:$D$594),0))*WeekendDays)/DaysPerWeek</f>
        <v>6.085870943032659E-5</v>
      </c>
      <c r="I635" s="10" cm="1">
        <f t="array" ref="I635">(INDEX(J$403:J$594,MATCH(1,($A635=$A$403:$A$594)*($B635=$B$403:$B$594)*("Weekday"=$D$403:$D$594),0))*Weekdays+INDEX(J$403:J$594,MATCH(1,($A635=$A$403:$A$594)*($B635=$B$403:$B$594)*("Weekend"=$D$403:$D$594),0))*WeekendDays)/DaysPerWeek</f>
        <v>6.085870943032659E-5</v>
      </c>
      <c r="J635" s="10">
        <v>0</v>
      </c>
      <c r="K635" s="10" cm="1">
        <f t="array" ref="K635">(INDEX(L$403:L$594,MATCH(1,($A635=$A$403:$A$594)*($B635=$B$403:$B$594)*("Weekday"=$D$403:$D$594),0))*Weekdays+INDEX(L$403:L$594,MATCH(1,($A635=$A$403:$A$594)*($B635=$B$403:$B$594)*("Weekend"=$D$403:$D$594),0))*WeekendDays)/DaysPerWeek</f>
        <v>1.9279961226506301E-4</v>
      </c>
      <c r="L635" s="10" cm="1">
        <f t="array" ref="L635">(INDEX(M$403:M$594,MATCH(1,($A635=$A$403:$A$594)*($B635=$B$403:$B$594)*("Weekday"=$D$403:$D$594),0))*Weekdays+INDEX(M$403:M$594,MATCH(1,($A635=$A$403:$A$594)*($B635=$B$403:$B$594)*("Weekend"=$D$403:$D$594),0))*WeekendDays)/DaysPerWeek</f>
        <v>0</v>
      </c>
      <c r="M635" s="10" cm="1">
        <f t="array" ref="M635">(INDEX(N$403:N$594,MATCH(1,($A635=$A$403:$A$594)*($B635=$B$403:$B$594)*("Weekday"=$D$403:$D$594),0))*Weekdays+INDEX(N$403:N$594,MATCH(1,($A635=$A$403:$A$594)*($B635=$B$403:$B$594)*("Weekend"=$D$403:$D$594),0))*WeekendDays)/DaysPerWeek</f>
        <v>6.085870943032659E-5</v>
      </c>
      <c r="N635" s="10" cm="1">
        <f t="array" ref="N635">(INDEX(O$403:O$594,MATCH(1,($A635=$A$403:$A$594)*($B635=$B$403:$B$594)*("Weekday"=$D$403:$D$594),0))*Weekdays+INDEX(O$403:O$594,MATCH(1,($A635=$A$403:$A$594)*($B635=$B$403:$B$594)*("Weekend"=$D$403:$D$594),0))*WeekendDays)/DaysPerWeek</f>
        <v>6.085870943032659E-5</v>
      </c>
      <c r="O635" s="10" cm="1">
        <f t="array" ref="O635">(INDEX(P$403:P$594,MATCH(1,($A635=$A$403:$A$594)*($B635=$B$403:$B$594)*("Weekday"=$D$403:$D$594),0))*Weekdays+INDEX(P$403:P$594,MATCH(1,($A635=$A$403:$A$594)*($B635=$B$403:$B$594)*("Weekend"=$D$403:$D$594),0))*WeekendDays)/DaysPerWeek</f>
        <v>6.085870943032659E-5</v>
      </c>
      <c r="P635" s="10" cm="1">
        <f t="array" ref="P635">(INDEX(Q$403:Q$594,MATCH(1,($A635=$A$403:$A$594)*($B635=$B$403:$B$594)*("Weekday"=$D$403:$D$594),0))*Weekdays+INDEX(Q$403:Q$594,MATCH(1,($A635=$A$403:$A$594)*($B635=$B$403:$B$594)*("Weekend"=$D$403:$D$594),0))*WeekendDays)/DaysPerWeek</f>
        <v>1.2633894840115577E-4</v>
      </c>
      <c r="Q635" s="10" cm="1">
        <f t="array" ref="Q635">(INDEX(R$403:R$594,MATCH(1,($A635=$A$403:$A$594)*($B635=$B$403:$B$594)*("Weekday"=$D$403:$D$594),0))*Weekdays+INDEX(R$403:R$594,MATCH(1,($A635=$A$403:$A$594)*($B635=$B$403:$B$594)*("Weekend"=$D$403:$D$594),0))*WeekendDays)/DaysPerWeek</f>
        <v>1.2633894840115577E-4</v>
      </c>
      <c r="R635" s="10" cm="1">
        <f t="array" ref="R635">(INDEX(S$403:S$594,MATCH(1,($A635=$A$403:$A$594)*($B635=$B$403:$B$594)*("Weekday"=$D$403:$D$594),0))*Weekdays+INDEX(S$403:S$594,MATCH(1,($A635=$A$403:$A$594)*($B635=$B$403:$B$594)*("Weekend"=$D$403:$D$594),0))*WeekendDays)/DaysPerWeek</f>
        <v>1.2633894840115577E-4</v>
      </c>
      <c r="S635" s="10" cm="1">
        <f t="array" ref="S635">(INDEX(T$403:T$594,MATCH(1,($A635=$A$403:$A$594)*($B635=$B$403:$B$594)*("Weekday"=$D$403:$D$594),0))*Weekdays+INDEX(T$403:T$594,MATCH(1,($A635=$A$403:$A$594)*($B635=$B$403:$B$594)*("Weekend"=$D$403:$D$594),0))*WeekendDays)/DaysPerWeek</f>
        <v>1.2633894840115577E-4</v>
      </c>
      <c r="T635" s="10" cm="1">
        <f t="array" ref="T635">(INDEX(U$403:U$594,MATCH(1,($A635=$A$403:$A$594)*($B635=$B$403:$B$594)*("Weekday"=$D$403:$D$594),0))*Weekdays+INDEX(U$403:U$594,MATCH(1,($A635=$A$403:$A$594)*($B635=$B$403:$B$594)*("Weekend"=$D$403:$D$594),0))*WeekendDays)/DaysPerWeek</f>
        <v>1.2633894840115577E-4</v>
      </c>
      <c r="U635" s="10" cm="1">
        <f t="array" ref="U635">(INDEX(V$403:V$594,MATCH(1,($A635=$A$403:$A$594)*($B635=$B$403:$B$594)*("Weekday"=$D$403:$D$594),0))*Weekdays+INDEX(V$403:V$594,MATCH(1,($A635=$A$403:$A$594)*($B635=$B$403:$B$594)*("Weekend"=$D$403:$D$594),0))*WeekendDays)/DaysPerWeek</f>
        <v>1.2633894840115577E-4</v>
      </c>
      <c r="V635" s="10" cm="1">
        <f t="array" ref="V635">(INDEX(W$403:W$594,MATCH(1,($A635=$A$403:$A$594)*($B635=$B$403:$B$594)*("Weekday"=$D$403:$D$594),0))*Weekdays+INDEX(W$403:W$594,MATCH(1,($A635=$A$403:$A$594)*($B635=$B$403:$B$594)*("Weekend"=$D$403:$D$594),0))*WeekendDays)/DaysPerWeek</f>
        <v>1.1332615903195887E-4</v>
      </c>
      <c r="W635" s="10" cm="1">
        <f t="array" ref="W635">(INDEX(X$403:X$594,MATCH(1,($A635=$A$403:$A$594)*($B635=$B$403:$B$594)*("Weekday"=$D$403:$D$594),0))*Weekdays+INDEX(X$403:X$594,MATCH(1,($A635=$A$403:$A$594)*($B635=$B$403:$B$594)*("Weekend"=$D$403:$D$594),0))*WeekendDays)/DaysPerWeek</f>
        <v>1.1332615903195887E-4</v>
      </c>
      <c r="X635" s="10" cm="1">
        <f t="array" ref="X635">(INDEX(Y$403:Y$594,MATCH(1,($A635=$A$403:$A$594)*($B635=$B$403:$B$594)*("Weekday"=$D$403:$D$594),0))*Weekdays+INDEX(Y$403:Y$594,MATCH(1,($A635=$A$403:$A$594)*($B635=$B$403:$B$594)*("Weekend"=$D$403:$D$594),0))*WeekendDays)/DaysPerWeek</f>
        <v>1.1332615903195887E-4</v>
      </c>
      <c r="Y635" s="27">
        <f t="shared" si="242"/>
        <v>1.8404133589721642E-3</v>
      </c>
      <c r="Z635" s="32" t="str">
        <f t="shared" si="243"/>
        <v/>
      </c>
    </row>
    <row r="636" spans="1:26" outlineLevel="1" x14ac:dyDescent="0.3">
      <c r="A636" t="s">
        <v>164</v>
      </c>
      <c r="B636" t="s">
        <v>76</v>
      </c>
      <c r="C636" s="6" t="s">
        <v>152</v>
      </c>
      <c r="D636" s="10">
        <v>0</v>
      </c>
      <c r="E636" s="10" cm="1">
        <f t="array" ref="E636">(INDEX(F$403:F$594,MATCH(1,($A636=$A$403:$A$594)*($B636=$B$403:$B$594)*("Weekday"=$D$403:$D$594),0))*Weekdays+INDEX(F$403:F$594,MATCH(1,($A636=$A$403:$A$594)*($B636=$B$403:$B$594)*("Weekend"=$D$403:$D$594),0))*WeekendDays)/DaysPerWeek</f>
        <v>2.230875749964762E-4</v>
      </c>
      <c r="F636" s="10" cm="1">
        <f t="array" ref="F636">(INDEX(G$403:G$594,MATCH(1,($A636=$A$403:$A$594)*($B636=$B$403:$B$594)*("Weekday"=$D$403:$D$594),0))*Weekdays+INDEX(G$403:G$594,MATCH(1,($A636=$A$403:$A$594)*($B636=$B$403:$B$594)*("Weekend"=$D$403:$D$594),0))*WeekendDays)/DaysPerWeek</f>
        <v>0</v>
      </c>
      <c r="G636" s="10" cm="1">
        <f t="array" ref="G636">(INDEX(H$403:H$594,MATCH(1,($A636=$A$403:$A$594)*($B636=$B$403:$B$594)*("Weekday"=$D$403:$D$594),0))*Weekdays+INDEX(H$403:H$594,MATCH(1,($A636=$A$403:$A$594)*($B636=$B$403:$B$594)*("Weekend"=$D$403:$D$594),0))*WeekendDays)/DaysPerWeek</f>
        <v>6.3637645933994471E-5</v>
      </c>
      <c r="H636" s="10" cm="1">
        <f t="array" ref="H636">(INDEX(I$403:I$594,MATCH(1,($A636=$A$403:$A$594)*($B636=$B$403:$B$594)*("Weekday"=$D$403:$D$594),0))*Weekdays+INDEX(I$403:I$594,MATCH(1,($A636=$A$403:$A$594)*($B636=$B$403:$B$594)*("Weekend"=$D$403:$D$594),0))*WeekendDays)/DaysPerWeek</f>
        <v>6.3637645933994471E-5</v>
      </c>
      <c r="I636" s="10" cm="1">
        <f t="array" ref="I636">(INDEX(J$403:J$594,MATCH(1,($A636=$A$403:$A$594)*($B636=$B$403:$B$594)*("Weekday"=$D$403:$D$594),0))*Weekdays+INDEX(J$403:J$594,MATCH(1,($A636=$A$403:$A$594)*($B636=$B$403:$B$594)*("Weekend"=$D$403:$D$594),0))*WeekendDays)/DaysPerWeek</f>
        <v>6.3637645933994471E-5</v>
      </c>
      <c r="J636" s="10">
        <v>0</v>
      </c>
      <c r="K636" s="10" cm="1">
        <f t="array" ref="K636">(INDEX(L$403:L$594,MATCH(1,($A636=$A$403:$A$594)*($B636=$B$403:$B$594)*("Weekday"=$D$403:$D$594),0))*Weekdays+INDEX(L$403:L$594,MATCH(1,($A636=$A$403:$A$594)*($B636=$B$403:$B$594)*("Weekend"=$D$403:$D$594),0))*WeekendDays)/DaysPerWeek</f>
        <v>2.0155390964994883E-4</v>
      </c>
      <c r="L636" s="10" cm="1">
        <f t="array" ref="L636">(INDEX(M$403:M$594,MATCH(1,($A636=$A$403:$A$594)*($B636=$B$403:$B$594)*("Weekday"=$D$403:$D$594),0))*Weekdays+INDEX(M$403:M$594,MATCH(1,($A636=$A$403:$A$594)*($B636=$B$403:$B$594)*("Weekend"=$D$403:$D$594),0))*WeekendDays)/DaysPerWeek</f>
        <v>0</v>
      </c>
      <c r="M636" s="10" cm="1">
        <f t="array" ref="M636">(INDEX(N$403:N$594,MATCH(1,($A636=$A$403:$A$594)*($B636=$B$403:$B$594)*("Weekday"=$D$403:$D$594),0))*Weekdays+INDEX(N$403:N$594,MATCH(1,($A636=$A$403:$A$594)*($B636=$B$403:$B$594)*("Weekend"=$D$403:$D$594),0))*WeekendDays)/DaysPerWeek</f>
        <v>6.3637645933994471E-5</v>
      </c>
      <c r="N636" s="10" cm="1">
        <f t="array" ref="N636">(INDEX(O$403:O$594,MATCH(1,($A636=$A$403:$A$594)*($B636=$B$403:$B$594)*("Weekday"=$D$403:$D$594),0))*Weekdays+INDEX(O$403:O$594,MATCH(1,($A636=$A$403:$A$594)*($B636=$B$403:$B$594)*("Weekend"=$D$403:$D$594),0))*WeekendDays)/DaysPerWeek</f>
        <v>6.3637645933994471E-5</v>
      </c>
      <c r="O636" s="10" cm="1">
        <f t="array" ref="O636">(INDEX(P$403:P$594,MATCH(1,($A636=$A$403:$A$594)*($B636=$B$403:$B$594)*("Weekday"=$D$403:$D$594),0))*Weekdays+INDEX(P$403:P$594,MATCH(1,($A636=$A$403:$A$594)*($B636=$B$403:$B$594)*("Weekend"=$D$403:$D$594),0))*WeekendDays)/DaysPerWeek</f>
        <v>6.3637645933994471E-5</v>
      </c>
      <c r="P636" s="10" cm="1">
        <f t="array" ref="P636">(INDEX(Q$403:Q$594,MATCH(1,($A636=$A$403:$A$594)*($B636=$B$403:$B$594)*("Weekday"=$D$403:$D$594),0))*Weekdays+INDEX(Q$403:Q$594,MATCH(1,($A636=$A$403:$A$594)*($B636=$B$403:$B$594)*("Weekend"=$D$403:$D$594),0))*WeekendDays)/DaysPerWeek</f>
        <v>1.2517489175126797E-4</v>
      </c>
      <c r="Q636" s="10" cm="1">
        <f t="array" ref="Q636">(INDEX(R$403:R$594,MATCH(1,($A636=$A$403:$A$594)*($B636=$B$403:$B$594)*("Weekday"=$D$403:$D$594),0))*Weekdays+INDEX(R$403:R$594,MATCH(1,($A636=$A$403:$A$594)*($B636=$B$403:$B$594)*("Weekend"=$D$403:$D$594),0))*WeekendDays)/DaysPerWeek</f>
        <v>1.2517489175126797E-4</v>
      </c>
      <c r="R636" s="10" cm="1">
        <f t="array" ref="R636">(INDEX(S$403:S$594,MATCH(1,($A636=$A$403:$A$594)*($B636=$B$403:$B$594)*("Weekday"=$D$403:$D$594),0))*Weekdays+INDEX(S$403:S$594,MATCH(1,($A636=$A$403:$A$594)*($B636=$B$403:$B$594)*("Weekend"=$D$403:$D$594),0))*WeekendDays)/DaysPerWeek</f>
        <v>1.2517489175126797E-4</v>
      </c>
      <c r="S636" s="10" cm="1">
        <f t="array" ref="S636">(INDEX(T$403:T$594,MATCH(1,($A636=$A$403:$A$594)*($B636=$B$403:$B$594)*("Weekday"=$D$403:$D$594),0))*Weekdays+INDEX(T$403:T$594,MATCH(1,($A636=$A$403:$A$594)*($B636=$B$403:$B$594)*("Weekend"=$D$403:$D$594),0))*WeekendDays)/DaysPerWeek</f>
        <v>1.2517489175126797E-4</v>
      </c>
      <c r="T636" s="10" cm="1">
        <f t="array" ref="T636">(INDEX(U$403:U$594,MATCH(1,($A636=$A$403:$A$594)*($B636=$B$403:$B$594)*("Weekday"=$D$403:$D$594),0))*Weekdays+INDEX(U$403:U$594,MATCH(1,($A636=$A$403:$A$594)*($B636=$B$403:$B$594)*("Weekend"=$D$403:$D$594),0))*WeekendDays)/DaysPerWeek</f>
        <v>1.2517489175126797E-4</v>
      </c>
      <c r="U636" s="10" cm="1">
        <f t="array" ref="U636">(INDEX(V$403:V$594,MATCH(1,($A636=$A$403:$A$594)*($B636=$B$403:$B$594)*("Weekday"=$D$403:$D$594),0))*Weekdays+INDEX(V$403:V$594,MATCH(1,($A636=$A$403:$A$594)*($B636=$B$403:$B$594)*("Weekend"=$D$403:$D$594),0))*WeekendDays)/DaysPerWeek</f>
        <v>1.2517489175126797E-4</v>
      </c>
      <c r="V636" s="10" cm="1">
        <f t="array" ref="V636">(INDEX(W$403:W$594,MATCH(1,($A636=$A$403:$A$594)*($B636=$B$403:$B$594)*("Weekday"=$D$403:$D$594),0))*Weekdays+INDEX(W$403:W$594,MATCH(1,($A636=$A$403:$A$594)*($B636=$B$403:$B$594)*("Weekend"=$D$403:$D$594),0))*WeekendDays)/DaysPerWeek</f>
        <v>1.1302395594120699E-4</v>
      </c>
      <c r="W636" s="10" cm="1">
        <f t="array" ref="W636">(INDEX(X$403:X$594,MATCH(1,($A636=$A$403:$A$594)*($B636=$B$403:$B$594)*("Weekday"=$D$403:$D$594),0))*Weekdays+INDEX(X$403:X$594,MATCH(1,($A636=$A$403:$A$594)*($B636=$B$403:$B$594)*("Weekend"=$D$403:$D$594),0))*WeekendDays)/DaysPerWeek</f>
        <v>1.1302395594120699E-4</v>
      </c>
      <c r="X636" s="10" cm="1">
        <f t="array" ref="X636">(INDEX(Y$403:Y$594,MATCH(1,($A636=$A$403:$A$594)*($B636=$B$403:$B$594)*("Weekday"=$D$403:$D$594),0))*Weekdays+INDEX(Y$403:Y$594,MATCH(1,($A636=$A$403:$A$594)*($B636=$B$403:$B$594)*("Weekend"=$D$403:$D$594),0))*WeekendDays)/DaysPerWeek</f>
        <v>1.1302395594120699E-4</v>
      </c>
      <c r="Y636" s="27">
        <f t="shared" si="242"/>
        <v>1.8965885785816202E-3</v>
      </c>
      <c r="Z636" s="32" t="str">
        <f t="shared" si="243"/>
        <v/>
      </c>
    </row>
    <row r="637" spans="1:26" outlineLevel="1" x14ac:dyDescent="0.3">
      <c r="A637" t="s">
        <v>164</v>
      </c>
      <c r="B637" t="s">
        <v>77</v>
      </c>
      <c r="C637" s="6" t="s">
        <v>153</v>
      </c>
      <c r="D637" s="10">
        <v>0</v>
      </c>
      <c r="E637" s="10" cm="1">
        <f t="array" ref="E637">(INDEX(F$403:F$594,MATCH(1,($A637=$A$403:$A$594)*($B637=$B$403:$B$594)*("Weekday"=$D$403:$D$594),0))*Weekdays+INDEX(F$403:F$594,MATCH(1,($A637=$A$403:$A$594)*($B637=$B$403:$B$594)*("Weekend"=$D$403:$D$594),0))*WeekendDays)/DaysPerWeek</f>
        <v>2.4490808539100233E-4</v>
      </c>
      <c r="F637" s="10" cm="1">
        <f t="array" ref="F637">(INDEX(G$403:G$594,MATCH(1,($A637=$A$403:$A$594)*($B637=$B$403:$B$594)*("Weekday"=$D$403:$D$594),0))*Weekdays+INDEX(G$403:G$594,MATCH(1,($A637=$A$403:$A$594)*($B637=$B$403:$B$594)*("Weekend"=$D$403:$D$594),0))*WeekendDays)/DaysPerWeek</f>
        <v>0</v>
      </c>
      <c r="G637" s="10" cm="1">
        <f t="array" ref="G637">(INDEX(H$403:H$594,MATCH(1,($A637=$A$403:$A$594)*($B637=$B$403:$B$594)*("Weekday"=$D$403:$D$594),0))*Weekdays+INDEX(H$403:H$594,MATCH(1,($A637=$A$403:$A$594)*($B637=$B$403:$B$594)*("Weekend"=$D$403:$D$594),0))*WeekendDays)/DaysPerWeek</f>
        <v>6.4054486409544648E-5</v>
      </c>
      <c r="H637" s="10" cm="1">
        <f t="array" ref="H637">(INDEX(I$403:I$594,MATCH(1,($A637=$A$403:$A$594)*($B637=$B$403:$B$594)*("Weekday"=$D$403:$D$594),0))*Weekdays+INDEX(I$403:I$594,MATCH(1,($A637=$A$403:$A$594)*($B637=$B$403:$B$594)*("Weekend"=$D$403:$D$594),0))*WeekendDays)/DaysPerWeek</f>
        <v>6.4054486409544648E-5</v>
      </c>
      <c r="I637" s="10" cm="1">
        <f t="array" ref="I637">(INDEX(J$403:J$594,MATCH(1,($A637=$A$403:$A$594)*($B637=$B$403:$B$594)*("Weekday"=$D$403:$D$594),0))*Weekdays+INDEX(J$403:J$594,MATCH(1,($A637=$A$403:$A$594)*($B637=$B$403:$B$594)*("Weekend"=$D$403:$D$594),0))*WeekendDays)/DaysPerWeek</f>
        <v>6.4054486409544648E-5</v>
      </c>
      <c r="J637" s="10">
        <v>0</v>
      </c>
      <c r="K637" s="10" cm="1">
        <f t="array" ref="K637">(INDEX(L$403:L$594,MATCH(1,($A637=$A$403:$A$594)*($B637=$B$403:$B$594)*("Weekday"=$D$403:$D$594),0))*Weekdays+INDEX(L$403:L$594,MATCH(1,($A637=$A$403:$A$594)*($B637=$B$403:$B$594)*("Weekend"=$D$403:$D$594),0))*WeekendDays)/DaysPerWeek</f>
        <v>2.1061216835915804E-4</v>
      </c>
      <c r="L637" s="10" cm="1">
        <f t="array" ref="L637">(INDEX(M$403:M$594,MATCH(1,($A637=$A$403:$A$594)*($B637=$B$403:$B$594)*("Weekday"=$D$403:$D$594),0))*Weekdays+INDEX(M$403:M$594,MATCH(1,($A637=$A$403:$A$594)*($B637=$B$403:$B$594)*("Weekend"=$D$403:$D$594),0))*WeekendDays)/DaysPerWeek</f>
        <v>0</v>
      </c>
      <c r="M637" s="10" cm="1">
        <f t="array" ref="M637">(INDEX(N$403:N$594,MATCH(1,($A637=$A$403:$A$594)*($B637=$B$403:$B$594)*("Weekday"=$D$403:$D$594),0))*Weekdays+INDEX(N$403:N$594,MATCH(1,($A637=$A$403:$A$594)*($B637=$B$403:$B$594)*("Weekend"=$D$403:$D$594),0))*WeekendDays)/DaysPerWeek</f>
        <v>6.4054486409544648E-5</v>
      </c>
      <c r="N637" s="10" cm="1">
        <f t="array" ref="N637">(INDEX(O$403:O$594,MATCH(1,($A637=$A$403:$A$594)*($B637=$B$403:$B$594)*("Weekday"=$D$403:$D$594),0))*Weekdays+INDEX(O$403:O$594,MATCH(1,($A637=$A$403:$A$594)*($B637=$B$403:$B$594)*("Weekend"=$D$403:$D$594),0))*WeekendDays)/DaysPerWeek</f>
        <v>6.4054486409544648E-5</v>
      </c>
      <c r="O637" s="10" cm="1">
        <f t="array" ref="O637">(INDEX(P$403:P$594,MATCH(1,($A637=$A$403:$A$594)*($B637=$B$403:$B$594)*("Weekday"=$D$403:$D$594),0))*Weekdays+INDEX(P$403:P$594,MATCH(1,($A637=$A$403:$A$594)*($B637=$B$403:$B$594)*("Weekend"=$D$403:$D$594),0))*WeekendDays)/DaysPerWeek</f>
        <v>6.4054486409544648E-5</v>
      </c>
      <c r="P637" s="10" cm="1">
        <f t="array" ref="P637">(INDEX(Q$403:Q$594,MATCH(1,($A637=$A$403:$A$594)*($B637=$B$403:$B$594)*("Weekday"=$D$403:$D$594),0))*Weekdays+INDEX(Q$403:Q$594,MATCH(1,($A637=$A$403:$A$594)*($B637=$B$403:$B$594)*("Weekend"=$D$403:$D$594),0))*WeekendDays)/DaysPerWeek</f>
        <v>1.2214834446155968E-4</v>
      </c>
      <c r="Q637" s="10" cm="1">
        <f t="array" ref="Q637">(INDEX(R$403:R$594,MATCH(1,($A637=$A$403:$A$594)*($B637=$B$403:$B$594)*("Weekday"=$D$403:$D$594),0))*Weekdays+INDEX(R$403:R$594,MATCH(1,($A637=$A$403:$A$594)*($B637=$B$403:$B$594)*("Weekend"=$D$403:$D$594),0))*WeekendDays)/DaysPerWeek</f>
        <v>1.2214834446155968E-4</v>
      </c>
      <c r="R637" s="10" cm="1">
        <f t="array" ref="R637">(INDEX(S$403:S$594,MATCH(1,($A637=$A$403:$A$594)*($B637=$B$403:$B$594)*("Weekday"=$D$403:$D$594),0))*Weekdays+INDEX(S$403:S$594,MATCH(1,($A637=$A$403:$A$594)*($B637=$B$403:$B$594)*("Weekend"=$D$403:$D$594),0))*WeekendDays)/DaysPerWeek</f>
        <v>1.2214834446155968E-4</v>
      </c>
      <c r="S637" s="10" cm="1">
        <f t="array" ref="S637">(INDEX(T$403:T$594,MATCH(1,($A637=$A$403:$A$594)*($B637=$B$403:$B$594)*("Weekday"=$D$403:$D$594),0))*Weekdays+INDEX(T$403:T$594,MATCH(1,($A637=$A$403:$A$594)*($B637=$B$403:$B$594)*("Weekend"=$D$403:$D$594),0))*WeekendDays)/DaysPerWeek</f>
        <v>1.2214834446155968E-4</v>
      </c>
      <c r="T637" s="10" cm="1">
        <f t="array" ref="T637">(INDEX(U$403:U$594,MATCH(1,($A637=$A$403:$A$594)*($B637=$B$403:$B$594)*("Weekday"=$D$403:$D$594),0))*Weekdays+INDEX(U$403:U$594,MATCH(1,($A637=$A$403:$A$594)*($B637=$B$403:$B$594)*("Weekend"=$D$403:$D$594),0))*WeekendDays)/DaysPerWeek</f>
        <v>1.2214834446155968E-4</v>
      </c>
      <c r="U637" s="10" cm="1">
        <f t="array" ref="U637">(INDEX(V$403:V$594,MATCH(1,($A637=$A$403:$A$594)*($B637=$B$403:$B$594)*("Weekday"=$D$403:$D$594),0))*Weekdays+INDEX(V$403:V$594,MATCH(1,($A637=$A$403:$A$594)*($B637=$B$403:$B$594)*("Weekend"=$D$403:$D$594),0))*WeekendDays)/DaysPerWeek</f>
        <v>1.2214834446155968E-4</v>
      </c>
      <c r="V637" s="10" cm="1">
        <f t="array" ref="V637">(INDEX(W$403:W$594,MATCH(1,($A637=$A$403:$A$594)*($B637=$B$403:$B$594)*("Weekday"=$D$403:$D$594),0))*Weekdays+INDEX(W$403:W$594,MATCH(1,($A637=$A$403:$A$594)*($B637=$B$403:$B$594)*("Weekend"=$D$403:$D$594),0))*WeekendDays)/DaysPerWeek</f>
        <v>1.1309950671389496E-4</v>
      </c>
      <c r="W637" s="10" cm="1">
        <f t="array" ref="W637">(INDEX(X$403:X$594,MATCH(1,($A637=$A$403:$A$594)*($B637=$B$403:$B$594)*("Weekday"=$D$403:$D$594),0))*Weekdays+INDEX(X$403:X$594,MATCH(1,($A637=$A$403:$A$594)*($B637=$B$403:$B$594)*("Weekend"=$D$403:$D$594),0))*WeekendDays)/DaysPerWeek</f>
        <v>1.1309950671389496E-4</v>
      </c>
      <c r="X637" s="10" cm="1">
        <f t="array" ref="X637">(INDEX(Y$403:Y$594,MATCH(1,($A637=$A$403:$A$594)*($B637=$B$403:$B$594)*("Weekday"=$D$403:$D$594),0))*Weekdays+INDEX(Y$403:Y$594,MATCH(1,($A637=$A$403:$A$594)*($B637=$B$403:$B$594)*("Weekend"=$D$403:$D$594),0))*WeekendDays)/DaysPerWeek</f>
        <v>1.1309950671389496E-4</v>
      </c>
      <c r="Y637" s="27">
        <f t="shared" si="242"/>
        <v>1.9120357591184709E-3</v>
      </c>
      <c r="Z637" s="32" t="str">
        <f t="shared" si="243"/>
        <v/>
      </c>
    </row>
    <row r="638" spans="1:26" outlineLevel="1" x14ac:dyDescent="0.3">
      <c r="A638" t="s">
        <v>164</v>
      </c>
      <c r="B638" t="s">
        <v>78</v>
      </c>
      <c r="C638" s="6" t="s">
        <v>154</v>
      </c>
      <c r="D638" s="10">
        <v>0</v>
      </c>
      <c r="E638" s="10" cm="1">
        <f t="array" ref="E638">(INDEX(F$403:F$594,MATCH(1,($A638=$A$403:$A$594)*($B638=$B$403:$B$594)*("Weekday"=$D$403:$D$594),0))*Weekdays+INDEX(F$403:F$594,MATCH(1,($A638=$A$403:$A$594)*($B638=$B$403:$B$594)*("Weekend"=$D$403:$D$594),0))*WeekendDays)/DaysPerWeek</f>
        <v>2.5688518875147825E-4</v>
      </c>
      <c r="F638" s="10" cm="1">
        <f t="array" ref="F638">(INDEX(G$403:G$594,MATCH(1,($A638=$A$403:$A$594)*($B638=$B$403:$B$594)*("Weekday"=$D$403:$D$594),0))*Weekdays+INDEX(G$403:G$594,MATCH(1,($A638=$A$403:$A$594)*($B638=$B$403:$B$594)*("Weekend"=$D$403:$D$594),0))*WeekendDays)/DaysPerWeek</f>
        <v>0</v>
      </c>
      <c r="G638" s="10" cm="1">
        <f t="array" ref="G638">(INDEX(H$403:H$594,MATCH(1,($A638=$A$403:$A$594)*($B638=$B$403:$B$594)*("Weekday"=$D$403:$D$594),0))*Weekdays+INDEX(H$403:H$594,MATCH(1,($A638=$A$403:$A$594)*($B638=$B$403:$B$594)*("Weekend"=$D$403:$D$594),0))*WeekendDays)/DaysPerWeek</f>
        <v>6.4818693948053319E-5</v>
      </c>
      <c r="H638" s="10" cm="1">
        <f t="array" ref="H638">(INDEX(I$403:I$594,MATCH(1,($A638=$A$403:$A$594)*($B638=$B$403:$B$594)*("Weekday"=$D$403:$D$594),0))*Weekdays+INDEX(I$403:I$594,MATCH(1,($A638=$A$403:$A$594)*($B638=$B$403:$B$594)*("Weekend"=$D$403:$D$594),0))*WeekendDays)/DaysPerWeek</f>
        <v>6.4818693948053319E-5</v>
      </c>
      <c r="I638" s="10" cm="1">
        <f t="array" ref="I638">(INDEX(J$403:J$594,MATCH(1,($A638=$A$403:$A$594)*($B638=$B$403:$B$594)*("Weekday"=$D$403:$D$594),0))*Weekdays+INDEX(J$403:J$594,MATCH(1,($A638=$A$403:$A$594)*($B638=$B$403:$B$594)*("Weekend"=$D$403:$D$594),0))*WeekendDays)/DaysPerWeek</f>
        <v>6.4818693948053319E-5</v>
      </c>
      <c r="J638" s="10">
        <v>0</v>
      </c>
      <c r="K638" s="10" cm="1">
        <f t="array" ref="K638">(INDEX(L$403:L$594,MATCH(1,($A638=$A$403:$A$594)*($B638=$B$403:$B$594)*("Weekday"=$D$403:$D$594),0))*Weekdays+INDEX(L$403:L$594,MATCH(1,($A638=$A$403:$A$594)*($B638=$B$403:$B$594)*("Weekend"=$D$403:$D$594),0))*WeekendDays)/DaysPerWeek</f>
        <v>2.1504931401361641E-4</v>
      </c>
      <c r="L638" s="10" cm="1">
        <f t="array" ref="L638">(INDEX(M$403:M$594,MATCH(1,($A638=$A$403:$A$594)*($B638=$B$403:$B$594)*("Weekday"=$D$403:$D$594),0))*Weekdays+INDEX(M$403:M$594,MATCH(1,($A638=$A$403:$A$594)*($B638=$B$403:$B$594)*("Weekend"=$D$403:$D$594),0))*WeekendDays)/DaysPerWeek</f>
        <v>0</v>
      </c>
      <c r="M638" s="10" cm="1">
        <f t="array" ref="M638">(INDEX(N$403:N$594,MATCH(1,($A638=$A$403:$A$594)*($B638=$B$403:$B$594)*("Weekday"=$D$403:$D$594),0))*Weekdays+INDEX(N$403:N$594,MATCH(1,($A638=$A$403:$A$594)*($B638=$B$403:$B$594)*("Weekend"=$D$403:$D$594),0))*WeekendDays)/DaysPerWeek</f>
        <v>6.4818693948053319E-5</v>
      </c>
      <c r="N638" s="10" cm="1">
        <f t="array" ref="N638">(INDEX(O$403:O$594,MATCH(1,($A638=$A$403:$A$594)*($B638=$B$403:$B$594)*("Weekday"=$D$403:$D$594),0))*Weekdays+INDEX(O$403:O$594,MATCH(1,($A638=$A$403:$A$594)*($B638=$B$403:$B$594)*("Weekend"=$D$403:$D$594),0))*WeekendDays)/DaysPerWeek</f>
        <v>6.4818693948053319E-5</v>
      </c>
      <c r="O638" s="10" cm="1">
        <f t="array" ref="O638">(INDEX(P$403:P$594,MATCH(1,($A638=$A$403:$A$594)*($B638=$B$403:$B$594)*("Weekday"=$D$403:$D$594),0))*Weekdays+INDEX(P$403:P$594,MATCH(1,($A638=$A$403:$A$594)*($B638=$B$403:$B$594)*("Weekend"=$D$403:$D$594),0))*WeekendDays)/DaysPerWeek</f>
        <v>6.4818693948053319E-5</v>
      </c>
      <c r="P638" s="10" cm="1">
        <f t="array" ref="P638">(INDEX(Q$403:Q$594,MATCH(1,($A638=$A$403:$A$594)*($B638=$B$403:$B$594)*("Weekday"=$D$403:$D$594),0))*Weekdays+INDEX(Q$403:Q$594,MATCH(1,($A638=$A$403:$A$594)*($B638=$B$403:$B$594)*("Weekend"=$D$403:$D$594),0))*WeekendDays)/DaysPerWeek</f>
        <v>1.2191553313158214E-4</v>
      </c>
      <c r="Q638" s="10" cm="1">
        <f t="array" ref="Q638">(INDEX(R$403:R$594,MATCH(1,($A638=$A$403:$A$594)*($B638=$B$403:$B$594)*("Weekday"=$D$403:$D$594),0))*Weekdays+INDEX(R$403:R$594,MATCH(1,($A638=$A$403:$A$594)*($B638=$B$403:$B$594)*("Weekend"=$D$403:$D$594),0))*WeekendDays)/DaysPerWeek</f>
        <v>1.2191553313158214E-4</v>
      </c>
      <c r="R638" s="10" cm="1">
        <f t="array" ref="R638">(INDEX(S$403:S$594,MATCH(1,($A638=$A$403:$A$594)*($B638=$B$403:$B$594)*("Weekday"=$D$403:$D$594),0))*Weekdays+INDEX(S$403:S$594,MATCH(1,($A638=$A$403:$A$594)*($B638=$B$403:$B$594)*("Weekend"=$D$403:$D$594),0))*WeekendDays)/DaysPerWeek</f>
        <v>1.2191553313158214E-4</v>
      </c>
      <c r="S638" s="10" cm="1">
        <f t="array" ref="S638">(INDEX(T$403:T$594,MATCH(1,($A638=$A$403:$A$594)*($B638=$B$403:$B$594)*("Weekday"=$D$403:$D$594),0))*Weekdays+INDEX(T$403:T$594,MATCH(1,($A638=$A$403:$A$594)*($B638=$B$403:$B$594)*("Weekend"=$D$403:$D$594),0))*WeekendDays)/DaysPerWeek</f>
        <v>1.2191553313158214E-4</v>
      </c>
      <c r="T638" s="10" cm="1">
        <f t="array" ref="T638">(INDEX(U$403:U$594,MATCH(1,($A638=$A$403:$A$594)*($B638=$B$403:$B$594)*("Weekday"=$D$403:$D$594),0))*Weekdays+INDEX(U$403:U$594,MATCH(1,($A638=$A$403:$A$594)*($B638=$B$403:$B$594)*("Weekend"=$D$403:$D$594),0))*WeekendDays)/DaysPerWeek</f>
        <v>1.2191553313158214E-4</v>
      </c>
      <c r="U638" s="10" cm="1">
        <f t="array" ref="U638">(INDEX(V$403:V$594,MATCH(1,($A638=$A$403:$A$594)*($B638=$B$403:$B$594)*("Weekday"=$D$403:$D$594),0))*Weekdays+INDEX(V$403:V$594,MATCH(1,($A638=$A$403:$A$594)*($B638=$B$403:$B$594)*("Weekend"=$D$403:$D$594),0))*WeekendDays)/DaysPerWeek</f>
        <v>1.2191553313158214E-4</v>
      </c>
      <c r="V638" s="10" cm="1">
        <f t="array" ref="V638">(INDEX(W$403:W$594,MATCH(1,($A638=$A$403:$A$594)*($B638=$B$403:$B$594)*("Weekday"=$D$403:$D$594),0))*Weekdays+INDEX(W$403:W$594,MATCH(1,($A638=$A$403:$A$594)*($B638=$B$403:$B$594)*("Weekend"=$D$403:$D$594),0))*WeekendDays)/DaysPerWeek</f>
        <v>1.132506082592709E-4</v>
      </c>
      <c r="W638" s="10" cm="1">
        <f t="array" ref="W638">(INDEX(X$403:X$594,MATCH(1,($A638=$A$403:$A$594)*($B638=$B$403:$B$594)*("Weekday"=$D$403:$D$594),0))*Weekdays+INDEX(X$403:X$594,MATCH(1,($A638=$A$403:$A$594)*($B638=$B$403:$B$594)*("Weekend"=$D$403:$D$594),0))*WeekendDays)/DaysPerWeek</f>
        <v>1.132506082592709E-4</v>
      </c>
      <c r="X638" s="10" cm="1">
        <f t="array" ref="X638">(INDEX(Y$403:Y$594,MATCH(1,($A638=$A$403:$A$594)*($B638=$B$403:$B$594)*("Weekday"=$D$403:$D$594),0))*Weekdays+INDEX(Y$403:Y$594,MATCH(1,($A638=$A$403:$A$594)*($B638=$B$403:$B$594)*("Weekend"=$D$403:$D$594),0))*WeekendDays)/DaysPerWeek</f>
        <v>1.132506082592709E-4</v>
      </c>
      <c r="Y638" s="27">
        <f t="shared" si="242"/>
        <v>1.93209169002072E-3</v>
      </c>
      <c r="Z638" s="32" t="str">
        <f t="shared" si="243"/>
        <v/>
      </c>
    </row>
    <row r="639" spans="1:26" outlineLevel="1" x14ac:dyDescent="0.3">
      <c r="A639" t="s">
        <v>164</v>
      </c>
      <c r="B639" t="s">
        <v>79</v>
      </c>
      <c r="C639" s="6" t="s">
        <v>155</v>
      </c>
      <c r="D639" s="10">
        <v>0</v>
      </c>
      <c r="E639" s="10" cm="1">
        <f t="array" ref="E639">(INDEX(F$403:F$594,MATCH(1,($A639=$A$403:$A$594)*($B639=$B$403:$B$594)*("Weekday"=$D$403:$D$594),0))*Weekdays+INDEX(F$403:F$594,MATCH(1,($A639=$A$403:$A$594)*($B639=$B$403:$B$594)*("Weekend"=$D$403:$D$594),0))*WeekendDays)/DaysPerWeek</f>
        <v>2.6459274679886468E-4</v>
      </c>
      <c r="F639" s="10" cm="1">
        <f t="array" ref="F639">(INDEX(G$403:G$594,MATCH(1,($A639=$A$403:$A$594)*($B639=$B$403:$B$594)*("Weekday"=$D$403:$D$594),0))*Weekdays+INDEX(G$403:G$594,MATCH(1,($A639=$A$403:$A$594)*($B639=$B$403:$B$594)*("Weekend"=$D$403:$D$594),0))*WeekendDays)/DaysPerWeek</f>
        <v>0</v>
      </c>
      <c r="G639" s="10" cm="1">
        <f t="array" ref="G639">(INDEX(H$403:H$594,MATCH(1,($A639=$A$403:$A$594)*($B639=$B$403:$B$594)*("Weekday"=$D$403:$D$594),0))*Weekdays+INDEX(H$403:H$594,MATCH(1,($A639=$A$403:$A$594)*($B639=$B$403:$B$594)*("Weekend"=$D$403:$D$594),0))*WeekendDays)/DaysPerWeek</f>
        <v>6.7944997514679688E-5</v>
      </c>
      <c r="H639" s="10" cm="1">
        <f t="array" ref="H639">(INDEX(I$403:I$594,MATCH(1,($A639=$A$403:$A$594)*($B639=$B$403:$B$594)*("Weekday"=$D$403:$D$594),0))*Weekdays+INDEX(I$403:I$594,MATCH(1,($A639=$A$403:$A$594)*($B639=$B$403:$B$594)*("Weekend"=$D$403:$D$594),0))*WeekendDays)/DaysPerWeek</f>
        <v>6.7944997514679688E-5</v>
      </c>
      <c r="I639" s="10" cm="1">
        <f t="array" ref="I639">(INDEX(J$403:J$594,MATCH(1,($A639=$A$403:$A$594)*($B639=$B$403:$B$594)*("Weekday"=$D$403:$D$594),0))*Weekdays+INDEX(J$403:J$594,MATCH(1,($A639=$A$403:$A$594)*($B639=$B$403:$B$594)*("Weekend"=$D$403:$D$594),0))*WeekendDays)/DaysPerWeek</f>
        <v>6.7944997514679688E-5</v>
      </c>
      <c r="J639" s="10">
        <v>0</v>
      </c>
      <c r="K639" s="10" cm="1">
        <f t="array" ref="K639">(INDEX(L$403:L$594,MATCH(1,($A639=$A$403:$A$594)*($B639=$B$403:$B$594)*("Weekday"=$D$403:$D$594),0))*Weekdays+INDEX(L$403:L$594,MATCH(1,($A639=$A$403:$A$594)*($B639=$B$403:$B$594)*("Weekend"=$D$403:$D$594),0))*WeekendDays)/DaysPerWeek</f>
        <v>2.1247844118195636E-4</v>
      </c>
      <c r="L639" s="10" cm="1">
        <f t="array" ref="L639">(INDEX(M$403:M$594,MATCH(1,($A639=$A$403:$A$594)*($B639=$B$403:$B$594)*("Weekday"=$D$403:$D$594),0))*Weekdays+INDEX(M$403:M$594,MATCH(1,($A639=$A$403:$A$594)*($B639=$B$403:$B$594)*("Weekend"=$D$403:$D$594),0))*WeekendDays)/DaysPerWeek</f>
        <v>0</v>
      </c>
      <c r="M639" s="10" cm="1">
        <f t="array" ref="M639">(INDEX(N$403:N$594,MATCH(1,($A639=$A$403:$A$594)*($B639=$B$403:$B$594)*("Weekday"=$D$403:$D$594),0))*Weekdays+INDEX(N$403:N$594,MATCH(1,($A639=$A$403:$A$594)*($B639=$B$403:$B$594)*("Weekend"=$D$403:$D$594),0))*WeekendDays)/DaysPerWeek</f>
        <v>6.7944997514679688E-5</v>
      </c>
      <c r="N639" s="10" cm="1">
        <f t="array" ref="N639">(INDEX(O$403:O$594,MATCH(1,($A639=$A$403:$A$594)*($B639=$B$403:$B$594)*("Weekday"=$D$403:$D$594),0))*Weekdays+INDEX(O$403:O$594,MATCH(1,($A639=$A$403:$A$594)*($B639=$B$403:$B$594)*("Weekend"=$D$403:$D$594),0))*WeekendDays)/DaysPerWeek</f>
        <v>6.7944997514679688E-5</v>
      </c>
      <c r="O639" s="10" cm="1">
        <f t="array" ref="O639">(INDEX(P$403:P$594,MATCH(1,($A639=$A$403:$A$594)*($B639=$B$403:$B$594)*("Weekday"=$D$403:$D$594),0))*Weekdays+INDEX(P$403:P$594,MATCH(1,($A639=$A$403:$A$594)*($B639=$B$403:$B$594)*("Weekend"=$D$403:$D$594),0))*WeekendDays)/DaysPerWeek</f>
        <v>6.7944997514679688E-5</v>
      </c>
      <c r="P639" s="10" cm="1">
        <f t="array" ref="P639">(INDEX(Q$403:Q$594,MATCH(1,($A639=$A$403:$A$594)*($B639=$B$403:$B$594)*("Weekday"=$D$403:$D$594),0))*Weekdays+INDEX(Q$403:Q$594,MATCH(1,($A639=$A$403:$A$594)*($B639=$B$403:$B$594)*("Weekend"=$D$403:$D$594),0))*WeekendDays)/DaysPerWeek</f>
        <v>1.38910760219944E-4</v>
      </c>
      <c r="Q639" s="10" cm="1">
        <f t="array" ref="Q639">(INDEX(R$403:R$594,MATCH(1,($A639=$A$403:$A$594)*($B639=$B$403:$B$594)*("Weekday"=$D$403:$D$594),0))*Weekdays+INDEX(R$403:R$594,MATCH(1,($A639=$A$403:$A$594)*($B639=$B$403:$B$594)*("Weekend"=$D$403:$D$594),0))*WeekendDays)/DaysPerWeek</f>
        <v>1.38910760219944E-4</v>
      </c>
      <c r="R639" s="10" cm="1">
        <f t="array" ref="R639">(INDEX(S$403:S$594,MATCH(1,($A639=$A$403:$A$594)*($B639=$B$403:$B$594)*("Weekday"=$D$403:$D$594),0))*Weekdays+INDEX(S$403:S$594,MATCH(1,($A639=$A$403:$A$594)*($B639=$B$403:$B$594)*("Weekend"=$D$403:$D$594),0))*WeekendDays)/DaysPerWeek</f>
        <v>1.38910760219944E-4</v>
      </c>
      <c r="S639" s="10" cm="1">
        <f t="array" ref="S639">(INDEX(T$403:T$594,MATCH(1,($A639=$A$403:$A$594)*($B639=$B$403:$B$594)*("Weekday"=$D$403:$D$594),0))*Weekdays+INDEX(T$403:T$594,MATCH(1,($A639=$A$403:$A$594)*($B639=$B$403:$B$594)*("Weekend"=$D$403:$D$594),0))*WeekendDays)/DaysPerWeek</f>
        <v>1.38910760219944E-4</v>
      </c>
      <c r="T639" s="10" cm="1">
        <f t="array" ref="T639">(INDEX(U$403:U$594,MATCH(1,($A639=$A$403:$A$594)*($B639=$B$403:$B$594)*("Weekday"=$D$403:$D$594),0))*Weekdays+INDEX(U$403:U$594,MATCH(1,($A639=$A$403:$A$594)*($B639=$B$403:$B$594)*("Weekend"=$D$403:$D$594),0))*WeekendDays)/DaysPerWeek</f>
        <v>1.38910760219944E-4</v>
      </c>
      <c r="U639" s="10" cm="1">
        <f t="array" ref="U639">(INDEX(V$403:V$594,MATCH(1,($A639=$A$403:$A$594)*($B639=$B$403:$B$594)*("Weekday"=$D$403:$D$594),0))*Weekdays+INDEX(V$403:V$594,MATCH(1,($A639=$A$403:$A$594)*($B639=$B$403:$B$594)*("Weekend"=$D$403:$D$594),0))*WeekendDays)/DaysPerWeek</f>
        <v>1.38910760219944E-4</v>
      </c>
      <c r="V639" s="10" cm="1">
        <f t="array" ref="V639">(INDEX(W$403:W$594,MATCH(1,($A639=$A$403:$A$594)*($B639=$B$403:$B$594)*("Weekday"=$D$403:$D$594),0))*Weekdays+INDEX(W$403:W$594,MATCH(1,($A639=$A$403:$A$594)*($B639=$B$403:$B$594)*("Weekend"=$D$403:$D$594),0))*WeekendDays)/DaysPerWeek</f>
        <v>1.1385501444077469E-4</v>
      </c>
      <c r="W639" s="10" cm="1">
        <f t="array" ref="W639">(INDEX(X$403:X$594,MATCH(1,($A639=$A$403:$A$594)*($B639=$B$403:$B$594)*("Weekday"=$D$403:$D$594),0))*Weekdays+INDEX(X$403:X$594,MATCH(1,($A639=$A$403:$A$594)*($B639=$B$403:$B$594)*("Weekend"=$D$403:$D$594),0))*WeekendDays)/DaysPerWeek</f>
        <v>1.1385501444077469E-4</v>
      </c>
      <c r="X639" s="10" cm="1">
        <f t="array" ref="X639">(INDEX(Y$403:Y$594,MATCH(1,($A639=$A$403:$A$594)*($B639=$B$403:$B$594)*("Weekday"=$D$403:$D$594),0))*Weekdays+INDEX(Y$403:Y$594,MATCH(1,($A639=$A$403:$A$594)*($B639=$B$403:$B$594)*("Weekend"=$D$403:$D$594),0))*WeekendDays)/DaysPerWeek</f>
        <v>1.1385501444077469E-4</v>
      </c>
      <c r="Y639" s="27">
        <f t="shared" si="242"/>
        <v>2.0597707777108873E-3</v>
      </c>
      <c r="Z639" s="32" t="str">
        <f t="shared" si="243"/>
        <v/>
      </c>
    </row>
    <row r="640" spans="1:26" outlineLevel="1" x14ac:dyDescent="0.3">
      <c r="A640" t="s">
        <v>164</v>
      </c>
      <c r="B640" t="s">
        <v>80</v>
      </c>
      <c r="C640" s="6" t="s">
        <v>156</v>
      </c>
      <c r="D640" s="10">
        <v>0</v>
      </c>
      <c r="E640" s="10" cm="1">
        <f t="array" ref="E640">(INDEX(F$403:F$594,MATCH(1,($A640=$A$403:$A$594)*($B640=$B$403:$B$594)*("Weekday"=$D$403:$D$594),0))*Weekdays+INDEX(F$403:F$594,MATCH(1,($A640=$A$403:$A$594)*($B640=$B$403:$B$594)*("Weekend"=$D$403:$D$594),0))*WeekendDays)/DaysPerWeek</f>
        <v>2.6175718072720528E-4</v>
      </c>
      <c r="F640" s="10" cm="1">
        <f t="array" ref="F640">(INDEX(G$403:G$594,MATCH(1,($A640=$A$403:$A$594)*($B640=$B$403:$B$594)*("Weekday"=$D$403:$D$594),0))*Weekdays+INDEX(G$403:G$594,MATCH(1,($A640=$A$403:$A$594)*($B640=$B$403:$B$594)*("Weekend"=$D$403:$D$594),0))*WeekendDays)/DaysPerWeek</f>
        <v>0</v>
      </c>
      <c r="G640" s="10" cm="1">
        <f t="array" ref="G640">(INDEX(H$403:H$594,MATCH(1,($A640=$A$403:$A$594)*($B640=$B$403:$B$594)*("Weekday"=$D$403:$D$594),0))*Weekdays+INDEX(H$403:H$594,MATCH(1,($A640=$A$403:$A$594)*($B640=$B$403:$B$594)*("Weekend"=$D$403:$D$594),0))*WeekendDays)/DaysPerWeek</f>
        <v>7.3363923696832044E-5</v>
      </c>
      <c r="H640" s="10" cm="1">
        <f t="array" ref="H640">(INDEX(I$403:I$594,MATCH(1,($A640=$A$403:$A$594)*($B640=$B$403:$B$594)*("Weekday"=$D$403:$D$594),0))*Weekdays+INDEX(I$403:I$594,MATCH(1,($A640=$A$403:$A$594)*($B640=$B$403:$B$594)*("Weekend"=$D$403:$D$594),0))*WeekendDays)/DaysPerWeek</f>
        <v>7.3363923696832044E-5</v>
      </c>
      <c r="I640" s="10" cm="1">
        <f t="array" ref="I640">(INDEX(J$403:J$594,MATCH(1,($A640=$A$403:$A$594)*($B640=$B$403:$B$594)*("Weekday"=$D$403:$D$594),0))*Weekdays+INDEX(J$403:J$594,MATCH(1,($A640=$A$403:$A$594)*($B640=$B$403:$B$594)*("Weekend"=$D$403:$D$594),0))*WeekendDays)/DaysPerWeek</f>
        <v>7.3363923696832044E-5</v>
      </c>
      <c r="J640" s="10">
        <v>0</v>
      </c>
      <c r="K640" s="10" cm="1">
        <f t="array" ref="K640">(INDEX(L$403:L$594,MATCH(1,($A640=$A$403:$A$594)*($B640=$B$403:$B$594)*("Weekday"=$D$403:$D$594),0))*Weekdays+INDEX(L$403:L$594,MATCH(1,($A640=$A$403:$A$594)*($B640=$B$403:$B$594)*("Weekend"=$D$403:$D$594),0))*WeekendDays)/DaysPerWeek</f>
        <v>2.0335426270002202E-4</v>
      </c>
      <c r="L640" s="10" cm="1">
        <f t="array" ref="L640">(INDEX(M$403:M$594,MATCH(1,($A640=$A$403:$A$594)*($B640=$B$403:$B$594)*("Weekday"=$D$403:$D$594),0))*Weekdays+INDEX(M$403:M$594,MATCH(1,($A640=$A$403:$A$594)*($B640=$B$403:$B$594)*("Weekend"=$D$403:$D$594),0))*WeekendDays)/DaysPerWeek</f>
        <v>0</v>
      </c>
      <c r="M640" s="10" cm="1">
        <f t="array" ref="M640">(INDEX(N$403:N$594,MATCH(1,($A640=$A$403:$A$594)*($B640=$B$403:$B$594)*("Weekday"=$D$403:$D$594),0))*Weekdays+INDEX(N$403:N$594,MATCH(1,($A640=$A$403:$A$594)*($B640=$B$403:$B$594)*("Weekend"=$D$403:$D$594),0))*WeekendDays)/DaysPerWeek</f>
        <v>7.3363923696832044E-5</v>
      </c>
      <c r="N640" s="10" cm="1">
        <f t="array" ref="N640">(INDEX(O$403:O$594,MATCH(1,($A640=$A$403:$A$594)*($B640=$B$403:$B$594)*("Weekday"=$D$403:$D$594),0))*Weekdays+INDEX(O$403:O$594,MATCH(1,($A640=$A$403:$A$594)*($B640=$B$403:$B$594)*("Weekend"=$D$403:$D$594),0))*WeekendDays)/DaysPerWeek</f>
        <v>7.3363923696832044E-5</v>
      </c>
      <c r="O640" s="10" cm="1">
        <f t="array" ref="O640">(INDEX(P$403:P$594,MATCH(1,($A640=$A$403:$A$594)*($B640=$B$403:$B$594)*("Weekday"=$D$403:$D$594),0))*Weekdays+INDEX(P$403:P$594,MATCH(1,($A640=$A$403:$A$594)*($B640=$B$403:$B$594)*("Weekend"=$D$403:$D$594),0))*WeekendDays)/DaysPerWeek</f>
        <v>7.3363923696832044E-5</v>
      </c>
      <c r="P640" s="10" cm="1">
        <f t="array" ref="P640">(INDEX(Q$403:Q$594,MATCH(1,($A640=$A$403:$A$594)*($B640=$B$403:$B$594)*("Weekday"=$D$403:$D$594),0))*Weekdays+INDEX(Q$403:Q$594,MATCH(1,($A640=$A$403:$A$594)*($B640=$B$403:$B$594)*("Weekend"=$D$403:$D$594),0))*WeekendDays)/DaysPerWeek</f>
        <v>1.5776847794812633E-4</v>
      </c>
      <c r="Q640" s="10" cm="1">
        <f t="array" ref="Q640">(INDEX(R$403:R$594,MATCH(1,($A640=$A$403:$A$594)*($B640=$B$403:$B$594)*("Weekday"=$D$403:$D$594),0))*Weekdays+INDEX(R$403:R$594,MATCH(1,($A640=$A$403:$A$594)*($B640=$B$403:$B$594)*("Weekend"=$D$403:$D$594),0))*WeekendDays)/DaysPerWeek</f>
        <v>1.5776847794812633E-4</v>
      </c>
      <c r="R640" s="10" cm="1">
        <f t="array" ref="R640">(INDEX(S$403:S$594,MATCH(1,($A640=$A$403:$A$594)*($B640=$B$403:$B$594)*("Weekday"=$D$403:$D$594),0))*Weekdays+INDEX(S$403:S$594,MATCH(1,($A640=$A$403:$A$594)*($B640=$B$403:$B$594)*("Weekend"=$D$403:$D$594),0))*WeekendDays)/DaysPerWeek</f>
        <v>1.5776847794812633E-4</v>
      </c>
      <c r="S640" s="10" cm="1">
        <f t="array" ref="S640">(INDEX(T$403:T$594,MATCH(1,($A640=$A$403:$A$594)*($B640=$B$403:$B$594)*("Weekday"=$D$403:$D$594),0))*Weekdays+INDEX(T$403:T$594,MATCH(1,($A640=$A$403:$A$594)*($B640=$B$403:$B$594)*("Weekend"=$D$403:$D$594),0))*WeekendDays)/DaysPerWeek</f>
        <v>1.5776847794812633E-4</v>
      </c>
      <c r="T640" s="10" cm="1">
        <f t="array" ref="T640">(INDEX(U$403:U$594,MATCH(1,($A640=$A$403:$A$594)*($B640=$B$403:$B$594)*("Weekday"=$D$403:$D$594),0))*Weekdays+INDEX(U$403:U$594,MATCH(1,($A640=$A$403:$A$594)*($B640=$B$403:$B$594)*("Weekend"=$D$403:$D$594),0))*WeekendDays)/DaysPerWeek</f>
        <v>1.5776847794812633E-4</v>
      </c>
      <c r="U640" s="10" cm="1">
        <f t="array" ref="U640">(INDEX(V$403:V$594,MATCH(1,($A640=$A$403:$A$594)*($B640=$B$403:$B$594)*("Weekday"=$D$403:$D$594),0))*Weekdays+INDEX(V$403:V$594,MATCH(1,($A640=$A$403:$A$594)*($B640=$B$403:$B$594)*("Weekend"=$D$403:$D$594),0))*WeekendDays)/DaysPerWeek</f>
        <v>1.5776847794812633E-4</v>
      </c>
      <c r="V640" s="10" cm="1">
        <f t="array" ref="V640">(INDEX(W$403:W$594,MATCH(1,($A640=$A$403:$A$594)*($B640=$B$403:$B$594)*("Weekday"=$D$403:$D$594),0))*Weekdays+INDEX(W$403:W$594,MATCH(1,($A640=$A$403:$A$594)*($B640=$B$403:$B$594)*("Weekend"=$D$403:$D$594),0))*WeekendDays)/DaysPerWeek</f>
        <v>1.1453497139496643E-4</v>
      </c>
      <c r="W640" s="10" cm="1">
        <f t="array" ref="W640">(INDEX(X$403:X$594,MATCH(1,($A640=$A$403:$A$594)*($B640=$B$403:$B$594)*("Weekday"=$D$403:$D$594),0))*Weekdays+INDEX(X$403:X$594,MATCH(1,($A640=$A$403:$A$594)*($B640=$B$403:$B$594)*("Weekend"=$D$403:$D$594),0))*WeekendDays)/DaysPerWeek</f>
        <v>1.1453497139496643E-4</v>
      </c>
      <c r="X640" s="10" cm="1">
        <f t="array" ref="X640">(INDEX(Y$403:Y$594,MATCH(1,($A640=$A$403:$A$594)*($B640=$B$403:$B$594)*("Weekday"=$D$403:$D$594),0))*Weekdays+INDEX(Y$403:Y$594,MATCH(1,($A640=$A$403:$A$594)*($B640=$B$403:$B$594)*("Weekend"=$D$403:$D$594),0))*WeekendDays)/DaysPerWeek</f>
        <v>1.1453497139496643E-4</v>
      </c>
      <c r="Y640" s="27">
        <f t="shared" si="242"/>
        <v>2.195510767481877E-3</v>
      </c>
      <c r="Z640" s="32" t="str">
        <f t="shared" si="243"/>
        <v/>
      </c>
    </row>
    <row r="641" spans="1:26" outlineLevel="1" x14ac:dyDescent="0.3">
      <c r="A641" t="s">
        <v>164</v>
      </c>
      <c r="B641" t="s">
        <v>81</v>
      </c>
      <c r="C641" s="6" t="s">
        <v>157</v>
      </c>
      <c r="D641" s="10">
        <v>0</v>
      </c>
      <c r="E641" s="10" cm="1">
        <f t="array" ref="E641">(INDEX(F$403:F$594,MATCH(1,($A641=$A$403:$A$594)*($B641=$B$403:$B$594)*("Weekday"=$D$403:$D$594),0))*Weekdays+INDEX(F$403:F$594,MATCH(1,($A641=$A$403:$A$594)*($B641=$B$403:$B$594)*("Weekend"=$D$403:$D$594),0))*WeekendDays)/DaysPerWeek</f>
        <v>2.4950611640565479E-4</v>
      </c>
      <c r="F641" s="10" cm="1">
        <f t="array" ref="F641">(INDEX(G$403:G$594,MATCH(1,($A641=$A$403:$A$594)*($B641=$B$403:$B$594)*("Weekday"=$D$403:$D$594),0))*Weekdays+INDEX(G$403:G$594,MATCH(1,($A641=$A$403:$A$594)*($B641=$B$403:$B$594)*("Weekend"=$D$403:$D$594),0))*WeekendDays)/DaysPerWeek</f>
        <v>0</v>
      </c>
      <c r="G641" s="10" cm="1">
        <f t="array" ref="G641">(INDEX(H$403:H$594,MATCH(1,($A641=$A$403:$A$594)*($B641=$B$403:$B$594)*("Weekday"=$D$403:$D$594),0))*Weekdays+INDEX(H$403:H$594,MATCH(1,($A641=$A$403:$A$594)*($B641=$B$403:$B$594)*("Weekend"=$D$403:$D$594),0))*WeekendDays)/DaysPerWeek</f>
        <v>1.7229406322740863E-4</v>
      </c>
      <c r="H641" s="10" cm="1">
        <f t="array" ref="H641">(INDEX(I$403:I$594,MATCH(1,($A641=$A$403:$A$594)*($B641=$B$403:$B$594)*("Weekday"=$D$403:$D$594),0))*Weekdays+INDEX(I$403:I$594,MATCH(1,($A641=$A$403:$A$594)*($B641=$B$403:$B$594)*("Weekend"=$D$403:$D$594),0))*WeekendDays)/DaysPerWeek</f>
        <v>1.7229406322740863E-4</v>
      </c>
      <c r="I641" s="10" cm="1">
        <f t="array" ref="I641">(INDEX(J$403:J$594,MATCH(1,($A641=$A$403:$A$594)*($B641=$B$403:$B$594)*("Weekday"=$D$403:$D$594),0))*Weekdays+INDEX(J$403:J$594,MATCH(1,($A641=$A$403:$A$594)*($B641=$B$403:$B$594)*("Weekend"=$D$403:$D$594),0))*WeekendDays)/DaysPerWeek</f>
        <v>1.7229406322740863E-4</v>
      </c>
      <c r="J641" s="10">
        <v>0</v>
      </c>
      <c r="K641" s="10" cm="1">
        <f t="array" ref="K641">(INDEX(L$403:L$594,MATCH(1,($A641=$A$403:$A$594)*($B641=$B$403:$B$594)*("Weekday"=$D$403:$D$594),0))*Weekdays+INDEX(L$403:L$594,MATCH(1,($A641=$A$403:$A$594)*($B641=$B$403:$B$594)*("Weekend"=$D$403:$D$594),0))*WeekendDays)/DaysPerWeek</f>
        <v>1.8787493630033439E-4</v>
      </c>
      <c r="L641" s="10" cm="1">
        <f t="array" ref="L641">(INDEX(M$403:M$594,MATCH(1,($A641=$A$403:$A$594)*($B641=$B$403:$B$594)*("Weekday"=$D$403:$D$594),0))*Weekdays+INDEX(M$403:M$594,MATCH(1,($A641=$A$403:$A$594)*($B641=$B$403:$B$594)*("Weekend"=$D$403:$D$594),0))*WeekendDays)/DaysPerWeek</f>
        <v>0</v>
      </c>
      <c r="M641" s="10" cm="1">
        <f t="array" ref="M641">(INDEX(N$403:N$594,MATCH(1,($A641=$A$403:$A$594)*($B641=$B$403:$B$594)*("Weekday"=$D$403:$D$594),0))*Weekdays+INDEX(N$403:N$594,MATCH(1,($A641=$A$403:$A$594)*($B641=$B$403:$B$594)*("Weekend"=$D$403:$D$594),0))*WeekendDays)/DaysPerWeek</f>
        <v>1.7229406322740863E-4</v>
      </c>
      <c r="N641" s="10" cm="1">
        <f t="array" ref="N641">(INDEX(O$403:O$594,MATCH(1,($A641=$A$403:$A$594)*($B641=$B$403:$B$594)*("Weekday"=$D$403:$D$594),0))*Weekdays+INDEX(O$403:O$594,MATCH(1,($A641=$A$403:$A$594)*($B641=$B$403:$B$594)*("Weekend"=$D$403:$D$594),0))*WeekendDays)/DaysPerWeek</f>
        <v>1.7229406322740863E-4</v>
      </c>
      <c r="O641" s="10" cm="1">
        <f t="array" ref="O641">(INDEX(P$403:P$594,MATCH(1,($A641=$A$403:$A$594)*($B641=$B$403:$B$594)*("Weekday"=$D$403:$D$594),0))*Weekdays+INDEX(P$403:P$594,MATCH(1,($A641=$A$403:$A$594)*($B641=$B$403:$B$594)*("Weekend"=$D$403:$D$594),0))*WeekendDays)/DaysPerWeek</f>
        <v>1.7229406322740863E-4</v>
      </c>
      <c r="P641" s="10" cm="1">
        <f t="array" ref="P641">(INDEX(Q$403:Q$594,MATCH(1,($A641=$A$403:$A$594)*($B641=$B$403:$B$594)*("Weekday"=$D$403:$D$594),0))*Weekdays+INDEX(Q$403:Q$594,MATCH(1,($A641=$A$403:$A$594)*($B641=$B$403:$B$594)*("Weekend"=$D$403:$D$594),0))*WeekendDays)/DaysPerWeek</f>
        <v>1.5869972326803657E-4</v>
      </c>
      <c r="Q641" s="10" cm="1">
        <f t="array" ref="Q641">(INDEX(R$403:R$594,MATCH(1,($A641=$A$403:$A$594)*($B641=$B$403:$B$594)*("Weekday"=$D$403:$D$594),0))*Weekdays+INDEX(R$403:R$594,MATCH(1,($A641=$A$403:$A$594)*($B641=$B$403:$B$594)*("Weekend"=$D$403:$D$594),0))*WeekendDays)/DaysPerWeek</f>
        <v>1.5869972326803657E-4</v>
      </c>
      <c r="R641" s="10" cm="1">
        <f t="array" ref="R641">(INDEX(S$403:S$594,MATCH(1,($A641=$A$403:$A$594)*($B641=$B$403:$B$594)*("Weekday"=$D$403:$D$594),0))*Weekdays+INDEX(S$403:S$594,MATCH(1,($A641=$A$403:$A$594)*($B641=$B$403:$B$594)*("Weekend"=$D$403:$D$594),0))*WeekendDays)/DaysPerWeek</f>
        <v>1.5869972326803657E-4</v>
      </c>
      <c r="S641" s="10" cm="1">
        <f t="array" ref="S641">(INDEX(T$403:T$594,MATCH(1,($A641=$A$403:$A$594)*($B641=$B$403:$B$594)*("Weekday"=$D$403:$D$594),0))*Weekdays+INDEX(T$403:T$594,MATCH(1,($A641=$A$403:$A$594)*($B641=$B$403:$B$594)*("Weekend"=$D$403:$D$594),0))*WeekendDays)/DaysPerWeek</f>
        <v>1.5869972326803657E-4</v>
      </c>
      <c r="T641" s="10" cm="1">
        <f t="array" ref="T641">(INDEX(U$403:U$594,MATCH(1,($A641=$A$403:$A$594)*($B641=$B$403:$B$594)*("Weekday"=$D$403:$D$594),0))*Weekdays+INDEX(U$403:U$594,MATCH(1,($A641=$A$403:$A$594)*($B641=$B$403:$B$594)*("Weekend"=$D$403:$D$594),0))*WeekendDays)/DaysPerWeek</f>
        <v>1.5869972326803657E-4</v>
      </c>
      <c r="U641" s="10" cm="1">
        <f t="array" ref="U641">(INDEX(V$403:V$594,MATCH(1,($A641=$A$403:$A$594)*($B641=$B$403:$B$594)*("Weekday"=$D$403:$D$594),0))*Weekdays+INDEX(V$403:V$594,MATCH(1,($A641=$A$403:$A$594)*($B641=$B$403:$B$594)*("Weekend"=$D$403:$D$594),0))*WeekendDays)/DaysPerWeek</f>
        <v>1.5869972326803657E-4</v>
      </c>
      <c r="V641" s="10" cm="1">
        <f t="array" ref="V641">(INDEX(W$403:W$594,MATCH(1,($A641=$A$403:$A$594)*($B641=$B$403:$B$594)*("Weekday"=$D$403:$D$594),0))*Weekdays+INDEX(W$403:W$594,MATCH(1,($A641=$A$403:$A$594)*($B641=$B$403:$B$594)*("Weekend"=$D$403:$D$594),0))*WeekendDays)/DaysPerWeek</f>
        <v>1.146105221676544E-4</v>
      </c>
      <c r="W641" s="10" cm="1">
        <f t="array" ref="W641">(INDEX(X$403:X$594,MATCH(1,($A641=$A$403:$A$594)*($B641=$B$403:$B$594)*("Weekday"=$D$403:$D$594),0))*Weekdays+INDEX(X$403:X$594,MATCH(1,($A641=$A$403:$A$594)*($B641=$B$403:$B$594)*("Weekend"=$D$403:$D$594),0))*WeekendDays)/DaysPerWeek</f>
        <v>1.146105221676544E-4</v>
      </c>
      <c r="X641" s="10" cm="1">
        <f t="array" ref="X641">(INDEX(Y$403:Y$594,MATCH(1,($A641=$A$403:$A$594)*($B641=$B$403:$B$594)*("Weekday"=$D$403:$D$594),0))*Weekdays+INDEX(Y$403:Y$594,MATCH(1,($A641=$A$403:$A$594)*($B641=$B$403:$B$594)*("Weekend"=$D$403:$D$594),0))*WeekendDays)/DaysPerWeek</f>
        <v>1.146105221676544E-4</v>
      </c>
      <c r="Y641" s="27">
        <f t="shared" si="242"/>
        <v>2.767175338181624E-3</v>
      </c>
      <c r="Z641" s="32" t="str">
        <f t="shared" si="243"/>
        <v/>
      </c>
    </row>
    <row r="642" spans="1:26" outlineLevel="1" x14ac:dyDescent="0.3">
      <c r="A642" t="s">
        <v>164</v>
      </c>
      <c r="B642" t="s">
        <v>82</v>
      </c>
      <c r="C642" s="6" t="s">
        <v>158</v>
      </c>
      <c r="D642" s="10">
        <v>0</v>
      </c>
      <c r="E642" s="10" cm="1">
        <f t="array" ref="E642">(INDEX(F$403:F$594,MATCH(1,($A642=$A$403:$A$594)*($B642=$B$403:$B$594)*("Weekday"=$D$403:$D$594),0))*Weekdays+INDEX(F$403:F$594,MATCH(1,($A642=$A$403:$A$594)*($B642=$B$403:$B$594)*("Weekend"=$D$403:$D$594),0))*WeekendDays)/DaysPerWeek</f>
        <v>2.2580467486347681E-4</v>
      </c>
      <c r="F642" s="10" cm="1">
        <f t="array" ref="F642">(INDEX(G$403:G$594,MATCH(1,($A642=$A$403:$A$594)*($B642=$B$403:$B$594)*("Weekday"=$D$403:$D$594),0))*Weekdays+INDEX(G$403:G$594,MATCH(1,($A642=$A$403:$A$594)*($B642=$B$403:$B$594)*("Weekend"=$D$403:$D$594),0))*WeekendDays)/DaysPerWeek</f>
        <v>0</v>
      </c>
      <c r="G642" s="10" cm="1">
        <f t="array" ref="G642">(INDEX(H$403:H$594,MATCH(1,($A642=$A$403:$A$594)*($B642=$B$403:$B$594)*("Weekday"=$D$403:$D$594),0))*Weekdays+INDEX(H$403:H$594,MATCH(1,($A642=$A$403:$A$594)*($B642=$B$403:$B$594)*("Weekend"=$D$403:$D$594),0))*WeekendDays)/DaysPerWeek</f>
        <v>2.8067258687045592E-4</v>
      </c>
      <c r="H642" s="10" cm="1">
        <f t="array" ref="H642">(INDEX(I$403:I$594,MATCH(1,($A642=$A$403:$A$594)*($B642=$B$403:$B$594)*("Weekday"=$D$403:$D$594),0))*Weekdays+INDEX(I$403:I$594,MATCH(1,($A642=$A$403:$A$594)*($B642=$B$403:$B$594)*("Weekend"=$D$403:$D$594),0))*WeekendDays)/DaysPerWeek</f>
        <v>2.8067258687045592E-4</v>
      </c>
      <c r="I642" s="10" cm="1">
        <f t="array" ref="I642">(INDEX(J$403:J$594,MATCH(1,($A642=$A$403:$A$594)*($B642=$B$403:$B$594)*("Weekday"=$D$403:$D$594),0))*Weekdays+INDEX(J$403:J$594,MATCH(1,($A642=$A$403:$A$594)*($B642=$B$403:$B$594)*("Weekend"=$D$403:$D$594),0))*WeekendDays)/DaysPerWeek</f>
        <v>2.8067258687045592E-4</v>
      </c>
      <c r="J642" s="10">
        <v>0</v>
      </c>
      <c r="K642" s="10" cm="1">
        <f t="array" ref="K642">(INDEX(L$403:L$594,MATCH(1,($A642=$A$403:$A$594)*($B642=$B$403:$B$594)*("Weekday"=$D$403:$D$594),0))*Weekdays+INDEX(L$403:L$594,MATCH(1,($A642=$A$403:$A$594)*($B642=$B$403:$B$594)*("Weekend"=$D$403:$D$594),0))*WeekendDays)/DaysPerWeek</f>
        <v>1.692576544338469E-4</v>
      </c>
      <c r="L642" s="10" cm="1">
        <f t="array" ref="L642">(INDEX(M$403:M$594,MATCH(1,($A642=$A$403:$A$594)*($B642=$B$403:$B$594)*("Weekday"=$D$403:$D$594),0))*Weekdays+INDEX(M$403:M$594,MATCH(1,($A642=$A$403:$A$594)*($B642=$B$403:$B$594)*("Weekend"=$D$403:$D$594),0))*WeekendDays)/DaysPerWeek</f>
        <v>0</v>
      </c>
      <c r="M642" s="10" cm="1">
        <f t="array" ref="M642">(INDEX(N$403:N$594,MATCH(1,($A642=$A$403:$A$594)*($B642=$B$403:$B$594)*("Weekday"=$D$403:$D$594),0))*Weekdays+INDEX(N$403:N$594,MATCH(1,($A642=$A$403:$A$594)*($B642=$B$403:$B$594)*("Weekend"=$D$403:$D$594),0))*WeekendDays)/DaysPerWeek</f>
        <v>2.8067258687045592E-4</v>
      </c>
      <c r="N642" s="10" cm="1">
        <f t="array" ref="N642">(INDEX(O$403:O$594,MATCH(1,($A642=$A$403:$A$594)*($B642=$B$403:$B$594)*("Weekday"=$D$403:$D$594),0))*Weekdays+INDEX(O$403:O$594,MATCH(1,($A642=$A$403:$A$594)*($B642=$B$403:$B$594)*("Weekend"=$D$403:$D$594),0))*WeekendDays)/DaysPerWeek</f>
        <v>2.8067258687045592E-4</v>
      </c>
      <c r="O642" s="10" cm="1">
        <f t="array" ref="O642">(INDEX(P$403:P$594,MATCH(1,($A642=$A$403:$A$594)*($B642=$B$403:$B$594)*("Weekday"=$D$403:$D$594),0))*Weekdays+INDEX(P$403:P$594,MATCH(1,($A642=$A$403:$A$594)*($B642=$B$403:$B$594)*("Weekend"=$D$403:$D$594),0))*WeekendDays)/DaysPerWeek</f>
        <v>2.8067258687045592E-4</v>
      </c>
      <c r="P642" s="10" cm="1">
        <f t="array" ref="P642">(INDEX(Q$403:Q$594,MATCH(1,($A642=$A$403:$A$594)*($B642=$B$403:$B$594)*("Weekday"=$D$403:$D$594),0))*Weekdays+INDEX(Q$403:Q$594,MATCH(1,($A642=$A$403:$A$594)*($B642=$B$403:$B$594)*("Weekend"=$D$403:$D$594),0))*WeekendDays)/DaysPerWeek</f>
        <v>1.4775759075909124E-4</v>
      </c>
      <c r="Q642" s="10" cm="1">
        <f t="array" ref="Q642">(INDEX(R$403:R$594,MATCH(1,($A642=$A$403:$A$594)*($B642=$B$403:$B$594)*("Weekday"=$D$403:$D$594),0))*Weekdays+INDEX(R$403:R$594,MATCH(1,($A642=$A$403:$A$594)*($B642=$B$403:$B$594)*("Weekend"=$D$403:$D$594),0))*WeekendDays)/DaysPerWeek</f>
        <v>1.4775759075909124E-4</v>
      </c>
      <c r="R642" s="10" cm="1">
        <f t="array" ref="R642">(INDEX(S$403:S$594,MATCH(1,($A642=$A$403:$A$594)*($B642=$B$403:$B$594)*("Weekday"=$D$403:$D$594),0))*Weekdays+INDEX(S$403:S$594,MATCH(1,($A642=$A$403:$A$594)*($B642=$B$403:$B$594)*("Weekend"=$D$403:$D$594),0))*WeekendDays)/DaysPerWeek</f>
        <v>1.4775759075909124E-4</v>
      </c>
      <c r="S642" s="10" cm="1">
        <f t="array" ref="S642">(INDEX(T$403:T$594,MATCH(1,($A642=$A$403:$A$594)*($B642=$B$403:$B$594)*("Weekday"=$D$403:$D$594),0))*Weekdays+INDEX(T$403:T$594,MATCH(1,($A642=$A$403:$A$594)*($B642=$B$403:$B$594)*("Weekend"=$D$403:$D$594),0))*WeekendDays)/DaysPerWeek</f>
        <v>1.4775759075909124E-4</v>
      </c>
      <c r="T642" s="10" cm="1">
        <f t="array" ref="T642">(INDEX(U$403:U$594,MATCH(1,($A642=$A$403:$A$594)*($B642=$B$403:$B$594)*("Weekday"=$D$403:$D$594),0))*Weekdays+INDEX(U$403:U$594,MATCH(1,($A642=$A$403:$A$594)*($B642=$B$403:$B$594)*("Weekend"=$D$403:$D$594),0))*WeekendDays)/DaysPerWeek</f>
        <v>1.4775759075909124E-4</v>
      </c>
      <c r="U642" s="10" cm="1">
        <f t="array" ref="U642">(INDEX(V$403:V$594,MATCH(1,($A642=$A$403:$A$594)*($B642=$B$403:$B$594)*("Weekday"=$D$403:$D$594),0))*Weekdays+INDEX(V$403:V$594,MATCH(1,($A642=$A$403:$A$594)*($B642=$B$403:$B$594)*("Weekend"=$D$403:$D$594),0))*WeekendDays)/DaysPerWeek</f>
        <v>1.4775759075909124E-4</v>
      </c>
      <c r="V642" s="10" cm="1">
        <f t="array" ref="V642">(INDEX(W$403:W$594,MATCH(1,($A642=$A$403:$A$594)*($B642=$B$403:$B$594)*("Weekday"=$D$403:$D$594),0))*Weekdays+INDEX(W$403:W$594,MATCH(1,($A642=$A$403:$A$594)*($B642=$B$403:$B$594)*("Weekend"=$D$403:$D$594),0))*WeekendDays)/DaysPerWeek</f>
        <v>1.1430831907690252E-4</v>
      </c>
      <c r="W642" s="10" cm="1">
        <f t="array" ref="W642">(INDEX(X$403:X$594,MATCH(1,($A642=$A$403:$A$594)*($B642=$B$403:$B$594)*("Weekday"=$D$403:$D$594),0))*Weekdays+INDEX(X$403:X$594,MATCH(1,($A642=$A$403:$A$594)*($B642=$B$403:$B$594)*("Weekend"=$D$403:$D$594),0))*WeekendDays)/DaysPerWeek</f>
        <v>1.1430831907690252E-4</v>
      </c>
      <c r="X642" s="10" cm="1">
        <f t="array" ref="X642">(INDEX(Y$403:Y$594,MATCH(1,($A642=$A$403:$A$594)*($B642=$B$403:$B$594)*("Weekday"=$D$403:$D$594),0))*Weekdays+INDEX(Y$403:Y$594,MATCH(1,($A642=$A$403:$A$594)*($B642=$B$403:$B$594)*("Weekend"=$D$403:$D$594),0))*WeekendDays)/DaysPerWeek</f>
        <v>1.1430831907690252E-4</v>
      </c>
      <c r="Y642" s="35">
        <f t="shared" si="242"/>
        <v>3.308568352305313E-3</v>
      </c>
      <c r="Z642" s="32" t="str">
        <f t="shared" si="243"/>
        <v>Spring Peak</v>
      </c>
    </row>
    <row r="643" spans="1:26" outlineLevel="1" x14ac:dyDescent="0.3">
      <c r="A643" t="s">
        <v>164</v>
      </c>
      <c r="B643" t="s">
        <v>83</v>
      </c>
      <c r="C643" s="6" t="s">
        <v>159</v>
      </c>
      <c r="D643" s="10">
        <v>0</v>
      </c>
      <c r="E643" s="10" cm="1">
        <f t="array" ref="E643">(INDEX(F$403:F$594,MATCH(1,($A643=$A$403:$A$594)*($B643=$B$403:$B$594)*("Weekday"=$D$403:$D$594),0))*Weekdays+INDEX(F$403:F$594,MATCH(1,($A643=$A$403:$A$594)*($B643=$B$403:$B$594)*("Weekend"=$D$403:$D$594),0))*WeekendDays)/DaysPerWeek</f>
        <v>1.8795749717018744E-4</v>
      </c>
      <c r="F643" s="10" cm="1">
        <f t="array" ref="F643">(INDEX(G$403:G$594,MATCH(1,($A643=$A$403:$A$594)*($B643=$B$403:$B$594)*("Weekday"=$D$403:$D$594),0))*Weekdays+INDEX(G$403:G$594,MATCH(1,($A643=$A$403:$A$594)*($B643=$B$403:$B$594)*("Weekend"=$D$403:$D$594),0))*WeekendDays)/DaysPerWeek</f>
        <v>0</v>
      </c>
      <c r="G643" s="10" cm="1">
        <f t="array" ref="G643">(INDEX(H$403:H$594,MATCH(1,($A643=$A$403:$A$594)*($B643=$B$403:$B$594)*("Weekday"=$D$403:$D$594),0))*Weekdays+INDEX(H$403:H$594,MATCH(1,($A643=$A$403:$A$594)*($B643=$B$403:$B$594)*("Weekend"=$D$403:$D$594),0))*WeekendDays)/DaysPerWeek</f>
        <v>2.9908304120725572E-4</v>
      </c>
      <c r="H643" s="10" cm="1">
        <f t="array" ref="H643">(INDEX(I$403:I$594,MATCH(1,($A643=$A$403:$A$594)*($B643=$B$403:$B$594)*("Weekday"=$D$403:$D$594),0))*Weekdays+INDEX(I$403:I$594,MATCH(1,($A643=$A$403:$A$594)*($B643=$B$403:$B$594)*("Weekend"=$D$403:$D$594),0))*WeekendDays)/DaysPerWeek</f>
        <v>2.9908304120725572E-4</v>
      </c>
      <c r="I643" s="10" cm="1">
        <f t="array" ref="I643">(INDEX(J$403:J$594,MATCH(1,($A643=$A$403:$A$594)*($B643=$B$403:$B$594)*("Weekday"=$D$403:$D$594),0))*Weekdays+INDEX(J$403:J$594,MATCH(1,($A643=$A$403:$A$594)*($B643=$B$403:$B$594)*("Weekend"=$D$403:$D$594),0))*WeekendDays)/DaysPerWeek</f>
        <v>2.9908304120725572E-4</v>
      </c>
      <c r="J643" s="10">
        <v>0</v>
      </c>
      <c r="K643" s="10" cm="1">
        <f t="array" ref="K643">(INDEX(L$403:L$594,MATCH(1,($A643=$A$403:$A$594)*($B643=$B$403:$B$594)*("Weekday"=$D$403:$D$594),0))*Weekdays+INDEX(L$403:L$594,MATCH(1,($A643=$A$403:$A$594)*($B643=$B$403:$B$594)*("Weekend"=$D$403:$D$594),0))*WeekendDays)/DaysPerWeek</f>
        <v>1.470608349843224E-4</v>
      </c>
      <c r="L643" s="10" cm="1">
        <f t="array" ref="L643">(INDEX(M$403:M$594,MATCH(1,($A643=$A$403:$A$594)*($B643=$B$403:$B$594)*("Weekday"=$D$403:$D$594),0))*Weekdays+INDEX(M$403:M$594,MATCH(1,($A643=$A$403:$A$594)*($B643=$B$403:$B$594)*("Weekend"=$D$403:$D$594),0))*WeekendDays)/DaysPerWeek</f>
        <v>0</v>
      </c>
      <c r="M643" s="10" cm="1">
        <f t="array" ref="M643">(INDEX(N$403:N$594,MATCH(1,($A643=$A$403:$A$594)*($B643=$B$403:$B$594)*("Weekday"=$D$403:$D$594),0))*Weekdays+INDEX(N$403:N$594,MATCH(1,($A643=$A$403:$A$594)*($B643=$B$403:$B$594)*("Weekend"=$D$403:$D$594),0))*WeekendDays)/DaysPerWeek</f>
        <v>2.9908304120725572E-4</v>
      </c>
      <c r="N643" s="10" cm="1">
        <f t="array" ref="N643">(INDEX(O$403:O$594,MATCH(1,($A643=$A$403:$A$594)*($B643=$B$403:$B$594)*("Weekday"=$D$403:$D$594),0))*Weekdays+INDEX(O$403:O$594,MATCH(1,($A643=$A$403:$A$594)*($B643=$B$403:$B$594)*("Weekend"=$D$403:$D$594),0))*WeekendDays)/DaysPerWeek</f>
        <v>2.9908304120725572E-4</v>
      </c>
      <c r="O643" s="10" cm="1">
        <f t="array" ref="O643">(INDEX(P$403:P$594,MATCH(1,($A643=$A$403:$A$594)*($B643=$B$403:$B$594)*("Weekday"=$D$403:$D$594),0))*Weekdays+INDEX(P$403:P$594,MATCH(1,($A643=$A$403:$A$594)*($B643=$B$403:$B$594)*("Weekend"=$D$403:$D$594),0))*WeekendDays)/DaysPerWeek</f>
        <v>2.9908304120725572E-4</v>
      </c>
      <c r="P643" s="10" cm="1">
        <f t="array" ref="P643">(INDEX(Q$403:Q$594,MATCH(1,($A643=$A$403:$A$594)*($B643=$B$403:$B$594)*("Weekday"=$D$403:$D$594),0))*Weekdays+INDEX(Q$403:Q$594,MATCH(1,($A643=$A$403:$A$594)*($B643=$B$403:$B$594)*("Weekend"=$D$403:$D$594),0))*WeekendDays)/DaysPerWeek</f>
        <v>1.2975351457415998E-4</v>
      </c>
      <c r="Q643" s="10" cm="1">
        <f t="array" ref="Q643">(INDEX(R$403:R$594,MATCH(1,($A643=$A$403:$A$594)*($B643=$B$403:$B$594)*("Weekday"=$D$403:$D$594),0))*Weekdays+INDEX(R$403:R$594,MATCH(1,($A643=$A$403:$A$594)*($B643=$B$403:$B$594)*("Weekend"=$D$403:$D$594),0))*WeekendDays)/DaysPerWeek</f>
        <v>1.2975351457415998E-4</v>
      </c>
      <c r="R643" s="10" cm="1">
        <f t="array" ref="R643">(INDEX(S$403:S$594,MATCH(1,($A643=$A$403:$A$594)*($B643=$B$403:$B$594)*("Weekday"=$D$403:$D$594),0))*Weekdays+INDEX(S$403:S$594,MATCH(1,($A643=$A$403:$A$594)*($B643=$B$403:$B$594)*("Weekend"=$D$403:$D$594),0))*WeekendDays)/DaysPerWeek</f>
        <v>1.2975351457415998E-4</v>
      </c>
      <c r="S643" s="10" cm="1">
        <f t="array" ref="S643">(INDEX(T$403:T$594,MATCH(1,($A643=$A$403:$A$594)*($B643=$B$403:$B$594)*("Weekday"=$D$403:$D$594),0))*Weekdays+INDEX(T$403:T$594,MATCH(1,($A643=$A$403:$A$594)*($B643=$B$403:$B$594)*("Weekend"=$D$403:$D$594),0))*WeekendDays)/DaysPerWeek</f>
        <v>1.2975351457415998E-4</v>
      </c>
      <c r="T643" s="10" cm="1">
        <f t="array" ref="T643">(INDEX(U$403:U$594,MATCH(1,($A643=$A$403:$A$594)*($B643=$B$403:$B$594)*("Weekday"=$D$403:$D$594),0))*Weekdays+INDEX(U$403:U$594,MATCH(1,($A643=$A$403:$A$594)*($B643=$B$403:$B$594)*("Weekend"=$D$403:$D$594),0))*WeekendDays)/DaysPerWeek</f>
        <v>1.2975351457415998E-4</v>
      </c>
      <c r="U643" s="10" cm="1">
        <f t="array" ref="U643">(INDEX(V$403:V$594,MATCH(1,($A643=$A$403:$A$594)*($B643=$B$403:$B$594)*("Weekday"=$D$403:$D$594),0))*Weekdays+INDEX(V$403:V$594,MATCH(1,($A643=$A$403:$A$594)*($B643=$B$403:$B$594)*("Weekend"=$D$403:$D$594),0))*WeekendDays)/DaysPerWeek</f>
        <v>1.2975351457415998E-4</v>
      </c>
      <c r="V643" s="10" cm="1">
        <f t="array" ref="V643">(INDEX(W$403:W$594,MATCH(1,($A643=$A$403:$A$594)*($B643=$B$403:$B$594)*("Weekday"=$D$403:$D$594),0))*Weekdays+INDEX(W$403:W$594,MATCH(1,($A643=$A$403:$A$594)*($B643=$B$403:$B$594)*("Weekend"=$D$403:$D$594),0))*WeekendDays)/DaysPerWeek</f>
        <v>1.1393056521346265E-4</v>
      </c>
      <c r="W643" s="10" cm="1">
        <f t="array" ref="W643">(INDEX(X$403:X$594,MATCH(1,($A643=$A$403:$A$594)*($B643=$B$403:$B$594)*("Weekday"=$D$403:$D$594),0))*Weekdays+INDEX(X$403:X$594,MATCH(1,($A643=$A$403:$A$594)*($B643=$B$403:$B$594)*("Weekend"=$D$403:$D$594),0))*WeekendDays)/DaysPerWeek</f>
        <v>1.1393056521346265E-4</v>
      </c>
      <c r="X643" s="10" cm="1">
        <f t="array" ref="X643">(INDEX(Y$403:Y$594,MATCH(1,($A643=$A$403:$A$594)*($B643=$B$403:$B$594)*("Weekday"=$D$403:$D$594),0))*Weekdays+INDEX(Y$403:Y$594,MATCH(1,($A643=$A$403:$A$594)*($B643=$B$403:$B$594)*("Weekend"=$D$403:$D$594),0))*WeekendDays)/DaysPerWeek</f>
        <v>1.1393056521346265E-4</v>
      </c>
      <c r="Y643" s="27">
        <f t="shared" si="242"/>
        <v>3.2498293624833928E-3</v>
      </c>
      <c r="Z643" s="32" t="str">
        <f t="shared" si="243"/>
        <v/>
      </c>
    </row>
    <row r="644" spans="1:26" outlineLevel="1" x14ac:dyDescent="0.3">
      <c r="A644" t="s">
        <v>164</v>
      </c>
      <c r="B644" t="s">
        <v>84</v>
      </c>
      <c r="C644" s="6" t="s">
        <v>160</v>
      </c>
      <c r="D644" s="10">
        <v>0</v>
      </c>
      <c r="E644" s="10" cm="1">
        <f t="array" ref="E644">(INDEX(F$403:F$594,MATCH(1,($A644=$A$403:$A$594)*($B644=$B$403:$B$594)*("Weekday"=$D$403:$D$594),0))*Weekdays+INDEX(F$403:F$594,MATCH(1,($A644=$A$403:$A$594)*($B644=$B$403:$B$594)*("Weekend"=$D$403:$D$594),0))*WeekendDays)/DaysPerWeek</f>
        <v>1.453326252022481E-4</v>
      </c>
      <c r="F644" s="10" cm="1">
        <f t="array" ref="F644">(INDEX(G$403:G$594,MATCH(1,($A644=$A$403:$A$594)*($B644=$B$403:$B$594)*("Weekday"=$D$403:$D$594),0))*Weekdays+INDEX(G$403:G$594,MATCH(1,($A644=$A$403:$A$594)*($B644=$B$403:$B$594)*("Weekend"=$D$403:$D$594),0))*WeekendDays)/DaysPerWeek</f>
        <v>0</v>
      </c>
      <c r="G644" s="10" cm="1">
        <f t="array" ref="G644">(INDEX(H$403:H$594,MATCH(1,($A644=$A$403:$A$594)*($B644=$B$403:$B$594)*("Weekday"=$D$403:$D$594),0))*Weekdays+INDEX(H$403:H$594,MATCH(1,($A644=$A$403:$A$594)*($B644=$B$403:$B$594)*("Weekend"=$D$403:$D$594),0))*WeekendDays)/DaysPerWeek</f>
        <v>3.0172303088574014E-4</v>
      </c>
      <c r="H644" s="10" cm="1">
        <f t="array" ref="H644">(INDEX(I$403:I$594,MATCH(1,($A644=$A$403:$A$594)*($B644=$B$403:$B$594)*("Weekday"=$D$403:$D$594),0))*Weekdays+INDEX(I$403:I$594,MATCH(1,($A644=$A$403:$A$594)*($B644=$B$403:$B$594)*("Weekend"=$D$403:$D$594),0))*WeekendDays)/DaysPerWeek</f>
        <v>3.0172303088574014E-4</v>
      </c>
      <c r="I644" s="10" cm="1">
        <f t="array" ref="I644">(INDEX(J$403:J$594,MATCH(1,($A644=$A$403:$A$594)*($B644=$B$403:$B$594)*("Weekday"=$D$403:$D$594),0))*Weekdays+INDEX(J$403:J$594,MATCH(1,($A644=$A$403:$A$594)*($B644=$B$403:$B$594)*("Weekend"=$D$403:$D$594),0))*WeekendDays)/DaysPerWeek</f>
        <v>3.0172303088574014E-4</v>
      </c>
      <c r="J644" s="10">
        <v>0</v>
      </c>
      <c r="K644" s="10" cm="1">
        <f t="array" ref="K644">(INDEX(L$403:L$594,MATCH(1,($A644=$A$403:$A$594)*($B644=$B$403:$B$594)*("Weekday"=$D$403:$D$594),0))*Weekdays+INDEX(L$403:L$594,MATCH(1,($A644=$A$403:$A$594)*($B644=$B$403:$B$594)*("Weekend"=$D$403:$D$594),0))*WeekendDays)/DaysPerWeek</f>
        <v>1.2707095805389231E-4</v>
      </c>
      <c r="L644" s="10" cm="1">
        <f t="array" ref="L644">(INDEX(M$403:M$594,MATCH(1,($A644=$A$403:$A$594)*($B644=$B$403:$B$594)*("Weekday"=$D$403:$D$594),0))*Weekdays+INDEX(M$403:M$594,MATCH(1,($A644=$A$403:$A$594)*($B644=$B$403:$B$594)*("Weekend"=$D$403:$D$594),0))*WeekendDays)/DaysPerWeek</f>
        <v>0</v>
      </c>
      <c r="M644" s="10" cm="1">
        <f t="array" ref="M644">(INDEX(N$403:N$594,MATCH(1,($A644=$A$403:$A$594)*($B644=$B$403:$B$594)*("Weekday"=$D$403:$D$594),0))*Weekdays+INDEX(N$403:N$594,MATCH(1,($A644=$A$403:$A$594)*($B644=$B$403:$B$594)*("Weekend"=$D$403:$D$594),0))*WeekendDays)/DaysPerWeek</f>
        <v>3.0172303088574014E-4</v>
      </c>
      <c r="N644" s="10" cm="1">
        <f t="array" ref="N644">(INDEX(O$403:O$594,MATCH(1,($A644=$A$403:$A$594)*($B644=$B$403:$B$594)*("Weekday"=$D$403:$D$594),0))*Weekdays+INDEX(O$403:O$594,MATCH(1,($A644=$A$403:$A$594)*($B644=$B$403:$B$594)*("Weekend"=$D$403:$D$594),0))*WeekendDays)/DaysPerWeek</f>
        <v>3.0172303088574014E-4</v>
      </c>
      <c r="O644" s="10" cm="1">
        <f t="array" ref="O644">(INDEX(P$403:P$594,MATCH(1,($A644=$A$403:$A$594)*($B644=$B$403:$B$594)*("Weekday"=$D$403:$D$594),0))*Weekdays+INDEX(P$403:P$594,MATCH(1,($A644=$A$403:$A$594)*($B644=$B$403:$B$594)*("Weekend"=$D$403:$D$594),0))*WeekendDays)/DaysPerWeek</f>
        <v>3.0172303088574014E-4</v>
      </c>
      <c r="P644" s="10" cm="1">
        <f t="array" ref="P644">(INDEX(Q$403:Q$594,MATCH(1,($A644=$A$403:$A$594)*($B644=$B$403:$B$594)*("Weekday"=$D$403:$D$594),0))*Weekdays+INDEX(Q$403:Q$594,MATCH(1,($A644=$A$403:$A$594)*($B644=$B$403:$B$594)*("Weekend"=$D$403:$D$594),0))*WeekendDays)/DaysPerWeek</f>
        <v>1.2843425037095378E-4</v>
      </c>
      <c r="Q644" s="10" cm="1">
        <f t="array" ref="Q644">(INDEX(R$403:R$594,MATCH(1,($A644=$A$403:$A$594)*($B644=$B$403:$B$594)*("Weekday"=$D$403:$D$594),0))*Weekdays+INDEX(R$403:R$594,MATCH(1,($A644=$A$403:$A$594)*($B644=$B$403:$B$594)*("Weekend"=$D$403:$D$594),0))*WeekendDays)/DaysPerWeek</f>
        <v>1.2843425037095378E-4</v>
      </c>
      <c r="R644" s="10" cm="1">
        <f t="array" ref="R644">(INDEX(S$403:S$594,MATCH(1,($A644=$A$403:$A$594)*($B644=$B$403:$B$594)*("Weekday"=$D$403:$D$594),0))*Weekdays+INDEX(S$403:S$594,MATCH(1,($A644=$A$403:$A$594)*($B644=$B$403:$B$594)*("Weekend"=$D$403:$D$594),0))*WeekendDays)/DaysPerWeek</f>
        <v>1.2843425037095378E-4</v>
      </c>
      <c r="S644" s="10" cm="1">
        <f t="array" ref="S644">(INDEX(T$403:T$594,MATCH(1,($A644=$A$403:$A$594)*($B644=$B$403:$B$594)*("Weekday"=$D$403:$D$594),0))*Weekdays+INDEX(T$403:T$594,MATCH(1,($A644=$A$403:$A$594)*($B644=$B$403:$B$594)*("Weekend"=$D$403:$D$594),0))*WeekendDays)/DaysPerWeek</f>
        <v>1.2843425037095378E-4</v>
      </c>
      <c r="T644" s="10" cm="1">
        <f t="array" ref="T644">(INDEX(U$403:U$594,MATCH(1,($A644=$A$403:$A$594)*($B644=$B$403:$B$594)*("Weekday"=$D$403:$D$594),0))*Weekdays+INDEX(U$403:U$594,MATCH(1,($A644=$A$403:$A$594)*($B644=$B$403:$B$594)*("Weekend"=$D$403:$D$594),0))*WeekendDays)/DaysPerWeek</f>
        <v>1.2843425037095378E-4</v>
      </c>
      <c r="U644" s="10" cm="1">
        <f t="array" ref="U644">(INDEX(V$403:V$594,MATCH(1,($A644=$A$403:$A$594)*($B644=$B$403:$B$594)*("Weekday"=$D$403:$D$594),0))*Weekdays+INDEX(V$403:V$594,MATCH(1,($A644=$A$403:$A$594)*($B644=$B$403:$B$594)*("Weekend"=$D$403:$D$594),0))*WeekendDays)/DaysPerWeek</f>
        <v>1.2843425037095378E-4</v>
      </c>
      <c r="V644" s="10" cm="1">
        <f t="array" ref="V644">(INDEX(W$403:W$594,MATCH(1,($A644=$A$403:$A$594)*($B644=$B$403:$B$594)*("Weekday"=$D$403:$D$594),0))*Weekdays+INDEX(W$403:W$594,MATCH(1,($A644=$A$403:$A$594)*($B644=$B$403:$B$594)*("Weekend"=$D$403:$D$594),0))*WeekendDays)/DaysPerWeek</f>
        <v>1.1362836212271077E-4</v>
      </c>
      <c r="W644" s="10" cm="1">
        <f t="array" ref="W644">(INDEX(X$403:X$594,MATCH(1,($A644=$A$403:$A$594)*($B644=$B$403:$B$594)*("Weekday"=$D$403:$D$594),0))*Weekdays+INDEX(X$403:X$594,MATCH(1,($A644=$A$403:$A$594)*($B644=$B$403:$B$594)*("Weekend"=$D$403:$D$594),0))*WeekendDays)/DaysPerWeek</f>
        <v>1.1362836212271077E-4</v>
      </c>
      <c r="X644" s="10" cm="1">
        <f t="array" ref="X644">(INDEX(Y$403:Y$594,MATCH(1,($A644=$A$403:$A$594)*($B644=$B$403:$B$594)*("Weekday"=$D$403:$D$594),0))*Weekdays+INDEX(Y$403:Y$594,MATCH(1,($A644=$A$403:$A$594)*($B644=$B$403:$B$594)*("Weekend"=$D$403:$D$594),0))*WeekendDays)/DaysPerWeek</f>
        <v>1.1362836212271077E-4</v>
      </c>
      <c r="Y644" s="27">
        <f t="shared" si="242"/>
        <v>3.1942323571644365E-3</v>
      </c>
      <c r="Z644" s="32" t="str">
        <f t="shared" si="243"/>
        <v/>
      </c>
    </row>
    <row r="645" spans="1:26" outlineLevel="1" x14ac:dyDescent="0.3">
      <c r="A645" t="s">
        <v>164</v>
      </c>
      <c r="B645" t="s">
        <v>85</v>
      </c>
      <c r="C645" s="6" t="s">
        <v>161</v>
      </c>
      <c r="D645" s="10">
        <v>0</v>
      </c>
      <c r="E645" s="10" cm="1">
        <f t="array" ref="E645">(INDEX(F$403:F$594,MATCH(1,($A645=$A$403:$A$594)*($B645=$B$403:$B$594)*("Weekday"=$D$403:$D$594),0))*Weekdays+INDEX(F$403:F$594,MATCH(1,($A645=$A$403:$A$594)*($B645=$B$403:$B$594)*("Weekend"=$D$403:$D$594),0))*WeekendDays)/DaysPerWeek</f>
        <v>1.075508333988299E-4</v>
      </c>
      <c r="F645" s="10" cm="1">
        <f t="array" ref="F645">(INDEX(G$403:G$594,MATCH(1,($A645=$A$403:$A$594)*($B645=$B$403:$B$594)*("Weekday"=$D$403:$D$594),0))*Weekdays+INDEX(G$403:G$594,MATCH(1,($A645=$A$403:$A$594)*($B645=$B$403:$B$594)*("Weekend"=$D$403:$D$594),0))*WeekendDays)/DaysPerWeek</f>
        <v>0</v>
      </c>
      <c r="G645" s="10" cm="1">
        <f t="array" ref="G645">(INDEX(H$403:H$594,MATCH(1,($A645=$A$403:$A$594)*($B645=$B$403:$B$594)*("Weekday"=$D$403:$D$594),0))*Weekdays+INDEX(H$403:H$594,MATCH(1,($A645=$A$403:$A$594)*($B645=$B$403:$B$594)*("Weekend"=$D$403:$D$594),0))*WeekendDays)/DaysPerWeek</f>
        <v>2.4788113612717494E-4</v>
      </c>
      <c r="H645" s="10" cm="1">
        <f t="array" ref="H645">(INDEX(I$403:I$594,MATCH(1,($A645=$A$403:$A$594)*($B645=$B$403:$B$594)*("Weekday"=$D$403:$D$594),0))*Weekdays+INDEX(I$403:I$594,MATCH(1,($A645=$A$403:$A$594)*($B645=$B$403:$B$594)*("Weekend"=$D$403:$D$594),0))*WeekendDays)/DaysPerWeek</f>
        <v>2.4788113612717494E-4</v>
      </c>
      <c r="I645" s="10" cm="1">
        <f t="array" ref="I645">(INDEX(J$403:J$594,MATCH(1,($A645=$A$403:$A$594)*($B645=$B$403:$B$594)*("Weekday"=$D$403:$D$594),0))*Weekdays+INDEX(J$403:J$594,MATCH(1,($A645=$A$403:$A$594)*($B645=$B$403:$B$594)*("Weekend"=$D$403:$D$594),0))*WeekendDays)/DaysPerWeek</f>
        <v>2.4788113612717494E-4</v>
      </c>
      <c r="J645" s="10">
        <v>0</v>
      </c>
      <c r="K645" s="10" cm="1">
        <f t="array" ref="K645">(INDEX(L$403:L$594,MATCH(1,($A645=$A$403:$A$594)*($B645=$B$403:$B$594)*("Weekday"=$D$403:$D$594),0))*Weekdays+INDEX(L$403:L$594,MATCH(1,($A645=$A$403:$A$594)*($B645=$B$403:$B$594)*("Weekend"=$D$403:$D$594),0))*WeekendDays)/DaysPerWeek</f>
        <v>1.1058235487057752E-4</v>
      </c>
      <c r="L645" s="10" cm="1">
        <f t="array" ref="L645">(INDEX(M$403:M$594,MATCH(1,($A645=$A$403:$A$594)*($B645=$B$403:$B$594)*("Weekday"=$D$403:$D$594),0))*Weekdays+INDEX(M$403:M$594,MATCH(1,($A645=$A$403:$A$594)*($B645=$B$403:$B$594)*("Weekend"=$D$403:$D$594),0))*WeekendDays)/DaysPerWeek</f>
        <v>0</v>
      </c>
      <c r="M645" s="10" cm="1">
        <f t="array" ref="M645">(INDEX(N$403:N$594,MATCH(1,($A645=$A$403:$A$594)*($B645=$B$403:$B$594)*("Weekday"=$D$403:$D$594),0))*Weekdays+INDEX(N$403:N$594,MATCH(1,($A645=$A$403:$A$594)*($B645=$B$403:$B$594)*("Weekend"=$D$403:$D$594),0))*WeekendDays)/DaysPerWeek</f>
        <v>2.4788113612717494E-4</v>
      </c>
      <c r="N645" s="10" cm="1">
        <f t="array" ref="N645">(INDEX(O$403:O$594,MATCH(1,($A645=$A$403:$A$594)*($B645=$B$403:$B$594)*("Weekday"=$D$403:$D$594),0))*Weekdays+INDEX(O$403:O$594,MATCH(1,($A645=$A$403:$A$594)*($B645=$B$403:$B$594)*("Weekend"=$D$403:$D$594),0))*WeekendDays)/DaysPerWeek</f>
        <v>2.4788113612717494E-4</v>
      </c>
      <c r="O645" s="10" cm="1">
        <f t="array" ref="O645">(INDEX(P$403:P$594,MATCH(1,($A645=$A$403:$A$594)*($B645=$B$403:$B$594)*("Weekday"=$D$403:$D$594),0))*Weekdays+INDEX(P$403:P$594,MATCH(1,($A645=$A$403:$A$594)*($B645=$B$403:$B$594)*("Weekend"=$D$403:$D$594),0))*WeekendDays)/DaysPerWeek</f>
        <v>2.4788113612717494E-4</v>
      </c>
      <c r="P645" s="10" cm="1">
        <f t="array" ref="P645">(INDEX(Q$403:Q$594,MATCH(1,($A645=$A$403:$A$594)*($B645=$B$403:$B$594)*("Weekday"=$D$403:$D$594),0))*Weekdays+INDEX(Q$403:Q$594,MATCH(1,($A645=$A$403:$A$594)*($B645=$B$403:$B$594)*("Weekend"=$D$403:$D$594),0))*WeekendDays)/DaysPerWeek</f>
        <v>1.2734779749772521E-4</v>
      </c>
      <c r="Q645" s="10" cm="1">
        <f t="array" ref="Q645">(INDEX(R$403:R$594,MATCH(1,($A645=$A$403:$A$594)*($B645=$B$403:$B$594)*("Weekday"=$D$403:$D$594),0))*Weekdays+INDEX(R$403:R$594,MATCH(1,($A645=$A$403:$A$594)*($B645=$B$403:$B$594)*("Weekend"=$D$403:$D$594),0))*WeekendDays)/DaysPerWeek</f>
        <v>1.2734779749772521E-4</v>
      </c>
      <c r="R645" s="10" cm="1">
        <f t="array" ref="R645">(INDEX(S$403:S$594,MATCH(1,($A645=$A$403:$A$594)*($B645=$B$403:$B$594)*("Weekday"=$D$403:$D$594),0))*Weekdays+INDEX(S$403:S$594,MATCH(1,($A645=$A$403:$A$594)*($B645=$B$403:$B$594)*("Weekend"=$D$403:$D$594),0))*WeekendDays)/DaysPerWeek</f>
        <v>1.2734779749772521E-4</v>
      </c>
      <c r="S645" s="10" cm="1">
        <f t="array" ref="S645">(INDEX(T$403:T$594,MATCH(1,($A645=$A$403:$A$594)*($B645=$B$403:$B$594)*("Weekday"=$D$403:$D$594),0))*Weekdays+INDEX(T$403:T$594,MATCH(1,($A645=$A$403:$A$594)*($B645=$B$403:$B$594)*("Weekend"=$D$403:$D$594),0))*WeekendDays)/DaysPerWeek</f>
        <v>1.2734779749772521E-4</v>
      </c>
      <c r="T645" s="10" cm="1">
        <f t="array" ref="T645">(INDEX(U$403:U$594,MATCH(1,($A645=$A$403:$A$594)*($B645=$B$403:$B$594)*("Weekday"=$D$403:$D$594),0))*Weekdays+INDEX(U$403:U$594,MATCH(1,($A645=$A$403:$A$594)*($B645=$B$403:$B$594)*("Weekend"=$D$403:$D$594),0))*WeekendDays)/DaysPerWeek</f>
        <v>1.2734779749772521E-4</v>
      </c>
      <c r="U645" s="10" cm="1">
        <f t="array" ref="U645">(INDEX(V$403:V$594,MATCH(1,($A645=$A$403:$A$594)*($B645=$B$403:$B$594)*("Weekday"=$D$403:$D$594),0))*Weekdays+INDEX(V$403:V$594,MATCH(1,($A645=$A$403:$A$594)*($B645=$B$403:$B$594)*("Weekend"=$D$403:$D$594),0))*WeekendDays)/DaysPerWeek</f>
        <v>1.2734779749772521E-4</v>
      </c>
      <c r="V645" s="10" cm="1">
        <f t="array" ref="V645">(INDEX(W$403:W$594,MATCH(1,($A645=$A$403:$A$594)*($B645=$B$403:$B$594)*("Weekday"=$D$403:$D$594),0))*Weekdays+INDEX(W$403:W$594,MATCH(1,($A645=$A$403:$A$594)*($B645=$B$403:$B$594)*("Weekend"=$D$403:$D$594),0))*WeekendDays)/DaysPerWeek</f>
        <v>1.13023955941207E-4</v>
      </c>
      <c r="W645" s="10" cm="1">
        <f t="array" ref="W645">(INDEX(X$403:X$594,MATCH(1,($A645=$A$403:$A$594)*($B645=$B$403:$B$594)*("Weekday"=$D$403:$D$594),0))*Weekdays+INDEX(X$403:X$594,MATCH(1,($A645=$A$403:$A$594)*($B645=$B$403:$B$594)*("Weekend"=$D$403:$D$594),0))*WeekendDays)/DaysPerWeek</f>
        <v>1.13023955941207E-4</v>
      </c>
      <c r="X645" s="10" cm="1">
        <f t="array" ref="X645">(INDEX(Y$403:Y$594,MATCH(1,($A645=$A$403:$A$594)*($B645=$B$403:$B$594)*("Weekday"=$D$403:$D$594),0))*Weekdays+INDEX(Y$403:Y$594,MATCH(1,($A645=$A$403:$A$594)*($B645=$B$403:$B$594)*("Weekend"=$D$403:$D$594),0))*WeekendDays)/DaysPerWeek</f>
        <v>1.13023955941207E-4</v>
      </c>
      <c r="Y645" s="27">
        <f t="shared" si="242"/>
        <v>2.8085786578424302E-3</v>
      </c>
      <c r="Z645" s="32" t="str">
        <f t="shared" si="243"/>
        <v/>
      </c>
    </row>
    <row r="646" spans="1:26" outlineLevel="1" x14ac:dyDescent="0.3">
      <c r="A646" t="s">
        <v>164</v>
      </c>
      <c r="B646" t="s">
        <v>86</v>
      </c>
      <c r="C646" s="6" t="s">
        <v>162</v>
      </c>
      <c r="D646" s="10">
        <v>0</v>
      </c>
      <c r="E646" s="10" cm="1">
        <f t="array" ref="E646">(INDEX(F$403:F$594,MATCH(1,($A646=$A$403:$A$594)*($B646=$B$403:$B$594)*("Weekday"=$D$403:$D$594),0))*Weekdays+INDEX(F$403:F$594,MATCH(1,($A646=$A$403:$A$594)*($B646=$B$403:$B$594)*("Weekend"=$D$403:$D$594),0))*WeekendDays)/DaysPerWeek</f>
        <v>7.7655573306009384E-5</v>
      </c>
      <c r="F646" s="10" cm="1">
        <f t="array" ref="F646">(INDEX(G$403:G$594,MATCH(1,($A646=$A$403:$A$594)*($B646=$B$403:$B$594)*("Weekday"=$D$403:$D$594),0))*Weekdays+INDEX(G$403:G$594,MATCH(1,($A646=$A$403:$A$594)*($B646=$B$403:$B$594)*("Weekend"=$D$403:$D$594),0))*WeekendDays)/DaysPerWeek</f>
        <v>0</v>
      </c>
      <c r="G646" s="10" cm="1">
        <f t="array" ref="G646">(INDEX(H$403:H$594,MATCH(1,($A646=$A$403:$A$594)*($B646=$B$403:$B$594)*("Weekday"=$D$403:$D$594),0))*Weekdays+INDEX(H$403:H$594,MATCH(1,($A646=$A$403:$A$594)*($B646=$B$403:$B$594)*("Weekend"=$D$403:$D$594),0))*WeekendDays)/DaysPerWeek</f>
        <v>1.5166045968767458E-4</v>
      </c>
      <c r="H646" s="10" cm="1">
        <f t="array" ref="H646">(INDEX(I$403:I$594,MATCH(1,($A646=$A$403:$A$594)*($B646=$B$403:$B$594)*("Weekday"=$D$403:$D$594),0))*Weekdays+INDEX(I$403:I$594,MATCH(1,($A646=$A$403:$A$594)*($B646=$B$403:$B$594)*("Weekend"=$D$403:$D$594),0))*WeekendDays)/DaysPerWeek</f>
        <v>1.5166045968767458E-4</v>
      </c>
      <c r="I646" s="10" cm="1">
        <f t="array" ref="I646">(INDEX(J$403:J$594,MATCH(1,($A646=$A$403:$A$594)*($B646=$B$403:$B$594)*("Weekday"=$D$403:$D$594),0))*Weekdays+INDEX(J$403:J$594,MATCH(1,($A646=$A$403:$A$594)*($B646=$B$403:$B$594)*("Weekend"=$D$403:$D$594),0))*WeekendDays)/DaysPerWeek</f>
        <v>1.5166045968767458E-4</v>
      </c>
      <c r="J646" s="10">
        <v>0</v>
      </c>
      <c r="K646" s="10" cm="1">
        <f t="array" ref="K646">(INDEX(L$403:L$594,MATCH(1,($A646=$A$403:$A$594)*($B646=$B$403:$B$594)*("Weekday"=$D$403:$D$594),0))*Weekdays+INDEX(L$403:L$594,MATCH(1,($A646=$A$403:$A$594)*($B646=$B$403:$B$594)*("Weekend"=$D$403:$D$594),0))*WeekendDays)/DaysPerWeek</f>
        <v>9.6475535375062385E-5</v>
      </c>
      <c r="L646" s="10" cm="1">
        <f t="array" ref="L646">(INDEX(M$403:M$594,MATCH(1,($A646=$A$403:$A$594)*($B646=$B$403:$B$594)*("Weekday"=$D$403:$D$594),0))*Weekdays+INDEX(M$403:M$594,MATCH(1,($A646=$A$403:$A$594)*($B646=$B$403:$B$594)*("Weekend"=$D$403:$D$594),0))*WeekendDays)/DaysPerWeek</f>
        <v>0</v>
      </c>
      <c r="M646" s="10" cm="1">
        <f t="array" ref="M646">(INDEX(N$403:N$594,MATCH(1,($A646=$A$403:$A$594)*($B646=$B$403:$B$594)*("Weekday"=$D$403:$D$594),0))*Weekdays+INDEX(N$403:N$594,MATCH(1,($A646=$A$403:$A$594)*($B646=$B$403:$B$594)*("Weekend"=$D$403:$D$594),0))*WeekendDays)/DaysPerWeek</f>
        <v>1.5166045968767458E-4</v>
      </c>
      <c r="N646" s="10" cm="1">
        <f t="array" ref="N646">(INDEX(O$403:O$594,MATCH(1,($A646=$A$403:$A$594)*($B646=$B$403:$B$594)*("Weekday"=$D$403:$D$594),0))*Weekdays+INDEX(O$403:O$594,MATCH(1,($A646=$A$403:$A$594)*($B646=$B$403:$B$594)*("Weekend"=$D$403:$D$594),0))*WeekendDays)/DaysPerWeek</f>
        <v>1.5166045968767458E-4</v>
      </c>
      <c r="O646" s="10" cm="1">
        <f t="array" ref="O646">(INDEX(P$403:P$594,MATCH(1,($A646=$A$403:$A$594)*($B646=$B$403:$B$594)*("Weekday"=$D$403:$D$594),0))*Weekdays+INDEX(P$403:P$594,MATCH(1,($A646=$A$403:$A$594)*($B646=$B$403:$B$594)*("Weekend"=$D$403:$D$594),0))*WeekendDays)/DaysPerWeek</f>
        <v>1.5166045968767458E-4</v>
      </c>
      <c r="P646" s="10" cm="1">
        <f t="array" ref="P646">(INDEX(Q$403:Q$594,MATCH(1,($A646=$A$403:$A$594)*($B646=$B$403:$B$594)*("Weekday"=$D$403:$D$594),0))*Weekdays+INDEX(Q$403:Q$594,MATCH(1,($A646=$A$403:$A$594)*($B646=$B$403:$B$594)*("Weekend"=$D$403:$D$594),0))*WeekendDays)/DaysPerWeek</f>
        <v>1.265717597311333E-4</v>
      </c>
      <c r="Q646" s="10" cm="1">
        <f t="array" ref="Q646">(INDEX(R$403:R$594,MATCH(1,($A646=$A$403:$A$594)*($B646=$B$403:$B$594)*("Weekday"=$D$403:$D$594),0))*Weekdays+INDEX(R$403:R$594,MATCH(1,($A646=$A$403:$A$594)*($B646=$B$403:$B$594)*("Weekend"=$D$403:$D$594),0))*WeekendDays)/DaysPerWeek</f>
        <v>1.265717597311333E-4</v>
      </c>
      <c r="R646" s="10" cm="1">
        <f t="array" ref="R646">(INDEX(S$403:S$594,MATCH(1,($A646=$A$403:$A$594)*($B646=$B$403:$B$594)*("Weekday"=$D$403:$D$594),0))*Weekdays+INDEX(S$403:S$594,MATCH(1,($A646=$A$403:$A$594)*($B646=$B$403:$B$594)*("Weekend"=$D$403:$D$594),0))*WeekendDays)/DaysPerWeek</f>
        <v>1.265717597311333E-4</v>
      </c>
      <c r="S646" s="10" cm="1">
        <f t="array" ref="S646">(INDEX(T$403:T$594,MATCH(1,($A646=$A$403:$A$594)*($B646=$B$403:$B$594)*("Weekday"=$D$403:$D$594),0))*Weekdays+INDEX(T$403:T$594,MATCH(1,($A646=$A$403:$A$594)*($B646=$B$403:$B$594)*("Weekend"=$D$403:$D$594),0))*WeekendDays)/DaysPerWeek</f>
        <v>1.265717597311333E-4</v>
      </c>
      <c r="T646" s="10" cm="1">
        <f t="array" ref="T646">(INDEX(U$403:U$594,MATCH(1,($A646=$A$403:$A$594)*($B646=$B$403:$B$594)*("Weekday"=$D$403:$D$594),0))*Weekdays+INDEX(U$403:U$594,MATCH(1,($A646=$A$403:$A$594)*($B646=$B$403:$B$594)*("Weekend"=$D$403:$D$594),0))*WeekendDays)/DaysPerWeek</f>
        <v>1.265717597311333E-4</v>
      </c>
      <c r="U646" s="10" cm="1">
        <f t="array" ref="U646">(INDEX(V$403:V$594,MATCH(1,($A646=$A$403:$A$594)*($B646=$B$403:$B$594)*("Weekday"=$D$403:$D$594),0))*Weekdays+INDEX(V$403:V$594,MATCH(1,($A646=$A$403:$A$594)*($B646=$B$403:$B$594)*("Weekend"=$D$403:$D$594),0))*WeekendDays)/DaysPerWeek</f>
        <v>1.265717597311333E-4</v>
      </c>
      <c r="V646" s="10" cm="1">
        <f t="array" ref="V646">(INDEX(W$403:W$594,MATCH(1,($A646=$A$403:$A$594)*($B646=$B$403:$B$594)*("Weekday"=$D$403:$D$594),0))*Weekdays+INDEX(W$403:W$594,MATCH(1,($A646=$A$403:$A$594)*($B646=$B$403:$B$594)*("Weekend"=$D$403:$D$594),0))*WeekendDays)/DaysPerWeek</f>
        <v>1.1249510053239118E-4</v>
      </c>
      <c r="W646" s="10" cm="1">
        <f t="array" ref="W646">(INDEX(X$403:X$594,MATCH(1,($A646=$A$403:$A$594)*($B646=$B$403:$B$594)*("Weekday"=$D$403:$D$594),0))*Weekdays+INDEX(X$403:X$594,MATCH(1,($A646=$A$403:$A$594)*($B646=$B$403:$B$594)*("Weekend"=$D$403:$D$594),0))*WeekendDays)/DaysPerWeek</f>
        <v>1.1249510053239118E-4</v>
      </c>
      <c r="X646" s="10" cm="1">
        <f t="array" ref="X646">(INDEX(Y$403:Y$594,MATCH(1,($A646=$A$403:$A$594)*($B646=$B$403:$B$594)*("Weekday"=$D$403:$D$594),0))*Weekdays+INDEX(Y$403:Y$594,MATCH(1,($A646=$A$403:$A$594)*($B646=$B$403:$B$594)*("Weekend"=$D$403:$D$594),0))*WeekendDays)/DaysPerWeek</f>
        <v>1.1249510053239118E-4</v>
      </c>
      <c r="Y646" s="27">
        <f t="shared" si="242"/>
        <v>2.1810097267910924E-3</v>
      </c>
      <c r="Z646" s="32" t="str">
        <f t="shared" si="243"/>
        <v/>
      </c>
    </row>
    <row r="647" spans="1:26" outlineLevel="1" x14ac:dyDescent="0.3">
      <c r="A647" t="s">
        <v>164</v>
      </c>
      <c r="B647" t="s">
        <v>87</v>
      </c>
      <c r="C647" s="6" t="s">
        <v>163</v>
      </c>
      <c r="D647" s="10">
        <v>0</v>
      </c>
      <c r="E647" s="10" cm="1">
        <f t="array" ref="E647">(INDEX(F$403:F$594,MATCH(1,($A647=$A$403:$A$594)*($B647=$B$403:$B$594)*("Weekday"=$D$403:$D$594),0))*Weekdays+INDEX(F$403:F$594,MATCH(1,($A647=$A$403:$A$594)*($B647=$B$403:$B$594)*("Weekend"=$D$403:$D$594),0))*WeekendDays)/DaysPerWeek</f>
        <v>5.7385556053157187E-5</v>
      </c>
      <c r="F647" s="10" cm="1">
        <f t="array" ref="F647">(INDEX(G$403:G$594,MATCH(1,($A647=$A$403:$A$594)*($B647=$B$403:$B$594)*("Weekday"=$D$403:$D$594),0))*Weekdays+INDEX(G$403:G$594,MATCH(1,($A647=$A$403:$A$594)*($B647=$B$403:$B$594)*("Weekend"=$D$403:$D$594),0))*WeekendDays)/DaysPerWeek</f>
        <v>0</v>
      </c>
      <c r="G647" s="10" cm="1">
        <f t="array" ref="G647">(INDEX(H$403:H$594,MATCH(1,($A647=$A$403:$A$594)*($B647=$B$403:$B$594)*("Weekday"=$D$403:$D$594),0))*Weekdays+INDEX(H$403:H$594,MATCH(1,($A647=$A$403:$A$594)*($B647=$B$403:$B$594)*("Weekend"=$D$403:$D$594),0))*WeekendDays)/DaysPerWeek</f>
        <v>8.1631259795244011E-5</v>
      </c>
      <c r="H647" s="10" cm="1">
        <f t="array" ref="H647">(INDEX(I$403:I$594,MATCH(1,($A647=$A$403:$A$594)*($B647=$B$403:$B$594)*("Weekday"=$D$403:$D$594),0))*Weekdays+INDEX(I$403:I$594,MATCH(1,($A647=$A$403:$A$594)*($B647=$B$403:$B$594)*("Weekend"=$D$403:$D$594),0))*WeekendDays)/DaysPerWeek</f>
        <v>8.1631259795244011E-5</v>
      </c>
      <c r="I647" s="10" cm="1">
        <f t="array" ref="I647">(INDEX(J$403:J$594,MATCH(1,($A647=$A$403:$A$594)*($B647=$B$403:$B$594)*("Weekday"=$D$403:$D$594),0))*Weekdays+INDEX(J$403:J$594,MATCH(1,($A647=$A$403:$A$594)*($B647=$B$403:$B$594)*("Weekend"=$D$403:$D$594),0))*WeekendDays)/DaysPerWeek</f>
        <v>8.1631259795244011E-5</v>
      </c>
      <c r="J647" s="10">
        <v>0</v>
      </c>
      <c r="K647" s="10" cm="1">
        <f t="array" ref="K647">(INDEX(L$403:L$594,MATCH(1,($A647=$A$403:$A$594)*($B647=$B$403:$B$594)*("Weekday"=$D$403:$D$594),0))*Weekdays+INDEX(L$403:L$594,MATCH(1,($A647=$A$403:$A$594)*($B647=$B$403:$B$594)*("Weekend"=$D$403:$D$594),0))*WeekendDays)/DaysPerWeek</f>
        <v>8.3525505998523447E-5</v>
      </c>
      <c r="L647" s="10" cm="1">
        <f t="array" ref="L647">(INDEX(M$403:M$594,MATCH(1,($A647=$A$403:$A$594)*($B647=$B$403:$B$594)*("Weekday"=$D$403:$D$594),0))*Weekdays+INDEX(M$403:M$594,MATCH(1,($A647=$A$403:$A$594)*($B647=$B$403:$B$594)*("Weekend"=$D$403:$D$594),0))*WeekendDays)/DaysPerWeek</f>
        <v>0</v>
      </c>
      <c r="M647" s="10" cm="1">
        <f t="array" ref="M647">(INDEX(N$403:N$594,MATCH(1,($A647=$A$403:$A$594)*($B647=$B$403:$B$594)*("Weekday"=$D$403:$D$594),0))*Weekdays+INDEX(N$403:N$594,MATCH(1,($A647=$A$403:$A$594)*($B647=$B$403:$B$594)*("Weekend"=$D$403:$D$594),0))*WeekendDays)/DaysPerWeek</f>
        <v>8.1631259795244011E-5</v>
      </c>
      <c r="N647" s="10" cm="1">
        <f t="array" ref="N647">(INDEX(O$403:O$594,MATCH(1,($A647=$A$403:$A$594)*($B647=$B$403:$B$594)*("Weekday"=$D$403:$D$594),0))*Weekdays+INDEX(O$403:O$594,MATCH(1,($A647=$A$403:$A$594)*($B647=$B$403:$B$594)*("Weekend"=$D$403:$D$594),0))*WeekendDays)/DaysPerWeek</f>
        <v>8.1631259795244011E-5</v>
      </c>
      <c r="O647" s="10" cm="1">
        <f t="array" ref="O647">(INDEX(P$403:P$594,MATCH(1,($A647=$A$403:$A$594)*($B647=$B$403:$B$594)*("Weekday"=$D$403:$D$594),0))*Weekdays+INDEX(P$403:P$594,MATCH(1,($A647=$A$403:$A$594)*($B647=$B$403:$B$594)*("Weekend"=$D$403:$D$594),0))*WeekendDays)/DaysPerWeek</f>
        <v>8.1631259795244011E-5</v>
      </c>
      <c r="P647" s="10" cm="1">
        <f t="array" ref="P647">(INDEX(Q$403:Q$594,MATCH(1,($A647=$A$403:$A$594)*($B647=$B$403:$B$594)*("Weekday"=$D$403:$D$594),0))*Weekdays+INDEX(Q$403:Q$594,MATCH(1,($A647=$A$403:$A$594)*($B647=$B$403:$B$594)*("Weekend"=$D$403:$D$594),0))*WeekendDays)/DaysPerWeek</f>
        <v>8.4898531665150123E-5</v>
      </c>
      <c r="Q647" s="10" cm="1">
        <f t="array" ref="Q647">(INDEX(R$403:R$594,MATCH(1,($A647=$A$403:$A$594)*($B647=$B$403:$B$594)*("Weekday"=$D$403:$D$594),0))*Weekdays+INDEX(R$403:R$594,MATCH(1,($A647=$A$403:$A$594)*($B647=$B$403:$B$594)*("Weekend"=$D$403:$D$594),0))*WeekendDays)/DaysPerWeek</f>
        <v>8.4898531665150123E-5</v>
      </c>
      <c r="R647" s="10" cm="1">
        <f t="array" ref="R647">(INDEX(S$403:S$594,MATCH(1,($A647=$A$403:$A$594)*($B647=$B$403:$B$594)*("Weekday"=$D$403:$D$594),0))*Weekdays+INDEX(S$403:S$594,MATCH(1,($A647=$A$403:$A$594)*($B647=$B$403:$B$594)*("Weekend"=$D$403:$D$594),0))*WeekendDays)/DaysPerWeek</f>
        <v>8.4898531665150123E-5</v>
      </c>
      <c r="S647" s="10" cm="1">
        <f t="array" ref="S647">(INDEX(T$403:T$594,MATCH(1,($A647=$A$403:$A$594)*($B647=$B$403:$B$594)*("Weekday"=$D$403:$D$594),0))*Weekdays+INDEX(T$403:T$594,MATCH(1,($A647=$A$403:$A$594)*($B647=$B$403:$B$594)*("Weekend"=$D$403:$D$594),0))*WeekendDays)/DaysPerWeek</f>
        <v>8.4898531665150123E-5</v>
      </c>
      <c r="T647" s="10" cm="1">
        <f t="array" ref="T647">(INDEX(U$403:U$594,MATCH(1,($A647=$A$403:$A$594)*($B647=$B$403:$B$594)*("Weekday"=$D$403:$D$594),0))*Weekdays+INDEX(U$403:U$594,MATCH(1,($A647=$A$403:$A$594)*($B647=$B$403:$B$594)*("Weekend"=$D$403:$D$594),0))*WeekendDays)/DaysPerWeek</f>
        <v>8.4898531665150123E-5</v>
      </c>
      <c r="U647" s="10" cm="1">
        <f t="array" ref="U647">(INDEX(V$403:V$594,MATCH(1,($A647=$A$403:$A$594)*($B647=$B$403:$B$594)*("Weekday"=$D$403:$D$594),0))*Weekdays+INDEX(V$403:V$594,MATCH(1,($A647=$A$403:$A$594)*($B647=$B$403:$B$594)*("Weekend"=$D$403:$D$594),0))*WeekendDays)/DaysPerWeek</f>
        <v>8.4898531665150123E-5</v>
      </c>
      <c r="V647" s="10" cm="1">
        <f t="array" ref="V647">(INDEX(W$403:W$594,MATCH(1,($A647=$A$403:$A$594)*($B647=$B$403:$B$594)*("Weekday"=$D$403:$D$594),0))*Weekdays+INDEX(W$403:W$594,MATCH(1,($A647=$A$403:$A$594)*($B647=$B$403:$B$594)*("Weekend"=$D$403:$D$594),0))*WeekendDays)/DaysPerWeek</f>
        <v>1.1219289744163927E-4</v>
      </c>
      <c r="W647" s="10" cm="1">
        <f t="array" ref="W647">(INDEX(X$403:X$594,MATCH(1,($A647=$A$403:$A$594)*($B647=$B$403:$B$594)*("Weekday"=$D$403:$D$594),0))*Weekdays+INDEX(X$403:X$594,MATCH(1,($A647=$A$403:$A$594)*($B647=$B$403:$B$594)*("Weekend"=$D$403:$D$594),0))*WeekendDays)/DaysPerWeek</f>
        <v>1.1219289744163927E-4</v>
      </c>
      <c r="X647" s="10" cm="1">
        <f t="array" ref="X647">(INDEX(Y$403:Y$594,MATCH(1,($A647=$A$403:$A$594)*($B647=$B$403:$B$594)*("Weekday"=$D$403:$D$594),0))*Weekdays+INDEX(Y$403:Y$594,MATCH(1,($A647=$A$403:$A$594)*($B647=$B$403:$B$594)*("Weekend"=$D$403:$D$594),0))*WeekendDays)/DaysPerWeek</f>
        <v>1.1219289744163927E-4</v>
      </c>
      <c r="Y647" s="27">
        <f t="shared" si="242"/>
        <v>1.4766685031389634E-3</v>
      </c>
      <c r="Z647" s="32" t="str">
        <f t="shared" si="243"/>
        <v/>
      </c>
    </row>
    <row r="648" spans="1:26" outlineLevel="1" x14ac:dyDescent="0.3">
      <c r="A648" t="s">
        <v>165</v>
      </c>
      <c r="B648" t="s">
        <v>64</v>
      </c>
      <c r="C648" s="6" t="s">
        <v>140</v>
      </c>
      <c r="D648" s="10">
        <v>0</v>
      </c>
      <c r="E648" s="10" cm="1">
        <f t="array" ref="E648">(INDEX(F$403:F$594,MATCH(1,($A648=$A$403:$A$594)*($B648=$B$403:$B$594)*("Weekday"=$D$403:$D$594),0))*Weekdays+INDEX(F$403:F$594,MATCH(1,($A648=$A$403:$A$594)*($B648=$B$403:$B$594)*("Weekend"=$D$403:$D$594),0))*WeekendDays)/DaysPerWeek</f>
        <v>9.1563566305635744E-5</v>
      </c>
      <c r="F648" s="10" cm="1">
        <f t="array" ref="F648">(INDEX(G$403:G$594,MATCH(1,($A648=$A$403:$A$594)*($B648=$B$403:$B$594)*("Weekday"=$D$403:$D$594),0))*Weekdays+INDEX(G$403:G$594,MATCH(1,($A648=$A$403:$A$594)*($B648=$B$403:$B$594)*("Weekend"=$D$403:$D$594),0))*WeekendDays)/DaysPerWeek</f>
        <v>0</v>
      </c>
      <c r="G648" s="10" cm="1">
        <f t="array" ref="G648">(INDEX(H$403:H$594,MATCH(1,($A648=$A$403:$A$594)*($B648=$B$403:$B$594)*("Weekday"=$D$403:$D$594),0))*Weekdays+INDEX(H$403:H$594,MATCH(1,($A648=$A$403:$A$594)*($B648=$B$403:$B$594)*("Weekend"=$D$403:$D$594),0))*WeekendDays)/DaysPerWeek</f>
        <v>5.5722986751465388E-5</v>
      </c>
      <c r="H648" s="10" cm="1">
        <f t="array" ref="H648">(INDEX(I$403:I$594,MATCH(1,($A648=$A$403:$A$594)*($B648=$B$403:$B$594)*("Weekday"=$D$403:$D$594),0))*Weekdays+INDEX(I$403:I$594,MATCH(1,($A648=$A$403:$A$594)*($B648=$B$403:$B$594)*("Weekend"=$D$403:$D$594),0))*WeekendDays)/DaysPerWeek</f>
        <v>5.5722986751465388E-5</v>
      </c>
      <c r="I648" s="10" cm="1">
        <f t="array" ref="I648">(INDEX(J$403:J$594,MATCH(1,($A648=$A$403:$A$594)*($B648=$B$403:$B$594)*("Weekday"=$D$403:$D$594),0))*Weekdays+INDEX(J$403:J$594,MATCH(1,($A648=$A$403:$A$594)*($B648=$B$403:$B$594)*("Weekend"=$D$403:$D$594),0))*WeekendDays)/DaysPerWeek</f>
        <v>5.5722986751465388E-5</v>
      </c>
      <c r="J648" s="10">
        <v>0</v>
      </c>
      <c r="K648" s="10" cm="1">
        <f t="array" ref="K648">(INDEX(L$403:L$594,MATCH(1,($A648=$A$403:$A$594)*($B648=$B$403:$B$594)*("Weekday"=$D$403:$D$594),0))*Weekdays+INDEX(L$403:L$594,MATCH(1,($A648=$A$403:$A$594)*($B648=$B$403:$B$594)*("Weekend"=$D$403:$D$594),0))*WeekendDays)/DaysPerWeek</f>
        <v>1.0287062814557978E-4</v>
      </c>
      <c r="L648" s="10" cm="1">
        <f t="array" ref="L648">(INDEX(M$403:M$594,MATCH(1,($A648=$A$403:$A$594)*($B648=$B$403:$B$594)*("Weekday"=$D$403:$D$594),0))*Weekdays+INDEX(M$403:M$594,MATCH(1,($A648=$A$403:$A$594)*($B648=$B$403:$B$594)*("Weekend"=$D$403:$D$594),0))*WeekendDays)/DaysPerWeek</f>
        <v>0</v>
      </c>
      <c r="M648" s="10" cm="1">
        <f t="array" ref="M648">(INDEX(N$403:N$594,MATCH(1,($A648=$A$403:$A$594)*($B648=$B$403:$B$594)*("Weekday"=$D$403:$D$594),0))*Weekdays+INDEX(N$403:N$594,MATCH(1,($A648=$A$403:$A$594)*($B648=$B$403:$B$594)*("Weekend"=$D$403:$D$594),0))*WeekendDays)/DaysPerWeek</f>
        <v>5.5722986751465388E-5</v>
      </c>
      <c r="N648" s="10" cm="1">
        <f t="array" ref="N648">(INDEX(O$403:O$594,MATCH(1,($A648=$A$403:$A$594)*($B648=$B$403:$B$594)*("Weekday"=$D$403:$D$594),0))*Weekdays+INDEX(O$403:O$594,MATCH(1,($A648=$A$403:$A$594)*($B648=$B$403:$B$594)*("Weekend"=$D$403:$D$594),0))*WeekendDays)/DaysPerWeek</f>
        <v>5.5722986751465388E-5</v>
      </c>
      <c r="O648" s="10" cm="1">
        <f t="array" ref="O648">(INDEX(P$403:P$594,MATCH(1,($A648=$A$403:$A$594)*($B648=$B$403:$B$594)*("Weekday"=$D$403:$D$594),0))*Weekdays+INDEX(P$403:P$594,MATCH(1,($A648=$A$403:$A$594)*($B648=$B$403:$B$594)*("Weekend"=$D$403:$D$594),0))*WeekendDays)/DaysPerWeek</f>
        <v>5.5722986751465388E-5</v>
      </c>
      <c r="P648" s="10" cm="1">
        <f t="array" ref="P648">(INDEX(Q$403:Q$594,MATCH(1,($A648=$A$403:$A$594)*($B648=$B$403:$B$594)*("Weekday"=$D$403:$D$594),0))*Weekdays+INDEX(Q$403:Q$594,MATCH(1,($A648=$A$403:$A$594)*($B648=$B$403:$B$594)*("Weekend"=$D$403:$D$594),0))*WeekendDays)/DaysPerWeek</f>
        <v>5.4850349342713081E-5</v>
      </c>
      <c r="Q648" s="10" cm="1">
        <f t="array" ref="Q648">(INDEX(R$403:R$594,MATCH(1,($A648=$A$403:$A$594)*($B648=$B$403:$B$594)*("Weekday"=$D$403:$D$594),0))*Weekdays+INDEX(R$403:R$594,MATCH(1,($A648=$A$403:$A$594)*($B648=$B$403:$B$594)*("Weekend"=$D$403:$D$594),0))*WeekendDays)/DaysPerWeek</f>
        <v>5.4850349342713081E-5</v>
      </c>
      <c r="R648" s="10" cm="1">
        <f t="array" ref="R648">(INDEX(S$403:S$594,MATCH(1,($A648=$A$403:$A$594)*($B648=$B$403:$B$594)*("Weekday"=$D$403:$D$594),0))*Weekdays+INDEX(S$403:S$594,MATCH(1,($A648=$A$403:$A$594)*($B648=$B$403:$B$594)*("Weekend"=$D$403:$D$594),0))*WeekendDays)/DaysPerWeek</f>
        <v>5.4850349342713081E-5</v>
      </c>
      <c r="S648" s="10" cm="1">
        <f t="array" ref="S648">(INDEX(T$403:T$594,MATCH(1,($A648=$A$403:$A$594)*($B648=$B$403:$B$594)*("Weekday"=$D$403:$D$594),0))*Weekdays+INDEX(T$403:T$594,MATCH(1,($A648=$A$403:$A$594)*($B648=$B$403:$B$594)*("Weekend"=$D$403:$D$594),0))*WeekendDays)/DaysPerWeek</f>
        <v>5.4850349342713081E-5</v>
      </c>
      <c r="T648" s="10" cm="1">
        <f t="array" ref="T648">(INDEX(U$403:U$594,MATCH(1,($A648=$A$403:$A$594)*($B648=$B$403:$B$594)*("Weekday"=$D$403:$D$594),0))*Weekdays+INDEX(U$403:U$594,MATCH(1,($A648=$A$403:$A$594)*($B648=$B$403:$B$594)*("Weekend"=$D$403:$D$594),0))*WeekendDays)/DaysPerWeek</f>
        <v>5.4850349342713081E-5</v>
      </c>
      <c r="U648" s="10" cm="1">
        <f t="array" ref="U648">(INDEX(V$403:V$594,MATCH(1,($A648=$A$403:$A$594)*($B648=$B$403:$B$594)*("Weekday"=$D$403:$D$594),0))*Weekdays+INDEX(V$403:V$594,MATCH(1,($A648=$A$403:$A$594)*($B648=$B$403:$B$594)*("Weekend"=$D$403:$D$594),0))*WeekendDays)/DaysPerWeek</f>
        <v>5.4850349342713081E-5</v>
      </c>
      <c r="V648" s="10" cm="1">
        <f t="array" ref="V648">(INDEX(W$403:W$594,MATCH(1,($A648=$A$403:$A$594)*($B648=$B$403:$B$594)*("Weekday"=$D$403:$D$594),0))*Weekdays+INDEX(W$403:W$594,MATCH(1,($A648=$A$403:$A$594)*($B648=$B$403:$B$594)*("Weekend"=$D$403:$D$594),0))*WeekendDays)/DaysPerWeek</f>
        <v>1.1128628816938361E-4</v>
      </c>
      <c r="W648" s="10" cm="1">
        <f t="array" ref="W648">(INDEX(X$403:X$594,MATCH(1,($A648=$A$403:$A$594)*($B648=$B$403:$B$594)*("Weekday"=$D$403:$D$594),0))*Weekdays+INDEX(X$403:X$594,MATCH(1,($A648=$A$403:$A$594)*($B648=$B$403:$B$594)*("Weekend"=$D$403:$D$594),0))*WeekendDays)/DaysPerWeek</f>
        <v>1.1128628816938361E-4</v>
      </c>
      <c r="X648" s="10" cm="1">
        <f t="array" ref="X648">(INDEX(Y$403:Y$594,MATCH(1,($A648=$A$403:$A$594)*($B648=$B$403:$B$594)*("Weekday"=$D$403:$D$594),0))*Weekdays+INDEX(Y$403:Y$594,MATCH(1,($A648=$A$403:$A$594)*($B648=$B$403:$B$594)*("Weekend"=$D$403:$D$594),0))*WeekendDays)/DaysPerWeek</f>
        <v>1.1128628816938361E-4</v>
      </c>
      <c r="Y648" s="27">
        <f t="shared" si="242"/>
        <v>1.1917330755244376E-3</v>
      </c>
      <c r="Z648" s="32" t="str">
        <f t="shared" si="243"/>
        <v/>
      </c>
    </row>
    <row r="649" spans="1:26" outlineLevel="1" x14ac:dyDescent="0.3">
      <c r="A649" t="s">
        <v>165</v>
      </c>
      <c r="B649" t="s">
        <v>65</v>
      </c>
      <c r="C649" s="6" t="s">
        <v>141</v>
      </c>
      <c r="D649" s="10">
        <v>0</v>
      </c>
      <c r="E649" s="10" cm="1">
        <f t="array" ref="E649">(INDEX(F$403:F$594,MATCH(1,($A649=$A$403:$A$594)*($B649=$B$403:$B$594)*("Weekday"=$D$403:$D$594),0))*Weekdays+INDEX(F$403:F$594,MATCH(1,($A649=$A$403:$A$594)*($B649=$B$403:$B$594)*("Weekend"=$D$403:$D$594),0))*WeekendDays)/DaysPerWeek</f>
        <v>8.1679221451560731E-5</v>
      </c>
      <c r="F649" s="10" cm="1">
        <f t="array" ref="F649">(INDEX(G$403:G$594,MATCH(1,($A649=$A$403:$A$594)*($B649=$B$403:$B$594)*("Weekday"=$D$403:$D$594),0))*Weekdays+INDEX(G$403:G$594,MATCH(1,($A649=$A$403:$A$594)*($B649=$B$403:$B$594)*("Weekend"=$D$403:$D$594),0))*WeekendDays)/DaysPerWeek</f>
        <v>0</v>
      </c>
      <c r="G649" s="10" cm="1">
        <f t="array" ref="G649">(INDEX(H$403:H$594,MATCH(1,($A649=$A$403:$A$594)*($B649=$B$403:$B$594)*("Weekday"=$D$403:$D$594),0))*Weekdays+INDEX(H$403:H$594,MATCH(1,($A649=$A$403:$A$594)*($B649=$B$403:$B$594)*("Weekend"=$D$403:$D$594),0))*WeekendDays)/DaysPerWeek</f>
        <v>5.0178665227989765E-5</v>
      </c>
      <c r="H649" s="10" cm="1">
        <f t="array" ref="H649">(INDEX(I$403:I$594,MATCH(1,($A649=$A$403:$A$594)*($B649=$B$403:$B$594)*("Weekday"=$D$403:$D$594),0))*Weekdays+INDEX(I$403:I$594,MATCH(1,($A649=$A$403:$A$594)*($B649=$B$403:$B$594)*("Weekend"=$D$403:$D$594),0))*WeekendDays)/DaysPerWeek</f>
        <v>5.0178665227989765E-5</v>
      </c>
      <c r="I649" s="10" cm="1">
        <f t="array" ref="I649">(INDEX(J$403:J$594,MATCH(1,($A649=$A$403:$A$594)*($B649=$B$403:$B$594)*("Weekday"=$D$403:$D$594),0))*Weekdays+INDEX(J$403:J$594,MATCH(1,($A649=$A$403:$A$594)*($B649=$B$403:$B$594)*("Weekend"=$D$403:$D$594),0))*WeekendDays)/DaysPerWeek</f>
        <v>5.0178665227989765E-5</v>
      </c>
      <c r="J649" s="10">
        <v>0</v>
      </c>
      <c r="K649" s="10" cm="1">
        <f t="array" ref="K649">(INDEX(L$403:L$594,MATCH(1,($A649=$A$403:$A$594)*($B649=$B$403:$B$594)*("Weekday"=$D$403:$D$594),0))*Weekdays+INDEX(L$403:L$594,MATCH(1,($A649=$A$403:$A$594)*($B649=$B$403:$B$594)*("Weekend"=$D$403:$D$594),0))*WeekendDays)/DaysPerWeek</f>
        <v>9.6445371170640666E-5</v>
      </c>
      <c r="L649" s="10" cm="1">
        <f t="array" ref="L649">(INDEX(M$403:M$594,MATCH(1,($A649=$A$403:$A$594)*($B649=$B$403:$B$594)*("Weekday"=$D$403:$D$594),0))*Weekdays+INDEX(M$403:M$594,MATCH(1,($A649=$A$403:$A$594)*($B649=$B$403:$B$594)*("Weekend"=$D$403:$D$594),0))*WeekendDays)/DaysPerWeek</f>
        <v>0</v>
      </c>
      <c r="M649" s="10" cm="1">
        <f t="array" ref="M649">(INDEX(N$403:N$594,MATCH(1,($A649=$A$403:$A$594)*($B649=$B$403:$B$594)*("Weekday"=$D$403:$D$594),0))*Weekdays+INDEX(N$403:N$594,MATCH(1,($A649=$A$403:$A$594)*($B649=$B$403:$B$594)*("Weekend"=$D$403:$D$594),0))*WeekendDays)/DaysPerWeek</f>
        <v>5.0178665227989765E-5</v>
      </c>
      <c r="N649" s="10" cm="1">
        <f t="array" ref="N649">(INDEX(O$403:O$594,MATCH(1,($A649=$A$403:$A$594)*($B649=$B$403:$B$594)*("Weekday"=$D$403:$D$594),0))*Weekdays+INDEX(O$403:O$594,MATCH(1,($A649=$A$403:$A$594)*($B649=$B$403:$B$594)*("Weekend"=$D$403:$D$594),0))*WeekendDays)/DaysPerWeek</f>
        <v>5.0178665227989765E-5</v>
      </c>
      <c r="O649" s="10" cm="1">
        <f t="array" ref="O649">(INDEX(P$403:P$594,MATCH(1,($A649=$A$403:$A$594)*($B649=$B$403:$B$594)*("Weekday"=$D$403:$D$594),0))*Weekdays+INDEX(P$403:P$594,MATCH(1,($A649=$A$403:$A$594)*($B649=$B$403:$B$594)*("Weekend"=$D$403:$D$594),0))*WeekendDays)/DaysPerWeek</f>
        <v>5.0178665227989765E-5</v>
      </c>
      <c r="P649" s="10" cm="1">
        <f t="array" ref="P649">(INDEX(Q$403:Q$594,MATCH(1,($A649=$A$403:$A$594)*($B649=$B$403:$B$594)*("Weekday"=$D$403:$D$594),0))*Weekdays+INDEX(Q$403:Q$594,MATCH(1,($A649=$A$403:$A$594)*($B649=$B$403:$B$594)*("Weekend"=$D$403:$D$594),0))*WeekendDays)/DaysPerWeek</f>
        <v>5.471066254472655E-5</v>
      </c>
      <c r="Q649" s="10" cm="1">
        <f t="array" ref="Q649">(INDEX(R$403:R$594,MATCH(1,($A649=$A$403:$A$594)*($B649=$B$403:$B$594)*("Weekday"=$D$403:$D$594),0))*Weekdays+INDEX(R$403:R$594,MATCH(1,($A649=$A$403:$A$594)*($B649=$B$403:$B$594)*("Weekend"=$D$403:$D$594),0))*WeekendDays)/DaysPerWeek</f>
        <v>5.471066254472655E-5</v>
      </c>
      <c r="R649" s="10" cm="1">
        <f t="array" ref="R649">(INDEX(S$403:S$594,MATCH(1,($A649=$A$403:$A$594)*($B649=$B$403:$B$594)*("Weekday"=$D$403:$D$594),0))*Weekdays+INDEX(S$403:S$594,MATCH(1,($A649=$A$403:$A$594)*($B649=$B$403:$B$594)*("Weekend"=$D$403:$D$594),0))*WeekendDays)/DaysPerWeek</f>
        <v>5.471066254472655E-5</v>
      </c>
      <c r="S649" s="10" cm="1">
        <f t="array" ref="S649">(INDEX(T$403:T$594,MATCH(1,($A649=$A$403:$A$594)*($B649=$B$403:$B$594)*("Weekday"=$D$403:$D$594),0))*Weekdays+INDEX(T$403:T$594,MATCH(1,($A649=$A$403:$A$594)*($B649=$B$403:$B$594)*("Weekend"=$D$403:$D$594),0))*WeekendDays)/DaysPerWeek</f>
        <v>5.471066254472655E-5</v>
      </c>
      <c r="T649" s="10" cm="1">
        <f t="array" ref="T649">(INDEX(U$403:U$594,MATCH(1,($A649=$A$403:$A$594)*($B649=$B$403:$B$594)*("Weekday"=$D$403:$D$594),0))*Weekdays+INDEX(U$403:U$594,MATCH(1,($A649=$A$403:$A$594)*($B649=$B$403:$B$594)*("Weekend"=$D$403:$D$594),0))*WeekendDays)/DaysPerWeek</f>
        <v>5.471066254472655E-5</v>
      </c>
      <c r="U649" s="10" cm="1">
        <f t="array" ref="U649">(INDEX(V$403:V$594,MATCH(1,($A649=$A$403:$A$594)*($B649=$B$403:$B$594)*("Weekday"=$D$403:$D$594),0))*Weekdays+INDEX(V$403:V$594,MATCH(1,($A649=$A$403:$A$594)*($B649=$B$403:$B$594)*("Weekend"=$D$403:$D$594),0))*WeekendDays)/DaysPerWeek</f>
        <v>5.471066254472655E-5</v>
      </c>
      <c r="V649" s="10" cm="1">
        <f t="array" ref="V649">(INDEX(W$403:W$594,MATCH(1,($A649=$A$403:$A$594)*($B649=$B$403:$B$594)*("Weekday"=$D$403:$D$594),0))*Weekdays+INDEX(W$403:W$594,MATCH(1,($A649=$A$403:$A$594)*($B649=$B$403:$B$594)*("Weekend"=$D$403:$D$594),0))*WeekendDays)/DaysPerWeek</f>
        <v>1.1121073739669563E-4</v>
      </c>
      <c r="W649" s="10" cm="1">
        <f t="array" ref="W649">(INDEX(X$403:X$594,MATCH(1,($A649=$A$403:$A$594)*($B649=$B$403:$B$594)*("Weekday"=$D$403:$D$594),0))*Weekdays+INDEX(X$403:X$594,MATCH(1,($A649=$A$403:$A$594)*($B649=$B$403:$B$594)*("Weekend"=$D$403:$D$594),0))*WeekendDays)/DaysPerWeek</f>
        <v>1.1121073739669563E-4</v>
      </c>
      <c r="X649" s="10" cm="1">
        <f t="array" ref="X649">(INDEX(Y$403:Y$594,MATCH(1,($A649=$A$403:$A$594)*($B649=$B$403:$B$594)*("Weekday"=$D$403:$D$594),0))*Weekdays+INDEX(Y$403:Y$594,MATCH(1,($A649=$A$403:$A$594)*($B649=$B$403:$B$594)*("Weekend"=$D$403:$D$594),0))*WeekendDays)/DaysPerWeek</f>
        <v>1.1121073739669563E-4</v>
      </c>
      <c r="Y649" s="27">
        <f t="shared" si="242"/>
        <v>1.1410927714485865E-3</v>
      </c>
      <c r="Z649" s="32" t="str">
        <f t="shared" si="243"/>
        <v/>
      </c>
    </row>
    <row r="650" spans="1:26" outlineLevel="1" x14ac:dyDescent="0.3">
      <c r="A650" t="s">
        <v>165</v>
      </c>
      <c r="B650" t="s">
        <v>66</v>
      </c>
      <c r="C650" s="6" t="s">
        <v>142</v>
      </c>
      <c r="D650" s="10">
        <v>0</v>
      </c>
      <c r="E650" s="10" cm="1">
        <f t="array" ref="E650">(INDEX(F$403:F$594,MATCH(1,($A650=$A$403:$A$594)*($B650=$B$403:$B$594)*("Weekday"=$D$403:$D$594),0))*Weekdays+INDEX(F$403:F$594,MATCH(1,($A650=$A$403:$A$594)*($B650=$B$403:$B$594)*("Weekend"=$D$403:$D$594),0))*WeekendDays)/DaysPerWeek</f>
        <v>7.8671032530336084E-5</v>
      </c>
      <c r="F650" s="10" cm="1">
        <f t="array" ref="F650">(INDEX(G$403:G$594,MATCH(1,($A650=$A$403:$A$594)*($B650=$B$403:$B$594)*("Weekday"=$D$403:$D$594),0))*Weekdays+INDEX(G$403:G$594,MATCH(1,($A650=$A$403:$A$594)*($B650=$B$403:$B$594)*("Weekend"=$D$403:$D$594),0))*WeekendDays)/DaysPerWeek</f>
        <v>0</v>
      </c>
      <c r="G650" s="10" cm="1">
        <f t="array" ref="G650">(INDEX(H$403:H$594,MATCH(1,($A650=$A$403:$A$594)*($B650=$B$403:$B$594)*("Weekday"=$D$403:$D$594),0))*Weekdays+INDEX(H$403:H$594,MATCH(1,($A650=$A$403:$A$594)*($B650=$B$403:$B$594)*("Weekend"=$D$403:$D$594),0))*WeekendDays)/DaysPerWeek</f>
        <v>4.9289859208200277E-5</v>
      </c>
      <c r="H650" s="10" cm="1">
        <f t="array" ref="H650">(INDEX(I$403:I$594,MATCH(1,($A650=$A$403:$A$594)*($B650=$B$403:$B$594)*("Weekday"=$D$403:$D$594),0))*Weekdays+INDEX(I$403:I$594,MATCH(1,($A650=$A$403:$A$594)*($B650=$B$403:$B$594)*("Weekend"=$D$403:$D$594),0))*WeekendDays)/DaysPerWeek</f>
        <v>4.9289859208200277E-5</v>
      </c>
      <c r="I650" s="10" cm="1">
        <f t="array" ref="I650">(INDEX(J$403:J$594,MATCH(1,($A650=$A$403:$A$594)*($B650=$B$403:$B$594)*("Weekday"=$D$403:$D$594),0))*Weekdays+INDEX(J$403:J$594,MATCH(1,($A650=$A$403:$A$594)*($B650=$B$403:$B$594)*("Weekend"=$D$403:$D$594),0))*WeekendDays)/DaysPerWeek</f>
        <v>4.9289859208200277E-5</v>
      </c>
      <c r="J650" s="10">
        <v>0</v>
      </c>
      <c r="K650" s="10" cm="1">
        <f t="array" ref="K650">(INDEX(L$403:L$594,MATCH(1,($A650=$A$403:$A$594)*($B650=$B$403:$B$594)*("Weekday"=$D$403:$D$594),0))*Weekdays+INDEX(L$403:L$594,MATCH(1,($A650=$A$403:$A$594)*($B650=$B$403:$B$594)*("Weekend"=$D$403:$D$594),0))*WeekendDays)/DaysPerWeek</f>
        <v>9.4033938673998419E-5</v>
      </c>
      <c r="L650" s="10" cm="1">
        <f t="array" ref="L650">(INDEX(M$403:M$594,MATCH(1,($A650=$A$403:$A$594)*($B650=$B$403:$B$594)*("Weekday"=$D$403:$D$594),0))*Weekdays+INDEX(M$403:M$594,MATCH(1,($A650=$A$403:$A$594)*($B650=$B$403:$B$594)*("Weekend"=$D$403:$D$594),0))*WeekendDays)/DaysPerWeek</f>
        <v>0</v>
      </c>
      <c r="M650" s="10" cm="1">
        <f t="array" ref="M650">(INDEX(N$403:N$594,MATCH(1,($A650=$A$403:$A$594)*($B650=$B$403:$B$594)*("Weekday"=$D$403:$D$594),0))*Weekdays+INDEX(N$403:N$594,MATCH(1,($A650=$A$403:$A$594)*($B650=$B$403:$B$594)*("Weekend"=$D$403:$D$594),0))*WeekendDays)/DaysPerWeek</f>
        <v>4.9289859208200277E-5</v>
      </c>
      <c r="N650" s="10" cm="1">
        <f t="array" ref="N650">(INDEX(O$403:O$594,MATCH(1,($A650=$A$403:$A$594)*($B650=$B$403:$B$594)*("Weekday"=$D$403:$D$594),0))*Weekdays+INDEX(O$403:O$594,MATCH(1,($A650=$A$403:$A$594)*($B650=$B$403:$B$594)*("Weekend"=$D$403:$D$594),0))*WeekendDays)/DaysPerWeek</f>
        <v>4.9289859208200277E-5</v>
      </c>
      <c r="O650" s="10" cm="1">
        <f t="array" ref="O650">(INDEX(P$403:P$594,MATCH(1,($A650=$A$403:$A$594)*($B650=$B$403:$B$594)*("Weekday"=$D$403:$D$594),0))*Weekdays+INDEX(P$403:P$594,MATCH(1,($A650=$A$403:$A$594)*($B650=$B$403:$B$594)*("Weekend"=$D$403:$D$594),0))*WeekendDays)/DaysPerWeek</f>
        <v>4.9289859208200277E-5</v>
      </c>
      <c r="P650" s="10" cm="1">
        <f t="array" ref="P650">(INDEX(Q$403:Q$594,MATCH(1,($A650=$A$403:$A$594)*($B650=$B$403:$B$594)*("Weekday"=$D$403:$D$594),0))*Weekdays+INDEX(Q$403:Q$594,MATCH(1,($A650=$A$403:$A$594)*($B650=$B$403:$B$594)*("Weekend"=$D$403:$D$594),0))*WeekendDays)/DaysPerWeek</f>
        <v>5.458649650207184E-5</v>
      </c>
      <c r="Q650" s="10" cm="1">
        <f t="array" ref="Q650">(INDEX(R$403:R$594,MATCH(1,($A650=$A$403:$A$594)*($B650=$B$403:$B$594)*("Weekday"=$D$403:$D$594),0))*Weekdays+INDEX(R$403:R$594,MATCH(1,($A650=$A$403:$A$594)*($B650=$B$403:$B$594)*("Weekend"=$D$403:$D$594),0))*WeekendDays)/DaysPerWeek</f>
        <v>5.458649650207184E-5</v>
      </c>
      <c r="R650" s="10" cm="1">
        <f t="array" ref="R650">(INDEX(S$403:S$594,MATCH(1,($A650=$A$403:$A$594)*($B650=$B$403:$B$594)*("Weekday"=$D$403:$D$594),0))*Weekdays+INDEX(S$403:S$594,MATCH(1,($A650=$A$403:$A$594)*($B650=$B$403:$B$594)*("Weekend"=$D$403:$D$594),0))*WeekendDays)/DaysPerWeek</f>
        <v>5.458649650207184E-5</v>
      </c>
      <c r="S650" s="10" cm="1">
        <f t="array" ref="S650">(INDEX(T$403:T$594,MATCH(1,($A650=$A$403:$A$594)*($B650=$B$403:$B$594)*("Weekday"=$D$403:$D$594),0))*Weekdays+INDEX(T$403:T$594,MATCH(1,($A650=$A$403:$A$594)*($B650=$B$403:$B$594)*("Weekend"=$D$403:$D$594),0))*WeekendDays)/DaysPerWeek</f>
        <v>5.458649650207184E-5</v>
      </c>
      <c r="T650" s="10" cm="1">
        <f t="array" ref="T650">(INDEX(U$403:U$594,MATCH(1,($A650=$A$403:$A$594)*($B650=$B$403:$B$594)*("Weekday"=$D$403:$D$594),0))*Weekdays+INDEX(U$403:U$594,MATCH(1,($A650=$A$403:$A$594)*($B650=$B$403:$B$594)*("Weekend"=$D$403:$D$594),0))*WeekendDays)/DaysPerWeek</f>
        <v>5.458649650207184E-5</v>
      </c>
      <c r="U650" s="10" cm="1">
        <f t="array" ref="U650">(INDEX(V$403:V$594,MATCH(1,($A650=$A$403:$A$594)*($B650=$B$403:$B$594)*("Weekday"=$D$403:$D$594),0))*Weekdays+INDEX(V$403:V$594,MATCH(1,($A650=$A$403:$A$594)*($B650=$B$403:$B$594)*("Weekend"=$D$403:$D$594),0))*WeekendDays)/DaysPerWeek</f>
        <v>5.458649650207184E-5</v>
      </c>
      <c r="V650" s="10" cm="1">
        <f t="array" ref="V650">(INDEX(W$403:W$594,MATCH(1,($A650=$A$403:$A$594)*($B650=$B$403:$B$594)*("Weekday"=$D$403:$D$594),0))*Weekdays+INDEX(W$403:W$594,MATCH(1,($A650=$A$403:$A$594)*($B650=$B$403:$B$594)*("Weekend"=$D$403:$D$594),0))*WeekendDays)/DaysPerWeek</f>
        <v>1.1121073739669563E-4</v>
      </c>
      <c r="W650" s="10" cm="1">
        <f t="array" ref="W650">(INDEX(X$403:X$594,MATCH(1,($A650=$A$403:$A$594)*($B650=$B$403:$B$594)*("Weekday"=$D$403:$D$594),0))*Weekdays+INDEX(X$403:X$594,MATCH(1,($A650=$A$403:$A$594)*($B650=$B$403:$B$594)*("Weekend"=$D$403:$D$594),0))*WeekendDays)/DaysPerWeek</f>
        <v>1.1121073739669563E-4</v>
      </c>
      <c r="X650" s="10" cm="1">
        <f t="array" ref="X650">(INDEX(Y$403:Y$594,MATCH(1,($A650=$A$403:$A$594)*($B650=$B$403:$B$594)*("Weekday"=$D$403:$D$594),0))*Weekdays+INDEX(Y$403:Y$594,MATCH(1,($A650=$A$403:$A$594)*($B650=$B$403:$B$594)*("Weekend"=$D$403:$D$594),0))*WeekendDays)/DaysPerWeek</f>
        <v>1.1121073739669563E-4</v>
      </c>
      <c r="Y650" s="27">
        <f t="shared" si="242"/>
        <v>1.129595317656054E-3</v>
      </c>
      <c r="Z650" s="32" t="str">
        <f t="shared" si="243"/>
        <v/>
      </c>
    </row>
    <row r="651" spans="1:26" outlineLevel="1" x14ac:dyDescent="0.3">
      <c r="A651" t="s">
        <v>165</v>
      </c>
      <c r="B651" t="s">
        <v>67</v>
      </c>
      <c r="C651" s="6" t="s">
        <v>143</v>
      </c>
      <c r="D651" s="10">
        <v>0</v>
      </c>
      <c r="E651" s="10" cm="1">
        <f t="array" ref="E651">(INDEX(F$403:F$594,MATCH(1,($A651=$A$403:$A$594)*($B651=$B$403:$B$594)*("Weekday"=$D$403:$D$594),0))*Weekdays+INDEX(F$403:F$594,MATCH(1,($A651=$A$403:$A$594)*($B651=$B$403:$B$594)*("Weekend"=$D$403:$D$594),0))*WeekendDays)/DaysPerWeek</f>
        <v>8.2312201409739087E-5</v>
      </c>
      <c r="F651" s="10" cm="1">
        <f t="array" ref="F651">(INDEX(G$403:G$594,MATCH(1,($A651=$A$403:$A$594)*($B651=$B$403:$B$594)*("Weekday"=$D$403:$D$594),0))*Weekdays+INDEX(G$403:G$594,MATCH(1,($A651=$A$403:$A$594)*($B651=$B$403:$B$594)*("Weekend"=$D$403:$D$594),0))*WeekendDays)/DaysPerWeek</f>
        <v>0</v>
      </c>
      <c r="G651" s="10" cm="1">
        <f t="array" ref="G651">(INDEX(H$403:H$594,MATCH(1,($A651=$A$403:$A$594)*($B651=$B$403:$B$594)*("Weekday"=$D$403:$D$594),0))*Weekdays+INDEX(H$403:H$594,MATCH(1,($A651=$A$403:$A$594)*($B651=$B$403:$B$594)*("Weekend"=$D$403:$D$594),0))*WeekendDays)/DaysPerWeek</f>
        <v>4.9970021285826127E-5</v>
      </c>
      <c r="H651" s="10" cm="1">
        <f t="array" ref="H651">(INDEX(I$403:I$594,MATCH(1,($A651=$A$403:$A$594)*($B651=$B$403:$B$594)*("Weekday"=$D$403:$D$594),0))*Weekdays+INDEX(I$403:I$594,MATCH(1,($A651=$A$403:$A$594)*($B651=$B$403:$B$594)*("Weekend"=$D$403:$D$594),0))*WeekendDays)/DaysPerWeek</f>
        <v>4.9970021285826127E-5</v>
      </c>
      <c r="I651" s="10" cm="1">
        <f t="array" ref="I651">(INDEX(J$403:J$594,MATCH(1,($A651=$A$403:$A$594)*($B651=$B$403:$B$594)*("Weekday"=$D$403:$D$594),0))*Weekdays+INDEX(J$403:J$594,MATCH(1,($A651=$A$403:$A$594)*($B651=$B$403:$B$594)*("Weekend"=$D$403:$D$594),0))*WeekendDays)/DaysPerWeek</f>
        <v>4.9970021285826127E-5</v>
      </c>
      <c r="J651" s="10">
        <v>0</v>
      </c>
      <c r="K651" s="10" cm="1">
        <f t="array" ref="K651">(INDEX(L$403:L$594,MATCH(1,($A651=$A$403:$A$594)*($B651=$B$403:$B$594)*("Weekday"=$D$403:$D$594),0))*Weekdays+INDEX(L$403:L$594,MATCH(1,($A651=$A$403:$A$594)*($B651=$B$403:$B$594)*("Weekend"=$D$403:$D$594),0))*WeekendDays)/DaysPerWeek</f>
        <v>9.4056592344158202E-5</v>
      </c>
      <c r="L651" s="10" cm="1">
        <f t="array" ref="L651">(INDEX(M$403:M$594,MATCH(1,($A651=$A$403:$A$594)*($B651=$B$403:$B$594)*("Weekday"=$D$403:$D$594),0))*Weekdays+INDEX(M$403:M$594,MATCH(1,($A651=$A$403:$A$594)*($B651=$B$403:$B$594)*("Weekend"=$D$403:$D$594),0))*WeekendDays)/DaysPerWeek</f>
        <v>0</v>
      </c>
      <c r="M651" s="10" cm="1">
        <f t="array" ref="M651">(INDEX(N$403:N$594,MATCH(1,($A651=$A$403:$A$594)*($B651=$B$403:$B$594)*("Weekday"=$D$403:$D$594),0))*Weekdays+INDEX(N$403:N$594,MATCH(1,($A651=$A$403:$A$594)*($B651=$B$403:$B$594)*("Weekend"=$D$403:$D$594),0))*WeekendDays)/DaysPerWeek</f>
        <v>4.9970021285826127E-5</v>
      </c>
      <c r="N651" s="10" cm="1">
        <f t="array" ref="N651">(INDEX(O$403:O$594,MATCH(1,($A651=$A$403:$A$594)*($B651=$B$403:$B$594)*("Weekday"=$D$403:$D$594),0))*Weekdays+INDEX(O$403:O$594,MATCH(1,($A651=$A$403:$A$594)*($B651=$B$403:$B$594)*("Weekend"=$D$403:$D$594),0))*WeekendDays)/DaysPerWeek</f>
        <v>4.9970021285826127E-5</v>
      </c>
      <c r="O651" s="10" cm="1">
        <f t="array" ref="O651">(INDEX(P$403:P$594,MATCH(1,($A651=$A$403:$A$594)*($B651=$B$403:$B$594)*("Weekday"=$D$403:$D$594),0))*Weekdays+INDEX(P$403:P$594,MATCH(1,($A651=$A$403:$A$594)*($B651=$B$403:$B$594)*("Weekend"=$D$403:$D$594),0))*WeekendDays)/DaysPerWeek</f>
        <v>4.9970021285826127E-5</v>
      </c>
      <c r="P651" s="10" cm="1">
        <f t="array" ref="P651">(INDEX(Q$403:Q$594,MATCH(1,($A651=$A$403:$A$594)*($B651=$B$403:$B$594)*("Weekday"=$D$403:$D$594),0))*Weekdays+INDEX(Q$403:Q$594,MATCH(1,($A651=$A$403:$A$594)*($B651=$B$403:$B$594)*("Weekend"=$D$403:$D$594),0))*WeekendDays)/DaysPerWeek</f>
        <v>5.4664100278731029E-5</v>
      </c>
      <c r="Q651" s="10" cm="1">
        <f t="array" ref="Q651">(INDEX(R$403:R$594,MATCH(1,($A651=$A$403:$A$594)*($B651=$B$403:$B$594)*("Weekday"=$D$403:$D$594),0))*Weekdays+INDEX(R$403:R$594,MATCH(1,($A651=$A$403:$A$594)*($B651=$B$403:$B$594)*("Weekend"=$D$403:$D$594),0))*WeekendDays)/DaysPerWeek</f>
        <v>5.4664100278731029E-5</v>
      </c>
      <c r="R651" s="10" cm="1">
        <f t="array" ref="R651">(INDEX(S$403:S$594,MATCH(1,($A651=$A$403:$A$594)*($B651=$B$403:$B$594)*("Weekday"=$D$403:$D$594),0))*Weekdays+INDEX(S$403:S$594,MATCH(1,($A651=$A$403:$A$594)*($B651=$B$403:$B$594)*("Weekend"=$D$403:$D$594),0))*WeekendDays)/DaysPerWeek</f>
        <v>5.4664100278731029E-5</v>
      </c>
      <c r="S651" s="10" cm="1">
        <f t="array" ref="S651">(INDEX(T$403:T$594,MATCH(1,($A651=$A$403:$A$594)*($B651=$B$403:$B$594)*("Weekday"=$D$403:$D$594),0))*Weekdays+INDEX(T$403:T$594,MATCH(1,($A651=$A$403:$A$594)*($B651=$B$403:$B$594)*("Weekend"=$D$403:$D$594),0))*WeekendDays)/DaysPerWeek</f>
        <v>5.4664100278731029E-5</v>
      </c>
      <c r="T651" s="10" cm="1">
        <f t="array" ref="T651">(INDEX(U$403:U$594,MATCH(1,($A651=$A$403:$A$594)*($B651=$B$403:$B$594)*("Weekday"=$D$403:$D$594),0))*Weekdays+INDEX(U$403:U$594,MATCH(1,($A651=$A$403:$A$594)*($B651=$B$403:$B$594)*("Weekend"=$D$403:$D$594),0))*WeekendDays)/DaysPerWeek</f>
        <v>5.4664100278731029E-5</v>
      </c>
      <c r="U651" s="10" cm="1">
        <f t="array" ref="U651">(INDEX(V$403:V$594,MATCH(1,($A651=$A$403:$A$594)*($B651=$B$403:$B$594)*("Weekday"=$D$403:$D$594),0))*Weekdays+INDEX(V$403:V$594,MATCH(1,($A651=$A$403:$A$594)*($B651=$B$403:$B$594)*("Weekend"=$D$403:$D$594),0))*WeekendDays)/DaysPerWeek</f>
        <v>5.4664100278731029E-5</v>
      </c>
      <c r="V651" s="10" cm="1">
        <f t="array" ref="V651">(INDEX(W$403:W$594,MATCH(1,($A651=$A$403:$A$594)*($B651=$B$403:$B$594)*("Weekday"=$D$403:$D$594),0))*Weekdays+INDEX(W$403:W$594,MATCH(1,($A651=$A$403:$A$594)*($B651=$B$403:$B$594)*("Weekend"=$D$403:$D$594),0))*WeekendDays)/DaysPerWeek</f>
        <v>1.112862881693836E-4</v>
      </c>
      <c r="W651" s="10" cm="1">
        <f t="array" ref="W651">(INDEX(X$403:X$594,MATCH(1,($A651=$A$403:$A$594)*($B651=$B$403:$B$594)*("Weekday"=$D$403:$D$594),0))*Weekdays+INDEX(X$403:X$594,MATCH(1,($A651=$A$403:$A$594)*($B651=$B$403:$B$594)*("Weekend"=$D$403:$D$594),0))*WeekendDays)/DaysPerWeek</f>
        <v>1.112862881693836E-4</v>
      </c>
      <c r="X651" s="10" cm="1">
        <f t="array" ref="X651">(INDEX(Y$403:Y$594,MATCH(1,($A651=$A$403:$A$594)*($B651=$B$403:$B$594)*("Weekday"=$D$403:$D$594),0))*Weekdays+INDEX(Y$403:Y$594,MATCH(1,($A651=$A$403:$A$594)*($B651=$B$403:$B$594)*("Weekend"=$D$403:$D$594),0))*WeekendDays)/DaysPerWeek</f>
        <v>1.112862881693836E-4</v>
      </c>
      <c r="Y651" s="27">
        <f t="shared" si="242"/>
        <v>1.1380323876493911E-3</v>
      </c>
      <c r="Z651" s="32" t="str">
        <f t="shared" si="243"/>
        <v/>
      </c>
    </row>
    <row r="652" spans="1:26" outlineLevel="1" x14ac:dyDescent="0.3">
      <c r="A652" t="s">
        <v>165</v>
      </c>
      <c r="B652" t="s">
        <v>68</v>
      </c>
      <c r="C652" s="6" t="s">
        <v>144</v>
      </c>
      <c r="D652" s="10">
        <v>0</v>
      </c>
      <c r="E652" s="10" cm="1">
        <f t="array" ref="E652">(INDEX(F$403:F$594,MATCH(1,($A652=$A$403:$A$594)*($B652=$B$403:$B$594)*("Weekday"=$D$403:$D$594),0))*Weekdays+INDEX(F$403:F$594,MATCH(1,($A652=$A$403:$A$594)*($B652=$B$403:$B$594)*("Weekend"=$D$403:$D$594),0))*WeekendDays)/DaysPerWeek</f>
        <v>9.1357325612742538E-5</v>
      </c>
      <c r="F652" s="10" cm="1">
        <f t="array" ref="F652">(INDEX(G$403:G$594,MATCH(1,($A652=$A$403:$A$594)*($B652=$B$403:$B$594)*("Weekday"=$D$403:$D$594),0))*Weekdays+INDEX(G$403:G$594,MATCH(1,($A652=$A$403:$A$594)*($B652=$B$403:$B$594)*("Weekend"=$D$403:$D$594),0))*WeekendDays)/DaysPerWeek</f>
        <v>0</v>
      </c>
      <c r="G652" s="10" cm="1">
        <f t="array" ref="G652">(INDEX(H$403:H$594,MATCH(1,($A652=$A$403:$A$594)*($B652=$B$403:$B$594)*("Weekday"=$D$403:$D$594),0))*Weekdays+INDEX(H$403:H$594,MATCH(1,($A652=$A$403:$A$594)*($B652=$B$403:$B$594)*("Weekend"=$D$403:$D$594),0))*WeekendDays)/DaysPerWeek</f>
        <v>6.0256110249454599E-5</v>
      </c>
      <c r="H652" s="10" cm="1">
        <f t="array" ref="H652">(INDEX(I$403:I$594,MATCH(1,($A652=$A$403:$A$594)*($B652=$B$403:$B$594)*("Weekday"=$D$403:$D$594),0))*Weekdays+INDEX(I$403:I$594,MATCH(1,($A652=$A$403:$A$594)*($B652=$B$403:$B$594)*("Weekend"=$D$403:$D$594),0))*WeekendDays)/DaysPerWeek</f>
        <v>6.0256110249454599E-5</v>
      </c>
      <c r="I652" s="10" cm="1">
        <f t="array" ref="I652">(INDEX(J$403:J$594,MATCH(1,($A652=$A$403:$A$594)*($B652=$B$403:$B$594)*("Weekday"=$D$403:$D$594),0))*Weekdays+INDEX(J$403:J$594,MATCH(1,($A652=$A$403:$A$594)*($B652=$B$403:$B$594)*("Weekend"=$D$403:$D$594),0))*WeekendDays)/DaysPerWeek</f>
        <v>6.0256110249454599E-5</v>
      </c>
      <c r="J652" s="10">
        <v>0</v>
      </c>
      <c r="K652" s="10" cm="1">
        <f t="array" ref="K652">(INDEX(L$403:L$594,MATCH(1,($A652=$A$403:$A$594)*($B652=$B$403:$B$594)*("Weekday"=$D$403:$D$594),0))*Weekdays+INDEX(L$403:L$594,MATCH(1,($A652=$A$403:$A$594)*($B652=$B$403:$B$594)*("Weekend"=$D$403:$D$594),0))*WeekendDays)/DaysPerWeek</f>
        <v>9.6690219673720089E-5</v>
      </c>
      <c r="L652" s="10" cm="1">
        <f t="array" ref="L652">(INDEX(M$403:M$594,MATCH(1,($A652=$A$403:$A$594)*($B652=$B$403:$B$594)*("Weekday"=$D$403:$D$594),0))*Weekdays+INDEX(M$403:M$594,MATCH(1,($A652=$A$403:$A$594)*($B652=$B$403:$B$594)*("Weekend"=$D$403:$D$594),0))*WeekendDays)/DaysPerWeek</f>
        <v>0</v>
      </c>
      <c r="M652" s="10" cm="1">
        <f t="array" ref="M652">(INDEX(N$403:N$594,MATCH(1,($A652=$A$403:$A$594)*($B652=$B$403:$B$594)*("Weekday"=$D$403:$D$594),0))*Weekdays+INDEX(N$403:N$594,MATCH(1,($A652=$A$403:$A$594)*($B652=$B$403:$B$594)*("Weekend"=$D$403:$D$594),0))*WeekendDays)/DaysPerWeek</f>
        <v>6.0256110249454599E-5</v>
      </c>
      <c r="N652" s="10" cm="1">
        <f t="array" ref="N652">(INDEX(O$403:O$594,MATCH(1,($A652=$A$403:$A$594)*($B652=$B$403:$B$594)*("Weekday"=$D$403:$D$594),0))*Weekdays+INDEX(O$403:O$594,MATCH(1,($A652=$A$403:$A$594)*($B652=$B$403:$B$594)*("Weekend"=$D$403:$D$594),0))*WeekendDays)/DaysPerWeek</f>
        <v>6.0256110249454599E-5</v>
      </c>
      <c r="O652" s="10" cm="1">
        <f t="array" ref="O652">(INDEX(P$403:P$594,MATCH(1,($A652=$A$403:$A$594)*($B652=$B$403:$B$594)*("Weekday"=$D$403:$D$594),0))*Weekdays+INDEX(P$403:P$594,MATCH(1,($A652=$A$403:$A$594)*($B652=$B$403:$B$594)*("Weekend"=$D$403:$D$594),0))*WeekendDays)/DaysPerWeek</f>
        <v>6.0256110249454599E-5</v>
      </c>
      <c r="P652" s="10" cm="1">
        <f t="array" ref="P652">(INDEX(Q$403:Q$594,MATCH(1,($A652=$A$403:$A$594)*($B652=$B$403:$B$594)*("Weekday"=$D$403:$D$594),0))*Weekdays+INDEX(Q$403:Q$594,MATCH(1,($A652=$A$403:$A$594)*($B652=$B$403:$B$594)*("Weekend"=$D$403:$D$594),0))*WeekendDays)/DaysPerWeek</f>
        <v>5.4570975746740006E-5</v>
      </c>
      <c r="Q652" s="10" cm="1">
        <f t="array" ref="Q652">(INDEX(R$403:R$594,MATCH(1,($A652=$A$403:$A$594)*($B652=$B$403:$B$594)*("Weekday"=$D$403:$D$594),0))*Weekdays+INDEX(R$403:R$594,MATCH(1,($A652=$A$403:$A$594)*($B652=$B$403:$B$594)*("Weekend"=$D$403:$D$594),0))*WeekendDays)/DaysPerWeek</f>
        <v>5.4570975746740006E-5</v>
      </c>
      <c r="R652" s="10" cm="1">
        <f t="array" ref="R652">(INDEX(S$403:S$594,MATCH(1,($A652=$A$403:$A$594)*($B652=$B$403:$B$594)*("Weekday"=$D$403:$D$594),0))*Weekdays+INDEX(S$403:S$594,MATCH(1,($A652=$A$403:$A$594)*($B652=$B$403:$B$594)*("Weekend"=$D$403:$D$594),0))*WeekendDays)/DaysPerWeek</f>
        <v>5.4570975746740006E-5</v>
      </c>
      <c r="S652" s="10" cm="1">
        <f t="array" ref="S652">(INDEX(T$403:T$594,MATCH(1,($A652=$A$403:$A$594)*($B652=$B$403:$B$594)*("Weekday"=$D$403:$D$594),0))*Weekdays+INDEX(T$403:T$594,MATCH(1,($A652=$A$403:$A$594)*($B652=$B$403:$B$594)*("Weekend"=$D$403:$D$594),0))*WeekendDays)/DaysPerWeek</f>
        <v>5.4570975746740006E-5</v>
      </c>
      <c r="T652" s="10" cm="1">
        <f t="array" ref="T652">(INDEX(U$403:U$594,MATCH(1,($A652=$A$403:$A$594)*($B652=$B$403:$B$594)*("Weekday"=$D$403:$D$594),0))*Weekdays+INDEX(U$403:U$594,MATCH(1,($A652=$A$403:$A$594)*($B652=$B$403:$B$594)*("Weekend"=$D$403:$D$594),0))*WeekendDays)/DaysPerWeek</f>
        <v>5.4570975746740006E-5</v>
      </c>
      <c r="U652" s="10" cm="1">
        <f t="array" ref="U652">(INDEX(V$403:V$594,MATCH(1,($A652=$A$403:$A$594)*($B652=$B$403:$B$594)*("Weekday"=$D$403:$D$594),0))*Weekdays+INDEX(V$403:V$594,MATCH(1,($A652=$A$403:$A$594)*($B652=$B$403:$B$594)*("Weekend"=$D$403:$D$594),0))*WeekendDays)/DaysPerWeek</f>
        <v>5.4570975746740006E-5</v>
      </c>
      <c r="V652" s="10" cm="1">
        <f t="array" ref="V652">(INDEX(W$403:W$594,MATCH(1,($A652=$A$403:$A$594)*($B652=$B$403:$B$594)*("Weekday"=$D$403:$D$594),0))*Weekdays+INDEX(W$403:W$594,MATCH(1,($A652=$A$403:$A$594)*($B652=$B$403:$B$594)*("Weekend"=$D$403:$D$594),0))*WeekendDays)/DaysPerWeek</f>
        <v>1.1151294048744752E-4</v>
      </c>
      <c r="W652" s="10" cm="1">
        <f t="array" ref="W652">(INDEX(X$403:X$594,MATCH(1,($A652=$A$403:$A$594)*($B652=$B$403:$B$594)*("Weekday"=$D$403:$D$594),0))*Weekdays+INDEX(X$403:X$594,MATCH(1,($A652=$A$403:$A$594)*($B652=$B$403:$B$594)*("Weekend"=$D$403:$D$594),0))*WeekendDays)/DaysPerWeek</f>
        <v>1.1151294048744752E-4</v>
      </c>
      <c r="X652" s="10" cm="1">
        <f t="array" ref="X652">(INDEX(Y$403:Y$594,MATCH(1,($A652=$A$403:$A$594)*($B652=$B$403:$B$594)*("Weekday"=$D$403:$D$594),0))*Weekdays+INDEX(Y$403:Y$594,MATCH(1,($A652=$A$403:$A$594)*($B652=$B$403:$B$594)*("Weekend"=$D$403:$D$594),0))*WeekendDays)/DaysPerWeek</f>
        <v>1.1151294048744752E-4</v>
      </c>
      <c r="Y652" s="27">
        <f t="shared" si="242"/>
        <v>1.2115488827259728E-3</v>
      </c>
      <c r="Z652" s="32" t="str">
        <f t="shared" si="243"/>
        <v/>
      </c>
    </row>
    <row r="653" spans="1:26" outlineLevel="1" x14ac:dyDescent="0.3">
      <c r="A653" t="s">
        <v>165</v>
      </c>
      <c r="B653" t="s">
        <v>69</v>
      </c>
      <c r="C653" s="6" t="s">
        <v>145</v>
      </c>
      <c r="D653" s="10">
        <v>0</v>
      </c>
      <c r="E653" s="10" cm="1">
        <f t="array" ref="E653">(INDEX(F$403:F$594,MATCH(1,($A653=$A$403:$A$594)*($B653=$B$403:$B$594)*("Weekday"=$D$403:$D$594),0))*Weekdays+INDEX(F$403:F$594,MATCH(1,($A653=$A$403:$A$594)*($B653=$B$403:$B$594)*("Weekend"=$D$403:$D$594),0))*WeekendDays)/DaysPerWeek</f>
        <v>1.0354394059140847E-4</v>
      </c>
      <c r="F653" s="10" cm="1">
        <f t="array" ref="F653">(INDEX(G$403:G$594,MATCH(1,($A653=$A$403:$A$594)*($B653=$B$403:$B$594)*("Weekday"=$D$403:$D$594),0))*Weekdays+INDEX(G$403:G$594,MATCH(1,($A653=$A$403:$A$594)*($B653=$B$403:$B$594)*("Weekend"=$D$403:$D$594),0))*WeekendDays)/DaysPerWeek</f>
        <v>0</v>
      </c>
      <c r="G653" s="10" cm="1">
        <f t="array" ref="G653">(INDEX(H$403:H$594,MATCH(1,($A653=$A$403:$A$594)*($B653=$B$403:$B$594)*("Weekday"=$D$403:$D$594),0))*Weekdays+INDEX(H$403:H$594,MATCH(1,($A653=$A$403:$A$594)*($B653=$B$403:$B$594)*("Weekend"=$D$403:$D$594),0))*WeekendDays)/DaysPerWeek</f>
        <v>9.5942782789133573E-5</v>
      </c>
      <c r="H653" s="10" cm="1">
        <f t="array" ref="H653">(INDEX(I$403:I$594,MATCH(1,($A653=$A$403:$A$594)*($B653=$B$403:$B$594)*("Weekday"=$D$403:$D$594),0))*Weekdays+INDEX(I$403:I$594,MATCH(1,($A653=$A$403:$A$594)*($B653=$B$403:$B$594)*("Weekend"=$D$403:$D$594),0))*WeekendDays)/DaysPerWeek</f>
        <v>9.5942782789133573E-5</v>
      </c>
      <c r="I653" s="10" cm="1">
        <f t="array" ref="I653">(INDEX(J$403:J$594,MATCH(1,($A653=$A$403:$A$594)*($B653=$B$403:$B$594)*("Weekday"=$D$403:$D$594),0))*Weekdays+INDEX(J$403:J$594,MATCH(1,($A653=$A$403:$A$594)*($B653=$B$403:$B$594)*("Weekend"=$D$403:$D$594),0))*WeekendDays)/DaysPerWeek</f>
        <v>9.5942782789133573E-5</v>
      </c>
      <c r="J653" s="10">
        <v>0</v>
      </c>
      <c r="K653" s="10" cm="1">
        <f t="array" ref="K653">(INDEX(L$403:L$594,MATCH(1,($A653=$A$403:$A$594)*($B653=$B$403:$B$594)*("Weekday"=$D$403:$D$594),0))*Weekdays+INDEX(L$403:L$594,MATCH(1,($A653=$A$403:$A$594)*($B653=$B$403:$B$594)*("Weekend"=$D$403:$D$594),0))*WeekendDays)/DaysPerWeek</f>
        <v>1.0343122256071505E-4</v>
      </c>
      <c r="L653" s="10" cm="1">
        <f t="array" ref="L653">(INDEX(M$403:M$594,MATCH(1,($A653=$A$403:$A$594)*($B653=$B$403:$B$594)*("Weekday"=$D$403:$D$594),0))*Weekdays+INDEX(M$403:M$594,MATCH(1,($A653=$A$403:$A$594)*($B653=$B$403:$B$594)*("Weekend"=$D$403:$D$594),0))*WeekendDays)/DaysPerWeek</f>
        <v>0</v>
      </c>
      <c r="M653" s="10" cm="1">
        <f t="array" ref="M653">(INDEX(N$403:N$594,MATCH(1,($A653=$A$403:$A$594)*($B653=$B$403:$B$594)*("Weekday"=$D$403:$D$594),0))*Weekdays+INDEX(N$403:N$594,MATCH(1,($A653=$A$403:$A$594)*($B653=$B$403:$B$594)*("Weekend"=$D$403:$D$594),0))*WeekendDays)/DaysPerWeek</f>
        <v>9.5942782789133573E-5</v>
      </c>
      <c r="N653" s="10" cm="1">
        <f t="array" ref="N653">(INDEX(O$403:O$594,MATCH(1,($A653=$A$403:$A$594)*($B653=$B$403:$B$594)*("Weekday"=$D$403:$D$594),0))*Weekdays+INDEX(O$403:O$594,MATCH(1,($A653=$A$403:$A$594)*($B653=$B$403:$B$594)*("Weekend"=$D$403:$D$594),0))*WeekendDays)/DaysPerWeek</f>
        <v>9.5942782789133573E-5</v>
      </c>
      <c r="O653" s="10" cm="1">
        <f t="array" ref="O653">(INDEX(P$403:P$594,MATCH(1,($A653=$A$403:$A$594)*($B653=$B$403:$B$594)*("Weekday"=$D$403:$D$594),0))*Weekdays+INDEX(P$403:P$594,MATCH(1,($A653=$A$403:$A$594)*($B653=$B$403:$B$594)*("Weekend"=$D$403:$D$594),0))*WeekendDays)/DaysPerWeek</f>
        <v>9.5942782789133573E-5</v>
      </c>
      <c r="P653" s="10" cm="1">
        <f t="array" ref="P653">(INDEX(Q$403:Q$594,MATCH(1,($A653=$A$403:$A$594)*($B653=$B$403:$B$594)*("Weekday"=$D$403:$D$594),0))*Weekdays+INDEX(Q$403:Q$594,MATCH(1,($A653=$A$403:$A$594)*($B653=$B$403:$B$594)*("Weekend"=$D$403:$D$594),0))*WeekendDays)/DaysPerWeek</f>
        <v>5.4741704055390224E-5</v>
      </c>
      <c r="Q653" s="10" cm="1">
        <f t="array" ref="Q653">(INDEX(R$403:R$594,MATCH(1,($A653=$A$403:$A$594)*($B653=$B$403:$B$594)*("Weekday"=$D$403:$D$594),0))*Weekdays+INDEX(R$403:R$594,MATCH(1,($A653=$A$403:$A$594)*($B653=$B$403:$B$594)*("Weekend"=$D$403:$D$594),0))*WeekendDays)/DaysPerWeek</f>
        <v>5.4741704055390224E-5</v>
      </c>
      <c r="R653" s="10" cm="1">
        <f t="array" ref="R653">(INDEX(S$403:S$594,MATCH(1,($A653=$A$403:$A$594)*($B653=$B$403:$B$594)*("Weekday"=$D$403:$D$594),0))*Weekdays+INDEX(S$403:S$594,MATCH(1,($A653=$A$403:$A$594)*($B653=$B$403:$B$594)*("Weekend"=$D$403:$D$594),0))*WeekendDays)/DaysPerWeek</f>
        <v>5.4741704055390224E-5</v>
      </c>
      <c r="S653" s="10" cm="1">
        <f t="array" ref="S653">(INDEX(T$403:T$594,MATCH(1,($A653=$A$403:$A$594)*($B653=$B$403:$B$594)*("Weekday"=$D$403:$D$594),0))*Weekdays+INDEX(T$403:T$594,MATCH(1,($A653=$A$403:$A$594)*($B653=$B$403:$B$594)*("Weekend"=$D$403:$D$594),0))*WeekendDays)/DaysPerWeek</f>
        <v>5.4741704055390224E-5</v>
      </c>
      <c r="T653" s="10" cm="1">
        <f t="array" ref="T653">(INDEX(U$403:U$594,MATCH(1,($A653=$A$403:$A$594)*($B653=$B$403:$B$594)*("Weekday"=$D$403:$D$594),0))*Weekdays+INDEX(U$403:U$594,MATCH(1,($A653=$A$403:$A$594)*($B653=$B$403:$B$594)*("Weekend"=$D$403:$D$594),0))*WeekendDays)/DaysPerWeek</f>
        <v>5.4741704055390224E-5</v>
      </c>
      <c r="U653" s="10" cm="1">
        <f t="array" ref="U653">(INDEX(V$403:V$594,MATCH(1,($A653=$A$403:$A$594)*($B653=$B$403:$B$594)*("Weekday"=$D$403:$D$594),0))*Weekdays+INDEX(V$403:V$594,MATCH(1,($A653=$A$403:$A$594)*($B653=$B$403:$B$594)*("Weekend"=$D$403:$D$594),0))*WeekendDays)/DaysPerWeek</f>
        <v>5.4741704055390224E-5</v>
      </c>
      <c r="V653" s="10" cm="1">
        <f t="array" ref="V653">(INDEX(W$403:W$594,MATCH(1,($A653=$A$403:$A$594)*($B653=$B$403:$B$594)*("Weekday"=$D$403:$D$594),0))*Weekdays+INDEX(W$403:W$594,MATCH(1,($A653=$A$403:$A$594)*($B653=$B$403:$B$594)*("Weekend"=$D$403:$D$594),0))*WeekendDays)/DaysPerWeek</f>
        <v>1.1204179589626336E-4</v>
      </c>
      <c r="W653" s="10" cm="1">
        <f t="array" ref="W653">(INDEX(X$403:X$594,MATCH(1,($A653=$A$403:$A$594)*($B653=$B$403:$B$594)*("Weekday"=$D$403:$D$594),0))*Weekdays+INDEX(X$403:X$594,MATCH(1,($A653=$A$403:$A$594)*($B653=$B$403:$B$594)*("Weekend"=$D$403:$D$594),0))*WeekendDays)/DaysPerWeek</f>
        <v>1.1204179589626336E-4</v>
      </c>
      <c r="X653" s="10" cm="1">
        <f t="array" ref="X653">(INDEX(Y$403:Y$594,MATCH(1,($A653=$A$403:$A$594)*($B653=$B$403:$B$594)*("Weekday"=$D$403:$D$594),0))*Weekdays+INDEX(Y$403:Y$594,MATCH(1,($A653=$A$403:$A$594)*($B653=$B$403:$B$594)*("Weekend"=$D$403:$D$594),0))*WeekendDays)/DaysPerWeek</f>
        <v>1.1204179589626336E-4</v>
      </c>
      <c r="Y653" s="27">
        <f t="shared" si="242"/>
        <v>1.4472074719080565E-3</v>
      </c>
      <c r="Z653" s="32" t="str">
        <f t="shared" si="243"/>
        <v/>
      </c>
    </row>
    <row r="654" spans="1:26" outlineLevel="1" x14ac:dyDescent="0.3">
      <c r="A654" t="s">
        <v>165</v>
      </c>
      <c r="B654" t="s">
        <v>70</v>
      </c>
      <c r="C654" s="6" t="s">
        <v>146</v>
      </c>
      <c r="D654" s="10">
        <v>0</v>
      </c>
      <c r="E654" s="10" cm="1">
        <f t="array" ref="E654">(INDEX(F$403:F$594,MATCH(1,($A654=$A$403:$A$594)*($B654=$B$403:$B$594)*("Weekday"=$D$403:$D$594),0))*Weekdays+INDEX(F$403:F$594,MATCH(1,($A654=$A$403:$A$594)*($B654=$B$403:$B$594)*("Weekend"=$D$403:$D$594),0))*WeekendDays)/DaysPerWeek</f>
        <v>1.1345395894745675E-4</v>
      </c>
      <c r="F654" s="10" cm="1">
        <f t="array" ref="F654">(INDEX(G$403:G$594,MATCH(1,($A654=$A$403:$A$594)*($B654=$B$403:$B$594)*("Weekday"=$D$403:$D$594),0))*Weekdays+INDEX(G$403:G$594,MATCH(1,($A654=$A$403:$A$594)*($B654=$B$403:$B$594)*("Weekend"=$D$403:$D$594),0))*WeekendDays)/DaysPerWeek</f>
        <v>0</v>
      </c>
      <c r="G654" s="10" cm="1">
        <f t="array" ref="G654">(INDEX(H$403:H$594,MATCH(1,($A654=$A$403:$A$594)*($B654=$B$403:$B$594)*("Weekday"=$D$403:$D$594),0))*Weekdays+INDEX(H$403:H$594,MATCH(1,($A654=$A$403:$A$594)*($B654=$B$403:$B$594)*("Weekend"=$D$403:$D$594),0))*WeekendDays)/DaysPerWeek</f>
        <v>6.8361539254555728E-5</v>
      </c>
      <c r="H654" s="10" cm="1">
        <f t="array" ref="H654">(INDEX(I$403:I$594,MATCH(1,($A654=$A$403:$A$594)*($B654=$B$403:$B$594)*("Weekday"=$D$403:$D$594),0))*Weekdays+INDEX(I$403:I$594,MATCH(1,($A654=$A$403:$A$594)*($B654=$B$403:$B$594)*("Weekend"=$D$403:$D$594),0))*WeekendDays)/DaysPerWeek</f>
        <v>6.8361539254555728E-5</v>
      </c>
      <c r="I654" s="10" cm="1">
        <f t="array" ref="I654">(INDEX(J$403:J$594,MATCH(1,($A654=$A$403:$A$594)*($B654=$B$403:$B$594)*("Weekday"=$D$403:$D$594),0))*Weekdays+INDEX(J$403:J$594,MATCH(1,($A654=$A$403:$A$594)*($B654=$B$403:$B$594)*("Weekend"=$D$403:$D$594),0))*WeekendDays)/DaysPerWeek</f>
        <v>6.8361539254555728E-5</v>
      </c>
      <c r="J654" s="10">
        <v>0</v>
      </c>
      <c r="K654" s="10" cm="1">
        <f t="array" ref="K654">(INDEX(L$403:L$594,MATCH(1,($A654=$A$403:$A$594)*($B654=$B$403:$B$594)*("Weekday"=$D$403:$D$594),0))*Weekdays+INDEX(L$403:L$594,MATCH(1,($A654=$A$403:$A$594)*($B654=$B$403:$B$594)*("Weekend"=$D$403:$D$594),0))*WeekendDays)/DaysPerWeek</f>
        <v>1.1759864172590478E-4</v>
      </c>
      <c r="L654" s="10" cm="1">
        <f t="array" ref="L654">(INDEX(M$403:M$594,MATCH(1,($A654=$A$403:$A$594)*($B654=$B$403:$B$594)*("Weekday"=$D$403:$D$594),0))*Weekdays+INDEX(M$403:M$594,MATCH(1,($A654=$A$403:$A$594)*($B654=$B$403:$B$594)*("Weekend"=$D$403:$D$594),0))*WeekendDays)/DaysPerWeek</f>
        <v>0</v>
      </c>
      <c r="M654" s="10" cm="1">
        <f t="array" ref="M654">(INDEX(N$403:N$594,MATCH(1,($A654=$A$403:$A$594)*($B654=$B$403:$B$594)*("Weekday"=$D$403:$D$594),0))*Weekdays+INDEX(N$403:N$594,MATCH(1,($A654=$A$403:$A$594)*($B654=$B$403:$B$594)*("Weekend"=$D$403:$D$594),0))*WeekendDays)/DaysPerWeek</f>
        <v>6.8361539254555728E-5</v>
      </c>
      <c r="N654" s="10" cm="1">
        <f t="array" ref="N654">(INDEX(O$403:O$594,MATCH(1,($A654=$A$403:$A$594)*($B654=$B$403:$B$594)*("Weekday"=$D$403:$D$594),0))*Weekdays+INDEX(O$403:O$594,MATCH(1,($A654=$A$403:$A$594)*($B654=$B$403:$B$594)*("Weekend"=$D$403:$D$594),0))*WeekendDays)/DaysPerWeek</f>
        <v>6.8361539254555728E-5</v>
      </c>
      <c r="O654" s="10" cm="1">
        <f t="array" ref="O654">(INDEX(P$403:P$594,MATCH(1,($A654=$A$403:$A$594)*($B654=$B$403:$B$594)*("Weekday"=$D$403:$D$594),0))*Weekdays+INDEX(P$403:P$594,MATCH(1,($A654=$A$403:$A$594)*($B654=$B$403:$B$594)*("Weekend"=$D$403:$D$594),0))*WeekendDays)/DaysPerWeek</f>
        <v>6.8361539254555728E-5</v>
      </c>
      <c r="P654" s="10" cm="1">
        <f t="array" ref="P654">(INDEX(Q$403:Q$594,MATCH(1,($A654=$A$403:$A$594)*($B654=$B$403:$B$594)*("Weekday"=$D$403:$D$594),0))*Weekdays+INDEX(Q$403:Q$594,MATCH(1,($A654=$A$403:$A$594)*($B654=$B$403:$B$594)*("Weekend"=$D$403:$D$594),0))*WeekendDays)/DaysPerWeek</f>
        <v>7.4973008630440169E-5</v>
      </c>
      <c r="Q654" s="10" cm="1">
        <f t="array" ref="Q654">(INDEX(R$403:R$594,MATCH(1,($A654=$A$403:$A$594)*($B654=$B$403:$B$594)*("Weekday"=$D$403:$D$594),0))*Weekdays+INDEX(R$403:R$594,MATCH(1,($A654=$A$403:$A$594)*($B654=$B$403:$B$594)*("Weekend"=$D$403:$D$594),0))*WeekendDays)/DaysPerWeek</f>
        <v>7.4973008630440169E-5</v>
      </c>
      <c r="R654" s="10" cm="1">
        <f t="array" ref="R654">(INDEX(S$403:S$594,MATCH(1,($A654=$A$403:$A$594)*($B654=$B$403:$B$594)*("Weekday"=$D$403:$D$594),0))*Weekdays+INDEX(S$403:S$594,MATCH(1,($A654=$A$403:$A$594)*($B654=$B$403:$B$594)*("Weekend"=$D$403:$D$594),0))*WeekendDays)/DaysPerWeek</f>
        <v>7.4973008630440169E-5</v>
      </c>
      <c r="S654" s="10" cm="1">
        <f t="array" ref="S654">(INDEX(T$403:T$594,MATCH(1,($A654=$A$403:$A$594)*($B654=$B$403:$B$594)*("Weekday"=$D$403:$D$594),0))*Weekdays+INDEX(T$403:T$594,MATCH(1,($A654=$A$403:$A$594)*($B654=$B$403:$B$594)*("Weekend"=$D$403:$D$594),0))*WeekendDays)/DaysPerWeek</f>
        <v>7.4973008630440169E-5</v>
      </c>
      <c r="T654" s="10" cm="1">
        <f t="array" ref="T654">(INDEX(U$403:U$594,MATCH(1,($A654=$A$403:$A$594)*($B654=$B$403:$B$594)*("Weekday"=$D$403:$D$594),0))*Weekdays+INDEX(U$403:U$594,MATCH(1,($A654=$A$403:$A$594)*($B654=$B$403:$B$594)*("Weekend"=$D$403:$D$594),0))*WeekendDays)/DaysPerWeek</f>
        <v>7.4973008630440169E-5</v>
      </c>
      <c r="U654" s="10" cm="1">
        <f t="array" ref="U654">(INDEX(V$403:V$594,MATCH(1,($A654=$A$403:$A$594)*($B654=$B$403:$B$594)*("Weekday"=$D$403:$D$594),0))*Weekdays+INDEX(V$403:V$594,MATCH(1,($A654=$A$403:$A$594)*($B654=$B$403:$B$594)*("Weekend"=$D$403:$D$594),0))*WeekendDays)/DaysPerWeek</f>
        <v>7.4973008630440169E-5</v>
      </c>
      <c r="V654" s="10" cm="1">
        <f t="array" ref="V654">(INDEX(W$403:W$594,MATCH(1,($A654=$A$403:$A$594)*($B654=$B$403:$B$594)*("Weekday"=$D$403:$D$594),0))*Weekdays+INDEX(W$403:W$594,MATCH(1,($A654=$A$403:$A$594)*($B654=$B$403:$B$594)*("Weekend"=$D$403:$D$594),0))*WeekendDays)/DaysPerWeek</f>
        <v>1.1257065130507915E-4</v>
      </c>
      <c r="W654" s="10" cm="1">
        <f t="array" ref="W654">(INDEX(X$403:X$594,MATCH(1,($A654=$A$403:$A$594)*($B654=$B$403:$B$594)*("Weekday"=$D$403:$D$594),0))*Weekdays+INDEX(X$403:X$594,MATCH(1,($A654=$A$403:$A$594)*($B654=$B$403:$B$594)*("Weekend"=$D$403:$D$594),0))*WeekendDays)/DaysPerWeek</f>
        <v>1.1257065130507915E-4</v>
      </c>
      <c r="X654" s="10" cm="1">
        <f t="array" ref="X654">(INDEX(Y$403:Y$594,MATCH(1,($A654=$A$403:$A$594)*($B654=$B$403:$B$594)*("Weekday"=$D$403:$D$594),0))*Weekdays+INDEX(Y$403:Y$594,MATCH(1,($A654=$A$403:$A$594)*($B654=$B$403:$B$594)*("Weekend"=$D$403:$D$594),0))*WeekendDays)/DaysPerWeek</f>
        <v>1.1257065130507915E-4</v>
      </c>
      <c r="Y654" s="27">
        <f t="shared" si="242"/>
        <v>1.4287718418985742E-3</v>
      </c>
      <c r="Z654" s="32" t="str">
        <f t="shared" si="243"/>
        <v/>
      </c>
    </row>
    <row r="655" spans="1:26" outlineLevel="1" x14ac:dyDescent="0.3">
      <c r="A655" t="s">
        <v>165</v>
      </c>
      <c r="B655" t="s">
        <v>71</v>
      </c>
      <c r="C655" s="6" t="s">
        <v>147</v>
      </c>
      <c r="D655" s="10">
        <v>0</v>
      </c>
      <c r="E655" s="10" cm="1">
        <f t="array" ref="E655">(INDEX(F$403:F$594,MATCH(1,($A655=$A$403:$A$594)*($B655=$B$403:$B$594)*("Weekday"=$D$403:$D$594),0))*Weekdays+INDEX(F$403:F$594,MATCH(1,($A655=$A$403:$A$594)*($B655=$B$403:$B$594)*("Weekend"=$D$403:$D$594),0))*WeekendDays)/DaysPerWeek</f>
        <v>1.1956517964519919E-4</v>
      </c>
      <c r="F655" s="10" cm="1">
        <f t="array" ref="F655">(INDEX(G$403:G$594,MATCH(1,($A655=$A$403:$A$594)*($B655=$B$403:$B$594)*("Weekday"=$D$403:$D$594),0))*Weekdays+INDEX(G$403:G$594,MATCH(1,($A655=$A$403:$A$594)*($B655=$B$403:$B$594)*("Weekend"=$D$403:$D$594),0))*WeekendDays)/DaysPerWeek</f>
        <v>0</v>
      </c>
      <c r="G655" s="10" cm="1">
        <f t="array" ref="G655">(INDEX(H$403:H$594,MATCH(1,($A655=$A$403:$A$594)*($B655=$B$403:$B$594)*("Weekday"=$D$403:$D$594),0))*Weekdays+INDEX(H$403:H$594,MATCH(1,($A655=$A$403:$A$594)*($B655=$B$403:$B$594)*("Weekend"=$D$403:$D$594),0))*WeekendDays)/DaysPerWeek</f>
        <v>5.1586302166684683E-5</v>
      </c>
      <c r="H655" s="10" cm="1">
        <f t="array" ref="H655">(INDEX(I$403:I$594,MATCH(1,($A655=$A$403:$A$594)*($B655=$B$403:$B$594)*("Weekday"=$D$403:$D$594),0))*Weekdays+INDEX(I$403:I$594,MATCH(1,($A655=$A$403:$A$594)*($B655=$B$403:$B$594)*("Weekend"=$D$403:$D$594),0))*WeekendDays)/DaysPerWeek</f>
        <v>5.1586302166684683E-5</v>
      </c>
      <c r="I655" s="10" cm="1">
        <f t="array" ref="I655">(INDEX(J$403:J$594,MATCH(1,($A655=$A$403:$A$594)*($B655=$B$403:$B$594)*("Weekday"=$D$403:$D$594),0))*Weekdays+INDEX(J$403:J$594,MATCH(1,($A655=$A$403:$A$594)*($B655=$B$403:$B$594)*("Weekend"=$D$403:$D$594),0))*WeekendDays)/DaysPerWeek</f>
        <v>5.1586302166684683E-5</v>
      </c>
      <c r="J655" s="10">
        <v>0</v>
      </c>
      <c r="K655" s="10" cm="1">
        <f t="array" ref="K655">(INDEX(L$403:L$594,MATCH(1,($A655=$A$403:$A$594)*($B655=$B$403:$B$594)*("Weekday"=$D$403:$D$594),0))*Weekdays+INDEX(L$403:L$594,MATCH(1,($A655=$A$403:$A$594)*($B655=$B$403:$B$594)*("Weekend"=$D$403:$D$594),0))*WeekendDays)/DaysPerWeek</f>
        <v>1.4083808608748361E-4</v>
      </c>
      <c r="L655" s="10" cm="1">
        <f t="array" ref="L655">(INDEX(M$403:M$594,MATCH(1,($A655=$A$403:$A$594)*($B655=$B$403:$B$594)*("Weekday"=$D$403:$D$594),0))*Weekdays+INDEX(M$403:M$594,MATCH(1,($A655=$A$403:$A$594)*($B655=$B$403:$B$594)*("Weekend"=$D$403:$D$594),0))*WeekendDays)/DaysPerWeek</f>
        <v>0</v>
      </c>
      <c r="M655" s="10" cm="1">
        <f t="array" ref="M655">(INDEX(N$403:N$594,MATCH(1,($A655=$A$403:$A$594)*($B655=$B$403:$B$594)*("Weekday"=$D$403:$D$594),0))*Weekdays+INDEX(N$403:N$594,MATCH(1,($A655=$A$403:$A$594)*($B655=$B$403:$B$594)*("Weekend"=$D$403:$D$594),0))*WeekendDays)/DaysPerWeek</f>
        <v>5.1586302166684683E-5</v>
      </c>
      <c r="N655" s="10" cm="1">
        <f t="array" ref="N655">(INDEX(O$403:O$594,MATCH(1,($A655=$A$403:$A$594)*($B655=$B$403:$B$594)*("Weekday"=$D$403:$D$594),0))*Weekdays+INDEX(O$403:O$594,MATCH(1,($A655=$A$403:$A$594)*($B655=$B$403:$B$594)*("Weekend"=$D$403:$D$594),0))*WeekendDays)/DaysPerWeek</f>
        <v>5.1586302166684683E-5</v>
      </c>
      <c r="O655" s="10" cm="1">
        <f t="array" ref="O655">(INDEX(P$403:P$594,MATCH(1,($A655=$A$403:$A$594)*($B655=$B$403:$B$594)*("Weekday"=$D$403:$D$594),0))*Weekdays+INDEX(P$403:P$594,MATCH(1,($A655=$A$403:$A$594)*($B655=$B$403:$B$594)*("Weekend"=$D$403:$D$594),0))*WeekendDays)/DaysPerWeek</f>
        <v>5.1586302166684683E-5</v>
      </c>
      <c r="P655" s="10" cm="1">
        <f t="array" ref="P655">(INDEX(Q$403:Q$594,MATCH(1,($A655=$A$403:$A$594)*($B655=$B$403:$B$594)*("Weekday"=$D$403:$D$594),0))*Weekdays+INDEX(Q$403:Q$594,MATCH(1,($A655=$A$403:$A$594)*($B655=$B$403:$B$594)*("Weekend"=$D$403:$D$594),0))*WeekendDays)/DaysPerWeek</f>
        <v>1.3433213739705196E-4</v>
      </c>
      <c r="Q655" s="10" cm="1">
        <f t="array" ref="Q655">(INDEX(R$403:R$594,MATCH(1,($A655=$A$403:$A$594)*($B655=$B$403:$B$594)*("Weekday"=$D$403:$D$594),0))*Weekdays+INDEX(R$403:R$594,MATCH(1,($A655=$A$403:$A$594)*($B655=$B$403:$B$594)*("Weekend"=$D$403:$D$594),0))*WeekendDays)/DaysPerWeek</f>
        <v>1.3433213739705196E-4</v>
      </c>
      <c r="R655" s="10" cm="1">
        <f t="array" ref="R655">(INDEX(S$403:S$594,MATCH(1,($A655=$A$403:$A$594)*($B655=$B$403:$B$594)*("Weekday"=$D$403:$D$594),0))*Weekdays+INDEX(S$403:S$594,MATCH(1,($A655=$A$403:$A$594)*($B655=$B$403:$B$594)*("Weekend"=$D$403:$D$594),0))*WeekendDays)/DaysPerWeek</f>
        <v>1.3433213739705196E-4</v>
      </c>
      <c r="S655" s="10" cm="1">
        <f t="array" ref="S655">(INDEX(T$403:T$594,MATCH(1,($A655=$A$403:$A$594)*($B655=$B$403:$B$594)*("Weekday"=$D$403:$D$594),0))*Weekdays+INDEX(T$403:T$594,MATCH(1,($A655=$A$403:$A$594)*($B655=$B$403:$B$594)*("Weekend"=$D$403:$D$594),0))*WeekendDays)/DaysPerWeek</f>
        <v>1.3433213739705196E-4</v>
      </c>
      <c r="T655" s="10" cm="1">
        <f t="array" ref="T655">(INDEX(U$403:U$594,MATCH(1,($A655=$A$403:$A$594)*($B655=$B$403:$B$594)*("Weekday"=$D$403:$D$594),0))*Weekdays+INDEX(U$403:U$594,MATCH(1,($A655=$A$403:$A$594)*($B655=$B$403:$B$594)*("Weekend"=$D$403:$D$594),0))*WeekendDays)/DaysPerWeek</f>
        <v>1.3433213739705196E-4</v>
      </c>
      <c r="U655" s="10" cm="1">
        <f t="array" ref="U655">(INDEX(V$403:V$594,MATCH(1,($A655=$A$403:$A$594)*($B655=$B$403:$B$594)*("Weekday"=$D$403:$D$594),0))*Weekdays+INDEX(V$403:V$594,MATCH(1,($A655=$A$403:$A$594)*($B655=$B$403:$B$594)*("Weekend"=$D$403:$D$594),0))*WeekendDays)/DaysPerWeek</f>
        <v>1.3433213739705196E-4</v>
      </c>
      <c r="V655" s="10" cm="1">
        <f t="array" ref="V655">(INDEX(W$403:W$594,MATCH(1,($A655=$A$403:$A$594)*($B655=$B$403:$B$594)*("Weekday"=$D$403:$D$594),0))*Weekdays+INDEX(W$403:W$594,MATCH(1,($A655=$A$403:$A$594)*($B655=$B$403:$B$594)*("Weekend"=$D$403:$D$594),0))*WeekendDays)/DaysPerWeek</f>
        <v>1.1309950671389496E-4</v>
      </c>
      <c r="W655" s="10" cm="1">
        <f t="array" ref="W655">(INDEX(X$403:X$594,MATCH(1,($A655=$A$403:$A$594)*($B655=$B$403:$B$594)*("Weekday"=$D$403:$D$594),0))*Weekdays+INDEX(X$403:X$594,MATCH(1,($A655=$A$403:$A$594)*($B655=$B$403:$B$594)*("Weekend"=$D$403:$D$594),0))*WeekendDays)/DaysPerWeek</f>
        <v>1.1309950671389496E-4</v>
      </c>
      <c r="X655" s="10" cm="1">
        <f t="array" ref="X655">(INDEX(Y$403:Y$594,MATCH(1,($A655=$A$403:$A$594)*($B655=$B$403:$B$594)*("Weekday"=$D$403:$D$594),0))*Weekdays+INDEX(Y$403:Y$594,MATCH(1,($A655=$A$403:$A$594)*($B655=$B$403:$B$594)*("Weekend"=$D$403:$D$594),0))*WeekendDays)/DaysPerWeek</f>
        <v>1.1309950671389496E-4</v>
      </c>
      <c r="Y655" s="27">
        <f t="shared" si="242"/>
        <v>1.7152124232567875E-3</v>
      </c>
      <c r="Z655" s="32" t="str">
        <f t="shared" si="243"/>
        <v/>
      </c>
    </row>
    <row r="656" spans="1:26" outlineLevel="1" x14ac:dyDescent="0.3">
      <c r="A656" t="s">
        <v>165</v>
      </c>
      <c r="B656" t="s">
        <v>72</v>
      </c>
      <c r="C656" s="6" t="s">
        <v>148</v>
      </c>
      <c r="D656" s="10">
        <v>0</v>
      </c>
      <c r="E656" s="10" cm="1">
        <f t="array" ref="E656">(INDEX(F$403:F$594,MATCH(1,($A656=$A$403:$A$594)*($B656=$B$403:$B$594)*("Weekday"=$D$403:$D$594),0))*Weekdays+INDEX(F$403:F$594,MATCH(1,($A656=$A$403:$A$594)*($B656=$B$403:$B$594)*("Weekend"=$D$403:$D$594),0))*WeekendDays)/DaysPerWeek</f>
        <v>1.2929518528341909E-4</v>
      </c>
      <c r="F656" s="10" cm="1">
        <f t="array" ref="F656">(INDEX(G$403:G$594,MATCH(1,($A656=$A$403:$A$594)*($B656=$B$403:$B$594)*("Weekday"=$D$403:$D$594),0))*Weekdays+INDEX(G$403:G$594,MATCH(1,($A656=$A$403:$A$594)*($B656=$B$403:$B$594)*("Weekend"=$D$403:$D$594),0))*WeekendDays)/DaysPerWeek</f>
        <v>0</v>
      </c>
      <c r="G656" s="10" cm="1">
        <f t="array" ref="G656">(INDEX(H$403:H$594,MATCH(1,($A656=$A$403:$A$594)*($B656=$B$403:$B$594)*("Weekday"=$D$403:$D$594),0))*Weekdays+INDEX(H$403:H$594,MATCH(1,($A656=$A$403:$A$594)*($B656=$B$403:$B$594)*("Weekend"=$D$403:$D$594),0))*WeekendDays)/DaysPerWeek</f>
        <v>5.5022942772624037E-5</v>
      </c>
      <c r="H656" s="10" cm="1">
        <f t="array" ref="H656">(INDEX(I$403:I$594,MATCH(1,($A656=$A$403:$A$594)*($B656=$B$403:$B$594)*("Weekday"=$D$403:$D$594),0))*Weekdays+INDEX(I$403:I$594,MATCH(1,($A656=$A$403:$A$594)*($B656=$B$403:$B$594)*("Weekend"=$D$403:$D$594),0))*WeekendDays)/DaysPerWeek</f>
        <v>5.5022942772624037E-5</v>
      </c>
      <c r="I656" s="10" cm="1">
        <f t="array" ref="I656">(INDEX(J$403:J$594,MATCH(1,($A656=$A$403:$A$594)*($B656=$B$403:$B$594)*("Weekday"=$D$403:$D$594),0))*Weekdays+INDEX(J$403:J$594,MATCH(1,($A656=$A$403:$A$594)*($B656=$B$403:$B$594)*("Weekend"=$D$403:$D$594),0))*WeekendDays)/DaysPerWeek</f>
        <v>5.5022942772624037E-5</v>
      </c>
      <c r="J656" s="10">
        <v>0</v>
      </c>
      <c r="K656" s="10" cm="1">
        <f t="array" ref="K656">(INDEX(L$403:L$594,MATCH(1,($A656=$A$403:$A$594)*($B656=$B$403:$B$594)*("Weekday"=$D$403:$D$594),0))*Weekdays+INDEX(L$403:L$594,MATCH(1,($A656=$A$403:$A$594)*($B656=$B$403:$B$594)*("Weekend"=$D$403:$D$594),0))*WeekendDays)/DaysPerWeek</f>
        <v>1.7242016578738488E-4</v>
      </c>
      <c r="L656" s="10" cm="1">
        <f t="array" ref="L656">(INDEX(M$403:M$594,MATCH(1,($A656=$A$403:$A$594)*($B656=$B$403:$B$594)*("Weekday"=$D$403:$D$594),0))*Weekdays+INDEX(M$403:M$594,MATCH(1,($A656=$A$403:$A$594)*($B656=$B$403:$B$594)*("Weekend"=$D$403:$D$594),0))*WeekendDays)/DaysPerWeek</f>
        <v>0</v>
      </c>
      <c r="M656" s="10" cm="1">
        <f t="array" ref="M656">(INDEX(N$403:N$594,MATCH(1,($A656=$A$403:$A$594)*($B656=$B$403:$B$594)*("Weekday"=$D$403:$D$594),0))*Weekdays+INDEX(N$403:N$594,MATCH(1,($A656=$A$403:$A$594)*($B656=$B$403:$B$594)*("Weekend"=$D$403:$D$594),0))*WeekendDays)/DaysPerWeek</f>
        <v>5.5022942772624037E-5</v>
      </c>
      <c r="N656" s="10" cm="1">
        <f t="array" ref="N656">(INDEX(O$403:O$594,MATCH(1,($A656=$A$403:$A$594)*($B656=$B$403:$B$594)*("Weekday"=$D$403:$D$594),0))*Weekdays+INDEX(O$403:O$594,MATCH(1,($A656=$A$403:$A$594)*($B656=$B$403:$B$594)*("Weekend"=$D$403:$D$594),0))*WeekendDays)/DaysPerWeek</f>
        <v>5.5022942772624037E-5</v>
      </c>
      <c r="O656" s="10" cm="1">
        <f t="array" ref="O656">(INDEX(P$403:P$594,MATCH(1,($A656=$A$403:$A$594)*($B656=$B$403:$B$594)*("Weekday"=$D$403:$D$594),0))*Weekdays+INDEX(P$403:P$594,MATCH(1,($A656=$A$403:$A$594)*($B656=$B$403:$B$594)*("Weekend"=$D$403:$D$594),0))*WeekendDays)/DaysPerWeek</f>
        <v>5.5022942772624037E-5</v>
      </c>
      <c r="P656" s="10" cm="1">
        <f t="array" ref="P656">(INDEX(Q$403:Q$594,MATCH(1,($A656=$A$403:$A$594)*($B656=$B$403:$B$594)*("Weekday"=$D$403:$D$594),0))*Weekdays+INDEX(Q$403:Q$594,MATCH(1,($A656=$A$403:$A$594)*($B656=$B$403:$B$594)*("Weekend"=$D$403:$D$594),0))*WeekendDays)/DaysPerWeek</f>
        <v>1.4023002442315019E-4</v>
      </c>
      <c r="Q656" s="10" cm="1">
        <f t="array" ref="Q656">(INDEX(R$403:R$594,MATCH(1,($A656=$A$403:$A$594)*($B656=$B$403:$B$594)*("Weekday"=$D$403:$D$594),0))*Weekdays+INDEX(R$403:R$594,MATCH(1,($A656=$A$403:$A$594)*($B656=$B$403:$B$594)*("Weekend"=$D$403:$D$594),0))*WeekendDays)/DaysPerWeek</f>
        <v>1.4023002442315019E-4</v>
      </c>
      <c r="R656" s="10" cm="1">
        <f t="array" ref="R656">(INDEX(S$403:S$594,MATCH(1,($A656=$A$403:$A$594)*($B656=$B$403:$B$594)*("Weekday"=$D$403:$D$594),0))*Weekdays+INDEX(S$403:S$594,MATCH(1,($A656=$A$403:$A$594)*($B656=$B$403:$B$594)*("Weekend"=$D$403:$D$594),0))*WeekendDays)/DaysPerWeek</f>
        <v>1.4023002442315019E-4</v>
      </c>
      <c r="S656" s="10" cm="1">
        <f t="array" ref="S656">(INDEX(T$403:T$594,MATCH(1,($A656=$A$403:$A$594)*($B656=$B$403:$B$594)*("Weekday"=$D$403:$D$594),0))*Weekdays+INDEX(T$403:T$594,MATCH(1,($A656=$A$403:$A$594)*($B656=$B$403:$B$594)*("Weekend"=$D$403:$D$594),0))*WeekendDays)/DaysPerWeek</f>
        <v>1.4023002442315019E-4</v>
      </c>
      <c r="T656" s="10" cm="1">
        <f t="array" ref="T656">(INDEX(U$403:U$594,MATCH(1,($A656=$A$403:$A$594)*($B656=$B$403:$B$594)*("Weekday"=$D$403:$D$594),0))*Weekdays+INDEX(U$403:U$594,MATCH(1,($A656=$A$403:$A$594)*($B656=$B$403:$B$594)*("Weekend"=$D$403:$D$594),0))*WeekendDays)/DaysPerWeek</f>
        <v>1.4023002442315019E-4</v>
      </c>
      <c r="U656" s="10" cm="1">
        <f t="array" ref="U656">(INDEX(V$403:V$594,MATCH(1,($A656=$A$403:$A$594)*($B656=$B$403:$B$594)*("Weekday"=$D$403:$D$594),0))*Weekdays+INDEX(V$403:V$594,MATCH(1,($A656=$A$403:$A$594)*($B656=$B$403:$B$594)*("Weekend"=$D$403:$D$594),0))*WeekendDays)/DaysPerWeek</f>
        <v>1.4023002442315019E-4</v>
      </c>
      <c r="V656" s="10" cm="1">
        <f t="array" ref="V656">(INDEX(W$403:W$594,MATCH(1,($A656=$A$403:$A$594)*($B656=$B$403:$B$594)*("Weekday"=$D$403:$D$594),0))*Weekdays+INDEX(W$403:W$594,MATCH(1,($A656=$A$403:$A$594)*($B656=$B$403:$B$594)*("Weekend"=$D$403:$D$594),0))*WeekendDays)/DaysPerWeek</f>
        <v>1.1317505748658293E-4</v>
      </c>
      <c r="W656" s="10" cm="1">
        <f t="array" ref="W656">(INDEX(X$403:X$594,MATCH(1,($A656=$A$403:$A$594)*($B656=$B$403:$B$594)*("Weekday"=$D$403:$D$594),0))*Weekdays+INDEX(X$403:X$594,MATCH(1,($A656=$A$403:$A$594)*($B656=$B$403:$B$594)*("Weekend"=$D$403:$D$594),0))*WeekendDays)/DaysPerWeek</f>
        <v>1.1317505748658293E-4</v>
      </c>
      <c r="X656" s="10" cm="1">
        <f t="array" ref="X656">(INDEX(Y$403:Y$594,MATCH(1,($A656=$A$403:$A$594)*($B656=$B$403:$B$594)*("Weekday"=$D$403:$D$594),0))*Weekdays+INDEX(Y$403:Y$594,MATCH(1,($A656=$A$403:$A$594)*($B656=$B$403:$B$594)*("Weekend"=$D$403:$D$594),0))*WeekendDays)/DaysPerWeek</f>
        <v>1.1317505748658293E-4</v>
      </c>
      <c r="Y656" s="27">
        <f t="shared" si="242"/>
        <v>1.8127583267051979E-3</v>
      </c>
      <c r="Z656" s="32" t="str">
        <f t="shared" si="243"/>
        <v/>
      </c>
    </row>
    <row r="657" spans="1:26" outlineLevel="1" x14ac:dyDescent="0.3">
      <c r="A657" t="s">
        <v>165</v>
      </c>
      <c r="B657" t="s">
        <v>73</v>
      </c>
      <c r="C657" s="6" t="s">
        <v>149</v>
      </c>
      <c r="D657" s="10">
        <v>0</v>
      </c>
      <c r="E657" s="10" cm="1">
        <f t="array" ref="E657">(INDEX(F$403:F$594,MATCH(1,($A657=$A$403:$A$594)*($B657=$B$403:$B$594)*("Weekday"=$D$403:$D$594),0))*Weekdays+INDEX(F$403:F$594,MATCH(1,($A657=$A$403:$A$594)*($B657=$B$403:$B$594)*("Weekend"=$D$403:$D$594),0))*WeekendDays)/DaysPerWeek</f>
        <v>1.4064064128491168E-4</v>
      </c>
      <c r="F657" s="10" cm="1">
        <f t="array" ref="F657">(INDEX(G$403:G$594,MATCH(1,($A657=$A$403:$A$594)*($B657=$B$403:$B$594)*("Weekday"=$D$403:$D$594),0))*Weekdays+INDEX(G$403:G$594,MATCH(1,($A657=$A$403:$A$594)*($B657=$B$403:$B$594)*("Weekend"=$D$403:$D$594),0))*WeekendDays)/DaysPerWeek</f>
        <v>0</v>
      </c>
      <c r="G657" s="10" cm="1">
        <f t="array" ref="G657">(INDEX(H$403:H$594,MATCH(1,($A657=$A$403:$A$594)*($B657=$B$403:$B$594)*("Weekday"=$D$403:$D$594),0))*Weekdays+INDEX(H$403:H$594,MATCH(1,($A657=$A$403:$A$594)*($B657=$B$403:$B$594)*("Weekend"=$D$403:$D$594),0))*WeekendDays)/DaysPerWeek</f>
        <v>5.4675575709665556E-5</v>
      </c>
      <c r="H657" s="10" cm="1">
        <f t="array" ref="H657">(INDEX(I$403:I$594,MATCH(1,($A657=$A$403:$A$594)*($B657=$B$403:$B$594)*("Weekday"=$D$403:$D$594),0))*Weekdays+INDEX(I$403:I$594,MATCH(1,($A657=$A$403:$A$594)*($B657=$B$403:$B$594)*("Weekend"=$D$403:$D$594),0))*WeekendDays)/DaysPerWeek</f>
        <v>5.4675575709665556E-5</v>
      </c>
      <c r="I657" s="10" cm="1">
        <f t="array" ref="I657">(INDEX(J$403:J$594,MATCH(1,($A657=$A$403:$A$594)*($B657=$B$403:$B$594)*("Weekday"=$D$403:$D$594),0))*Weekdays+INDEX(J$403:J$594,MATCH(1,($A657=$A$403:$A$594)*($B657=$B$403:$B$594)*("Weekend"=$D$403:$D$594),0))*WeekendDays)/DaysPerWeek</f>
        <v>5.4675575709665556E-5</v>
      </c>
      <c r="J657" s="10">
        <v>0</v>
      </c>
      <c r="K657" s="10" cm="1">
        <f t="array" ref="K657">(INDEX(L$403:L$594,MATCH(1,($A657=$A$403:$A$594)*($B657=$B$403:$B$594)*("Weekday"=$D$403:$D$594),0))*Weekdays+INDEX(L$403:L$594,MATCH(1,($A657=$A$403:$A$594)*($B657=$B$403:$B$594)*("Weekend"=$D$403:$D$594),0))*WeekendDays)/DaysPerWeek</f>
        <v>1.9971578691990109E-4</v>
      </c>
      <c r="L657" s="10" cm="1">
        <f t="array" ref="L657">(INDEX(M$403:M$594,MATCH(1,($A657=$A$403:$A$594)*($B657=$B$403:$B$594)*("Weekday"=$D$403:$D$594),0))*Weekdays+INDEX(M$403:M$594,MATCH(1,($A657=$A$403:$A$594)*($B657=$B$403:$B$594)*("Weekend"=$D$403:$D$594),0))*WeekendDays)/DaysPerWeek</f>
        <v>0</v>
      </c>
      <c r="M657" s="10" cm="1">
        <f t="array" ref="M657">(INDEX(N$403:N$594,MATCH(1,($A657=$A$403:$A$594)*($B657=$B$403:$B$594)*("Weekday"=$D$403:$D$594),0))*Weekdays+INDEX(N$403:N$594,MATCH(1,($A657=$A$403:$A$594)*($B657=$B$403:$B$594)*("Weekend"=$D$403:$D$594),0))*WeekendDays)/DaysPerWeek</f>
        <v>5.4675575709665556E-5</v>
      </c>
      <c r="N657" s="10" cm="1">
        <f t="array" ref="N657">(INDEX(O$403:O$594,MATCH(1,($A657=$A$403:$A$594)*($B657=$B$403:$B$594)*("Weekday"=$D$403:$D$594),0))*Weekdays+INDEX(O$403:O$594,MATCH(1,($A657=$A$403:$A$594)*($B657=$B$403:$B$594)*("Weekend"=$D$403:$D$594),0))*WeekendDays)/DaysPerWeek</f>
        <v>5.4675575709665556E-5</v>
      </c>
      <c r="O657" s="10" cm="1">
        <f t="array" ref="O657">(INDEX(P$403:P$594,MATCH(1,($A657=$A$403:$A$594)*($B657=$B$403:$B$594)*("Weekday"=$D$403:$D$594),0))*Weekdays+INDEX(P$403:P$594,MATCH(1,($A657=$A$403:$A$594)*($B657=$B$403:$B$594)*("Weekend"=$D$403:$D$594),0))*WeekendDays)/DaysPerWeek</f>
        <v>5.4675575709665556E-5</v>
      </c>
      <c r="P657" s="10" cm="1">
        <f t="array" ref="P657">(INDEX(Q$403:Q$594,MATCH(1,($A657=$A$403:$A$594)*($B657=$B$403:$B$594)*("Weekday"=$D$403:$D$594),0))*Weekdays+INDEX(Q$403:Q$594,MATCH(1,($A657=$A$403:$A$594)*($B657=$B$403:$B$594)*("Weekend"=$D$403:$D$594),0))*WeekendDays)/DaysPerWeek</f>
        <v>1.3262485431054987E-4</v>
      </c>
      <c r="Q657" s="10" cm="1">
        <f t="array" ref="Q657">(INDEX(R$403:R$594,MATCH(1,($A657=$A$403:$A$594)*($B657=$B$403:$B$594)*("Weekday"=$D$403:$D$594),0))*Weekdays+INDEX(R$403:R$594,MATCH(1,($A657=$A$403:$A$594)*($B657=$B$403:$B$594)*("Weekend"=$D$403:$D$594),0))*WeekendDays)/DaysPerWeek</f>
        <v>1.3262485431054987E-4</v>
      </c>
      <c r="R657" s="10" cm="1">
        <f t="array" ref="R657">(INDEX(S$403:S$594,MATCH(1,($A657=$A$403:$A$594)*($B657=$B$403:$B$594)*("Weekday"=$D$403:$D$594),0))*Weekdays+INDEX(S$403:S$594,MATCH(1,($A657=$A$403:$A$594)*($B657=$B$403:$B$594)*("Weekend"=$D$403:$D$594),0))*WeekendDays)/DaysPerWeek</f>
        <v>1.3262485431054987E-4</v>
      </c>
      <c r="S657" s="10" cm="1">
        <f t="array" ref="S657">(INDEX(T$403:T$594,MATCH(1,($A657=$A$403:$A$594)*($B657=$B$403:$B$594)*("Weekday"=$D$403:$D$594),0))*Weekdays+INDEX(T$403:T$594,MATCH(1,($A657=$A$403:$A$594)*($B657=$B$403:$B$594)*("Weekend"=$D$403:$D$594),0))*WeekendDays)/DaysPerWeek</f>
        <v>1.3262485431054987E-4</v>
      </c>
      <c r="T657" s="10" cm="1">
        <f t="array" ref="T657">(INDEX(U$403:U$594,MATCH(1,($A657=$A$403:$A$594)*($B657=$B$403:$B$594)*("Weekday"=$D$403:$D$594),0))*Weekdays+INDEX(U$403:U$594,MATCH(1,($A657=$A$403:$A$594)*($B657=$B$403:$B$594)*("Weekend"=$D$403:$D$594),0))*WeekendDays)/DaysPerWeek</f>
        <v>1.3262485431054987E-4</v>
      </c>
      <c r="U657" s="10" cm="1">
        <f t="array" ref="U657">(INDEX(V$403:V$594,MATCH(1,($A657=$A$403:$A$594)*($B657=$B$403:$B$594)*("Weekday"=$D$403:$D$594),0))*Weekdays+INDEX(V$403:V$594,MATCH(1,($A657=$A$403:$A$594)*($B657=$B$403:$B$594)*("Weekend"=$D$403:$D$594),0))*WeekendDays)/DaysPerWeek</f>
        <v>1.3262485431054987E-4</v>
      </c>
      <c r="V657" s="10" cm="1">
        <f t="array" ref="V657">(INDEX(W$403:W$594,MATCH(1,($A657=$A$403:$A$594)*($B657=$B$403:$B$594)*("Weekday"=$D$403:$D$594),0))*Weekdays+INDEX(W$403:W$594,MATCH(1,($A657=$A$403:$A$594)*($B657=$B$403:$B$594)*("Weekend"=$D$403:$D$594),0))*WeekendDays)/DaysPerWeek</f>
        <v>1.1294840516851902E-4</v>
      </c>
      <c r="W657" s="10" cm="1">
        <f t="array" ref="W657">(INDEX(X$403:X$594,MATCH(1,($A657=$A$403:$A$594)*($B657=$B$403:$B$594)*("Weekday"=$D$403:$D$594),0))*Weekdays+INDEX(X$403:X$594,MATCH(1,($A657=$A$403:$A$594)*($B657=$B$403:$B$594)*("Weekend"=$D$403:$D$594),0))*WeekendDays)/DaysPerWeek</f>
        <v>1.1294840516851902E-4</v>
      </c>
      <c r="X657" s="10" cm="1">
        <f t="array" ref="X657">(INDEX(Y$403:Y$594,MATCH(1,($A657=$A$403:$A$594)*($B657=$B$403:$B$594)*("Weekday"=$D$403:$D$594),0))*Weekdays+INDEX(Y$403:Y$594,MATCH(1,($A657=$A$403:$A$594)*($B657=$B$403:$B$594)*("Weekend"=$D$403:$D$594),0))*WeekendDays)/DaysPerWeek</f>
        <v>1.1294840516851902E-4</v>
      </c>
      <c r="Y657" s="27">
        <f t="shared" si="242"/>
        <v>1.8030042238316624E-3</v>
      </c>
      <c r="Z657" s="32" t="str">
        <f t="shared" si="243"/>
        <v/>
      </c>
    </row>
    <row r="658" spans="1:26" outlineLevel="1" x14ac:dyDescent="0.3">
      <c r="A658" t="s">
        <v>165</v>
      </c>
      <c r="B658" t="s">
        <v>74</v>
      </c>
      <c r="C658" s="6" t="s">
        <v>150</v>
      </c>
      <c r="D658" s="10">
        <v>0</v>
      </c>
      <c r="E658" s="10" cm="1">
        <f t="array" ref="E658">(INDEX(F$403:F$594,MATCH(1,($A658=$A$403:$A$594)*($B658=$B$403:$B$594)*("Weekday"=$D$403:$D$594),0))*Weekdays+INDEX(F$403:F$594,MATCH(1,($A658=$A$403:$A$594)*($B658=$B$403:$B$594)*("Weekend"=$D$403:$D$594),0))*WeekendDays)/DaysPerWeek</f>
        <v>1.6505883015704206E-4</v>
      </c>
      <c r="F658" s="10" cm="1">
        <f t="array" ref="F658">(INDEX(G$403:G$594,MATCH(1,($A658=$A$403:$A$594)*($B658=$B$403:$B$594)*("Weekday"=$D$403:$D$594),0))*Weekdays+INDEX(G$403:G$594,MATCH(1,($A658=$A$403:$A$594)*($B658=$B$403:$B$594)*("Weekend"=$D$403:$D$594),0))*WeekendDays)/DaysPerWeek</f>
        <v>0</v>
      </c>
      <c r="G658" s="10" cm="1">
        <f t="array" ref="G658">(INDEX(H$403:H$594,MATCH(1,($A658=$A$403:$A$594)*($B658=$B$403:$B$594)*("Weekday"=$D$403:$D$594),0))*Weekdays+INDEX(H$403:H$594,MATCH(1,($A658=$A$403:$A$594)*($B658=$B$403:$B$594)*("Weekend"=$D$403:$D$594),0))*WeekendDays)/DaysPerWeek</f>
        <v>5.5300836422990828E-5</v>
      </c>
      <c r="H658" s="10" cm="1">
        <f t="array" ref="H658">(INDEX(I$403:I$594,MATCH(1,($A658=$A$403:$A$594)*($B658=$B$403:$B$594)*("Weekday"=$D$403:$D$594),0))*Weekdays+INDEX(I$403:I$594,MATCH(1,($A658=$A$403:$A$594)*($B658=$B$403:$B$594)*("Weekend"=$D$403:$D$594),0))*WeekendDays)/DaysPerWeek</f>
        <v>5.5300836422990828E-5</v>
      </c>
      <c r="I658" s="10" cm="1">
        <f t="array" ref="I658">(INDEX(J$403:J$594,MATCH(1,($A658=$A$403:$A$594)*($B658=$B$403:$B$594)*("Weekday"=$D$403:$D$594),0))*Weekdays+INDEX(J$403:J$594,MATCH(1,($A658=$A$403:$A$594)*($B658=$B$403:$B$594)*("Weekend"=$D$403:$D$594),0))*WeekendDays)/DaysPerWeek</f>
        <v>5.5300836422990828E-5</v>
      </c>
      <c r="J658" s="10">
        <v>0</v>
      </c>
      <c r="K658" s="10" cm="1">
        <f t="array" ref="K658">(INDEX(L$403:L$594,MATCH(1,($A658=$A$403:$A$594)*($B658=$B$403:$B$594)*("Weekday"=$D$403:$D$594),0))*Weekdays+INDEX(L$403:L$594,MATCH(1,($A658=$A$403:$A$594)*($B658=$B$403:$B$594)*("Weekend"=$D$403:$D$594),0))*WeekendDays)/DaysPerWeek</f>
        <v>2.2209480548817523E-4</v>
      </c>
      <c r="L658" s="10" cm="1">
        <f t="array" ref="L658">(INDEX(M$403:M$594,MATCH(1,($A658=$A$403:$A$594)*($B658=$B$403:$B$594)*("Weekday"=$D$403:$D$594),0))*Weekdays+INDEX(M$403:M$594,MATCH(1,($A658=$A$403:$A$594)*($B658=$B$403:$B$594)*("Weekend"=$D$403:$D$594),0))*WeekendDays)/DaysPerWeek</f>
        <v>0</v>
      </c>
      <c r="M658" s="10" cm="1">
        <f t="array" ref="M658">(INDEX(N$403:N$594,MATCH(1,($A658=$A$403:$A$594)*($B658=$B$403:$B$594)*("Weekday"=$D$403:$D$594),0))*Weekdays+INDEX(N$403:N$594,MATCH(1,($A658=$A$403:$A$594)*($B658=$B$403:$B$594)*("Weekend"=$D$403:$D$594),0))*WeekendDays)/DaysPerWeek</f>
        <v>5.5300836422990828E-5</v>
      </c>
      <c r="N658" s="10" cm="1">
        <f t="array" ref="N658">(INDEX(O$403:O$594,MATCH(1,($A658=$A$403:$A$594)*($B658=$B$403:$B$594)*("Weekday"=$D$403:$D$594),0))*Weekdays+INDEX(O$403:O$594,MATCH(1,($A658=$A$403:$A$594)*($B658=$B$403:$B$594)*("Weekend"=$D$403:$D$594),0))*WeekendDays)/DaysPerWeek</f>
        <v>5.5300836422990828E-5</v>
      </c>
      <c r="O658" s="10" cm="1">
        <f t="array" ref="O658">(INDEX(P$403:P$594,MATCH(1,($A658=$A$403:$A$594)*($B658=$B$403:$B$594)*("Weekday"=$D$403:$D$594),0))*Weekdays+INDEX(P$403:P$594,MATCH(1,($A658=$A$403:$A$594)*($B658=$B$403:$B$594)*("Weekend"=$D$403:$D$594),0))*WeekendDays)/DaysPerWeek</f>
        <v>5.5300836422990828E-5</v>
      </c>
      <c r="P658" s="10" cm="1">
        <f t="array" ref="P658">(INDEX(Q$403:Q$594,MATCH(1,($A658=$A$403:$A$594)*($B658=$B$403:$B$594)*("Weekday"=$D$403:$D$594),0))*Weekdays+INDEX(Q$403:Q$594,MATCH(1,($A658=$A$403:$A$594)*($B658=$B$403:$B$594)*("Weekend"=$D$403:$D$594),0))*WeekendDays)/DaysPerWeek</f>
        <v>1.1741451408534931E-4</v>
      </c>
      <c r="Q658" s="10" cm="1">
        <f t="array" ref="Q658">(INDEX(R$403:R$594,MATCH(1,($A658=$A$403:$A$594)*($B658=$B$403:$B$594)*("Weekday"=$D$403:$D$594),0))*Weekdays+INDEX(R$403:R$594,MATCH(1,($A658=$A$403:$A$594)*($B658=$B$403:$B$594)*("Weekend"=$D$403:$D$594),0))*WeekendDays)/DaysPerWeek</f>
        <v>1.1741451408534931E-4</v>
      </c>
      <c r="R658" s="10" cm="1">
        <f t="array" ref="R658">(INDEX(S$403:S$594,MATCH(1,($A658=$A$403:$A$594)*($B658=$B$403:$B$594)*("Weekday"=$D$403:$D$594),0))*Weekdays+INDEX(S$403:S$594,MATCH(1,($A658=$A$403:$A$594)*($B658=$B$403:$B$594)*("Weekend"=$D$403:$D$594),0))*WeekendDays)/DaysPerWeek</f>
        <v>1.1741451408534931E-4</v>
      </c>
      <c r="S658" s="10" cm="1">
        <f t="array" ref="S658">(INDEX(T$403:T$594,MATCH(1,($A658=$A$403:$A$594)*($B658=$B$403:$B$594)*("Weekday"=$D$403:$D$594),0))*Weekdays+INDEX(T$403:T$594,MATCH(1,($A658=$A$403:$A$594)*($B658=$B$403:$B$594)*("Weekend"=$D$403:$D$594),0))*WeekendDays)/DaysPerWeek</f>
        <v>1.1741451408534931E-4</v>
      </c>
      <c r="T658" s="10" cm="1">
        <f t="array" ref="T658">(INDEX(U$403:U$594,MATCH(1,($A658=$A$403:$A$594)*($B658=$B$403:$B$594)*("Weekday"=$D$403:$D$594),0))*Weekdays+INDEX(U$403:U$594,MATCH(1,($A658=$A$403:$A$594)*($B658=$B$403:$B$594)*("Weekend"=$D$403:$D$594),0))*WeekendDays)/DaysPerWeek</f>
        <v>1.1741451408534931E-4</v>
      </c>
      <c r="U658" s="10" cm="1">
        <f t="array" ref="U658">(INDEX(V$403:V$594,MATCH(1,($A658=$A$403:$A$594)*($B658=$B$403:$B$594)*("Weekday"=$D$403:$D$594),0))*Weekdays+INDEX(V$403:V$594,MATCH(1,($A658=$A$403:$A$594)*($B658=$B$403:$B$594)*("Weekend"=$D$403:$D$594),0))*WeekendDays)/DaysPerWeek</f>
        <v>1.1741451408534931E-4</v>
      </c>
      <c r="V658" s="10" cm="1">
        <f t="array" ref="V658">(INDEX(W$403:W$594,MATCH(1,($A658=$A$403:$A$594)*($B658=$B$403:$B$594)*("Weekday"=$D$403:$D$594),0))*Weekdays+INDEX(W$403:W$594,MATCH(1,($A658=$A$403:$A$594)*($B658=$B$403:$B$594)*("Weekend"=$D$403:$D$594),0))*WeekendDays)/DaysPerWeek</f>
        <v>1.1287285439583105E-4</v>
      </c>
      <c r="W658" s="10" cm="1">
        <f t="array" ref="W658">(INDEX(X$403:X$594,MATCH(1,($A658=$A$403:$A$594)*($B658=$B$403:$B$594)*("Weekday"=$D$403:$D$594),0))*Weekdays+INDEX(X$403:X$594,MATCH(1,($A658=$A$403:$A$594)*($B658=$B$403:$B$594)*("Weekend"=$D$403:$D$594),0))*WeekendDays)/DaysPerWeek</f>
        <v>1.1287285439583105E-4</v>
      </c>
      <c r="X658" s="10" cm="1">
        <f t="array" ref="X658">(INDEX(Y$403:Y$594,MATCH(1,($A658=$A$403:$A$594)*($B658=$B$403:$B$594)*("Weekday"=$D$403:$D$594),0))*Weekdays+INDEX(Y$403:Y$594,MATCH(1,($A658=$A$403:$A$594)*($B658=$B$403:$B$594)*("Weekend"=$D$403:$D$594),0))*WeekendDays)/DaysPerWeek</f>
        <v>1.1287285439583105E-4</v>
      </c>
      <c r="Y658" s="27">
        <f t="shared" si="242"/>
        <v>1.762064301882751E-3</v>
      </c>
      <c r="Z658" s="32" t="str">
        <f t="shared" si="243"/>
        <v/>
      </c>
    </row>
    <row r="659" spans="1:26" outlineLevel="1" x14ac:dyDescent="0.3">
      <c r="A659" t="s">
        <v>165</v>
      </c>
      <c r="B659" t="s">
        <v>75</v>
      </c>
      <c r="C659" s="6" t="s">
        <v>151</v>
      </c>
      <c r="D659" s="10">
        <v>0</v>
      </c>
      <c r="E659" s="10" cm="1">
        <f t="array" ref="E659">(INDEX(F$403:F$594,MATCH(1,($A659=$A$403:$A$594)*($B659=$B$403:$B$594)*("Weekday"=$D$403:$D$594),0))*Weekdays+INDEX(F$403:F$594,MATCH(1,($A659=$A$403:$A$594)*($B659=$B$403:$B$594)*("Weekend"=$D$403:$D$594),0))*WeekendDays)/DaysPerWeek</f>
        <v>2.064077616929756E-4</v>
      </c>
      <c r="F659" s="10" cm="1">
        <f t="array" ref="F659">(INDEX(G$403:G$594,MATCH(1,($A659=$A$403:$A$594)*($B659=$B$403:$B$594)*("Weekday"=$D$403:$D$594),0))*Weekdays+INDEX(G$403:G$594,MATCH(1,($A659=$A$403:$A$594)*($B659=$B$403:$B$594)*("Weekend"=$D$403:$D$594),0))*WeekendDays)/DaysPerWeek</f>
        <v>0</v>
      </c>
      <c r="G659" s="10" cm="1">
        <f t="array" ref="G659">(INDEX(H$403:H$594,MATCH(1,($A659=$A$403:$A$594)*($B659=$B$403:$B$594)*("Weekday"=$D$403:$D$594),0))*Weekdays+INDEX(H$403:H$594,MATCH(1,($A659=$A$403:$A$594)*($B659=$B$403:$B$594)*("Weekend"=$D$403:$D$594),0))*WeekendDays)/DaysPerWeek</f>
        <v>5.9747134828859438E-5</v>
      </c>
      <c r="H659" s="10" cm="1">
        <f t="array" ref="H659">(INDEX(I$403:I$594,MATCH(1,($A659=$A$403:$A$594)*($B659=$B$403:$B$594)*("Weekday"=$D$403:$D$594),0))*Weekdays+INDEX(I$403:I$594,MATCH(1,($A659=$A$403:$A$594)*($B659=$B$403:$B$594)*("Weekend"=$D$403:$D$594),0))*WeekendDays)/DaysPerWeek</f>
        <v>5.9747134828859438E-5</v>
      </c>
      <c r="I659" s="10" cm="1">
        <f t="array" ref="I659">(INDEX(J$403:J$594,MATCH(1,($A659=$A$403:$A$594)*($B659=$B$403:$B$594)*("Weekday"=$D$403:$D$594),0))*Weekdays+INDEX(J$403:J$594,MATCH(1,($A659=$A$403:$A$594)*($B659=$B$403:$B$594)*("Weekend"=$D$403:$D$594),0))*WeekendDays)/DaysPerWeek</f>
        <v>5.9747134828859438E-5</v>
      </c>
      <c r="J659" s="10">
        <v>0</v>
      </c>
      <c r="K659" s="10" cm="1">
        <f t="array" ref="K659">(INDEX(L$403:L$594,MATCH(1,($A659=$A$403:$A$594)*($B659=$B$403:$B$594)*("Weekday"=$D$403:$D$594),0))*Weekdays+INDEX(L$403:L$594,MATCH(1,($A659=$A$403:$A$594)*($B659=$B$403:$B$594)*("Weekend"=$D$403:$D$594),0))*WeekendDays)/DaysPerWeek</f>
        <v>2.3803137931709774E-4</v>
      </c>
      <c r="L659" s="10" cm="1">
        <f t="array" ref="L659">(INDEX(M$403:M$594,MATCH(1,($A659=$A$403:$A$594)*($B659=$B$403:$B$594)*("Weekday"=$D$403:$D$594),0))*Weekdays+INDEX(M$403:M$594,MATCH(1,($A659=$A$403:$A$594)*($B659=$B$403:$B$594)*("Weekend"=$D$403:$D$594),0))*WeekendDays)/DaysPerWeek</f>
        <v>0</v>
      </c>
      <c r="M659" s="10" cm="1">
        <f t="array" ref="M659">(INDEX(N$403:N$594,MATCH(1,($A659=$A$403:$A$594)*($B659=$B$403:$B$594)*("Weekday"=$D$403:$D$594),0))*Weekdays+INDEX(N$403:N$594,MATCH(1,($A659=$A$403:$A$594)*($B659=$B$403:$B$594)*("Weekend"=$D$403:$D$594),0))*WeekendDays)/DaysPerWeek</f>
        <v>5.9747134828859438E-5</v>
      </c>
      <c r="N659" s="10" cm="1">
        <f t="array" ref="N659">(INDEX(O$403:O$594,MATCH(1,($A659=$A$403:$A$594)*($B659=$B$403:$B$594)*("Weekday"=$D$403:$D$594),0))*Weekdays+INDEX(O$403:O$594,MATCH(1,($A659=$A$403:$A$594)*($B659=$B$403:$B$594)*("Weekend"=$D$403:$D$594),0))*WeekendDays)/DaysPerWeek</f>
        <v>5.9747134828859438E-5</v>
      </c>
      <c r="O659" s="10" cm="1">
        <f t="array" ref="O659">(INDEX(P$403:P$594,MATCH(1,($A659=$A$403:$A$594)*($B659=$B$403:$B$594)*("Weekday"=$D$403:$D$594),0))*Weekdays+INDEX(P$403:P$594,MATCH(1,($A659=$A$403:$A$594)*($B659=$B$403:$B$594)*("Weekend"=$D$403:$D$594),0))*WeekendDays)/DaysPerWeek</f>
        <v>5.9747134828859438E-5</v>
      </c>
      <c r="P659" s="10" cm="1">
        <f t="array" ref="P659">(INDEX(Q$403:Q$594,MATCH(1,($A659=$A$403:$A$594)*($B659=$B$403:$B$594)*("Weekday"=$D$403:$D$594),0))*Weekdays+INDEX(Q$403:Q$594,MATCH(1,($A659=$A$403:$A$594)*($B659=$B$403:$B$594)*("Weekend"=$D$403:$D$594),0))*WeekendDays)/DaysPerWeek</f>
        <v>1.1764732541532687E-4</v>
      </c>
      <c r="Q659" s="10" cm="1">
        <f t="array" ref="Q659">(INDEX(R$403:R$594,MATCH(1,($A659=$A$403:$A$594)*($B659=$B$403:$B$594)*("Weekday"=$D$403:$D$594),0))*Weekdays+INDEX(R$403:R$594,MATCH(1,($A659=$A$403:$A$594)*($B659=$B$403:$B$594)*("Weekend"=$D$403:$D$594),0))*WeekendDays)/DaysPerWeek</f>
        <v>1.1764732541532687E-4</v>
      </c>
      <c r="R659" s="10" cm="1">
        <f t="array" ref="R659">(INDEX(S$403:S$594,MATCH(1,($A659=$A$403:$A$594)*($B659=$B$403:$B$594)*("Weekday"=$D$403:$D$594),0))*Weekdays+INDEX(S$403:S$594,MATCH(1,($A659=$A$403:$A$594)*($B659=$B$403:$B$594)*("Weekend"=$D$403:$D$594),0))*WeekendDays)/DaysPerWeek</f>
        <v>1.1764732541532687E-4</v>
      </c>
      <c r="S659" s="10" cm="1">
        <f t="array" ref="S659">(INDEX(T$403:T$594,MATCH(1,($A659=$A$403:$A$594)*($B659=$B$403:$B$594)*("Weekday"=$D$403:$D$594),0))*Weekdays+INDEX(T$403:T$594,MATCH(1,($A659=$A$403:$A$594)*($B659=$B$403:$B$594)*("Weekend"=$D$403:$D$594),0))*WeekendDays)/DaysPerWeek</f>
        <v>1.1764732541532687E-4</v>
      </c>
      <c r="T659" s="10" cm="1">
        <f t="array" ref="T659">(INDEX(U$403:U$594,MATCH(1,($A659=$A$403:$A$594)*($B659=$B$403:$B$594)*("Weekday"=$D$403:$D$594),0))*Weekdays+INDEX(U$403:U$594,MATCH(1,($A659=$A$403:$A$594)*($B659=$B$403:$B$594)*("Weekend"=$D$403:$D$594),0))*WeekendDays)/DaysPerWeek</f>
        <v>1.1764732541532687E-4</v>
      </c>
      <c r="U659" s="10" cm="1">
        <f t="array" ref="U659">(INDEX(V$403:V$594,MATCH(1,($A659=$A$403:$A$594)*($B659=$B$403:$B$594)*("Weekday"=$D$403:$D$594),0))*Weekdays+INDEX(V$403:V$594,MATCH(1,($A659=$A$403:$A$594)*($B659=$B$403:$B$594)*("Weekend"=$D$403:$D$594),0))*WeekendDays)/DaysPerWeek</f>
        <v>1.1764732541532687E-4</v>
      </c>
      <c r="V659" s="10" cm="1">
        <f t="array" ref="V659">(INDEX(W$403:W$594,MATCH(1,($A659=$A$403:$A$594)*($B659=$B$403:$B$594)*("Weekday"=$D$403:$D$594),0))*Weekdays+INDEX(W$403:W$594,MATCH(1,($A659=$A$403:$A$594)*($B659=$B$403:$B$594)*("Weekend"=$D$403:$D$594),0))*WeekendDays)/DaysPerWeek</f>
        <v>1.1257065130507915E-4</v>
      </c>
      <c r="W659" s="10" cm="1">
        <f t="array" ref="W659">(INDEX(X$403:X$594,MATCH(1,($A659=$A$403:$A$594)*($B659=$B$403:$B$594)*("Weekday"=$D$403:$D$594),0))*Weekdays+INDEX(X$403:X$594,MATCH(1,($A659=$A$403:$A$594)*($B659=$B$403:$B$594)*("Weekend"=$D$403:$D$594),0))*WeekendDays)/DaysPerWeek</f>
        <v>1.1257065130507915E-4</v>
      </c>
      <c r="X659" s="10" cm="1">
        <f t="array" ref="X659">(INDEX(Y$403:Y$594,MATCH(1,($A659=$A$403:$A$594)*($B659=$B$403:$B$594)*("Weekday"=$D$403:$D$594),0))*Weekdays+INDEX(Y$403:Y$594,MATCH(1,($A659=$A$403:$A$594)*($B659=$B$403:$B$594)*("Weekend"=$D$403:$D$594),0))*WeekendDays)/DaysPerWeek</f>
        <v>1.1257065130507915E-4</v>
      </c>
      <c r="Y659" s="27">
        <f t="shared" si="242"/>
        <v>1.8465178563904284E-3</v>
      </c>
      <c r="Z659" s="32" t="str">
        <f t="shared" si="243"/>
        <v/>
      </c>
    </row>
    <row r="660" spans="1:26" outlineLevel="1" x14ac:dyDescent="0.3">
      <c r="A660" t="s">
        <v>165</v>
      </c>
      <c r="B660" t="s">
        <v>76</v>
      </c>
      <c r="C660" s="6" t="s">
        <v>152</v>
      </c>
      <c r="D660" s="10">
        <v>0</v>
      </c>
      <c r="E660" s="10" cm="1">
        <f t="array" ref="E660">(INDEX(F$403:F$594,MATCH(1,($A660=$A$403:$A$594)*($B660=$B$403:$B$594)*("Weekday"=$D$403:$D$594),0))*Weekdays+INDEX(F$403:F$594,MATCH(1,($A660=$A$403:$A$594)*($B660=$B$403:$B$594)*("Weekend"=$D$403:$D$594),0))*WeekendDays)/DaysPerWeek</f>
        <v>2.4323470889768773E-4</v>
      </c>
      <c r="F660" s="10" cm="1">
        <f t="array" ref="F660">(INDEX(G$403:G$594,MATCH(1,($A660=$A$403:$A$594)*($B660=$B$403:$B$594)*("Weekday"=$D$403:$D$594),0))*Weekdays+INDEX(G$403:G$594,MATCH(1,($A660=$A$403:$A$594)*($B660=$B$403:$B$594)*("Weekend"=$D$403:$D$594),0))*WeekendDays)/DaysPerWeek</f>
        <v>0</v>
      </c>
      <c r="G660" s="10" cm="1">
        <f t="array" ref="G660">(INDEX(H$403:H$594,MATCH(1,($A660=$A$403:$A$594)*($B660=$B$403:$B$594)*("Weekday"=$D$403:$D$594),0))*Weekdays+INDEX(H$403:H$594,MATCH(1,($A660=$A$403:$A$594)*($B660=$B$403:$B$594)*("Weekend"=$D$403:$D$594),0))*WeekendDays)/DaysPerWeek</f>
        <v>6.2456597919935622E-5</v>
      </c>
      <c r="H660" s="10" cm="1">
        <f t="array" ref="H660">(INDEX(I$403:I$594,MATCH(1,($A660=$A$403:$A$594)*($B660=$B$403:$B$594)*("Weekday"=$D$403:$D$594),0))*Weekdays+INDEX(I$403:I$594,MATCH(1,($A660=$A$403:$A$594)*($B660=$B$403:$B$594)*("Weekend"=$D$403:$D$594),0))*WeekendDays)/DaysPerWeek</f>
        <v>6.2456597919935622E-5</v>
      </c>
      <c r="I660" s="10" cm="1">
        <f t="array" ref="I660">(INDEX(J$403:J$594,MATCH(1,($A660=$A$403:$A$594)*($B660=$B$403:$B$594)*("Weekday"=$D$403:$D$594),0))*Weekdays+INDEX(J$403:J$594,MATCH(1,($A660=$A$403:$A$594)*($B660=$B$403:$B$594)*("Weekend"=$D$403:$D$594),0))*WeekendDays)/DaysPerWeek</f>
        <v>6.2456597919935622E-5</v>
      </c>
      <c r="J660" s="10">
        <v>0</v>
      </c>
      <c r="K660" s="10" cm="1">
        <f t="array" ref="K660">(INDEX(L$403:L$594,MATCH(1,($A660=$A$403:$A$594)*($B660=$B$403:$B$594)*("Weekday"=$D$403:$D$594),0))*Weekdays+INDEX(L$403:L$594,MATCH(1,($A660=$A$403:$A$594)*($B660=$B$403:$B$594)*("Weekend"=$D$403:$D$594),0))*WeekendDays)/DaysPerWeek</f>
        <v>2.4566059019264576E-4</v>
      </c>
      <c r="L660" s="10" cm="1">
        <f t="array" ref="L660">(INDEX(M$403:M$594,MATCH(1,($A660=$A$403:$A$594)*($B660=$B$403:$B$594)*("Weekday"=$D$403:$D$594),0))*Weekdays+INDEX(M$403:M$594,MATCH(1,($A660=$A$403:$A$594)*($B660=$B$403:$B$594)*("Weekend"=$D$403:$D$594),0))*WeekendDays)/DaysPerWeek</f>
        <v>0</v>
      </c>
      <c r="M660" s="10" cm="1">
        <f t="array" ref="M660">(INDEX(N$403:N$594,MATCH(1,($A660=$A$403:$A$594)*($B660=$B$403:$B$594)*("Weekday"=$D$403:$D$594),0))*Weekdays+INDEX(N$403:N$594,MATCH(1,($A660=$A$403:$A$594)*($B660=$B$403:$B$594)*("Weekend"=$D$403:$D$594),0))*WeekendDays)/DaysPerWeek</f>
        <v>6.2456597919935622E-5</v>
      </c>
      <c r="N660" s="10" cm="1">
        <f t="array" ref="N660">(INDEX(O$403:O$594,MATCH(1,($A660=$A$403:$A$594)*($B660=$B$403:$B$594)*("Weekday"=$D$403:$D$594),0))*Weekdays+INDEX(O$403:O$594,MATCH(1,($A660=$A$403:$A$594)*($B660=$B$403:$B$594)*("Weekend"=$D$403:$D$594),0))*WeekendDays)/DaysPerWeek</f>
        <v>6.2456597919935622E-5</v>
      </c>
      <c r="O660" s="10" cm="1">
        <f t="array" ref="O660">(INDEX(P$403:P$594,MATCH(1,($A660=$A$403:$A$594)*($B660=$B$403:$B$594)*("Weekday"=$D$403:$D$594),0))*Weekdays+INDEX(P$403:P$594,MATCH(1,($A660=$A$403:$A$594)*($B660=$B$403:$B$594)*("Weekend"=$D$403:$D$594),0))*WeekendDays)/DaysPerWeek</f>
        <v>6.2456597919935622E-5</v>
      </c>
      <c r="P660" s="10" cm="1">
        <f t="array" ref="P660">(INDEX(Q$403:Q$594,MATCH(1,($A660=$A$403:$A$594)*($B660=$B$403:$B$594)*("Weekday"=$D$403:$D$594),0))*Weekdays+INDEX(Q$403:Q$594,MATCH(1,($A660=$A$403:$A$594)*($B660=$B$403:$B$594)*("Weekend"=$D$403:$D$594),0))*WeekendDays)/DaysPerWeek</f>
        <v>1.1663847631875744E-4</v>
      </c>
      <c r="Q660" s="10" cm="1">
        <f t="array" ref="Q660">(INDEX(R$403:R$594,MATCH(1,($A660=$A$403:$A$594)*($B660=$B$403:$B$594)*("Weekday"=$D$403:$D$594),0))*Weekdays+INDEX(R$403:R$594,MATCH(1,($A660=$A$403:$A$594)*($B660=$B$403:$B$594)*("Weekend"=$D$403:$D$594),0))*WeekendDays)/DaysPerWeek</f>
        <v>1.1663847631875744E-4</v>
      </c>
      <c r="R660" s="10" cm="1">
        <f t="array" ref="R660">(INDEX(S$403:S$594,MATCH(1,($A660=$A$403:$A$594)*($B660=$B$403:$B$594)*("Weekday"=$D$403:$D$594),0))*Weekdays+INDEX(S$403:S$594,MATCH(1,($A660=$A$403:$A$594)*($B660=$B$403:$B$594)*("Weekend"=$D$403:$D$594),0))*WeekendDays)/DaysPerWeek</f>
        <v>1.1663847631875744E-4</v>
      </c>
      <c r="S660" s="10" cm="1">
        <f t="array" ref="S660">(INDEX(T$403:T$594,MATCH(1,($A660=$A$403:$A$594)*($B660=$B$403:$B$594)*("Weekday"=$D$403:$D$594),0))*Weekdays+INDEX(T$403:T$594,MATCH(1,($A660=$A$403:$A$594)*($B660=$B$403:$B$594)*("Weekend"=$D$403:$D$594),0))*WeekendDays)/DaysPerWeek</f>
        <v>1.1663847631875744E-4</v>
      </c>
      <c r="T660" s="10" cm="1">
        <f t="array" ref="T660">(INDEX(U$403:U$594,MATCH(1,($A660=$A$403:$A$594)*($B660=$B$403:$B$594)*("Weekday"=$D$403:$D$594),0))*Weekdays+INDEX(U$403:U$594,MATCH(1,($A660=$A$403:$A$594)*($B660=$B$403:$B$594)*("Weekend"=$D$403:$D$594),0))*WeekendDays)/DaysPerWeek</f>
        <v>1.1663847631875744E-4</v>
      </c>
      <c r="U660" s="10" cm="1">
        <f t="array" ref="U660">(INDEX(V$403:V$594,MATCH(1,($A660=$A$403:$A$594)*($B660=$B$403:$B$594)*("Weekday"=$D$403:$D$594),0))*Weekdays+INDEX(V$403:V$594,MATCH(1,($A660=$A$403:$A$594)*($B660=$B$403:$B$594)*("Weekend"=$D$403:$D$594),0))*WeekendDays)/DaysPerWeek</f>
        <v>1.1663847631875744E-4</v>
      </c>
      <c r="V660" s="10" cm="1">
        <f t="array" ref="V660">(INDEX(W$403:W$594,MATCH(1,($A660=$A$403:$A$594)*($B660=$B$403:$B$594)*("Weekday"=$D$403:$D$594),0))*Weekdays+INDEX(W$403:W$594,MATCH(1,($A660=$A$403:$A$594)*($B660=$B$403:$B$594)*("Weekend"=$D$403:$D$594),0))*WeekendDays)/DaysPerWeek</f>
        <v>1.1234399898701521E-4</v>
      </c>
      <c r="W660" s="10" cm="1">
        <f t="array" ref="W660">(INDEX(X$403:X$594,MATCH(1,($A660=$A$403:$A$594)*($B660=$B$403:$B$594)*("Weekday"=$D$403:$D$594),0))*Weekdays+INDEX(X$403:X$594,MATCH(1,($A660=$A$403:$A$594)*($B660=$B$403:$B$594)*("Weekend"=$D$403:$D$594),0))*WeekendDays)/DaysPerWeek</f>
        <v>1.1234399898701521E-4</v>
      </c>
      <c r="X660" s="10" cm="1">
        <f t="array" ref="X660">(INDEX(Y$403:Y$594,MATCH(1,($A660=$A$403:$A$594)*($B660=$B$403:$B$594)*("Weekday"=$D$403:$D$594),0))*Weekdays+INDEX(Y$403:Y$594,MATCH(1,($A660=$A$403:$A$594)*($B660=$B$403:$B$594)*("Weekend"=$D$403:$D$594),0))*WeekendDays)/DaysPerWeek</f>
        <v>1.1234399898701521E-4</v>
      </c>
      <c r="Y660" s="27">
        <f t="shared" si="242"/>
        <v>1.9004977414835381E-3</v>
      </c>
      <c r="Z660" s="32" t="str">
        <f t="shared" si="243"/>
        <v/>
      </c>
    </row>
    <row r="661" spans="1:26" outlineLevel="1" x14ac:dyDescent="0.3">
      <c r="A661" t="s">
        <v>165</v>
      </c>
      <c r="B661" t="s">
        <v>77</v>
      </c>
      <c r="C661" s="6" t="s">
        <v>153</v>
      </c>
      <c r="D661" s="10">
        <v>0</v>
      </c>
      <c r="E661" s="10" cm="1">
        <f t="array" ref="E661">(INDEX(F$403:F$594,MATCH(1,($A661=$A$403:$A$594)*($B661=$B$403:$B$594)*("Weekday"=$D$403:$D$594),0))*Weekdays+INDEX(F$403:F$594,MATCH(1,($A661=$A$403:$A$594)*($B661=$B$403:$B$594)*("Weekend"=$D$403:$D$594),0))*WeekendDays)/DaysPerWeek</f>
        <v>2.6305147468448745E-4</v>
      </c>
      <c r="F661" s="10" cm="1">
        <f t="array" ref="F661">(INDEX(G$403:G$594,MATCH(1,($A661=$A$403:$A$594)*($B661=$B$403:$B$594)*("Weekday"=$D$403:$D$594),0))*Weekdays+INDEX(G$403:G$594,MATCH(1,($A661=$A$403:$A$594)*($B661=$B$403:$B$594)*("Weekend"=$D$403:$D$594),0))*WeekendDays)/DaysPerWeek</f>
        <v>0</v>
      </c>
      <c r="G661" s="10" cm="1">
        <f t="array" ref="G661">(INDEX(H$403:H$594,MATCH(1,($A661=$A$403:$A$594)*($B661=$B$403:$B$594)*("Weekday"=$D$403:$D$594),0))*Weekdays+INDEX(H$403:H$594,MATCH(1,($A661=$A$403:$A$594)*($B661=$B$403:$B$594)*("Weekend"=$D$403:$D$594),0))*WeekendDays)/DaysPerWeek</f>
        <v>6.3081858633260901E-5</v>
      </c>
      <c r="H661" s="10" cm="1">
        <f t="array" ref="H661">(INDEX(I$403:I$594,MATCH(1,($A661=$A$403:$A$594)*($B661=$B$403:$B$594)*("Weekday"=$D$403:$D$594),0))*Weekdays+INDEX(I$403:I$594,MATCH(1,($A661=$A$403:$A$594)*($B661=$B$403:$B$594)*("Weekend"=$D$403:$D$594),0))*WeekendDays)/DaysPerWeek</f>
        <v>6.3081858633260901E-5</v>
      </c>
      <c r="I661" s="10" cm="1">
        <f t="array" ref="I661">(INDEX(J$403:J$594,MATCH(1,($A661=$A$403:$A$594)*($B661=$B$403:$B$594)*("Weekday"=$D$403:$D$594),0))*Weekdays+INDEX(J$403:J$594,MATCH(1,($A661=$A$403:$A$594)*($B661=$B$403:$B$594)*("Weekend"=$D$403:$D$594),0))*WeekendDays)/DaysPerWeek</f>
        <v>6.3081858633260901E-5</v>
      </c>
      <c r="J661" s="10">
        <v>0</v>
      </c>
      <c r="K661" s="10" cm="1">
        <f t="array" ref="K661">(INDEX(L$403:L$594,MATCH(1,($A661=$A$403:$A$594)*($B661=$B$403:$B$594)*("Weekday"=$D$403:$D$594),0))*Weekdays+INDEX(L$403:L$594,MATCH(1,($A661=$A$403:$A$594)*($B661=$B$403:$B$594)*("Weekend"=$D$403:$D$594),0))*WeekendDays)/DaysPerWeek</f>
        <v>2.5481564324330333E-4</v>
      </c>
      <c r="L661" s="10" cm="1">
        <f t="array" ref="L661">(INDEX(M$403:M$594,MATCH(1,($A661=$A$403:$A$594)*($B661=$B$403:$B$594)*("Weekday"=$D$403:$D$594),0))*Weekdays+INDEX(M$403:M$594,MATCH(1,($A661=$A$403:$A$594)*($B661=$B$403:$B$594)*("Weekend"=$D$403:$D$594),0))*WeekendDays)/DaysPerWeek</f>
        <v>0</v>
      </c>
      <c r="M661" s="10" cm="1">
        <f t="array" ref="M661">(INDEX(N$403:N$594,MATCH(1,($A661=$A$403:$A$594)*($B661=$B$403:$B$594)*("Weekday"=$D$403:$D$594),0))*Weekdays+INDEX(N$403:N$594,MATCH(1,($A661=$A$403:$A$594)*($B661=$B$403:$B$594)*("Weekend"=$D$403:$D$594),0))*WeekendDays)/DaysPerWeek</f>
        <v>6.3081858633260901E-5</v>
      </c>
      <c r="N661" s="10" cm="1">
        <f t="array" ref="N661">(INDEX(O$403:O$594,MATCH(1,($A661=$A$403:$A$594)*($B661=$B$403:$B$594)*("Weekday"=$D$403:$D$594),0))*Weekdays+INDEX(O$403:O$594,MATCH(1,($A661=$A$403:$A$594)*($B661=$B$403:$B$594)*("Weekend"=$D$403:$D$594),0))*WeekendDays)/DaysPerWeek</f>
        <v>6.3081858633260901E-5</v>
      </c>
      <c r="O661" s="10" cm="1">
        <f t="array" ref="O661">(INDEX(P$403:P$594,MATCH(1,($A661=$A$403:$A$594)*($B661=$B$403:$B$594)*("Weekday"=$D$403:$D$594),0))*Weekdays+INDEX(P$403:P$594,MATCH(1,($A661=$A$403:$A$594)*($B661=$B$403:$B$594)*("Weekend"=$D$403:$D$594),0))*WeekendDays)/DaysPerWeek</f>
        <v>6.3081858633260901E-5</v>
      </c>
      <c r="P661" s="10" cm="1">
        <f t="array" ref="P661">(INDEX(Q$403:Q$594,MATCH(1,($A661=$A$403:$A$594)*($B661=$B$403:$B$594)*("Weekday"=$D$403:$D$594),0))*Weekdays+INDEX(Q$403:Q$594,MATCH(1,($A661=$A$403:$A$594)*($B661=$B$403:$B$594)*("Weekend"=$D$403:$D$594),0))*WeekendDays)/DaysPerWeek</f>
        <v>1.1392234413568592E-4</v>
      </c>
      <c r="Q661" s="10" cm="1">
        <f t="array" ref="Q661">(INDEX(R$403:R$594,MATCH(1,($A661=$A$403:$A$594)*($B661=$B$403:$B$594)*("Weekday"=$D$403:$D$594),0))*Weekdays+INDEX(R$403:R$594,MATCH(1,($A661=$A$403:$A$594)*($B661=$B$403:$B$594)*("Weekend"=$D$403:$D$594),0))*WeekendDays)/DaysPerWeek</f>
        <v>1.1392234413568592E-4</v>
      </c>
      <c r="R661" s="10" cm="1">
        <f t="array" ref="R661">(INDEX(S$403:S$594,MATCH(1,($A661=$A$403:$A$594)*($B661=$B$403:$B$594)*("Weekday"=$D$403:$D$594),0))*Weekdays+INDEX(S$403:S$594,MATCH(1,($A661=$A$403:$A$594)*($B661=$B$403:$B$594)*("Weekend"=$D$403:$D$594),0))*WeekendDays)/DaysPerWeek</f>
        <v>1.1392234413568592E-4</v>
      </c>
      <c r="S661" s="10" cm="1">
        <f t="array" ref="S661">(INDEX(T$403:T$594,MATCH(1,($A661=$A$403:$A$594)*($B661=$B$403:$B$594)*("Weekday"=$D$403:$D$594),0))*Weekdays+INDEX(T$403:T$594,MATCH(1,($A661=$A$403:$A$594)*($B661=$B$403:$B$594)*("Weekend"=$D$403:$D$594),0))*WeekendDays)/DaysPerWeek</f>
        <v>1.1392234413568592E-4</v>
      </c>
      <c r="T661" s="10" cm="1">
        <f t="array" ref="T661">(INDEX(U$403:U$594,MATCH(1,($A661=$A$403:$A$594)*($B661=$B$403:$B$594)*("Weekday"=$D$403:$D$594),0))*Weekdays+INDEX(U$403:U$594,MATCH(1,($A661=$A$403:$A$594)*($B661=$B$403:$B$594)*("Weekend"=$D$403:$D$594),0))*WeekendDays)/DaysPerWeek</f>
        <v>1.1392234413568592E-4</v>
      </c>
      <c r="U661" s="10" cm="1">
        <f t="array" ref="U661">(INDEX(V$403:V$594,MATCH(1,($A661=$A$403:$A$594)*($B661=$B$403:$B$594)*("Weekday"=$D$403:$D$594),0))*Weekdays+INDEX(V$403:V$594,MATCH(1,($A661=$A$403:$A$594)*($B661=$B$403:$B$594)*("Weekend"=$D$403:$D$594),0))*WeekendDays)/DaysPerWeek</f>
        <v>1.1392234413568592E-4</v>
      </c>
      <c r="V661" s="10" cm="1">
        <f t="array" ref="V661">(INDEX(W$403:W$594,MATCH(1,($A661=$A$403:$A$594)*($B661=$B$403:$B$594)*("Weekday"=$D$403:$D$594),0))*Weekdays+INDEX(W$403:W$594,MATCH(1,($A661=$A$403:$A$594)*($B661=$B$403:$B$594)*("Weekend"=$D$403:$D$594),0))*WeekendDays)/DaysPerWeek</f>
        <v>1.1234399898701521E-4</v>
      </c>
      <c r="W661" s="10" cm="1">
        <f t="array" ref="W661">(INDEX(X$403:X$594,MATCH(1,($A661=$A$403:$A$594)*($B661=$B$403:$B$594)*("Weekday"=$D$403:$D$594),0))*Weekdays+INDEX(X$403:X$594,MATCH(1,($A661=$A$403:$A$594)*($B661=$B$403:$B$594)*("Weekend"=$D$403:$D$594),0))*WeekendDays)/DaysPerWeek</f>
        <v>1.1234399898701521E-4</v>
      </c>
      <c r="X661" s="10" cm="1">
        <f t="array" ref="X661">(INDEX(Y$403:Y$594,MATCH(1,($A661=$A$403:$A$594)*($B661=$B$403:$B$594)*("Weekday"=$D$403:$D$594),0))*Weekdays+INDEX(Y$403:Y$594,MATCH(1,($A661=$A$403:$A$594)*($B661=$B$403:$B$594)*("Weekend"=$D$403:$D$594),0))*WeekendDays)/DaysPerWeek</f>
        <v>1.1234399898701521E-4</v>
      </c>
      <c r="Y661" s="27">
        <f t="shared" si="242"/>
        <v>1.9169243315025177E-3</v>
      </c>
      <c r="Z661" s="32" t="str">
        <f t="shared" si="243"/>
        <v/>
      </c>
    </row>
    <row r="662" spans="1:26" outlineLevel="1" x14ac:dyDescent="0.3">
      <c r="A662" t="s">
        <v>165</v>
      </c>
      <c r="B662" t="s">
        <v>78</v>
      </c>
      <c r="C662" s="6" t="s">
        <v>154</v>
      </c>
      <c r="D662" s="10">
        <v>0</v>
      </c>
      <c r="E662" s="10" cm="1">
        <f t="array" ref="E662">(INDEX(F$403:F$594,MATCH(1,($A662=$A$403:$A$594)*($B662=$B$403:$B$594)*("Weekday"=$D$403:$D$594),0))*Weekdays+INDEX(F$403:F$594,MATCH(1,($A662=$A$403:$A$594)*($B662=$B$403:$B$594)*("Weekend"=$D$403:$D$594),0))*WeekendDays)/DaysPerWeek</f>
        <v>2.7506235896861245E-4</v>
      </c>
      <c r="F662" s="10" cm="1">
        <f t="array" ref="F662">(INDEX(G$403:G$594,MATCH(1,($A662=$A$403:$A$594)*($B662=$B$403:$B$594)*("Weekday"=$D$403:$D$594),0))*Weekdays+INDEX(G$403:G$594,MATCH(1,($A662=$A$403:$A$594)*($B662=$B$403:$B$594)*("Weekend"=$D$403:$D$594),0))*WeekendDays)/DaysPerWeek</f>
        <v>0</v>
      </c>
      <c r="G662" s="10" cm="1">
        <f t="array" ref="G662">(INDEX(H$403:H$594,MATCH(1,($A662=$A$403:$A$594)*($B662=$B$403:$B$594)*("Weekday"=$D$403:$D$594),0))*Weekdays+INDEX(H$403:H$594,MATCH(1,($A662=$A$403:$A$594)*($B662=$B$403:$B$594)*("Weekend"=$D$403:$D$594),0))*WeekendDays)/DaysPerWeek</f>
        <v>6.3568172521402761E-5</v>
      </c>
      <c r="H662" s="10" cm="1">
        <f t="array" ref="H662">(INDEX(I$403:I$594,MATCH(1,($A662=$A$403:$A$594)*($B662=$B$403:$B$594)*("Weekday"=$D$403:$D$594),0))*Weekdays+INDEX(I$403:I$594,MATCH(1,($A662=$A$403:$A$594)*($B662=$B$403:$B$594)*("Weekend"=$D$403:$D$594),0))*WeekendDays)/DaysPerWeek</f>
        <v>6.3568172521402761E-5</v>
      </c>
      <c r="I662" s="10" cm="1">
        <f t="array" ref="I662">(INDEX(J$403:J$594,MATCH(1,($A662=$A$403:$A$594)*($B662=$B$403:$B$594)*("Weekday"=$D$403:$D$594),0))*Weekdays+INDEX(J$403:J$594,MATCH(1,($A662=$A$403:$A$594)*($B662=$B$403:$B$594)*("Weekend"=$D$403:$D$594),0))*WeekendDays)/DaysPerWeek</f>
        <v>6.3568172521402761E-5</v>
      </c>
      <c r="J662" s="10">
        <v>0</v>
      </c>
      <c r="K662" s="10" cm="1">
        <f t="array" ref="K662">(INDEX(L$403:L$594,MATCH(1,($A662=$A$403:$A$594)*($B662=$B$403:$B$594)*("Weekday"=$D$403:$D$594),0))*Weekdays+INDEX(L$403:L$594,MATCH(1,($A662=$A$403:$A$594)*($B662=$B$403:$B$594)*("Weekend"=$D$403:$D$594),0))*WeekendDays)/DaysPerWeek</f>
        <v>2.5956270778808874E-4</v>
      </c>
      <c r="L662" s="10" cm="1">
        <f t="array" ref="L662">(INDEX(M$403:M$594,MATCH(1,($A662=$A$403:$A$594)*($B662=$B$403:$B$594)*("Weekday"=$D$403:$D$594),0))*Weekdays+INDEX(M$403:M$594,MATCH(1,($A662=$A$403:$A$594)*($B662=$B$403:$B$594)*("Weekend"=$D$403:$D$594),0))*WeekendDays)/DaysPerWeek</f>
        <v>0</v>
      </c>
      <c r="M662" s="10" cm="1">
        <f t="array" ref="M662">(INDEX(N$403:N$594,MATCH(1,($A662=$A$403:$A$594)*($B662=$B$403:$B$594)*("Weekday"=$D$403:$D$594),0))*Weekdays+INDEX(N$403:N$594,MATCH(1,($A662=$A$403:$A$594)*($B662=$B$403:$B$594)*("Weekend"=$D$403:$D$594),0))*WeekendDays)/DaysPerWeek</f>
        <v>6.3568172521402761E-5</v>
      </c>
      <c r="N662" s="10" cm="1">
        <f t="array" ref="N662">(INDEX(O$403:O$594,MATCH(1,($A662=$A$403:$A$594)*($B662=$B$403:$B$594)*("Weekday"=$D$403:$D$594),0))*Weekdays+INDEX(O$403:O$594,MATCH(1,($A662=$A$403:$A$594)*($B662=$B$403:$B$594)*("Weekend"=$D$403:$D$594),0))*WeekendDays)/DaysPerWeek</f>
        <v>6.3568172521402761E-5</v>
      </c>
      <c r="O662" s="10" cm="1">
        <f t="array" ref="O662">(INDEX(P$403:P$594,MATCH(1,($A662=$A$403:$A$594)*($B662=$B$403:$B$594)*("Weekday"=$D$403:$D$594),0))*Weekdays+INDEX(P$403:P$594,MATCH(1,($A662=$A$403:$A$594)*($B662=$B$403:$B$594)*("Weekend"=$D$403:$D$594),0))*WeekendDays)/DaysPerWeek</f>
        <v>6.3568172521402761E-5</v>
      </c>
      <c r="P662" s="10" cm="1">
        <f t="array" ref="P662">(INDEX(Q$403:Q$594,MATCH(1,($A662=$A$403:$A$594)*($B662=$B$403:$B$594)*("Weekday"=$D$403:$D$594),0))*Weekdays+INDEX(Q$403:Q$594,MATCH(1,($A662=$A$403:$A$594)*($B662=$B$403:$B$594)*("Weekend"=$D$403:$D$594),0))*WeekendDays)/DaysPerWeek</f>
        <v>1.1361192902904916E-4</v>
      </c>
      <c r="Q662" s="10" cm="1">
        <f t="array" ref="Q662">(INDEX(R$403:R$594,MATCH(1,($A662=$A$403:$A$594)*($B662=$B$403:$B$594)*("Weekday"=$D$403:$D$594),0))*Weekdays+INDEX(R$403:R$594,MATCH(1,($A662=$A$403:$A$594)*($B662=$B$403:$B$594)*("Weekend"=$D$403:$D$594),0))*WeekendDays)/DaysPerWeek</f>
        <v>1.1361192902904916E-4</v>
      </c>
      <c r="R662" s="10" cm="1">
        <f t="array" ref="R662">(INDEX(S$403:S$594,MATCH(1,($A662=$A$403:$A$594)*($B662=$B$403:$B$594)*("Weekday"=$D$403:$D$594),0))*Weekdays+INDEX(S$403:S$594,MATCH(1,($A662=$A$403:$A$594)*($B662=$B$403:$B$594)*("Weekend"=$D$403:$D$594),0))*WeekendDays)/DaysPerWeek</f>
        <v>1.1361192902904916E-4</v>
      </c>
      <c r="S662" s="10" cm="1">
        <f t="array" ref="S662">(INDEX(T$403:T$594,MATCH(1,($A662=$A$403:$A$594)*($B662=$B$403:$B$594)*("Weekday"=$D$403:$D$594),0))*Weekdays+INDEX(T$403:T$594,MATCH(1,($A662=$A$403:$A$594)*($B662=$B$403:$B$594)*("Weekend"=$D$403:$D$594),0))*WeekendDays)/DaysPerWeek</f>
        <v>1.1361192902904916E-4</v>
      </c>
      <c r="T662" s="10" cm="1">
        <f t="array" ref="T662">(INDEX(U$403:U$594,MATCH(1,($A662=$A$403:$A$594)*($B662=$B$403:$B$594)*("Weekday"=$D$403:$D$594),0))*Weekdays+INDEX(U$403:U$594,MATCH(1,($A662=$A$403:$A$594)*($B662=$B$403:$B$594)*("Weekend"=$D$403:$D$594),0))*WeekendDays)/DaysPerWeek</f>
        <v>1.1361192902904916E-4</v>
      </c>
      <c r="U662" s="10" cm="1">
        <f t="array" ref="U662">(INDEX(V$403:V$594,MATCH(1,($A662=$A$403:$A$594)*($B662=$B$403:$B$594)*("Weekday"=$D$403:$D$594),0))*Weekdays+INDEX(V$403:V$594,MATCH(1,($A662=$A$403:$A$594)*($B662=$B$403:$B$594)*("Weekend"=$D$403:$D$594),0))*WeekendDays)/DaysPerWeek</f>
        <v>1.1361192902904916E-4</v>
      </c>
      <c r="V662" s="10" cm="1">
        <f t="array" ref="V662">(INDEX(W$403:W$594,MATCH(1,($A662=$A$403:$A$594)*($B662=$B$403:$B$594)*("Weekday"=$D$403:$D$594),0))*Weekdays+INDEX(W$403:W$594,MATCH(1,($A662=$A$403:$A$594)*($B662=$B$403:$B$594)*("Weekend"=$D$403:$D$594),0))*WeekendDays)/DaysPerWeek</f>
        <v>1.1257065130507915E-4</v>
      </c>
      <c r="W662" s="10" cm="1">
        <f t="array" ref="W662">(INDEX(X$403:X$594,MATCH(1,($A662=$A$403:$A$594)*($B662=$B$403:$B$594)*("Weekday"=$D$403:$D$594),0))*Weekdays+INDEX(X$403:X$594,MATCH(1,($A662=$A$403:$A$594)*($B662=$B$403:$B$594)*("Weekend"=$D$403:$D$594),0))*WeekendDays)/DaysPerWeek</f>
        <v>1.1257065130507915E-4</v>
      </c>
      <c r="X662" s="10" cm="1">
        <f t="array" ref="X662">(INDEX(Y$403:Y$594,MATCH(1,($A662=$A$403:$A$594)*($B662=$B$403:$B$594)*("Weekday"=$D$403:$D$594),0))*Weekdays+INDEX(Y$403:Y$594,MATCH(1,($A662=$A$403:$A$594)*($B662=$B$403:$B$594)*("Weekend"=$D$403:$D$594),0))*WeekendDays)/DaysPerWeek</f>
        <v>1.1257065130507915E-4</v>
      </c>
      <c r="Y662" s="27">
        <f t="shared" si="242"/>
        <v>1.9354176299746502E-3</v>
      </c>
      <c r="Z662" s="32" t="str">
        <f t="shared" si="243"/>
        <v/>
      </c>
    </row>
    <row r="663" spans="1:26" outlineLevel="1" x14ac:dyDescent="0.3">
      <c r="A663" t="s">
        <v>165</v>
      </c>
      <c r="B663" t="s">
        <v>79</v>
      </c>
      <c r="C663" s="6" t="s">
        <v>155</v>
      </c>
      <c r="D663" s="10">
        <v>0</v>
      </c>
      <c r="E663" s="10" cm="1">
        <f t="array" ref="E663">(INDEX(F$403:F$594,MATCH(1,($A663=$A$403:$A$594)*($B663=$B$403:$B$594)*("Weekday"=$D$403:$D$594),0))*Weekdays+INDEX(F$403:F$594,MATCH(1,($A663=$A$403:$A$594)*($B663=$B$403:$B$594)*("Weekend"=$D$403:$D$594),0))*WeekendDays)/DaysPerWeek</f>
        <v>2.8486227481075362E-4</v>
      </c>
      <c r="F663" s="10" cm="1">
        <f t="array" ref="F663">(INDEX(G$403:G$594,MATCH(1,($A663=$A$403:$A$594)*($B663=$B$403:$B$594)*("Weekday"=$D$403:$D$594),0))*Weekdays+INDEX(G$403:G$594,MATCH(1,($A663=$A$403:$A$594)*($B663=$B$403:$B$594)*("Weekend"=$D$403:$D$594),0))*WeekendDays)/DaysPerWeek</f>
        <v>0</v>
      </c>
      <c r="G663" s="10" cm="1">
        <f t="array" ref="G663">(INDEX(H$403:H$594,MATCH(1,($A663=$A$403:$A$594)*($B663=$B$403:$B$594)*("Weekday"=$D$403:$D$594),0))*Weekdays+INDEX(H$403:H$594,MATCH(1,($A663=$A$403:$A$594)*($B663=$B$403:$B$594)*("Weekend"=$D$403:$D$594),0))*WeekendDays)/DaysPerWeek</f>
        <v>6.6833422913212536E-5</v>
      </c>
      <c r="H663" s="10" cm="1">
        <f t="array" ref="H663">(INDEX(I$403:I$594,MATCH(1,($A663=$A$403:$A$594)*($B663=$B$403:$B$594)*("Weekday"=$D$403:$D$594),0))*Weekdays+INDEX(I$403:I$594,MATCH(1,($A663=$A$403:$A$594)*($B663=$B$403:$B$594)*("Weekend"=$D$403:$D$594),0))*WeekendDays)/DaysPerWeek</f>
        <v>6.6833422913212536E-5</v>
      </c>
      <c r="I663" s="10" cm="1">
        <f t="array" ref="I663">(INDEX(J$403:J$594,MATCH(1,($A663=$A$403:$A$594)*($B663=$B$403:$B$594)*("Weekday"=$D$403:$D$594),0))*Weekdays+INDEX(J$403:J$594,MATCH(1,($A663=$A$403:$A$594)*($B663=$B$403:$B$594)*("Weekend"=$D$403:$D$594),0))*WeekendDays)/DaysPerWeek</f>
        <v>6.6833422913212536E-5</v>
      </c>
      <c r="J663" s="10">
        <v>0</v>
      </c>
      <c r="K663" s="10" cm="1">
        <f t="array" ref="K663">(INDEX(L$403:L$594,MATCH(1,($A663=$A$403:$A$594)*($B663=$B$403:$B$594)*("Weekday"=$D$403:$D$594),0))*Weekdays+INDEX(L$403:L$594,MATCH(1,($A663=$A$403:$A$594)*($B663=$B$403:$B$594)*("Weekend"=$D$403:$D$594),0))*WeekendDays)/DaysPerWeek</f>
        <v>2.5701963749623949E-4</v>
      </c>
      <c r="L663" s="10" cm="1">
        <f t="array" ref="L663">(INDEX(M$403:M$594,MATCH(1,($A663=$A$403:$A$594)*($B663=$B$403:$B$594)*("Weekday"=$D$403:$D$594),0))*Weekdays+INDEX(M$403:M$594,MATCH(1,($A663=$A$403:$A$594)*($B663=$B$403:$B$594)*("Weekend"=$D$403:$D$594),0))*WeekendDays)/DaysPerWeek</f>
        <v>0</v>
      </c>
      <c r="M663" s="10" cm="1">
        <f t="array" ref="M663">(INDEX(N$403:N$594,MATCH(1,($A663=$A$403:$A$594)*($B663=$B$403:$B$594)*("Weekday"=$D$403:$D$594),0))*Weekdays+INDEX(N$403:N$594,MATCH(1,($A663=$A$403:$A$594)*($B663=$B$403:$B$594)*("Weekend"=$D$403:$D$594),0))*WeekendDays)/DaysPerWeek</f>
        <v>6.6833422913212536E-5</v>
      </c>
      <c r="N663" s="10" cm="1">
        <f t="array" ref="N663">(INDEX(O$403:O$594,MATCH(1,($A663=$A$403:$A$594)*($B663=$B$403:$B$594)*("Weekday"=$D$403:$D$594),0))*Weekdays+INDEX(O$403:O$594,MATCH(1,($A663=$A$403:$A$594)*($B663=$B$403:$B$594)*("Weekend"=$D$403:$D$594),0))*WeekendDays)/DaysPerWeek</f>
        <v>6.6833422913212536E-5</v>
      </c>
      <c r="O663" s="10" cm="1">
        <f t="array" ref="O663">(INDEX(P$403:P$594,MATCH(1,($A663=$A$403:$A$594)*($B663=$B$403:$B$594)*("Weekday"=$D$403:$D$594),0))*Weekdays+INDEX(P$403:P$594,MATCH(1,($A663=$A$403:$A$594)*($B663=$B$403:$B$594)*("Weekend"=$D$403:$D$594),0))*WeekendDays)/DaysPerWeek</f>
        <v>6.6833422913212536E-5</v>
      </c>
      <c r="P663" s="10" cm="1">
        <f t="array" ref="P663">(INDEX(Q$403:Q$594,MATCH(1,($A663=$A$403:$A$594)*($B663=$B$403:$B$594)*("Weekday"=$D$403:$D$594),0))*Weekdays+INDEX(Q$403:Q$594,MATCH(1,($A663=$A$403:$A$594)*($B663=$B$403:$B$594)*("Weekend"=$D$403:$D$594),0))*WeekendDays)/DaysPerWeek</f>
        <v>1.2952070324418242E-4</v>
      </c>
      <c r="Q663" s="10" cm="1">
        <f t="array" ref="Q663">(INDEX(R$403:R$594,MATCH(1,($A663=$A$403:$A$594)*($B663=$B$403:$B$594)*("Weekday"=$D$403:$D$594),0))*Weekdays+INDEX(R$403:R$594,MATCH(1,($A663=$A$403:$A$594)*($B663=$B$403:$B$594)*("Weekend"=$D$403:$D$594),0))*WeekendDays)/DaysPerWeek</f>
        <v>1.2952070324418242E-4</v>
      </c>
      <c r="R663" s="10" cm="1">
        <f t="array" ref="R663">(INDEX(S$403:S$594,MATCH(1,($A663=$A$403:$A$594)*($B663=$B$403:$B$594)*("Weekday"=$D$403:$D$594),0))*Weekdays+INDEX(S$403:S$594,MATCH(1,($A663=$A$403:$A$594)*($B663=$B$403:$B$594)*("Weekend"=$D$403:$D$594),0))*WeekendDays)/DaysPerWeek</f>
        <v>1.2952070324418242E-4</v>
      </c>
      <c r="S663" s="10" cm="1">
        <f t="array" ref="S663">(INDEX(T$403:T$594,MATCH(1,($A663=$A$403:$A$594)*($B663=$B$403:$B$594)*("Weekday"=$D$403:$D$594),0))*Weekdays+INDEX(T$403:T$594,MATCH(1,($A663=$A$403:$A$594)*($B663=$B$403:$B$594)*("Weekend"=$D$403:$D$594),0))*WeekendDays)/DaysPerWeek</f>
        <v>1.2952070324418242E-4</v>
      </c>
      <c r="T663" s="10" cm="1">
        <f t="array" ref="T663">(INDEX(U$403:U$594,MATCH(1,($A663=$A$403:$A$594)*($B663=$B$403:$B$594)*("Weekday"=$D$403:$D$594),0))*Weekdays+INDEX(U$403:U$594,MATCH(1,($A663=$A$403:$A$594)*($B663=$B$403:$B$594)*("Weekend"=$D$403:$D$594),0))*WeekendDays)/DaysPerWeek</f>
        <v>1.2952070324418242E-4</v>
      </c>
      <c r="U663" s="10" cm="1">
        <f t="array" ref="U663">(INDEX(V$403:V$594,MATCH(1,($A663=$A$403:$A$594)*($B663=$B$403:$B$594)*("Weekday"=$D$403:$D$594),0))*Weekdays+INDEX(V$403:V$594,MATCH(1,($A663=$A$403:$A$594)*($B663=$B$403:$B$594)*("Weekend"=$D$403:$D$594),0))*WeekendDays)/DaysPerWeek</f>
        <v>1.2952070324418242E-4</v>
      </c>
      <c r="V663" s="10" cm="1">
        <f t="array" ref="V663">(INDEX(W$403:W$594,MATCH(1,($A663=$A$403:$A$594)*($B663=$B$403:$B$594)*("Weekday"=$D$403:$D$594),0))*Weekdays+INDEX(W$403:W$594,MATCH(1,($A663=$A$403:$A$594)*($B663=$B$403:$B$594)*("Weekend"=$D$403:$D$594),0))*WeekendDays)/DaysPerWeek</f>
        <v>1.1317505748658294E-4</v>
      </c>
      <c r="W663" s="10" cm="1">
        <f t="array" ref="W663">(INDEX(X$403:X$594,MATCH(1,($A663=$A$403:$A$594)*($B663=$B$403:$B$594)*("Weekday"=$D$403:$D$594),0))*Weekdays+INDEX(X$403:X$594,MATCH(1,($A663=$A$403:$A$594)*($B663=$B$403:$B$594)*("Weekend"=$D$403:$D$594),0))*WeekendDays)/DaysPerWeek</f>
        <v>1.1317505748658294E-4</v>
      </c>
      <c r="X663" s="10" cm="1">
        <f t="array" ref="X663">(INDEX(Y$403:Y$594,MATCH(1,($A663=$A$403:$A$594)*($B663=$B$403:$B$594)*("Weekday"=$D$403:$D$594),0))*Weekdays+INDEX(Y$403:Y$594,MATCH(1,($A663=$A$403:$A$594)*($B663=$B$403:$B$594)*("Weekend"=$D$403:$D$594),0))*WeekendDays)/DaysPerWeek</f>
        <v>1.1317505748658294E-4</v>
      </c>
      <c r="Y663" s="27">
        <f t="shared" si="242"/>
        <v>2.0595318417111117E-3</v>
      </c>
      <c r="Z663" s="32" t="str">
        <f t="shared" si="243"/>
        <v/>
      </c>
    </row>
    <row r="664" spans="1:26" outlineLevel="1" x14ac:dyDescent="0.3">
      <c r="A664" t="s">
        <v>165</v>
      </c>
      <c r="B664" t="s">
        <v>80</v>
      </c>
      <c r="C664" s="6" t="s">
        <v>156</v>
      </c>
      <c r="D664" s="10">
        <v>0</v>
      </c>
      <c r="E664" s="10" cm="1">
        <f t="array" ref="E664">(INDEX(F$403:F$594,MATCH(1,($A664=$A$403:$A$594)*($B664=$B$403:$B$594)*("Weekday"=$D$403:$D$594),0))*Weekdays+INDEX(F$403:F$594,MATCH(1,($A664=$A$403:$A$594)*($B664=$B$403:$B$594)*("Weekend"=$D$403:$D$594),0))*WeekendDays)/DaysPerWeek</f>
        <v>2.8542404924131762E-4</v>
      </c>
      <c r="F664" s="10" cm="1">
        <f t="array" ref="F664">(INDEX(G$403:G$594,MATCH(1,($A664=$A$403:$A$594)*($B664=$B$403:$B$594)*("Weekday"=$D$403:$D$594),0))*Weekdays+INDEX(G$403:G$594,MATCH(1,($A664=$A$403:$A$594)*($B664=$B$403:$B$594)*("Weekend"=$D$403:$D$594),0))*WeekendDays)/DaysPerWeek</f>
        <v>0</v>
      </c>
      <c r="G664" s="10" cm="1">
        <f t="array" ref="G664">(INDEX(H$403:H$594,MATCH(1,($A664=$A$403:$A$594)*($B664=$B$403:$B$594)*("Weekday"=$D$403:$D$594),0))*Weekdays+INDEX(H$403:H$594,MATCH(1,($A664=$A$403:$A$594)*($B664=$B$403:$B$594)*("Weekend"=$D$403:$D$594),0))*WeekendDays)/DaysPerWeek</f>
        <v>7.1071301081306057E-5</v>
      </c>
      <c r="H664" s="10" cm="1">
        <f t="array" ref="H664">(INDEX(I$403:I$594,MATCH(1,($A664=$A$403:$A$594)*($B664=$B$403:$B$594)*("Weekday"=$D$403:$D$594),0))*Weekdays+INDEX(I$403:I$594,MATCH(1,($A664=$A$403:$A$594)*($B664=$B$403:$B$594)*("Weekend"=$D$403:$D$594),0))*WeekendDays)/DaysPerWeek</f>
        <v>7.1071301081306057E-5</v>
      </c>
      <c r="I664" s="10" cm="1">
        <f t="array" ref="I664">(INDEX(J$403:J$594,MATCH(1,($A664=$A$403:$A$594)*($B664=$B$403:$B$594)*("Weekday"=$D$403:$D$594),0))*Weekdays+INDEX(J$403:J$594,MATCH(1,($A664=$A$403:$A$594)*($B664=$B$403:$B$594)*("Weekend"=$D$403:$D$594),0))*WeekendDays)/DaysPerWeek</f>
        <v>7.1071301081306057E-5</v>
      </c>
      <c r="J664" s="10">
        <v>0</v>
      </c>
      <c r="K664" s="10" cm="1">
        <f t="array" ref="K664">(INDEX(L$403:L$594,MATCH(1,($A664=$A$403:$A$594)*($B664=$B$403:$B$594)*("Weekday"=$D$403:$D$594),0))*Weekdays+INDEX(L$403:L$594,MATCH(1,($A664=$A$403:$A$594)*($B664=$B$403:$B$594)*("Weekend"=$D$403:$D$594),0))*WeekendDays)/DaysPerWeek</f>
        <v>2.4820366048449507E-4</v>
      </c>
      <c r="L664" s="10" cm="1">
        <f t="array" ref="L664">(INDEX(M$403:M$594,MATCH(1,($A664=$A$403:$A$594)*($B664=$B$403:$B$594)*("Weekday"=$D$403:$D$594),0))*Weekdays+INDEX(M$403:M$594,MATCH(1,($A664=$A$403:$A$594)*($B664=$B$403:$B$594)*("Weekend"=$D$403:$D$594),0))*WeekendDays)/DaysPerWeek</f>
        <v>0</v>
      </c>
      <c r="M664" s="10" cm="1">
        <f t="array" ref="M664">(INDEX(N$403:N$594,MATCH(1,($A664=$A$403:$A$594)*($B664=$B$403:$B$594)*("Weekday"=$D$403:$D$594),0))*Weekdays+INDEX(N$403:N$594,MATCH(1,($A664=$A$403:$A$594)*($B664=$B$403:$B$594)*("Weekend"=$D$403:$D$594),0))*WeekendDays)/DaysPerWeek</f>
        <v>7.1071301081306057E-5</v>
      </c>
      <c r="N664" s="10" cm="1">
        <f t="array" ref="N664">(INDEX(O$403:O$594,MATCH(1,($A664=$A$403:$A$594)*($B664=$B$403:$B$594)*("Weekday"=$D$403:$D$594),0))*Weekdays+INDEX(O$403:O$594,MATCH(1,($A664=$A$403:$A$594)*($B664=$B$403:$B$594)*("Weekend"=$D$403:$D$594),0))*WeekendDays)/DaysPerWeek</f>
        <v>7.1071301081306057E-5</v>
      </c>
      <c r="O664" s="10" cm="1">
        <f t="array" ref="O664">(INDEX(P$403:P$594,MATCH(1,($A664=$A$403:$A$594)*($B664=$B$403:$B$594)*("Weekday"=$D$403:$D$594),0))*Weekdays+INDEX(P$403:P$594,MATCH(1,($A664=$A$403:$A$594)*($B664=$B$403:$B$594)*("Weekend"=$D$403:$D$594),0))*WeekendDays)/DaysPerWeek</f>
        <v>7.1071301081306057E-5</v>
      </c>
      <c r="P664" s="10" cm="1">
        <f t="array" ref="P664">(INDEX(Q$403:Q$594,MATCH(1,($A664=$A$403:$A$594)*($B664=$B$403:$B$594)*("Weekday"=$D$403:$D$594),0))*Weekdays+INDEX(Q$403:Q$594,MATCH(1,($A664=$A$403:$A$594)*($B664=$B$403:$B$594)*("Weekend"=$D$403:$D$594),0))*WeekendDays)/DaysPerWeek</f>
        <v>1.4705915676915858E-4</v>
      </c>
      <c r="Q664" s="10" cm="1">
        <f t="array" ref="Q664">(INDEX(R$403:R$594,MATCH(1,($A664=$A$403:$A$594)*($B664=$B$403:$B$594)*("Weekday"=$D$403:$D$594),0))*Weekdays+INDEX(R$403:R$594,MATCH(1,($A664=$A$403:$A$594)*($B664=$B$403:$B$594)*("Weekend"=$D$403:$D$594),0))*WeekendDays)/DaysPerWeek</f>
        <v>1.4705915676915858E-4</v>
      </c>
      <c r="R664" s="10" cm="1">
        <f t="array" ref="R664">(INDEX(S$403:S$594,MATCH(1,($A664=$A$403:$A$594)*($B664=$B$403:$B$594)*("Weekday"=$D$403:$D$594),0))*Weekdays+INDEX(S$403:S$594,MATCH(1,($A664=$A$403:$A$594)*($B664=$B$403:$B$594)*("Weekend"=$D$403:$D$594),0))*WeekendDays)/DaysPerWeek</f>
        <v>1.4705915676915858E-4</v>
      </c>
      <c r="S664" s="10" cm="1">
        <f t="array" ref="S664">(INDEX(T$403:T$594,MATCH(1,($A664=$A$403:$A$594)*($B664=$B$403:$B$594)*("Weekday"=$D$403:$D$594),0))*Weekdays+INDEX(T$403:T$594,MATCH(1,($A664=$A$403:$A$594)*($B664=$B$403:$B$594)*("Weekend"=$D$403:$D$594),0))*WeekendDays)/DaysPerWeek</f>
        <v>1.4705915676915858E-4</v>
      </c>
      <c r="T664" s="10" cm="1">
        <f t="array" ref="T664">(INDEX(U$403:U$594,MATCH(1,($A664=$A$403:$A$594)*($B664=$B$403:$B$594)*("Weekday"=$D$403:$D$594),0))*Weekdays+INDEX(U$403:U$594,MATCH(1,($A664=$A$403:$A$594)*($B664=$B$403:$B$594)*("Weekend"=$D$403:$D$594),0))*WeekendDays)/DaysPerWeek</f>
        <v>1.4705915676915858E-4</v>
      </c>
      <c r="U664" s="10" cm="1">
        <f t="array" ref="U664">(INDEX(V$403:V$594,MATCH(1,($A664=$A$403:$A$594)*($B664=$B$403:$B$594)*("Weekday"=$D$403:$D$594),0))*Weekdays+INDEX(V$403:V$594,MATCH(1,($A664=$A$403:$A$594)*($B664=$B$403:$B$594)*("Weekend"=$D$403:$D$594),0))*WeekendDays)/DaysPerWeek</f>
        <v>1.4705915676915858E-4</v>
      </c>
      <c r="V664" s="10" cm="1">
        <f t="array" ref="V664">(INDEX(W$403:W$594,MATCH(1,($A664=$A$403:$A$594)*($B664=$B$403:$B$594)*("Weekday"=$D$403:$D$594),0))*Weekdays+INDEX(W$403:W$594,MATCH(1,($A664=$A$403:$A$594)*($B664=$B$403:$B$594)*("Weekend"=$D$403:$D$594),0))*WeekendDays)/DaysPerWeek</f>
        <v>1.1385501444077469E-4</v>
      </c>
      <c r="W664" s="10" cm="1">
        <f t="array" ref="W664">(INDEX(X$403:X$594,MATCH(1,($A664=$A$403:$A$594)*($B664=$B$403:$B$594)*("Weekday"=$D$403:$D$594),0))*Weekdays+INDEX(X$403:X$594,MATCH(1,($A664=$A$403:$A$594)*($B664=$B$403:$B$594)*("Weekend"=$D$403:$D$594),0))*WeekendDays)/DaysPerWeek</f>
        <v>1.1385501444077469E-4</v>
      </c>
      <c r="X664" s="10" cm="1">
        <f t="array" ref="X664">(INDEX(Y$403:Y$594,MATCH(1,($A664=$A$403:$A$594)*($B664=$B$403:$B$594)*("Weekday"=$D$403:$D$594),0))*Weekdays+INDEX(Y$403:Y$594,MATCH(1,($A664=$A$403:$A$594)*($B664=$B$403:$B$594)*("Weekend"=$D$403:$D$594),0))*WeekendDays)/DaysPerWeek</f>
        <v>1.1385501444077469E-4</v>
      </c>
      <c r="Y664" s="27">
        <f t="shared" si="242"/>
        <v>2.1839755001509245E-3</v>
      </c>
      <c r="Z664" s="32" t="str">
        <f t="shared" ref="Z664:Z695" si="244">IF(AND(A664=A663,Y664=_xlfn.MAXIFS($Y$600:$Y$743,LoadFactorSeasons,A664)),A664&amp;" Peak","")</f>
        <v/>
      </c>
    </row>
    <row r="665" spans="1:26" outlineLevel="1" x14ac:dyDescent="0.3">
      <c r="A665" t="s">
        <v>165</v>
      </c>
      <c r="B665" t="s">
        <v>81</v>
      </c>
      <c r="C665" s="6" t="s">
        <v>157</v>
      </c>
      <c r="D665" s="10">
        <v>0</v>
      </c>
      <c r="E665" s="10" cm="1">
        <f t="array" ref="E665">(INDEX(F$403:F$594,MATCH(1,($A665=$A$403:$A$594)*($B665=$B$403:$B$594)*("Weekday"=$D$403:$D$594),0))*Weekdays+INDEX(F$403:F$594,MATCH(1,($A665=$A$403:$A$594)*($B665=$B$403:$B$594)*("Weekend"=$D$403:$D$594),0))*WeekendDays)/DaysPerWeek</f>
        <v>2.7874221515960959E-4</v>
      </c>
      <c r="F665" s="10" cm="1">
        <f t="array" ref="F665">(INDEX(G$403:G$594,MATCH(1,($A665=$A$403:$A$594)*($B665=$B$403:$B$594)*("Weekday"=$D$403:$D$594),0))*Weekdays+INDEX(G$403:G$594,MATCH(1,($A665=$A$403:$A$594)*($B665=$B$403:$B$594)*("Weekend"=$D$403:$D$594),0))*WeekendDays)/DaysPerWeek</f>
        <v>0</v>
      </c>
      <c r="G665" s="10" cm="1">
        <f t="array" ref="G665">(INDEX(H$403:H$594,MATCH(1,($A665=$A$403:$A$594)*($B665=$B$403:$B$594)*("Weekday"=$D$403:$D$594),0))*Weekdays+INDEX(H$403:H$594,MATCH(1,($A665=$A$403:$A$594)*($B665=$B$403:$B$594)*("Weekend"=$D$403:$D$594),0))*WeekendDays)/DaysPerWeek</f>
        <v>1.1914690259476039E-4</v>
      </c>
      <c r="H665" s="10" cm="1">
        <f t="array" ref="H665">(INDEX(I$403:I$594,MATCH(1,($A665=$A$403:$A$594)*($B665=$B$403:$B$594)*("Weekday"=$D$403:$D$594),0))*Weekdays+INDEX(I$403:I$594,MATCH(1,($A665=$A$403:$A$594)*($B665=$B$403:$B$594)*("Weekend"=$D$403:$D$594),0))*WeekendDays)/DaysPerWeek</f>
        <v>1.1914690259476039E-4</v>
      </c>
      <c r="I665" s="10" cm="1">
        <f t="array" ref="I665">(INDEX(J$403:J$594,MATCH(1,($A665=$A$403:$A$594)*($B665=$B$403:$B$594)*("Weekday"=$D$403:$D$594),0))*Weekdays+INDEX(J$403:J$594,MATCH(1,($A665=$A$403:$A$594)*($B665=$B$403:$B$594)*("Weekend"=$D$403:$D$594),0))*WeekendDays)/DaysPerWeek</f>
        <v>1.1914690259476039E-4</v>
      </c>
      <c r="J665" s="10">
        <v>0</v>
      </c>
      <c r="K665" s="10" cm="1">
        <f t="array" ref="K665">(INDEX(L$403:L$594,MATCH(1,($A665=$A$403:$A$594)*($B665=$B$403:$B$594)*("Weekday"=$D$403:$D$594),0))*Weekdays+INDEX(L$403:L$594,MATCH(1,($A665=$A$403:$A$594)*($B665=$B$403:$B$594)*("Weekend"=$D$403:$D$594),0))*WeekendDays)/DaysPerWeek</f>
        <v>2.315889345777461E-4</v>
      </c>
      <c r="L665" s="10" cm="1">
        <f t="array" ref="L665">(INDEX(M$403:M$594,MATCH(1,($A665=$A$403:$A$594)*($B665=$B$403:$B$594)*("Weekday"=$D$403:$D$594),0))*Weekdays+INDEX(M$403:M$594,MATCH(1,($A665=$A$403:$A$594)*($B665=$B$403:$B$594)*("Weekend"=$D$403:$D$594),0))*WeekendDays)/DaysPerWeek</f>
        <v>0</v>
      </c>
      <c r="M665" s="10" cm="1">
        <f t="array" ref="M665">(INDEX(N$403:N$594,MATCH(1,($A665=$A$403:$A$594)*($B665=$B$403:$B$594)*("Weekday"=$D$403:$D$594),0))*Weekdays+INDEX(N$403:N$594,MATCH(1,($A665=$A$403:$A$594)*($B665=$B$403:$B$594)*("Weekend"=$D$403:$D$594),0))*WeekendDays)/DaysPerWeek</f>
        <v>1.1914690259476039E-4</v>
      </c>
      <c r="N665" s="10" cm="1">
        <f t="array" ref="N665">(INDEX(O$403:O$594,MATCH(1,($A665=$A$403:$A$594)*($B665=$B$403:$B$594)*("Weekday"=$D$403:$D$594),0))*Weekdays+INDEX(O$403:O$594,MATCH(1,($A665=$A$403:$A$594)*($B665=$B$403:$B$594)*("Weekend"=$D$403:$D$594),0))*WeekendDays)/DaysPerWeek</f>
        <v>1.1914690259476039E-4</v>
      </c>
      <c r="O665" s="10" cm="1">
        <f t="array" ref="O665">(INDEX(P$403:P$594,MATCH(1,($A665=$A$403:$A$594)*($B665=$B$403:$B$594)*("Weekday"=$D$403:$D$594),0))*Weekdays+INDEX(P$403:P$594,MATCH(1,($A665=$A$403:$A$594)*($B665=$B$403:$B$594)*("Weekend"=$D$403:$D$594),0))*WeekendDays)/DaysPerWeek</f>
        <v>1.1914690259476039E-4</v>
      </c>
      <c r="P665" s="10" cm="1">
        <f t="array" ref="P665">(INDEX(Q$403:Q$594,MATCH(1,($A665=$A$403:$A$594)*($B665=$B$403:$B$594)*("Weekday"=$D$403:$D$594),0))*Weekdays+INDEX(Q$403:Q$594,MATCH(1,($A665=$A$403:$A$594)*($B665=$B$403:$B$594)*("Weekend"=$D$403:$D$594),0))*WeekendDays)/DaysPerWeek</f>
        <v>1.4806800586572799E-4</v>
      </c>
      <c r="Q665" s="10" cm="1">
        <f t="array" ref="Q665">(INDEX(R$403:R$594,MATCH(1,($A665=$A$403:$A$594)*($B665=$B$403:$B$594)*("Weekday"=$D$403:$D$594),0))*Weekdays+INDEX(R$403:R$594,MATCH(1,($A665=$A$403:$A$594)*($B665=$B$403:$B$594)*("Weekend"=$D$403:$D$594),0))*WeekendDays)/DaysPerWeek</f>
        <v>1.4806800586572799E-4</v>
      </c>
      <c r="R665" s="10" cm="1">
        <f t="array" ref="R665">(INDEX(S$403:S$594,MATCH(1,($A665=$A$403:$A$594)*($B665=$B$403:$B$594)*("Weekday"=$D$403:$D$594),0))*Weekdays+INDEX(S$403:S$594,MATCH(1,($A665=$A$403:$A$594)*($B665=$B$403:$B$594)*("Weekend"=$D$403:$D$594),0))*WeekendDays)/DaysPerWeek</f>
        <v>1.4806800586572799E-4</v>
      </c>
      <c r="S665" s="10" cm="1">
        <f t="array" ref="S665">(INDEX(T$403:T$594,MATCH(1,($A665=$A$403:$A$594)*($B665=$B$403:$B$594)*("Weekday"=$D$403:$D$594),0))*Weekdays+INDEX(T$403:T$594,MATCH(1,($A665=$A$403:$A$594)*($B665=$B$403:$B$594)*("Weekend"=$D$403:$D$594),0))*WeekendDays)/DaysPerWeek</f>
        <v>1.4806800586572799E-4</v>
      </c>
      <c r="T665" s="10" cm="1">
        <f t="array" ref="T665">(INDEX(U$403:U$594,MATCH(1,($A665=$A$403:$A$594)*($B665=$B$403:$B$594)*("Weekday"=$D$403:$D$594),0))*Weekdays+INDEX(U$403:U$594,MATCH(1,($A665=$A$403:$A$594)*($B665=$B$403:$B$594)*("Weekend"=$D$403:$D$594),0))*WeekendDays)/DaysPerWeek</f>
        <v>1.4806800586572799E-4</v>
      </c>
      <c r="U665" s="10" cm="1">
        <f t="array" ref="U665">(INDEX(V$403:V$594,MATCH(1,($A665=$A$403:$A$594)*($B665=$B$403:$B$594)*("Weekday"=$D$403:$D$594),0))*Weekdays+INDEX(V$403:V$594,MATCH(1,($A665=$A$403:$A$594)*($B665=$B$403:$B$594)*("Weekend"=$D$403:$D$594),0))*WeekendDays)/DaysPerWeek</f>
        <v>1.4806800586572799E-4</v>
      </c>
      <c r="V665" s="10" cm="1">
        <f t="array" ref="V665">(INDEX(W$403:W$594,MATCH(1,($A665=$A$403:$A$594)*($B665=$B$403:$B$594)*("Weekday"=$D$403:$D$594),0))*Weekdays+INDEX(W$403:W$594,MATCH(1,($A665=$A$403:$A$594)*($B665=$B$403:$B$594)*("Weekend"=$D$403:$D$594),0))*WeekendDays)/DaysPerWeek</f>
        <v>1.1393056521346265E-4</v>
      </c>
      <c r="W665" s="10" cm="1">
        <f t="array" ref="W665">(INDEX(X$403:X$594,MATCH(1,($A665=$A$403:$A$594)*($B665=$B$403:$B$594)*("Weekday"=$D$403:$D$594),0))*Weekdays+INDEX(X$403:X$594,MATCH(1,($A665=$A$403:$A$594)*($B665=$B$403:$B$594)*("Weekend"=$D$403:$D$594),0))*WeekendDays)/DaysPerWeek</f>
        <v>1.1393056521346265E-4</v>
      </c>
      <c r="X665" s="10" cm="1">
        <f t="array" ref="X665">(INDEX(Y$403:Y$594,MATCH(1,($A665=$A$403:$A$594)*($B665=$B$403:$B$594)*("Weekday"=$D$403:$D$594),0))*Weekdays+INDEX(Y$403:Y$594,MATCH(1,($A665=$A$403:$A$594)*($B665=$B$403:$B$594)*("Weekend"=$D$403:$D$594),0))*WeekendDays)/DaysPerWeek</f>
        <v>1.1393056521346265E-4</v>
      </c>
      <c r="Y665" s="27">
        <f t="shared" ref="Y665:Y728" si="245">SUM(D665:X665)</f>
        <v>2.4554122961406737E-3</v>
      </c>
      <c r="Z665" s="32" t="str">
        <f t="shared" si="244"/>
        <v/>
      </c>
    </row>
    <row r="666" spans="1:26" outlineLevel="1" x14ac:dyDescent="0.3">
      <c r="A666" t="s">
        <v>165</v>
      </c>
      <c r="B666" t="s">
        <v>82</v>
      </c>
      <c r="C666" s="6" t="s">
        <v>158</v>
      </c>
      <c r="D666" s="10">
        <v>0</v>
      </c>
      <c r="E666" s="10" cm="1">
        <f t="array" ref="E666">(INDEX(F$403:F$594,MATCH(1,($A666=$A$403:$A$594)*($B666=$B$403:$B$594)*("Weekday"=$D$403:$D$594),0))*Weekdays+INDEX(F$403:F$594,MATCH(1,($A666=$A$403:$A$594)*($B666=$B$403:$B$594)*("Weekend"=$D$403:$D$594),0))*WeekendDays)/DaysPerWeek</f>
        <v>2.6318214861603727E-4</v>
      </c>
      <c r="F666" s="10" cm="1">
        <f t="array" ref="F666">(INDEX(G$403:G$594,MATCH(1,($A666=$A$403:$A$594)*($B666=$B$403:$B$594)*("Weekday"=$D$403:$D$594),0))*Weekdays+INDEX(G$403:G$594,MATCH(1,($A666=$A$403:$A$594)*($B666=$B$403:$B$594)*("Weekend"=$D$403:$D$594),0))*WeekendDays)/DaysPerWeek</f>
        <v>0</v>
      </c>
      <c r="G666" s="10" cm="1">
        <f t="array" ref="G666">(INDEX(H$403:H$594,MATCH(1,($A666=$A$403:$A$594)*($B666=$B$403:$B$594)*("Weekday"=$D$403:$D$594),0))*Weekdays+INDEX(H$403:H$594,MATCH(1,($A666=$A$403:$A$594)*($B666=$B$403:$B$594)*("Weekend"=$D$403:$D$594),0))*WeekendDays)/DaysPerWeek</f>
        <v>2.7573997457644548E-4</v>
      </c>
      <c r="H666" s="10" cm="1">
        <f t="array" ref="H666">(INDEX(I$403:I$594,MATCH(1,($A666=$A$403:$A$594)*($B666=$B$403:$B$594)*("Weekday"=$D$403:$D$594),0))*Weekdays+INDEX(I$403:I$594,MATCH(1,($A666=$A$403:$A$594)*($B666=$B$403:$B$594)*("Weekend"=$D$403:$D$594),0))*WeekendDays)/DaysPerWeek</f>
        <v>2.7573997457644548E-4</v>
      </c>
      <c r="I666" s="10" cm="1">
        <f t="array" ref="I666">(INDEX(J$403:J$594,MATCH(1,($A666=$A$403:$A$594)*($B666=$B$403:$B$594)*("Weekday"=$D$403:$D$594),0))*Weekdays+INDEX(J$403:J$594,MATCH(1,($A666=$A$403:$A$594)*($B666=$B$403:$B$594)*("Weekend"=$D$403:$D$594),0))*WeekendDays)/DaysPerWeek</f>
        <v>2.7573997457644548E-4</v>
      </c>
      <c r="J666" s="10">
        <v>0</v>
      </c>
      <c r="K666" s="10" cm="1">
        <f t="array" ref="K666">(INDEX(L$403:L$594,MATCH(1,($A666=$A$403:$A$594)*($B666=$B$403:$B$594)*("Weekday"=$D$403:$D$594),0))*Weekdays+INDEX(L$403:L$594,MATCH(1,($A666=$A$403:$A$594)*($B666=$B$403:$B$594)*("Weekend"=$D$403:$D$594),0))*WeekendDays)/DaysPerWeek</f>
        <v>2.1260067639860438E-4</v>
      </c>
      <c r="L666" s="10" cm="1">
        <f t="array" ref="L666">(INDEX(M$403:M$594,MATCH(1,($A666=$A$403:$A$594)*($B666=$B$403:$B$594)*("Weekday"=$D$403:$D$594),0))*Weekdays+INDEX(M$403:M$594,MATCH(1,($A666=$A$403:$A$594)*($B666=$B$403:$B$594)*("Weekend"=$D$403:$D$594),0))*WeekendDays)/DaysPerWeek</f>
        <v>0</v>
      </c>
      <c r="M666" s="10" cm="1">
        <f t="array" ref="M666">(INDEX(N$403:N$594,MATCH(1,($A666=$A$403:$A$594)*($B666=$B$403:$B$594)*("Weekday"=$D$403:$D$594),0))*Weekdays+INDEX(N$403:N$594,MATCH(1,($A666=$A$403:$A$594)*($B666=$B$403:$B$594)*("Weekend"=$D$403:$D$594),0))*WeekendDays)/DaysPerWeek</f>
        <v>2.7573997457644548E-4</v>
      </c>
      <c r="N666" s="10" cm="1">
        <f t="array" ref="N666">(INDEX(O$403:O$594,MATCH(1,($A666=$A$403:$A$594)*($B666=$B$403:$B$594)*("Weekday"=$D$403:$D$594),0))*Weekdays+INDEX(O$403:O$594,MATCH(1,($A666=$A$403:$A$594)*($B666=$B$403:$B$594)*("Weekend"=$D$403:$D$594),0))*WeekendDays)/DaysPerWeek</f>
        <v>2.7573997457644548E-4</v>
      </c>
      <c r="O666" s="10" cm="1">
        <f t="array" ref="O666">(INDEX(P$403:P$594,MATCH(1,($A666=$A$403:$A$594)*($B666=$B$403:$B$594)*("Weekday"=$D$403:$D$594),0))*Weekdays+INDEX(P$403:P$594,MATCH(1,($A666=$A$403:$A$594)*($B666=$B$403:$B$594)*("Weekend"=$D$403:$D$594),0))*WeekendDays)/DaysPerWeek</f>
        <v>2.7573997457644548E-4</v>
      </c>
      <c r="P666" s="10" cm="1">
        <f t="array" ref="P666">(INDEX(Q$403:Q$594,MATCH(1,($A666=$A$403:$A$594)*($B666=$B$403:$B$594)*("Weekday"=$D$403:$D$594),0))*Weekdays+INDEX(Q$403:Q$594,MATCH(1,($A666=$A$403:$A$594)*($B666=$B$403:$B$594)*("Weekend"=$D$403:$D$594),0))*WeekendDays)/DaysPerWeek</f>
        <v>1.3790191112337456E-4</v>
      </c>
      <c r="Q666" s="10" cm="1">
        <f t="array" ref="Q666">(INDEX(R$403:R$594,MATCH(1,($A666=$A$403:$A$594)*($B666=$B$403:$B$594)*("Weekday"=$D$403:$D$594),0))*Weekdays+INDEX(R$403:R$594,MATCH(1,($A666=$A$403:$A$594)*($B666=$B$403:$B$594)*("Weekend"=$D$403:$D$594),0))*WeekendDays)/DaysPerWeek</f>
        <v>1.3790191112337456E-4</v>
      </c>
      <c r="R666" s="10" cm="1">
        <f t="array" ref="R666">(INDEX(S$403:S$594,MATCH(1,($A666=$A$403:$A$594)*($B666=$B$403:$B$594)*("Weekday"=$D$403:$D$594),0))*Weekdays+INDEX(S$403:S$594,MATCH(1,($A666=$A$403:$A$594)*($B666=$B$403:$B$594)*("Weekend"=$D$403:$D$594),0))*WeekendDays)/DaysPerWeek</f>
        <v>1.3790191112337456E-4</v>
      </c>
      <c r="S666" s="10" cm="1">
        <f t="array" ref="S666">(INDEX(T$403:T$594,MATCH(1,($A666=$A$403:$A$594)*($B666=$B$403:$B$594)*("Weekday"=$D$403:$D$594),0))*Weekdays+INDEX(T$403:T$594,MATCH(1,($A666=$A$403:$A$594)*($B666=$B$403:$B$594)*("Weekend"=$D$403:$D$594),0))*WeekendDays)/DaysPerWeek</f>
        <v>1.3790191112337456E-4</v>
      </c>
      <c r="T666" s="10" cm="1">
        <f t="array" ref="T666">(INDEX(U$403:U$594,MATCH(1,($A666=$A$403:$A$594)*($B666=$B$403:$B$594)*("Weekday"=$D$403:$D$594),0))*Weekdays+INDEX(U$403:U$594,MATCH(1,($A666=$A$403:$A$594)*($B666=$B$403:$B$594)*("Weekend"=$D$403:$D$594),0))*WeekendDays)/DaysPerWeek</f>
        <v>1.3790191112337456E-4</v>
      </c>
      <c r="U666" s="10" cm="1">
        <f t="array" ref="U666">(INDEX(V$403:V$594,MATCH(1,($A666=$A$403:$A$594)*($B666=$B$403:$B$594)*("Weekday"=$D$403:$D$594),0))*Weekdays+INDEX(V$403:V$594,MATCH(1,($A666=$A$403:$A$594)*($B666=$B$403:$B$594)*("Weekend"=$D$403:$D$594),0))*WeekendDays)/DaysPerWeek</f>
        <v>1.3790191112337456E-4</v>
      </c>
      <c r="V666" s="10" cm="1">
        <f t="array" ref="V666">(INDEX(W$403:W$594,MATCH(1,($A666=$A$403:$A$594)*($B666=$B$403:$B$594)*("Weekday"=$D$403:$D$594),0))*Weekdays+INDEX(W$403:W$594,MATCH(1,($A666=$A$403:$A$594)*($B666=$B$403:$B$594)*("Weekend"=$D$403:$D$594),0))*WeekendDays)/DaysPerWeek</f>
        <v>1.1362836212271077E-4</v>
      </c>
      <c r="W666" s="10" cm="1">
        <f t="array" ref="W666">(INDEX(X$403:X$594,MATCH(1,($A666=$A$403:$A$594)*($B666=$B$403:$B$594)*("Weekday"=$D$403:$D$594),0))*Weekdays+INDEX(X$403:X$594,MATCH(1,($A666=$A$403:$A$594)*($B666=$B$403:$B$594)*("Weekend"=$D$403:$D$594),0))*WeekendDays)/DaysPerWeek</f>
        <v>1.1362836212271077E-4</v>
      </c>
      <c r="X666" s="10" cm="1">
        <f t="array" ref="X666">(INDEX(Y$403:Y$594,MATCH(1,($A666=$A$403:$A$594)*($B666=$B$403:$B$594)*("Weekday"=$D$403:$D$594),0))*Weekdays+INDEX(Y$403:Y$594,MATCH(1,($A666=$A$403:$A$594)*($B666=$B$403:$B$594)*("Weekend"=$D$403:$D$594),0))*WeekendDays)/DaysPerWeek</f>
        <v>1.1362836212271077E-4</v>
      </c>
      <c r="Y666" s="35">
        <f t="shared" si="245"/>
        <v>3.2985192255816933E-3</v>
      </c>
      <c r="Z666" s="32" t="str">
        <f t="shared" si="244"/>
        <v>Summer Peak</v>
      </c>
    </row>
    <row r="667" spans="1:26" outlineLevel="1" x14ac:dyDescent="0.3">
      <c r="A667" t="s">
        <v>165</v>
      </c>
      <c r="B667" t="s">
        <v>83</v>
      </c>
      <c r="C667" s="6" t="s">
        <v>159</v>
      </c>
      <c r="D667" s="10">
        <v>0</v>
      </c>
      <c r="E667" s="10" cm="1">
        <f t="array" ref="E667">(INDEX(F$403:F$594,MATCH(1,($A667=$A$403:$A$594)*($B667=$B$403:$B$594)*("Weekday"=$D$403:$D$594),0))*Weekdays+INDEX(F$403:F$594,MATCH(1,($A667=$A$403:$A$594)*($B667=$B$403:$B$594)*("Weekend"=$D$403:$D$594),0))*WeekendDays)/DaysPerWeek</f>
        <v>2.3542364610024079E-4</v>
      </c>
      <c r="F667" s="10" cm="1">
        <f t="array" ref="F667">(INDEX(G$403:G$594,MATCH(1,($A667=$A$403:$A$594)*($B667=$B$403:$B$594)*("Weekday"=$D$403:$D$594),0))*Weekdays+INDEX(G$403:G$594,MATCH(1,($A667=$A$403:$A$594)*($B667=$B$403:$B$594)*("Weekend"=$D$403:$D$594),0))*WeekendDays)/DaysPerWeek</f>
        <v>0</v>
      </c>
      <c r="G667" s="10" cm="1">
        <f t="array" ref="G667">(INDEX(H$403:H$594,MATCH(1,($A667=$A$403:$A$594)*($B667=$B$403:$B$594)*("Weekday"=$D$403:$D$594),0))*Weekdays+INDEX(H$403:H$594,MATCH(1,($A667=$A$403:$A$594)*($B667=$B$403:$B$594)*("Weekend"=$D$403:$D$594),0))*WeekendDays)/DaysPerWeek</f>
        <v>2.9394200867547012E-4</v>
      </c>
      <c r="H667" s="10" cm="1">
        <f t="array" ref="H667">(INDEX(I$403:I$594,MATCH(1,($A667=$A$403:$A$594)*($B667=$B$403:$B$594)*("Weekday"=$D$403:$D$594),0))*Weekdays+INDEX(I$403:I$594,MATCH(1,($A667=$A$403:$A$594)*($B667=$B$403:$B$594)*("Weekend"=$D$403:$D$594),0))*WeekendDays)/DaysPerWeek</f>
        <v>2.9394200867547012E-4</v>
      </c>
      <c r="I667" s="10" cm="1">
        <f t="array" ref="I667">(INDEX(J$403:J$594,MATCH(1,($A667=$A$403:$A$594)*($B667=$B$403:$B$594)*("Weekday"=$D$403:$D$594),0))*Weekdays+INDEX(J$403:J$594,MATCH(1,($A667=$A$403:$A$594)*($B667=$B$403:$B$594)*("Weekend"=$D$403:$D$594),0))*WeekendDays)/DaysPerWeek</f>
        <v>2.9394200867547012E-4</v>
      </c>
      <c r="J667" s="10">
        <v>0</v>
      </c>
      <c r="K667" s="10" cm="1">
        <f t="array" ref="K667">(INDEX(L$403:L$594,MATCH(1,($A667=$A$403:$A$594)*($B667=$B$403:$B$594)*("Weekday"=$D$403:$D$594),0))*Weekdays+INDEX(L$403:L$594,MATCH(1,($A667=$A$403:$A$594)*($B667=$B$403:$B$594)*("Weekend"=$D$403:$D$594),0))*WeekendDays)/DaysPerWeek</f>
        <v>1.8971304377196036E-4</v>
      </c>
      <c r="L667" s="10" cm="1">
        <f t="array" ref="L667">(INDEX(M$403:M$594,MATCH(1,($A667=$A$403:$A$594)*($B667=$B$403:$B$594)*("Weekday"=$D$403:$D$594),0))*Weekdays+INDEX(M$403:M$594,MATCH(1,($A667=$A$403:$A$594)*($B667=$B$403:$B$594)*("Weekend"=$D$403:$D$594),0))*WeekendDays)/DaysPerWeek</f>
        <v>0</v>
      </c>
      <c r="M667" s="10" cm="1">
        <f t="array" ref="M667">(INDEX(N$403:N$594,MATCH(1,($A667=$A$403:$A$594)*($B667=$B$403:$B$594)*("Weekday"=$D$403:$D$594),0))*Weekdays+INDEX(N$403:N$594,MATCH(1,($A667=$A$403:$A$594)*($B667=$B$403:$B$594)*("Weekend"=$D$403:$D$594),0))*WeekendDays)/DaysPerWeek</f>
        <v>2.9394200867547012E-4</v>
      </c>
      <c r="N667" s="10" cm="1">
        <f t="array" ref="N667">(INDEX(O$403:O$594,MATCH(1,($A667=$A$403:$A$594)*($B667=$B$403:$B$594)*("Weekday"=$D$403:$D$594),0))*Weekdays+INDEX(O$403:O$594,MATCH(1,($A667=$A$403:$A$594)*($B667=$B$403:$B$594)*("Weekend"=$D$403:$D$594),0))*WeekendDays)/DaysPerWeek</f>
        <v>2.9394200867547012E-4</v>
      </c>
      <c r="O667" s="10" cm="1">
        <f t="array" ref="O667">(INDEX(P$403:P$594,MATCH(1,($A667=$A$403:$A$594)*($B667=$B$403:$B$594)*("Weekday"=$D$403:$D$594),0))*Weekdays+INDEX(P$403:P$594,MATCH(1,($A667=$A$403:$A$594)*($B667=$B$403:$B$594)*("Weekend"=$D$403:$D$594),0))*WeekendDays)/DaysPerWeek</f>
        <v>2.9394200867547012E-4</v>
      </c>
      <c r="P667" s="10" cm="1">
        <f t="array" ref="P667">(INDEX(Q$403:Q$594,MATCH(1,($A667=$A$403:$A$594)*($B667=$B$403:$B$594)*("Weekday"=$D$403:$D$594),0))*Weekdays+INDEX(Q$403:Q$594,MATCH(1,($A667=$A$403:$A$594)*($B667=$B$403:$B$594)*("Weekend"=$D$403:$D$594),0))*WeekendDays)/DaysPerWeek</f>
        <v>1.2098428781167189E-4</v>
      </c>
      <c r="Q667" s="10" cm="1">
        <f t="array" ref="Q667">(INDEX(R$403:R$594,MATCH(1,($A667=$A$403:$A$594)*($B667=$B$403:$B$594)*("Weekday"=$D$403:$D$594),0))*Weekdays+INDEX(R$403:R$594,MATCH(1,($A667=$A$403:$A$594)*($B667=$B$403:$B$594)*("Weekend"=$D$403:$D$594),0))*WeekendDays)/DaysPerWeek</f>
        <v>1.2098428781167189E-4</v>
      </c>
      <c r="R667" s="10" cm="1">
        <f t="array" ref="R667">(INDEX(S$403:S$594,MATCH(1,($A667=$A$403:$A$594)*($B667=$B$403:$B$594)*("Weekday"=$D$403:$D$594),0))*Weekdays+INDEX(S$403:S$594,MATCH(1,($A667=$A$403:$A$594)*($B667=$B$403:$B$594)*("Weekend"=$D$403:$D$594),0))*WeekendDays)/DaysPerWeek</f>
        <v>1.2098428781167189E-4</v>
      </c>
      <c r="S667" s="10" cm="1">
        <f t="array" ref="S667">(INDEX(T$403:T$594,MATCH(1,($A667=$A$403:$A$594)*($B667=$B$403:$B$594)*("Weekday"=$D$403:$D$594),0))*Weekdays+INDEX(T$403:T$594,MATCH(1,($A667=$A$403:$A$594)*($B667=$B$403:$B$594)*("Weekend"=$D$403:$D$594),0))*WeekendDays)/DaysPerWeek</f>
        <v>1.2098428781167189E-4</v>
      </c>
      <c r="T667" s="10" cm="1">
        <f t="array" ref="T667">(INDEX(U$403:U$594,MATCH(1,($A667=$A$403:$A$594)*($B667=$B$403:$B$594)*("Weekday"=$D$403:$D$594),0))*Weekdays+INDEX(U$403:U$594,MATCH(1,($A667=$A$403:$A$594)*($B667=$B$403:$B$594)*("Weekend"=$D$403:$D$594),0))*WeekendDays)/DaysPerWeek</f>
        <v>1.2098428781167189E-4</v>
      </c>
      <c r="U667" s="10" cm="1">
        <f t="array" ref="U667">(INDEX(V$403:V$594,MATCH(1,($A667=$A$403:$A$594)*($B667=$B$403:$B$594)*("Weekday"=$D$403:$D$594),0))*Weekdays+INDEX(V$403:V$594,MATCH(1,($A667=$A$403:$A$594)*($B667=$B$403:$B$594)*("Weekend"=$D$403:$D$594),0))*WeekendDays)/DaysPerWeek</f>
        <v>1.2098428781167189E-4</v>
      </c>
      <c r="V667" s="10" cm="1">
        <f t="array" ref="V667">(INDEX(W$403:W$594,MATCH(1,($A667=$A$403:$A$594)*($B667=$B$403:$B$594)*("Weekday"=$D$403:$D$594),0))*Weekdays+INDEX(W$403:W$594,MATCH(1,($A667=$A$403:$A$594)*($B667=$B$403:$B$594)*("Weekend"=$D$403:$D$594),0))*WeekendDays)/DaysPerWeek</f>
        <v>1.132506082592709E-4</v>
      </c>
      <c r="W667" s="10" cm="1">
        <f t="array" ref="W667">(INDEX(X$403:X$594,MATCH(1,($A667=$A$403:$A$594)*($B667=$B$403:$B$594)*("Weekday"=$D$403:$D$594),0))*Weekdays+INDEX(X$403:X$594,MATCH(1,($A667=$A$403:$A$594)*($B667=$B$403:$B$594)*("Weekend"=$D$403:$D$594),0))*WeekendDays)/DaysPerWeek</f>
        <v>1.132506082592709E-4</v>
      </c>
      <c r="X667" s="10" cm="1">
        <f t="array" ref="X667">(INDEX(Y$403:Y$594,MATCH(1,($A667=$A$403:$A$594)*($B667=$B$403:$B$594)*("Weekday"=$D$403:$D$594),0))*Weekdays+INDEX(Y$403:Y$594,MATCH(1,($A667=$A$403:$A$594)*($B667=$B$403:$B$594)*("Weekend"=$D$403:$D$594),0))*WeekendDays)/DaysPerWeek</f>
        <v>1.132506082592709E-4</v>
      </c>
      <c r="Y667" s="27">
        <f t="shared" si="245"/>
        <v>3.2544462935728651E-3</v>
      </c>
      <c r="Z667" s="32" t="str">
        <f t="shared" si="244"/>
        <v/>
      </c>
    </row>
    <row r="668" spans="1:26" outlineLevel="1" x14ac:dyDescent="0.3">
      <c r="A668" t="s">
        <v>165</v>
      </c>
      <c r="B668" t="s">
        <v>84</v>
      </c>
      <c r="C668" s="6" t="s">
        <v>160</v>
      </c>
      <c r="D668" s="10">
        <v>0</v>
      </c>
      <c r="E668" s="10" cm="1">
        <f t="array" ref="E668">(INDEX(F$403:F$594,MATCH(1,($A668=$A$403:$A$594)*($B668=$B$403:$B$594)*("Weekday"=$D$403:$D$594),0))*Weekdays+INDEX(F$403:F$594,MATCH(1,($A668=$A$403:$A$594)*($B668=$B$403:$B$594)*("Weekend"=$D$403:$D$594),0))*WeekendDays)/DaysPerWeek</f>
        <v>2.0123615389195179E-4</v>
      </c>
      <c r="F668" s="10" cm="1">
        <f t="array" ref="F668">(INDEX(G$403:G$594,MATCH(1,($A668=$A$403:$A$594)*($B668=$B$403:$B$594)*("Weekday"=$D$403:$D$594),0))*Weekdays+INDEX(G$403:G$594,MATCH(1,($A668=$A$403:$A$594)*($B668=$B$403:$B$594)*("Weekend"=$D$403:$D$594),0))*WeekendDays)/DaysPerWeek</f>
        <v>0</v>
      </c>
      <c r="G668" s="10" cm="1">
        <f t="array" ref="G668">(INDEX(H$403:H$594,MATCH(1,($A668=$A$403:$A$594)*($B668=$B$403:$B$594)*("Weekday"=$D$403:$D$594),0))*Weekdays+INDEX(H$403:H$594,MATCH(1,($A668=$A$403:$A$594)*($B668=$B$403:$B$594)*("Weekend"=$D$403:$D$594),0))*WeekendDays)/DaysPerWeek</f>
        <v>2.9644305152877118E-4</v>
      </c>
      <c r="H668" s="10" cm="1">
        <f t="array" ref="H668">(INDEX(I$403:I$594,MATCH(1,($A668=$A$403:$A$594)*($B668=$B$403:$B$594)*("Weekday"=$D$403:$D$594),0))*Weekdays+INDEX(I$403:I$594,MATCH(1,($A668=$A$403:$A$594)*($B668=$B$403:$B$594)*("Weekend"=$D$403:$D$594),0))*WeekendDays)/DaysPerWeek</f>
        <v>2.9644305152877118E-4</v>
      </c>
      <c r="I668" s="10" cm="1">
        <f t="array" ref="I668">(INDEX(J$403:J$594,MATCH(1,($A668=$A$403:$A$594)*($B668=$B$403:$B$594)*("Weekday"=$D$403:$D$594),0))*Weekdays+INDEX(J$403:J$594,MATCH(1,($A668=$A$403:$A$594)*($B668=$B$403:$B$594)*("Weekend"=$D$403:$D$594),0))*WeekendDays)/DaysPerWeek</f>
        <v>2.9644305152877118E-4</v>
      </c>
      <c r="J668" s="10">
        <v>0</v>
      </c>
      <c r="K668" s="10" cm="1">
        <f t="array" ref="K668">(INDEX(L$403:L$594,MATCH(1,($A668=$A$403:$A$594)*($B668=$B$403:$B$594)*("Weekday"=$D$403:$D$594),0))*Weekdays+INDEX(L$403:L$594,MATCH(1,($A668=$A$403:$A$594)*($B668=$B$403:$B$594)*("Weekend"=$D$403:$D$594),0))*WeekendDays)/DaysPerWeek</f>
        <v>1.6853722805086892E-4</v>
      </c>
      <c r="L668" s="10" cm="1">
        <f t="array" ref="L668">(INDEX(M$403:M$594,MATCH(1,($A668=$A$403:$A$594)*($B668=$B$403:$B$594)*("Weekday"=$D$403:$D$594),0))*Weekdays+INDEX(M$403:M$594,MATCH(1,($A668=$A$403:$A$594)*($B668=$B$403:$B$594)*("Weekend"=$D$403:$D$594),0))*WeekendDays)/DaysPerWeek</f>
        <v>0</v>
      </c>
      <c r="M668" s="10" cm="1">
        <f t="array" ref="M668">(INDEX(N$403:N$594,MATCH(1,($A668=$A$403:$A$594)*($B668=$B$403:$B$594)*("Weekday"=$D$403:$D$594),0))*Weekdays+INDEX(N$403:N$594,MATCH(1,($A668=$A$403:$A$594)*($B668=$B$403:$B$594)*("Weekend"=$D$403:$D$594),0))*WeekendDays)/DaysPerWeek</f>
        <v>2.9644305152877118E-4</v>
      </c>
      <c r="N668" s="10" cm="1">
        <f t="array" ref="N668">(INDEX(O$403:O$594,MATCH(1,($A668=$A$403:$A$594)*($B668=$B$403:$B$594)*("Weekday"=$D$403:$D$594),0))*Weekdays+INDEX(O$403:O$594,MATCH(1,($A668=$A$403:$A$594)*($B668=$B$403:$B$594)*("Weekend"=$D$403:$D$594),0))*WeekendDays)/DaysPerWeek</f>
        <v>2.9644305152877118E-4</v>
      </c>
      <c r="O668" s="10" cm="1">
        <f t="array" ref="O668">(INDEX(P$403:P$594,MATCH(1,($A668=$A$403:$A$594)*($B668=$B$403:$B$594)*("Weekday"=$D$403:$D$594),0))*Weekdays+INDEX(P$403:P$594,MATCH(1,($A668=$A$403:$A$594)*($B668=$B$403:$B$594)*("Weekend"=$D$403:$D$594),0))*WeekendDays)/DaysPerWeek</f>
        <v>2.9644305152877118E-4</v>
      </c>
      <c r="P668" s="10" cm="1">
        <f t="array" ref="P668">(INDEX(Q$403:Q$594,MATCH(1,($A668=$A$403:$A$594)*($B668=$B$403:$B$594)*("Weekday"=$D$403:$D$594),0))*Weekdays+INDEX(Q$403:Q$594,MATCH(1,($A668=$A$403:$A$594)*($B668=$B$403:$B$594)*("Weekend"=$D$403:$D$594),0))*WeekendDays)/DaysPerWeek</f>
        <v>1.196650236084657E-4</v>
      </c>
      <c r="Q668" s="10" cm="1">
        <f t="array" ref="Q668">(INDEX(R$403:R$594,MATCH(1,($A668=$A$403:$A$594)*($B668=$B$403:$B$594)*("Weekday"=$D$403:$D$594),0))*Weekdays+INDEX(R$403:R$594,MATCH(1,($A668=$A$403:$A$594)*($B668=$B$403:$B$594)*("Weekend"=$D$403:$D$594),0))*WeekendDays)/DaysPerWeek</f>
        <v>1.196650236084657E-4</v>
      </c>
      <c r="R668" s="10" cm="1">
        <f t="array" ref="R668">(INDEX(S$403:S$594,MATCH(1,($A668=$A$403:$A$594)*($B668=$B$403:$B$594)*("Weekday"=$D$403:$D$594),0))*Weekdays+INDEX(S$403:S$594,MATCH(1,($A668=$A$403:$A$594)*($B668=$B$403:$B$594)*("Weekend"=$D$403:$D$594),0))*WeekendDays)/DaysPerWeek</f>
        <v>1.196650236084657E-4</v>
      </c>
      <c r="S668" s="10" cm="1">
        <f t="array" ref="S668">(INDEX(T$403:T$594,MATCH(1,($A668=$A$403:$A$594)*($B668=$B$403:$B$594)*("Weekday"=$D$403:$D$594),0))*Weekdays+INDEX(T$403:T$594,MATCH(1,($A668=$A$403:$A$594)*($B668=$B$403:$B$594)*("Weekend"=$D$403:$D$594),0))*WeekendDays)/DaysPerWeek</f>
        <v>1.196650236084657E-4</v>
      </c>
      <c r="T668" s="10" cm="1">
        <f t="array" ref="T668">(INDEX(U$403:U$594,MATCH(1,($A668=$A$403:$A$594)*($B668=$B$403:$B$594)*("Weekday"=$D$403:$D$594),0))*Weekdays+INDEX(U$403:U$594,MATCH(1,($A668=$A$403:$A$594)*($B668=$B$403:$B$594)*("Weekend"=$D$403:$D$594),0))*WeekendDays)/DaysPerWeek</f>
        <v>1.196650236084657E-4</v>
      </c>
      <c r="U668" s="10" cm="1">
        <f t="array" ref="U668">(INDEX(V$403:V$594,MATCH(1,($A668=$A$403:$A$594)*($B668=$B$403:$B$594)*("Weekday"=$D$403:$D$594),0))*Weekdays+INDEX(V$403:V$594,MATCH(1,($A668=$A$403:$A$594)*($B668=$B$403:$B$594)*("Weekend"=$D$403:$D$594),0))*WeekendDays)/DaysPerWeek</f>
        <v>1.196650236084657E-4</v>
      </c>
      <c r="V668" s="10" cm="1">
        <f t="array" ref="V668">(INDEX(W$403:W$594,MATCH(1,($A668=$A$403:$A$594)*($B668=$B$403:$B$594)*("Weekday"=$D$403:$D$594),0))*Weekdays+INDEX(W$403:W$594,MATCH(1,($A668=$A$403:$A$594)*($B668=$B$403:$B$594)*("Weekend"=$D$403:$D$594),0))*WeekendDays)/DaysPerWeek</f>
        <v>1.1294840516851902E-4</v>
      </c>
      <c r="W668" s="10" cm="1">
        <f t="array" ref="W668">(INDEX(X$403:X$594,MATCH(1,($A668=$A$403:$A$594)*($B668=$B$403:$B$594)*("Weekday"=$D$403:$D$594),0))*Weekdays+INDEX(X$403:X$594,MATCH(1,($A668=$A$403:$A$594)*($B668=$B$403:$B$594)*("Weekend"=$D$403:$D$594),0))*WeekendDays)/DaysPerWeek</f>
        <v>1.1294840516851902E-4</v>
      </c>
      <c r="X668" s="10" cm="1">
        <f t="array" ref="X668">(INDEX(Y$403:Y$594,MATCH(1,($A668=$A$403:$A$594)*($B668=$B$403:$B$594)*("Weekday"=$D$403:$D$594),0))*Weekdays+INDEX(Y$403:Y$594,MATCH(1,($A668=$A$403:$A$594)*($B668=$B$403:$B$594)*("Weekend"=$D$403:$D$594),0))*WeekendDays)/DaysPerWeek</f>
        <v>1.1294840516851902E-4</v>
      </c>
      <c r="Y668" s="27">
        <f t="shared" si="245"/>
        <v>3.2052670482717979E-3</v>
      </c>
      <c r="Z668" s="32" t="str">
        <f t="shared" si="244"/>
        <v/>
      </c>
    </row>
    <row r="669" spans="1:26" outlineLevel="1" x14ac:dyDescent="0.3">
      <c r="A669" t="s">
        <v>165</v>
      </c>
      <c r="B669" t="s">
        <v>85</v>
      </c>
      <c r="C669" s="6" t="s">
        <v>161</v>
      </c>
      <c r="D669" s="10">
        <v>0</v>
      </c>
      <c r="E669" s="10" cm="1">
        <f t="array" ref="E669">(INDEX(F$403:F$594,MATCH(1,($A669=$A$403:$A$594)*($B669=$B$403:$B$594)*("Weekday"=$D$403:$D$594),0))*Weekdays+INDEX(F$403:F$594,MATCH(1,($A669=$A$403:$A$594)*($B669=$B$403:$B$594)*("Weekend"=$D$403:$D$594),0))*WeekendDays)/DaysPerWeek</f>
        <v>1.6621739935225913E-4</v>
      </c>
      <c r="F669" s="10" cm="1">
        <f t="array" ref="F669">(INDEX(G$403:G$594,MATCH(1,($A669=$A$403:$A$594)*($B669=$B$403:$B$594)*("Weekday"=$D$403:$D$594),0))*Weekdays+INDEX(G$403:G$594,MATCH(1,($A669=$A$403:$A$594)*($B669=$B$403:$B$594)*("Weekend"=$D$403:$D$594),0))*WeekendDays)/DaysPerWeek</f>
        <v>0</v>
      </c>
      <c r="G669" s="10" cm="1">
        <f t="array" ref="G669">(INDEX(H$403:H$594,MATCH(1,($A669=$A$403:$A$594)*($B669=$B$403:$B$594)*("Weekday"=$D$403:$D$594),0))*Weekdays+INDEX(H$403:H$594,MATCH(1,($A669=$A$403:$A$594)*($B669=$B$403:$B$594)*("Weekend"=$D$403:$D$594),0))*WeekendDays)/DaysPerWeek</f>
        <v>2.4357378454648975E-4</v>
      </c>
      <c r="H669" s="10" cm="1">
        <f t="array" ref="H669">(INDEX(I$403:I$594,MATCH(1,($A669=$A$403:$A$594)*($B669=$B$403:$B$594)*("Weekday"=$D$403:$D$594),0))*Weekdays+INDEX(I$403:I$594,MATCH(1,($A669=$A$403:$A$594)*($B669=$B$403:$B$594)*("Weekend"=$D$403:$D$594),0))*WeekendDays)/DaysPerWeek</f>
        <v>2.4357378454648975E-4</v>
      </c>
      <c r="I669" s="10" cm="1">
        <f t="array" ref="I669">(INDEX(J$403:J$594,MATCH(1,($A669=$A$403:$A$594)*($B669=$B$403:$B$594)*("Weekday"=$D$403:$D$594),0))*Weekdays+INDEX(J$403:J$594,MATCH(1,($A669=$A$403:$A$594)*($B669=$B$403:$B$594)*("Weekend"=$D$403:$D$594),0))*WeekendDays)/DaysPerWeek</f>
        <v>2.4357378454648975E-4</v>
      </c>
      <c r="J669" s="10">
        <v>0</v>
      </c>
      <c r="K669" s="10" cm="1">
        <f t="array" ref="K669">(INDEX(L$403:L$594,MATCH(1,($A669=$A$403:$A$594)*($B669=$B$403:$B$594)*("Weekday"=$D$403:$D$594),0))*Weekdays+INDEX(L$403:L$594,MATCH(1,($A669=$A$403:$A$594)*($B669=$B$403:$B$594)*("Weekend"=$D$403:$D$594),0))*WeekendDays)/DaysPerWeek</f>
        <v>1.496510927931271E-4</v>
      </c>
      <c r="L669" s="10" cm="1">
        <f t="array" ref="L669">(INDEX(M$403:M$594,MATCH(1,($A669=$A$403:$A$594)*($B669=$B$403:$B$594)*("Weekday"=$D$403:$D$594),0))*Weekdays+INDEX(M$403:M$594,MATCH(1,($A669=$A$403:$A$594)*($B669=$B$403:$B$594)*("Weekend"=$D$403:$D$594),0))*WeekendDays)/DaysPerWeek</f>
        <v>0</v>
      </c>
      <c r="M669" s="10" cm="1">
        <f t="array" ref="M669">(INDEX(N$403:N$594,MATCH(1,($A669=$A$403:$A$594)*($B669=$B$403:$B$594)*("Weekday"=$D$403:$D$594),0))*Weekdays+INDEX(N$403:N$594,MATCH(1,($A669=$A$403:$A$594)*($B669=$B$403:$B$594)*("Weekend"=$D$403:$D$594),0))*WeekendDays)/DaysPerWeek</f>
        <v>2.4357378454648975E-4</v>
      </c>
      <c r="N669" s="10" cm="1">
        <f t="array" ref="N669">(INDEX(O$403:O$594,MATCH(1,($A669=$A$403:$A$594)*($B669=$B$403:$B$594)*("Weekday"=$D$403:$D$594),0))*Weekdays+INDEX(O$403:O$594,MATCH(1,($A669=$A$403:$A$594)*($B669=$B$403:$B$594)*("Weekend"=$D$403:$D$594),0))*WeekendDays)/DaysPerWeek</f>
        <v>2.4357378454648975E-4</v>
      </c>
      <c r="O669" s="10" cm="1">
        <f t="array" ref="O669">(INDEX(P$403:P$594,MATCH(1,($A669=$A$403:$A$594)*($B669=$B$403:$B$594)*("Weekday"=$D$403:$D$594),0))*Weekdays+INDEX(P$403:P$594,MATCH(1,($A669=$A$403:$A$594)*($B669=$B$403:$B$594)*("Weekend"=$D$403:$D$594),0))*WeekendDays)/DaysPerWeek</f>
        <v>2.4357378454648975E-4</v>
      </c>
      <c r="P669" s="10" cm="1">
        <f t="array" ref="P669">(INDEX(Q$403:Q$594,MATCH(1,($A669=$A$403:$A$594)*($B669=$B$403:$B$594)*("Weekday"=$D$403:$D$594),0))*Weekdays+INDEX(Q$403:Q$594,MATCH(1,($A669=$A$403:$A$594)*($B669=$B$403:$B$594)*("Weekend"=$D$403:$D$594),0))*WeekendDays)/DaysPerWeek</f>
        <v>1.186561745118963E-4</v>
      </c>
      <c r="Q669" s="10" cm="1">
        <f t="array" ref="Q669">(INDEX(R$403:R$594,MATCH(1,($A669=$A$403:$A$594)*($B669=$B$403:$B$594)*("Weekday"=$D$403:$D$594),0))*Weekdays+INDEX(R$403:R$594,MATCH(1,($A669=$A$403:$A$594)*($B669=$B$403:$B$594)*("Weekend"=$D$403:$D$594),0))*WeekendDays)/DaysPerWeek</f>
        <v>1.186561745118963E-4</v>
      </c>
      <c r="R669" s="10" cm="1">
        <f t="array" ref="R669">(INDEX(S$403:S$594,MATCH(1,($A669=$A$403:$A$594)*($B669=$B$403:$B$594)*("Weekday"=$D$403:$D$594),0))*Weekdays+INDEX(S$403:S$594,MATCH(1,($A669=$A$403:$A$594)*($B669=$B$403:$B$594)*("Weekend"=$D$403:$D$594),0))*WeekendDays)/DaysPerWeek</f>
        <v>1.186561745118963E-4</v>
      </c>
      <c r="S669" s="10" cm="1">
        <f t="array" ref="S669">(INDEX(T$403:T$594,MATCH(1,($A669=$A$403:$A$594)*($B669=$B$403:$B$594)*("Weekday"=$D$403:$D$594),0))*Weekdays+INDEX(T$403:T$594,MATCH(1,($A669=$A$403:$A$594)*($B669=$B$403:$B$594)*("Weekend"=$D$403:$D$594),0))*WeekendDays)/DaysPerWeek</f>
        <v>1.186561745118963E-4</v>
      </c>
      <c r="T669" s="10" cm="1">
        <f t="array" ref="T669">(INDEX(U$403:U$594,MATCH(1,($A669=$A$403:$A$594)*($B669=$B$403:$B$594)*("Weekday"=$D$403:$D$594),0))*Weekdays+INDEX(U$403:U$594,MATCH(1,($A669=$A$403:$A$594)*($B669=$B$403:$B$594)*("Weekend"=$D$403:$D$594),0))*WeekendDays)/DaysPerWeek</f>
        <v>1.186561745118963E-4</v>
      </c>
      <c r="U669" s="10" cm="1">
        <f t="array" ref="U669">(INDEX(V$403:V$594,MATCH(1,($A669=$A$403:$A$594)*($B669=$B$403:$B$594)*("Weekday"=$D$403:$D$594),0))*Weekdays+INDEX(V$403:V$594,MATCH(1,($A669=$A$403:$A$594)*($B669=$B$403:$B$594)*("Weekend"=$D$403:$D$594),0))*WeekendDays)/DaysPerWeek</f>
        <v>1.186561745118963E-4</v>
      </c>
      <c r="V669" s="10" cm="1">
        <f t="array" ref="V669">(INDEX(W$403:W$594,MATCH(1,($A669=$A$403:$A$594)*($B669=$B$403:$B$594)*("Weekday"=$D$403:$D$594),0))*Weekdays+INDEX(W$403:W$594,MATCH(1,($A669=$A$403:$A$594)*($B669=$B$403:$B$594)*("Weekend"=$D$403:$D$594),0))*WeekendDays)/DaysPerWeek</f>
        <v>1.1234399898701524E-4</v>
      </c>
      <c r="W669" s="10" cm="1">
        <f t="array" ref="W669">(INDEX(X$403:X$594,MATCH(1,($A669=$A$403:$A$594)*($B669=$B$403:$B$594)*("Weekday"=$D$403:$D$594),0))*Weekdays+INDEX(X$403:X$594,MATCH(1,($A669=$A$403:$A$594)*($B669=$B$403:$B$594)*("Weekend"=$D$403:$D$594),0))*WeekendDays)/DaysPerWeek</f>
        <v>1.1234399898701524E-4</v>
      </c>
      <c r="X669" s="10" cm="1">
        <f t="array" ref="X669">(INDEX(Y$403:Y$594,MATCH(1,($A669=$A$403:$A$594)*($B669=$B$403:$B$594)*("Weekday"=$D$403:$D$594),0))*Weekdays+INDEX(Y$403:Y$594,MATCH(1,($A669=$A$403:$A$594)*($B669=$B$403:$B$594)*("Weekend"=$D$403:$D$594),0))*WeekendDays)/DaysPerWeek</f>
        <v>1.1234399898701524E-4</v>
      </c>
      <c r="Y669" s="27">
        <f t="shared" si="245"/>
        <v>2.8262802434567474E-3</v>
      </c>
      <c r="Z669" s="32" t="str">
        <f t="shared" si="244"/>
        <v/>
      </c>
    </row>
    <row r="670" spans="1:26" outlineLevel="1" x14ac:dyDescent="0.3">
      <c r="A670" t="s">
        <v>165</v>
      </c>
      <c r="B670" t="s">
        <v>86</v>
      </c>
      <c r="C670" s="6" t="s">
        <v>162</v>
      </c>
      <c r="D670" s="10">
        <v>0</v>
      </c>
      <c r="E670" s="10" cm="1">
        <f t="array" ref="E670">(INDEX(F$403:F$594,MATCH(1,($A670=$A$403:$A$594)*($B670=$B$403:$B$594)*("Weekday"=$D$403:$D$594),0))*Weekdays+INDEX(F$403:F$594,MATCH(1,($A670=$A$403:$A$594)*($B670=$B$403:$B$594)*("Weekend"=$D$403:$D$594),0))*WeekendDays)/DaysPerWeek</f>
        <v>1.3407807483115439E-4</v>
      </c>
      <c r="F670" s="10" cm="1">
        <f t="array" ref="F670">(INDEX(G$403:G$594,MATCH(1,($A670=$A$403:$A$594)*($B670=$B$403:$B$594)*("Weekday"=$D$403:$D$594),0))*Weekdays+INDEX(G$403:G$594,MATCH(1,($A670=$A$403:$A$594)*($B670=$B$403:$B$594)*("Weekend"=$D$403:$D$594),0))*WeekendDays)/DaysPerWeek</f>
        <v>0</v>
      </c>
      <c r="G670" s="10" cm="1">
        <f t="array" ref="G670">(INDEX(H$403:H$594,MATCH(1,($A670=$A$403:$A$594)*($B670=$B$403:$B$594)*("Weekday"=$D$403:$D$594),0))*Weekdays+INDEX(H$403:H$594,MATCH(1,($A670=$A$403:$A$594)*($B670=$B$403:$B$594)*("Weekend"=$D$403:$D$594),0))*WeekendDays)/DaysPerWeek</f>
        <v>1.4908994342178179E-4</v>
      </c>
      <c r="H670" s="10" cm="1">
        <f t="array" ref="H670">(INDEX(I$403:I$594,MATCH(1,($A670=$A$403:$A$594)*($B670=$B$403:$B$594)*("Weekday"=$D$403:$D$594),0))*Weekdays+INDEX(I$403:I$594,MATCH(1,($A670=$A$403:$A$594)*($B670=$B$403:$B$594)*("Weekend"=$D$403:$D$594),0))*WeekendDays)/DaysPerWeek</f>
        <v>1.4908994342178179E-4</v>
      </c>
      <c r="I670" s="10" cm="1">
        <f t="array" ref="I670">(INDEX(J$403:J$594,MATCH(1,($A670=$A$403:$A$594)*($B670=$B$403:$B$594)*("Weekday"=$D$403:$D$594),0))*Weekdays+INDEX(J$403:J$594,MATCH(1,($A670=$A$403:$A$594)*($B670=$B$403:$B$594)*("Weekend"=$D$403:$D$594),0))*WeekendDays)/DaysPerWeek</f>
        <v>1.4908994342178179E-4</v>
      </c>
      <c r="J670" s="10">
        <v>0</v>
      </c>
      <c r="K670" s="10" cm="1">
        <f t="array" ref="K670">(INDEX(L$403:L$594,MATCH(1,($A670=$A$403:$A$594)*($B670=$B$403:$B$594)*("Weekday"=$D$403:$D$594),0))*Weekdays+INDEX(L$403:L$594,MATCH(1,($A670=$A$403:$A$594)*($B670=$B$403:$B$594)*("Weekend"=$D$403:$D$594),0))*WeekendDays)/DaysPerWeek</f>
        <v>1.3236758178412659E-4</v>
      </c>
      <c r="L670" s="10" cm="1">
        <f t="array" ref="L670">(INDEX(M$403:M$594,MATCH(1,($A670=$A$403:$A$594)*($B670=$B$403:$B$594)*("Weekday"=$D$403:$D$594),0))*Weekdays+INDEX(M$403:M$594,MATCH(1,($A670=$A$403:$A$594)*($B670=$B$403:$B$594)*("Weekend"=$D$403:$D$594),0))*WeekendDays)/DaysPerWeek</f>
        <v>0</v>
      </c>
      <c r="M670" s="10" cm="1">
        <f t="array" ref="M670">(INDEX(N$403:N$594,MATCH(1,($A670=$A$403:$A$594)*($B670=$B$403:$B$594)*("Weekday"=$D$403:$D$594),0))*Weekdays+INDEX(N$403:N$594,MATCH(1,($A670=$A$403:$A$594)*($B670=$B$403:$B$594)*("Weekend"=$D$403:$D$594),0))*WeekendDays)/DaysPerWeek</f>
        <v>1.4908994342178179E-4</v>
      </c>
      <c r="N670" s="10" cm="1">
        <f t="array" ref="N670">(INDEX(O$403:O$594,MATCH(1,($A670=$A$403:$A$594)*($B670=$B$403:$B$594)*("Weekday"=$D$403:$D$594),0))*Weekdays+INDEX(O$403:O$594,MATCH(1,($A670=$A$403:$A$594)*($B670=$B$403:$B$594)*("Weekend"=$D$403:$D$594),0))*WeekendDays)/DaysPerWeek</f>
        <v>1.4908994342178179E-4</v>
      </c>
      <c r="O670" s="10" cm="1">
        <f t="array" ref="O670">(INDEX(P$403:P$594,MATCH(1,($A670=$A$403:$A$594)*($B670=$B$403:$B$594)*("Weekday"=$D$403:$D$594),0))*Weekdays+INDEX(P$403:P$594,MATCH(1,($A670=$A$403:$A$594)*($B670=$B$403:$B$594)*("Weekend"=$D$403:$D$594),0))*WeekendDays)/DaysPerWeek</f>
        <v>1.4908994342178179E-4</v>
      </c>
      <c r="P670" s="10" cm="1">
        <f t="array" ref="P670">(INDEX(Q$403:Q$594,MATCH(1,($A670=$A$403:$A$594)*($B670=$B$403:$B$594)*("Weekday"=$D$403:$D$594),0))*Weekdays+INDEX(Q$403:Q$594,MATCH(1,($A670=$A$403:$A$594)*($B670=$B$403:$B$594)*("Weekend"=$D$403:$D$594),0))*WeekendDays)/DaysPerWeek</f>
        <v>1.1788013674530443E-4</v>
      </c>
      <c r="Q670" s="10" cm="1">
        <f t="array" ref="Q670">(INDEX(R$403:R$594,MATCH(1,($A670=$A$403:$A$594)*($B670=$B$403:$B$594)*("Weekday"=$D$403:$D$594),0))*Weekdays+INDEX(R$403:R$594,MATCH(1,($A670=$A$403:$A$594)*($B670=$B$403:$B$594)*("Weekend"=$D$403:$D$594),0))*WeekendDays)/DaysPerWeek</f>
        <v>1.1788013674530443E-4</v>
      </c>
      <c r="R670" s="10" cm="1">
        <f t="array" ref="R670">(INDEX(S$403:S$594,MATCH(1,($A670=$A$403:$A$594)*($B670=$B$403:$B$594)*("Weekday"=$D$403:$D$594),0))*Weekdays+INDEX(S$403:S$594,MATCH(1,($A670=$A$403:$A$594)*($B670=$B$403:$B$594)*("Weekend"=$D$403:$D$594),0))*WeekendDays)/DaysPerWeek</f>
        <v>1.1788013674530443E-4</v>
      </c>
      <c r="S670" s="10" cm="1">
        <f t="array" ref="S670">(INDEX(T$403:T$594,MATCH(1,($A670=$A$403:$A$594)*($B670=$B$403:$B$594)*("Weekday"=$D$403:$D$594),0))*Weekdays+INDEX(T$403:T$594,MATCH(1,($A670=$A$403:$A$594)*($B670=$B$403:$B$594)*("Weekend"=$D$403:$D$594),0))*WeekendDays)/DaysPerWeek</f>
        <v>1.1788013674530443E-4</v>
      </c>
      <c r="T670" s="10" cm="1">
        <f t="array" ref="T670">(INDEX(U$403:U$594,MATCH(1,($A670=$A$403:$A$594)*($B670=$B$403:$B$594)*("Weekday"=$D$403:$D$594),0))*Weekdays+INDEX(U$403:U$594,MATCH(1,($A670=$A$403:$A$594)*($B670=$B$403:$B$594)*("Weekend"=$D$403:$D$594),0))*WeekendDays)/DaysPerWeek</f>
        <v>1.1788013674530443E-4</v>
      </c>
      <c r="U670" s="10" cm="1">
        <f t="array" ref="U670">(INDEX(V$403:V$594,MATCH(1,($A670=$A$403:$A$594)*($B670=$B$403:$B$594)*("Weekday"=$D$403:$D$594),0))*Weekdays+INDEX(V$403:V$594,MATCH(1,($A670=$A$403:$A$594)*($B670=$B$403:$B$594)*("Weekend"=$D$403:$D$594),0))*WeekendDays)/DaysPerWeek</f>
        <v>1.1788013674530443E-4</v>
      </c>
      <c r="V670" s="10" cm="1">
        <f t="array" ref="V670">(INDEX(W$403:W$594,MATCH(1,($A670=$A$403:$A$594)*($B670=$B$403:$B$594)*("Weekday"=$D$403:$D$594),0))*Weekdays+INDEX(W$403:W$594,MATCH(1,($A670=$A$403:$A$594)*($B670=$B$403:$B$594)*("Weekend"=$D$403:$D$594),0))*WeekendDays)/DaysPerWeek</f>
        <v>1.1173959280551145E-4</v>
      </c>
      <c r="W670" s="10" cm="1">
        <f t="array" ref="W670">(INDEX(X$403:X$594,MATCH(1,($A670=$A$403:$A$594)*($B670=$B$403:$B$594)*("Weekday"=$D$403:$D$594),0))*Weekdays+INDEX(X$403:X$594,MATCH(1,($A670=$A$403:$A$594)*($B670=$B$403:$B$594)*("Weekend"=$D$403:$D$594),0))*WeekendDays)/DaysPerWeek</f>
        <v>1.1173959280551145E-4</v>
      </c>
      <c r="X670" s="10" cm="1">
        <f t="array" ref="X670">(INDEX(Y$403:Y$594,MATCH(1,($A670=$A$403:$A$594)*($B670=$B$403:$B$594)*("Weekday"=$D$403:$D$594),0))*Weekdays+INDEX(Y$403:Y$594,MATCH(1,($A670=$A$403:$A$594)*($B670=$B$403:$B$594)*("Weekend"=$D$403:$D$594),0))*WeekendDays)/DaysPerWeek</f>
        <v>1.1173959280551145E-4</v>
      </c>
      <c r="Y670" s="27">
        <f t="shared" si="245"/>
        <v>2.2034849160343321E-3</v>
      </c>
      <c r="Z670" s="32" t="str">
        <f t="shared" si="244"/>
        <v/>
      </c>
    </row>
    <row r="671" spans="1:26" outlineLevel="1" x14ac:dyDescent="0.3">
      <c r="A671" t="s">
        <v>165</v>
      </c>
      <c r="B671" t="s">
        <v>87</v>
      </c>
      <c r="C671" s="6" t="s">
        <v>163</v>
      </c>
      <c r="D671" s="10">
        <v>0</v>
      </c>
      <c r="E671" s="10" cm="1">
        <f t="array" ref="E671">(INDEX(F$403:F$594,MATCH(1,($A671=$A$403:$A$594)*($B671=$B$403:$B$594)*("Weekday"=$D$403:$D$594),0))*Weekdays+INDEX(F$403:F$594,MATCH(1,($A671=$A$403:$A$594)*($B671=$B$403:$B$594)*("Weekend"=$D$403:$D$594),0))*WeekendDays)/DaysPerWeek</f>
        <v>1.0881590336257738E-4</v>
      </c>
      <c r="F671" s="10" cm="1">
        <f t="array" ref="F671">(INDEX(G$403:G$594,MATCH(1,($A671=$A$403:$A$594)*($B671=$B$403:$B$594)*("Weekday"=$D$403:$D$594),0))*Weekdays+INDEX(G$403:G$594,MATCH(1,($A671=$A$403:$A$594)*($B671=$B$403:$B$594)*("Weekend"=$D$403:$D$594),0))*WeekendDays)/DaysPerWeek</f>
        <v>0</v>
      </c>
      <c r="G671" s="10" cm="1">
        <f t="array" ref="G671">(INDEX(H$403:H$594,MATCH(1,($A671=$A$403:$A$594)*($B671=$B$403:$B$594)*("Weekday"=$D$403:$D$594),0))*Weekdays+INDEX(H$403:H$594,MATCH(1,($A671=$A$403:$A$594)*($B671=$B$403:$B$594)*("Weekend"=$D$403:$D$594),0))*WeekendDays)/DaysPerWeek</f>
        <v>8.0241791543410047E-5</v>
      </c>
      <c r="H671" s="10" cm="1">
        <f t="array" ref="H671">(INDEX(I$403:I$594,MATCH(1,($A671=$A$403:$A$594)*($B671=$B$403:$B$594)*("Weekday"=$D$403:$D$594),0))*Weekdays+INDEX(I$403:I$594,MATCH(1,($A671=$A$403:$A$594)*($B671=$B$403:$B$594)*("Weekend"=$D$403:$D$594),0))*WeekendDays)/DaysPerWeek</f>
        <v>8.0241791543410047E-5</v>
      </c>
      <c r="I671" s="10" cm="1">
        <f t="array" ref="I671">(INDEX(J$403:J$594,MATCH(1,($A671=$A$403:$A$594)*($B671=$B$403:$B$594)*("Weekday"=$D$403:$D$594),0))*Weekdays+INDEX(J$403:J$594,MATCH(1,($A671=$A$403:$A$594)*($B671=$B$403:$B$594)*("Weekend"=$D$403:$D$594),0))*WeekendDays)/DaysPerWeek</f>
        <v>8.0241791543410047E-5</v>
      </c>
      <c r="J671" s="10">
        <v>0</v>
      </c>
      <c r="K671" s="10" cm="1">
        <f t="array" ref="K671">(INDEX(L$403:L$594,MATCH(1,($A671=$A$403:$A$594)*($B671=$B$403:$B$594)*("Weekday"=$D$403:$D$594),0))*Weekdays+INDEX(L$403:L$594,MATCH(1,($A671=$A$403:$A$594)*($B671=$B$403:$B$594)*("Weekend"=$D$403:$D$594),0))*WeekendDays)/DaysPerWeek</f>
        <v>1.1521764808527577E-4</v>
      </c>
      <c r="L671" s="10" cm="1">
        <f t="array" ref="L671">(INDEX(M$403:M$594,MATCH(1,($A671=$A$403:$A$594)*($B671=$B$403:$B$594)*("Weekday"=$D$403:$D$594),0))*Weekdays+INDEX(M$403:M$594,MATCH(1,($A671=$A$403:$A$594)*($B671=$B$403:$B$594)*("Weekend"=$D$403:$D$594),0))*WeekendDays)/DaysPerWeek</f>
        <v>0</v>
      </c>
      <c r="M671" s="10" cm="1">
        <f t="array" ref="M671">(INDEX(N$403:N$594,MATCH(1,($A671=$A$403:$A$594)*($B671=$B$403:$B$594)*("Weekday"=$D$403:$D$594),0))*Weekdays+INDEX(N$403:N$594,MATCH(1,($A671=$A$403:$A$594)*($B671=$B$403:$B$594)*("Weekend"=$D$403:$D$594),0))*WeekendDays)/DaysPerWeek</f>
        <v>8.0241791543410047E-5</v>
      </c>
      <c r="N671" s="10" cm="1">
        <f t="array" ref="N671">(INDEX(O$403:O$594,MATCH(1,($A671=$A$403:$A$594)*($B671=$B$403:$B$594)*("Weekday"=$D$403:$D$594),0))*Weekdays+INDEX(O$403:O$594,MATCH(1,($A671=$A$403:$A$594)*($B671=$B$403:$B$594)*("Weekend"=$D$403:$D$594),0))*WeekendDays)/DaysPerWeek</f>
        <v>8.0241791543410047E-5</v>
      </c>
      <c r="O671" s="10" cm="1">
        <f t="array" ref="O671">(INDEX(P$403:P$594,MATCH(1,($A671=$A$403:$A$594)*($B671=$B$403:$B$594)*("Weekday"=$D$403:$D$594),0))*Weekdays+INDEX(P$403:P$594,MATCH(1,($A671=$A$403:$A$594)*($B671=$B$403:$B$594)*("Weekend"=$D$403:$D$594),0))*WeekendDays)/DaysPerWeek</f>
        <v>8.0241791543410047E-5</v>
      </c>
      <c r="P671" s="10" cm="1">
        <f t="array" ref="P671">(INDEX(Q$403:Q$594,MATCH(1,($A671=$A$403:$A$594)*($B671=$B$403:$B$594)*("Weekday"=$D$403:$D$594),0))*Weekdays+INDEX(Q$403:Q$594,MATCH(1,($A671=$A$403:$A$594)*($B671=$B$403:$B$594)*("Weekend"=$D$403:$D$594),0))*WeekendDays)/DaysPerWeek</f>
        <v>7.9078248415711115E-5</v>
      </c>
      <c r="Q671" s="10" cm="1">
        <f t="array" ref="Q671">(INDEX(R$403:R$594,MATCH(1,($A671=$A$403:$A$594)*($B671=$B$403:$B$594)*("Weekday"=$D$403:$D$594),0))*Weekdays+INDEX(R$403:R$594,MATCH(1,($A671=$A$403:$A$594)*($B671=$B$403:$B$594)*("Weekend"=$D$403:$D$594),0))*WeekendDays)/DaysPerWeek</f>
        <v>7.9078248415711115E-5</v>
      </c>
      <c r="R671" s="10" cm="1">
        <f t="array" ref="R671">(INDEX(S$403:S$594,MATCH(1,($A671=$A$403:$A$594)*($B671=$B$403:$B$594)*("Weekday"=$D$403:$D$594),0))*Weekdays+INDEX(S$403:S$594,MATCH(1,($A671=$A$403:$A$594)*($B671=$B$403:$B$594)*("Weekend"=$D$403:$D$594),0))*WeekendDays)/DaysPerWeek</f>
        <v>7.9078248415711115E-5</v>
      </c>
      <c r="S671" s="10" cm="1">
        <f t="array" ref="S671">(INDEX(T$403:T$594,MATCH(1,($A671=$A$403:$A$594)*($B671=$B$403:$B$594)*("Weekday"=$D$403:$D$594),0))*Weekdays+INDEX(T$403:T$594,MATCH(1,($A671=$A$403:$A$594)*($B671=$B$403:$B$594)*("Weekend"=$D$403:$D$594),0))*WeekendDays)/DaysPerWeek</f>
        <v>7.9078248415711115E-5</v>
      </c>
      <c r="T671" s="10" cm="1">
        <f t="array" ref="T671">(INDEX(U$403:U$594,MATCH(1,($A671=$A$403:$A$594)*($B671=$B$403:$B$594)*("Weekday"=$D$403:$D$594),0))*Weekdays+INDEX(U$403:U$594,MATCH(1,($A671=$A$403:$A$594)*($B671=$B$403:$B$594)*("Weekend"=$D$403:$D$594),0))*WeekendDays)/DaysPerWeek</f>
        <v>7.9078248415711115E-5</v>
      </c>
      <c r="U671" s="10" cm="1">
        <f t="array" ref="U671">(INDEX(V$403:V$594,MATCH(1,($A671=$A$403:$A$594)*($B671=$B$403:$B$594)*("Weekday"=$D$403:$D$594),0))*Weekdays+INDEX(V$403:V$594,MATCH(1,($A671=$A$403:$A$594)*($B671=$B$403:$B$594)*("Weekend"=$D$403:$D$594),0))*WeekendDays)/DaysPerWeek</f>
        <v>7.9078248415711115E-5</v>
      </c>
      <c r="V671" s="10" cm="1">
        <f t="array" ref="V671">(INDEX(W$403:W$594,MATCH(1,($A671=$A$403:$A$594)*($B671=$B$403:$B$594)*("Weekday"=$D$403:$D$594),0))*Weekdays+INDEX(W$403:W$594,MATCH(1,($A671=$A$403:$A$594)*($B671=$B$403:$B$594)*("Weekend"=$D$403:$D$594),0))*WeekendDays)/DaysPerWeek</f>
        <v>1.1136183894207158E-4</v>
      </c>
      <c r="W671" s="10" cm="1">
        <f t="array" ref="W671">(INDEX(X$403:X$594,MATCH(1,($A671=$A$403:$A$594)*($B671=$B$403:$B$594)*("Weekday"=$D$403:$D$594),0))*Weekdays+INDEX(X$403:X$594,MATCH(1,($A671=$A$403:$A$594)*($B671=$B$403:$B$594)*("Weekend"=$D$403:$D$594),0))*WeekendDays)/DaysPerWeek</f>
        <v>1.1136183894207158E-4</v>
      </c>
      <c r="X671" s="10" cm="1">
        <f t="array" ref="X671">(INDEX(Y$403:Y$594,MATCH(1,($A671=$A$403:$A$594)*($B671=$B$403:$B$594)*("Weekday"=$D$403:$D$594),0))*Weekdays+INDEX(Y$403:Y$594,MATCH(1,($A671=$A$403:$A$594)*($B671=$B$403:$B$594)*("Weekend"=$D$403:$D$594),0))*WeekendDays)/DaysPerWeek</f>
        <v>1.1136183894207158E-4</v>
      </c>
      <c r="Y671" s="27">
        <f t="shared" si="245"/>
        <v>1.5140393080287948E-3</v>
      </c>
      <c r="Z671" s="32" t="str">
        <f t="shared" si="244"/>
        <v/>
      </c>
    </row>
    <row r="672" spans="1:26" outlineLevel="1" x14ac:dyDescent="0.3">
      <c r="A672" t="s">
        <v>166</v>
      </c>
      <c r="B672" t="s">
        <v>64</v>
      </c>
      <c r="C672" s="6" t="s">
        <v>140</v>
      </c>
      <c r="D672" s="10">
        <v>0</v>
      </c>
      <c r="E672" s="10" cm="1">
        <f t="array" ref="E672">(INDEX(F$403:F$594,MATCH(1,($A672=$A$403:$A$594)*($B672=$B$403:$B$594)*("Weekday"=$D$403:$D$594),0))*Weekdays+INDEX(F$403:F$594,MATCH(1,($A672=$A$403:$A$594)*($B672=$B$403:$B$594)*("Weekend"=$D$403:$D$594),0))*WeekendDays)/DaysPerWeek</f>
        <v>3.8926164613474225E-5</v>
      </c>
      <c r="F672" s="10" cm="1">
        <f t="array" ref="F672">(INDEX(G$403:G$594,MATCH(1,($A672=$A$403:$A$594)*($B672=$B$403:$B$594)*("Weekday"=$D$403:$D$594),0))*Weekdays+INDEX(G$403:G$594,MATCH(1,($A672=$A$403:$A$594)*($B672=$B$403:$B$594)*("Weekend"=$D$403:$D$594),0))*WeekendDays)/DaysPerWeek</f>
        <v>0</v>
      </c>
      <c r="G672" s="10" cm="1">
        <f t="array" ref="G672">(INDEX(H$403:H$594,MATCH(1,($A672=$A$403:$A$594)*($B672=$B$403:$B$594)*("Weekday"=$D$403:$D$594),0))*Weekdays+INDEX(H$403:H$594,MATCH(1,($A672=$A$403:$A$594)*($B672=$B$403:$B$594)*("Weekend"=$D$403:$D$594),0))*WeekendDays)/DaysPerWeek</f>
        <v>3.8700508034047311E-5</v>
      </c>
      <c r="H672" s="10" cm="1">
        <f t="array" ref="H672">(INDEX(I$403:I$594,MATCH(1,($A672=$A$403:$A$594)*($B672=$B$403:$B$594)*("Weekday"=$D$403:$D$594),0))*Weekdays+INDEX(I$403:I$594,MATCH(1,($A672=$A$403:$A$594)*($B672=$B$403:$B$594)*("Weekend"=$D$403:$D$594),0))*WeekendDays)/DaysPerWeek</f>
        <v>3.8700508034047311E-5</v>
      </c>
      <c r="I672" s="10" cm="1">
        <f t="array" ref="I672">(INDEX(J$403:J$594,MATCH(1,($A672=$A$403:$A$594)*($B672=$B$403:$B$594)*("Weekday"=$D$403:$D$594),0))*Weekdays+INDEX(J$403:J$594,MATCH(1,($A672=$A$403:$A$594)*($B672=$B$403:$B$594)*("Weekend"=$D$403:$D$594),0))*WeekendDays)/DaysPerWeek</f>
        <v>3.8700508034047311E-5</v>
      </c>
      <c r="J672" s="10">
        <v>0</v>
      </c>
      <c r="K672" s="10" cm="1">
        <f t="array" ref="K672">(INDEX(L$403:L$594,MATCH(1,($A672=$A$403:$A$594)*($B672=$B$403:$B$594)*("Weekday"=$D$403:$D$594),0))*Weekdays+INDEX(L$403:L$594,MATCH(1,($A672=$A$403:$A$594)*($B672=$B$403:$B$594)*("Weekend"=$D$403:$D$594),0))*WeekendDays)/DaysPerWeek</f>
        <v>4.9854763823226254E-5</v>
      </c>
      <c r="L672" s="10" cm="1">
        <f t="array" ref="L672">(INDEX(M$403:M$594,MATCH(1,($A672=$A$403:$A$594)*($B672=$B$403:$B$594)*("Weekday"=$D$403:$D$594),0))*Weekdays+INDEX(M$403:M$594,MATCH(1,($A672=$A$403:$A$594)*($B672=$B$403:$B$594)*("Weekend"=$D$403:$D$594),0))*WeekendDays)/DaysPerWeek</f>
        <v>0</v>
      </c>
      <c r="M672" s="10" cm="1">
        <f t="array" ref="M672">(INDEX(N$403:N$594,MATCH(1,($A672=$A$403:$A$594)*($B672=$B$403:$B$594)*("Weekday"=$D$403:$D$594),0))*Weekdays+INDEX(N$403:N$594,MATCH(1,($A672=$A$403:$A$594)*($B672=$B$403:$B$594)*("Weekend"=$D$403:$D$594),0))*WeekendDays)/DaysPerWeek</f>
        <v>3.8700508034047311E-5</v>
      </c>
      <c r="N672" s="10" cm="1">
        <f t="array" ref="N672">(INDEX(O$403:O$594,MATCH(1,($A672=$A$403:$A$594)*($B672=$B$403:$B$594)*("Weekday"=$D$403:$D$594),0))*Weekdays+INDEX(O$403:O$594,MATCH(1,($A672=$A$403:$A$594)*($B672=$B$403:$B$594)*("Weekend"=$D$403:$D$594),0))*WeekendDays)/DaysPerWeek</f>
        <v>3.8700508034047311E-5</v>
      </c>
      <c r="O672" s="10" cm="1">
        <f t="array" ref="O672">(INDEX(P$403:P$594,MATCH(1,($A672=$A$403:$A$594)*($B672=$B$403:$B$594)*("Weekday"=$D$403:$D$594),0))*Weekdays+INDEX(P$403:P$594,MATCH(1,($A672=$A$403:$A$594)*($B672=$B$403:$B$594)*("Weekend"=$D$403:$D$594),0))*WeekendDays)/DaysPerWeek</f>
        <v>3.8700508034047311E-5</v>
      </c>
      <c r="P672" s="10" cm="1">
        <f t="array" ref="P672">(INDEX(Q$403:Q$594,MATCH(1,($A672=$A$403:$A$594)*($B672=$B$403:$B$594)*("Weekday"=$D$403:$D$594),0))*Weekdays+INDEX(Q$403:Q$594,MATCH(1,($A672=$A$403:$A$594)*($B672=$B$403:$B$594)*("Weekend"=$D$403:$D$594),0))*WeekendDays)/DaysPerWeek</f>
        <v>4.0452205127295038E-5</v>
      </c>
      <c r="Q672" s="10" cm="1">
        <f t="array" ref="Q672">(INDEX(R$403:R$594,MATCH(1,($A672=$A$403:$A$594)*($B672=$B$403:$B$594)*("Weekday"=$D$403:$D$594),0))*Weekdays+INDEX(R$403:R$594,MATCH(1,($A672=$A$403:$A$594)*($B672=$B$403:$B$594)*("Weekend"=$D$403:$D$594),0))*WeekendDays)/DaysPerWeek</f>
        <v>4.0452205127295038E-5</v>
      </c>
      <c r="R672" s="10" cm="1">
        <f t="array" ref="R672">(INDEX(S$403:S$594,MATCH(1,($A672=$A$403:$A$594)*($B672=$B$403:$B$594)*("Weekday"=$D$403:$D$594),0))*Weekdays+INDEX(S$403:S$594,MATCH(1,($A672=$A$403:$A$594)*($B672=$B$403:$B$594)*("Weekend"=$D$403:$D$594),0))*WeekendDays)/DaysPerWeek</f>
        <v>4.0452205127295038E-5</v>
      </c>
      <c r="S672" s="10" cm="1">
        <f t="array" ref="S672">(INDEX(T$403:T$594,MATCH(1,($A672=$A$403:$A$594)*($B672=$B$403:$B$594)*("Weekday"=$D$403:$D$594),0))*Weekdays+INDEX(T$403:T$594,MATCH(1,($A672=$A$403:$A$594)*($B672=$B$403:$B$594)*("Weekend"=$D$403:$D$594),0))*WeekendDays)/DaysPerWeek</f>
        <v>4.0452205127295038E-5</v>
      </c>
      <c r="T672" s="10" cm="1">
        <f t="array" ref="T672">(INDEX(U$403:U$594,MATCH(1,($A672=$A$403:$A$594)*($B672=$B$403:$B$594)*("Weekday"=$D$403:$D$594),0))*Weekdays+INDEX(U$403:U$594,MATCH(1,($A672=$A$403:$A$594)*($B672=$B$403:$B$594)*("Weekend"=$D$403:$D$594),0))*WeekendDays)/DaysPerWeek</f>
        <v>4.0452205127295038E-5</v>
      </c>
      <c r="U672" s="10" cm="1">
        <f t="array" ref="U672">(INDEX(V$403:V$594,MATCH(1,($A672=$A$403:$A$594)*($B672=$B$403:$B$594)*("Weekday"=$D$403:$D$594),0))*Weekdays+INDEX(V$403:V$594,MATCH(1,($A672=$A$403:$A$594)*($B672=$B$403:$B$594)*("Weekend"=$D$403:$D$594),0))*WeekendDays)/DaysPerWeek</f>
        <v>4.0452205127295038E-5</v>
      </c>
      <c r="V672" s="10" cm="1">
        <f t="array" ref="V672">(INDEX(W$403:W$594,MATCH(1,($A672=$A$403:$A$594)*($B672=$B$403:$B$594)*("Weekday"=$D$403:$D$594),0))*Weekdays+INDEX(W$403:W$594,MATCH(1,($A672=$A$403:$A$594)*($B672=$B$403:$B$594)*("Weekend"=$D$403:$D$594),0))*WeekendDays)/DaysPerWeek</f>
        <v>7.5999095954472627E-5</v>
      </c>
      <c r="W672" s="10" cm="1">
        <f t="array" ref="W672">(INDEX(X$403:X$594,MATCH(1,($A672=$A$403:$A$594)*($B672=$B$403:$B$594)*("Weekday"=$D$403:$D$594),0))*Weekdays+INDEX(X$403:X$594,MATCH(1,($A672=$A$403:$A$594)*($B672=$B$403:$B$594)*("Weekend"=$D$403:$D$594),0))*WeekendDays)/DaysPerWeek</f>
        <v>7.5999095954472627E-5</v>
      </c>
      <c r="X672" s="10" cm="1">
        <f t="array" ref="X672">(INDEX(Y$403:Y$594,MATCH(1,($A672=$A$403:$A$594)*($B672=$B$403:$B$594)*("Weekday"=$D$403:$D$594),0))*Weekdays+INDEX(Y$403:Y$594,MATCH(1,($A672=$A$403:$A$594)*($B672=$B$403:$B$594)*("Weekend"=$D$403:$D$594),0))*WeekendDays)/DaysPerWeek</f>
        <v>7.5999095954472627E-5</v>
      </c>
      <c r="Y672" s="27">
        <f t="shared" si="245"/>
        <v>7.9169449526817252E-4</v>
      </c>
      <c r="Z672" s="32" t="str">
        <f t="shared" si="244"/>
        <v/>
      </c>
    </row>
    <row r="673" spans="1:26" outlineLevel="1" x14ac:dyDescent="0.3">
      <c r="A673" t="s">
        <v>166</v>
      </c>
      <c r="B673" t="s">
        <v>65</v>
      </c>
      <c r="C673" s="6" t="s">
        <v>141</v>
      </c>
      <c r="D673" s="10">
        <v>0</v>
      </c>
      <c r="E673" s="10" cm="1">
        <f t="array" ref="E673">(INDEX(F$403:F$594,MATCH(1,($A673=$A$403:$A$594)*($B673=$B$403:$B$594)*("Weekday"=$D$403:$D$594),0))*Weekdays+INDEX(F$403:F$594,MATCH(1,($A673=$A$403:$A$594)*($B673=$B$403:$B$594)*("Weekend"=$D$403:$D$594),0))*WeekendDays)/DaysPerWeek</f>
        <v>3.4256370218743349E-5</v>
      </c>
      <c r="F673" s="10" cm="1">
        <f t="array" ref="F673">(INDEX(G$403:G$594,MATCH(1,($A673=$A$403:$A$594)*($B673=$B$403:$B$594)*("Weekday"=$D$403:$D$594),0))*Weekdays+INDEX(G$403:G$594,MATCH(1,($A673=$A$403:$A$594)*($B673=$B$403:$B$594)*("Weekend"=$D$403:$D$594),0))*WeekendDays)/DaysPerWeek</f>
        <v>0</v>
      </c>
      <c r="G673" s="10" cm="1">
        <f t="array" ref="G673">(INDEX(H$403:H$594,MATCH(1,($A673=$A$403:$A$594)*($B673=$B$403:$B$594)*("Weekday"=$D$403:$D$594),0))*Weekdays+INDEX(H$403:H$594,MATCH(1,($A673=$A$403:$A$594)*($B673=$B$403:$B$594)*("Weekend"=$D$403:$D$594),0))*WeekendDays)/DaysPerWeek</f>
        <v>3.4788219594505821E-5</v>
      </c>
      <c r="H673" s="10" cm="1">
        <f t="array" ref="H673">(INDEX(I$403:I$594,MATCH(1,($A673=$A$403:$A$594)*($B673=$B$403:$B$594)*("Weekday"=$D$403:$D$594),0))*Weekdays+INDEX(I$403:I$594,MATCH(1,($A673=$A$403:$A$594)*($B673=$B$403:$B$594)*("Weekend"=$D$403:$D$594),0))*WeekendDays)/DaysPerWeek</f>
        <v>3.4788219594505821E-5</v>
      </c>
      <c r="I673" s="10" cm="1">
        <f t="array" ref="I673">(INDEX(J$403:J$594,MATCH(1,($A673=$A$403:$A$594)*($B673=$B$403:$B$594)*("Weekday"=$D$403:$D$594),0))*Weekdays+INDEX(J$403:J$594,MATCH(1,($A673=$A$403:$A$594)*($B673=$B$403:$B$594)*("Weekend"=$D$403:$D$594),0))*WeekendDays)/DaysPerWeek</f>
        <v>3.4788219594505821E-5</v>
      </c>
      <c r="J673" s="10">
        <v>0</v>
      </c>
      <c r="K673" s="10" cm="1">
        <f t="array" ref="K673">(INDEX(L$403:L$594,MATCH(1,($A673=$A$403:$A$594)*($B673=$B$403:$B$594)*("Weekday"=$D$403:$D$594),0))*Weekdays+INDEX(L$403:L$594,MATCH(1,($A673=$A$403:$A$594)*($B673=$B$403:$B$594)*("Weekend"=$D$403:$D$594),0))*WeekendDays)/DaysPerWeek</f>
        <v>4.6798737511176013E-5</v>
      </c>
      <c r="L673" s="10" cm="1">
        <f t="array" ref="L673">(INDEX(M$403:M$594,MATCH(1,($A673=$A$403:$A$594)*($B673=$B$403:$B$594)*("Weekday"=$D$403:$D$594),0))*Weekdays+INDEX(M$403:M$594,MATCH(1,($A673=$A$403:$A$594)*($B673=$B$403:$B$594)*("Weekend"=$D$403:$D$594),0))*WeekendDays)/DaysPerWeek</f>
        <v>0</v>
      </c>
      <c r="M673" s="10" cm="1">
        <f t="array" ref="M673">(INDEX(N$403:N$594,MATCH(1,($A673=$A$403:$A$594)*($B673=$B$403:$B$594)*("Weekday"=$D$403:$D$594),0))*Weekdays+INDEX(N$403:N$594,MATCH(1,($A673=$A$403:$A$594)*($B673=$B$403:$B$594)*("Weekend"=$D$403:$D$594),0))*WeekendDays)/DaysPerWeek</f>
        <v>3.4788219594505821E-5</v>
      </c>
      <c r="N673" s="10" cm="1">
        <f t="array" ref="N673">(INDEX(O$403:O$594,MATCH(1,($A673=$A$403:$A$594)*($B673=$B$403:$B$594)*("Weekday"=$D$403:$D$594),0))*Weekdays+INDEX(O$403:O$594,MATCH(1,($A673=$A$403:$A$594)*($B673=$B$403:$B$594)*("Weekend"=$D$403:$D$594),0))*WeekendDays)/DaysPerWeek</f>
        <v>3.4788219594505821E-5</v>
      </c>
      <c r="O673" s="10" cm="1">
        <f t="array" ref="O673">(INDEX(P$403:P$594,MATCH(1,($A673=$A$403:$A$594)*($B673=$B$403:$B$594)*("Weekday"=$D$403:$D$594),0))*Weekdays+INDEX(P$403:P$594,MATCH(1,($A673=$A$403:$A$594)*($B673=$B$403:$B$594)*("Weekend"=$D$403:$D$594),0))*WeekendDays)/DaysPerWeek</f>
        <v>3.4788219594505821E-5</v>
      </c>
      <c r="P673" s="10" cm="1">
        <f t="array" ref="P673">(INDEX(Q$403:Q$594,MATCH(1,($A673=$A$403:$A$594)*($B673=$B$403:$B$594)*("Weekday"=$D$403:$D$594),0))*Weekdays+INDEX(Q$403:Q$594,MATCH(1,($A673=$A$403:$A$594)*($B673=$B$403:$B$594)*("Weekend"=$D$403:$D$594),0))*WeekendDays)/DaysPerWeek</f>
        <v>4.0279600683384928E-5</v>
      </c>
      <c r="Q673" s="10" cm="1">
        <f t="array" ref="Q673">(INDEX(R$403:R$594,MATCH(1,($A673=$A$403:$A$594)*($B673=$B$403:$B$594)*("Weekday"=$D$403:$D$594),0))*Weekdays+INDEX(R$403:R$594,MATCH(1,($A673=$A$403:$A$594)*($B673=$B$403:$B$594)*("Weekend"=$D$403:$D$594),0))*WeekendDays)/DaysPerWeek</f>
        <v>4.0279600683384928E-5</v>
      </c>
      <c r="R673" s="10" cm="1">
        <f t="array" ref="R673">(INDEX(S$403:S$594,MATCH(1,($A673=$A$403:$A$594)*($B673=$B$403:$B$594)*("Weekday"=$D$403:$D$594),0))*Weekdays+INDEX(S$403:S$594,MATCH(1,($A673=$A$403:$A$594)*($B673=$B$403:$B$594)*("Weekend"=$D$403:$D$594),0))*WeekendDays)/DaysPerWeek</f>
        <v>4.0279600683384928E-5</v>
      </c>
      <c r="S673" s="10" cm="1">
        <f t="array" ref="S673">(INDEX(T$403:T$594,MATCH(1,($A673=$A$403:$A$594)*($B673=$B$403:$B$594)*("Weekday"=$D$403:$D$594),0))*Weekdays+INDEX(T$403:T$594,MATCH(1,($A673=$A$403:$A$594)*($B673=$B$403:$B$594)*("Weekend"=$D$403:$D$594),0))*WeekendDays)/DaysPerWeek</f>
        <v>4.0279600683384928E-5</v>
      </c>
      <c r="T673" s="10" cm="1">
        <f t="array" ref="T673">(INDEX(U$403:U$594,MATCH(1,($A673=$A$403:$A$594)*($B673=$B$403:$B$594)*("Weekday"=$D$403:$D$594),0))*Weekdays+INDEX(U$403:U$594,MATCH(1,($A673=$A$403:$A$594)*($B673=$B$403:$B$594)*("Weekend"=$D$403:$D$594),0))*WeekendDays)/DaysPerWeek</f>
        <v>4.0279600683384928E-5</v>
      </c>
      <c r="U673" s="10" cm="1">
        <f t="array" ref="U673">(INDEX(V$403:V$594,MATCH(1,($A673=$A$403:$A$594)*($B673=$B$403:$B$594)*("Weekday"=$D$403:$D$594),0))*Weekdays+INDEX(V$403:V$594,MATCH(1,($A673=$A$403:$A$594)*($B673=$B$403:$B$594)*("Weekend"=$D$403:$D$594),0))*WeekendDays)/DaysPerWeek</f>
        <v>4.0279600683384928E-5</v>
      </c>
      <c r="V673" s="10" cm="1">
        <f t="array" ref="V673">(INDEX(W$403:W$594,MATCH(1,($A673=$A$403:$A$594)*($B673=$B$403:$B$594)*("Weekday"=$D$403:$D$594),0))*Weekdays+INDEX(W$403:W$594,MATCH(1,($A673=$A$403:$A$594)*($B673=$B$403:$B$594)*("Weekend"=$D$403:$D$594),0))*WeekendDays)/DaysPerWeek</f>
        <v>7.5999095954472627E-5</v>
      </c>
      <c r="W673" s="10" cm="1">
        <f t="array" ref="W673">(INDEX(X$403:X$594,MATCH(1,($A673=$A$403:$A$594)*($B673=$B$403:$B$594)*("Weekday"=$D$403:$D$594),0))*Weekdays+INDEX(X$403:X$594,MATCH(1,($A673=$A$403:$A$594)*($B673=$B$403:$B$594)*("Weekend"=$D$403:$D$594),0))*WeekendDays)/DaysPerWeek</f>
        <v>7.5999095954472627E-5</v>
      </c>
      <c r="X673" s="10" cm="1">
        <f t="array" ref="X673">(INDEX(Y$403:Y$594,MATCH(1,($A673=$A$403:$A$594)*($B673=$B$403:$B$594)*("Weekday"=$D$403:$D$594),0))*Weekdays+INDEX(Y$403:Y$594,MATCH(1,($A673=$A$403:$A$594)*($B673=$B$403:$B$594)*("Weekend"=$D$403:$D$594),0))*WeekendDays)/DaysPerWeek</f>
        <v>7.5999095954472627E-5</v>
      </c>
      <c r="Y673" s="27">
        <f t="shared" si="245"/>
        <v>7.5945931726068179E-4</v>
      </c>
      <c r="Z673" s="32" t="str">
        <f t="shared" si="244"/>
        <v/>
      </c>
    </row>
    <row r="674" spans="1:26" outlineLevel="1" x14ac:dyDescent="0.3">
      <c r="A674" t="s">
        <v>166</v>
      </c>
      <c r="B674" t="s">
        <v>66</v>
      </c>
      <c r="C674" s="6" t="s">
        <v>142</v>
      </c>
      <c r="D674" s="10">
        <v>0</v>
      </c>
      <c r="E674" s="10" cm="1">
        <f t="array" ref="E674">(INDEX(F$403:F$594,MATCH(1,($A674=$A$403:$A$594)*($B674=$B$403:$B$594)*("Weekday"=$D$403:$D$594),0))*Weekdays+INDEX(F$403:F$594,MATCH(1,($A674=$A$403:$A$594)*($B674=$B$403:$B$594)*("Weekend"=$D$403:$D$594),0))*WeekendDays)/DaysPerWeek</f>
        <v>3.287918153581334E-5</v>
      </c>
      <c r="F674" s="10" cm="1">
        <f t="array" ref="F674">(INDEX(G$403:G$594,MATCH(1,($A674=$A$403:$A$594)*($B674=$B$403:$B$594)*("Weekday"=$D$403:$D$594),0))*Weekdays+INDEX(G$403:G$594,MATCH(1,($A674=$A$403:$A$594)*($B674=$B$403:$B$594)*("Weekend"=$D$403:$D$594),0))*WeekendDays)/DaysPerWeek</f>
        <v>0</v>
      </c>
      <c r="G674" s="10" cm="1">
        <f t="array" ref="G674">(INDEX(H$403:H$594,MATCH(1,($A674=$A$403:$A$594)*($B674=$B$403:$B$594)*("Weekday"=$D$403:$D$594),0))*Weekdays+INDEX(H$403:H$594,MATCH(1,($A674=$A$403:$A$594)*($B674=$B$403:$B$594)*("Weekend"=$D$403:$D$594),0))*WeekendDays)/DaysPerWeek</f>
        <v>3.415187086345539E-5</v>
      </c>
      <c r="H674" s="10" cm="1">
        <f t="array" ref="H674">(INDEX(I$403:I$594,MATCH(1,($A674=$A$403:$A$594)*($B674=$B$403:$B$594)*("Weekday"=$D$403:$D$594),0))*Weekdays+INDEX(I$403:I$594,MATCH(1,($A674=$A$403:$A$594)*($B674=$B$403:$B$594)*("Weekend"=$D$403:$D$594),0))*WeekendDays)/DaysPerWeek</f>
        <v>3.415187086345539E-5</v>
      </c>
      <c r="I674" s="10" cm="1">
        <f t="array" ref="I674">(INDEX(J$403:J$594,MATCH(1,($A674=$A$403:$A$594)*($B674=$B$403:$B$594)*("Weekday"=$D$403:$D$594),0))*Weekdays+INDEX(J$403:J$594,MATCH(1,($A674=$A$403:$A$594)*($B674=$B$403:$B$594)*("Weekend"=$D$403:$D$594),0))*WeekendDays)/DaysPerWeek</f>
        <v>3.415187086345539E-5</v>
      </c>
      <c r="J674" s="10">
        <v>0</v>
      </c>
      <c r="K674" s="10" cm="1">
        <f t="array" ref="K674">(INDEX(L$403:L$594,MATCH(1,($A674=$A$403:$A$594)*($B674=$B$403:$B$594)*("Weekday"=$D$403:$D$594),0))*Weekdays+INDEX(L$403:L$594,MATCH(1,($A674=$A$403:$A$594)*($B674=$B$403:$B$594)*("Weekend"=$D$403:$D$594),0))*WeekendDays)/DaysPerWeek</f>
        <v>4.5655735733016668E-5</v>
      </c>
      <c r="L674" s="10" cm="1">
        <f t="array" ref="L674">(INDEX(M$403:M$594,MATCH(1,($A674=$A$403:$A$594)*($B674=$B$403:$B$594)*("Weekday"=$D$403:$D$594),0))*Weekdays+INDEX(M$403:M$594,MATCH(1,($A674=$A$403:$A$594)*($B674=$B$403:$B$594)*("Weekend"=$D$403:$D$594),0))*WeekendDays)/DaysPerWeek</f>
        <v>0</v>
      </c>
      <c r="M674" s="10" cm="1">
        <f t="array" ref="M674">(INDEX(N$403:N$594,MATCH(1,($A674=$A$403:$A$594)*($B674=$B$403:$B$594)*("Weekday"=$D$403:$D$594),0))*Weekdays+INDEX(N$403:N$594,MATCH(1,($A674=$A$403:$A$594)*($B674=$B$403:$B$594)*("Weekend"=$D$403:$D$594),0))*WeekendDays)/DaysPerWeek</f>
        <v>3.415187086345539E-5</v>
      </c>
      <c r="N674" s="10" cm="1">
        <f t="array" ref="N674">(INDEX(O$403:O$594,MATCH(1,($A674=$A$403:$A$594)*($B674=$B$403:$B$594)*("Weekday"=$D$403:$D$594),0))*Weekdays+INDEX(O$403:O$594,MATCH(1,($A674=$A$403:$A$594)*($B674=$B$403:$B$594)*("Weekend"=$D$403:$D$594),0))*WeekendDays)/DaysPerWeek</f>
        <v>3.415187086345539E-5</v>
      </c>
      <c r="O674" s="10" cm="1">
        <f t="array" ref="O674">(INDEX(P$403:P$594,MATCH(1,($A674=$A$403:$A$594)*($B674=$B$403:$B$594)*("Weekday"=$D$403:$D$594),0))*Weekdays+INDEX(P$403:P$594,MATCH(1,($A674=$A$403:$A$594)*($B674=$B$403:$B$594)*("Weekend"=$D$403:$D$594),0))*WeekendDays)/DaysPerWeek</f>
        <v>3.415187086345539E-5</v>
      </c>
      <c r="P674" s="10" cm="1">
        <f t="array" ref="P674">(INDEX(Q$403:Q$594,MATCH(1,($A674=$A$403:$A$594)*($B674=$B$403:$B$594)*("Weekday"=$D$403:$D$594),0))*Weekdays+INDEX(Q$403:Q$594,MATCH(1,($A674=$A$403:$A$594)*($B674=$B$403:$B$594)*("Weekend"=$D$403:$D$594),0))*WeekendDays)/DaysPerWeek</f>
        <v>4.0256063713760832E-5</v>
      </c>
      <c r="Q674" s="10" cm="1">
        <f t="array" ref="Q674">(INDEX(R$403:R$594,MATCH(1,($A674=$A$403:$A$594)*($B674=$B$403:$B$594)*("Weekday"=$D$403:$D$594),0))*Weekdays+INDEX(R$403:R$594,MATCH(1,($A674=$A$403:$A$594)*($B674=$B$403:$B$594)*("Weekend"=$D$403:$D$594),0))*WeekendDays)/DaysPerWeek</f>
        <v>4.0256063713760832E-5</v>
      </c>
      <c r="R674" s="10" cm="1">
        <f t="array" ref="R674">(INDEX(S$403:S$594,MATCH(1,($A674=$A$403:$A$594)*($B674=$B$403:$B$594)*("Weekday"=$D$403:$D$594),0))*Weekdays+INDEX(S$403:S$594,MATCH(1,($A674=$A$403:$A$594)*($B674=$B$403:$B$594)*("Weekend"=$D$403:$D$594),0))*WeekendDays)/DaysPerWeek</f>
        <v>4.0256063713760832E-5</v>
      </c>
      <c r="S674" s="10" cm="1">
        <f t="array" ref="S674">(INDEX(T$403:T$594,MATCH(1,($A674=$A$403:$A$594)*($B674=$B$403:$B$594)*("Weekday"=$D$403:$D$594),0))*Weekdays+INDEX(T$403:T$594,MATCH(1,($A674=$A$403:$A$594)*($B674=$B$403:$B$594)*("Weekend"=$D$403:$D$594),0))*WeekendDays)/DaysPerWeek</f>
        <v>4.0256063713760832E-5</v>
      </c>
      <c r="T674" s="10" cm="1">
        <f t="array" ref="T674">(INDEX(U$403:U$594,MATCH(1,($A674=$A$403:$A$594)*($B674=$B$403:$B$594)*("Weekday"=$D$403:$D$594),0))*Weekdays+INDEX(U$403:U$594,MATCH(1,($A674=$A$403:$A$594)*($B674=$B$403:$B$594)*("Weekend"=$D$403:$D$594),0))*WeekendDays)/DaysPerWeek</f>
        <v>4.0256063713760832E-5</v>
      </c>
      <c r="U674" s="10" cm="1">
        <f t="array" ref="U674">(INDEX(V$403:V$594,MATCH(1,($A674=$A$403:$A$594)*($B674=$B$403:$B$594)*("Weekday"=$D$403:$D$594),0))*Weekdays+INDEX(V$403:V$594,MATCH(1,($A674=$A$403:$A$594)*($B674=$B$403:$B$594)*("Weekend"=$D$403:$D$594),0))*WeekendDays)/DaysPerWeek</f>
        <v>4.0256063713760832E-5</v>
      </c>
      <c r="V674" s="10" cm="1">
        <f t="array" ref="V674">(INDEX(W$403:W$594,MATCH(1,($A674=$A$403:$A$594)*($B674=$B$403:$B$594)*("Weekday"=$D$403:$D$594),0))*Weekdays+INDEX(W$403:W$594,MATCH(1,($A674=$A$403:$A$594)*($B674=$B$403:$B$594)*("Weekend"=$D$403:$D$594),0))*WeekendDays)/DaysPerWeek</f>
        <v>7.5999095954472627E-5</v>
      </c>
      <c r="W674" s="10" cm="1">
        <f t="array" ref="W674">(INDEX(X$403:X$594,MATCH(1,($A674=$A$403:$A$594)*($B674=$B$403:$B$594)*("Weekday"=$D$403:$D$594),0))*Weekdays+INDEX(X$403:X$594,MATCH(1,($A674=$A$403:$A$594)*($B674=$B$403:$B$594)*("Weekend"=$D$403:$D$594),0))*WeekendDays)/DaysPerWeek</f>
        <v>7.5999095954472627E-5</v>
      </c>
      <c r="X674" s="10" cm="1">
        <f t="array" ref="X674">(INDEX(Y$403:Y$594,MATCH(1,($A674=$A$403:$A$594)*($B674=$B$403:$B$594)*("Weekday"=$D$403:$D$594),0))*Weekdays+INDEX(Y$403:Y$594,MATCH(1,($A674=$A$403:$A$594)*($B674=$B$403:$B$594)*("Weekend"=$D$403:$D$594),0))*WeekendDays)/DaysPerWeek</f>
        <v>7.5999095954472627E-5</v>
      </c>
      <c r="Y674" s="27">
        <f t="shared" si="245"/>
        <v>7.5297981259554541E-4</v>
      </c>
      <c r="Z674" s="32" t="str">
        <f t="shared" si="244"/>
        <v/>
      </c>
    </row>
    <row r="675" spans="1:26" outlineLevel="1" x14ac:dyDescent="0.3">
      <c r="A675" t="s">
        <v>166</v>
      </c>
      <c r="B675" t="s">
        <v>67</v>
      </c>
      <c r="C675" s="6" t="s">
        <v>143</v>
      </c>
      <c r="D675" s="10">
        <v>0</v>
      </c>
      <c r="E675" s="10" cm="1">
        <f t="array" ref="E675">(INDEX(F$403:F$594,MATCH(1,($A675=$A$403:$A$594)*($B675=$B$403:$B$594)*("Weekday"=$D$403:$D$594),0))*Weekdays+INDEX(F$403:F$594,MATCH(1,($A675=$A$403:$A$594)*($B675=$B$403:$B$594)*("Weekend"=$D$403:$D$594),0))*WeekendDays)/DaysPerWeek</f>
        <v>3.4521348449480082E-5</v>
      </c>
      <c r="F675" s="10" cm="1">
        <f t="array" ref="F675">(INDEX(G$403:G$594,MATCH(1,($A675=$A$403:$A$594)*($B675=$B$403:$B$594)*("Weekday"=$D$403:$D$594),0))*Weekdays+INDEX(G$403:G$594,MATCH(1,($A675=$A$403:$A$594)*($B675=$B$403:$B$594)*("Weekend"=$D$403:$D$594),0))*WeekendDays)/DaysPerWeek</f>
        <v>0</v>
      </c>
      <c r="G675" s="10" cm="1">
        <f t="array" ref="G675">(INDEX(H$403:H$594,MATCH(1,($A675=$A$403:$A$594)*($B675=$B$403:$B$594)*("Weekday"=$D$403:$D$594),0))*Weekdays+INDEX(H$403:H$594,MATCH(1,($A675=$A$403:$A$594)*($B675=$B$403:$B$594)*("Weekend"=$D$403:$D$594),0))*WeekendDays)/DaysPerWeek</f>
        <v>3.4633376824992751E-5</v>
      </c>
      <c r="H675" s="10" cm="1">
        <f t="array" ref="H675">(INDEX(I$403:I$594,MATCH(1,($A675=$A$403:$A$594)*($B675=$B$403:$B$594)*("Weekday"=$D$403:$D$594),0))*Weekdays+INDEX(I$403:I$594,MATCH(1,($A675=$A$403:$A$594)*($B675=$B$403:$B$594)*("Weekend"=$D$403:$D$594),0))*WeekendDays)/DaysPerWeek</f>
        <v>3.4633376824992751E-5</v>
      </c>
      <c r="I675" s="10" cm="1">
        <f t="array" ref="I675">(INDEX(J$403:J$594,MATCH(1,($A675=$A$403:$A$594)*($B675=$B$403:$B$594)*("Weekday"=$D$403:$D$594),0))*Weekdays+INDEX(J$403:J$594,MATCH(1,($A675=$A$403:$A$594)*($B675=$B$403:$B$594)*("Weekend"=$D$403:$D$594),0))*WeekendDays)/DaysPerWeek</f>
        <v>3.4633376824992751E-5</v>
      </c>
      <c r="J675" s="10">
        <v>0</v>
      </c>
      <c r="K675" s="10" cm="1">
        <f t="array" ref="K675">(INDEX(L$403:L$594,MATCH(1,($A675=$A$403:$A$594)*($B675=$B$403:$B$594)*("Weekday"=$D$403:$D$594),0))*Weekdays+INDEX(L$403:L$594,MATCH(1,($A675=$A$403:$A$594)*($B675=$B$403:$B$594)*("Weekend"=$D$403:$D$594),0))*WeekendDays)/DaysPerWeek</f>
        <v>4.5647455347101996E-5</v>
      </c>
      <c r="L675" s="10" cm="1">
        <f t="array" ref="L675">(INDEX(M$403:M$594,MATCH(1,($A675=$A$403:$A$594)*($B675=$B$403:$B$594)*("Weekday"=$D$403:$D$594),0))*Weekdays+INDEX(M$403:M$594,MATCH(1,($A675=$A$403:$A$594)*($B675=$B$403:$B$594)*("Weekend"=$D$403:$D$594),0))*WeekendDays)/DaysPerWeek</f>
        <v>0</v>
      </c>
      <c r="M675" s="10" cm="1">
        <f t="array" ref="M675">(INDEX(N$403:N$594,MATCH(1,($A675=$A$403:$A$594)*($B675=$B$403:$B$594)*("Weekday"=$D$403:$D$594),0))*Weekdays+INDEX(N$403:N$594,MATCH(1,($A675=$A$403:$A$594)*($B675=$B$403:$B$594)*("Weekend"=$D$403:$D$594),0))*WeekendDays)/DaysPerWeek</f>
        <v>3.4633376824992751E-5</v>
      </c>
      <c r="N675" s="10" cm="1">
        <f t="array" ref="N675">(INDEX(O$403:O$594,MATCH(1,($A675=$A$403:$A$594)*($B675=$B$403:$B$594)*("Weekday"=$D$403:$D$594),0))*Weekdays+INDEX(O$403:O$594,MATCH(1,($A675=$A$403:$A$594)*($B675=$B$403:$B$594)*("Weekend"=$D$403:$D$594),0))*WeekendDays)/DaysPerWeek</f>
        <v>3.4633376824992751E-5</v>
      </c>
      <c r="O675" s="10" cm="1">
        <f t="array" ref="O675">(INDEX(P$403:P$594,MATCH(1,($A675=$A$403:$A$594)*($B675=$B$403:$B$594)*("Weekday"=$D$403:$D$594),0))*Weekdays+INDEX(P$403:P$594,MATCH(1,($A675=$A$403:$A$594)*($B675=$B$403:$B$594)*("Weekend"=$D$403:$D$594),0))*WeekendDays)/DaysPerWeek</f>
        <v>3.4633376824992751E-5</v>
      </c>
      <c r="P675" s="10" cm="1">
        <f t="array" ref="P675">(INDEX(Q$403:Q$594,MATCH(1,($A675=$A$403:$A$594)*($B675=$B$403:$B$594)*("Weekday"=$D$403:$D$594),0))*Weekdays+INDEX(Q$403:Q$594,MATCH(1,($A675=$A$403:$A$594)*($B675=$B$403:$B$594)*("Weekend"=$D$403:$D$594),0))*WeekendDays)/DaysPerWeek</f>
        <v>4.0256063713760832E-5</v>
      </c>
      <c r="Q675" s="10" cm="1">
        <f t="array" ref="Q675">(INDEX(R$403:R$594,MATCH(1,($A675=$A$403:$A$594)*($B675=$B$403:$B$594)*("Weekday"=$D$403:$D$594),0))*Weekdays+INDEX(R$403:R$594,MATCH(1,($A675=$A$403:$A$594)*($B675=$B$403:$B$594)*("Weekend"=$D$403:$D$594),0))*WeekendDays)/DaysPerWeek</f>
        <v>4.0256063713760832E-5</v>
      </c>
      <c r="R675" s="10" cm="1">
        <f t="array" ref="R675">(INDEX(S$403:S$594,MATCH(1,($A675=$A$403:$A$594)*($B675=$B$403:$B$594)*("Weekday"=$D$403:$D$594),0))*Weekdays+INDEX(S$403:S$594,MATCH(1,($A675=$A$403:$A$594)*($B675=$B$403:$B$594)*("Weekend"=$D$403:$D$594),0))*WeekendDays)/DaysPerWeek</f>
        <v>4.0256063713760832E-5</v>
      </c>
      <c r="S675" s="10" cm="1">
        <f t="array" ref="S675">(INDEX(T$403:T$594,MATCH(1,($A675=$A$403:$A$594)*($B675=$B$403:$B$594)*("Weekday"=$D$403:$D$594),0))*Weekdays+INDEX(T$403:T$594,MATCH(1,($A675=$A$403:$A$594)*($B675=$B$403:$B$594)*("Weekend"=$D$403:$D$594),0))*WeekendDays)/DaysPerWeek</f>
        <v>4.0256063713760832E-5</v>
      </c>
      <c r="T675" s="10" cm="1">
        <f t="array" ref="T675">(INDEX(U$403:U$594,MATCH(1,($A675=$A$403:$A$594)*($B675=$B$403:$B$594)*("Weekday"=$D$403:$D$594),0))*Weekdays+INDEX(U$403:U$594,MATCH(1,($A675=$A$403:$A$594)*($B675=$B$403:$B$594)*("Weekend"=$D$403:$D$594),0))*WeekendDays)/DaysPerWeek</f>
        <v>4.0256063713760832E-5</v>
      </c>
      <c r="U675" s="10" cm="1">
        <f t="array" ref="U675">(INDEX(V$403:V$594,MATCH(1,($A675=$A$403:$A$594)*($B675=$B$403:$B$594)*("Weekday"=$D$403:$D$594),0))*Weekdays+INDEX(V$403:V$594,MATCH(1,($A675=$A$403:$A$594)*($B675=$B$403:$B$594)*("Weekend"=$D$403:$D$594),0))*WeekendDays)/DaysPerWeek</f>
        <v>4.0256063713760832E-5</v>
      </c>
      <c r="V675" s="10" cm="1">
        <f t="array" ref="V675">(INDEX(W$403:W$594,MATCH(1,($A675=$A$403:$A$594)*($B675=$B$403:$B$594)*("Weekday"=$D$403:$D$594),0))*Weekdays+INDEX(W$403:W$594,MATCH(1,($A675=$A$403:$A$594)*($B675=$B$403:$B$594)*("Weekend"=$D$403:$D$594),0))*WeekendDays)/DaysPerWeek</f>
        <v>7.6075476955431915E-5</v>
      </c>
      <c r="W675" s="10" cm="1">
        <f t="array" ref="W675">(INDEX(X$403:X$594,MATCH(1,($A675=$A$403:$A$594)*($B675=$B$403:$B$594)*("Weekday"=$D$403:$D$594),0))*Weekdays+INDEX(X$403:X$594,MATCH(1,($A675=$A$403:$A$594)*($B675=$B$403:$B$594)*("Weekend"=$D$403:$D$594),0))*WeekendDays)/DaysPerWeek</f>
        <v>7.6075476955431915E-5</v>
      </c>
      <c r="X675" s="10" cm="1">
        <f t="array" ref="X675">(INDEX(Y$403:Y$594,MATCH(1,($A675=$A$403:$A$594)*($B675=$B$403:$B$594)*("Weekday"=$D$403:$D$594),0))*Weekdays+INDEX(Y$403:Y$594,MATCH(1,($A675=$A$403:$A$594)*($B675=$B$403:$B$594)*("Weekend"=$D$403:$D$594),0))*WeekendDays)/DaysPerWeek</f>
        <v>7.6075476955431915E-5</v>
      </c>
      <c r="Y675" s="27">
        <f t="shared" si="245"/>
        <v>7.5773187789539948E-4</v>
      </c>
      <c r="Z675" s="32" t="str">
        <f t="shared" si="244"/>
        <v/>
      </c>
    </row>
    <row r="676" spans="1:26" outlineLevel="1" x14ac:dyDescent="0.3">
      <c r="A676" t="s">
        <v>166</v>
      </c>
      <c r="B676" t="s">
        <v>68</v>
      </c>
      <c r="C676" s="6" t="s">
        <v>144</v>
      </c>
      <c r="D676" s="10">
        <v>0</v>
      </c>
      <c r="E676" s="10" cm="1">
        <f t="array" ref="E676">(INDEX(F$403:F$594,MATCH(1,($A676=$A$403:$A$594)*($B676=$B$403:$B$594)*("Weekday"=$D$403:$D$594),0))*Weekdays+INDEX(F$403:F$594,MATCH(1,($A676=$A$403:$A$594)*($B676=$B$403:$B$594)*("Weekend"=$D$403:$D$594),0))*WeekendDays)/DaysPerWeek</f>
        <v>3.8836233778413612E-5</v>
      </c>
      <c r="F676" s="10" cm="1">
        <f t="array" ref="F676">(INDEX(G$403:G$594,MATCH(1,($A676=$A$403:$A$594)*($B676=$B$403:$B$594)*("Weekday"=$D$403:$D$594),0))*Weekdays+INDEX(G$403:G$594,MATCH(1,($A676=$A$403:$A$594)*($B676=$B$403:$B$594)*("Weekend"=$D$403:$D$594),0))*WeekendDays)/DaysPerWeek</f>
        <v>0</v>
      </c>
      <c r="G676" s="10" cm="1">
        <f t="array" ref="G676">(INDEX(H$403:H$594,MATCH(1,($A676=$A$403:$A$594)*($B676=$B$403:$B$594)*("Weekday"=$D$403:$D$594),0))*Weekdays+INDEX(H$403:H$594,MATCH(1,($A676=$A$403:$A$594)*($B676=$B$403:$B$594)*("Weekend"=$D$403:$D$594),0))*WeekendDays)/DaysPerWeek</f>
        <v>4.1797455434590919E-5</v>
      </c>
      <c r="H676" s="10" cm="1">
        <f t="array" ref="H676">(INDEX(I$403:I$594,MATCH(1,($A676=$A$403:$A$594)*($B676=$B$403:$B$594)*("Weekday"=$D$403:$D$594),0))*Weekdays+INDEX(I$403:I$594,MATCH(1,($A676=$A$403:$A$594)*($B676=$B$403:$B$594)*("Weekend"=$D$403:$D$594),0))*WeekendDays)/DaysPerWeek</f>
        <v>4.1797455434590919E-5</v>
      </c>
      <c r="I676" s="10" cm="1">
        <f t="array" ref="I676">(INDEX(J$403:J$594,MATCH(1,($A676=$A$403:$A$594)*($B676=$B$403:$B$594)*("Weekday"=$D$403:$D$594),0))*Weekdays+INDEX(J$403:J$594,MATCH(1,($A676=$A$403:$A$594)*($B676=$B$403:$B$594)*("Weekend"=$D$403:$D$594),0))*WeekendDays)/DaysPerWeek</f>
        <v>4.1797455434590919E-5</v>
      </c>
      <c r="J676" s="10">
        <v>0</v>
      </c>
      <c r="K676" s="10" cm="1">
        <f t="array" ref="K676">(INDEX(L$403:L$594,MATCH(1,($A676=$A$403:$A$594)*($B676=$B$403:$B$594)*("Weekday"=$D$403:$D$594),0))*Weekdays+INDEX(L$403:L$594,MATCH(1,($A676=$A$403:$A$594)*($B676=$B$403:$B$594)*("Weekend"=$D$403:$D$594),0))*WeekendDays)/DaysPerWeek</f>
        <v>4.6649472885347105E-5</v>
      </c>
      <c r="L676" s="10" cm="1">
        <f t="array" ref="L676">(INDEX(M$403:M$594,MATCH(1,($A676=$A$403:$A$594)*($B676=$B$403:$B$594)*("Weekday"=$D$403:$D$594),0))*Weekdays+INDEX(M$403:M$594,MATCH(1,($A676=$A$403:$A$594)*($B676=$B$403:$B$594)*("Weekend"=$D$403:$D$594),0))*WeekendDays)/DaysPerWeek</f>
        <v>0</v>
      </c>
      <c r="M676" s="10" cm="1">
        <f t="array" ref="M676">(INDEX(N$403:N$594,MATCH(1,($A676=$A$403:$A$594)*($B676=$B$403:$B$594)*("Weekday"=$D$403:$D$594),0))*Weekdays+INDEX(N$403:N$594,MATCH(1,($A676=$A$403:$A$594)*($B676=$B$403:$B$594)*("Weekend"=$D$403:$D$594),0))*WeekendDays)/DaysPerWeek</f>
        <v>4.1797455434590919E-5</v>
      </c>
      <c r="N676" s="10" cm="1">
        <f t="array" ref="N676">(INDEX(O$403:O$594,MATCH(1,($A676=$A$403:$A$594)*($B676=$B$403:$B$594)*("Weekday"=$D$403:$D$594),0))*Weekdays+INDEX(O$403:O$594,MATCH(1,($A676=$A$403:$A$594)*($B676=$B$403:$B$594)*("Weekend"=$D$403:$D$594),0))*WeekendDays)/DaysPerWeek</f>
        <v>4.1797455434590919E-5</v>
      </c>
      <c r="O676" s="10" cm="1">
        <f t="array" ref="O676">(INDEX(P$403:P$594,MATCH(1,($A676=$A$403:$A$594)*($B676=$B$403:$B$594)*("Weekday"=$D$403:$D$594),0))*Weekdays+INDEX(P$403:P$594,MATCH(1,($A676=$A$403:$A$594)*($B676=$B$403:$B$594)*("Weekend"=$D$403:$D$594),0))*WeekendDays)/DaysPerWeek</f>
        <v>4.1797455434590919E-5</v>
      </c>
      <c r="P676" s="10" cm="1">
        <f t="array" ref="P676">(INDEX(Q$403:Q$594,MATCH(1,($A676=$A$403:$A$594)*($B676=$B$403:$B$594)*("Weekday"=$D$403:$D$594),0))*Weekdays+INDEX(Q$403:Q$594,MATCH(1,($A676=$A$403:$A$594)*($B676=$B$403:$B$594)*("Weekend"=$D$403:$D$594),0))*WeekendDays)/DaysPerWeek</f>
        <v>4.0240372400678092E-5</v>
      </c>
      <c r="Q676" s="10" cm="1">
        <f t="array" ref="Q676">(INDEX(R$403:R$594,MATCH(1,($A676=$A$403:$A$594)*($B676=$B$403:$B$594)*("Weekday"=$D$403:$D$594),0))*Weekdays+INDEX(R$403:R$594,MATCH(1,($A676=$A$403:$A$594)*($B676=$B$403:$B$594)*("Weekend"=$D$403:$D$594),0))*WeekendDays)/DaysPerWeek</f>
        <v>4.0240372400678092E-5</v>
      </c>
      <c r="R676" s="10" cm="1">
        <f t="array" ref="R676">(INDEX(S$403:S$594,MATCH(1,($A676=$A$403:$A$594)*($B676=$B$403:$B$594)*("Weekday"=$D$403:$D$594),0))*Weekdays+INDEX(S$403:S$594,MATCH(1,($A676=$A$403:$A$594)*($B676=$B$403:$B$594)*("Weekend"=$D$403:$D$594),0))*WeekendDays)/DaysPerWeek</f>
        <v>4.0240372400678092E-5</v>
      </c>
      <c r="S676" s="10" cm="1">
        <f t="array" ref="S676">(INDEX(T$403:T$594,MATCH(1,($A676=$A$403:$A$594)*($B676=$B$403:$B$594)*("Weekday"=$D$403:$D$594),0))*Weekdays+INDEX(T$403:T$594,MATCH(1,($A676=$A$403:$A$594)*($B676=$B$403:$B$594)*("Weekend"=$D$403:$D$594),0))*WeekendDays)/DaysPerWeek</f>
        <v>4.0240372400678092E-5</v>
      </c>
      <c r="T676" s="10" cm="1">
        <f t="array" ref="T676">(INDEX(U$403:U$594,MATCH(1,($A676=$A$403:$A$594)*($B676=$B$403:$B$594)*("Weekday"=$D$403:$D$594),0))*Weekdays+INDEX(U$403:U$594,MATCH(1,($A676=$A$403:$A$594)*($B676=$B$403:$B$594)*("Weekend"=$D$403:$D$594),0))*WeekendDays)/DaysPerWeek</f>
        <v>4.0240372400678092E-5</v>
      </c>
      <c r="U676" s="10" cm="1">
        <f t="array" ref="U676">(INDEX(V$403:V$594,MATCH(1,($A676=$A$403:$A$594)*($B676=$B$403:$B$594)*("Weekday"=$D$403:$D$594),0))*Weekdays+INDEX(V$403:V$594,MATCH(1,($A676=$A$403:$A$594)*($B676=$B$403:$B$594)*("Weekend"=$D$403:$D$594),0))*WeekendDays)/DaysPerWeek</f>
        <v>4.0240372400678092E-5</v>
      </c>
      <c r="V676" s="10" cm="1">
        <f t="array" ref="V676">(INDEX(W$403:W$594,MATCH(1,($A676=$A$403:$A$594)*($B676=$B$403:$B$594)*("Weekday"=$D$403:$D$594),0))*Weekdays+INDEX(W$403:W$594,MATCH(1,($A676=$A$403:$A$594)*($B676=$B$403:$B$594)*("Weekend"=$D$403:$D$594),0))*WeekendDays)/DaysPerWeek</f>
        <v>7.6151857956391163E-5</v>
      </c>
      <c r="W676" s="10" cm="1">
        <f t="array" ref="W676">(INDEX(X$403:X$594,MATCH(1,($A676=$A$403:$A$594)*($B676=$B$403:$B$594)*("Weekday"=$D$403:$D$594),0))*Weekdays+INDEX(X$403:X$594,MATCH(1,($A676=$A$403:$A$594)*($B676=$B$403:$B$594)*("Weekend"=$D$403:$D$594),0))*WeekendDays)/DaysPerWeek</f>
        <v>7.6151857956391163E-5</v>
      </c>
      <c r="X676" s="10" cm="1">
        <f t="array" ref="X676">(INDEX(Y$403:Y$594,MATCH(1,($A676=$A$403:$A$594)*($B676=$B$403:$B$594)*("Weekday"=$D$403:$D$594),0))*Weekdays+INDEX(Y$403:Y$594,MATCH(1,($A676=$A$403:$A$594)*($B676=$B$403:$B$594)*("Weekend"=$D$403:$D$594),0))*WeekendDays)/DaysPerWeek</f>
        <v>7.6151857956391163E-5</v>
      </c>
      <c r="Y676" s="27">
        <f t="shared" si="245"/>
        <v>8.0616824754454824E-4</v>
      </c>
      <c r="Z676" s="32" t="str">
        <f t="shared" si="244"/>
        <v/>
      </c>
    </row>
    <row r="677" spans="1:26" outlineLevel="1" x14ac:dyDescent="0.3">
      <c r="A677" t="s">
        <v>166</v>
      </c>
      <c r="B677" t="s">
        <v>69</v>
      </c>
      <c r="C677" s="6" t="s">
        <v>145</v>
      </c>
      <c r="D677" s="10">
        <v>0</v>
      </c>
      <c r="E677" s="10" cm="1">
        <f t="array" ref="E677">(INDEX(F$403:F$594,MATCH(1,($A677=$A$403:$A$594)*($B677=$B$403:$B$594)*("Weekday"=$D$403:$D$594),0))*Weekdays+INDEX(F$403:F$594,MATCH(1,($A677=$A$403:$A$594)*($B677=$B$403:$B$594)*("Weekend"=$D$403:$D$594),0))*WeekendDays)/DaysPerWeek</f>
        <v>4.4855494737571979E-5</v>
      </c>
      <c r="F677" s="10" cm="1">
        <f t="array" ref="F677">(INDEX(G$403:G$594,MATCH(1,($A677=$A$403:$A$594)*($B677=$B$403:$B$594)*("Weekday"=$D$403:$D$594),0))*Weekdays+INDEX(G$403:G$594,MATCH(1,($A677=$A$403:$A$594)*($B677=$B$403:$B$594)*("Weekend"=$D$403:$D$594),0))*WeekendDays)/DaysPerWeek</f>
        <v>0</v>
      </c>
      <c r="G677" s="10" cm="1">
        <f t="array" ref="G677">(INDEX(H$403:H$594,MATCH(1,($A677=$A$403:$A$594)*($B677=$B$403:$B$594)*("Weekday"=$D$403:$D$594),0))*Weekdays+INDEX(H$403:H$594,MATCH(1,($A677=$A$403:$A$594)*($B677=$B$403:$B$594)*("Weekend"=$D$403:$D$594),0))*WeekendDays)/DaysPerWeek</f>
        <v>6.6514303281747393E-5</v>
      </c>
      <c r="H677" s="10" cm="1">
        <f t="array" ref="H677">(INDEX(I$403:I$594,MATCH(1,($A677=$A$403:$A$594)*($B677=$B$403:$B$594)*("Weekday"=$D$403:$D$594),0))*Weekdays+INDEX(I$403:I$594,MATCH(1,($A677=$A$403:$A$594)*($B677=$B$403:$B$594)*("Weekend"=$D$403:$D$594),0))*WeekendDays)/DaysPerWeek</f>
        <v>6.6514303281747393E-5</v>
      </c>
      <c r="I677" s="10" cm="1">
        <f t="array" ref="I677">(INDEX(J$403:J$594,MATCH(1,($A677=$A$403:$A$594)*($B677=$B$403:$B$594)*("Weekday"=$D$403:$D$594),0))*Weekdays+INDEX(J$403:J$594,MATCH(1,($A677=$A$403:$A$594)*($B677=$B$403:$B$594)*("Weekend"=$D$403:$D$594),0))*WeekendDays)/DaysPerWeek</f>
        <v>6.6514303281747393E-5</v>
      </c>
      <c r="J677" s="10">
        <v>0</v>
      </c>
      <c r="K677" s="10" cm="1">
        <f t="array" ref="K677">(INDEX(L$403:L$594,MATCH(1,($A677=$A$403:$A$594)*($B677=$B$403:$B$594)*("Weekday"=$D$403:$D$594),0))*Weekdays+INDEX(L$403:L$594,MATCH(1,($A677=$A$403:$A$594)*($B677=$B$403:$B$594)*("Weekend"=$D$403:$D$594),0))*WeekendDays)/DaysPerWeek</f>
        <v>4.9759000328827828E-5</v>
      </c>
      <c r="L677" s="10" cm="1">
        <f t="array" ref="L677">(INDEX(M$403:M$594,MATCH(1,($A677=$A$403:$A$594)*($B677=$B$403:$B$594)*("Weekday"=$D$403:$D$594),0))*Weekdays+INDEX(M$403:M$594,MATCH(1,($A677=$A$403:$A$594)*($B677=$B$403:$B$594)*("Weekend"=$D$403:$D$594),0))*WeekendDays)/DaysPerWeek</f>
        <v>0</v>
      </c>
      <c r="M677" s="10" cm="1">
        <f t="array" ref="M677">(INDEX(N$403:N$594,MATCH(1,($A677=$A$403:$A$594)*($B677=$B$403:$B$594)*("Weekday"=$D$403:$D$594),0))*Weekdays+INDEX(N$403:N$594,MATCH(1,($A677=$A$403:$A$594)*($B677=$B$403:$B$594)*("Weekend"=$D$403:$D$594),0))*WeekendDays)/DaysPerWeek</f>
        <v>6.6514303281747393E-5</v>
      </c>
      <c r="N677" s="10" cm="1">
        <f t="array" ref="N677">(INDEX(O$403:O$594,MATCH(1,($A677=$A$403:$A$594)*($B677=$B$403:$B$594)*("Weekday"=$D$403:$D$594),0))*Weekdays+INDEX(O$403:O$594,MATCH(1,($A677=$A$403:$A$594)*($B677=$B$403:$B$594)*("Weekend"=$D$403:$D$594),0))*WeekendDays)/DaysPerWeek</f>
        <v>6.6514303281747393E-5</v>
      </c>
      <c r="O677" s="10" cm="1">
        <f t="array" ref="O677">(INDEX(P$403:P$594,MATCH(1,($A677=$A$403:$A$594)*($B677=$B$403:$B$594)*("Weekday"=$D$403:$D$594),0))*Weekdays+INDEX(P$403:P$594,MATCH(1,($A677=$A$403:$A$594)*($B677=$B$403:$B$594)*("Weekend"=$D$403:$D$594),0))*WeekendDays)/DaysPerWeek</f>
        <v>6.6514303281747393E-5</v>
      </c>
      <c r="P677" s="10" cm="1">
        <f t="array" ref="P677">(INDEX(Q$403:Q$594,MATCH(1,($A677=$A$403:$A$594)*($B677=$B$403:$B$594)*("Weekday"=$D$403:$D$594),0))*Weekdays+INDEX(Q$403:Q$594,MATCH(1,($A677=$A$403:$A$594)*($B677=$B$403:$B$594)*("Weekend"=$D$403:$D$594),0))*WeekendDays)/DaysPerWeek</f>
        <v>4.0412976844588195E-5</v>
      </c>
      <c r="Q677" s="10" cm="1">
        <f t="array" ref="Q677">(INDEX(R$403:R$594,MATCH(1,($A677=$A$403:$A$594)*($B677=$B$403:$B$594)*("Weekday"=$D$403:$D$594),0))*Weekdays+INDEX(R$403:R$594,MATCH(1,($A677=$A$403:$A$594)*($B677=$B$403:$B$594)*("Weekend"=$D$403:$D$594),0))*WeekendDays)/DaysPerWeek</f>
        <v>4.0412976844588195E-5</v>
      </c>
      <c r="R677" s="10" cm="1">
        <f t="array" ref="R677">(INDEX(S$403:S$594,MATCH(1,($A677=$A$403:$A$594)*($B677=$B$403:$B$594)*("Weekday"=$D$403:$D$594),0))*Weekdays+INDEX(S$403:S$594,MATCH(1,($A677=$A$403:$A$594)*($B677=$B$403:$B$594)*("Weekend"=$D$403:$D$594),0))*WeekendDays)/DaysPerWeek</f>
        <v>4.0412976844588195E-5</v>
      </c>
      <c r="S677" s="10" cm="1">
        <f t="array" ref="S677">(INDEX(T$403:T$594,MATCH(1,($A677=$A$403:$A$594)*($B677=$B$403:$B$594)*("Weekday"=$D$403:$D$594),0))*Weekdays+INDEX(T$403:T$594,MATCH(1,($A677=$A$403:$A$594)*($B677=$B$403:$B$594)*("Weekend"=$D$403:$D$594),0))*WeekendDays)/DaysPerWeek</f>
        <v>4.0412976844588195E-5</v>
      </c>
      <c r="T677" s="10" cm="1">
        <f t="array" ref="T677">(INDEX(U$403:U$594,MATCH(1,($A677=$A$403:$A$594)*($B677=$B$403:$B$594)*("Weekday"=$D$403:$D$594),0))*Weekdays+INDEX(U$403:U$594,MATCH(1,($A677=$A$403:$A$594)*($B677=$B$403:$B$594)*("Weekend"=$D$403:$D$594),0))*WeekendDays)/DaysPerWeek</f>
        <v>4.0412976844588195E-5</v>
      </c>
      <c r="U677" s="10" cm="1">
        <f t="array" ref="U677">(INDEX(V$403:V$594,MATCH(1,($A677=$A$403:$A$594)*($B677=$B$403:$B$594)*("Weekday"=$D$403:$D$594),0))*Weekdays+INDEX(V$403:V$594,MATCH(1,($A677=$A$403:$A$594)*($B677=$B$403:$B$594)*("Weekend"=$D$403:$D$594),0))*WeekendDays)/DaysPerWeek</f>
        <v>4.0412976844588195E-5</v>
      </c>
      <c r="V677" s="10" cm="1">
        <f t="array" ref="V677">(INDEX(W$403:W$594,MATCH(1,($A677=$A$403:$A$594)*($B677=$B$403:$B$594)*("Weekday"=$D$403:$D$594),0))*Weekdays+INDEX(W$403:W$594,MATCH(1,($A677=$A$403:$A$594)*($B677=$B$403:$B$594)*("Weekend"=$D$403:$D$594),0))*WeekendDays)/DaysPerWeek</f>
        <v>7.6533762961187522E-5</v>
      </c>
      <c r="W677" s="10" cm="1">
        <f t="array" ref="W677">(INDEX(X$403:X$594,MATCH(1,($A677=$A$403:$A$594)*($B677=$B$403:$B$594)*("Weekday"=$D$403:$D$594),0))*Weekdays+INDEX(X$403:X$594,MATCH(1,($A677=$A$403:$A$594)*($B677=$B$403:$B$594)*("Weekend"=$D$403:$D$594),0))*WeekendDays)/DaysPerWeek</f>
        <v>7.6533762961187522E-5</v>
      </c>
      <c r="X677" s="10" cm="1">
        <f t="array" ref="X677">(INDEX(Y$403:Y$594,MATCH(1,($A677=$A$403:$A$594)*($B677=$B$403:$B$594)*("Weekday"=$D$403:$D$594),0))*Weekdays+INDEX(Y$403:Y$594,MATCH(1,($A677=$A$403:$A$594)*($B677=$B$403:$B$594)*("Weekend"=$D$403:$D$594),0))*WeekendDays)/DaysPerWeek</f>
        <v>7.6533762961187522E-5</v>
      </c>
      <c r="Y677" s="27">
        <f t="shared" si="245"/>
        <v>9.6577946470797582E-4</v>
      </c>
      <c r="Z677" s="32" t="str">
        <f t="shared" si="244"/>
        <v/>
      </c>
    </row>
    <row r="678" spans="1:26" outlineLevel="1" x14ac:dyDescent="0.3">
      <c r="A678" t="s">
        <v>166</v>
      </c>
      <c r="B678" t="s">
        <v>70</v>
      </c>
      <c r="C678" s="6" t="s">
        <v>146</v>
      </c>
      <c r="D678" s="10">
        <v>0</v>
      </c>
      <c r="E678" s="10" cm="1">
        <f t="array" ref="E678">(INDEX(F$403:F$594,MATCH(1,($A678=$A$403:$A$594)*($B678=$B$403:$B$594)*("Weekday"=$D$403:$D$594),0))*Weekdays+INDEX(F$403:F$594,MATCH(1,($A678=$A$403:$A$594)*($B678=$B$403:$B$594)*("Weekend"=$D$403:$D$594),0))*WeekendDays)/DaysPerWeek</f>
        <v>4.9869033980453467E-5</v>
      </c>
      <c r="F678" s="10" cm="1">
        <f t="array" ref="F678">(INDEX(G$403:G$594,MATCH(1,($A678=$A$403:$A$594)*($B678=$B$403:$B$594)*("Weekday"=$D$403:$D$594),0))*Weekdays+INDEX(G$403:G$594,MATCH(1,($A678=$A$403:$A$594)*($B678=$B$403:$B$594)*("Weekend"=$D$403:$D$594),0))*WeekendDays)/DaysPerWeek</f>
        <v>0</v>
      </c>
      <c r="G678" s="10" cm="1">
        <f t="array" ref="G678">(INDEX(H$403:H$594,MATCH(1,($A678=$A$403:$A$594)*($B678=$B$403:$B$594)*("Weekday"=$D$403:$D$594),0))*Weekdays+INDEX(H$403:H$594,MATCH(1,($A678=$A$403:$A$594)*($B678=$B$403:$B$594)*("Weekend"=$D$403:$D$594),0))*WeekendDays)/DaysPerWeek</f>
        <v>8.6321096867230765E-5</v>
      </c>
      <c r="H678" s="10" cm="1">
        <f t="array" ref="H678">(INDEX(I$403:I$594,MATCH(1,($A678=$A$403:$A$594)*($B678=$B$403:$B$594)*("Weekday"=$D$403:$D$594),0))*Weekdays+INDEX(I$403:I$594,MATCH(1,($A678=$A$403:$A$594)*($B678=$B$403:$B$594)*("Weekend"=$D$403:$D$594),0))*WeekendDays)/DaysPerWeek</f>
        <v>8.6321096867230765E-5</v>
      </c>
      <c r="I678" s="10" cm="1">
        <f t="array" ref="I678">(INDEX(J$403:J$594,MATCH(1,($A678=$A$403:$A$594)*($B678=$B$403:$B$594)*("Weekday"=$D$403:$D$594),0))*Weekdays+INDEX(J$403:J$594,MATCH(1,($A678=$A$403:$A$594)*($B678=$B$403:$B$594)*("Weekend"=$D$403:$D$594),0))*WeekendDays)/DaysPerWeek</f>
        <v>8.6321096867230765E-5</v>
      </c>
      <c r="J678" s="10">
        <v>0</v>
      </c>
      <c r="K678" s="10" cm="1">
        <f t="array" ref="K678">(INDEX(L$403:L$594,MATCH(1,($A678=$A$403:$A$594)*($B678=$B$403:$B$594)*("Weekday"=$D$403:$D$594),0))*Weekdays+INDEX(L$403:L$594,MATCH(1,($A678=$A$403:$A$594)*($B678=$B$403:$B$594)*("Weekend"=$D$403:$D$594),0))*WeekendDays)/DaysPerWeek</f>
        <v>5.6155832410380466E-5</v>
      </c>
      <c r="L678" s="10" cm="1">
        <f t="array" ref="L678">(INDEX(M$403:M$594,MATCH(1,($A678=$A$403:$A$594)*($B678=$B$403:$B$594)*("Weekday"=$D$403:$D$594),0))*Weekdays+INDEX(M$403:M$594,MATCH(1,($A678=$A$403:$A$594)*($B678=$B$403:$B$594)*("Weekend"=$D$403:$D$594),0))*WeekendDays)/DaysPerWeek</f>
        <v>0</v>
      </c>
      <c r="M678" s="10" cm="1">
        <f t="array" ref="M678">(INDEX(N$403:N$594,MATCH(1,($A678=$A$403:$A$594)*($B678=$B$403:$B$594)*("Weekday"=$D$403:$D$594),0))*Weekdays+INDEX(N$403:N$594,MATCH(1,($A678=$A$403:$A$594)*($B678=$B$403:$B$594)*("Weekend"=$D$403:$D$594),0))*WeekendDays)/DaysPerWeek</f>
        <v>8.6321096867230765E-5</v>
      </c>
      <c r="N678" s="10" cm="1">
        <f t="array" ref="N678">(INDEX(O$403:O$594,MATCH(1,($A678=$A$403:$A$594)*($B678=$B$403:$B$594)*("Weekday"=$D$403:$D$594),0))*Weekdays+INDEX(O$403:O$594,MATCH(1,($A678=$A$403:$A$594)*($B678=$B$403:$B$594)*("Weekend"=$D$403:$D$594),0))*WeekendDays)/DaysPerWeek</f>
        <v>8.6321096867230765E-5</v>
      </c>
      <c r="O678" s="10" cm="1">
        <f t="array" ref="O678">(INDEX(P$403:P$594,MATCH(1,($A678=$A$403:$A$594)*($B678=$B$403:$B$594)*("Weekday"=$D$403:$D$594),0))*Weekdays+INDEX(P$403:P$594,MATCH(1,($A678=$A$403:$A$594)*($B678=$B$403:$B$594)*("Weekend"=$D$403:$D$594),0))*WeekendDays)/DaysPerWeek</f>
        <v>8.6321096867230765E-5</v>
      </c>
      <c r="P678" s="10" cm="1">
        <f t="array" ref="P678">(INDEX(Q$403:Q$594,MATCH(1,($A678=$A$403:$A$594)*($B678=$B$403:$B$594)*("Weekday"=$D$403:$D$594),0))*Weekdays+INDEX(Q$403:Q$594,MATCH(1,($A678=$A$403:$A$594)*($B678=$B$403:$B$594)*("Weekend"=$D$403:$D$594),0))*WeekendDays)/DaysPerWeek</f>
        <v>5.5390335182060313E-5</v>
      </c>
      <c r="Q678" s="10" cm="1">
        <f t="array" ref="Q678">(INDEX(R$403:R$594,MATCH(1,($A678=$A$403:$A$594)*($B678=$B$403:$B$594)*("Weekday"=$D$403:$D$594),0))*Weekdays+INDEX(R$403:R$594,MATCH(1,($A678=$A$403:$A$594)*($B678=$B$403:$B$594)*("Weekend"=$D$403:$D$594),0))*WeekendDays)/DaysPerWeek</f>
        <v>5.5390335182060313E-5</v>
      </c>
      <c r="R678" s="10" cm="1">
        <f t="array" ref="R678">(INDEX(S$403:S$594,MATCH(1,($A678=$A$403:$A$594)*($B678=$B$403:$B$594)*("Weekday"=$D$403:$D$594),0))*Weekdays+INDEX(S$403:S$594,MATCH(1,($A678=$A$403:$A$594)*($B678=$B$403:$B$594)*("Weekend"=$D$403:$D$594),0))*WeekendDays)/DaysPerWeek</f>
        <v>5.5390335182060313E-5</v>
      </c>
      <c r="S678" s="10" cm="1">
        <f t="array" ref="S678">(INDEX(T$403:T$594,MATCH(1,($A678=$A$403:$A$594)*($B678=$B$403:$B$594)*("Weekday"=$D$403:$D$594),0))*Weekdays+INDEX(T$403:T$594,MATCH(1,($A678=$A$403:$A$594)*($B678=$B$403:$B$594)*("Weekend"=$D$403:$D$594),0))*WeekendDays)/DaysPerWeek</f>
        <v>5.5390335182060313E-5</v>
      </c>
      <c r="T678" s="10" cm="1">
        <f t="array" ref="T678">(INDEX(U$403:U$594,MATCH(1,($A678=$A$403:$A$594)*($B678=$B$403:$B$594)*("Weekday"=$D$403:$D$594),0))*Weekdays+INDEX(U$403:U$594,MATCH(1,($A678=$A$403:$A$594)*($B678=$B$403:$B$594)*("Weekend"=$D$403:$D$594),0))*WeekendDays)/DaysPerWeek</f>
        <v>5.5390335182060313E-5</v>
      </c>
      <c r="U678" s="10" cm="1">
        <f t="array" ref="U678">(INDEX(V$403:V$594,MATCH(1,($A678=$A$403:$A$594)*($B678=$B$403:$B$594)*("Weekday"=$D$403:$D$594),0))*Weekdays+INDEX(V$403:V$594,MATCH(1,($A678=$A$403:$A$594)*($B678=$B$403:$B$594)*("Weekend"=$D$403:$D$594),0))*WeekendDays)/DaysPerWeek</f>
        <v>5.5390335182060313E-5</v>
      </c>
      <c r="V678" s="10" cm="1">
        <f t="array" ref="V678">(INDEX(W$403:W$594,MATCH(1,($A678=$A$403:$A$594)*($B678=$B$403:$B$594)*("Weekday"=$D$403:$D$594),0))*Weekdays+INDEX(W$403:W$594,MATCH(1,($A678=$A$403:$A$594)*($B678=$B$403:$B$594)*("Weekend"=$D$403:$D$594),0))*WeekendDays)/DaysPerWeek</f>
        <v>7.6992048966943141E-5</v>
      </c>
      <c r="W678" s="10" cm="1">
        <f t="array" ref="W678">(INDEX(X$403:X$594,MATCH(1,($A678=$A$403:$A$594)*($B678=$B$403:$B$594)*("Weekday"=$D$403:$D$594),0))*Weekdays+INDEX(X$403:X$594,MATCH(1,($A678=$A$403:$A$594)*($B678=$B$403:$B$594)*("Weekend"=$D$403:$D$594),0))*WeekendDays)/DaysPerWeek</f>
        <v>7.6992048966943141E-5</v>
      </c>
      <c r="X678" s="10" cm="1">
        <f t="array" ref="X678">(INDEX(Y$403:Y$594,MATCH(1,($A678=$A$403:$A$594)*($B678=$B$403:$B$594)*("Weekday"=$D$403:$D$594),0))*Weekdays+INDEX(Y$403:Y$594,MATCH(1,($A678=$A$403:$A$594)*($B678=$B$403:$B$594)*("Weekend"=$D$403:$D$594),0))*WeekendDays)/DaysPerWeek</f>
        <v>7.6992048966943141E-5</v>
      </c>
      <c r="Y678" s="27">
        <f t="shared" si="245"/>
        <v>1.1872696055874096E-3</v>
      </c>
      <c r="Z678" s="32" t="str">
        <f t="shared" si="244"/>
        <v/>
      </c>
    </row>
    <row r="679" spans="1:26" outlineLevel="1" x14ac:dyDescent="0.3">
      <c r="A679" t="s">
        <v>166</v>
      </c>
      <c r="B679" t="s">
        <v>71</v>
      </c>
      <c r="C679" s="6" t="s">
        <v>147</v>
      </c>
      <c r="D679" s="10">
        <v>0</v>
      </c>
      <c r="E679" s="10" cm="1">
        <f t="array" ref="E679">(INDEX(F$403:F$594,MATCH(1,($A679=$A$403:$A$594)*($B679=$B$403:$B$594)*("Weekday"=$D$403:$D$594),0))*Weekdays+INDEX(F$403:F$594,MATCH(1,($A679=$A$403:$A$594)*($B679=$B$403:$B$594)*("Weekend"=$D$403:$D$594),0))*WeekendDays)/DaysPerWeek</f>
        <v>5.3724174942438631E-5</v>
      </c>
      <c r="F679" s="10" cm="1">
        <f t="array" ref="F679">(INDEX(G$403:G$594,MATCH(1,($A679=$A$403:$A$594)*($B679=$B$403:$B$594)*("Weekday"=$D$403:$D$594),0))*Weekdays+INDEX(G$403:G$594,MATCH(1,($A679=$A$403:$A$594)*($B679=$B$403:$B$594)*("Weekend"=$D$403:$D$594),0))*WeekendDays)/DaysPerWeek</f>
        <v>0</v>
      </c>
      <c r="G679" s="10" cm="1">
        <f t="array" ref="G679">(INDEX(H$403:H$594,MATCH(1,($A679=$A$403:$A$594)*($B679=$B$403:$B$594)*("Weekday"=$D$403:$D$594),0))*Weekdays+INDEX(H$403:H$594,MATCH(1,($A679=$A$403:$A$594)*($B679=$B$403:$B$594)*("Weekend"=$D$403:$D$594),0))*WeekendDays)/DaysPerWeek</f>
        <v>3.7795937389946826E-5</v>
      </c>
      <c r="H679" s="10" cm="1">
        <f t="array" ref="H679">(INDEX(I$403:I$594,MATCH(1,($A679=$A$403:$A$594)*($B679=$B$403:$B$594)*("Weekday"=$D$403:$D$594),0))*Weekdays+INDEX(I$403:I$594,MATCH(1,($A679=$A$403:$A$594)*($B679=$B$403:$B$594)*("Weekend"=$D$403:$D$594),0))*WeekendDays)/DaysPerWeek</f>
        <v>3.7795937389946826E-5</v>
      </c>
      <c r="I679" s="10" cm="1">
        <f t="array" ref="I679">(INDEX(J$403:J$594,MATCH(1,($A679=$A$403:$A$594)*($B679=$B$403:$B$594)*("Weekday"=$D$403:$D$594),0))*Weekdays+INDEX(J$403:J$594,MATCH(1,($A679=$A$403:$A$594)*($B679=$B$403:$B$594)*("Weekend"=$D$403:$D$594),0))*WeekendDays)/DaysPerWeek</f>
        <v>3.7795937389946826E-5</v>
      </c>
      <c r="J679" s="10">
        <v>0</v>
      </c>
      <c r="K679" s="10" cm="1">
        <f t="array" ref="K679">(INDEX(L$403:L$594,MATCH(1,($A679=$A$403:$A$594)*($B679=$B$403:$B$594)*("Weekday"=$D$403:$D$594),0))*Weekdays+INDEX(L$403:L$594,MATCH(1,($A679=$A$403:$A$594)*($B679=$B$403:$B$594)*("Weekend"=$D$403:$D$594),0))*WeekendDays)/DaysPerWeek</f>
        <v>6.7188652197702916E-5</v>
      </c>
      <c r="L679" s="10" cm="1">
        <f t="array" ref="L679">(INDEX(M$403:M$594,MATCH(1,($A679=$A$403:$A$594)*($B679=$B$403:$B$594)*("Weekday"=$D$403:$D$594),0))*Weekdays+INDEX(M$403:M$594,MATCH(1,($A679=$A$403:$A$594)*($B679=$B$403:$B$594)*("Weekend"=$D$403:$D$594),0))*WeekendDays)/DaysPerWeek</f>
        <v>0</v>
      </c>
      <c r="M679" s="10" cm="1">
        <f t="array" ref="M679">(INDEX(N$403:N$594,MATCH(1,($A679=$A$403:$A$594)*($B679=$B$403:$B$594)*("Weekday"=$D$403:$D$594),0))*Weekdays+INDEX(N$403:N$594,MATCH(1,($A679=$A$403:$A$594)*($B679=$B$403:$B$594)*("Weekend"=$D$403:$D$594),0))*WeekendDays)/DaysPerWeek</f>
        <v>3.7795937389946826E-5</v>
      </c>
      <c r="N679" s="10" cm="1">
        <f t="array" ref="N679">(INDEX(O$403:O$594,MATCH(1,($A679=$A$403:$A$594)*($B679=$B$403:$B$594)*("Weekday"=$D$403:$D$594),0))*Weekdays+INDEX(O$403:O$594,MATCH(1,($A679=$A$403:$A$594)*($B679=$B$403:$B$594)*("Weekend"=$D$403:$D$594),0))*WeekendDays)/DaysPerWeek</f>
        <v>3.7795937389946826E-5</v>
      </c>
      <c r="O679" s="10" cm="1">
        <f t="array" ref="O679">(INDEX(P$403:P$594,MATCH(1,($A679=$A$403:$A$594)*($B679=$B$403:$B$594)*("Weekday"=$D$403:$D$594),0))*Weekdays+INDEX(P$403:P$594,MATCH(1,($A679=$A$403:$A$594)*($B679=$B$403:$B$594)*("Weekend"=$D$403:$D$594),0))*WeekendDays)/DaysPerWeek</f>
        <v>3.7795937389946826E-5</v>
      </c>
      <c r="P679" s="10" cm="1">
        <f t="array" ref="P679">(INDEX(Q$403:Q$594,MATCH(1,($A679=$A$403:$A$594)*($B679=$B$403:$B$594)*("Weekday"=$D$403:$D$594),0))*Weekdays+INDEX(Q$403:Q$594,MATCH(1,($A679=$A$403:$A$594)*($B679=$B$403:$B$594)*("Weekend"=$D$403:$D$594),0))*WeekendDays)/DaysPerWeek</f>
        <v>9.8933728986654444E-5</v>
      </c>
      <c r="Q679" s="10" cm="1">
        <f t="array" ref="Q679">(INDEX(R$403:R$594,MATCH(1,($A679=$A$403:$A$594)*($B679=$B$403:$B$594)*("Weekday"=$D$403:$D$594),0))*Weekdays+INDEX(R$403:R$594,MATCH(1,($A679=$A$403:$A$594)*($B679=$B$403:$B$594)*("Weekend"=$D$403:$D$594),0))*WeekendDays)/DaysPerWeek</f>
        <v>9.8933728986654444E-5</v>
      </c>
      <c r="R679" s="10" cm="1">
        <f t="array" ref="R679">(INDEX(S$403:S$594,MATCH(1,($A679=$A$403:$A$594)*($B679=$B$403:$B$594)*("Weekday"=$D$403:$D$594),0))*Weekdays+INDEX(S$403:S$594,MATCH(1,($A679=$A$403:$A$594)*($B679=$B$403:$B$594)*("Weekend"=$D$403:$D$594),0))*WeekendDays)/DaysPerWeek</f>
        <v>9.8933728986654444E-5</v>
      </c>
      <c r="S679" s="10" cm="1">
        <f t="array" ref="S679">(INDEX(T$403:T$594,MATCH(1,($A679=$A$403:$A$594)*($B679=$B$403:$B$594)*("Weekday"=$D$403:$D$594),0))*Weekdays+INDEX(T$403:T$594,MATCH(1,($A679=$A$403:$A$594)*($B679=$B$403:$B$594)*("Weekend"=$D$403:$D$594),0))*WeekendDays)/DaysPerWeek</f>
        <v>9.8933728986654444E-5</v>
      </c>
      <c r="T679" s="10" cm="1">
        <f t="array" ref="T679">(INDEX(U$403:U$594,MATCH(1,($A679=$A$403:$A$594)*($B679=$B$403:$B$594)*("Weekday"=$D$403:$D$594),0))*Weekdays+INDEX(U$403:U$594,MATCH(1,($A679=$A$403:$A$594)*($B679=$B$403:$B$594)*("Weekend"=$D$403:$D$594),0))*WeekendDays)/DaysPerWeek</f>
        <v>9.8933728986654444E-5</v>
      </c>
      <c r="U679" s="10" cm="1">
        <f t="array" ref="U679">(INDEX(V$403:V$594,MATCH(1,($A679=$A$403:$A$594)*($B679=$B$403:$B$594)*("Weekday"=$D$403:$D$594),0))*Weekdays+INDEX(V$403:V$594,MATCH(1,($A679=$A$403:$A$594)*($B679=$B$403:$B$594)*("Weekend"=$D$403:$D$594),0))*WeekendDays)/DaysPerWeek</f>
        <v>9.8933728986654444E-5</v>
      </c>
      <c r="V679" s="10" cm="1">
        <f t="array" ref="V679">(INDEX(W$403:W$594,MATCH(1,($A679=$A$403:$A$594)*($B679=$B$403:$B$594)*("Weekday"=$D$403:$D$594),0))*Weekdays+INDEX(W$403:W$594,MATCH(1,($A679=$A$403:$A$594)*($B679=$B$403:$B$594)*("Weekend"=$D$403:$D$594),0))*WeekendDays)/DaysPerWeek</f>
        <v>7.7221191969820951E-5</v>
      </c>
      <c r="W679" s="10" cm="1">
        <f t="array" ref="W679">(INDEX(X$403:X$594,MATCH(1,($A679=$A$403:$A$594)*($B679=$B$403:$B$594)*("Weekday"=$D$403:$D$594),0))*Weekdays+INDEX(X$403:X$594,MATCH(1,($A679=$A$403:$A$594)*($B679=$B$403:$B$594)*("Weekend"=$D$403:$D$594),0))*WeekendDays)/DaysPerWeek</f>
        <v>7.7221191969820951E-5</v>
      </c>
      <c r="X679" s="10" cm="1">
        <f t="array" ref="X679">(INDEX(Y$403:Y$594,MATCH(1,($A679=$A$403:$A$594)*($B679=$B$403:$B$594)*("Weekday"=$D$403:$D$594),0))*Weekdays+INDEX(Y$403:Y$594,MATCH(1,($A679=$A$403:$A$594)*($B679=$B$403:$B$594)*("Weekend"=$D$403:$D$594),0))*WeekendDays)/DaysPerWeek</f>
        <v>7.7221191969820951E-5</v>
      </c>
      <c r="Y679" s="27">
        <f t="shared" si="245"/>
        <v>1.1729544013092121E-3</v>
      </c>
      <c r="Z679" s="32" t="str">
        <f t="shared" si="244"/>
        <v/>
      </c>
    </row>
    <row r="680" spans="1:26" outlineLevel="1" x14ac:dyDescent="0.3">
      <c r="A680" t="s">
        <v>166</v>
      </c>
      <c r="B680" t="s">
        <v>72</v>
      </c>
      <c r="C680" s="6" t="s">
        <v>148</v>
      </c>
      <c r="D680" s="10">
        <v>0</v>
      </c>
      <c r="E680" s="10" cm="1">
        <f t="array" ref="E680">(INDEX(F$403:F$594,MATCH(1,($A680=$A$403:$A$594)*($B680=$B$403:$B$594)*("Weekday"=$D$403:$D$594),0))*Weekdays+INDEX(F$403:F$594,MATCH(1,($A680=$A$403:$A$594)*($B680=$B$403:$B$594)*("Weekend"=$D$403:$D$594),0))*WeekendDays)/DaysPerWeek</f>
        <v>5.9730990389773094E-5</v>
      </c>
      <c r="F680" s="10" cm="1">
        <f t="array" ref="F680">(INDEX(G$403:G$594,MATCH(1,($A680=$A$403:$A$594)*($B680=$B$403:$B$594)*("Weekday"=$D$403:$D$594),0))*Weekdays+INDEX(G$403:G$594,MATCH(1,($A680=$A$403:$A$594)*($B680=$B$403:$B$594)*("Weekend"=$D$403:$D$594),0))*WeekendDays)/DaysPerWeek</f>
        <v>0</v>
      </c>
      <c r="G680" s="10" cm="1">
        <f t="array" ref="G680">(INDEX(H$403:H$594,MATCH(1,($A680=$A$403:$A$594)*($B680=$B$403:$B$594)*("Weekday"=$D$403:$D$594),0))*Weekdays+INDEX(H$403:H$594,MATCH(1,($A680=$A$403:$A$594)*($B680=$B$403:$B$594)*("Weekend"=$D$403:$D$594),0))*WeekendDays)/DaysPerWeek</f>
        <v>3.8208850037244536E-5</v>
      </c>
      <c r="H680" s="10" cm="1">
        <f t="array" ref="H680">(INDEX(I$403:I$594,MATCH(1,($A680=$A$403:$A$594)*($B680=$B$403:$B$594)*("Weekday"=$D$403:$D$594),0))*Weekdays+INDEX(I$403:I$594,MATCH(1,($A680=$A$403:$A$594)*($B680=$B$403:$B$594)*("Weekend"=$D$403:$D$594),0))*WeekendDays)/DaysPerWeek</f>
        <v>3.8208850037244536E-5</v>
      </c>
      <c r="I680" s="10" cm="1">
        <f t="array" ref="I680">(INDEX(J$403:J$594,MATCH(1,($A680=$A$403:$A$594)*($B680=$B$403:$B$594)*("Weekday"=$D$403:$D$594),0))*Weekdays+INDEX(J$403:J$594,MATCH(1,($A680=$A$403:$A$594)*($B680=$B$403:$B$594)*("Weekend"=$D$403:$D$594),0))*WeekendDays)/DaysPerWeek</f>
        <v>3.8208850037244536E-5</v>
      </c>
      <c r="J680" s="10">
        <v>0</v>
      </c>
      <c r="K680" s="10" cm="1">
        <f t="array" ref="K680">(INDEX(L$403:L$594,MATCH(1,($A680=$A$403:$A$594)*($B680=$B$403:$B$594)*("Weekday"=$D$403:$D$594),0))*Weekdays+INDEX(L$403:L$594,MATCH(1,($A680=$A$403:$A$594)*($B680=$B$403:$B$594)*("Weekend"=$D$403:$D$594),0))*WeekendDays)/DaysPerWeek</f>
        <v>8.2553831257167599E-5</v>
      </c>
      <c r="L680" s="10" cm="1">
        <f t="array" ref="L680">(INDEX(M$403:M$594,MATCH(1,($A680=$A$403:$A$594)*($B680=$B$403:$B$594)*("Weekday"=$D$403:$D$594),0))*Weekdays+INDEX(M$403:M$594,MATCH(1,($A680=$A$403:$A$594)*($B680=$B$403:$B$594)*("Weekend"=$D$403:$D$594),0))*WeekendDays)/DaysPerWeek</f>
        <v>0</v>
      </c>
      <c r="M680" s="10" cm="1">
        <f t="array" ref="M680">(INDEX(N$403:N$594,MATCH(1,($A680=$A$403:$A$594)*($B680=$B$403:$B$594)*("Weekday"=$D$403:$D$594),0))*Weekdays+INDEX(N$403:N$594,MATCH(1,($A680=$A$403:$A$594)*($B680=$B$403:$B$594)*("Weekend"=$D$403:$D$594),0))*WeekendDays)/DaysPerWeek</f>
        <v>3.8208850037244536E-5</v>
      </c>
      <c r="N680" s="10" cm="1">
        <f t="array" ref="N680">(INDEX(O$403:O$594,MATCH(1,($A680=$A$403:$A$594)*($B680=$B$403:$B$594)*("Weekday"=$D$403:$D$594),0))*Weekdays+INDEX(O$403:O$594,MATCH(1,($A680=$A$403:$A$594)*($B680=$B$403:$B$594)*("Weekend"=$D$403:$D$594),0))*WeekendDays)/DaysPerWeek</f>
        <v>3.8208850037244536E-5</v>
      </c>
      <c r="O680" s="10" cm="1">
        <f t="array" ref="O680">(INDEX(P$403:P$594,MATCH(1,($A680=$A$403:$A$594)*($B680=$B$403:$B$594)*("Weekday"=$D$403:$D$594),0))*Weekdays+INDEX(P$403:P$594,MATCH(1,($A680=$A$403:$A$594)*($B680=$B$403:$B$594)*("Weekend"=$D$403:$D$594),0))*WeekendDays)/DaysPerWeek</f>
        <v>3.8208850037244536E-5</v>
      </c>
      <c r="P680" s="10" cm="1">
        <f t="array" ref="P680">(INDEX(Q$403:Q$594,MATCH(1,($A680=$A$403:$A$594)*($B680=$B$403:$B$594)*("Weekday"=$D$403:$D$594),0))*Weekdays+INDEX(Q$403:Q$594,MATCH(1,($A680=$A$403:$A$594)*($B680=$B$403:$B$594)*("Weekend"=$D$403:$D$594),0))*WeekendDays)/DaysPerWeek</f>
        <v>1.0309192695357966E-4</v>
      </c>
      <c r="Q680" s="10" cm="1">
        <f t="array" ref="Q680">(INDEX(R$403:R$594,MATCH(1,($A680=$A$403:$A$594)*($B680=$B$403:$B$594)*("Weekday"=$D$403:$D$594),0))*Weekdays+INDEX(R$403:R$594,MATCH(1,($A680=$A$403:$A$594)*($B680=$B$403:$B$594)*("Weekend"=$D$403:$D$594),0))*WeekendDays)/DaysPerWeek</f>
        <v>1.0309192695357966E-4</v>
      </c>
      <c r="R680" s="10" cm="1">
        <f t="array" ref="R680">(INDEX(S$403:S$594,MATCH(1,($A680=$A$403:$A$594)*($B680=$B$403:$B$594)*("Weekday"=$D$403:$D$594),0))*Weekdays+INDEX(S$403:S$594,MATCH(1,($A680=$A$403:$A$594)*($B680=$B$403:$B$594)*("Weekend"=$D$403:$D$594),0))*WeekendDays)/DaysPerWeek</f>
        <v>1.0309192695357966E-4</v>
      </c>
      <c r="S680" s="10" cm="1">
        <f t="array" ref="S680">(INDEX(T$403:T$594,MATCH(1,($A680=$A$403:$A$594)*($B680=$B$403:$B$594)*("Weekday"=$D$403:$D$594),0))*Weekdays+INDEX(T$403:T$594,MATCH(1,($A680=$A$403:$A$594)*($B680=$B$403:$B$594)*("Weekend"=$D$403:$D$594),0))*WeekendDays)/DaysPerWeek</f>
        <v>1.0309192695357966E-4</v>
      </c>
      <c r="T680" s="10" cm="1">
        <f t="array" ref="T680">(INDEX(U$403:U$594,MATCH(1,($A680=$A$403:$A$594)*($B680=$B$403:$B$594)*("Weekday"=$D$403:$D$594),0))*Weekdays+INDEX(U$403:U$594,MATCH(1,($A680=$A$403:$A$594)*($B680=$B$403:$B$594)*("Weekend"=$D$403:$D$594),0))*WeekendDays)/DaysPerWeek</f>
        <v>1.0309192695357966E-4</v>
      </c>
      <c r="U680" s="10" cm="1">
        <f t="array" ref="U680">(INDEX(V$403:V$594,MATCH(1,($A680=$A$403:$A$594)*($B680=$B$403:$B$594)*("Weekday"=$D$403:$D$594),0))*Weekdays+INDEX(V$403:V$594,MATCH(1,($A680=$A$403:$A$594)*($B680=$B$403:$B$594)*("Weekend"=$D$403:$D$594),0))*WeekendDays)/DaysPerWeek</f>
        <v>1.0309192695357966E-4</v>
      </c>
      <c r="V680" s="10" cm="1">
        <f t="array" ref="V680">(INDEX(W$403:W$594,MATCH(1,($A680=$A$403:$A$594)*($B680=$B$403:$B$594)*("Weekday"=$D$403:$D$594),0))*Weekdays+INDEX(W$403:W$594,MATCH(1,($A680=$A$403:$A$594)*($B680=$B$403:$B$594)*("Weekend"=$D$403:$D$594),0))*WeekendDays)/DaysPerWeek</f>
        <v>7.7297572970780226E-5</v>
      </c>
      <c r="W680" s="10" cm="1">
        <f t="array" ref="W680">(INDEX(X$403:X$594,MATCH(1,($A680=$A$403:$A$594)*($B680=$B$403:$B$594)*("Weekday"=$D$403:$D$594),0))*Weekdays+INDEX(X$403:X$594,MATCH(1,($A680=$A$403:$A$594)*($B680=$B$403:$B$594)*("Weekend"=$D$403:$D$594),0))*WeekendDays)/DaysPerWeek</f>
        <v>7.7297572970780226E-5</v>
      </c>
      <c r="X680" s="10" cm="1">
        <f t="array" ref="X680">(INDEX(Y$403:Y$594,MATCH(1,($A680=$A$403:$A$594)*($B680=$B$403:$B$594)*("Weekday"=$D$403:$D$594),0))*Weekdays+INDEX(Y$403:Y$594,MATCH(1,($A680=$A$403:$A$594)*($B680=$B$403:$B$594)*("Weekend"=$D$403:$D$594),0))*WeekendDays)/DaysPerWeek</f>
        <v>7.7297572970780226E-5</v>
      </c>
      <c r="Y680" s="27">
        <f t="shared" si="245"/>
        <v>1.2219822025042266E-3</v>
      </c>
      <c r="Z680" s="32" t="str">
        <f t="shared" si="244"/>
        <v/>
      </c>
    </row>
    <row r="681" spans="1:26" outlineLevel="1" x14ac:dyDescent="0.3">
      <c r="A681" t="s">
        <v>166</v>
      </c>
      <c r="B681" t="s">
        <v>73</v>
      </c>
      <c r="C681" s="6" t="s">
        <v>149</v>
      </c>
      <c r="D681" s="10">
        <v>0</v>
      </c>
      <c r="E681" s="10" cm="1">
        <f t="array" ref="E681">(INDEX(F$403:F$594,MATCH(1,($A681=$A$403:$A$594)*($B681=$B$403:$B$594)*("Weekday"=$D$403:$D$594),0))*Weekdays+INDEX(F$403:F$594,MATCH(1,($A681=$A$403:$A$594)*($B681=$B$403:$B$594)*("Weekend"=$D$403:$D$594),0))*WeekendDays)/DaysPerWeek</f>
        <v>6.7169637948181891E-5</v>
      </c>
      <c r="F681" s="10" cm="1">
        <f t="array" ref="F681">(INDEX(G$403:G$594,MATCH(1,($A681=$A$403:$A$594)*($B681=$B$403:$B$594)*("Weekday"=$D$403:$D$594),0))*Weekdays+INDEX(G$403:G$594,MATCH(1,($A681=$A$403:$A$594)*($B681=$B$403:$B$594)*("Weekend"=$D$403:$D$594),0))*WeekendDays)/DaysPerWeek</f>
        <v>0</v>
      </c>
      <c r="G681" s="10" cm="1">
        <f t="array" ref="G681">(INDEX(H$403:H$594,MATCH(1,($A681=$A$403:$A$594)*($B681=$B$403:$B$594)*("Weekday"=$D$403:$D$594),0))*Weekdays+INDEX(H$403:H$594,MATCH(1,($A681=$A$403:$A$594)*($B681=$B$403:$B$594)*("Weekend"=$D$403:$D$594),0))*WeekendDays)/DaysPerWeek</f>
        <v>3.7927902610500093E-5</v>
      </c>
      <c r="H681" s="10" cm="1">
        <f t="array" ref="H681">(INDEX(I$403:I$594,MATCH(1,($A681=$A$403:$A$594)*($B681=$B$403:$B$594)*("Weekday"=$D$403:$D$594),0))*Weekdays+INDEX(I$403:I$594,MATCH(1,($A681=$A$403:$A$594)*($B681=$B$403:$B$594)*("Weekend"=$D$403:$D$594),0))*WeekendDays)/DaysPerWeek</f>
        <v>3.7927902610500093E-5</v>
      </c>
      <c r="I681" s="10" cm="1">
        <f t="array" ref="I681">(INDEX(J$403:J$594,MATCH(1,($A681=$A$403:$A$594)*($B681=$B$403:$B$594)*("Weekday"=$D$403:$D$594),0))*Weekdays+INDEX(J$403:J$594,MATCH(1,($A681=$A$403:$A$594)*($B681=$B$403:$B$594)*("Weekend"=$D$403:$D$594),0))*WeekendDays)/DaysPerWeek</f>
        <v>3.7927902610500093E-5</v>
      </c>
      <c r="J681" s="10">
        <v>0</v>
      </c>
      <c r="K681" s="10" cm="1">
        <f t="array" ref="K681">(INDEX(L$403:L$594,MATCH(1,($A681=$A$403:$A$594)*($B681=$B$403:$B$594)*("Weekday"=$D$403:$D$594),0))*Weekdays+INDEX(L$403:L$594,MATCH(1,($A681=$A$403:$A$594)*($B681=$B$403:$B$594)*("Weekend"=$D$403:$D$594),0))*WeekendDays)/DaysPerWeek</f>
        <v>9.5985760455936743E-5</v>
      </c>
      <c r="L681" s="10" cm="1">
        <f t="array" ref="L681">(INDEX(M$403:M$594,MATCH(1,($A681=$A$403:$A$594)*($B681=$B$403:$B$594)*("Weekday"=$D$403:$D$594),0))*Weekdays+INDEX(M$403:M$594,MATCH(1,($A681=$A$403:$A$594)*($B681=$B$403:$B$594)*("Weekend"=$D$403:$D$594),0))*WeekendDays)/DaysPerWeek</f>
        <v>0</v>
      </c>
      <c r="M681" s="10" cm="1">
        <f t="array" ref="M681">(INDEX(N$403:N$594,MATCH(1,($A681=$A$403:$A$594)*($B681=$B$403:$B$594)*("Weekday"=$D$403:$D$594),0))*Weekdays+INDEX(N$403:N$594,MATCH(1,($A681=$A$403:$A$594)*($B681=$B$403:$B$594)*("Weekend"=$D$403:$D$594),0))*WeekendDays)/DaysPerWeek</f>
        <v>3.7927902610500093E-5</v>
      </c>
      <c r="N681" s="10" cm="1">
        <f t="array" ref="N681">(INDEX(O$403:O$594,MATCH(1,($A681=$A$403:$A$594)*($B681=$B$403:$B$594)*("Weekday"=$D$403:$D$594),0))*Weekdays+INDEX(O$403:O$594,MATCH(1,($A681=$A$403:$A$594)*($B681=$B$403:$B$594)*("Weekend"=$D$403:$D$594),0))*WeekendDays)/DaysPerWeek</f>
        <v>3.7927902610500093E-5</v>
      </c>
      <c r="O681" s="10" cm="1">
        <f t="array" ref="O681">(INDEX(P$403:P$594,MATCH(1,($A681=$A$403:$A$594)*($B681=$B$403:$B$594)*("Weekday"=$D$403:$D$594),0))*Weekdays+INDEX(P$403:P$594,MATCH(1,($A681=$A$403:$A$594)*($B681=$B$403:$B$594)*("Weekend"=$D$403:$D$594),0))*WeekendDays)/DaysPerWeek</f>
        <v>3.7927902610500093E-5</v>
      </c>
      <c r="P681" s="10" cm="1">
        <f t="array" ref="P681">(INDEX(Q$403:Q$594,MATCH(1,($A681=$A$403:$A$594)*($B681=$B$403:$B$594)*("Weekday"=$D$403:$D$594),0))*Weekdays+INDEX(Q$403:Q$594,MATCH(1,($A681=$A$403:$A$594)*($B681=$B$403:$B$594)*("Weekend"=$D$403:$D$594),0))*WeekendDays)/DaysPerWeek</f>
        <v>9.7521510809208154E-5</v>
      </c>
      <c r="Q681" s="10" cm="1">
        <f t="array" ref="Q681">(INDEX(R$403:R$594,MATCH(1,($A681=$A$403:$A$594)*($B681=$B$403:$B$594)*("Weekday"=$D$403:$D$594),0))*Weekdays+INDEX(R$403:R$594,MATCH(1,($A681=$A$403:$A$594)*($B681=$B$403:$B$594)*("Weekend"=$D$403:$D$594),0))*WeekendDays)/DaysPerWeek</f>
        <v>9.7521510809208154E-5</v>
      </c>
      <c r="R681" s="10" cm="1">
        <f t="array" ref="R681">(INDEX(S$403:S$594,MATCH(1,($A681=$A$403:$A$594)*($B681=$B$403:$B$594)*("Weekday"=$D$403:$D$594),0))*Weekdays+INDEX(S$403:S$594,MATCH(1,($A681=$A$403:$A$594)*($B681=$B$403:$B$594)*("Weekend"=$D$403:$D$594),0))*WeekendDays)/DaysPerWeek</f>
        <v>9.7521510809208154E-5</v>
      </c>
      <c r="S681" s="10" cm="1">
        <f t="array" ref="S681">(INDEX(T$403:T$594,MATCH(1,($A681=$A$403:$A$594)*($B681=$B$403:$B$594)*("Weekday"=$D$403:$D$594),0))*Weekdays+INDEX(T$403:T$594,MATCH(1,($A681=$A$403:$A$594)*($B681=$B$403:$B$594)*("Weekend"=$D$403:$D$594),0))*WeekendDays)/DaysPerWeek</f>
        <v>9.7521510809208154E-5</v>
      </c>
      <c r="T681" s="10" cm="1">
        <f t="array" ref="T681">(INDEX(U$403:U$594,MATCH(1,($A681=$A$403:$A$594)*($B681=$B$403:$B$594)*("Weekday"=$D$403:$D$594),0))*Weekdays+INDEX(U$403:U$594,MATCH(1,($A681=$A$403:$A$594)*($B681=$B$403:$B$594)*("Weekend"=$D$403:$D$594),0))*WeekendDays)/DaysPerWeek</f>
        <v>9.7521510809208154E-5</v>
      </c>
      <c r="U681" s="10" cm="1">
        <f t="array" ref="U681">(INDEX(V$403:V$594,MATCH(1,($A681=$A$403:$A$594)*($B681=$B$403:$B$594)*("Weekday"=$D$403:$D$594),0))*Weekdays+INDEX(V$403:V$594,MATCH(1,($A681=$A$403:$A$594)*($B681=$B$403:$B$594)*("Weekend"=$D$403:$D$594),0))*WeekendDays)/DaysPerWeek</f>
        <v>9.7521510809208154E-5</v>
      </c>
      <c r="V681" s="10" cm="1">
        <f t="array" ref="V681">(INDEX(W$403:W$594,MATCH(1,($A681=$A$403:$A$594)*($B681=$B$403:$B$594)*("Weekday"=$D$403:$D$594),0))*Weekdays+INDEX(W$403:W$594,MATCH(1,($A681=$A$403:$A$594)*($B681=$B$403:$B$594)*("Weekend"=$D$403:$D$594),0))*WeekendDays)/DaysPerWeek</f>
        <v>7.7221191969820951E-5</v>
      </c>
      <c r="W681" s="10" cm="1">
        <f t="array" ref="W681">(INDEX(X$403:X$594,MATCH(1,($A681=$A$403:$A$594)*($B681=$B$403:$B$594)*("Weekday"=$D$403:$D$594),0))*Weekdays+INDEX(X$403:X$594,MATCH(1,($A681=$A$403:$A$594)*($B681=$B$403:$B$594)*("Weekend"=$D$403:$D$594),0))*WeekendDays)/DaysPerWeek</f>
        <v>7.7221191969820951E-5</v>
      </c>
      <c r="X681" s="10" cm="1">
        <f t="array" ref="X681">(INDEX(Y$403:Y$594,MATCH(1,($A681=$A$403:$A$594)*($B681=$B$403:$B$594)*("Weekday"=$D$403:$D$594),0))*Weekdays+INDEX(Y$403:Y$594,MATCH(1,($A681=$A$403:$A$594)*($B681=$B$403:$B$594)*("Weekend"=$D$403:$D$594),0))*WeekendDays)/DaysPerWeek</f>
        <v>7.7221191969820951E-5</v>
      </c>
      <c r="Y681" s="27">
        <f t="shared" si="245"/>
        <v>1.2075154548318312E-3</v>
      </c>
      <c r="Z681" s="32" t="str">
        <f t="shared" si="244"/>
        <v/>
      </c>
    </row>
    <row r="682" spans="1:26" outlineLevel="1" x14ac:dyDescent="0.3">
      <c r="A682" t="s">
        <v>166</v>
      </c>
      <c r="B682" t="s">
        <v>74</v>
      </c>
      <c r="C682" s="6" t="s">
        <v>150</v>
      </c>
      <c r="D682" s="10">
        <v>0</v>
      </c>
      <c r="E682" s="10" cm="1">
        <f t="array" ref="E682">(INDEX(F$403:F$594,MATCH(1,($A682=$A$403:$A$594)*($B682=$B$403:$B$594)*("Weekday"=$D$403:$D$594),0))*Weekdays+INDEX(F$403:F$594,MATCH(1,($A682=$A$403:$A$594)*($B682=$B$403:$B$594)*("Weekend"=$D$403:$D$594),0))*WeekendDays)/DaysPerWeek</f>
        <v>8.1687393439730955E-5</v>
      </c>
      <c r="F682" s="10" cm="1">
        <f t="array" ref="F682">(INDEX(G$403:G$594,MATCH(1,($A682=$A$403:$A$594)*($B682=$B$403:$B$594)*("Weekday"=$D$403:$D$594),0))*Weekdays+INDEX(G$403:G$594,MATCH(1,($A682=$A$403:$A$594)*($B682=$B$403:$B$594)*("Weekend"=$D$403:$D$594),0))*WeekendDays)/DaysPerWeek</f>
        <v>0</v>
      </c>
      <c r="G682" s="10" cm="1">
        <f t="array" ref="G682">(INDEX(H$403:H$594,MATCH(1,($A682=$A$403:$A$594)*($B682=$B$403:$B$594)*("Weekday"=$D$403:$D$594),0))*Weekdays+INDEX(H$403:H$594,MATCH(1,($A682=$A$403:$A$594)*($B682=$B$403:$B$594)*("Weekend"=$D$403:$D$594),0))*WeekendDays)/DaysPerWeek</f>
        <v>3.8349323750616757E-5</v>
      </c>
      <c r="H682" s="10" cm="1">
        <f t="array" ref="H682">(INDEX(I$403:I$594,MATCH(1,($A682=$A$403:$A$594)*($B682=$B$403:$B$594)*("Weekday"=$D$403:$D$594),0))*Weekdays+INDEX(I$403:I$594,MATCH(1,($A682=$A$403:$A$594)*($B682=$B$403:$B$594)*("Weekend"=$D$403:$D$594),0))*WeekendDays)/DaysPerWeek</f>
        <v>3.8349323750616757E-5</v>
      </c>
      <c r="I682" s="10" cm="1">
        <f t="array" ref="I682">(INDEX(J$403:J$594,MATCH(1,($A682=$A$403:$A$594)*($B682=$B$403:$B$594)*("Weekday"=$D$403:$D$594),0))*Weekdays+INDEX(J$403:J$594,MATCH(1,($A682=$A$403:$A$594)*($B682=$B$403:$B$594)*("Weekend"=$D$403:$D$594),0))*WeekendDays)/DaysPerWeek</f>
        <v>3.8349323750616757E-5</v>
      </c>
      <c r="J682" s="10">
        <v>0</v>
      </c>
      <c r="K682" s="10" cm="1">
        <f t="array" ref="K682">(INDEX(L$403:L$594,MATCH(1,($A682=$A$403:$A$594)*($B682=$B$403:$B$594)*("Weekday"=$D$403:$D$594),0))*Weekdays+INDEX(L$403:L$594,MATCH(1,($A682=$A$403:$A$594)*($B682=$B$403:$B$594)*("Weekend"=$D$403:$D$594),0))*WeekendDays)/DaysPerWeek</f>
        <v>1.0744180377669974E-4</v>
      </c>
      <c r="L682" s="10" cm="1">
        <f t="array" ref="L682">(INDEX(M$403:M$594,MATCH(1,($A682=$A$403:$A$594)*($B682=$B$403:$B$594)*("Weekday"=$D$403:$D$594),0))*Weekdays+INDEX(M$403:M$594,MATCH(1,($A682=$A$403:$A$594)*($B682=$B$403:$B$594)*("Weekend"=$D$403:$D$594),0))*WeekendDays)/DaysPerWeek</f>
        <v>0</v>
      </c>
      <c r="M682" s="10" cm="1">
        <f t="array" ref="M682">(INDEX(N$403:N$594,MATCH(1,($A682=$A$403:$A$594)*($B682=$B$403:$B$594)*("Weekday"=$D$403:$D$594),0))*Weekdays+INDEX(N$403:N$594,MATCH(1,($A682=$A$403:$A$594)*($B682=$B$403:$B$594)*("Weekend"=$D$403:$D$594),0))*WeekendDays)/DaysPerWeek</f>
        <v>3.8349323750616757E-5</v>
      </c>
      <c r="N682" s="10" cm="1">
        <f t="array" ref="N682">(INDEX(O$403:O$594,MATCH(1,($A682=$A$403:$A$594)*($B682=$B$403:$B$594)*("Weekday"=$D$403:$D$594),0))*Weekdays+INDEX(O$403:O$594,MATCH(1,($A682=$A$403:$A$594)*($B682=$B$403:$B$594)*("Weekend"=$D$403:$D$594),0))*WeekendDays)/DaysPerWeek</f>
        <v>3.8349323750616757E-5</v>
      </c>
      <c r="O682" s="10" cm="1">
        <f t="array" ref="O682">(INDEX(P$403:P$594,MATCH(1,($A682=$A$403:$A$594)*($B682=$B$403:$B$594)*("Weekday"=$D$403:$D$594),0))*Weekdays+INDEX(P$403:P$594,MATCH(1,($A682=$A$403:$A$594)*($B682=$B$403:$B$594)*("Weekend"=$D$403:$D$594),0))*WeekendDays)/DaysPerWeek</f>
        <v>3.8349323750616757E-5</v>
      </c>
      <c r="P682" s="10" cm="1">
        <f t="array" ref="P682">(INDEX(Q$403:Q$594,MATCH(1,($A682=$A$403:$A$594)*($B682=$B$403:$B$594)*("Weekday"=$D$403:$D$594),0))*Weekdays+INDEX(Q$403:Q$594,MATCH(1,($A682=$A$403:$A$594)*($B682=$B$403:$B$594)*("Weekend"=$D$403:$D$594),0))*WeekendDays)/DaysPerWeek</f>
        <v>8.6459135085878823E-5</v>
      </c>
      <c r="Q682" s="10" cm="1">
        <f t="array" ref="Q682">(INDEX(R$403:R$594,MATCH(1,($A682=$A$403:$A$594)*($B682=$B$403:$B$594)*("Weekday"=$D$403:$D$594),0))*Weekdays+INDEX(R$403:R$594,MATCH(1,($A682=$A$403:$A$594)*($B682=$B$403:$B$594)*("Weekend"=$D$403:$D$594),0))*WeekendDays)/DaysPerWeek</f>
        <v>8.6459135085878823E-5</v>
      </c>
      <c r="R682" s="10" cm="1">
        <f t="array" ref="R682">(INDEX(S$403:S$594,MATCH(1,($A682=$A$403:$A$594)*($B682=$B$403:$B$594)*("Weekday"=$D$403:$D$594),0))*Weekdays+INDEX(S$403:S$594,MATCH(1,($A682=$A$403:$A$594)*($B682=$B$403:$B$594)*("Weekend"=$D$403:$D$594),0))*WeekendDays)/DaysPerWeek</f>
        <v>8.6459135085878823E-5</v>
      </c>
      <c r="S682" s="10" cm="1">
        <f t="array" ref="S682">(INDEX(T$403:T$594,MATCH(1,($A682=$A$403:$A$594)*($B682=$B$403:$B$594)*("Weekday"=$D$403:$D$594),0))*Weekdays+INDEX(T$403:T$594,MATCH(1,($A682=$A$403:$A$594)*($B682=$B$403:$B$594)*("Weekend"=$D$403:$D$594),0))*WeekendDays)/DaysPerWeek</f>
        <v>8.6459135085878823E-5</v>
      </c>
      <c r="T682" s="10" cm="1">
        <f t="array" ref="T682">(INDEX(U$403:U$594,MATCH(1,($A682=$A$403:$A$594)*($B682=$B$403:$B$594)*("Weekday"=$D$403:$D$594),0))*Weekdays+INDEX(U$403:U$594,MATCH(1,($A682=$A$403:$A$594)*($B682=$B$403:$B$594)*("Weekend"=$D$403:$D$594),0))*WeekendDays)/DaysPerWeek</f>
        <v>8.6459135085878823E-5</v>
      </c>
      <c r="U682" s="10" cm="1">
        <f t="array" ref="U682">(INDEX(V$403:V$594,MATCH(1,($A682=$A$403:$A$594)*($B682=$B$403:$B$594)*("Weekday"=$D$403:$D$594),0))*Weekdays+INDEX(V$403:V$594,MATCH(1,($A682=$A$403:$A$594)*($B682=$B$403:$B$594)*("Weekend"=$D$403:$D$594),0))*WeekendDays)/DaysPerWeek</f>
        <v>8.6459135085878823E-5</v>
      </c>
      <c r="V682" s="10" cm="1">
        <f t="array" ref="V682">(INDEX(W$403:W$594,MATCH(1,($A682=$A$403:$A$594)*($B682=$B$403:$B$594)*("Weekday"=$D$403:$D$594),0))*Weekdays+INDEX(W$403:W$594,MATCH(1,($A682=$A$403:$A$594)*($B682=$B$403:$B$594)*("Weekend"=$D$403:$D$594),0))*WeekendDays)/DaysPerWeek</f>
        <v>7.6992048966943141E-5</v>
      </c>
      <c r="W682" s="10" cm="1">
        <f t="array" ref="W682">(INDEX(X$403:X$594,MATCH(1,($A682=$A$403:$A$594)*($B682=$B$403:$B$594)*("Weekday"=$D$403:$D$594),0))*Weekdays+INDEX(X$403:X$594,MATCH(1,($A682=$A$403:$A$594)*($B682=$B$403:$B$594)*("Weekend"=$D$403:$D$594),0))*WeekendDays)/DaysPerWeek</f>
        <v>7.6992048966943141E-5</v>
      </c>
      <c r="X682" s="10" cm="1">
        <f t="array" ref="X682">(INDEX(Y$403:Y$594,MATCH(1,($A682=$A$403:$A$594)*($B682=$B$403:$B$594)*("Weekday"=$D$403:$D$594),0))*Weekdays+INDEX(Y$403:Y$594,MATCH(1,($A682=$A$403:$A$594)*($B682=$B$403:$B$594)*("Weekend"=$D$403:$D$594),0))*WeekendDays)/DaysPerWeek</f>
        <v>7.6992048966943141E-5</v>
      </c>
      <c r="Y682" s="27">
        <f t="shared" si="245"/>
        <v>1.1689560971362332E-3</v>
      </c>
      <c r="Z682" s="32" t="str">
        <f t="shared" si="244"/>
        <v/>
      </c>
    </row>
    <row r="683" spans="1:26" outlineLevel="1" x14ac:dyDescent="0.3">
      <c r="A683" t="s">
        <v>166</v>
      </c>
      <c r="B683" t="s">
        <v>75</v>
      </c>
      <c r="C683" s="6" t="s">
        <v>151</v>
      </c>
      <c r="D683" s="10">
        <v>0</v>
      </c>
      <c r="E683" s="10" cm="1">
        <f t="array" ref="E683">(INDEX(F$403:F$594,MATCH(1,($A683=$A$403:$A$594)*($B683=$B$403:$B$594)*("Weekday"=$D$403:$D$594),0))*Weekdays+INDEX(F$403:F$594,MATCH(1,($A683=$A$403:$A$594)*($B683=$B$403:$B$594)*("Weekend"=$D$403:$D$594),0))*WeekendDays)/DaysPerWeek</f>
        <v>1.0514382454121531E-4</v>
      </c>
      <c r="F683" s="10" cm="1">
        <f t="array" ref="F683">(INDEX(G$403:G$594,MATCH(1,($A683=$A$403:$A$594)*($B683=$B$403:$B$594)*("Weekday"=$D$403:$D$594),0))*Weekdays+INDEX(G$403:G$594,MATCH(1,($A683=$A$403:$A$594)*($B683=$B$403:$B$594)*("Weekend"=$D$403:$D$594),0))*WeekendDays)/DaysPerWeek</f>
        <v>0</v>
      </c>
      <c r="G683" s="10" cm="1">
        <f t="array" ref="G683">(INDEX(H$403:H$594,MATCH(1,($A683=$A$403:$A$594)*($B683=$B$403:$B$594)*("Weekday"=$D$403:$D$594),0))*Weekdays+INDEX(H$403:H$594,MATCH(1,($A683=$A$403:$A$594)*($B683=$B$403:$B$594)*("Weekend"=$D$403:$D$594),0))*WeekendDays)/DaysPerWeek</f>
        <v>4.1509982301491767E-5</v>
      </c>
      <c r="H683" s="10" cm="1">
        <f t="array" ref="H683">(INDEX(I$403:I$594,MATCH(1,($A683=$A$403:$A$594)*($B683=$B$403:$B$594)*("Weekday"=$D$403:$D$594),0))*Weekdays+INDEX(I$403:I$594,MATCH(1,($A683=$A$403:$A$594)*($B683=$B$403:$B$594)*("Weekend"=$D$403:$D$594),0))*WeekendDays)/DaysPerWeek</f>
        <v>4.1509982301491767E-5</v>
      </c>
      <c r="I683" s="10" cm="1">
        <f t="array" ref="I683">(INDEX(J$403:J$594,MATCH(1,($A683=$A$403:$A$594)*($B683=$B$403:$B$594)*("Weekday"=$D$403:$D$594),0))*Weekdays+INDEX(J$403:J$594,MATCH(1,($A683=$A$403:$A$594)*($B683=$B$403:$B$594)*("Weekend"=$D$403:$D$594),0))*WeekendDays)/DaysPerWeek</f>
        <v>4.1509982301491767E-5</v>
      </c>
      <c r="J683" s="10">
        <v>0</v>
      </c>
      <c r="K683" s="10" cm="1">
        <f t="array" ref="K683">(INDEX(L$403:L$594,MATCH(1,($A683=$A$403:$A$594)*($B683=$B$403:$B$594)*("Weekday"=$D$403:$D$594),0))*Weekdays+INDEX(L$403:L$594,MATCH(1,($A683=$A$403:$A$594)*($B683=$B$403:$B$594)*("Weekend"=$D$403:$D$594),0))*WeekendDays)/DaysPerWeek</f>
        <v>1.1576556958934833E-4</v>
      </c>
      <c r="L683" s="10" cm="1">
        <f t="array" ref="L683">(INDEX(M$403:M$594,MATCH(1,($A683=$A$403:$A$594)*($B683=$B$403:$B$594)*("Weekday"=$D$403:$D$594),0))*Weekdays+INDEX(M$403:M$594,MATCH(1,($A683=$A$403:$A$594)*($B683=$B$403:$B$594)*("Weekend"=$D$403:$D$594),0))*WeekendDays)/DaysPerWeek</f>
        <v>0</v>
      </c>
      <c r="M683" s="10" cm="1">
        <f t="array" ref="M683">(INDEX(N$403:N$594,MATCH(1,($A683=$A$403:$A$594)*($B683=$B$403:$B$594)*("Weekday"=$D$403:$D$594),0))*Weekdays+INDEX(N$403:N$594,MATCH(1,($A683=$A$403:$A$594)*($B683=$B$403:$B$594)*("Weekend"=$D$403:$D$594),0))*WeekendDays)/DaysPerWeek</f>
        <v>4.1509982301491767E-5</v>
      </c>
      <c r="N683" s="10" cm="1">
        <f t="array" ref="N683">(INDEX(O$403:O$594,MATCH(1,($A683=$A$403:$A$594)*($B683=$B$403:$B$594)*("Weekday"=$D$403:$D$594),0))*Weekdays+INDEX(O$403:O$594,MATCH(1,($A683=$A$403:$A$594)*($B683=$B$403:$B$594)*("Weekend"=$D$403:$D$594),0))*WeekendDays)/DaysPerWeek</f>
        <v>4.1509982301491767E-5</v>
      </c>
      <c r="O683" s="10" cm="1">
        <f t="array" ref="O683">(INDEX(P$403:P$594,MATCH(1,($A683=$A$403:$A$594)*($B683=$B$403:$B$594)*("Weekday"=$D$403:$D$594),0))*Weekdays+INDEX(P$403:P$594,MATCH(1,($A683=$A$403:$A$594)*($B683=$B$403:$B$594)*("Weekend"=$D$403:$D$594),0))*WeekendDays)/DaysPerWeek</f>
        <v>4.1509982301491767E-5</v>
      </c>
      <c r="P683" s="10" cm="1">
        <f t="array" ref="P683">(INDEX(Q$403:Q$594,MATCH(1,($A683=$A$403:$A$594)*($B683=$B$403:$B$594)*("Weekday"=$D$403:$D$594),0))*Weekdays+INDEX(Q$403:Q$594,MATCH(1,($A683=$A$403:$A$594)*($B683=$B$403:$B$594)*("Weekend"=$D$403:$D$594),0))*WeekendDays)/DaysPerWeek</f>
        <v>8.6616048216706193E-5</v>
      </c>
      <c r="Q683" s="10" cm="1">
        <f t="array" ref="Q683">(INDEX(R$403:R$594,MATCH(1,($A683=$A$403:$A$594)*($B683=$B$403:$B$594)*("Weekday"=$D$403:$D$594),0))*Weekdays+INDEX(R$403:R$594,MATCH(1,($A683=$A$403:$A$594)*($B683=$B$403:$B$594)*("Weekend"=$D$403:$D$594),0))*WeekendDays)/DaysPerWeek</f>
        <v>8.6616048216706193E-5</v>
      </c>
      <c r="R683" s="10" cm="1">
        <f t="array" ref="R683">(INDEX(S$403:S$594,MATCH(1,($A683=$A$403:$A$594)*($B683=$B$403:$B$594)*("Weekday"=$D$403:$D$594),0))*Weekdays+INDEX(S$403:S$594,MATCH(1,($A683=$A$403:$A$594)*($B683=$B$403:$B$594)*("Weekend"=$D$403:$D$594),0))*WeekendDays)/DaysPerWeek</f>
        <v>8.6616048216706193E-5</v>
      </c>
      <c r="S683" s="10" cm="1">
        <f t="array" ref="S683">(INDEX(T$403:T$594,MATCH(1,($A683=$A$403:$A$594)*($B683=$B$403:$B$594)*("Weekday"=$D$403:$D$594),0))*Weekdays+INDEX(T$403:T$594,MATCH(1,($A683=$A$403:$A$594)*($B683=$B$403:$B$594)*("Weekend"=$D$403:$D$594),0))*WeekendDays)/DaysPerWeek</f>
        <v>8.6616048216706193E-5</v>
      </c>
      <c r="T683" s="10" cm="1">
        <f t="array" ref="T683">(INDEX(U$403:U$594,MATCH(1,($A683=$A$403:$A$594)*($B683=$B$403:$B$594)*("Weekday"=$D$403:$D$594),0))*Weekdays+INDEX(U$403:U$594,MATCH(1,($A683=$A$403:$A$594)*($B683=$B$403:$B$594)*("Weekend"=$D$403:$D$594),0))*WeekendDays)/DaysPerWeek</f>
        <v>8.6616048216706193E-5</v>
      </c>
      <c r="U683" s="10" cm="1">
        <f t="array" ref="U683">(INDEX(V$403:V$594,MATCH(1,($A683=$A$403:$A$594)*($B683=$B$403:$B$594)*("Weekday"=$D$403:$D$594),0))*Weekdays+INDEX(V$403:V$594,MATCH(1,($A683=$A$403:$A$594)*($B683=$B$403:$B$594)*("Weekend"=$D$403:$D$594),0))*WeekendDays)/DaysPerWeek</f>
        <v>8.6616048216706193E-5</v>
      </c>
      <c r="V683" s="10" cm="1">
        <f t="array" ref="V683">(INDEX(W$403:W$594,MATCH(1,($A683=$A$403:$A$594)*($B683=$B$403:$B$594)*("Weekday"=$D$403:$D$594),0))*Weekdays+INDEX(W$403:W$594,MATCH(1,($A683=$A$403:$A$594)*($B683=$B$403:$B$594)*("Weekend"=$D$403:$D$594),0))*WeekendDays)/DaysPerWeek</f>
        <v>7.6839286965024606E-5</v>
      </c>
      <c r="W683" s="10" cm="1">
        <f t="array" ref="W683">(INDEX(X$403:X$594,MATCH(1,($A683=$A$403:$A$594)*($B683=$B$403:$B$594)*("Weekday"=$D$403:$D$594),0))*Weekdays+INDEX(X$403:X$594,MATCH(1,($A683=$A$403:$A$594)*($B683=$B$403:$B$594)*("Weekend"=$D$403:$D$594),0))*WeekendDays)/DaysPerWeek</f>
        <v>7.6839286965024606E-5</v>
      </c>
      <c r="X683" s="10" cm="1">
        <f t="array" ref="X683">(INDEX(Y$403:Y$594,MATCH(1,($A683=$A$403:$A$594)*($B683=$B$403:$B$594)*("Weekday"=$D$403:$D$594),0))*Weekdays+INDEX(Y$403:Y$594,MATCH(1,($A683=$A$403:$A$594)*($B683=$B$403:$B$594)*("Weekend"=$D$403:$D$594),0))*WeekendDays)/DaysPerWeek</f>
        <v>7.6839286965024606E-5</v>
      </c>
      <c r="Y683" s="27">
        <f t="shared" si="245"/>
        <v>1.2201834381348254E-3</v>
      </c>
      <c r="Z683" s="32" t="str">
        <f t="shared" si="244"/>
        <v/>
      </c>
    </row>
    <row r="684" spans="1:26" outlineLevel="1" x14ac:dyDescent="0.3">
      <c r="A684" t="s">
        <v>166</v>
      </c>
      <c r="B684" t="s">
        <v>76</v>
      </c>
      <c r="C684" s="6" t="s">
        <v>152</v>
      </c>
      <c r="D684" s="10">
        <v>0</v>
      </c>
      <c r="E684" s="10" cm="1">
        <f t="array" ref="E684">(INDEX(F$403:F$594,MATCH(1,($A684=$A$403:$A$594)*($B684=$B$403:$B$594)*("Weekday"=$D$403:$D$594),0))*Weekdays+INDEX(F$403:F$594,MATCH(1,($A684=$A$403:$A$594)*($B684=$B$403:$B$594)*("Weekend"=$D$403:$D$594),0))*WeekendDays)/DaysPerWeek</f>
        <v>1.2599454137587467E-4</v>
      </c>
      <c r="F684" s="10" cm="1">
        <f t="array" ref="F684">(INDEX(G$403:G$594,MATCH(1,($A684=$A$403:$A$594)*($B684=$B$403:$B$594)*("Weekday"=$D$403:$D$594),0))*Weekdays+INDEX(G$403:G$594,MATCH(1,($A684=$A$403:$A$594)*($B684=$B$403:$B$594)*("Weekend"=$D$403:$D$594),0))*WeekendDays)/DaysPerWeek</f>
        <v>0</v>
      </c>
      <c r="G684" s="10" cm="1">
        <f t="array" ref="G684">(INDEX(H$403:H$594,MATCH(1,($A684=$A$403:$A$594)*($B684=$B$403:$B$594)*("Weekday"=$D$403:$D$594),0))*Weekdays+INDEX(H$403:H$594,MATCH(1,($A684=$A$403:$A$594)*($B684=$B$403:$B$594)*("Weekend"=$D$403:$D$594),0))*WeekendDays)/DaysPerWeek</f>
        <v>4.3336140575330659E-5</v>
      </c>
      <c r="H684" s="10" cm="1">
        <f t="array" ref="H684">(INDEX(I$403:I$594,MATCH(1,($A684=$A$403:$A$594)*($B684=$B$403:$B$594)*("Weekday"=$D$403:$D$594),0))*Weekdays+INDEX(I$403:I$594,MATCH(1,($A684=$A$403:$A$594)*($B684=$B$403:$B$594)*("Weekend"=$D$403:$D$594),0))*WeekendDays)/DaysPerWeek</f>
        <v>4.3336140575330659E-5</v>
      </c>
      <c r="I684" s="10" cm="1">
        <f t="array" ref="I684">(INDEX(J$403:J$594,MATCH(1,($A684=$A$403:$A$594)*($B684=$B$403:$B$594)*("Weekday"=$D$403:$D$594),0))*Weekdays+INDEX(J$403:J$594,MATCH(1,($A684=$A$403:$A$594)*($B684=$B$403:$B$594)*("Weekend"=$D$403:$D$594),0))*WeekendDays)/DaysPerWeek</f>
        <v>4.3336140575330659E-5</v>
      </c>
      <c r="J684" s="10">
        <v>0</v>
      </c>
      <c r="K684" s="10" cm="1">
        <f t="array" ref="K684">(INDEX(L$403:L$594,MATCH(1,($A684=$A$403:$A$594)*($B684=$B$403:$B$594)*("Weekday"=$D$403:$D$594),0))*Weekdays+INDEX(L$403:L$594,MATCH(1,($A684=$A$403:$A$594)*($B684=$B$403:$B$594)*("Weekend"=$D$403:$D$594),0))*WeekendDays)/DaysPerWeek</f>
        <v>1.1984968525710346E-4</v>
      </c>
      <c r="L684" s="10" cm="1">
        <f t="array" ref="L684">(INDEX(M$403:M$594,MATCH(1,($A684=$A$403:$A$594)*($B684=$B$403:$B$594)*("Weekday"=$D$403:$D$594),0))*Weekdays+INDEX(M$403:M$594,MATCH(1,($A684=$A$403:$A$594)*($B684=$B$403:$B$594)*("Weekend"=$D$403:$D$594),0))*WeekendDays)/DaysPerWeek</f>
        <v>0</v>
      </c>
      <c r="M684" s="10" cm="1">
        <f t="array" ref="M684">(INDEX(N$403:N$594,MATCH(1,($A684=$A$403:$A$594)*($B684=$B$403:$B$594)*("Weekday"=$D$403:$D$594),0))*Weekdays+INDEX(N$403:N$594,MATCH(1,($A684=$A$403:$A$594)*($B684=$B$403:$B$594)*("Weekend"=$D$403:$D$594),0))*WeekendDays)/DaysPerWeek</f>
        <v>4.3336140575330659E-5</v>
      </c>
      <c r="N684" s="10" cm="1">
        <f t="array" ref="N684">(INDEX(O$403:O$594,MATCH(1,($A684=$A$403:$A$594)*($B684=$B$403:$B$594)*("Weekday"=$D$403:$D$594),0))*Weekdays+INDEX(O$403:O$594,MATCH(1,($A684=$A$403:$A$594)*($B684=$B$403:$B$594)*("Weekend"=$D$403:$D$594),0))*WeekendDays)/DaysPerWeek</f>
        <v>4.3336140575330659E-5</v>
      </c>
      <c r="O684" s="10" cm="1">
        <f t="array" ref="O684">(INDEX(P$403:P$594,MATCH(1,($A684=$A$403:$A$594)*($B684=$B$403:$B$594)*("Weekday"=$D$403:$D$594),0))*Weekdays+INDEX(P$403:P$594,MATCH(1,($A684=$A$403:$A$594)*($B684=$B$403:$B$594)*("Weekend"=$D$403:$D$594),0))*WeekendDays)/DaysPerWeek</f>
        <v>4.3336140575330659E-5</v>
      </c>
      <c r="P684" s="10" cm="1">
        <f t="array" ref="P684">(INDEX(Q$403:Q$594,MATCH(1,($A684=$A$403:$A$594)*($B684=$B$403:$B$594)*("Weekday"=$D$403:$D$594),0))*Weekdays+INDEX(Q$403:Q$594,MATCH(1,($A684=$A$403:$A$594)*($B684=$B$403:$B$594)*("Weekend"=$D$403:$D$594),0))*WeekendDays)/DaysPerWeek</f>
        <v>8.5753025997155685E-5</v>
      </c>
      <c r="Q684" s="10" cm="1">
        <f t="array" ref="Q684">(INDEX(R$403:R$594,MATCH(1,($A684=$A$403:$A$594)*($B684=$B$403:$B$594)*("Weekday"=$D$403:$D$594),0))*Weekdays+INDEX(R$403:R$594,MATCH(1,($A684=$A$403:$A$594)*($B684=$B$403:$B$594)*("Weekend"=$D$403:$D$594),0))*WeekendDays)/DaysPerWeek</f>
        <v>8.5753025997155685E-5</v>
      </c>
      <c r="R684" s="10" cm="1">
        <f t="array" ref="R684">(INDEX(S$403:S$594,MATCH(1,($A684=$A$403:$A$594)*($B684=$B$403:$B$594)*("Weekday"=$D$403:$D$594),0))*Weekdays+INDEX(S$403:S$594,MATCH(1,($A684=$A$403:$A$594)*($B684=$B$403:$B$594)*("Weekend"=$D$403:$D$594),0))*WeekendDays)/DaysPerWeek</f>
        <v>8.5753025997155685E-5</v>
      </c>
      <c r="S684" s="10" cm="1">
        <f t="array" ref="S684">(INDEX(T$403:T$594,MATCH(1,($A684=$A$403:$A$594)*($B684=$B$403:$B$594)*("Weekday"=$D$403:$D$594),0))*Weekdays+INDEX(T$403:T$594,MATCH(1,($A684=$A$403:$A$594)*($B684=$B$403:$B$594)*("Weekend"=$D$403:$D$594),0))*WeekendDays)/DaysPerWeek</f>
        <v>8.5753025997155685E-5</v>
      </c>
      <c r="T684" s="10" cm="1">
        <f t="array" ref="T684">(INDEX(U$403:U$594,MATCH(1,($A684=$A$403:$A$594)*($B684=$B$403:$B$594)*("Weekday"=$D$403:$D$594),0))*Weekdays+INDEX(U$403:U$594,MATCH(1,($A684=$A$403:$A$594)*($B684=$B$403:$B$594)*("Weekend"=$D$403:$D$594),0))*WeekendDays)/DaysPerWeek</f>
        <v>8.5753025997155685E-5</v>
      </c>
      <c r="U684" s="10" cm="1">
        <f t="array" ref="U684">(INDEX(V$403:V$594,MATCH(1,($A684=$A$403:$A$594)*($B684=$B$403:$B$594)*("Weekday"=$D$403:$D$594),0))*Weekdays+INDEX(V$403:V$594,MATCH(1,($A684=$A$403:$A$594)*($B684=$B$403:$B$594)*("Weekend"=$D$403:$D$594),0))*WeekendDays)/DaysPerWeek</f>
        <v>8.5753025997155685E-5</v>
      </c>
      <c r="V684" s="10" cm="1">
        <f t="array" ref="V684">(INDEX(W$403:W$594,MATCH(1,($A684=$A$403:$A$594)*($B684=$B$403:$B$594)*("Weekday"=$D$403:$D$594),0))*Weekdays+INDEX(W$403:W$594,MATCH(1,($A684=$A$403:$A$594)*($B684=$B$403:$B$594)*("Weekend"=$D$403:$D$594),0))*WeekendDays)/DaysPerWeek</f>
        <v>7.6839286965024606E-5</v>
      </c>
      <c r="W684" s="10" cm="1">
        <f t="array" ref="W684">(INDEX(X$403:X$594,MATCH(1,($A684=$A$403:$A$594)*($B684=$B$403:$B$594)*("Weekday"=$D$403:$D$594),0))*Weekdays+INDEX(X$403:X$594,MATCH(1,($A684=$A$403:$A$594)*($B684=$B$403:$B$594)*("Weekend"=$D$403:$D$594),0))*WeekendDays)/DaysPerWeek</f>
        <v>7.6839286965024606E-5</v>
      </c>
      <c r="X684" s="10" cm="1">
        <f t="array" ref="X684">(INDEX(Y$403:Y$594,MATCH(1,($A684=$A$403:$A$594)*($B684=$B$403:$B$594)*("Weekday"=$D$403:$D$594),0))*Weekdays+INDEX(Y$403:Y$594,MATCH(1,($A684=$A$403:$A$594)*($B684=$B$403:$B$594)*("Weekend"=$D$403:$D$594),0))*WeekendDays)/DaysPerWeek</f>
        <v>7.6839286965024606E-5</v>
      </c>
      <c r="Y684" s="27">
        <f t="shared" si="245"/>
        <v>1.25089708696297E-3</v>
      </c>
      <c r="Z684" s="32" t="str">
        <f t="shared" si="244"/>
        <v/>
      </c>
    </row>
    <row r="685" spans="1:26" outlineLevel="1" x14ac:dyDescent="0.3">
      <c r="A685" t="s">
        <v>166</v>
      </c>
      <c r="B685" t="s">
        <v>77</v>
      </c>
      <c r="C685" s="6" t="s">
        <v>153</v>
      </c>
      <c r="D685" s="10">
        <v>0</v>
      </c>
      <c r="E685" s="10" cm="1">
        <f t="array" ref="E685">(INDEX(F$403:F$594,MATCH(1,($A685=$A$403:$A$594)*($B685=$B$403:$B$594)*("Weekday"=$D$403:$D$594),0))*Weekdays+INDEX(F$403:F$594,MATCH(1,($A685=$A$403:$A$594)*($B685=$B$403:$B$594)*("Weekend"=$D$403:$D$594),0))*WeekendDays)/DaysPerWeek</f>
        <v>1.3766039040360683E-4</v>
      </c>
      <c r="F685" s="10" cm="1">
        <f t="array" ref="F685">(INDEX(G$403:G$594,MATCH(1,($A685=$A$403:$A$594)*($B685=$B$403:$B$594)*("Weekday"=$D$403:$D$594),0))*Weekdays+INDEX(G$403:G$594,MATCH(1,($A685=$A$403:$A$594)*($B685=$B$403:$B$594)*("Weekend"=$D$403:$D$594),0))*WeekendDays)/DaysPerWeek</f>
        <v>0</v>
      </c>
      <c r="G685" s="10" cm="1">
        <f t="array" ref="G685">(INDEX(H$403:H$594,MATCH(1,($A685=$A$403:$A$594)*($B685=$B$403:$B$594)*("Weekday"=$D$403:$D$594),0))*Weekdays+INDEX(H$403:H$594,MATCH(1,($A685=$A$403:$A$594)*($B685=$B$403:$B$594)*("Weekend"=$D$403:$D$594),0))*WeekendDays)/DaysPerWeek</f>
        <v>4.3687324858761206E-5</v>
      </c>
      <c r="H685" s="10" cm="1">
        <f t="array" ref="H685">(INDEX(I$403:I$594,MATCH(1,($A685=$A$403:$A$594)*($B685=$B$403:$B$594)*("Weekday"=$D$403:$D$594),0))*Weekdays+INDEX(I$403:I$594,MATCH(1,($A685=$A$403:$A$594)*($B685=$B$403:$B$594)*("Weekend"=$D$403:$D$594),0))*WeekendDays)/DaysPerWeek</f>
        <v>4.3687324858761206E-5</v>
      </c>
      <c r="I685" s="10" cm="1">
        <f t="array" ref="I685">(INDEX(J$403:J$594,MATCH(1,($A685=$A$403:$A$594)*($B685=$B$403:$B$594)*("Weekday"=$D$403:$D$594),0))*Weekdays+INDEX(J$403:J$594,MATCH(1,($A685=$A$403:$A$594)*($B685=$B$403:$B$594)*("Weekend"=$D$403:$D$594),0))*WeekendDays)/DaysPerWeek</f>
        <v>4.3687324858761206E-5</v>
      </c>
      <c r="J685" s="10">
        <v>0</v>
      </c>
      <c r="K685" s="10" cm="1">
        <f t="array" ref="K685">(INDEX(L$403:L$594,MATCH(1,($A685=$A$403:$A$594)*($B685=$B$403:$B$594)*("Weekday"=$D$403:$D$594),0))*Weekdays+INDEX(L$403:L$594,MATCH(1,($A685=$A$403:$A$594)*($B685=$B$403:$B$594)*("Weekend"=$D$403:$D$594),0))*WeekendDays)/DaysPerWeek</f>
        <v>1.2456442318660536E-4</v>
      </c>
      <c r="L685" s="10" cm="1">
        <f t="array" ref="L685">(INDEX(M$403:M$594,MATCH(1,($A685=$A$403:$A$594)*($B685=$B$403:$B$594)*("Weekday"=$D$403:$D$594),0))*Weekdays+INDEX(M$403:M$594,MATCH(1,($A685=$A$403:$A$594)*($B685=$B$403:$B$594)*("Weekend"=$D$403:$D$594),0))*WeekendDays)/DaysPerWeek</f>
        <v>0</v>
      </c>
      <c r="M685" s="10" cm="1">
        <f t="array" ref="M685">(INDEX(N$403:N$594,MATCH(1,($A685=$A$403:$A$594)*($B685=$B$403:$B$594)*("Weekday"=$D$403:$D$594),0))*Weekdays+INDEX(N$403:N$594,MATCH(1,($A685=$A$403:$A$594)*($B685=$B$403:$B$594)*("Weekend"=$D$403:$D$594),0))*WeekendDays)/DaysPerWeek</f>
        <v>4.3687324858761206E-5</v>
      </c>
      <c r="N685" s="10" cm="1">
        <f t="array" ref="N685">(INDEX(O$403:O$594,MATCH(1,($A685=$A$403:$A$594)*($B685=$B$403:$B$594)*("Weekday"=$D$403:$D$594),0))*Weekdays+INDEX(O$403:O$594,MATCH(1,($A685=$A$403:$A$594)*($B685=$B$403:$B$594)*("Weekend"=$D$403:$D$594),0))*WeekendDays)/DaysPerWeek</f>
        <v>4.3687324858761206E-5</v>
      </c>
      <c r="O685" s="10" cm="1">
        <f t="array" ref="O685">(INDEX(P$403:P$594,MATCH(1,($A685=$A$403:$A$594)*($B685=$B$403:$B$594)*("Weekday"=$D$403:$D$594),0))*Weekdays+INDEX(P$403:P$594,MATCH(1,($A685=$A$403:$A$594)*($B685=$B$403:$B$594)*("Weekend"=$D$403:$D$594),0))*WeekendDays)/DaysPerWeek</f>
        <v>4.3687324858761206E-5</v>
      </c>
      <c r="P685" s="10" cm="1">
        <f t="array" ref="P685">(INDEX(Q$403:Q$594,MATCH(1,($A685=$A$403:$A$594)*($B685=$B$403:$B$594)*("Weekday"=$D$403:$D$594),0))*Weekdays+INDEX(Q$403:Q$594,MATCH(1,($A685=$A$403:$A$594)*($B685=$B$403:$B$594)*("Weekend"=$D$403:$D$594),0))*WeekendDays)/DaysPerWeek</f>
        <v>8.3791611861813614E-5</v>
      </c>
      <c r="Q685" s="10" cm="1">
        <f t="array" ref="Q685">(INDEX(R$403:R$594,MATCH(1,($A685=$A$403:$A$594)*($B685=$B$403:$B$594)*("Weekday"=$D$403:$D$594),0))*Weekdays+INDEX(R$403:R$594,MATCH(1,($A685=$A$403:$A$594)*($B685=$B$403:$B$594)*("Weekend"=$D$403:$D$594),0))*WeekendDays)/DaysPerWeek</f>
        <v>8.3791611861813614E-5</v>
      </c>
      <c r="R685" s="10" cm="1">
        <f t="array" ref="R685">(INDEX(S$403:S$594,MATCH(1,($A685=$A$403:$A$594)*($B685=$B$403:$B$594)*("Weekday"=$D$403:$D$594),0))*Weekdays+INDEX(S$403:S$594,MATCH(1,($A685=$A$403:$A$594)*($B685=$B$403:$B$594)*("Weekend"=$D$403:$D$594),0))*WeekendDays)/DaysPerWeek</f>
        <v>8.3791611861813614E-5</v>
      </c>
      <c r="S685" s="10" cm="1">
        <f t="array" ref="S685">(INDEX(T$403:T$594,MATCH(1,($A685=$A$403:$A$594)*($B685=$B$403:$B$594)*("Weekday"=$D$403:$D$594),0))*Weekdays+INDEX(T$403:T$594,MATCH(1,($A685=$A$403:$A$594)*($B685=$B$403:$B$594)*("Weekend"=$D$403:$D$594),0))*WeekendDays)/DaysPerWeek</f>
        <v>8.3791611861813614E-5</v>
      </c>
      <c r="T685" s="10" cm="1">
        <f t="array" ref="T685">(INDEX(U$403:U$594,MATCH(1,($A685=$A$403:$A$594)*($B685=$B$403:$B$594)*("Weekday"=$D$403:$D$594),0))*Weekdays+INDEX(U$403:U$594,MATCH(1,($A685=$A$403:$A$594)*($B685=$B$403:$B$594)*("Weekend"=$D$403:$D$594),0))*WeekendDays)/DaysPerWeek</f>
        <v>8.3791611861813614E-5</v>
      </c>
      <c r="U685" s="10" cm="1">
        <f t="array" ref="U685">(INDEX(V$403:V$594,MATCH(1,($A685=$A$403:$A$594)*($B685=$B$403:$B$594)*("Weekday"=$D$403:$D$594),0))*Weekdays+INDEX(V$403:V$594,MATCH(1,($A685=$A$403:$A$594)*($B685=$B$403:$B$594)*("Weekend"=$D$403:$D$594),0))*WeekendDays)/DaysPerWeek</f>
        <v>8.3791611861813614E-5</v>
      </c>
      <c r="V685" s="10" cm="1">
        <f t="array" ref="V685">(INDEX(W$403:W$594,MATCH(1,($A685=$A$403:$A$594)*($B685=$B$403:$B$594)*("Weekday"=$D$403:$D$594),0))*Weekdays+INDEX(W$403:W$594,MATCH(1,($A685=$A$403:$A$594)*($B685=$B$403:$B$594)*("Weekend"=$D$403:$D$594),0))*WeekendDays)/DaysPerWeek</f>
        <v>7.6762905964065332E-5</v>
      </c>
      <c r="W685" s="10" cm="1">
        <f t="array" ref="W685">(INDEX(X$403:X$594,MATCH(1,($A685=$A$403:$A$594)*($B685=$B$403:$B$594)*("Weekday"=$D$403:$D$594),0))*Weekdays+INDEX(X$403:X$594,MATCH(1,($A685=$A$403:$A$594)*($B685=$B$403:$B$594)*("Weekend"=$D$403:$D$594),0))*WeekendDays)/DaysPerWeek</f>
        <v>7.6762905964065332E-5</v>
      </c>
      <c r="X685" s="10" cm="1">
        <f t="array" ref="X685">(INDEX(Y$403:Y$594,MATCH(1,($A685=$A$403:$A$594)*($B685=$B$403:$B$594)*("Weekday"=$D$403:$D$594),0))*Weekdays+INDEX(Y$403:Y$594,MATCH(1,($A685=$A$403:$A$594)*($B685=$B$403:$B$594)*("Weekend"=$D$403:$D$594),0))*WeekendDays)/DaysPerWeek</f>
        <v>7.6762905964065332E-5</v>
      </c>
      <c r="Y685" s="27">
        <f t="shared" si="245"/>
        <v>1.2573871518058569E-3</v>
      </c>
      <c r="Z685" s="32" t="str">
        <f t="shared" si="244"/>
        <v/>
      </c>
    </row>
    <row r="686" spans="1:26" outlineLevel="1" x14ac:dyDescent="0.3">
      <c r="A686" t="s">
        <v>166</v>
      </c>
      <c r="B686" t="s">
        <v>78</v>
      </c>
      <c r="C686" s="6" t="s">
        <v>154</v>
      </c>
      <c r="D686" s="10">
        <v>0</v>
      </c>
      <c r="E686" s="10" cm="1">
        <f t="array" ref="E686">(INDEX(F$403:F$594,MATCH(1,($A686=$A$403:$A$594)*($B686=$B$403:$B$594)*("Weekday"=$D$403:$D$594),0))*Weekdays+INDEX(F$403:F$594,MATCH(1,($A686=$A$403:$A$594)*($B686=$B$403:$B$594)*("Weekend"=$D$403:$D$594),0))*WeekendDays)/DaysPerWeek</f>
        <v>1.4432207907340877E-4</v>
      </c>
      <c r="F686" s="10" cm="1">
        <f t="array" ref="F686">(INDEX(G$403:G$594,MATCH(1,($A686=$A$403:$A$594)*($B686=$B$403:$B$594)*("Weekday"=$D$403:$D$594),0))*Weekdays+INDEX(G$403:G$594,MATCH(1,($A686=$A$403:$A$594)*($B686=$B$403:$B$594)*("Weekend"=$D$403:$D$594),0))*WeekendDays)/DaysPerWeek</f>
        <v>0</v>
      </c>
      <c r="G686" s="10" cm="1">
        <f t="array" ref="G686">(INDEX(H$403:H$594,MATCH(1,($A686=$A$403:$A$594)*($B686=$B$403:$B$594)*("Weekday"=$D$403:$D$594),0))*Weekdays+INDEX(H$403:H$594,MATCH(1,($A686=$A$403:$A$594)*($B686=$B$403:$B$594)*("Weekend"=$D$403:$D$594),0))*WeekendDays)/DaysPerWeek</f>
        <v>4.4178982855563995E-5</v>
      </c>
      <c r="H686" s="10" cm="1">
        <f t="array" ref="H686">(INDEX(I$403:I$594,MATCH(1,($A686=$A$403:$A$594)*($B686=$B$403:$B$594)*("Weekday"=$D$403:$D$594),0))*Weekdays+INDEX(I$403:I$594,MATCH(1,($A686=$A$403:$A$594)*($B686=$B$403:$B$594)*("Weekend"=$D$403:$D$594),0))*WeekendDays)/DaysPerWeek</f>
        <v>4.4178982855563995E-5</v>
      </c>
      <c r="I686" s="10" cm="1">
        <f t="array" ref="I686">(INDEX(J$403:J$594,MATCH(1,($A686=$A$403:$A$594)*($B686=$B$403:$B$594)*("Weekday"=$D$403:$D$594),0))*Weekdays+INDEX(J$403:J$594,MATCH(1,($A686=$A$403:$A$594)*($B686=$B$403:$B$594)*("Weekend"=$D$403:$D$594),0))*WeekendDays)/DaysPerWeek</f>
        <v>4.4178982855563995E-5</v>
      </c>
      <c r="J686" s="10">
        <v>0</v>
      </c>
      <c r="K686" s="10" cm="1">
        <f t="array" ref="K686">(INDEX(L$403:L$594,MATCH(1,($A686=$A$403:$A$594)*($B686=$B$403:$B$594)*("Weekday"=$D$403:$D$594),0))*Weekdays+INDEX(L$403:L$594,MATCH(1,($A686=$A$403:$A$594)*($B686=$B$403:$B$594)*("Weekend"=$D$403:$D$594),0))*WeekendDays)/DaysPerWeek</f>
        <v>1.2716913161507482E-4</v>
      </c>
      <c r="L686" s="10" cm="1">
        <f t="array" ref="L686">(INDEX(M$403:M$594,MATCH(1,($A686=$A$403:$A$594)*($B686=$B$403:$B$594)*("Weekday"=$D$403:$D$594),0))*Weekdays+INDEX(M$403:M$594,MATCH(1,($A686=$A$403:$A$594)*($B686=$B$403:$B$594)*("Weekend"=$D$403:$D$594),0))*WeekendDays)/DaysPerWeek</f>
        <v>0</v>
      </c>
      <c r="M686" s="10" cm="1">
        <f t="array" ref="M686">(INDEX(N$403:N$594,MATCH(1,($A686=$A$403:$A$594)*($B686=$B$403:$B$594)*("Weekday"=$D$403:$D$594),0))*Weekdays+INDEX(N$403:N$594,MATCH(1,($A686=$A$403:$A$594)*($B686=$B$403:$B$594)*("Weekend"=$D$403:$D$594),0))*WeekendDays)/DaysPerWeek</f>
        <v>4.4178982855563995E-5</v>
      </c>
      <c r="N686" s="10" cm="1">
        <f t="array" ref="N686">(INDEX(O$403:O$594,MATCH(1,($A686=$A$403:$A$594)*($B686=$B$403:$B$594)*("Weekday"=$D$403:$D$594),0))*Weekdays+INDEX(O$403:O$594,MATCH(1,($A686=$A$403:$A$594)*($B686=$B$403:$B$594)*("Weekend"=$D$403:$D$594),0))*WeekendDays)/DaysPerWeek</f>
        <v>4.4178982855563995E-5</v>
      </c>
      <c r="O686" s="10" cm="1">
        <f t="array" ref="O686">(INDEX(P$403:P$594,MATCH(1,($A686=$A$403:$A$594)*($B686=$B$403:$B$594)*("Weekday"=$D$403:$D$594),0))*Weekdays+INDEX(P$403:P$594,MATCH(1,($A686=$A$403:$A$594)*($B686=$B$403:$B$594)*("Weekend"=$D$403:$D$594),0))*WeekendDays)/DaysPerWeek</f>
        <v>4.4178982855563995E-5</v>
      </c>
      <c r="P686" s="10" cm="1">
        <f t="array" ref="P686">(INDEX(Q$403:Q$594,MATCH(1,($A686=$A$403:$A$594)*($B686=$B$403:$B$594)*("Weekday"=$D$403:$D$594),0))*Weekdays+INDEX(Q$403:Q$594,MATCH(1,($A686=$A$403:$A$594)*($B686=$B$403:$B$594)*("Weekend"=$D$403:$D$594),0))*WeekendDays)/DaysPerWeek</f>
        <v>8.3556242165572559E-5</v>
      </c>
      <c r="Q686" s="10" cm="1">
        <f t="array" ref="Q686">(INDEX(R$403:R$594,MATCH(1,($A686=$A$403:$A$594)*($B686=$B$403:$B$594)*("Weekday"=$D$403:$D$594),0))*Weekdays+INDEX(R$403:R$594,MATCH(1,($A686=$A$403:$A$594)*($B686=$B$403:$B$594)*("Weekend"=$D$403:$D$594),0))*WeekendDays)/DaysPerWeek</f>
        <v>8.3556242165572559E-5</v>
      </c>
      <c r="R686" s="10" cm="1">
        <f t="array" ref="R686">(INDEX(S$403:S$594,MATCH(1,($A686=$A$403:$A$594)*($B686=$B$403:$B$594)*("Weekday"=$D$403:$D$594),0))*Weekdays+INDEX(S$403:S$594,MATCH(1,($A686=$A$403:$A$594)*($B686=$B$403:$B$594)*("Weekend"=$D$403:$D$594),0))*WeekendDays)/DaysPerWeek</f>
        <v>8.3556242165572559E-5</v>
      </c>
      <c r="S686" s="10" cm="1">
        <f t="array" ref="S686">(INDEX(T$403:T$594,MATCH(1,($A686=$A$403:$A$594)*($B686=$B$403:$B$594)*("Weekday"=$D$403:$D$594),0))*Weekdays+INDEX(T$403:T$594,MATCH(1,($A686=$A$403:$A$594)*($B686=$B$403:$B$594)*("Weekend"=$D$403:$D$594),0))*WeekendDays)/DaysPerWeek</f>
        <v>8.3556242165572559E-5</v>
      </c>
      <c r="T686" s="10" cm="1">
        <f t="array" ref="T686">(INDEX(U$403:U$594,MATCH(1,($A686=$A$403:$A$594)*($B686=$B$403:$B$594)*("Weekday"=$D$403:$D$594),0))*Weekdays+INDEX(U$403:U$594,MATCH(1,($A686=$A$403:$A$594)*($B686=$B$403:$B$594)*("Weekend"=$D$403:$D$594),0))*WeekendDays)/DaysPerWeek</f>
        <v>8.3556242165572559E-5</v>
      </c>
      <c r="U686" s="10" cm="1">
        <f t="array" ref="U686">(INDEX(V$403:V$594,MATCH(1,($A686=$A$403:$A$594)*($B686=$B$403:$B$594)*("Weekday"=$D$403:$D$594),0))*Weekdays+INDEX(V$403:V$594,MATCH(1,($A686=$A$403:$A$594)*($B686=$B$403:$B$594)*("Weekend"=$D$403:$D$594),0))*WeekendDays)/DaysPerWeek</f>
        <v>8.3556242165572559E-5</v>
      </c>
      <c r="V686" s="10" cm="1">
        <f t="array" ref="V686">(INDEX(W$403:W$594,MATCH(1,($A686=$A$403:$A$594)*($B686=$B$403:$B$594)*("Weekday"=$D$403:$D$594),0))*Weekdays+INDEX(W$403:W$594,MATCH(1,($A686=$A$403:$A$594)*($B686=$B$403:$B$594)*("Weekend"=$D$403:$D$594),0))*WeekendDays)/DaysPerWeek</f>
        <v>7.6915667965983867E-5</v>
      </c>
      <c r="W686" s="10" cm="1">
        <f t="array" ref="W686">(INDEX(X$403:X$594,MATCH(1,($A686=$A$403:$A$594)*($B686=$B$403:$B$594)*("Weekday"=$D$403:$D$594),0))*Weekdays+INDEX(X$403:X$594,MATCH(1,($A686=$A$403:$A$594)*($B686=$B$403:$B$594)*("Weekend"=$D$403:$D$594),0))*WeekendDays)/DaysPerWeek</f>
        <v>7.6915667965983867E-5</v>
      </c>
      <c r="X686" s="10" cm="1">
        <f t="array" ref="X686">(INDEX(Y$403:Y$594,MATCH(1,($A686=$A$403:$A$594)*($B686=$B$403:$B$594)*("Weekday"=$D$403:$D$594),0))*Weekdays+INDEX(Y$403:Y$594,MATCH(1,($A686=$A$403:$A$594)*($B686=$B$403:$B$594)*("Weekend"=$D$403:$D$594),0))*WeekendDays)/DaysPerWeek</f>
        <v>7.6915667965983867E-5</v>
      </c>
      <c r="Y686" s="27">
        <f t="shared" si="245"/>
        <v>1.2686495647132546E-3</v>
      </c>
      <c r="Z686" s="32" t="str">
        <f t="shared" si="244"/>
        <v/>
      </c>
    </row>
    <row r="687" spans="1:26" outlineLevel="1" x14ac:dyDescent="0.3">
      <c r="A687" t="s">
        <v>166</v>
      </c>
      <c r="B687" t="s">
        <v>79</v>
      </c>
      <c r="C687" s="6" t="s">
        <v>155</v>
      </c>
      <c r="D687" s="10">
        <v>0</v>
      </c>
      <c r="E687" s="10" cm="1">
        <f t="array" ref="E687">(INDEX(F$403:F$594,MATCH(1,($A687=$A$403:$A$594)*($B687=$B$403:$B$594)*("Weekday"=$D$403:$D$594),0))*Weekdays+INDEX(F$403:F$594,MATCH(1,($A687=$A$403:$A$594)*($B687=$B$403:$B$594)*("Weekend"=$D$403:$D$594),0))*WeekendDays)/DaysPerWeek</f>
        <v>1.4896417961347925E-4</v>
      </c>
      <c r="F687" s="10" cm="1">
        <f t="array" ref="F687">(INDEX(G$403:G$594,MATCH(1,($A687=$A$403:$A$594)*($B687=$B$403:$B$594)*("Weekday"=$D$403:$D$594),0))*Weekdays+INDEX(G$403:G$594,MATCH(1,($A687=$A$403:$A$594)*($B687=$B$403:$B$594)*("Weekend"=$D$403:$D$594),0))*WeekendDays)/DaysPerWeek</f>
        <v>0</v>
      </c>
      <c r="G687" s="10" cm="1">
        <f t="array" ref="G687">(INDEX(H$403:H$594,MATCH(1,($A687=$A$403:$A$594)*($B687=$B$403:$B$594)*("Weekday"=$D$403:$D$594),0))*Weekdays+INDEX(H$403:H$594,MATCH(1,($A687=$A$403:$A$594)*($B687=$B$403:$B$594)*("Weekend"=$D$403:$D$594),0))*WeekendDays)/DaysPerWeek</f>
        <v>4.6356325412833447E-5</v>
      </c>
      <c r="H687" s="10" cm="1">
        <f t="array" ref="H687">(INDEX(I$403:I$594,MATCH(1,($A687=$A$403:$A$594)*($B687=$B$403:$B$594)*("Weekday"=$D$403:$D$594),0))*Weekdays+INDEX(I$403:I$594,MATCH(1,($A687=$A$403:$A$594)*($B687=$B$403:$B$594)*("Weekend"=$D$403:$D$594),0))*WeekendDays)/DaysPerWeek</f>
        <v>4.6356325412833447E-5</v>
      </c>
      <c r="I687" s="10" cm="1">
        <f t="array" ref="I687">(INDEX(J$403:J$594,MATCH(1,($A687=$A$403:$A$594)*($B687=$B$403:$B$594)*("Weekday"=$D$403:$D$594),0))*Weekdays+INDEX(J$403:J$594,MATCH(1,($A687=$A$403:$A$594)*($B687=$B$403:$B$594)*("Weekend"=$D$403:$D$594),0))*WeekendDays)/DaysPerWeek</f>
        <v>4.6356325412833447E-5</v>
      </c>
      <c r="J687" s="10">
        <v>0</v>
      </c>
      <c r="K687" s="10" cm="1">
        <f t="array" ref="K687">(INDEX(L$403:L$594,MATCH(1,($A687=$A$403:$A$594)*($B687=$B$403:$B$594)*("Weekday"=$D$403:$D$594),0))*Weekdays+INDEX(L$403:L$594,MATCH(1,($A687=$A$403:$A$594)*($B687=$B$403:$B$594)*("Weekend"=$D$403:$D$594),0))*WeekendDays)/DaysPerWeek</f>
        <v>1.2576595500372442E-4</v>
      </c>
      <c r="L687" s="10" cm="1">
        <f t="array" ref="L687">(INDEX(M$403:M$594,MATCH(1,($A687=$A$403:$A$594)*($B687=$B$403:$B$594)*("Weekday"=$D$403:$D$594),0))*Weekdays+INDEX(M$403:M$594,MATCH(1,($A687=$A$403:$A$594)*($B687=$B$403:$B$594)*("Weekend"=$D$403:$D$594),0))*WeekendDays)/DaysPerWeek</f>
        <v>0</v>
      </c>
      <c r="M687" s="10" cm="1">
        <f t="array" ref="M687">(INDEX(N$403:N$594,MATCH(1,($A687=$A$403:$A$594)*($B687=$B$403:$B$594)*("Weekday"=$D$403:$D$594),0))*Weekdays+INDEX(N$403:N$594,MATCH(1,($A687=$A$403:$A$594)*($B687=$B$403:$B$594)*("Weekend"=$D$403:$D$594),0))*WeekendDays)/DaysPerWeek</f>
        <v>4.6356325412833447E-5</v>
      </c>
      <c r="N687" s="10" cm="1">
        <f t="array" ref="N687">(INDEX(O$403:O$594,MATCH(1,($A687=$A$403:$A$594)*($B687=$B$403:$B$594)*("Weekday"=$D$403:$D$594),0))*Weekdays+INDEX(O$403:O$594,MATCH(1,($A687=$A$403:$A$594)*($B687=$B$403:$B$594)*("Weekend"=$D$403:$D$594),0))*WeekendDays)/DaysPerWeek</f>
        <v>4.6356325412833447E-5</v>
      </c>
      <c r="O687" s="10" cm="1">
        <f t="array" ref="O687">(INDEX(P$403:P$594,MATCH(1,($A687=$A$403:$A$594)*($B687=$B$403:$B$594)*("Weekday"=$D$403:$D$594),0))*Weekdays+INDEX(P$403:P$594,MATCH(1,($A687=$A$403:$A$594)*($B687=$B$403:$B$594)*("Weekend"=$D$403:$D$594),0))*WeekendDays)/DaysPerWeek</f>
        <v>4.6356325412833447E-5</v>
      </c>
      <c r="P687" s="10" cm="1">
        <f t="array" ref="P687">(INDEX(Q$403:Q$594,MATCH(1,($A687=$A$403:$A$594)*($B687=$B$403:$B$594)*("Weekday"=$D$403:$D$594),0))*Weekdays+INDEX(Q$403:Q$594,MATCH(1,($A687=$A$403:$A$594)*($B687=$B$403:$B$594)*("Weekend"=$D$403:$D$594),0))*WeekendDays)/DaysPerWeek</f>
        <v>9.5246270412211356E-5</v>
      </c>
      <c r="Q687" s="10" cm="1">
        <f t="array" ref="Q687">(INDEX(R$403:R$594,MATCH(1,($A687=$A$403:$A$594)*($B687=$B$403:$B$594)*("Weekday"=$D$403:$D$594),0))*Weekdays+INDEX(R$403:R$594,MATCH(1,($A687=$A$403:$A$594)*($B687=$B$403:$B$594)*("Weekend"=$D$403:$D$594),0))*WeekendDays)/DaysPerWeek</f>
        <v>9.5246270412211356E-5</v>
      </c>
      <c r="R687" s="10" cm="1">
        <f t="array" ref="R687">(INDEX(S$403:S$594,MATCH(1,($A687=$A$403:$A$594)*($B687=$B$403:$B$594)*("Weekday"=$D$403:$D$594),0))*Weekdays+INDEX(S$403:S$594,MATCH(1,($A687=$A$403:$A$594)*($B687=$B$403:$B$594)*("Weekend"=$D$403:$D$594),0))*WeekendDays)/DaysPerWeek</f>
        <v>9.5246270412211356E-5</v>
      </c>
      <c r="S687" s="10" cm="1">
        <f t="array" ref="S687">(INDEX(T$403:T$594,MATCH(1,($A687=$A$403:$A$594)*($B687=$B$403:$B$594)*("Weekday"=$D$403:$D$594),0))*Weekdays+INDEX(T$403:T$594,MATCH(1,($A687=$A$403:$A$594)*($B687=$B$403:$B$594)*("Weekend"=$D$403:$D$594),0))*WeekendDays)/DaysPerWeek</f>
        <v>9.5246270412211356E-5</v>
      </c>
      <c r="T687" s="10" cm="1">
        <f t="array" ref="T687">(INDEX(U$403:U$594,MATCH(1,($A687=$A$403:$A$594)*($B687=$B$403:$B$594)*("Weekday"=$D$403:$D$594),0))*Weekdays+INDEX(U$403:U$594,MATCH(1,($A687=$A$403:$A$594)*($B687=$B$403:$B$594)*("Weekend"=$D$403:$D$594),0))*WeekendDays)/DaysPerWeek</f>
        <v>9.5246270412211356E-5</v>
      </c>
      <c r="U687" s="10" cm="1">
        <f t="array" ref="U687">(INDEX(V$403:V$594,MATCH(1,($A687=$A$403:$A$594)*($B687=$B$403:$B$594)*("Weekday"=$D$403:$D$594),0))*Weekdays+INDEX(V$403:V$594,MATCH(1,($A687=$A$403:$A$594)*($B687=$B$403:$B$594)*("Weekend"=$D$403:$D$594),0))*WeekendDays)/DaysPerWeek</f>
        <v>9.5246270412211356E-5</v>
      </c>
      <c r="V687" s="10" cm="1">
        <f t="array" ref="V687">(INDEX(W$403:W$594,MATCH(1,($A687=$A$403:$A$594)*($B687=$B$403:$B$594)*("Weekday"=$D$403:$D$594),0))*Weekdays+INDEX(W$403:W$594,MATCH(1,($A687=$A$403:$A$594)*($B687=$B$403:$B$594)*("Weekend"=$D$403:$D$594),0))*WeekendDays)/DaysPerWeek</f>
        <v>7.7297572970780226E-5</v>
      </c>
      <c r="W687" s="10" cm="1">
        <f t="array" ref="W687">(INDEX(X$403:X$594,MATCH(1,($A687=$A$403:$A$594)*($B687=$B$403:$B$594)*("Weekday"=$D$403:$D$594),0))*Weekdays+INDEX(X$403:X$594,MATCH(1,($A687=$A$403:$A$594)*($B687=$B$403:$B$594)*("Weekend"=$D$403:$D$594),0))*WeekendDays)/DaysPerWeek</f>
        <v>7.7297572970780226E-5</v>
      </c>
      <c r="X687" s="10" cm="1">
        <f t="array" ref="X687">(INDEX(Y$403:Y$594,MATCH(1,($A687=$A$403:$A$594)*($B687=$B$403:$B$594)*("Weekday"=$D$403:$D$594),0))*Weekdays+INDEX(Y$403:Y$594,MATCH(1,($A687=$A$403:$A$594)*($B687=$B$403:$B$594)*("Weekend"=$D$403:$D$594),0))*WeekendDays)/DaysPerWeek</f>
        <v>7.7297572970780226E-5</v>
      </c>
      <c r="Y687" s="27">
        <f t="shared" si="245"/>
        <v>1.3562384284798133E-3</v>
      </c>
      <c r="Z687" s="32" t="str">
        <f t="shared" si="244"/>
        <v/>
      </c>
    </row>
    <row r="688" spans="1:26" outlineLevel="1" x14ac:dyDescent="0.3">
      <c r="A688" t="s">
        <v>166</v>
      </c>
      <c r="B688" t="s">
        <v>80</v>
      </c>
      <c r="C688" s="6" t="s">
        <v>156</v>
      </c>
      <c r="D688" s="10">
        <v>0</v>
      </c>
      <c r="E688" s="10" cm="1">
        <f t="array" ref="E688">(INDEX(F$403:F$594,MATCH(1,($A688=$A$403:$A$594)*($B688=$B$403:$B$594)*("Weekday"=$D$403:$D$594),0))*Weekdays+INDEX(F$403:F$594,MATCH(1,($A688=$A$403:$A$594)*($B688=$B$403:$B$594)*("Weekend"=$D$403:$D$594),0))*WeekendDays)/DaysPerWeek</f>
        <v>1.4797661270513928E-4</v>
      </c>
      <c r="F688" s="10" cm="1">
        <f t="array" ref="F688">(INDEX(G$403:G$594,MATCH(1,($A688=$A$403:$A$594)*($B688=$B$403:$B$594)*("Weekday"=$D$403:$D$594),0))*Weekdays+INDEX(G$403:G$594,MATCH(1,($A688=$A$403:$A$594)*($B688=$B$403:$B$594)*("Weekend"=$D$403:$D$594),0))*WeekendDays)/DaysPerWeek</f>
        <v>0</v>
      </c>
      <c r="G688" s="10" cm="1">
        <f t="array" ref="G688">(INDEX(H$403:H$594,MATCH(1,($A688=$A$403:$A$594)*($B688=$B$403:$B$594)*("Weekday"=$D$403:$D$594),0))*Weekdays+INDEX(H$403:H$594,MATCH(1,($A688=$A$403:$A$594)*($B688=$B$403:$B$594)*("Weekend"=$D$403:$D$594),0))*WeekendDays)/DaysPerWeek</f>
        <v>5.2045510804408449E-5</v>
      </c>
      <c r="H688" s="10" cm="1">
        <f t="array" ref="H688">(INDEX(I$403:I$594,MATCH(1,($A688=$A$403:$A$594)*($B688=$B$403:$B$594)*("Weekday"=$D$403:$D$594),0))*Weekdays+INDEX(I$403:I$594,MATCH(1,($A688=$A$403:$A$594)*($B688=$B$403:$B$594)*("Weekend"=$D$403:$D$594),0))*WeekendDays)/DaysPerWeek</f>
        <v>5.2045510804408449E-5</v>
      </c>
      <c r="I688" s="10" cm="1">
        <f t="array" ref="I688">(INDEX(J$403:J$594,MATCH(1,($A688=$A$403:$A$594)*($B688=$B$403:$B$594)*("Weekday"=$D$403:$D$594),0))*Weekdays+INDEX(J$403:J$594,MATCH(1,($A688=$A$403:$A$594)*($B688=$B$403:$B$594)*("Weekend"=$D$403:$D$594),0))*WeekendDays)/DaysPerWeek</f>
        <v>5.2045510804408449E-5</v>
      </c>
      <c r="J688" s="10">
        <v>0</v>
      </c>
      <c r="K688" s="10" cm="1">
        <f t="array" ref="K688">(INDEX(L$403:L$594,MATCH(1,($A688=$A$403:$A$594)*($B688=$B$403:$B$594)*("Weekday"=$D$403:$D$594),0))*Weekdays+INDEX(L$403:L$594,MATCH(1,($A688=$A$403:$A$594)*($B688=$B$403:$B$594)*("Weekend"=$D$403:$D$594),0))*WeekendDays)/DaysPerWeek</f>
        <v>1.2096735395643463E-4</v>
      </c>
      <c r="L688" s="10" cm="1">
        <f t="array" ref="L688">(INDEX(M$403:M$594,MATCH(1,($A688=$A$403:$A$594)*($B688=$B$403:$B$594)*("Weekday"=$D$403:$D$594),0))*Weekdays+INDEX(M$403:M$594,MATCH(1,($A688=$A$403:$A$594)*($B688=$B$403:$B$594)*("Weekend"=$D$403:$D$594),0))*WeekendDays)/DaysPerWeek</f>
        <v>0</v>
      </c>
      <c r="M688" s="10" cm="1">
        <f t="array" ref="M688">(INDEX(N$403:N$594,MATCH(1,($A688=$A$403:$A$594)*($B688=$B$403:$B$594)*("Weekday"=$D$403:$D$594),0))*Weekdays+INDEX(N$403:N$594,MATCH(1,($A688=$A$403:$A$594)*($B688=$B$403:$B$594)*("Weekend"=$D$403:$D$594),0))*WeekendDays)/DaysPerWeek</f>
        <v>5.2045510804408449E-5</v>
      </c>
      <c r="N688" s="10" cm="1">
        <f t="array" ref="N688">(INDEX(O$403:O$594,MATCH(1,($A688=$A$403:$A$594)*($B688=$B$403:$B$594)*("Weekday"=$D$403:$D$594),0))*Weekdays+INDEX(O$403:O$594,MATCH(1,($A688=$A$403:$A$594)*($B688=$B$403:$B$594)*("Weekend"=$D$403:$D$594),0))*WeekendDays)/DaysPerWeek</f>
        <v>5.2045510804408449E-5</v>
      </c>
      <c r="O688" s="10" cm="1">
        <f t="array" ref="O688">(INDEX(P$403:P$594,MATCH(1,($A688=$A$403:$A$594)*($B688=$B$403:$B$594)*("Weekday"=$D$403:$D$594),0))*Weekdays+INDEX(P$403:P$594,MATCH(1,($A688=$A$403:$A$594)*($B688=$B$403:$B$594)*("Weekend"=$D$403:$D$594),0))*WeekendDays)/DaysPerWeek</f>
        <v>5.2045510804408449E-5</v>
      </c>
      <c r="P688" s="10" cm="1">
        <f t="array" ref="P688">(INDEX(Q$403:Q$594,MATCH(1,($A688=$A$403:$A$594)*($B688=$B$403:$B$594)*("Weekday"=$D$403:$D$594),0))*Weekdays+INDEX(Q$403:Q$594,MATCH(1,($A688=$A$403:$A$594)*($B688=$B$403:$B$594)*("Weekend"=$D$403:$D$594),0))*WeekendDays)/DaysPerWeek</f>
        <v>1.0819160370546907E-4</v>
      </c>
      <c r="Q688" s="10" cm="1">
        <f t="array" ref="Q688">(INDEX(R$403:R$594,MATCH(1,($A688=$A$403:$A$594)*($B688=$B$403:$B$594)*("Weekday"=$D$403:$D$594),0))*Weekdays+INDEX(R$403:R$594,MATCH(1,($A688=$A$403:$A$594)*($B688=$B$403:$B$594)*("Weekend"=$D$403:$D$594),0))*WeekendDays)/DaysPerWeek</f>
        <v>1.0819160370546907E-4</v>
      </c>
      <c r="R688" s="10" cm="1">
        <f t="array" ref="R688">(INDEX(S$403:S$594,MATCH(1,($A688=$A$403:$A$594)*($B688=$B$403:$B$594)*("Weekday"=$D$403:$D$594),0))*Weekdays+INDEX(S$403:S$594,MATCH(1,($A688=$A$403:$A$594)*($B688=$B$403:$B$594)*("Weekend"=$D$403:$D$594),0))*WeekendDays)/DaysPerWeek</f>
        <v>1.0819160370546907E-4</v>
      </c>
      <c r="S688" s="10" cm="1">
        <f t="array" ref="S688">(INDEX(T$403:T$594,MATCH(1,($A688=$A$403:$A$594)*($B688=$B$403:$B$594)*("Weekday"=$D$403:$D$594),0))*Weekdays+INDEX(T$403:T$594,MATCH(1,($A688=$A$403:$A$594)*($B688=$B$403:$B$594)*("Weekend"=$D$403:$D$594),0))*WeekendDays)/DaysPerWeek</f>
        <v>1.0819160370546907E-4</v>
      </c>
      <c r="T688" s="10" cm="1">
        <f t="array" ref="T688">(INDEX(U$403:U$594,MATCH(1,($A688=$A$403:$A$594)*($B688=$B$403:$B$594)*("Weekday"=$D$403:$D$594),0))*Weekdays+INDEX(U$403:U$594,MATCH(1,($A688=$A$403:$A$594)*($B688=$B$403:$B$594)*("Weekend"=$D$403:$D$594),0))*WeekendDays)/DaysPerWeek</f>
        <v>1.0819160370546907E-4</v>
      </c>
      <c r="U688" s="10" cm="1">
        <f t="array" ref="U688">(INDEX(V$403:V$594,MATCH(1,($A688=$A$403:$A$594)*($B688=$B$403:$B$594)*("Weekday"=$D$403:$D$594),0))*Weekdays+INDEX(V$403:V$594,MATCH(1,($A688=$A$403:$A$594)*($B688=$B$403:$B$594)*("Weekend"=$D$403:$D$594),0))*WeekendDays)/DaysPerWeek</f>
        <v>1.0819160370546907E-4</v>
      </c>
      <c r="V688" s="10" cm="1">
        <f t="array" ref="V688">(INDEX(W$403:W$594,MATCH(1,($A688=$A$403:$A$594)*($B688=$B$403:$B$594)*("Weekday"=$D$403:$D$594),0))*Weekdays+INDEX(W$403:W$594,MATCH(1,($A688=$A$403:$A$594)*($B688=$B$403:$B$594)*("Weekend"=$D$403:$D$594),0))*WeekendDays)/DaysPerWeek</f>
        <v>7.7679477975576558E-5</v>
      </c>
      <c r="W688" s="10" cm="1">
        <f t="array" ref="W688">(INDEX(X$403:X$594,MATCH(1,($A688=$A$403:$A$594)*($B688=$B$403:$B$594)*("Weekday"=$D$403:$D$594),0))*Weekdays+INDEX(X$403:X$594,MATCH(1,($A688=$A$403:$A$594)*($B688=$B$403:$B$594)*("Weekend"=$D$403:$D$594),0))*WeekendDays)/DaysPerWeek</f>
        <v>7.7679477975576558E-5</v>
      </c>
      <c r="X688" s="10" cm="1">
        <f t="array" ref="X688">(INDEX(Y$403:Y$594,MATCH(1,($A688=$A$403:$A$594)*($B688=$B$403:$B$594)*("Weekday"=$D$403:$D$594),0))*Weekdays+INDEX(Y$403:Y$594,MATCH(1,($A688=$A$403:$A$594)*($B688=$B$403:$B$594)*("Weekend"=$D$403:$D$594),0))*WeekendDays)/DaysPerWeek</f>
        <v>7.7679477975576558E-5</v>
      </c>
      <c r="Y688" s="27">
        <f t="shared" si="245"/>
        <v>1.4634050876475688E-3</v>
      </c>
      <c r="Z688" s="32" t="str">
        <f t="shared" si="244"/>
        <v/>
      </c>
    </row>
    <row r="689" spans="1:26" outlineLevel="1" x14ac:dyDescent="0.3">
      <c r="A689" t="s">
        <v>166</v>
      </c>
      <c r="B689" t="s">
        <v>81</v>
      </c>
      <c r="C689" s="6" t="s">
        <v>157</v>
      </c>
      <c r="D689" s="10">
        <v>0</v>
      </c>
      <c r="E689" s="10" cm="1">
        <f t="array" ref="E689">(INDEX(F$403:F$594,MATCH(1,($A689=$A$403:$A$594)*($B689=$B$403:$B$594)*("Weekday"=$D$403:$D$594),0))*Weekdays+INDEX(F$403:F$594,MATCH(1,($A689=$A$403:$A$594)*($B689=$B$403:$B$594)*("Weekend"=$D$403:$D$594),0))*WeekendDays)/DaysPerWeek</f>
        <v>1.4220135349520677E-4</v>
      </c>
      <c r="F689" s="10" cm="1">
        <f t="array" ref="F689">(INDEX(G$403:G$594,MATCH(1,($A689=$A$403:$A$594)*($B689=$B$403:$B$594)*("Weekday"=$D$403:$D$594),0))*Weekdays+INDEX(G$403:G$594,MATCH(1,($A689=$A$403:$A$594)*($B689=$B$403:$B$594)*("Weekend"=$D$403:$D$594),0))*WeekendDays)/DaysPerWeek</f>
        <v>0</v>
      </c>
      <c r="G689" s="10" cm="1">
        <f t="array" ref="G689">(INDEX(H$403:H$594,MATCH(1,($A689=$A$403:$A$594)*($B689=$B$403:$B$594)*("Weekday"=$D$403:$D$594),0))*Weekdays+INDEX(H$403:H$594,MATCH(1,($A689=$A$403:$A$594)*($B689=$B$403:$B$594)*("Weekend"=$D$403:$D$594),0))*WeekendDays)/DaysPerWeek</f>
        <v>1.5065805759170868E-4</v>
      </c>
      <c r="H689" s="10" cm="1">
        <f t="array" ref="H689">(INDEX(I$403:I$594,MATCH(1,($A689=$A$403:$A$594)*($B689=$B$403:$B$594)*("Weekday"=$D$403:$D$594),0))*Weekdays+INDEX(I$403:I$594,MATCH(1,($A689=$A$403:$A$594)*($B689=$B$403:$B$594)*("Weekend"=$D$403:$D$594),0))*WeekendDays)/DaysPerWeek</f>
        <v>1.5065805759170868E-4</v>
      </c>
      <c r="I689" s="10" cm="1">
        <f t="array" ref="I689">(INDEX(J$403:J$594,MATCH(1,($A689=$A$403:$A$594)*($B689=$B$403:$B$594)*("Weekday"=$D$403:$D$594),0))*Weekdays+INDEX(J$403:J$594,MATCH(1,($A689=$A$403:$A$594)*($B689=$B$403:$B$594)*("Weekend"=$D$403:$D$594),0))*WeekendDays)/DaysPerWeek</f>
        <v>1.5065805759170868E-4</v>
      </c>
      <c r="J689" s="10">
        <v>0</v>
      </c>
      <c r="K689" s="10" cm="1">
        <f t="array" ref="K689">(INDEX(L$403:L$594,MATCH(1,($A689=$A$403:$A$594)*($B689=$B$403:$B$594)*("Weekday"=$D$403:$D$594),0))*Weekdays+INDEX(L$403:L$594,MATCH(1,($A689=$A$403:$A$594)*($B689=$B$403:$B$594)*("Weekend"=$D$403:$D$594),0))*WeekendDays)/DaysPerWeek</f>
        <v>1.1245439220960398E-4</v>
      </c>
      <c r="L689" s="10" cm="1">
        <f t="array" ref="L689">(INDEX(M$403:M$594,MATCH(1,($A689=$A$403:$A$594)*($B689=$B$403:$B$594)*("Weekday"=$D$403:$D$594),0))*Weekdays+INDEX(M$403:M$594,MATCH(1,($A689=$A$403:$A$594)*($B689=$B$403:$B$594)*("Weekend"=$D$403:$D$594),0))*WeekendDays)/DaysPerWeek</f>
        <v>0</v>
      </c>
      <c r="M689" s="10" cm="1">
        <f t="array" ref="M689">(INDEX(N$403:N$594,MATCH(1,($A689=$A$403:$A$594)*($B689=$B$403:$B$594)*("Weekday"=$D$403:$D$594),0))*Weekdays+INDEX(N$403:N$594,MATCH(1,($A689=$A$403:$A$594)*($B689=$B$403:$B$594)*("Weekend"=$D$403:$D$594),0))*WeekendDays)/DaysPerWeek</f>
        <v>1.5065805759170868E-4</v>
      </c>
      <c r="N689" s="10" cm="1">
        <f t="array" ref="N689">(INDEX(O$403:O$594,MATCH(1,($A689=$A$403:$A$594)*($B689=$B$403:$B$594)*("Weekday"=$D$403:$D$594),0))*Weekdays+INDEX(O$403:O$594,MATCH(1,($A689=$A$403:$A$594)*($B689=$B$403:$B$594)*("Weekend"=$D$403:$D$594),0))*WeekendDays)/DaysPerWeek</f>
        <v>1.5065805759170868E-4</v>
      </c>
      <c r="O689" s="10" cm="1">
        <f t="array" ref="O689">(INDEX(P$403:P$594,MATCH(1,($A689=$A$403:$A$594)*($B689=$B$403:$B$594)*("Weekday"=$D$403:$D$594),0))*Weekdays+INDEX(P$403:P$594,MATCH(1,($A689=$A$403:$A$594)*($B689=$B$403:$B$594)*("Weekend"=$D$403:$D$594),0))*WeekendDays)/DaysPerWeek</f>
        <v>1.5065805759170868E-4</v>
      </c>
      <c r="P689" s="10" cm="1">
        <f t="array" ref="P689">(INDEX(Q$403:Q$594,MATCH(1,($A689=$A$403:$A$594)*($B689=$B$403:$B$594)*("Weekday"=$D$403:$D$594),0))*Weekdays+INDEX(Q$403:Q$594,MATCH(1,($A689=$A$403:$A$594)*($B689=$B$403:$B$594)*("Weekend"=$D$403:$D$594),0))*WeekendDays)/DaysPerWeek</f>
        <v>1.0881925622877854E-4</v>
      </c>
      <c r="Q689" s="10" cm="1">
        <f t="array" ref="Q689">(INDEX(R$403:R$594,MATCH(1,($A689=$A$403:$A$594)*($B689=$B$403:$B$594)*("Weekday"=$D$403:$D$594),0))*Weekdays+INDEX(R$403:R$594,MATCH(1,($A689=$A$403:$A$594)*($B689=$B$403:$B$594)*("Weekend"=$D$403:$D$594),0))*WeekendDays)/DaysPerWeek</f>
        <v>1.0881925622877854E-4</v>
      </c>
      <c r="R689" s="10" cm="1">
        <f t="array" ref="R689">(INDEX(S$403:S$594,MATCH(1,($A689=$A$403:$A$594)*($B689=$B$403:$B$594)*("Weekday"=$D$403:$D$594),0))*Weekdays+INDEX(S$403:S$594,MATCH(1,($A689=$A$403:$A$594)*($B689=$B$403:$B$594)*("Weekend"=$D$403:$D$594),0))*WeekendDays)/DaysPerWeek</f>
        <v>1.0881925622877854E-4</v>
      </c>
      <c r="S689" s="10" cm="1">
        <f t="array" ref="S689">(INDEX(T$403:T$594,MATCH(1,($A689=$A$403:$A$594)*($B689=$B$403:$B$594)*("Weekday"=$D$403:$D$594),0))*Weekdays+INDEX(T$403:T$594,MATCH(1,($A689=$A$403:$A$594)*($B689=$B$403:$B$594)*("Weekend"=$D$403:$D$594),0))*WeekendDays)/DaysPerWeek</f>
        <v>1.0881925622877854E-4</v>
      </c>
      <c r="T689" s="10" cm="1">
        <f t="array" ref="T689">(INDEX(U$403:U$594,MATCH(1,($A689=$A$403:$A$594)*($B689=$B$403:$B$594)*("Weekday"=$D$403:$D$594),0))*Weekdays+INDEX(U$403:U$594,MATCH(1,($A689=$A$403:$A$594)*($B689=$B$403:$B$594)*("Weekend"=$D$403:$D$594),0))*WeekendDays)/DaysPerWeek</f>
        <v>1.0881925622877854E-4</v>
      </c>
      <c r="U689" s="10" cm="1">
        <f t="array" ref="U689">(INDEX(V$403:V$594,MATCH(1,($A689=$A$403:$A$594)*($B689=$B$403:$B$594)*("Weekday"=$D$403:$D$594),0))*Weekdays+INDEX(V$403:V$594,MATCH(1,($A689=$A$403:$A$594)*($B689=$B$403:$B$594)*("Weekend"=$D$403:$D$594),0))*WeekendDays)/DaysPerWeek</f>
        <v>1.0881925622877854E-4</v>
      </c>
      <c r="V689" s="10" cm="1">
        <f t="array" ref="V689">(INDEX(W$403:W$594,MATCH(1,($A689=$A$403:$A$594)*($B689=$B$403:$B$594)*("Weekday"=$D$403:$D$594),0))*Weekdays+INDEX(W$403:W$594,MATCH(1,($A689=$A$403:$A$594)*($B689=$B$403:$B$594)*("Weekend"=$D$403:$D$594),0))*WeekendDays)/DaysPerWeek</f>
        <v>7.7908620978454394E-5</v>
      </c>
      <c r="W689" s="10" cm="1">
        <f t="array" ref="W689">(INDEX(X$403:X$594,MATCH(1,($A689=$A$403:$A$594)*($B689=$B$403:$B$594)*("Weekday"=$D$403:$D$594),0))*Weekdays+INDEX(X$403:X$594,MATCH(1,($A689=$A$403:$A$594)*($B689=$B$403:$B$594)*("Weekend"=$D$403:$D$594),0))*WeekendDays)/DaysPerWeek</f>
        <v>7.7908620978454394E-5</v>
      </c>
      <c r="X689" s="10" cm="1">
        <f t="array" ref="X689">(INDEX(Y$403:Y$594,MATCH(1,($A689=$A$403:$A$594)*($B689=$B$403:$B$594)*("Weekday"=$D$403:$D$594),0))*Weekdays+INDEX(Y$403:Y$594,MATCH(1,($A689=$A$403:$A$594)*($B689=$B$403:$B$594)*("Weekend"=$D$403:$D$594),0))*WeekendDays)/DaysPerWeek</f>
        <v>7.7908620978454394E-5</v>
      </c>
      <c r="Y689" s="27">
        <f t="shared" si="245"/>
        <v>2.0452454915630964E-3</v>
      </c>
      <c r="Z689" s="32" t="str">
        <f t="shared" si="244"/>
        <v/>
      </c>
    </row>
    <row r="690" spans="1:26" outlineLevel="1" x14ac:dyDescent="0.3">
      <c r="A690" t="s">
        <v>166</v>
      </c>
      <c r="B690" t="s">
        <v>82</v>
      </c>
      <c r="C690" s="6" t="s">
        <v>158</v>
      </c>
      <c r="D690" s="10">
        <v>0</v>
      </c>
      <c r="E690" s="10" cm="1">
        <f t="array" ref="E690">(INDEX(F$403:F$594,MATCH(1,($A690=$A$403:$A$594)*($B690=$B$403:$B$594)*("Weekday"=$D$403:$D$594),0))*Weekdays+INDEX(F$403:F$594,MATCH(1,($A690=$A$403:$A$594)*($B690=$B$403:$B$594)*("Weekend"=$D$403:$D$594),0))*WeekendDays)/DaysPerWeek</f>
        <v>1.3062376773584878E-4</v>
      </c>
      <c r="F690" s="10" cm="1">
        <f t="array" ref="F690">(INDEX(G$403:G$594,MATCH(1,($A690=$A$403:$A$594)*($B690=$B$403:$B$594)*("Weekday"=$D$403:$D$594),0))*Weekdays+INDEX(G$403:G$594,MATCH(1,($A690=$A$403:$A$594)*($B690=$B$403:$B$594)*("Weekend"=$D$403:$D$594),0))*WeekendDays)/DaysPerWeek</f>
        <v>0</v>
      </c>
      <c r="G690" s="10" cm="1">
        <f t="array" ref="G690">(INDEX(H$403:H$594,MATCH(1,($A690=$A$403:$A$594)*($B690=$B$403:$B$594)*("Weekday"=$D$403:$D$594),0))*Weekdays+INDEX(H$403:H$594,MATCH(1,($A690=$A$403:$A$594)*($B690=$B$403:$B$594)*("Weekend"=$D$403:$D$594),0))*WeekendDays)/DaysPerWeek</f>
        <v>1.9132519761296709E-4</v>
      </c>
      <c r="H690" s="10" cm="1">
        <f t="array" ref="H690">(INDEX(I$403:I$594,MATCH(1,($A690=$A$403:$A$594)*($B690=$B$403:$B$594)*("Weekday"=$D$403:$D$594),0))*Weekdays+INDEX(I$403:I$594,MATCH(1,($A690=$A$403:$A$594)*($B690=$B$403:$B$594)*("Weekend"=$D$403:$D$594),0))*WeekendDays)/DaysPerWeek</f>
        <v>1.9132519761296709E-4</v>
      </c>
      <c r="I690" s="10" cm="1">
        <f t="array" ref="I690">(INDEX(J$403:J$594,MATCH(1,($A690=$A$403:$A$594)*($B690=$B$403:$B$594)*("Weekday"=$D$403:$D$594),0))*Weekdays+INDEX(J$403:J$594,MATCH(1,($A690=$A$403:$A$594)*($B690=$B$403:$B$594)*("Weekend"=$D$403:$D$594),0))*WeekendDays)/DaysPerWeek</f>
        <v>1.9132519761296709E-4</v>
      </c>
      <c r="J690" s="10">
        <v>0</v>
      </c>
      <c r="K690" s="10" cm="1">
        <f t="array" ref="K690">(INDEX(L$403:L$594,MATCH(1,($A690=$A$403:$A$594)*($B690=$B$403:$B$594)*("Weekday"=$D$403:$D$594),0))*Weekdays+INDEX(L$403:L$594,MATCH(1,($A690=$A$403:$A$594)*($B690=$B$403:$B$594)*("Weekend"=$D$403:$D$594),0))*WeekendDays)/DaysPerWeek</f>
        <v>1.0247677914200134E-4</v>
      </c>
      <c r="L690" s="10" cm="1">
        <f t="array" ref="L690">(INDEX(M$403:M$594,MATCH(1,($A690=$A$403:$A$594)*($B690=$B$403:$B$594)*("Weekday"=$D$403:$D$594),0))*Weekdays+INDEX(M$403:M$594,MATCH(1,($A690=$A$403:$A$594)*($B690=$B$403:$B$594)*("Weekend"=$D$403:$D$594),0))*WeekendDays)/DaysPerWeek</f>
        <v>0</v>
      </c>
      <c r="M690" s="10" cm="1">
        <f t="array" ref="M690">(INDEX(N$403:N$594,MATCH(1,($A690=$A$403:$A$594)*($B690=$B$403:$B$594)*("Weekday"=$D$403:$D$594),0))*Weekdays+INDEX(N$403:N$594,MATCH(1,($A690=$A$403:$A$594)*($B690=$B$403:$B$594)*("Weekend"=$D$403:$D$594),0))*WeekendDays)/DaysPerWeek</f>
        <v>1.9132519761296709E-4</v>
      </c>
      <c r="N690" s="10" cm="1">
        <f t="array" ref="N690">(INDEX(O$403:O$594,MATCH(1,($A690=$A$403:$A$594)*($B690=$B$403:$B$594)*("Weekday"=$D$403:$D$594),0))*Weekdays+INDEX(O$403:O$594,MATCH(1,($A690=$A$403:$A$594)*($B690=$B$403:$B$594)*("Weekend"=$D$403:$D$594),0))*WeekendDays)/DaysPerWeek</f>
        <v>1.9132519761296709E-4</v>
      </c>
      <c r="O690" s="10" cm="1">
        <f t="array" ref="O690">(INDEX(P$403:P$594,MATCH(1,($A690=$A$403:$A$594)*($B690=$B$403:$B$594)*("Weekday"=$D$403:$D$594),0))*Weekdays+INDEX(P$403:P$594,MATCH(1,($A690=$A$403:$A$594)*($B690=$B$403:$B$594)*("Weekend"=$D$403:$D$594),0))*WeekendDays)/DaysPerWeek</f>
        <v>1.9132519761296709E-4</v>
      </c>
      <c r="P690" s="10" cm="1">
        <f t="array" ref="P690">(INDEX(Q$403:Q$594,MATCH(1,($A690=$A$403:$A$594)*($B690=$B$403:$B$594)*("Weekday"=$D$403:$D$594),0))*Weekdays+INDEX(Q$403:Q$594,MATCH(1,($A690=$A$403:$A$594)*($B690=$B$403:$B$594)*("Weekend"=$D$403:$D$594),0))*WeekendDays)/DaysPerWeek</f>
        <v>1.0128742594906494E-4</v>
      </c>
      <c r="Q690" s="10" cm="1">
        <f t="array" ref="Q690">(INDEX(R$403:R$594,MATCH(1,($A690=$A$403:$A$594)*($B690=$B$403:$B$594)*("Weekday"=$D$403:$D$594),0))*Weekdays+INDEX(R$403:R$594,MATCH(1,($A690=$A$403:$A$594)*($B690=$B$403:$B$594)*("Weekend"=$D$403:$D$594),0))*WeekendDays)/DaysPerWeek</f>
        <v>1.0128742594906494E-4</v>
      </c>
      <c r="R690" s="10" cm="1">
        <f t="array" ref="R690">(INDEX(S$403:S$594,MATCH(1,($A690=$A$403:$A$594)*($B690=$B$403:$B$594)*("Weekday"=$D$403:$D$594),0))*Weekdays+INDEX(S$403:S$594,MATCH(1,($A690=$A$403:$A$594)*($B690=$B$403:$B$594)*("Weekend"=$D$403:$D$594),0))*WeekendDays)/DaysPerWeek</f>
        <v>1.0128742594906494E-4</v>
      </c>
      <c r="S690" s="10" cm="1">
        <f t="array" ref="S690">(INDEX(T$403:T$594,MATCH(1,($A690=$A$403:$A$594)*($B690=$B$403:$B$594)*("Weekday"=$D$403:$D$594),0))*Weekdays+INDEX(T$403:T$594,MATCH(1,($A690=$A$403:$A$594)*($B690=$B$403:$B$594)*("Weekend"=$D$403:$D$594),0))*WeekendDays)/DaysPerWeek</f>
        <v>1.0128742594906494E-4</v>
      </c>
      <c r="T690" s="10" cm="1">
        <f t="array" ref="T690">(INDEX(U$403:U$594,MATCH(1,($A690=$A$403:$A$594)*($B690=$B$403:$B$594)*("Weekday"=$D$403:$D$594),0))*Weekdays+INDEX(U$403:U$594,MATCH(1,($A690=$A$403:$A$594)*($B690=$B$403:$B$594)*("Weekend"=$D$403:$D$594),0))*WeekendDays)/DaysPerWeek</f>
        <v>1.0128742594906494E-4</v>
      </c>
      <c r="U690" s="10" cm="1">
        <f t="array" ref="U690">(INDEX(V$403:V$594,MATCH(1,($A690=$A$403:$A$594)*($B690=$B$403:$B$594)*("Weekday"=$D$403:$D$594),0))*Weekdays+INDEX(V$403:V$594,MATCH(1,($A690=$A$403:$A$594)*($B690=$B$403:$B$594)*("Weekend"=$D$403:$D$594),0))*WeekendDays)/DaysPerWeek</f>
        <v>1.0128742594906494E-4</v>
      </c>
      <c r="V690" s="10" cm="1">
        <f t="array" ref="V690">(INDEX(W$403:W$594,MATCH(1,($A690=$A$403:$A$594)*($B690=$B$403:$B$594)*("Weekday"=$D$403:$D$594),0))*Weekdays+INDEX(W$403:W$594,MATCH(1,($A690=$A$403:$A$594)*($B690=$B$403:$B$594)*("Weekend"=$D$403:$D$594),0))*WeekendDays)/DaysPerWeek</f>
        <v>7.7603096974617297E-5</v>
      </c>
      <c r="W690" s="10" cm="1">
        <f t="array" ref="W690">(INDEX(X$403:X$594,MATCH(1,($A690=$A$403:$A$594)*($B690=$B$403:$B$594)*("Weekday"=$D$403:$D$594),0))*Weekdays+INDEX(X$403:X$594,MATCH(1,($A690=$A$403:$A$594)*($B690=$B$403:$B$594)*("Weekend"=$D$403:$D$594),0))*WeekendDays)/DaysPerWeek</f>
        <v>7.7603096974617297E-5</v>
      </c>
      <c r="X690" s="10" cm="1">
        <f t="array" ref="X690">(INDEX(Y$403:Y$594,MATCH(1,($A690=$A$403:$A$594)*($B690=$B$403:$B$594)*("Weekday"=$D$403:$D$594),0))*Weekdays+INDEX(Y$403:Y$594,MATCH(1,($A690=$A$403:$A$594)*($B690=$B$403:$B$594)*("Weekend"=$D$403:$D$594),0))*WeekendDays)/DaysPerWeek</f>
        <v>7.7603096974617297E-5</v>
      </c>
      <c r="Y690" s="35">
        <f t="shared" si="245"/>
        <v>2.2215855791738945E-3</v>
      </c>
      <c r="Z690" s="32" t="str">
        <f t="shared" si="244"/>
        <v>Fall Peak</v>
      </c>
    </row>
    <row r="691" spans="1:26" outlineLevel="1" x14ac:dyDescent="0.3">
      <c r="A691" t="s">
        <v>166</v>
      </c>
      <c r="B691" t="s">
        <v>83</v>
      </c>
      <c r="C691" s="6" t="s">
        <v>159</v>
      </c>
      <c r="D691" s="10">
        <v>0</v>
      </c>
      <c r="E691" s="10" cm="1">
        <f t="array" ref="E691">(INDEX(F$403:F$594,MATCH(1,($A691=$A$403:$A$594)*($B691=$B$403:$B$594)*("Weekday"=$D$403:$D$594),0))*Weekdays+INDEX(F$403:F$594,MATCH(1,($A691=$A$403:$A$594)*($B691=$B$403:$B$594)*("Weekend"=$D$403:$D$594),0))*WeekendDays)/DaysPerWeek</f>
        <v>1.1267623268529519E-4</v>
      </c>
      <c r="F691" s="10" cm="1">
        <f t="array" ref="F691">(INDEX(G$403:G$594,MATCH(1,($A691=$A$403:$A$594)*($B691=$B$403:$B$594)*("Weekday"=$D$403:$D$594),0))*Weekdays+INDEX(G$403:G$594,MATCH(1,($A691=$A$403:$A$594)*($B691=$B$403:$B$594)*("Weekend"=$D$403:$D$594),0))*WeekendDays)/DaysPerWeek</f>
        <v>0</v>
      </c>
      <c r="G691" s="10" cm="1">
        <f t="array" ref="G691">(INDEX(H$403:H$594,MATCH(1,($A691=$A$403:$A$594)*($B691=$B$403:$B$594)*("Weekday"=$D$403:$D$594),0))*Weekdays+INDEX(H$403:H$594,MATCH(1,($A691=$A$403:$A$594)*($B691=$B$403:$B$594)*("Weekend"=$D$403:$D$594),0))*WeekendDays)/DaysPerWeek</f>
        <v>2.0389759495978104E-4</v>
      </c>
      <c r="H691" s="10" cm="1">
        <f t="array" ref="H691">(INDEX(I$403:I$594,MATCH(1,($A691=$A$403:$A$594)*($B691=$B$403:$B$594)*("Weekday"=$D$403:$D$594),0))*Weekdays+INDEX(I$403:I$594,MATCH(1,($A691=$A$403:$A$594)*($B691=$B$403:$B$594)*("Weekend"=$D$403:$D$594),0))*WeekendDays)/DaysPerWeek</f>
        <v>2.0389759495978104E-4</v>
      </c>
      <c r="I691" s="10" cm="1">
        <f t="array" ref="I691">(INDEX(J$403:J$594,MATCH(1,($A691=$A$403:$A$594)*($B691=$B$403:$B$594)*("Weekday"=$D$403:$D$594),0))*Weekdays+INDEX(J$403:J$594,MATCH(1,($A691=$A$403:$A$594)*($B691=$B$403:$B$594)*("Weekend"=$D$403:$D$594),0))*WeekendDays)/DaysPerWeek</f>
        <v>2.0389759495978104E-4</v>
      </c>
      <c r="J691" s="10">
        <v>0</v>
      </c>
      <c r="K691" s="10" cm="1">
        <f t="array" ref="K691">(INDEX(L$403:L$594,MATCH(1,($A691=$A$403:$A$594)*($B691=$B$403:$B$594)*("Weekday"=$D$403:$D$594),0))*Weekdays+INDEX(L$403:L$594,MATCH(1,($A691=$A$403:$A$594)*($B691=$B$403:$B$594)*("Weekend"=$D$403:$D$594),0))*WeekendDays)/DaysPerWeek</f>
        <v>9.0735119926542063E-5</v>
      </c>
      <c r="L691" s="10" cm="1">
        <f t="array" ref="L691">(INDEX(M$403:M$594,MATCH(1,($A691=$A$403:$A$594)*($B691=$B$403:$B$594)*("Weekday"=$D$403:$D$594),0))*Weekdays+INDEX(M$403:M$594,MATCH(1,($A691=$A$403:$A$594)*($B691=$B$403:$B$594)*("Weekend"=$D$403:$D$594),0))*WeekendDays)/DaysPerWeek</f>
        <v>0</v>
      </c>
      <c r="M691" s="10" cm="1">
        <f t="array" ref="M691">(INDEX(N$403:N$594,MATCH(1,($A691=$A$403:$A$594)*($B691=$B$403:$B$594)*("Weekday"=$D$403:$D$594),0))*Weekdays+INDEX(N$403:N$594,MATCH(1,($A691=$A$403:$A$594)*($B691=$B$403:$B$594)*("Weekend"=$D$403:$D$594),0))*WeekendDays)/DaysPerWeek</f>
        <v>2.0389759495978104E-4</v>
      </c>
      <c r="N691" s="10" cm="1">
        <f t="array" ref="N691">(INDEX(O$403:O$594,MATCH(1,($A691=$A$403:$A$594)*($B691=$B$403:$B$594)*("Weekday"=$D$403:$D$594),0))*Weekdays+INDEX(O$403:O$594,MATCH(1,($A691=$A$403:$A$594)*($B691=$B$403:$B$594)*("Weekend"=$D$403:$D$594),0))*WeekendDays)/DaysPerWeek</f>
        <v>2.0389759495978104E-4</v>
      </c>
      <c r="O691" s="10" cm="1">
        <f t="array" ref="O691">(INDEX(P$403:P$594,MATCH(1,($A691=$A$403:$A$594)*($B691=$B$403:$B$594)*("Weekday"=$D$403:$D$594),0))*Weekdays+INDEX(P$403:P$594,MATCH(1,($A691=$A$403:$A$594)*($B691=$B$403:$B$594)*("Weekend"=$D$403:$D$594),0))*WeekendDays)/DaysPerWeek</f>
        <v>2.0389759495978104E-4</v>
      </c>
      <c r="P691" s="10" cm="1">
        <f t="array" ref="P691">(INDEX(Q$403:Q$594,MATCH(1,($A691=$A$403:$A$594)*($B691=$B$403:$B$594)*("Weekday"=$D$403:$D$594),0))*Weekdays+INDEX(Q$403:Q$594,MATCH(1,($A691=$A$403:$A$594)*($B691=$B$403:$B$594)*("Weekend"=$D$403:$D$594),0))*WeekendDays)/DaysPerWeek</f>
        <v>8.8969745179116703E-5</v>
      </c>
      <c r="Q691" s="10" cm="1">
        <f t="array" ref="Q691">(INDEX(R$403:R$594,MATCH(1,($A691=$A$403:$A$594)*($B691=$B$403:$B$594)*("Weekday"=$D$403:$D$594),0))*Weekdays+INDEX(R$403:R$594,MATCH(1,($A691=$A$403:$A$594)*($B691=$B$403:$B$594)*("Weekend"=$D$403:$D$594),0))*WeekendDays)/DaysPerWeek</f>
        <v>8.8969745179116703E-5</v>
      </c>
      <c r="R691" s="10" cm="1">
        <f t="array" ref="R691">(INDEX(S$403:S$594,MATCH(1,($A691=$A$403:$A$594)*($B691=$B$403:$B$594)*("Weekday"=$D$403:$D$594),0))*Weekdays+INDEX(S$403:S$594,MATCH(1,($A691=$A$403:$A$594)*($B691=$B$403:$B$594)*("Weekend"=$D$403:$D$594),0))*WeekendDays)/DaysPerWeek</f>
        <v>8.8969745179116703E-5</v>
      </c>
      <c r="S691" s="10" cm="1">
        <f t="array" ref="S691">(INDEX(T$403:T$594,MATCH(1,($A691=$A$403:$A$594)*($B691=$B$403:$B$594)*("Weekday"=$D$403:$D$594),0))*Weekdays+INDEX(T$403:T$594,MATCH(1,($A691=$A$403:$A$594)*($B691=$B$403:$B$594)*("Weekend"=$D$403:$D$594),0))*WeekendDays)/DaysPerWeek</f>
        <v>8.8969745179116703E-5</v>
      </c>
      <c r="T691" s="10" cm="1">
        <f t="array" ref="T691">(INDEX(U$403:U$594,MATCH(1,($A691=$A$403:$A$594)*($B691=$B$403:$B$594)*("Weekday"=$D$403:$D$594),0))*Weekdays+INDEX(U$403:U$594,MATCH(1,($A691=$A$403:$A$594)*($B691=$B$403:$B$594)*("Weekend"=$D$403:$D$594),0))*WeekendDays)/DaysPerWeek</f>
        <v>8.8969745179116703E-5</v>
      </c>
      <c r="U691" s="10" cm="1">
        <f t="array" ref="U691">(INDEX(V$403:V$594,MATCH(1,($A691=$A$403:$A$594)*($B691=$B$403:$B$594)*("Weekday"=$D$403:$D$594),0))*Weekdays+INDEX(V$403:V$594,MATCH(1,($A691=$A$403:$A$594)*($B691=$B$403:$B$594)*("Weekend"=$D$403:$D$594),0))*WeekendDays)/DaysPerWeek</f>
        <v>8.8969745179116703E-5</v>
      </c>
      <c r="V691" s="10" cm="1">
        <f t="array" ref="V691">(INDEX(W$403:W$594,MATCH(1,($A691=$A$403:$A$594)*($B691=$B$403:$B$594)*("Weekday"=$D$403:$D$594),0))*Weekdays+INDEX(W$403:W$594,MATCH(1,($A691=$A$403:$A$594)*($B691=$B$403:$B$594)*("Weekend"=$D$403:$D$594),0))*WeekendDays)/DaysPerWeek</f>
        <v>7.7450334972698761E-5</v>
      </c>
      <c r="W691" s="10" cm="1">
        <f t="array" ref="W691">(INDEX(X$403:X$594,MATCH(1,($A691=$A$403:$A$594)*($B691=$B$403:$B$594)*("Weekday"=$D$403:$D$594),0))*Weekdays+INDEX(X$403:X$594,MATCH(1,($A691=$A$403:$A$594)*($B691=$B$403:$B$594)*("Weekend"=$D$403:$D$594),0))*WeekendDays)/DaysPerWeek</f>
        <v>7.7450334972698761E-5</v>
      </c>
      <c r="X691" s="10" cm="1">
        <f t="array" ref="X691">(INDEX(Y$403:Y$594,MATCH(1,($A691=$A$403:$A$594)*($B691=$B$403:$B$594)*("Weekday"=$D$403:$D$594),0))*Weekdays+INDEX(Y$403:Y$594,MATCH(1,($A691=$A$403:$A$594)*($B691=$B$403:$B$594)*("Weekend"=$D$403:$D$594),0))*WeekendDays)/DaysPerWeek</f>
        <v>7.7450334972698761E-5</v>
      </c>
      <c r="Y691" s="27">
        <f t="shared" si="245"/>
        <v>2.1929663983633199E-3</v>
      </c>
      <c r="Z691" s="32" t="str">
        <f t="shared" si="244"/>
        <v/>
      </c>
    </row>
    <row r="692" spans="1:26" outlineLevel="1" x14ac:dyDescent="0.3">
      <c r="A692" t="s">
        <v>166</v>
      </c>
      <c r="B692" t="s">
        <v>84</v>
      </c>
      <c r="C692" s="6" t="s">
        <v>160</v>
      </c>
      <c r="D692" s="10">
        <v>0</v>
      </c>
      <c r="E692" s="10" cm="1">
        <f t="array" ref="E692">(INDEX(F$403:F$594,MATCH(1,($A692=$A$403:$A$594)*($B692=$B$403:$B$594)*("Weekday"=$D$403:$D$594),0))*Weekdays+INDEX(F$403:F$594,MATCH(1,($A692=$A$403:$A$594)*($B692=$B$403:$B$594)*("Weekend"=$D$403:$D$594),0))*WeekendDays)/DaysPerWeek</f>
        <v>9.312051328061223E-5</v>
      </c>
      <c r="F692" s="10" cm="1">
        <f t="array" ref="F692">(INDEX(G$403:G$594,MATCH(1,($A692=$A$403:$A$594)*($B692=$B$403:$B$594)*("Weekday"=$D$403:$D$594),0))*Weekdays+INDEX(G$403:G$594,MATCH(1,($A692=$A$403:$A$594)*($B692=$B$403:$B$594)*("Weekend"=$D$403:$D$594),0))*WeekendDays)/DaysPerWeek</f>
        <v>0</v>
      </c>
      <c r="G692" s="10" cm="1">
        <f t="array" ref="G692">(INDEX(H$403:H$594,MATCH(1,($A692=$A$403:$A$594)*($B692=$B$403:$B$594)*("Weekday"=$D$403:$D$594),0))*Weekdays+INDEX(H$403:H$594,MATCH(1,($A692=$A$403:$A$594)*($B692=$B$403:$B$594)*("Weekend"=$D$403:$D$594),0))*WeekendDays)/DaysPerWeek</f>
        <v>2.0565351637693384E-4</v>
      </c>
      <c r="H692" s="10" cm="1">
        <f t="array" ref="H692">(INDEX(I$403:I$594,MATCH(1,($A692=$A$403:$A$594)*($B692=$B$403:$B$594)*("Weekday"=$D$403:$D$594),0))*Weekdays+INDEX(I$403:I$594,MATCH(1,($A692=$A$403:$A$594)*($B692=$B$403:$B$594)*("Weekend"=$D$403:$D$594),0))*WeekendDays)/DaysPerWeek</f>
        <v>2.0565351637693384E-4</v>
      </c>
      <c r="I692" s="10" cm="1">
        <f t="array" ref="I692">(INDEX(J$403:J$594,MATCH(1,($A692=$A$403:$A$594)*($B692=$B$403:$B$594)*("Weekday"=$D$403:$D$594),0))*Weekdays+INDEX(J$403:J$594,MATCH(1,($A692=$A$403:$A$594)*($B692=$B$403:$B$594)*("Weekend"=$D$403:$D$594),0))*WeekendDays)/DaysPerWeek</f>
        <v>2.0565351637693384E-4</v>
      </c>
      <c r="J692" s="10">
        <v>0</v>
      </c>
      <c r="K692" s="10" cm="1">
        <f t="array" ref="K692">(INDEX(L$403:L$594,MATCH(1,($A692=$A$403:$A$594)*($B692=$B$403:$B$594)*("Weekday"=$D$403:$D$594),0))*Weekdays+INDEX(L$403:L$594,MATCH(1,($A692=$A$403:$A$594)*($B692=$B$403:$B$594)*("Weekend"=$D$403:$D$594),0))*WeekendDays)/DaysPerWeek</f>
        <v>8.0708952362522327E-5</v>
      </c>
      <c r="L692" s="10" cm="1">
        <f t="array" ref="L692">(INDEX(M$403:M$594,MATCH(1,($A692=$A$403:$A$594)*($B692=$B$403:$B$594)*("Weekday"=$D$403:$D$594),0))*Weekdays+INDEX(M$403:M$594,MATCH(1,($A692=$A$403:$A$594)*($B692=$B$403:$B$594)*("Weekend"=$D$403:$D$594),0))*WeekendDays)/DaysPerWeek</f>
        <v>0</v>
      </c>
      <c r="M692" s="10" cm="1">
        <f t="array" ref="M692">(INDEX(N$403:N$594,MATCH(1,($A692=$A$403:$A$594)*($B692=$B$403:$B$594)*("Weekday"=$D$403:$D$594),0))*Weekdays+INDEX(N$403:N$594,MATCH(1,($A692=$A$403:$A$594)*($B692=$B$403:$B$594)*("Weekend"=$D$403:$D$594),0))*WeekendDays)/DaysPerWeek</f>
        <v>2.0565351637693384E-4</v>
      </c>
      <c r="N692" s="10" cm="1">
        <f t="array" ref="N692">(INDEX(O$403:O$594,MATCH(1,($A692=$A$403:$A$594)*($B692=$B$403:$B$594)*("Weekday"=$D$403:$D$594),0))*Weekdays+INDEX(O$403:O$594,MATCH(1,($A692=$A$403:$A$594)*($B692=$B$403:$B$594)*("Weekend"=$D$403:$D$594),0))*WeekendDays)/DaysPerWeek</f>
        <v>2.0565351637693384E-4</v>
      </c>
      <c r="O692" s="10" cm="1">
        <f t="array" ref="O692">(INDEX(P$403:P$594,MATCH(1,($A692=$A$403:$A$594)*($B692=$B$403:$B$594)*("Weekday"=$D$403:$D$594),0))*Weekdays+INDEX(P$403:P$594,MATCH(1,($A692=$A$403:$A$594)*($B692=$B$403:$B$594)*("Weekend"=$D$403:$D$594),0))*WeekendDays)/DaysPerWeek</f>
        <v>2.0565351637693384E-4</v>
      </c>
      <c r="P692" s="10" cm="1">
        <f t="array" ref="P692">(INDEX(Q$403:Q$594,MATCH(1,($A692=$A$403:$A$594)*($B692=$B$403:$B$594)*("Weekday"=$D$403:$D$594),0))*Weekdays+INDEX(Q$403:Q$594,MATCH(1,($A692=$A$403:$A$594)*($B692=$B$403:$B$594)*("Weekend"=$D$403:$D$594),0))*WeekendDays)/DaysPerWeek</f>
        <v>8.8028266394152497E-5</v>
      </c>
      <c r="Q692" s="10" cm="1">
        <f t="array" ref="Q692">(INDEX(R$403:R$594,MATCH(1,($A692=$A$403:$A$594)*($B692=$B$403:$B$594)*("Weekday"=$D$403:$D$594),0))*Weekdays+INDEX(R$403:R$594,MATCH(1,($A692=$A$403:$A$594)*($B692=$B$403:$B$594)*("Weekend"=$D$403:$D$594),0))*WeekendDays)/DaysPerWeek</f>
        <v>8.8028266394152497E-5</v>
      </c>
      <c r="R692" s="10" cm="1">
        <f t="array" ref="R692">(INDEX(S$403:S$594,MATCH(1,($A692=$A$403:$A$594)*($B692=$B$403:$B$594)*("Weekday"=$D$403:$D$594),0))*Weekdays+INDEX(S$403:S$594,MATCH(1,($A692=$A$403:$A$594)*($B692=$B$403:$B$594)*("Weekend"=$D$403:$D$594),0))*WeekendDays)/DaysPerWeek</f>
        <v>8.8028266394152497E-5</v>
      </c>
      <c r="S692" s="10" cm="1">
        <f t="array" ref="S692">(INDEX(T$403:T$594,MATCH(1,($A692=$A$403:$A$594)*($B692=$B$403:$B$594)*("Weekday"=$D$403:$D$594),0))*Weekdays+INDEX(T$403:T$594,MATCH(1,($A692=$A$403:$A$594)*($B692=$B$403:$B$594)*("Weekend"=$D$403:$D$594),0))*WeekendDays)/DaysPerWeek</f>
        <v>8.8028266394152497E-5</v>
      </c>
      <c r="T692" s="10" cm="1">
        <f t="array" ref="T692">(INDEX(U$403:U$594,MATCH(1,($A692=$A$403:$A$594)*($B692=$B$403:$B$594)*("Weekday"=$D$403:$D$594),0))*Weekdays+INDEX(U$403:U$594,MATCH(1,($A692=$A$403:$A$594)*($B692=$B$403:$B$594)*("Weekend"=$D$403:$D$594),0))*WeekendDays)/DaysPerWeek</f>
        <v>8.8028266394152497E-5</v>
      </c>
      <c r="U692" s="10" cm="1">
        <f t="array" ref="U692">(INDEX(V$403:V$594,MATCH(1,($A692=$A$403:$A$594)*($B692=$B$403:$B$594)*("Weekday"=$D$403:$D$594),0))*Weekdays+INDEX(V$403:V$594,MATCH(1,($A692=$A$403:$A$594)*($B692=$B$403:$B$594)*("Weekend"=$D$403:$D$594),0))*WeekendDays)/DaysPerWeek</f>
        <v>8.8028266394152497E-5</v>
      </c>
      <c r="V692" s="10" cm="1">
        <f t="array" ref="V692">(INDEX(W$403:W$594,MATCH(1,($A692=$A$403:$A$594)*($B692=$B$403:$B$594)*("Weekday"=$D$403:$D$594),0))*Weekdays+INDEX(W$403:W$594,MATCH(1,($A692=$A$403:$A$594)*($B692=$B$403:$B$594)*("Weekend"=$D$403:$D$594),0))*WeekendDays)/DaysPerWeek</f>
        <v>7.6992048966943141E-5</v>
      </c>
      <c r="W692" s="10" cm="1">
        <f t="array" ref="W692">(INDEX(X$403:X$594,MATCH(1,($A692=$A$403:$A$594)*($B692=$B$403:$B$594)*("Weekday"=$D$403:$D$594),0))*Weekdays+INDEX(X$403:X$594,MATCH(1,($A692=$A$403:$A$594)*($B692=$B$403:$B$594)*("Weekend"=$D$403:$D$594),0))*WeekendDays)/DaysPerWeek</f>
        <v>7.6992048966943141E-5</v>
      </c>
      <c r="X692" s="10" cm="1">
        <f t="array" ref="X692">(INDEX(Y$403:Y$594,MATCH(1,($A692=$A$403:$A$594)*($B692=$B$403:$B$594)*("Weekday"=$D$403:$D$594),0))*Weekdays+INDEX(Y$403:Y$594,MATCH(1,($A692=$A$403:$A$594)*($B692=$B$403:$B$594)*("Weekend"=$D$403:$D$594),0))*WeekendDays)/DaysPerWeek</f>
        <v>7.6992048966943141E-5</v>
      </c>
      <c r="Y692" s="27">
        <f t="shared" si="245"/>
        <v>2.1668963091704824E-3</v>
      </c>
      <c r="Z692" s="32" t="str">
        <f t="shared" si="244"/>
        <v/>
      </c>
    </row>
    <row r="693" spans="1:26" outlineLevel="1" x14ac:dyDescent="0.3">
      <c r="A693" t="s">
        <v>166</v>
      </c>
      <c r="B693" t="s">
        <v>85</v>
      </c>
      <c r="C693" s="6" t="s">
        <v>161</v>
      </c>
      <c r="D693" s="10">
        <v>0</v>
      </c>
      <c r="E693" s="10" cm="1">
        <f t="array" ref="E693">(INDEX(F$403:F$594,MATCH(1,($A693=$A$403:$A$594)*($B693=$B$403:$B$594)*("Weekday"=$D$403:$D$594),0))*Weekdays+INDEX(F$403:F$594,MATCH(1,($A693=$A$403:$A$594)*($B693=$B$403:$B$594)*("Weekend"=$D$403:$D$594),0))*WeekendDays)/DaysPerWeek</f>
        <v>7.4742147773623196E-5</v>
      </c>
      <c r="F693" s="10" cm="1">
        <f t="array" ref="F693">(INDEX(G$403:G$594,MATCH(1,($A693=$A$403:$A$594)*($B693=$B$403:$B$594)*("Weekday"=$D$403:$D$594),0))*Weekdays+INDEX(G$403:G$594,MATCH(1,($A693=$A$403:$A$594)*($B693=$B$403:$B$594)*("Weekend"=$D$403:$D$594),0))*WeekendDays)/DaysPerWeek</f>
        <v>0</v>
      </c>
      <c r="G693" s="10" cm="1">
        <f t="array" ref="G693">(INDEX(H$403:H$594,MATCH(1,($A693=$A$403:$A$594)*($B693=$B$403:$B$594)*("Weekday"=$D$403:$D$594),0))*Weekdays+INDEX(H$403:H$594,MATCH(1,($A693=$A$403:$A$594)*($B693=$B$403:$B$594)*("Weekend"=$D$403:$D$594),0))*WeekendDays)/DaysPerWeek</f>
        <v>1.6891964033009761E-4</v>
      </c>
      <c r="H693" s="10" cm="1">
        <f t="array" ref="H693">(INDEX(I$403:I$594,MATCH(1,($A693=$A$403:$A$594)*($B693=$B$403:$B$594)*("Weekday"=$D$403:$D$594),0))*Weekdays+INDEX(I$403:I$594,MATCH(1,($A693=$A$403:$A$594)*($B693=$B$403:$B$594)*("Weekend"=$D$403:$D$594),0))*WeekendDays)/DaysPerWeek</f>
        <v>1.6891964033009761E-4</v>
      </c>
      <c r="I693" s="10" cm="1">
        <f t="array" ref="I693">(INDEX(J$403:J$594,MATCH(1,($A693=$A$403:$A$594)*($B693=$B$403:$B$594)*("Weekday"=$D$403:$D$594),0))*Weekdays+INDEX(J$403:J$594,MATCH(1,($A693=$A$403:$A$594)*($B693=$B$403:$B$594)*("Weekend"=$D$403:$D$594),0))*WeekendDays)/DaysPerWeek</f>
        <v>1.6891964033009761E-4</v>
      </c>
      <c r="J693" s="10">
        <v>0</v>
      </c>
      <c r="K693" s="10" cm="1">
        <f t="array" ref="K693">(INDEX(L$403:L$594,MATCH(1,($A693=$A$403:$A$594)*($B693=$B$403:$B$594)*("Weekday"=$D$403:$D$594),0))*Weekdays+INDEX(L$403:L$594,MATCH(1,($A693=$A$403:$A$594)*($B693=$B$403:$B$594)*("Weekend"=$D$403:$D$594),0))*WeekendDays)/DaysPerWeek</f>
        <v>7.1836888224264763E-5</v>
      </c>
      <c r="L693" s="10" cm="1">
        <f t="array" ref="L693">(INDEX(M$403:M$594,MATCH(1,($A693=$A$403:$A$594)*($B693=$B$403:$B$594)*("Weekday"=$D$403:$D$594),0))*Weekdays+INDEX(M$403:M$594,MATCH(1,($A693=$A$403:$A$594)*($B693=$B$403:$B$594)*("Weekend"=$D$403:$D$594),0))*WeekendDays)/DaysPerWeek</f>
        <v>0</v>
      </c>
      <c r="M693" s="10" cm="1">
        <f t="array" ref="M693">(INDEX(N$403:N$594,MATCH(1,($A693=$A$403:$A$594)*($B693=$B$403:$B$594)*("Weekday"=$D$403:$D$594),0))*Weekdays+INDEX(N$403:N$594,MATCH(1,($A693=$A$403:$A$594)*($B693=$B$403:$B$594)*("Weekend"=$D$403:$D$594),0))*WeekendDays)/DaysPerWeek</f>
        <v>1.6891964033009761E-4</v>
      </c>
      <c r="N693" s="10" cm="1">
        <f t="array" ref="N693">(INDEX(O$403:O$594,MATCH(1,($A693=$A$403:$A$594)*($B693=$B$403:$B$594)*("Weekday"=$D$403:$D$594),0))*Weekdays+INDEX(O$403:O$594,MATCH(1,($A693=$A$403:$A$594)*($B693=$B$403:$B$594)*("Weekend"=$D$403:$D$594),0))*WeekendDays)/DaysPerWeek</f>
        <v>1.6891964033009761E-4</v>
      </c>
      <c r="O693" s="10" cm="1">
        <f t="array" ref="O693">(INDEX(P$403:P$594,MATCH(1,($A693=$A$403:$A$594)*($B693=$B$403:$B$594)*("Weekday"=$D$403:$D$594),0))*Weekdays+INDEX(P$403:P$594,MATCH(1,($A693=$A$403:$A$594)*($B693=$B$403:$B$594)*("Weekend"=$D$403:$D$594),0))*WeekendDays)/DaysPerWeek</f>
        <v>1.6891964033009761E-4</v>
      </c>
      <c r="P693" s="10" cm="1">
        <f t="array" ref="P693">(INDEX(Q$403:Q$594,MATCH(1,($A693=$A$403:$A$594)*($B693=$B$403:$B$594)*("Weekday"=$D$403:$D$594),0))*Weekdays+INDEX(Q$403:Q$594,MATCH(1,($A693=$A$403:$A$594)*($B693=$B$403:$B$594)*("Weekend"=$D$403:$D$594),0))*WeekendDays)/DaysPerWeek</f>
        <v>8.7400613870843017E-5</v>
      </c>
      <c r="Q693" s="10" cm="1">
        <f t="array" ref="Q693">(INDEX(R$403:R$594,MATCH(1,($A693=$A$403:$A$594)*($B693=$B$403:$B$594)*("Weekday"=$D$403:$D$594),0))*Weekdays+INDEX(R$403:R$594,MATCH(1,($A693=$A$403:$A$594)*($B693=$B$403:$B$594)*("Weekend"=$D$403:$D$594),0))*WeekendDays)/DaysPerWeek</f>
        <v>8.7400613870843017E-5</v>
      </c>
      <c r="R693" s="10" cm="1">
        <f t="array" ref="R693">(INDEX(S$403:S$594,MATCH(1,($A693=$A$403:$A$594)*($B693=$B$403:$B$594)*("Weekday"=$D$403:$D$594),0))*Weekdays+INDEX(S$403:S$594,MATCH(1,($A693=$A$403:$A$594)*($B693=$B$403:$B$594)*("Weekend"=$D$403:$D$594),0))*WeekendDays)/DaysPerWeek</f>
        <v>8.7400613870843017E-5</v>
      </c>
      <c r="S693" s="10" cm="1">
        <f t="array" ref="S693">(INDEX(T$403:T$594,MATCH(1,($A693=$A$403:$A$594)*($B693=$B$403:$B$594)*("Weekday"=$D$403:$D$594),0))*Weekdays+INDEX(T$403:T$594,MATCH(1,($A693=$A$403:$A$594)*($B693=$B$403:$B$594)*("Weekend"=$D$403:$D$594),0))*WeekendDays)/DaysPerWeek</f>
        <v>8.7400613870843017E-5</v>
      </c>
      <c r="T693" s="10" cm="1">
        <f t="array" ref="T693">(INDEX(U$403:U$594,MATCH(1,($A693=$A$403:$A$594)*($B693=$B$403:$B$594)*("Weekday"=$D$403:$D$594),0))*Weekdays+INDEX(U$403:U$594,MATCH(1,($A693=$A$403:$A$594)*($B693=$B$403:$B$594)*("Weekend"=$D$403:$D$594),0))*WeekendDays)/DaysPerWeek</f>
        <v>8.7400613870843017E-5</v>
      </c>
      <c r="U693" s="10" cm="1">
        <f t="array" ref="U693">(INDEX(V$403:V$594,MATCH(1,($A693=$A$403:$A$594)*($B693=$B$403:$B$594)*("Weekday"=$D$403:$D$594),0))*Weekdays+INDEX(V$403:V$594,MATCH(1,($A693=$A$403:$A$594)*($B693=$B$403:$B$594)*("Weekend"=$D$403:$D$594),0))*WeekendDays)/DaysPerWeek</f>
        <v>8.7400613870843017E-5</v>
      </c>
      <c r="V693" s="10" cm="1">
        <f t="array" ref="V693">(INDEX(W$403:W$594,MATCH(1,($A693=$A$403:$A$594)*($B693=$B$403:$B$594)*("Weekday"=$D$403:$D$594),0))*Weekdays+INDEX(W$403:W$594,MATCH(1,($A693=$A$403:$A$594)*($B693=$B$403:$B$594)*("Weekend"=$D$403:$D$594),0))*WeekendDays)/DaysPerWeek</f>
        <v>7.6686524963106071E-5</v>
      </c>
      <c r="W693" s="10" cm="1">
        <f t="array" ref="W693">(INDEX(X$403:X$594,MATCH(1,($A693=$A$403:$A$594)*($B693=$B$403:$B$594)*("Weekday"=$D$403:$D$594),0))*Weekdays+INDEX(X$403:X$594,MATCH(1,($A693=$A$403:$A$594)*($B693=$B$403:$B$594)*("Weekend"=$D$403:$D$594),0))*WeekendDays)/DaysPerWeek</f>
        <v>7.6686524963106071E-5</v>
      </c>
      <c r="X693" s="10" cm="1">
        <f t="array" ref="X693">(INDEX(Y$403:Y$594,MATCH(1,($A693=$A$403:$A$594)*($B693=$B$403:$B$594)*("Weekday"=$D$403:$D$594),0))*Weekdays+INDEX(Y$403:Y$594,MATCH(1,($A693=$A$403:$A$594)*($B693=$B$403:$B$594)*("Weekend"=$D$403:$D$594),0))*WeekendDays)/DaysPerWeek</f>
        <v>7.6686524963106071E-5</v>
      </c>
      <c r="Y693" s="27">
        <f t="shared" si="245"/>
        <v>1.9145601360928504E-3</v>
      </c>
      <c r="Z693" s="32" t="str">
        <f t="shared" si="244"/>
        <v/>
      </c>
    </row>
    <row r="694" spans="1:26" outlineLevel="1" x14ac:dyDescent="0.3">
      <c r="A694" t="s">
        <v>166</v>
      </c>
      <c r="B694" t="s">
        <v>86</v>
      </c>
      <c r="C694" s="6" t="s">
        <v>162</v>
      </c>
      <c r="D694" s="10">
        <v>0</v>
      </c>
      <c r="E694" s="10" cm="1">
        <f t="array" ref="E694">(INDEX(F$403:F$594,MATCH(1,($A694=$A$403:$A$594)*($B694=$B$403:$B$594)*("Weekday"=$D$403:$D$594),0))*Weekdays+INDEX(F$403:F$594,MATCH(1,($A694=$A$403:$A$594)*($B694=$B$403:$B$594)*("Weekend"=$D$403:$D$594),0))*WeekendDays)/DaysPerWeek</f>
        <v>5.8958530162707443E-5</v>
      </c>
      <c r="F694" s="10" cm="1">
        <f t="array" ref="F694">(INDEX(G$403:G$594,MATCH(1,($A694=$A$403:$A$594)*($B694=$B$403:$B$594)*("Weekday"=$D$403:$D$594),0))*Weekdays+INDEX(G$403:G$594,MATCH(1,($A694=$A$403:$A$594)*($B694=$B$403:$B$594)*("Weekend"=$D$403:$D$594),0))*WeekendDays)/DaysPerWeek</f>
        <v>0</v>
      </c>
      <c r="G694" s="10" cm="1">
        <f t="array" ref="G694">(INDEX(H$403:H$594,MATCH(1,($A694=$A$403:$A$594)*($B694=$B$403:$B$594)*("Weekday"=$D$403:$D$594),0))*Weekdays+INDEX(H$403:H$594,MATCH(1,($A694=$A$403:$A$594)*($B694=$B$403:$B$594)*("Weekend"=$D$403:$D$594),0))*WeekendDays)/DaysPerWeek</f>
        <v>1.033886530419558E-4</v>
      </c>
      <c r="H694" s="10" cm="1">
        <f t="array" ref="H694">(INDEX(I$403:I$594,MATCH(1,($A694=$A$403:$A$594)*($B694=$B$403:$B$594)*("Weekday"=$D$403:$D$594),0))*Weekdays+INDEX(I$403:I$594,MATCH(1,($A694=$A$403:$A$594)*($B694=$B$403:$B$594)*("Weekend"=$D$403:$D$594),0))*WeekendDays)/DaysPerWeek</f>
        <v>1.033886530419558E-4</v>
      </c>
      <c r="I694" s="10" cm="1">
        <f t="array" ref="I694">(INDEX(J$403:J$594,MATCH(1,($A694=$A$403:$A$594)*($B694=$B$403:$B$594)*("Weekday"=$D$403:$D$594),0))*Weekdays+INDEX(J$403:J$594,MATCH(1,($A694=$A$403:$A$594)*($B694=$B$403:$B$594)*("Weekend"=$D$403:$D$594),0))*WeekendDays)/DaysPerWeek</f>
        <v>1.033886530419558E-4</v>
      </c>
      <c r="J694" s="10">
        <v>0</v>
      </c>
      <c r="K694" s="10" cm="1">
        <f t="array" ref="K694">(INDEX(L$403:L$594,MATCH(1,($A694=$A$403:$A$594)*($B694=$B$403:$B$594)*("Weekday"=$D$403:$D$594),0))*Weekdays+INDEX(L$403:L$594,MATCH(1,($A694=$A$403:$A$594)*($B694=$B$403:$B$594)*("Weekend"=$D$403:$D$594),0))*WeekendDays)/DaysPerWeek</f>
        <v>6.3705442987388499E-5</v>
      </c>
      <c r="L694" s="10" cm="1">
        <f t="array" ref="L694">(INDEX(M$403:M$594,MATCH(1,($A694=$A$403:$A$594)*($B694=$B$403:$B$594)*("Weekday"=$D$403:$D$594),0))*Weekdays+INDEX(M$403:M$594,MATCH(1,($A694=$A$403:$A$594)*($B694=$B$403:$B$594)*("Weekend"=$D$403:$D$594),0))*WeekendDays)/DaysPerWeek</f>
        <v>0</v>
      </c>
      <c r="M694" s="10" cm="1">
        <f t="array" ref="M694">(INDEX(N$403:N$594,MATCH(1,($A694=$A$403:$A$594)*($B694=$B$403:$B$594)*("Weekday"=$D$403:$D$594),0))*Weekdays+INDEX(N$403:N$594,MATCH(1,($A694=$A$403:$A$594)*($B694=$B$403:$B$594)*("Weekend"=$D$403:$D$594),0))*WeekendDays)/DaysPerWeek</f>
        <v>1.033886530419558E-4</v>
      </c>
      <c r="N694" s="10" cm="1">
        <f t="array" ref="N694">(INDEX(O$403:O$594,MATCH(1,($A694=$A$403:$A$594)*($B694=$B$403:$B$594)*("Weekday"=$D$403:$D$594),0))*Weekdays+INDEX(O$403:O$594,MATCH(1,($A694=$A$403:$A$594)*($B694=$B$403:$B$594)*("Weekend"=$D$403:$D$594),0))*WeekendDays)/DaysPerWeek</f>
        <v>1.033886530419558E-4</v>
      </c>
      <c r="O694" s="10" cm="1">
        <f t="array" ref="O694">(INDEX(P$403:P$594,MATCH(1,($A694=$A$403:$A$594)*($B694=$B$403:$B$594)*("Weekday"=$D$403:$D$594),0))*Weekdays+INDEX(P$403:P$594,MATCH(1,($A694=$A$403:$A$594)*($B694=$B$403:$B$594)*("Weekend"=$D$403:$D$594),0))*WeekendDays)/DaysPerWeek</f>
        <v>1.033886530419558E-4</v>
      </c>
      <c r="P694" s="10" cm="1">
        <f t="array" ref="P694">(INDEX(Q$403:Q$594,MATCH(1,($A694=$A$403:$A$594)*($B694=$B$403:$B$594)*("Weekday"=$D$403:$D$594),0))*Weekdays+INDEX(Q$403:Q$594,MATCH(1,($A694=$A$403:$A$594)*($B694=$B$403:$B$594)*("Weekend"=$D$403:$D$594),0))*WeekendDays)/DaysPerWeek</f>
        <v>8.6929874478360934E-5</v>
      </c>
      <c r="Q694" s="10" cm="1">
        <f t="array" ref="Q694">(INDEX(R$403:R$594,MATCH(1,($A694=$A$403:$A$594)*($B694=$B$403:$B$594)*("Weekday"=$D$403:$D$594),0))*Weekdays+INDEX(R$403:R$594,MATCH(1,($A694=$A$403:$A$594)*($B694=$B$403:$B$594)*("Weekend"=$D$403:$D$594),0))*WeekendDays)/DaysPerWeek</f>
        <v>8.6929874478360934E-5</v>
      </c>
      <c r="R694" s="10" cm="1">
        <f t="array" ref="R694">(INDEX(S$403:S$594,MATCH(1,($A694=$A$403:$A$594)*($B694=$B$403:$B$594)*("Weekday"=$D$403:$D$594),0))*Weekdays+INDEX(S$403:S$594,MATCH(1,($A694=$A$403:$A$594)*($B694=$B$403:$B$594)*("Weekend"=$D$403:$D$594),0))*WeekendDays)/DaysPerWeek</f>
        <v>8.6929874478360934E-5</v>
      </c>
      <c r="S694" s="10" cm="1">
        <f t="array" ref="S694">(INDEX(T$403:T$594,MATCH(1,($A694=$A$403:$A$594)*($B694=$B$403:$B$594)*("Weekday"=$D$403:$D$594),0))*Weekdays+INDEX(T$403:T$594,MATCH(1,($A694=$A$403:$A$594)*($B694=$B$403:$B$594)*("Weekend"=$D$403:$D$594),0))*WeekendDays)/DaysPerWeek</f>
        <v>8.6929874478360934E-5</v>
      </c>
      <c r="T694" s="10" cm="1">
        <f t="array" ref="T694">(INDEX(U$403:U$594,MATCH(1,($A694=$A$403:$A$594)*($B694=$B$403:$B$594)*("Weekday"=$D$403:$D$594),0))*Weekdays+INDEX(U$403:U$594,MATCH(1,($A694=$A$403:$A$594)*($B694=$B$403:$B$594)*("Weekend"=$D$403:$D$594),0))*WeekendDays)/DaysPerWeek</f>
        <v>8.6929874478360934E-5</v>
      </c>
      <c r="U694" s="10" cm="1">
        <f t="array" ref="U694">(INDEX(V$403:V$594,MATCH(1,($A694=$A$403:$A$594)*($B694=$B$403:$B$594)*("Weekday"=$D$403:$D$594),0))*Weekdays+INDEX(V$403:V$594,MATCH(1,($A694=$A$403:$A$594)*($B694=$B$403:$B$594)*("Weekend"=$D$403:$D$594),0))*WeekendDays)/DaysPerWeek</f>
        <v>8.6929874478360934E-5</v>
      </c>
      <c r="V694" s="10" cm="1">
        <f t="array" ref="V694">(INDEX(W$403:W$594,MATCH(1,($A694=$A$403:$A$594)*($B694=$B$403:$B$594)*("Weekday"=$D$403:$D$594),0))*Weekdays+INDEX(W$403:W$594,MATCH(1,($A694=$A$403:$A$594)*($B694=$B$403:$B$594)*("Weekend"=$D$403:$D$594),0))*WeekendDays)/DaysPerWeek</f>
        <v>7.6304619958309725E-5</v>
      </c>
      <c r="W694" s="10" cm="1">
        <f t="array" ref="W694">(INDEX(X$403:X$594,MATCH(1,($A694=$A$403:$A$594)*($B694=$B$403:$B$594)*("Weekday"=$D$403:$D$594),0))*Weekdays+INDEX(X$403:X$594,MATCH(1,($A694=$A$403:$A$594)*($B694=$B$403:$B$594)*("Weekend"=$D$403:$D$594),0))*WeekendDays)/DaysPerWeek</f>
        <v>7.6304619958309725E-5</v>
      </c>
      <c r="X694" s="10" cm="1">
        <f t="array" ref="X694">(INDEX(Y$403:Y$594,MATCH(1,($A694=$A$403:$A$594)*($B694=$B$403:$B$594)*("Weekday"=$D$403:$D$594),0))*Weekdays+INDEX(Y$403:Y$594,MATCH(1,($A694=$A$403:$A$594)*($B694=$B$403:$B$594)*("Weekend"=$D$403:$D$594),0))*WeekendDays)/DaysPerWeek</f>
        <v>7.6304619958309725E-5</v>
      </c>
      <c r="Y694" s="27">
        <f t="shared" si="245"/>
        <v>1.4934889981469254E-3</v>
      </c>
      <c r="Z694" s="32" t="str">
        <f t="shared" si="244"/>
        <v/>
      </c>
    </row>
    <row r="695" spans="1:26" outlineLevel="1" x14ac:dyDescent="0.3">
      <c r="A695" t="s">
        <v>166</v>
      </c>
      <c r="B695" t="s">
        <v>87</v>
      </c>
      <c r="C695" s="6" t="s">
        <v>163</v>
      </c>
      <c r="D695" s="10">
        <v>0</v>
      </c>
      <c r="E695" s="10" cm="1">
        <f t="array" ref="E695">(INDEX(F$403:F$594,MATCH(1,($A695=$A$403:$A$594)*($B695=$B$403:$B$594)*("Weekday"=$D$403:$D$594),0))*Weekdays+INDEX(F$403:F$594,MATCH(1,($A695=$A$403:$A$594)*($B695=$B$403:$B$594)*("Weekend"=$D$403:$D$594),0))*WeekendDays)/DaysPerWeek</f>
        <v>4.7146981028725004E-5</v>
      </c>
      <c r="F695" s="10" cm="1">
        <f t="array" ref="F695">(INDEX(G$403:G$594,MATCH(1,($A695=$A$403:$A$594)*($B695=$B$403:$B$594)*("Weekday"=$D$403:$D$594),0))*Weekdays+INDEX(G$403:G$594,MATCH(1,($A695=$A$403:$A$594)*($B695=$B$403:$B$594)*("Weekend"=$D$403:$D$594),0))*WeekendDays)/DaysPerWeek</f>
        <v>0</v>
      </c>
      <c r="G695" s="10" cm="1">
        <f t="array" ref="G695">(INDEX(H$403:H$594,MATCH(1,($A695=$A$403:$A$594)*($B695=$B$403:$B$594)*("Weekday"=$D$403:$D$594),0))*Weekdays+INDEX(H$403:H$594,MATCH(1,($A695=$A$403:$A$594)*($B695=$B$403:$B$594)*("Weekend"=$D$403:$D$594),0))*WeekendDays)/DaysPerWeek</f>
        <v>5.562759049540013E-5</v>
      </c>
      <c r="H695" s="10" cm="1">
        <f t="array" ref="H695">(INDEX(I$403:I$594,MATCH(1,($A695=$A$403:$A$594)*($B695=$B$403:$B$594)*("Weekday"=$D$403:$D$594),0))*Weekdays+INDEX(I$403:I$594,MATCH(1,($A695=$A$403:$A$594)*($B695=$B$403:$B$594)*("Weekend"=$D$403:$D$594),0))*WeekendDays)/DaysPerWeek</f>
        <v>5.562759049540013E-5</v>
      </c>
      <c r="I695" s="10" cm="1">
        <f t="array" ref="I695">(INDEX(J$403:J$594,MATCH(1,($A695=$A$403:$A$594)*($B695=$B$403:$B$594)*("Weekday"=$D$403:$D$594),0))*Weekdays+INDEX(J$403:J$594,MATCH(1,($A695=$A$403:$A$594)*($B695=$B$403:$B$594)*("Weekend"=$D$403:$D$594),0))*WeekendDays)/DaysPerWeek</f>
        <v>5.562759049540013E-5</v>
      </c>
      <c r="J695" s="10">
        <v>0</v>
      </c>
      <c r="K695" s="10" cm="1">
        <f t="array" ref="K695">(INDEX(L$403:L$594,MATCH(1,($A695=$A$403:$A$594)*($B695=$B$403:$B$594)*("Weekday"=$D$403:$D$594),0))*Weekdays+INDEX(L$403:L$594,MATCH(1,($A695=$A$403:$A$594)*($B695=$B$403:$B$594)*("Weekend"=$D$403:$D$594),0))*WeekendDays)/DaysPerWeek</f>
        <v>5.5708508171838217E-5</v>
      </c>
      <c r="L695" s="10" cm="1">
        <f t="array" ref="L695">(INDEX(M$403:M$594,MATCH(1,($A695=$A$403:$A$594)*($B695=$B$403:$B$594)*("Weekday"=$D$403:$D$594),0))*Weekdays+INDEX(M$403:M$594,MATCH(1,($A695=$A$403:$A$594)*($B695=$B$403:$B$594)*("Weekend"=$D$403:$D$594),0))*WeekendDays)/DaysPerWeek</f>
        <v>0</v>
      </c>
      <c r="M695" s="10" cm="1">
        <f t="array" ref="M695">(INDEX(N$403:N$594,MATCH(1,($A695=$A$403:$A$594)*($B695=$B$403:$B$594)*("Weekday"=$D$403:$D$594),0))*Weekdays+INDEX(N$403:N$594,MATCH(1,($A695=$A$403:$A$594)*($B695=$B$403:$B$594)*("Weekend"=$D$403:$D$594),0))*WeekendDays)/DaysPerWeek</f>
        <v>5.562759049540013E-5</v>
      </c>
      <c r="N695" s="10" cm="1">
        <f t="array" ref="N695">(INDEX(O$403:O$594,MATCH(1,($A695=$A$403:$A$594)*($B695=$B$403:$B$594)*("Weekday"=$D$403:$D$594),0))*Weekdays+INDEX(O$403:O$594,MATCH(1,($A695=$A$403:$A$594)*($B695=$B$403:$B$594)*("Weekend"=$D$403:$D$594),0))*WeekendDays)/DaysPerWeek</f>
        <v>5.562759049540013E-5</v>
      </c>
      <c r="O695" s="10" cm="1">
        <f t="array" ref="O695">(INDEX(P$403:P$594,MATCH(1,($A695=$A$403:$A$594)*($B695=$B$403:$B$594)*("Weekday"=$D$403:$D$594),0))*Weekdays+INDEX(P$403:P$594,MATCH(1,($A695=$A$403:$A$594)*($B695=$B$403:$B$594)*("Weekend"=$D$403:$D$594),0))*WeekendDays)/DaysPerWeek</f>
        <v>5.562759049540013E-5</v>
      </c>
      <c r="P695" s="10" cm="1">
        <f t="array" ref="P695">(INDEX(Q$403:Q$594,MATCH(1,($A695=$A$403:$A$594)*($B695=$B$403:$B$594)*("Weekday"=$D$403:$D$594),0))*Weekdays+INDEX(Q$403:Q$594,MATCH(1,($A695=$A$403:$A$594)*($B695=$B$403:$B$594)*("Weekend"=$D$403:$D$594),0))*WeekendDays)/DaysPerWeek</f>
        <v>5.8293228102366584E-5</v>
      </c>
      <c r="Q695" s="10" cm="1">
        <f t="array" ref="Q695">(INDEX(R$403:R$594,MATCH(1,($A695=$A$403:$A$594)*($B695=$B$403:$B$594)*("Weekday"=$D$403:$D$594),0))*Weekdays+INDEX(R$403:R$594,MATCH(1,($A695=$A$403:$A$594)*($B695=$B$403:$B$594)*("Weekend"=$D$403:$D$594),0))*WeekendDays)/DaysPerWeek</f>
        <v>5.8293228102366584E-5</v>
      </c>
      <c r="R695" s="10" cm="1">
        <f t="array" ref="R695">(INDEX(S$403:S$594,MATCH(1,($A695=$A$403:$A$594)*($B695=$B$403:$B$594)*("Weekday"=$D$403:$D$594),0))*Weekdays+INDEX(S$403:S$594,MATCH(1,($A695=$A$403:$A$594)*($B695=$B$403:$B$594)*("Weekend"=$D$403:$D$594),0))*WeekendDays)/DaysPerWeek</f>
        <v>5.8293228102366584E-5</v>
      </c>
      <c r="S695" s="10" cm="1">
        <f t="array" ref="S695">(INDEX(T$403:T$594,MATCH(1,($A695=$A$403:$A$594)*($B695=$B$403:$B$594)*("Weekday"=$D$403:$D$594),0))*Weekdays+INDEX(T$403:T$594,MATCH(1,($A695=$A$403:$A$594)*($B695=$B$403:$B$594)*("Weekend"=$D$403:$D$594),0))*WeekendDays)/DaysPerWeek</f>
        <v>5.8293228102366584E-5</v>
      </c>
      <c r="T695" s="10" cm="1">
        <f t="array" ref="T695">(INDEX(U$403:U$594,MATCH(1,($A695=$A$403:$A$594)*($B695=$B$403:$B$594)*("Weekday"=$D$403:$D$594),0))*Weekdays+INDEX(U$403:U$594,MATCH(1,($A695=$A$403:$A$594)*($B695=$B$403:$B$594)*("Weekend"=$D$403:$D$594),0))*WeekendDays)/DaysPerWeek</f>
        <v>5.8293228102366584E-5</v>
      </c>
      <c r="U695" s="10" cm="1">
        <f t="array" ref="U695">(INDEX(V$403:V$594,MATCH(1,($A695=$A$403:$A$594)*($B695=$B$403:$B$594)*("Weekday"=$D$403:$D$594),0))*Weekdays+INDEX(V$403:V$594,MATCH(1,($A695=$A$403:$A$594)*($B695=$B$403:$B$594)*("Weekend"=$D$403:$D$594),0))*WeekendDays)/DaysPerWeek</f>
        <v>5.8293228102366584E-5</v>
      </c>
      <c r="V695" s="10" cm="1">
        <f t="array" ref="V695">(INDEX(W$403:W$594,MATCH(1,($A695=$A$403:$A$594)*($B695=$B$403:$B$594)*("Weekday"=$D$403:$D$594),0))*Weekdays+INDEX(W$403:W$594,MATCH(1,($A695=$A$403:$A$594)*($B695=$B$403:$B$594)*("Weekend"=$D$403:$D$594),0))*WeekendDays)/DaysPerWeek</f>
        <v>7.6075476955431915E-5</v>
      </c>
      <c r="W695" s="10" cm="1">
        <f t="array" ref="W695">(INDEX(X$403:X$594,MATCH(1,($A695=$A$403:$A$594)*($B695=$B$403:$B$594)*("Weekday"=$D$403:$D$594),0))*Weekdays+INDEX(X$403:X$594,MATCH(1,($A695=$A$403:$A$594)*($B695=$B$403:$B$594)*("Weekend"=$D$403:$D$594),0))*WeekendDays)/DaysPerWeek</f>
        <v>7.6075476955431915E-5</v>
      </c>
      <c r="X695" s="10" cm="1">
        <f t="array" ref="X695">(INDEX(Y$403:Y$594,MATCH(1,($A695=$A$403:$A$594)*($B695=$B$403:$B$594)*("Weekday"=$D$403:$D$594),0))*Weekdays+INDEX(Y$403:Y$594,MATCH(1,($A695=$A$403:$A$594)*($B695=$B$403:$B$594)*("Weekend"=$D$403:$D$594),0))*WeekendDays)/DaysPerWeek</f>
        <v>7.6075476955431915E-5</v>
      </c>
      <c r="Y695" s="27">
        <f t="shared" si="245"/>
        <v>1.0146068316534594E-3</v>
      </c>
      <c r="Z695" s="32" t="str">
        <f t="shared" si="244"/>
        <v/>
      </c>
    </row>
    <row r="696" spans="1:26" outlineLevel="1" x14ac:dyDescent="0.3">
      <c r="A696" t="s">
        <v>171</v>
      </c>
      <c r="B696" t="s">
        <v>64</v>
      </c>
      <c r="C696" s="6" t="s">
        <v>140</v>
      </c>
      <c r="D696" s="10">
        <v>0</v>
      </c>
      <c r="E696" s="32">
        <f t="shared" ref="E696:X696" si="246">_xlfn.MAXIFS(F$403:F$594,$A$403:$A$594,"Winter",$B$403:$B$594,$B696)</f>
        <v>1.4686151201338462E-5</v>
      </c>
      <c r="F696" s="32">
        <f t="shared" si="246"/>
        <v>0</v>
      </c>
      <c r="G696" s="32">
        <f t="shared" si="246"/>
        <v>1.0663242520657606E-4</v>
      </c>
      <c r="H696" s="32">
        <f t="shared" si="246"/>
        <v>1.0663242520657606E-4</v>
      </c>
      <c r="I696" s="32">
        <f t="shared" si="246"/>
        <v>1.0663242520657606E-4</v>
      </c>
      <c r="J696" s="10">
        <v>0</v>
      </c>
      <c r="K696" s="32">
        <f t="shared" si="246"/>
        <v>4.5957212702266581E-5</v>
      </c>
      <c r="L696" s="32">
        <f t="shared" si="246"/>
        <v>0</v>
      </c>
      <c r="M696" s="32">
        <f t="shared" si="246"/>
        <v>1.0663242520657606E-4</v>
      </c>
      <c r="N696" s="32">
        <f t="shared" si="246"/>
        <v>1.0663242520657606E-4</v>
      </c>
      <c r="O696" s="32">
        <f t="shared" si="246"/>
        <v>1.0663242520657606E-4</v>
      </c>
      <c r="P696" s="32">
        <f t="shared" si="246"/>
        <v>1.0381298637671222E-4</v>
      </c>
      <c r="Q696" s="32">
        <f t="shared" si="246"/>
        <v>1.0381298637671222E-4</v>
      </c>
      <c r="R696" s="32">
        <f t="shared" si="246"/>
        <v>1.0381298637671222E-4</v>
      </c>
      <c r="S696" s="32">
        <f t="shared" si="246"/>
        <v>1.0381298637671222E-4</v>
      </c>
      <c r="T696" s="32">
        <f t="shared" si="246"/>
        <v>1.0381298637671222E-4</v>
      </c>
      <c r="U696" s="32">
        <f t="shared" si="246"/>
        <v>1.0381298637671222E-4</v>
      </c>
      <c r="V696" s="32">
        <f t="shared" si="246"/>
        <v>1.8272541991707082E-4</v>
      </c>
      <c r="W696" s="32">
        <f t="shared" si="246"/>
        <v>1.8272541991707082E-4</v>
      </c>
      <c r="X696" s="32">
        <f t="shared" si="246"/>
        <v>1.8272541991707082E-4</v>
      </c>
      <c r="Y696" s="27">
        <f t="shared" si="245"/>
        <v>1.8714920931545474E-3</v>
      </c>
      <c r="Z696" s="10"/>
    </row>
    <row r="697" spans="1:26" outlineLevel="1" x14ac:dyDescent="0.3">
      <c r="A697" t="s">
        <v>171</v>
      </c>
      <c r="B697" t="s">
        <v>65</v>
      </c>
      <c r="C697" s="6" t="s">
        <v>141</v>
      </c>
      <c r="D697" s="10">
        <v>0</v>
      </c>
      <c r="E697" s="32">
        <f t="shared" ref="E697:X697" si="247">_xlfn.MAXIFS(F$403:F$594,$A$403:$A$594,"Winter",$B$403:$B$594,$B697)</f>
        <v>1.1800982722767286E-5</v>
      </c>
      <c r="F697" s="32">
        <f t="shared" si="247"/>
        <v>0</v>
      </c>
      <c r="G697" s="32">
        <f t="shared" si="247"/>
        <v>9.2153931680926456E-5</v>
      </c>
      <c r="H697" s="32">
        <f t="shared" si="247"/>
        <v>9.2153931680926456E-5</v>
      </c>
      <c r="I697" s="32">
        <f t="shared" si="247"/>
        <v>9.2153931680926456E-5</v>
      </c>
      <c r="J697" s="10">
        <v>0</v>
      </c>
      <c r="K697" s="32">
        <f t="shared" si="247"/>
        <v>4.4494883161406743E-5</v>
      </c>
      <c r="L697" s="32">
        <f t="shared" si="247"/>
        <v>0</v>
      </c>
      <c r="M697" s="32">
        <f t="shared" si="247"/>
        <v>9.2153931680926456E-5</v>
      </c>
      <c r="N697" s="32">
        <f t="shared" si="247"/>
        <v>9.2153931680926456E-5</v>
      </c>
      <c r="O697" s="32">
        <f t="shared" si="247"/>
        <v>9.2153931680926456E-5</v>
      </c>
      <c r="P697" s="32">
        <f t="shared" si="247"/>
        <v>1.0314662861446532E-4</v>
      </c>
      <c r="Q697" s="32">
        <f t="shared" si="247"/>
        <v>1.0314662861446532E-4</v>
      </c>
      <c r="R697" s="32">
        <f t="shared" si="247"/>
        <v>1.0314662861446532E-4</v>
      </c>
      <c r="S697" s="32">
        <f t="shared" si="247"/>
        <v>1.0314662861446532E-4</v>
      </c>
      <c r="T697" s="32">
        <f t="shared" si="247"/>
        <v>1.0314662861446532E-4</v>
      </c>
      <c r="U697" s="32">
        <f t="shared" si="247"/>
        <v>1.0314662861446532E-4</v>
      </c>
      <c r="V697" s="32">
        <f t="shared" si="247"/>
        <v>1.8272541991707082E-4</v>
      </c>
      <c r="W697" s="32">
        <f t="shared" si="247"/>
        <v>1.8272541991707082E-4</v>
      </c>
      <c r="X697" s="32">
        <f t="shared" si="247"/>
        <v>1.8272541991707082E-4</v>
      </c>
      <c r="Y697" s="27">
        <f t="shared" si="245"/>
        <v>1.7762754874077371E-3</v>
      </c>
      <c r="Z697" s="10"/>
    </row>
    <row r="698" spans="1:26" outlineLevel="1" x14ac:dyDescent="0.3">
      <c r="A698" t="s">
        <v>171</v>
      </c>
      <c r="B698" t="s">
        <v>66</v>
      </c>
      <c r="C698" s="6" t="s">
        <v>142</v>
      </c>
      <c r="D698" s="10">
        <v>0</v>
      </c>
      <c r="E698" s="32">
        <f t="shared" ref="E698:X698" si="248">_xlfn.MAXIFS(F$403:F$594,$A$403:$A$594,"Winter",$B$403:$B$594,$B698)</f>
        <v>1.0991283130272411E-5</v>
      </c>
      <c r="F698" s="32">
        <f t="shared" si="248"/>
        <v>0</v>
      </c>
      <c r="G698" s="32">
        <f t="shared" si="248"/>
        <v>8.9004124178122799E-5</v>
      </c>
      <c r="H698" s="32">
        <f t="shared" si="248"/>
        <v>8.9004124178122799E-5</v>
      </c>
      <c r="I698" s="32">
        <f t="shared" si="248"/>
        <v>8.9004124178122799E-5</v>
      </c>
      <c r="J698" s="10">
        <v>0</v>
      </c>
      <c r="K698" s="32">
        <f t="shared" si="248"/>
        <v>4.3944397205793327E-5</v>
      </c>
      <c r="L698" s="32">
        <f t="shared" si="248"/>
        <v>0</v>
      </c>
      <c r="M698" s="32">
        <f t="shared" si="248"/>
        <v>8.9004124178122799E-5</v>
      </c>
      <c r="N698" s="32">
        <f t="shared" si="248"/>
        <v>8.9004124178122799E-5</v>
      </c>
      <c r="O698" s="32">
        <f t="shared" si="248"/>
        <v>8.9004124178122799E-5</v>
      </c>
      <c r="P698" s="32">
        <f t="shared" si="248"/>
        <v>1.0295227426714332E-4</v>
      </c>
      <c r="Q698" s="32">
        <f t="shared" si="248"/>
        <v>1.0295227426714332E-4</v>
      </c>
      <c r="R698" s="32">
        <f t="shared" si="248"/>
        <v>1.0295227426714332E-4</v>
      </c>
      <c r="S698" s="32">
        <f t="shared" si="248"/>
        <v>1.0295227426714332E-4</v>
      </c>
      <c r="T698" s="32">
        <f t="shared" si="248"/>
        <v>1.0295227426714332E-4</v>
      </c>
      <c r="U698" s="32">
        <f t="shared" si="248"/>
        <v>1.0295227426714332E-4</v>
      </c>
      <c r="V698" s="32">
        <f t="shared" si="248"/>
        <v>1.8272541991707082E-4</v>
      </c>
      <c r="W698" s="32">
        <f t="shared" si="248"/>
        <v>1.8272541991707082E-4</v>
      </c>
      <c r="X698" s="32">
        <f t="shared" si="248"/>
        <v>1.8272541991707082E-4</v>
      </c>
      <c r="Y698" s="27">
        <f t="shared" si="245"/>
        <v>1.7548503307588752E-3</v>
      </c>
      <c r="Z698" s="10"/>
    </row>
    <row r="699" spans="1:26" outlineLevel="1" x14ac:dyDescent="0.3">
      <c r="A699" t="s">
        <v>171</v>
      </c>
      <c r="B699" t="s">
        <v>67</v>
      </c>
      <c r="C699" s="6" t="s">
        <v>143</v>
      </c>
      <c r="D699" s="10">
        <v>0</v>
      </c>
      <c r="E699" s="32">
        <f t="shared" ref="E699:X699" si="249">_xlfn.MAXIFS(F$403:F$594,$A$403:$A$594,"Winter",$B$403:$B$594,$B699)</f>
        <v>1.1980423261640582E-5</v>
      </c>
      <c r="F699" s="32">
        <f t="shared" si="249"/>
        <v>0</v>
      </c>
      <c r="G699" s="32">
        <f t="shared" si="249"/>
        <v>8.8928996787636345E-5</v>
      </c>
      <c r="H699" s="32">
        <f t="shared" si="249"/>
        <v>8.8928996787636345E-5</v>
      </c>
      <c r="I699" s="32">
        <f t="shared" si="249"/>
        <v>8.8928996787636345E-5</v>
      </c>
      <c r="J699" s="10">
        <v>0</v>
      </c>
      <c r="K699" s="32">
        <f t="shared" si="249"/>
        <v>4.389345144537288E-5</v>
      </c>
      <c r="L699" s="32">
        <f t="shared" si="249"/>
        <v>0</v>
      </c>
      <c r="M699" s="32">
        <f t="shared" si="249"/>
        <v>8.8928996787636345E-5</v>
      </c>
      <c r="N699" s="32">
        <f t="shared" si="249"/>
        <v>8.8928996787636345E-5</v>
      </c>
      <c r="O699" s="32">
        <f t="shared" si="249"/>
        <v>8.8928996787636345E-5</v>
      </c>
      <c r="P699" s="32">
        <f t="shared" si="249"/>
        <v>1.0295227426714332E-4</v>
      </c>
      <c r="Q699" s="32">
        <f t="shared" si="249"/>
        <v>1.0295227426714332E-4</v>
      </c>
      <c r="R699" s="32">
        <f t="shared" si="249"/>
        <v>1.0295227426714332E-4</v>
      </c>
      <c r="S699" s="32">
        <f t="shared" si="249"/>
        <v>1.0295227426714332E-4</v>
      </c>
      <c r="T699" s="32">
        <f t="shared" si="249"/>
        <v>1.0295227426714332E-4</v>
      </c>
      <c r="U699" s="32">
        <f t="shared" si="249"/>
        <v>1.0295227426714332E-4</v>
      </c>
      <c r="V699" s="32">
        <f t="shared" si="249"/>
        <v>1.8353633154392172E-4</v>
      </c>
      <c r="W699" s="32">
        <f t="shared" si="249"/>
        <v>1.8353633154392172E-4</v>
      </c>
      <c r="X699" s="32">
        <f t="shared" si="249"/>
        <v>1.8353633154392172E-4</v>
      </c>
      <c r="Y699" s="27">
        <f t="shared" si="245"/>
        <v>1.7577704956674564E-3</v>
      </c>
      <c r="Z699" s="10"/>
    </row>
    <row r="700" spans="1:26" outlineLevel="1" x14ac:dyDescent="0.3">
      <c r="A700" t="s">
        <v>171</v>
      </c>
      <c r="B700" t="s">
        <v>68</v>
      </c>
      <c r="C700" s="6" t="s">
        <v>144</v>
      </c>
      <c r="D700" s="10">
        <v>0</v>
      </c>
      <c r="E700" s="32">
        <f t="shared" ref="E700:X700" si="250">_xlfn.MAXIFS(F$403:F$594,$A$403:$A$594,"Winter",$B$403:$B$594,$B700)</f>
        <v>1.5089075562595203E-5</v>
      </c>
      <c r="F700" s="32">
        <f t="shared" si="250"/>
        <v>0</v>
      </c>
      <c r="G700" s="32">
        <f t="shared" si="250"/>
        <v>9.3606302596304795E-5</v>
      </c>
      <c r="H700" s="32">
        <f t="shared" si="250"/>
        <v>9.3606302596304795E-5</v>
      </c>
      <c r="I700" s="32">
        <f t="shared" si="250"/>
        <v>9.3606302596304795E-5</v>
      </c>
      <c r="J700" s="10">
        <v>0</v>
      </c>
      <c r="K700" s="32">
        <f t="shared" si="250"/>
        <v>4.4387538582032935E-5</v>
      </c>
      <c r="L700" s="32">
        <f t="shared" si="250"/>
        <v>0</v>
      </c>
      <c r="M700" s="32">
        <f t="shared" si="250"/>
        <v>9.3606302596304795E-5</v>
      </c>
      <c r="N700" s="32">
        <f t="shared" si="250"/>
        <v>9.3606302596304795E-5</v>
      </c>
      <c r="O700" s="32">
        <f t="shared" si="250"/>
        <v>9.3606302596304795E-5</v>
      </c>
      <c r="P700" s="32">
        <f t="shared" si="250"/>
        <v>1.0286897954686246E-4</v>
      </c>
      <c r="Q700" s="32">
        <f t="shared" si="250"/>
        <v>1.0286897954686246E-4</v>
      </c>
      <c r="R700" s="32">
        <f t="shared" si="250"/>
        <v>1.0286897954686246E-4</v>
      </c>
      <c r="S700" s="32">
        <f t="shared" si="250"/>
        <v>1.0286897954686246E-4</v>
      </c>
      <c r="T700" s="32">
        <f t="shared" si="250"/>
        <v>1.0286897954686246E-4</v>
      </c>
      <c r="U700" s="32">
        <f t="shared" si="250"/>
        <v>1.0286897954686246E-4</v>
      </c>
      <c r="V700" s="32">
        <f t="shared" si="250"/>
        <v>1.8380663541953869E-4</v>
      </c>
      <c r="W700" s="32">
        <f t="shared" si="250"/>
        <v>1.8380663541953869E-4</v>
      </c>
      <c r="X700" s="32">
        <f t="shared" si="250"/>
        <v>1.8380663541953869E-4</v>
      </c>
      <c r="Y700" s="27">
        <f t="shared" si="245"/>
        <v>1.789748213262248E-3</v>
      </c>
      <c r="Z700" s="10"/>
    </row>
    <row r="701" spans="1:26" outlineLevel="1" x14ac:dyDescent="0.3">
      <c r="A701" t="s">
        <v>171</v>
      </c>
      <c r="B701" t="s">
        <v>69</v>
      </c>
      <c r="C701" s="6" t="s">
        <v>145</v>
      </c>
      <c r="D701" s="10">
        <v>0</v>
      </c>
      <c r="E701" s="32">
        <f t="shared" ref="E701:X701" si="251">_xlfn.MAXIFS(F$403:F$594,$A$403:$A$594,"Winter",$B$403:$B$594,$B701)</f>
        <v>2.0706544650779163E-5</v>
      </c>
      <c r="F701" s="32">
        <f t="shared" si="251"/>
        <v>0</v>
      </c>
      <c r="G701" s="32">
        <f t="shared" si="251"/>
        <v>1.479431689579349E-4</v>
      </c>
      <c r="H701" s="32">
        <f t="shared" si="251"/>
        <v>1.479431689579349E-4</v>
      </c>
      <c r="I701" s="32">
        <f t="shared" si="251"/>
        <v>1.479431689579349E-4</v>
      </c>
      <c r="J701" s="10">
        <v>0</v>
      </c>
      <c r="K701" s="32">
        <f t="shared" si="251"/>
        <v>4.5876987838911323E-5</v>
      </c>
      <c r="L701" s="32">
        <f t="shared" si="251"/>
        <v>0</v>
      </c>
      <c r="M701" s="32">
        <f t="shared" si="251"/>
        <v>1.479431689579349E-4</v>
      </c>
      <c r="N701" s="32">
        <f t="shared" si="251"/>
        <v>1.479431689579349E-4</v>
      </c>
      <c r="O701" s="32">
        <f t="shared" si="251"/>
        <v>1.479431689579349E-4</v>
      </c>
      <c r="P701" s="32">
        <f t="shared" si="251"/>
        <v>1.0298003917390362E-4</v>
      </c>
      <c r="Q701" s="32">
        <f t="shared" si="251"/>
        <v>1.0298003917390362E-4</v>
      </c>
      <c r="R701" s="32">
        <f t="shared" si="251"/>
        <v>1.0298003917390362E-4</v>
      </c>
      <c r="S701" s="32">
        <f t="shared" si="251"/>
        <v>1.0298003917390362E-4</v>
      </c>
      <c r="T701" s="32">
        <f t="shared" si="251"/>
        <v>1.0298003917390362E-4</v>
      </c>
      <c r="U701" s="32">
        <f t="shared" si="251"/>
        <v>1.0298003917390362E-4</v>
      </c>
      <c r="V701" s="32">
        <f t="shared" si="251"/>
        <v>1.8488785092200658E-4</v>
      </c>
      <c r="W701" s="32">
        <f t="shared" si="251"/>
        <v>1.8488785092200658E-4</v>
      </c>
      <c r="X701" s="32">
        <f t="shared" si="251"/>
        <v>1.8488785092200658E-4</v>
      </c>
      <c r="Y701" s="27">
        <f t="shared" si="245"/>
        <v>2.1267863340467411E-3</v>
      </c>
      <c r="Z701" s="10"/>
    </row>
    <row r="702" spans="1:26" outlineLevel="1" x14ac:dyDescent="0.3">
      <c r="A702" t="s">
        <v>171</v>
      </c>
      <c r="B702" t="s">
        <v>70</v>
      </c>
      <c r="C702" s="6" t="s">
        <v>146</v>
      </c>
      <c r="D702" s="10">
        <v>0</v>
      </c>
      <c r="E702" s="32">
        <f t="shared" ref="E702:X702" si="252">_xlfn.MAXIFS(F$403:F$594,$A$403:$A$594,"Winter",$B$403:$B$594,$B702)</f>
        <v>2.9385872134992314E-5</v>
      </c>
      <c r="F702" s="32">
        <f t="shared" si="252"/>
        <v>0</v>
      </c>
      <c r="G702" s="32">
        <f t="shared" si="252"/>
        <v>2.1614815142106882E-4</v>
      </c>
      <c r="H702" s="32">
        <f t="shared" si="252"/>
        <v>2.1614815142106882E-4</v>
      </c>
      <c r="I702" s="32">
        <f t="shared" si="252"/>
        <v>2.1614815142106882E-4</v>
      </c>
      <c r="J702" s="10">
        <v>0</v>
      </c>
      <c r="K702" s="32">
        <f t="shared" si="252"/>
        <v>4.9251448428426939E-5</v>
      </c>
      <c r="L702" s="32">
        <f t="shared" si="252"/>
        <v>0</v>
      </c>
      <c r="M702" s="32">
        <f t="shared" si="252"/>
        <v>2.1614815142106882E-4</v>
      </c>
      <c r="N702" s="32">
        <f t="shared" si="252"/>
        <v>2.1614815142106882E-4</v>
      </c>
      <c r="O702" s="32">
        <f t="shared" si="252"/>
        <v>2.1614815142106882E-4</v>
      </c>
      <c r="P702" s="32">
        <f t="shared" si="252"/>
        <v>1.2577502762409906E-4</v>
      </c>
      <c r="Q702" s="32">
        <f t="shared" si="252"/>
        <v>1.2577502762409906E-4</v>
      </c>
      <c r="R702" s="32">
        <f t="shared" si="252"/>
        <v>1.2577502762409906E-4</v>
      </c>
      <c r="S702" s="32">
        <f t="shared" si="252"/>
        <v>1.2577502762409906E-4</v>
      </c>
      <c r="T702" s="32">
        <f t="shared" si="252"/>
        <v>1.2577502762409906E-4</v>
      </c>
      <c r="U702" s="32">
        <f t="shared" si="252"/>
        <v>1.2577502762409906E-4</v>
      </c>
      <c r="V702" s="32">
        <f t="shared" si="252"/>
        <v>1.8542845867324049E-4</v>
      </c>
      <c r="W702" s="32">
        <f t="shared" si="252"/>
        <v>1.8542845867324049E-4</v>
      </c>
      <c r="X702" s="32">
        <f t="shared" si="252"/>
        <v>1.8542845867324049E-4</v>
      </c>
      <c r="Y702" s="27">
        <f t="shared" si="245"/>
        <v>2.6864617708541481E-3</v>
      </c>
      <c r="Z702" s="10"/>
    </row>
    <row r="703" spans="1:26" outlineLevel="1" x14ac:dyDescent="0.3">
      <c r="A703" t="s">
        <v>171</v>
      </c>
      <c r="B703" t="s">
        <v>71</v>
      </c>
      <c r="C703" s="6" t="s">
        <v>147</v>
      </c>
      <c r="D703" s="10">
        <v>0</v>
      </c>
      <c r="E703" s="32">
        <f t="shared" ref="E703:X703" si="253">_xlfn.MAXIFS(F$403:F$594,$A$403:$A$594,"Winter",$B$403:$B$594,$B703)</f>
        <v>4.1484622128788479E-5</v>
      </c>
      <c r="F703" s="32">
        <f t="shared" si="253"/>
        <v>0</v>
      </c>
      <c r="G703" s="32">
        <f t="shared" si="253"/>
        <v>1.32234149673423E-4</v>
      </c>
      <c r="H703" s="32">
        <f t="shared" si="253"/>
        <v>1.32234149673423E-4</v>
      </c>
      <c r="I703" s="32">
        <f t="shared" si="253"/>
        <v>1.32234149673423E-4</v>
      </c>
      <c r="J703" s="10">
        <v>0</v>
      </c>
      <c r="K703" s="32">
        <f t="shared" si="253"/>
        <v>5.5241211661133467E-5</v>
      </c>
      <c r="L703" s="32">
        <f t="shared" si="253"/>
        <v>0</v>
      </c>
      <c r="M703" s="32">
        <f t="shared" si="253"/>
        <v>1.32234149673423E-4</v>
      </c>
      <c r="N703" s="32">
        <f t="shared" si="253"/>
        <v>1.32234149673423E-4</v>
      </c>
      <c r="O703" s="32">
        <f t="shared" si="253"/>
        <v>1.32234149673423E-4</v>
      </c>
      <c r="P703" s="32">
        <f t="shared" si="253"/>
        <v>2.296713087210921E-4</v>
      </c>
      <c r="Q703" s="32">
        <f t="shared" si="253"/>
        <v>2.296713087210921E-4</v>
      </c>
      <c r="R703" s="32">
        <f t="shared" si="253"/>
        <v>2.296713087210921E-4</v>
      </c>
      <c r="S703" s="32">
        <f t="shared" si="253"/>
        <v>2.296713087210921E-4</v>
      </c>
      <c r="T703" s="32">
        <f t="shared" si="253"/>
        <v>2.296713087210921E-4</v>
      </c>
      <c r="U703" s="32">
        <f t="shared" si="253"/>
        <v>2.296713087210921E-4</v>
      </c>
      <c r="V703" s="32">
        <f t="shared" si="253"/>
        <v>1.8596906642447445E-4</v>
      </c>
      <c r="W703" s="32">
        <f t="shared" si="253"/>
        <v>1.8596906642447445E-4</v>
      </c>
      <c r="X703" s="32">
        <f t="shared" si="253"/>
        <v>1.8596906642447445E-4</v>
      </c>
      <c r="Y703" s="27">
        <f t="shared" si="245"/>
        <v>2.8260657834304368E-3</v>
      </c>
      <c r="Z703" s="10"/>
    </row>
    <row r="704" spans="1:26" outlineLevel="1" x14ac:dyDescent="0.3">
      <c r="A704" t="s">
        <v>171</v>
      </c>
      <c r="B704" t="s">
        <v>72</v>
      </c>
      <c r="C704" s="6" t="s">
        <v>148</v>
      </c>
      <c r="D704" s="10">
        <v>0</v>
      </c>
      <c r="E704" s="32">
        <f t="shared" ref="E704:X704" si="254">_xlfn.MAXIFS(F$403:F$594,$A$403:$A$594,"Winter",$B$403:$B$594,$B704)</f>
        <v>5.6076485362097644E-5</v>
      </c>
      <c r="F704" s="32">
        <f t="shared" si="254"/>
        <v>0</v>
      </c>
      <c r="G704" s="32">
        <f t="shared" si="254"/>
        <v>1.1806620506555626E-4</v>
      </c>
      <c r="H704" s="32">
        <f t="shared" si="254"/>
        <v>1.1806620506555626E-4</v>
      </c>
      <c r="I704" s="32">
        <f t="shared" si="254"/>
        <v>1.1806620506555626E-4</v>
      </c>
      <c r="J704" s="10">
        <v>0</v>
      </c>
      <c r="K704" s="32">
        <f t="shared" si="254"/>
        <v>6.4124213682789343E-5</v>
      </c>
      <c r="L704" s="32">
        <f t="shared" si="254"/>
        <v>0</v>
      </c>
      <c r="M704" s="32">
        <f t="shared" si="254"/>
        <v>1.1806620506555626E-4</v>
      </c>
      <c r="N704" s="32">
        <f t="shared" si="254"/>
        <v>1.1806620506555626E-4</v>
      </c>
      <c r="O704" s="32">
        <f t="shared" si="254"/>
        <v>1.1806620506555626E-4</v>
      </c>
      <c r="P704" s="32">
        <f t="shared" si="254"/>
        <v>2.3255885902416192E-4</v>
      </c>
      <c r="Q704" s="32">
        <f t="shared" si="254"/>
        <v>2.3255885902416192E-4</v>
      </c>
      <c r="R704" s="32">
        <f t="shared" si="254"/>
        <v>2.3255885902416192E-4</v>
      </c>
      <c r="S704" s="32">
        <f t="shared" si="254"/>
        <v>2.3255885902416192E-4</v>
      </c>
      <c r="T704" s="32">
        <f t="shared" si="254"/>
        <v>2.3255885902416192E-4</v>
      </c>
      <c r="U704" s="32">
        <f t="shared" si="254"/>
        <v>2.3255885902416192E-4</v>
      </c>
      <c r="V704" s="32">
        <f t="shared" si="254"/>
        <v>1.8542845867324049E-4</v>
      </c>
      <c r="W704" s="32">
        <f t="shared" si="254"/>
        <v>1.8542845867324049E-4</v>
      </c>
      <c r="X704" s="32">
        <f t="shared" si="254"/>
        <v>1.8542845867324049E-4</v>
      </c>
      <c r="Y704" s="27">
        <f t="shared" si="245"/>
        <v>2.780236459602918E-3</v>
      </c>
      <c r="Z704" s="10"/>
    </row>
    <row r="705" spans="1:26" outlineLevel="1" x14ac:dyDescent="0.3">
      <c r="A705" t="s">
        <v>171</v>
      </c>
      <c r="B705" t="s">
        <v>73</v>
      </c>
      <c r="C705" s="6" t="s">
        <v>149</v>
      </c>
      <c r="D705" s="10">
        <v>0</v>
      </c>
      <c r="E705" s="32">
        <f t="shared" ref="E705:X705" si="255">_xlfn.MAXIFS(F$403:F$594,$A$403:$A$594,"Winter",$B$403:$B$594,$B705)</f>
        <v>7.2656247697880223E-5</v>
      </c>
      <c r="F705" s="32">
        <f t="shared" si="255"/>
        <v>0</v>
      </c>
      <c r="G705" s="32">
        <f t="shared" si="255"/>
        <v>1.2254029283646154E-4</v>
      </c>
      <c r="H705" s="32">
        <f t="shared" si="255"/>
        <v>1.2254029283646154E-4</v>
      </c>
      <c r="I705" s="32">
        <f t="shared" si="255"/>
        <v>1.2254029283646154E-4</v>
      </c>
      <c r="J705" s="10">
        <v>0</v>
      </c>
      <c r="K705" s="32">
        <f t="shared" si="255"/>
        <v>7.3120759422662916E-5</v>
      </c>
      <c r="L705" s="32">
        <f t="shared" si="255"/>
        <v>0</v>
      </c>
      <c r="M705" s="32">
        <f t="shared" si="255"/>
        <v>1.2254029283646154E-4</v>
      </c>
      <c r="N705" s="32">
        <f t="shared" si="255"/>
        <v>1.2254029283646154E-4</v>
      </c>
      <c r="O705" s="32">
        <f t="shared" si="255"/>
        <v>1.2254029283646154E-4</v>
      </c>
      <c r="P705" s="32">
        <f t="shared" si="255"/>
        <v>2.0934739697256219E-4</v>
      </c>
      <c r="Q705" s="32">
        <f t="shared" si="255"/>
        <v>2.0934739697256219E-4</v>
      </c>
      <c r="R705" s="32">
        <f t="shared" si="255"/>
        <v>2.0934739697256219E-4</v>
      </c>
      <c r="S705" s="32">
        <f t="shared" si="255"/>
        <v>2.0934739697256219E-4</v>
      </c>
      <c r="T705" s="32">
        <f t="shared" si="255"/>
        <v>2.0934739697256219E-4</v>
      </c>
      <c r="U705" s="32">
        <f t="shared" si="255"/>
        <v>2.0934739697256219E-4</v>
      </c>
      <c r="V705" s="32">
        <f t="shared" si="255"/>
        <v>1.8488785092200658E-4</v>
      </c>
      <c r="W705" s="32">
        <f t="shared" si="255"/>
        <v>1.8488785092200658E-4</v>
      </c>
      <c r="X705" s="32">
        <f t="shared" si="255"/>
        <v>1.8488785092200658E-4</v>
      </c>
      <c r="Y705" s="27">
        <f t="shared" si="245"/>
        <v>2.691766698740705E-3</v>
      </c>
      <c r="Z705" s="10"/>
    </row>
    <row r="706" spans="1:26" outlineLevel="1" x14ac:dyDescent="0.3">
      <c r="A706" t="s">
        <v>171</v>
      </c>
      <c r="B706" t="s">
        <v>74</v>
      </c>
      <c r="C706" s="6" t="s">
        <v>150</v>
      </c>
      <c r="D706" s="10">
        <v>0</v>
      </c>
      <c r="E706" s="32">
        <f t="shared" ref="E706:X706" si="256">_xlfn.MAXIFS(F$403:F$594,$A$403:$A$594,"Winter",$B$403:$B$594,$B706)</f>
        <v>9.6350433977774423E-5</v>
      </c>
      <c r="F706" s="32">
        <f t="shared" si="256"/>
        <v>0</v>
      </c>
      <c r="G706" s="32">
        <f t="shared" si="256"/>
        <v>1.2303741369989546E-4</v>
      </c>
      <c r="H706" s="32">
        <f t="shared" si="256"/>
        <v>1.2303741369989546E-4</v>
      </c>
      <c r="I706" s="32">
        <f t="shared" si="256"/>
        <v>1.2303741369989546E-4</v>
      </c>
      <c r="J706" s="10">
        <v>0</v>
      </c>
      <c r="K706" s="32">
        <f t="shared" si="256"/>
        <v>8.237943411081242E-5</v>
      </c>
      <c r="L706" s="32">
        <f t="shared" si="256"/>
        <v>0</v>
      </c>
      <c r="M706" s="32">
        <f t="shared" si="256"/>
        <v>1.2303741369989546E-4</v>
      </c>
      <c r="N706" s="32">
        <f t="shared" si="256"/>
        <v>1.2303741369989546E-4</v>
      </c>
      <c r="O706" s="32">
        <f t="shared" si="256"/>
        <v>1.2303741369989546E-4</v>
      </c>
      <c r="P706" s="32">
        <f t="shared" si="256"/>
        <v>2.1129094044578228E-4</v>
      </c>
      <c r="Q706" s="32">
        <f t="shared" si="256"/>
        <v>2.1129094044578228E-4</v>
      </c>
      <c r="R706" s="32">
        <f t="shared" si="256"/>
        <v>2.1129094044578228E-4</v>
      </c>
      <c r="S706" s="32">
        <f t="shared" si="256"/>
        <v>2.1129094044578228E-4</v>
      </c>
      <c r="T706" s="32">
        <f t="shared" si="256"/>
        <v>2.1129094044578228E-4</v>
      </c>
      <c r="U706" s="32">
        <f t="shared" si="256"/>
        <v>2.1129094044578228E-4</v>
      </c>
      <c r="V706" s="32">
        <f t="shared" si="256"/>
        <v>1.8488785092200658E-4</v>
      </c>
      <c r="W706" s="32">
        <f t="shared" si="256"/>
        <v>1.8488785092200658E-4</v>
      </c>
      <c r="X706" s="32">
        <f t="shared" si="256"/>
        <v>1.8488785092200658E-4</v>
      </c>
      <c r="Y706" s="27">
        <f t="shared" si="245"/>
        <v>2.7393635457286722E-3</v>
      </c>
      <c r="Z706" s="10"/>
    </row>
    <row r="707" spans="1:26" outlineLevel="1" x14ac:dyDescent="0.3">
      <c r="A707" t="s">
        <v>171</v>
      </c>
      <c r="B707" t="s">
        <v>75</v>
      </c>
      <c r="C707" s="6" t="s">
        <v>151</v>
      </c>
      <c r="D707" s="10">
        <v>0</v>
      </c>
      <c r="E707" s="32">
        <f t="shared" ref="E707:X707" si="257">_xlfn.MAXIFS(F$403:F$594,$A$403:$A$594,"Winter",$B$403:$B$594,$B707)</f>
        <v>1.3449521824326205E-4</v>
      </c>
      <c r="F707" s="32">
        <f t="shared" si="257"/>
        <v>0</v>
      </c>
      <c r="G707" s="32">
        <f t="shared" si="257"/>
        <v>1.309913475148382E-4</v>
      </c>
      <c r="H707" s="32">
        <f t="shared" si="257"/>
        <v>1.309913475148382E-4</v>
      </c>
      <c r="I707" s="32">
        <f t="shared" si="257"/>
        <v>1.309913475148382E-4</v>
      </c>
      <c r="J707" s="10">
        <v>0</v>
      </c>
      <c r="K707" s="32">
        <f t="shared" si="257"/>
        <v>9.176121205026956E-5</v>
      </c>
      <c r="L707" s="32">
        <f t="shared" si="257"/>
        <v>0</v>
      </c>
      <c r="M707" s="32">
        <f t="shared" si="257"/>
        <v>1.309913475148382E-4</v>
      </c>
      <c r="N707" s="32">
        <f t="shared" si="257"/>
        <v>1.309913475148382E-4</v>
      </c>
      <c r="O707" s="32">
        <f t="shared" si="257"/>
        <v>1.309913475148382E-4</v>
      </c>
      <c r="P707" s="32">
        <f t="shared" si="257"/>
        <v>2.121238876485909E-4</v>
      </c>
      <c r="Q707" s="32">
        <f t="shared" si="257"/>
        <v>2.121238876485909E-4</v>
      </c>
      <c r="R707" s="32">
        <f t="shared" si="257"/>
        <v>2.121238876485909E-4</v>
      </c>
      <c r="S707" s="32">
        <f t="shared" si="257"/>
        <v>2.121238876485909E-4</v>
      </c>
      <c r="T707" s="32">
        <f t="shared" si="257"/>
        <v>2.121238876485909E-4</v>
      </c>
      <c r="U707" s="32">
        <f t="shared" si="257"/>
        <v>2.121238876485909E-4</v>
      </c>
      <c r="V707" s="32">
        <f t="shared" si="257"/>
        <v>1.8488785092200658E-4</v>
      </c>
      <c r="W707" s="32">
        <f t="shared" si="257"/>
        <v>1.8488785092200658E-4</v>
      </c>
      <c r="X707" s="32">
        <f t="shared" si="257"/>
        <v>1.8488785092200658E-4</v>
      </c>
      <c r="Y707" s="27">
        <f t="shared" si="245"/>
        <v>2.8396113940401257E-3</v>
      </c>
      <c r="Z707" s="10"/>
    </row>
    <row r="708" spans="1:26" outlineLevel="1" x14ac:dyDescent="0.3">
      <c r="A708" t="s">
        <v>171</v>
      </c>
      <c r="B708" t="s">
        <v>76</v>
      </c>
      <c r="C708" s="6" t="s">
        <v>152</v>
      </c>
      <c r="D708" s="10">
        <v>0</v>
      </c>
      <c r="E708" s="32">
        <f t="shared" ref="E708:X708" si="258">_xlfn.MAXIFS(F$403:F$594,$A$403:$A$594,"Winter",$B$403:$B$594,$B708)</f>
        <v>1.7189059987176433E-4</v>
      </c>
      <c r="F708" s="32">
        <f t="shared" si="258"/>
        <v>0</v>
      </c>
      <c r="G708" s="32">
        <f t="shared" si="258"/>
        <v>1.3496831442230954E-4</v>
      </c>
      <c r="H708" s="32">
        <f t="shared" si="258"/>
        <v>1.3496831442230954E-4</v>
      </c>
      <c r="I708" s="32">
        <f t="shared" si="258"/>
        <v>1.3496831442230954E-4</v>
      </c>
      <c r="J708" s="10">
        <v>0</v>
      </c>
      <c r="K708" s="32">
        <f t="shared" si="258"/>
        <v>9.9839193416404506E-5</v>
      </c>
      <c r="L708" s="32">
        <f t="shared" si="258"/>
        <v>0</v>
      </c>
      <c r="M708" s="32">
        <f t="shared" si="258"/>
        <v>1.3496831442230954E-4</v>
      </c>
      <c r="N708" s="32">
        <f t="shared" si="258"/>
        <v>1.3496831442230954E-4</v>
      </c>
      <c r="O708" s="32">
        <f t="shared" si="258"/>
        <v>1.3496831442230954E-4</v>
      </c>
      <c r="P708" s="32">
        <f t="shared" si="258"/>
        <v>2.0490501189091633E-4</v>
      </c>
      <c r="Q708" s="32">
        <f t="shared" si="258"/>
        <v>2.0490501189091633E-4</v>
      </c>
      <c r="R708" s="32">
        <f t="shared" si="258"/>
        <v>2.0490501189091633E-4</v>
      </c>
      <c r="S708" s="32">
        <f t="shared" si="258"/>
        <v>2.0490501189091633E-4</v>
      </c>
      <c r="T708" s="32">
        <f t="shared" si="258"/>
        <v>2.0490501189091633E-4</v>
      </c>
      <c r="U708" s="32">
        <f t="shared" si="258"/>
        <v>2.0490501189091633E-4</v>
      </c>
      <c r="V708" s="32">
        <f t="shared" si="258"/>
        <v>1.8461754704638959E-4</v>
      </c>
      <c r="W708" s="32">
        <f t="shared" si="258"/>
        <v>1.8461754704638959E-4</v>
      </c>
      <c r="X708" s="32">
        <f t="shared" si="258"/>
        <v>1.8461754704638959E-4</v>
      </c>
      <c r="Y708" s="27">
        <f t="shared" si="245"/>
        <v>2.8648223923066927E-3</v>
      </c>
      <c r="Z708" s="10"/>
    </row>
    <row r="709" spans="1:26" outlineLevel="1" x14ac:dyDescent="0.3">
      <c r="A709" t="s">
        <v>171</v>
      </c>
      <c r="B709" t="s">
        <v>77</v>
      </c>
      <c r="C709" s="6" t="s">
        <v>153</v>
      </c>
      <c r="D709" s="10">
        <v>0</v>
      </c>
      <c r="E709" s="32">
        <f t="shared" ref="E709:X709" si="259">_xlfn.MAXIFS(F$403:F$594,$A$403:$A$594,"Winter",$B$403:$B$594,$B709)</f>
        <v>1.9401966589593036E-4</v>
      </c>
      <c r="F709" s="32">
        <f t="shared" si="259"/>
        <v>0</v>
      </c>
      <c r="G709" s="32">
        <f t="shared" si="259"/>
        <v>1.3496831442230954E-4</v>
      </c>
      <c r="H709" s="32">
        <f t="shared" si="259"/>
        <v>1.3496831442230954E-4</v>
      </c>
      <c r="I709" s="32">
        <f t="shared" si="259"/>
        <v>1.3496831442230954E-4</v>
      </c>
      <c r="J709" s="10">
        <v>0</v>
      </c>
      <c r="K709" s="32">
        <f t="shared" si="259"/>
        <v>1.0481177016337385E-4</v>
      </c>
      <c r="L709" s="32">
        <f t="shared" si="259"/>
        <v>0</v>
      </c>
      <c r="M709" s="32">
        <f t="shared" si="259"/>
        <v>1.3496831442230954E-4</v>
      </c>
      <c r="N709" s="32">
        <f t="shared" si="259"/>
        <v>1.3496831442230954E-4</v>
      </c>
      <c r="O709" s="32">
        <f t="shared" si="259"/>
        <v>1.3496831442230954E-4</v>
      </c>
      <c r="P709" s="32">
        <f t="shared" si="259"/>
        <v>1.9018961130796432E-4</v>
      </c>
      <c r="Q709" s="32">
        <f t="shared" si="259"/>
        <v>1.9018961130796432E-4</v>
      </c>
      <c r="R709" s="32">
        <f t="shared" si="259"/>
        <v>1.9018961130796432E-4</v>
      </c>
      <c r="S709" s="32">
        <f t="shared" si="259"/>
        <v>1.9018961130796432E-4</v>
      </c>
      <c r="T709" s="32">
        <f t="shared" si="259"/>
        <v>1.9018961130796432E-4</v>
      </c>
      <c r="U709" s="32">
        <f t="shared" si="259"/>
        <v>1.9018961130796432E-4</v>
      </c>
      <c r="V709" s="32">
        <f t="shared" si="259"/>
        <v>1.8488785092200658E-4</v>
      </c>
      <c r="W709" s="32">
        <f t="shared" si="259"/>
        <v>1.8488785092200658E-4</v>
      </c>
      <c r="X709" s="32">
        <f t="shared" si="259"/>
        <v>1.8488785092200658E-4</v>
      </c>
      <c r="Y709" s="27">
        <f t="shared" si="245"/>
        <v>2.8044425432069663E-3</v>
      </c>
      <c r="Z709" s="10"/>
    </row>
    <row r="710" spans="1:26" outlineLevel="1" x14ac:dyDescent="0.3">
      <c r="A710" t="s">
        <v>171</v>
      </c>
      <c r="B710" t="s">
        <v>78</v>
      </c>
      <c r="C710" s="6" t="s">
        <v>154</v>
      </c>
      <c r="D710" s="10">
        <v>0</v>
      </c>
      <c r="E710" s="32">
        <f t="shared" ref="E710:X710" si="260">_xlfn.MAXIFS(F$403:F$594,$A$403:$A$594,"Winter",$B$403:$B$594,$B710)</f>
        <v>2.0063319334510273E-4</v>
      </c>
      <c r="F710" s="32">
        <f t="shared" si="260"/>
        <v>0</v>
      </c>
      <c r="G710" s="32">
        <f t="shared" si="260"/>
        <v>1.3397407269544174E-4</v>
      </c>
      <c r="H710" s="32">
        <f t="shared" si="260"/>
        <v>1.3397407269544174E-4</v>
      </c>
      <c r="I710" s="32">
        <f t="shared" si="260"/>
        <v>1.3397407269544174E-4</v>
      </c>
      <c r="J710" s="10">
        <v>0</v>
      </c>
      <c r="K710" s="32">
        <f t="shared" si="260"/>
        <v>1.0651810436007764E-4</v>
      </c>
      <c r="L710" s="32">
        <f t="shared" si="260"/>
        <v>0</v>
      </c>
      <c r="M710" s="32">
        <f t="shared" si="260"/>
        <v>1.3397407269544174E-4</v>
      </c>
      <c r="N710" s="32">
        <f t="shared" si="260"/>
        <v>1.3397407269544174E-4</v>
      </c>
      <c r="O710" s="32">
        <f t="shared" si="260"/>
        <v>1.3397407269544174E-4</v>
      </c>
      <c r="P710" s="32">
        <f t="shared" si="260"/>
        <v>1.8991196224036147E-4</v>
      </c>
      <c r="Q710" s="32">
        <f t="shared" si="260"/>
        <v>1.8991196224036147E-4</v>
      </c>
      <c r="R710" s="32">
        <f t="shared" si="260"/>
        <v>1.8991196224036147E-4</v>
      </c>
      <c r="S710" s="32">
        <f t="shared" si="260"/>
        <v>1.8991196224036147E-4</v>
      </c>
      <c r="T710" s="32">
        <f t="shared" si="260"/>
        <v>1.8991196224036147E-4</v>
      </c>
      <c r="U710" s="32">
        <f t="shared" si="260"/>
        <v>1.8991196224036147E-4</v>
      </c>
      <c r="V710" s="32">
        <f t="shared" si="260"/>
        <v>1.8488785092200658E-4</v>
      </c>
      <c r="W710" s="32">
        <f t="shared" si="260"/>
        <v>1.8488785092200658E-4</v>
      </c>
      <c r="X710" s="32">
        <f t="shared" si="260"/>
        <v>1.8488785092200658E-4</v>
      </c>
      <c r="Y710" s="27">
        <f t="shared" si="245"/>
        <v>2.8051310600860184E-3</v>
      </c>
      <c r="Z710" s="10"/>
    </row>
    <row r="711" spans="1:26" outlineLevel="1" x14ac:dyDescent="0.3">
      <c r="A711" t="s">
        <v>171</v>
      </c>
      <c r="B711" t="s">
        <v>79</v>
      </c>
      <c r="C711" s="6" t="s">
        <v>155</v>
      </c>
      <c r="D711" s="10">
        <v>0</v>
      </c>
      <c r="E711" s="32">
        <f t="shared" ref="E711:X711" si="261">_xlfn.MAXIFS(F$403:F$594,$A$403:$A$594,"Winter",$B$403:$B$594,$B711)</f>
        <v>1.9299596795732655E-4</v>
      </c>
      <c r="F711" s="32">
        <f t="shared" si="261"/>
        <v>0</v>
      </c>
      <c r="G711" s="32">
        <f t="shared" si="261"/>
        <v>1.3397407269544174E-4</v>
      </c>
      <c r="H711" s="32">
        <f t="shared" si="261"/>
        <v>1.3397407269544174E-4</v>
      </c>
      <c r="I711" s="32">
        <f t="shared" si="261"/>
        <v>1.3397407269544174E-4</v>
      </c>
      <c r="J711" s="10">
        <v>0</v>
      </c>
      <c r="K711" s="32">
        <f t="shared" si="261"/>
        <v>1.0482437467464351E-4</v>
      </c>
      <c r="L711" s="32">
        <f t="shared" si="261"/>
        <v>0</v>
      </c>
      <c r="M711" s="32">
        <f t="shared" si="261"/>
        <v>1.3397407269544174E-4</v>
      </c>
      <c r="N711" s="32">
        <f t="shared" si="261"/>
        <v>1.3397407269544174E-4</v>
      </c>
      <c r="O711" s="32">
        <f t="shared" si="261"/>
        <v>1.3397407269544174E-4</v>
      </c>
      <c r="P711" s="32">
        <f t="shared" si="261"/>
        <v>2.0812574107510957E-4</v>
      </c>
      <c r="Q711" s="32">
        <f t="shared" si="261"/>
        <v>2.0812574107510957E-4</v>
      </c>
      <c r="R711" s="32">
        <f t="shared" si="261"/>
        <v>2.0812574107510957E-4</v>
      </c>
      <c r="S711" s="32">
        <f t="shared" si="261"/>
        <v>2.0812574107510957E-4</v>
      </c>
      <c r="T711" s="32">
        <f t="shared" si="261"/>
        <v>2.0812574107510957E-4</v>
      </c>
      <c r="U711" s="32">
        <f t="shared" si="261"/>
        <v>2.0812574107510957E-4</v>
      </c>
      <c r="V711" s="32">
        <f t="shared" si="261"/>
        <v>1.8596906642447445E-4</v>
      </c>
      <c r="W711" s="32">
        <f t="shared" si="261"/>
        <v>1.8596906642447445E-4</v>
      </c>
      <c r="X711" s="32">
        <f t="shared" si="261"/>
        <v>1.8596906642447445E-4</v>
      </c>
      <c r="Y711" s="27">
        <f t="shared" si="245"/>
        <v>2.9083264245287023E-3</v>
      </c>
      <c r="Z711" s="10"/>
    </row>
    <row r="712" spans="1:26" outlineLevel="1" x14ac:dyDescent="0.3">
      <c r="A712" t="s">
        <v>171</v>
      </c>
      <c r="B712" t="s">
        <v>80</v>
      </c>
      <c r="C712" s="6" t="s">
        <v>156</v>
      </c>
      <c r="D712" s="10">
        <v>0</v>
      </c>
      <c r="E712" s="32">
        <f t="shared" ref="E712:X712" si="262">_xlfn.MAXIFS(F$403:F$594,$A$403:$A$594,"Winter",$B$403:$B$594,$B712)</f>
        <v>1.7396440171455865E-4</v>
      </c>
      <c r="F712" s="32">
        <f t="shared" si="262"/>
        <v>0</v>
      </c>
      <c r="G712" s="32">
        <f t="shared" si="262"/>
        <v>1.8791168637802212E-4</v>
      </c>
      <c r="H712" s="32">
        <f t="shared" si="262"/>
        <v>1.8791168637802212E-4</v>
      </c>
      <c r="I712" s="32">
        <f t="shared" si="262"/>
        <v>1.8791168637802212E-4</v>
      </c>
      <c r="J712" s="10">
        <v>0</v>
      </c>
      <c r="K712" s="32">
        <f t="shared" si="262"/>
        <v>9.9238271218631783E-5</v>
      </c>
      <c r="L712" s="32">
        <f t="shared" si="262"/>
        <v>0</v>
      </c>
      <c r="M712" s="32">
        <f t="shared" si="262"/>
        <v>1.8791168637802212E-4</v>
      </c>
      <c r="N712" s="32">
        <f t="shared" si="262"/>
        <v>1.8791168637802212E-4</v>
      </c>
      <c r="O712" s="32">
        <f t="shared" si="262"/>
        <v>1.8791168637802212E-4</v>
      </c>
      <c r="P712" s="32">
        <f t="shared" si="262"/>
        <v>2.3189250126191504E-4</v>
      </c>
      <c r="Q712" s="32">
        <f t="shared" si="262"/>
        <v>2.3189250126191504E-4</v>
      </c>
      <c r="R712" s="32">
        <f t="shared" si="262"/>
        <v>2.3189250126191504E-4</v>
      </c>
      <c r="S712" s="32">
        <f t="shared" si="262"/>
        <v>2.3189250126191504E-4</v>
      </c>
      <c r="T712" s="32">
        <f t="shared" si="262"/>
        <v>2.3189250126191504E-4</v>
      </c>
      <c r="U712" s="32">
        <f t="shared" si="262"/>
        <v>2.3189250126191504E-4</v>
      </c>
      <c r="V712" s="32">
        <f t="shared" si="262"/>
        <v>1.8705028192694229E-4</v>
      </c>
      <c r="W712" s="32">
        <f t="shared" si="262"/>
        <v>1.8705028192694229E-4</v>
      </c>
      <c r="X712" s="32">
        <f t="shared" si="262"/>
        <v>1.8705028192694229E-4</v>
      </c>
      <c r="Y712" s="27">
        <f t="shared" si="245"/>
        <v>3.3531786445536397E-3</v>
      </c>
      <c r="Z712" s="10"/>
    </row>
    <row r="713" spans="1:26" outlineLevel="1" x14ac:dyDescent="0.3">
      <c r="A713" t="s">
        <v>171</v>
      </c>
      <c r="B713" t="s">
        <v>81</v>
      </c>
      <c r="C713" s="6" t="s">
        <v>157</v>
      </c>
      <c r="D713" s="10">
        <v>0</v>
      </c>
      <c r="E713" s="32">
        <f t="shared" ref="E713:X713" si="263">_xlfn.MAXIFS(F$403:F$594,$A$403:$A$594,"Winter",$B$403:$B$594,$B713)</f>
        <v>1.4753741471206706E-4</v>
      </c>
      <c r="F713" s="32">
        <f t="shared" si="263"/>
        <v>0</v>
      </c>
      <c r="G713" s="32">
        <f t="shared" si="263"/>
        <v>4.8171011666746952E-4</v>
      </c>
      <c r="H713" s="32">
        <f t="shared" si="263"/>
        <v>4.8171011666746952E-4</v>
      </c>
      <c r="I713" s="32">
        <f t="shared" si="263"/>
        <v>4.8171011666746952E-4</v>
      </c>
      <c r="J713" s="10">
        <v>0</v>
      </c>
      <c r="K713" s="32">
        <f t="shared" si="263"/>
        <v>9.0108134643242111E-5</v>
      </c>
      <c r="L713" s="32">
        <f t="shared" si="263"/>
        <v>0</v>
      </c>
      <c r="M713" s="32">
        <f t="shared" si="263"/>
        <v>4.8171011666746952E-4</v>
      </c>
      <c r="N713" s="32">
        <f t="shared" si="263"/>
        <v>4.8171011666746952E-4</v>
      </c>
      <c r="O713" s="32">
        <f t="shared" si="263"/>
        <v>4.8171011666746952E-4</v>
      </c>
      <c r="P713" s="32">
        <f t="shared" si="263"/>
        <v>2.3378051492161454E-4</v>
      </c>
      <c r="Q713" s="32">
        <f t="shared" si="263"/>
        <v>2.3378051492161454E-4</v>
      </c>
      <c r="R713" s="32">
        <f t="shared" si="263"/>
        <v>2.3378051492161454E-4</v>
      </c>
      <c r="S713" s="32">
        <f t="shared" si="263"/>
        <v>2.3378051492161454E-4</v>
      </c>
      <c r="T713" s="32">
        <f t="shared" si="263"/>
        <v>2.3378051492161454E-4</v>
      </c>
      <c r="U713" s="32">
        <f t="shared" si="263"/>
        <v>2.3378051492161454E-4</v>
      </c>
      <c r="V713" s="32">
        <f t="shared" si="263"/>
        <v>1.8759088967817625E-4</v>
      </c>
      <c r="W713" s="32">
        <f t="shared" si="263"/>
        <v>1.8759088967817625E-4</v>
      </c>
      <c r="X713" s="32">
        <f t="shared" si="263"/>
        <v>1.8759088967817625E-4</v>
      </c>
      <c r="Y713" s="27">
        <f t="shared" si="245"/>
        <v>5.0933620079243432E-3</v>
      </c>
      <c r="Z713" s="10"/>
    </row>
    <row r="714" spans="1:26" outlineLevel="1" x14ac:dyDescent="0.3">
      <c r="A714" t="s">
        <v>171</v>
      </c>
      <c r="B714" t="s">
        <v>82</v>
      </c>
      <c r="C714" s="6" t="s">
        <v>158</v>
      </c>
      <c r="D714" s="10">
        <v>0</v>
      </c>
      <c r="E714" s="32">
        <f t="shared" ref="E714:X714" si="264">_xlfn.MAXIFS(F$403:F$594,$A$403:$A$594,"Winter",$B$403:$B$594,$B714)</f>
        <v>1.1606955555176588E-4</v>
      </c>
      <c r="F714" s="32">
        <f t="shared" si="264"/>
        <v>0</v>
      </c>
      <c r="G714" s="32">
        <f t="shared" si="264"/>
        <v>5.0880320372461818E-4</v>
      </c>
      <c r="H714" s="32">
        <f t="shared" si="264"/>
        <v>5.0880320372461818E-4</v>
      </c>
      <c r="I714" s="32">
        <f t="shared" si="264"/>
        <v>5.0880320372461818E-4</v>
      </c>
      <c r="J714" s="10">
        <v>0</v>
      </c>
      <c r="K714" s="32">
        <f t="shared" si="264"/>
        <v>7.99125347268722E-5</v>
      </c>
      <c r="L714" s="32">
        <f t="shared" si="264"/>
        <v>0</v>
      </c>
      <c r="M714" s="32">
        <f t="shared" si="264"/>
        <v>5.0880320372461818E-4</v>
      </c>
      <c r="N714" s="32">
        <f t="shared" si="264"/>
        <v>5.0880320372461818E-4</v>
      </c>
      <c r="O714" s="32">
        <f t="shared" si="264"/>
        <v>5.0880320372461818E-4</v>
      </c>
      <c r="P714" s="32">
        <f t="shared" si="264"/>
        <v>2.2517339382592568E-4</v>
      </c>
      <c r="Q714" s="32">
        <f t="shared" si="264"/>
        <v>2.2517339382592568E-4</v>
      </c>
      <c r="R714" s="32">
        <f t="shared" si="264"/>
        <v>2.2517339382592568E-4</v>
      </c>
      <c r="S714" s="32">
        <f t="shared" si="264"/>
        <v>2.2517339382592568E-4</v>
      </c>
      <c r="T714" s="32">
        <f t="shared" si="264"/>
        <v>2.2517339382592568E-4</v>
      </c>
      <c r="U714" s="32">
        <f t="shared" si="264"/>
        <v>2.2517339382592568E-4</v>
      </c>
      <c r="V714" s="32">
        <f t="shared" si="264"/>
        <v>1.8705028192694229E-4</v>
      </c>
      <c r="W714" s="32">
        <f t="shared" si="264"/>
        <v>1.8705028192694229E-4</v>
      </c>
      <c r="X714" s="32">
        <f t="shared" si="264"/>
        <v>1.8705028192694229E-4</v>
      </c>
      <c r="Y714" s="27">
        <f t="shared" si="245"/>
        <v>5.160992521362727E-3</v>
      </c>
      <c r="Z714" s="10"/>
    </row>
    <row r="715" spans="1:26" outlineLevel="1" x14ac:dyDescent="0.3">
      <c r="A715" t="s">
        <v>171</v>
      </c>
      <c r="B715" t="s">
        <v>83</v>
      </c>
      <c r="C715" s="6" t="s">
        <v>159</v>
      </c>
      <c r="D715" s="10">
        <v>0</v>
      </c>
      <c r="E715" s="32">
        <f t="shared" ref="E715:X715" si="265">_xlfn.MAXIFS(F$403:F$594,$A$403:$A$594,"Winter",$B$403:$B$594,$B715)</f>
        <v>8.6791574457983884E-5</v>
      </c>
      <c r="F715" s="32">
        <f t="shared" si="265"/>
        <v>0</v>
      </c>
      <c r="G715" s="32">
        <f t="shared" si="265"/>
        <v>5.3291356560116333E-4</v>
      </c>
      <c r="H715" s="32">
        <f t="shared" si="265"/>
        <v>5.3291356560116333E-4</v>
      </c>
      <c r="I715" s="32">
        <f t="shared" si="265"/>
        <v>5.3291356560116333E-4</v>
      </c>
      <c r="J715" s="10">
        <v>0</v>
      </c>
      <c r="K715" s="32">
        <f t="shared" si="265"/>
        <v>7.0536573787563067E-5</v>
      </c>
      <c r="L715" s="32">
        <f t="shared" si="265"/>
        <v>0</v>
      </c>
      <c r="M715" s="32">
        <f t="shared" si="265"/>
        <v>5.3291356560116333E-4</v>
      </c>
      <c r="N715" s="32">
        <f t="shared" si="265"/>
        <v>5.3291356560116333E-4</v>
      </c>
      <c r="O715" s="32">
        <f t="shared" si="265"/>
        <v>5.3291356560116333E-4</v>
      </c>
      <c r="P715" s="32">
        <f t="shared" si="265"/>
        <v>2.2461809569071994E-4</v>
      </c>
      <c r="Q715" s="32">
        <f t="shared" si="265"/>
        <v>2.2461809569071994E-4</v>
      </c>
      <c r="R715" s="32">
        <f t="shared" si="265"/>
        <v>2.2461809569071994E-4</v>
      </c>
      <c r="S715" s="32">
        <f t="shared" si="265"/>
        <v>2.2461809569071994E-4</v>
      </c>
      <c r="T715" s="32">
        <f t="shared" si="265"/>
        <v>2.2461809569071994E-4</v>
      </c>
      <c r="U715" s="32">
        <f t="shared" si="265"/>
        <v>2.2461809569071994E-4</v>
      </c>
      <c r="V715" s="32">
        <f t="shared" si="265"/>
        <v>1.8650967417570838E-4</v>
      </c>
      <c r="W715" s="32">
        <f t="shared" si="265"/>
        <v>1.8650967417570838E-4</v>
      </c>
      <c r="X715" s="32">
        <f t="shared" si="265"/>
        <v>1.8650967417570838E-4</v>
      </c>
      <c r="Y715" s="27">
        <f t="shared" si="245"/>
        <v>5.2620471385239724E-3</v>
      </c>
      <c r="Z715" s="10"/>
    </row>
    <row r="716" spans="1:26" outlineLevel="1" x14ac:dyDescent="0.3">
      <c r="A716" t="s">
        <v>171</v>
      </c>
      <c r="B716" t="s">
        <v>84</v>
      </c>
      <c r="C716" s="6" t="s">
        <v>160</v>
      </c>
      <c r="D716" s="10">
        <v>0</v>
      </c>
      <c r="E716" s="32">
        <f t="shared" ref="E716:X716" si="266">_xlfn.MAXIFS(F$403:F$594,$A$403:$A$594,"Winter",$B$403:$B$594,$B716)</f>
        <v>6.1127676517822759E-5</v>
      </c>
      <c r="F716" s="32">
        <f t="shared" si="266"/>
        <v>0</v>
      </c>
      <c r="G716" s="32">
        <f t="shared" si="266"/>
        <v>5.2993084042055982E-4</v>
      </c>
      <c r="H716" s="32">
        <f t="shared" si="266"/>
        <v>5.2993084042055982E-4</v>
      </c>
      <c r="I716" s="32">
        <f t="shared" si="266"/>
        <v>5.2993084042055982E-4</v>
      </c>
      <c r="J716" s="10">
        <v>0</v>
      </c>
      <c r="K716" s="32">
        <f t="shared" si="266"/>
        <v>6.3140697862142526E-5</v>
      </c>
      <c r="L716" s="32">
        <f t="shared" si="266"/>
        <v>0</v>
      </c>
      <c r="M716" s="32">
        <f t="shared" si="266"/>
        <v>5.2993084042055982E-4</v>
      </c>
      <c r="N716" s="32">
        <f t="shared" si="266"/>
        <v>5.2993084042055982E-4</v>
      </c>
      <c r="O716" s="32">
        <f t="shared" si="266"/>
        <v>5.2993084042055982E-4</v>
      </c>
      <c r="P716" s="32">
        <f t="shared" si="266"/>
        <v>2.2350749942030845E-4</v>
      </c>
      <c r="Q716" s="32">
        <f t="shared" si="266"/>
        <v>2.2350749942030845E-4</v>
      </c>
      <c r="R716" s="32">
        <f t="shared" si="266"/>
        <v>2.2350749942030845E-4</v>
      </c>
      <c r="S716" s="32">
        <f t="shared" si="266"/>
        <v>2.2350749942030845E-4</v>
      </c>
      <c r="T716" s="32">
        <f t="shared" si="266"/>
        <v>2.2350749942030845E-4</v>
      </c>
      <c r="U716" s="32">
        <f t="shared" si="266"/>
        <v>2.2350749942030845E-4</v>
      </c>
      <c r="V716" s="32">
        <f t="shared" si="266"/>
        <v>1.8596906642447445E-4</v>
      </c>
      <c r="W716" s="32">
        <f t="shared" si="266"/>
        <v>1.8596906642447445E-4</v>
      </c>
      <c r="X716" s="32">
        <f t="shared" si="266"/>
        <v>1.8596906642447445E-4</v>
      </c>
      <c r="Y716" s="27">
        <f t="shared" si="245"/>
        <v>5.2028056126985998E-3</v>
      </c>
      <c r="Z716" s="10"/>
    </row>
    <row r="717" spans="1:26" outlineLevel="1" x14ac:dyDescent="0.3">
      <c r="A717" t="s">
        <v>171</v>
      </c>
      <c r="B717" t="s">
        <v>85</v>
      </c>
      <c r="C717" s="6" t="s">
        <v>161</v>
      </c>
      <c r="D717" s="10">
        <v>0</v>
      </c>
      <c r="E717" s="32">
        <f t="shared" ref="E717:X717" si="267">_xlfn.MAXIFS(F$403:F$594,$A$403:$A$594,"Winter",$B$403:$B$594,$B717)</f>
        <v>4.2170327041969011E-5</v>
      </c>
      <c r="F717" s="32">
        <f t="shared" si="267"/>
        <v>0</v>
      </c>
      <c r="G717" s="32">
        <f t="shared" si="267"/>
        <v>4.382120411170014E-4</v>
      </c>
      <c r="H717" s="32">
        <f t="shared" si="267"/>
        <v>4.382120411170014E-4</v>
      </c>
      <c r="I717" s="32">
        <f t="shared" si="267"/>
        <v>4.382120411170014E-4</v>
      </c>
      <c r="J717" s="10">
        <v>0</v>
      </c>
      <c r="K717" s="32">
        <f t="shared" si="267"/>
        <v>5.7538405069952445E-5</v>
      </c>
      <c r="L717" s="32">
        <f t="shared" si="267"/>
        <v>0</v>
      </c>
      <c r="M717" s="32">
        <f t="shared" si="267"/>
        <v>4.382120411170014E-4</v>
      </c>
      <c r="N717" s="32">
        <f t="shared" si="267"/>
        <v>4.382120411170014E-4</v>
      </c>
      <c r="O717" s="32">
        <f t="shared" si="267"/>
        <v>4.382120411170014E-4</v>
      </c>
      <c r="P717" s="32">
        <f t="shared" si="267"/>
        <v>2.2239690314989699E-4</v>
      </c>
      <c r="Q717" s="32">
        <f t="shared" si="267"/>
        <v>2.2239690314989699E-4</v>
      </c>
      <c r="R717" s="32">
        <f t="shared" si="267"/>
        <v>2.2239690314989699E-4</v>
      </c>
      <c r="S717" s="32">
        <f t="shared" si="267"/>
        <v>2.2239690314989699E-4</v>
      </c>
      <c r="T717" s="32">
        <f t="shared" si="267"/>
        <v>2.2239690314989699E-4</v>
      </c>
      <c r="U717" s="32">
        <f t="shared" si="267"/>
        <v>2.2239690314989699E-4</v>
      </c>
      <c r="V717" s="32">
        <f t="shared" si="267"/>
        <v>1.8488785092200658E-4</v>
      </c>
      <c r="W717" s="32">
        <f t="shared" si="267"/>
        <v>1.8488785092200658E-4</v>
      </c>
      <c r="X717" s="32">
        <f t="shared" si="267"/>
        <v>1.8488785092200658E-4</v>
      </c>
      <c r="Y717" s="27">
        <f t="shared" si="245"/>
        <v>4.6180259504793311E-3</v>
      </c>
      <c r="Z717" s="10"/>
    </row>
    <row r="718" spans="1:26" outlineLevel="1" x14ac:dyDescent="0.3">
      <c r="A718" t="s">
        <v>171</v>
      </c>
      <c r="B718" t="s">
        <v>86</v>
      </c>
      <c r="C718" s="6" t="s">
        <v>162</v>
      </c>
      <c r="D718" s="10">
        <v>0</v>
      </c>
      <c r="E718" s="32">
        <f t="shared" ref="E718:X718" si="268">_xlfn.MAXIFS(F$403:F$594,$A$403:$A$594,"Winter",$B$403:$B$594,$B718)</f>
        <v>2.8817377034968424E-5</v>
      </c>
      <c r="F718" s="32">
        <f t="shared" si="268"/>
        <v>0</v>
      </c>
      <c r="G718" s="32">
        <f t="shared" si="268"/>
        <v>2.8286177129390106E-4</v>
      </c>
      <c r="H718" s="32">
        <f t="shared" si="268"/>
        <v>2.8286177129390106E-4</v>
      </c>
      <c r="I718" s="32">
        <f t="shared" si="268"/>
        <v>2.8286177129390106E-4</v>
      </c>
      <c r="J718" s="10">
        <v>0</v>
      </c>
      <c r="K718" s="32">
        <f t="shared" si="268"/>
        <v>5.3025061984303718E-5</v>
      </c>
      <c r="L718" s="32">
        <f t="shared" si="268"/>
        <v>0</v>
      </c>
      <c r="M718" s="32">
        <f t="shared" si="268"/>
        <v>2.8286177129390106E-4</v>
      </c>
      <c r="N718" s="32">
        <f t="shared" si="268"/>
        <v>2.8286177129390106E-4</v>
      </c>
      <c r="O718" s="32">
        <f t="shared" si="268"/>
        <v>2.8286177129390106E-4</v>
      </c>
      <c r="P718" s="32">
        <f t="shared" si="268"/>
        <v>2.2211925408229414E-4</v>
      </c>
      <c r="Q718" s="32">
        <f t="shared" si="268"/>
        <v>2.2211925408229414E-4</v>
      </c>
      <c r="R718" s="32">
        <f t="shared" si="268"/>
        <v>2.2211925408229414E-4</v>
      </c>
      <c r="S718" s="32">
        <f t="shared" si="268"/>
        <v>2.2211925408229414E-4</v>
      </c>
      <c r="T718" s="32">
        <f t="shared" si="268"/>
        <v>2.2211925408229414E-4</v>
      </c>
      <c r="U718" s="32">
        <f t="shared" si="268"/>
        <v>2.2211925408229414E-4</v>
      </c>
      <c r="V718" s="32">
        <f t="shared" si="268"/>
        <v>1.8380663541953869E-4</v>
      </c>
      <c r="W718" s="32">
        <f t="shared" si="268"/>
        <v>1.8380663541953869E-4</v>
      </c>
      <c r="X718" s="32">
        <f t="shared" si="268"/>
        <v>1.8380663541953869E-4</v>
      </c>
      <c r="Y718" s="27">
        <f t="shared" si="245"/>
        <v>3.6631484975350585E-3</v>
      </c>
      <c r="Z718" s="10"/>
    </row>
    <row r="719" spans="1:26" outlineLevel="1" x14ac:dyDescent="0.3">
      <c r="A719" t="s">
        <v>171</v>
      </c>
      <c r="B719" t="s">
        <v>87</v>
      </c>
      <c r="C719" s="6" t="s">
        <v>163</v>
      </c>
      <c r="D719" s="10">
        <v>0</v>
      </c>
      <c r="E719" s="32">
        <f t="shared" ref="E719:X719" si="269">_xlfn.MAXIFS(F$403:F$594,$A$403:$A$594,"Winter",$B$403:$B$594,$B719)</f>
        <v>2.0102808255774028E-5</v>
      </c>
      <c r="F719" s="32">
        <f t="shared" si="269"/>
        <v>0</v>
      </c>
      <c r="G719" s="32">
        <f t="shared" si="269"/>
        <v>1.5833299500370385E-4</v>
      </c>
      <c r="H719" s="32">
        <f t="shared" si="269"/>
        <v>1.5833299500370385E-4</v>
      </c>
      <c r="I719" s="32">
        <f t="shared" si="269"/>
        <v>1.5833299500370385E-4</v>
      </c>
      <c r="J719" s="10">
        <v>0</v>
      </c>
      <c r="K719" s="32">
        <f t="shared" si="269"/>
        <v>4.8904672726172279E-5</v>
      </c>
      <c r="L719" s="32">
        <f t="shared" si="269"/>
        <v>0</v>
      </c>
      <c r="M719" s="32">
        <f t="shared" si="269"/>
        <v>1.5833299500370385E-4</v>
      </c>
      <c r="N719" s="32">
        <f t="shared" si="269"/>
        <v>1.5833299500370385E-4</v>
      </c>
      <c r="O719" s="32">
        <f t="shared" si="269"/>
        <v>1.5833299500370385E-4</v>
      </c>
      <c r="P719" s="32">
        <f t="shared" si="269"/>
        <v>1.4937519837034282E-4</v>
      </c>
      <c r="Q719" s="32">
        <f t="shared" si="269"/>
        <v>1.4937519837034282E-4</v>
      </c>
      <c r="R719" s="32">
        <f t="shared" si="269"/>
        <v>1.4937519837034282E-4</v>
      </c>
      <c r="S719" s="32">
        <f t="shared" si="269"/>
        <v>1.4937519837034282E-4</v>
      </c>
      <c r="T719" s="32">
        <f t="shared" si="269"/>
        <v>1.4937519837034282E-4</v>
      </c>
      <c r="U719" s="32">
        <f t="shared" si="269"/>
        <v>1.4937519837034282E-4</v>
      </c>
      <c r="V719" s="32">
        <f t="shared" si="269"/>
        <v>1.8353633154392172E-4</v>
      </c>
      <c r="W719" s="32">
        <f t="shared" si="269"/>
        <v>1.8353633154392172E-4</v>
      </c>
      <c r="X719" s="32">
        <f t="shared" si="269"/>
        <v>1.8353633154392172E-4</v>
      </c>
      <c r="Y719" s="27">
        <f t="shared" si="245"/>
        <v>2.4658656358579924E-3</v>
      </c>
      <c r="Z719" s="10"/>
    </row>
    <row r="720" spans="1:26" outlineLevel="1" x14ac:dyDescent="0.3">
      <c r="A720" t="s">
        <v>172</v>
      </c>
      <c r="B720" t="s">
        <v>64</v>
      </c>
      <c r="C720" s="6" t="s">
        <v>140</v>
      </c>
      <c r="D720" s="10">
        <v>0</v>
      </c>
      <c r="E720" s="37">
        <f t="shared" ref="E720:X720" si="270">_xlfn.MAXIFS(F$403:F$594,$A$403:$A$594,"Summer",$B$403:$B$594,$B720)</f>
        <v>9.8989754885933545E-5</v>
      </c>
      <c r="F720" s="37">
        <f t="shared" si="270"/>
        <v>0</v>
      </c>
      <c r="G720" s="37">
        <f t="shared" si="270"/>
        <v>7.247935381837535E-5</v>
      </c>
      <c r="H720" s="37">
        <f t="shared" si="270"/>
        <v>7.247935381837535E-5</v>
      </c>
      <c r="I720" s="37">
        <f t="shared" si="270"/>
        <v>7.247935381837535E-5</v>
      </c>
      <c r="J720" s="10">
        <v>0</v>
      </c>
      <c r="K720" s="37">
        <f t="shared" si="270"/>
        <v>1.1854028979357077E-4</v>
      </c>
      <c r="L720" s="37">
        <f t="shared" si="270"/>
        <v>0</v>
      </c>
      <c r="M720" s="37">
        <f t="shared" si="270"/>
        <v>7.247935381837535E-5</v>
      </c>
      <c r="N720" s="37">
        <f t="shared" si="270"/>
        <v>7.247935381837535E-5</v>
      </c>
      <c r="O720" s="37">
        <f t="shared" si="270"/>
        <v>7.247935381837535E-5</v>
      </c>
      <c r="P720" s="37">
        <f t="shared" si="270"/>
        <v>6.6219302623283919E-5</v>
      </c>
      <c r="Q720" s="37">
        <f t="shared" si="270"/>
        <v>6.6219302623283919E-5</v>
      </c>
      <c r="R720" s="37">
        <f t="shared" si="270"/>
        <v>6.6219302623283919E-5</v>
      </c>
      <c r="S720" s="37">
        <f t="shared" si="270"/>
        <v>6.6219302623283919E-5</v>
      </c>
      <c r="T720" s="37">
        <f t="shared" si="270"/>
        <v>6.6219302623283919E-5</v>
      </c>
      <c r="U720" s="37">
        <f t="shared" si="270"/>
        <v>6.6219302623283919E-5</v>
      </c>
      <c r="V720" s="37">
        <f t="shared" si="270"/>
        <v>1.3300713531717574E-4</v>
      </c>
      <c r="W720" s="37">
        <f t="shared" si="270"/>
        <v>1.3300713531717574E-4</v>
      </c>
      <c r="X720" s="37">
        <f t="shared" si="270"/>
        <v>1.3300713531717574E-4</v>
      </c>
      <c r="Y720" s="27">
        <f t="shared" si="245"/>
        <v>1.4487433892809872E-3</v>
      </c>
      <c r="Z720" s="10"/>
    </row>
    <row r="721" spans="1:26" outlineLevel="1" x14ac:dyDescent="0.3">
      <c r="A721" t="s">
        <v>172</v>
      </c>
      <c r="B721" t="s">
        <v>65</v>
      </c>
      <c r="C721" s="6" t="s">
        <v>141</v>
      </c>
      <c r="D721" s="10">
        <v>0</v>
      </c>
      <c r="E721" s="37">
        <f t="shared" ref="E721:X721" si="271">_xlfn.MAXIFS(F$403:F$594,$A$403:$A$594,"Summer",$B$403:$B$594,$B721)</f>
        <v>8.8890663535362381E-5</v>
      </c>
      <c r="F721" s="37">
        <f t="shared" si="271"/>
        <v>0</v>
      </c>
      <c r="G721" s="37">
        <f t="shared" si="271"/>
        <v>6.2557349304977295E-5</v>
      </c>
      <c r="H721" s="37">
        <f t="shared" si="271"/>
        <v>6.2557349304977295E-5</v>
      </c>
      <c r="I721" s="37">
        <f t="shared" si="271"/>
        <v>6.2557349304977295E-5</v>
      </c>
      <c r="J721" s="10">
        <v>0</v>
      </c>
      <c r="K721" s="37">
        <f t="shared" si="271"/>
        <v>1.1325999935613096E-4</v>
      </c>
      <c r="L721" s="37">
        <f t="shared" si="271"/>
        <v>0</v>
      </c>
      <c r="M721" s="37">
        <f t="shared" si="271"/>
        <v>6.2557349304977295E-5</v>
      </c>
      <c r="N721" s="37">
        <f t="shared" si="271"/>
        <v>6.2557349304977295E-5</v>
      </c>
      <c r="O721" s="37">
        <f t="shared" si="271"/>
        <v>6.2557349304977295E-5</v>
      </c>
      <c r="P721" s="37">
        <f t="shared" si="271"/>
        <v>6.5730398830331048E-5</v>
      </c>
      <c r="Q721" s="37">
        <f t="shared" si="271"/>
        <v>6.5730398830331048E-5</v>
      </c>
      <c r="R721" s="37">
        <f t="shared" si="271"/>
        <v>6.5730398830331048E-5</v>
      </c>
      <c r="S721" s="37">
        <f t="shared" si="271"/>
        <v>6.5730398830331048E-5</v>
      </c>
      <c r="T721" s="37">
        <f t="shared" si="271"/>
        <v>6.5730398830331048E-5</v>
      </c>
      <c r="U721" s="37">
        <f t="shared" si="271"/>
        <v>6.5730398830331048E-5</v>
      </c>
      <c r="V721" s="37">
        <f t="shared" si="271"/>
        <v>1.3300713531717574E-4</v>
      </c>
      <c r="W721" s="37">
        <f t="shared" si="271"/>
        <v>1.3300713531717574E-4</v>
      </c>
      <c r="X721" s="37">
        <f t="shared" si="271"/>
        <v>1.3300713531717574E-4</v>
      </c>
      <c r="Y721" s="27">
        <f t="shared" si="245"/>
        <v>1.3708985576548704E-3</v>
      </c>
      <c r="Z721" s="10"/>
    </row>
    <row r="722" spans="1:26" outlineLevel="1" x14ac:dyDescent="0.3">
      <c r="A722" t="s">
        <v>172</v>
      </c>
      <c r="B722" t="s">
        <v>66</v>
      </c>
      <c r="C722" s="6" t="s">
        <v>142</v>
      </c>
      <c r="D722" s="10">
        <v>0</v>
      </c>
      <c r="E722" s="37">
        <f t="shared" ref="E722:X722" si="272">_xlfn.MAXIFS(F$403:F$594,$A$403:$A$594,"Summer",$B$403:$B$594,$B722)</f>
        <v>8.6169521606118223E-5</v>
      </c>
      <c r="F722" s="37">
        <f t="shared" si="272"/>
        <v>0</v>
      </c>
      <c r="G722" s="37">
        <f t="shared" si="272"/>
        <v>6.0419156011997807E-5</v>
      </c>
      <c r="H722" s="37">
        <f t="shared" si="272"/>
        <v>6.0419156011997807E-5</v>
      </c>
      <c r="I722" s="37">
        <f t="shared" si="272"/>
        <v>6.0419156011997807E-5</v>
      </c>
      <c r="J722" s="10">
        <v>0</v>
      </c>
      <c r="K722" s="37">
        <f t="shared" si="272"/>
        <v>1.1134719936696307E-4</v>
      </c>
      <c r="L722" s="37">
        <f t="shared" si="272"/>
        <v>0</v>
      </c>
      <c r="M722" s="37">
        <f t="shared" si="272"/>
        <v>6.0419156011997807E-5</v>
      </c>
      <c r="N722" s="37">
        <f t="shared" si="272"/>
        <v>6.0419156011997807E-5</v>
      </c>
      <c r="O722" s="37">
        <f t="shared" si="272"/>
        <v>6.0419156011997807E-5</v>
      </c>
      <c r="P722" s="37">
        <f t="shared" si="272"/>
        <v>6.5567430899346753E-5</v>
      </c>
      <c r="Q722" s="37">
        <f t="shared" si="272"/>
        <v>6.5567430899346753E-5</v>
      </c>
      <c r="R722" s="37">
        <f t="shared" si="272"/>
        <v>6.5567430899346753E-5</v>
      </c>
      <c r="S722" s="37">
        <f t="shared" si="272"/>
        <v>6.5567430899346753E-5</v>
      </c>
      <c r="T722" s="37">
        <f t="shared" si="272"/>
        <v>6.5567430899346753E-5</v>
      </c>
      <c r="U722" s="37">
        <f t="shared" si="272"/>
        <v>6.5567430899346753E-5</v>
      </c>
      <c r="V722" s="37">
        <f t="shared" si="272"/>
        <v>1.3300713531717574E-4</v>
      </c>
      <c r="W722" s="37">
        <f t="shared" si="272"/>
        <v>1.3300713531717574E-4</v>
      </c>
      <c r="X722" s="37">
        <f t="shared" si="272"/>
        <v>1.3300713531717574E-4</v>
      </c>
      <c r="Y722" s="27">
        <f t="shared" si="245"/>
        <v>1.3524576483926762E-3</v>
      </c>
      <c r="Z722" s="10"/>
    </row>
    <row r="723" spans="1:26" outlineLevel="1" x14ac:dyDescent="0.3">
      <c r="A723" t="s">
        <v>172</v>
      </c>
      <c r="B723" t="s">
        <v>67</v>
      </c>
      <c r="C723" s="6" t="s">
        <v>143</v>
      </c>
      <c r="D723" s="10">
        <v>0</v>
      </c>
      <c r="E723" s="37">
        <f t="shared" ref="E723:X723" si="273">_xlfn.MAXIFS(F$403:F$594,$A$403:$A$594,"Summer",$B$403:$B$594,$B723)</f>
        <v>9.0242093847988823E-5</v>
      </c>
      <c r="F723" s="37">
        <f t="shared" si="273"/>
        <v>0</v>
      </c>
      <c r="G723" s="37">
        <f t="shared" si="273"/>
        <v>6.0368153842978933E-5</v>
      </c>
      <c r="H723" s="37">
        <f t="shared" si="273"/>
        <v>6.0368153842978933E-5</v>
      </c>
      <c r="I723" s="37">
        <f t="shared" si="273"/>
        <v>6.0368153842978933E-5</v>
      </c>
      <c r="J723" s="10">
        <v>0</v>
      </c>
      <c r="K723" s="37">
        <f t="shared" si="273"/>
        <v>1.1201987028062053E-4</v>
      </c>
      <c r="L723" s="37">
        <f t="shared" si="273"/>
        <v>0</v>
      </c>
      <c r="M723" s="37">
        <f t="shared" si="273"/>
        <v>6.0368153842978933E-5</v>
      </c>
      <c r="N723" s="37">
        <f t="shared" si="273"/>
        <v>6.0368153842978933E-5</v>
      </c>
      <c r="O723" s="37">
        <f t="shared" si="273"/>
        <v>6.0368153842978933E-5</v>
      </c>
      <c r="P723" s="37">
        <f t="shared" si="273"/>
        <v>6.5567430899346753E-5</v>
      </c>
      <c r="Q723" s="37">
        <f t="shared" si="273"/>
        <v>6.5567430899346753E-5</v>
      </c>
      <c r="R723" s="37">
        <f t="shared" si="273"/>
        <v>6.5567430899346753E-5</v>
      </c>
      <c r="S723" s="37">
        <f t="shared" si="273"/>
        <v>6.5567430899346753E-5</v>
      </c>
      <c r="T723" s="37">
        <f t="shared" si="273"/>
        <v>6.5567430899346753E-5</v>
      </c>
      <c r="U723" s="37">
        <f t="shared" si="273"/>
        <v>6.5567430899346753E-5</v>
      </c>
      <c r="V723" s="37">
        <f t="shared" si="273"/>
        <v>1.3327156302158367E-4</v>
      </c>
      <c r="W723" s="37">
        <f t="shared" si="273"/>
        <v>1.3327156302158367E-4</v>
      </c>
      <c r="X723" s="37">
        <f t="shared" si="273"/>
        <v>1.3327156302158367E-4</v>
      </c>
      <c r="Y723" s="27">
        <f t="shared" si="245"/>
        <v>1.3576901616473146E-3</v>
      </c>
      <c r="Z723" s="10"/>
    </row>
    <row r="724" spans="1:26" outlineLevel="1" x14ac:dyDescent="0.3">
      <c r="A724" t="s">
        <v>172</v>
      </c>
      <c r="B724" t="s">
        <v>68</v>
      </c>
      <c r="C724" s="6" t="s">
        <v>144</v>
      </c>
      <c r="D724" s="10">
        <v>0</v>
      </c>
      <c r="E724" s="37">
        <f t="shared" ref="E724:X724" si="274">_xlfn.MAXIFS(F$403:F$594,$A$403:$A$594,"Summer",$B$403:$B$594,$B724)</f>
        <v>1.0170553147261467E-4</v>
      </c>
      <c r="F724" s="37">
        <f t="shared" si="274"/>
        <v>0</v>
      </c>
      <c r="G724" s="37">
        <f t="shared" si="274"/>
        <v>6.354327776610173E-5</v>
      </c>
      <c r="H724" s="37">
        <f t="shared" si="274"/>
        <v>6.354327776610173E-5</v>
      </c>
      <c r="I724" s="37">
        <f t="shared" si="274"/>
        <v>6.354327776610173E-5</v>
      </c>
      <c r="J724" s="10">
        <v>0</v>
      </c>
      <c r="K724" s="37">
        <f t="shared" si="274"/>
        <v>1.1530373525310538E-4</v>
      </c>
      <c r="L724" s="37">
        <f t="shared" si="274"/>
        <v>0</v>
      </c>
      <c r="M724" s="37">
        <f t="shared" si="274"/>
        <v>6.354327776610173E-5</v>
      </c>
      <c r="N724" s="37">
        <f t="shared" si="274"/>
        <v>6.354327776610173E-5</v>
      </c>
      <c r="O724" s="37">
        <f t="shared" si="274"/>
        <v>6.354327776610173E-5</v>
      </c>
      <c r="P724" s="37">
        <f t="shared" si="274"/>
        <v>6.5513108255685321E-5</v>
      </c>
      <c r="Q724" s="37">
        <f t="shared" si="274"/>
        <v>6.5513108255685321E-5</v>
      </c>
      <c r="R724" s="37">
        <f t="shared" si="274"/>
        <v>6.5513108255685321E-5</v>
      </c>
      <c r="S724" s="37">
        <f t="shared" si="274"/>
        <v>6.5513108255685321E-5</v>
      </c>
      <c r="T724" s="37">
        <f t="shared" si="274"/>
        <v>6.5513108255685321E-5</v>
      </c>
      <c r="U724" s="37">
        <f t="shared" si="274"/>
        <v>6.5513108255685321E-5</v>
      </c>
      <c r="V724" s="37">
        <f t="shared" si="274"/>
        <v>1.3380041843039946E-4</v>
      </c>
      <c r="W724" s="37">
        <f t="shared" si="274"/>
        <v>1.3380041843039946E-4</v>
      </c>
      <c r="X724" s="37">
        <f t="shared" si="274"/>
        <v>1.3380041843039946E-4</v>
      </c>
      <c r="Y724" s="27">
        <f t="shared" si="245"/>
        <v>1.3927488381476406E-3</v>
      </c>
      <c r="Z724" s="10"/>
    </row>
    <row r="725" spans="1:26" outlineLevel="1" x14ac:dyDescent="0.3">
      <c r="A725" t="s">
        <v>172</v>
      </c>
      <c r="B725" t="s">
        <v>69</v>
      </c>
      <c r="C725" s="6" t="s">
        <v>145</v>
      </c>
      <c r="D725" s="10">
        <v>0</v>
      </c>
      <c r="E725" s="37">
        <f t="shared" ref="E725:X725" si="275">_xlfn.MAXIFS(F$403:F$594,$A$403:$A$594,"Summer",$B$403:$B$594,$B725)</f>
        <v>1.2050993190175021E-4</v>
      </c>
      <c r="F725" s="37">
        <f t="shared" si="275"/>
        <v>0</v>
      </c>
      <c r="G725" s="37">
        <f t="shared" si="275"/>
        <v>1.013478142887676E-4</v>
      </c>
      <c r="H725" s="37">
        <f t="shared" si="275"/>
        <v>1.013478142887676E-4</v>
      </c>
      <c r="I725" s="37">
        <f t="shared" si="275"/>
        <v>1.013478142887676E-4</v>
      </c>
      <c r="J725" s="10">
        <v>0</v>
      </c>
      <c r="K725" s="37">
        <f t="shared" si="275"/>
        <v>1.2228251945083874E-4</v>
      </c>
      <c r="L725" s="37">
        <f t="shared" si="275"/>
        <v>0</v>
      </c>
      <c r="M725" s="37">
        <f t="shared" si="275"/>
        <v>1.013478142887676E-4</v>
      </c>
      <c r="N725" s="37">
        <f t="shared" si="275"/>
        <v>1.013478142887676E-4</v>
      </c>
      <c r="O725" s="37">
        <f t="shared" si="275"/>
        <v>1.013478142887676E-4</v>
      </c>
      <c r="P725" s="37">
        <f t="shared" si="275"/>
        <v>6.5567430899346753E-5</v>
      </c>
      <c r="Q725" s="37">
        <f t="shared" si="275"/>
        <v>6.5567430899346753E-5</v>
      </c>
      <c r="R725" s="37">
        <f t="shared" si="275"/>
        <v>6.5567430899346753E-5</v>
      </c>
      <c r="S725" s="37">
        <f t="shared" si="275"/>
        <v>6.5567430899346753E-5</v>
      </c>
      <c r="T725" s="37">
        <f t="shared" si="275"/>
        <v>6.5567430899346753E-5</v>
      </c>
      <c r="U725" s="37">
        <f t="shared" si="275"/>
        <v>6.5567430899346753E-5</v>
      </c>
      <c r="V725" s="37">
        <f t="shared" si="275"/>
        <v>1.3459370154362318E-4</v>
      </c>
      <c r="W725" s="37">
        <f t="shared" si="275"/>
        <v>1.3459370154362318E-4</v>
      </c>
      <c r="X725" s="37">
        <f t="shared" si="275"/>
        <v>1.3459370154362318E-4</v>
      </c>
      <c r="Y725" s="27">
        <f t="shared" si="245"/>
        <v>1.6480650271121446E-3</v>
      </c>
      <c r="Z725" s="10"/>
    </row>
    <row r="726" spans="1:26" outlineLevel="1" x14ac:dyDescent="0.3">
      <c r="A726" t="s">
        <v>172</v>
      </c>
      <c r="B726" t="s">
        <v>70</v>
      </c>
      <c r="C726" s="6" t="s">
        <v>146</v>
      </c>
      <c r="D726" s="10">
        <v>0</v>
      </c>
      <c r="E726" s="37">
        <f t="shared" ref="E726:X726" si="276">_xlfn.MAXIFS(F$403:F$594,$A$403:$A$594,"Summer",$B$403:$B$594,$B726)</f>
        <v>1.4662766932900715E-4</v>
      </c>
      <c r="F726" s="37">
        <f t="shared" si="276"/>
        <v>0</v>
      </c>
      <c r="G726" s="37">
        <f t="shared" si="276"/>
        <v>6.9153834893775215E-5</v>
      </c>
      <c r="H726" s="37">
        <f t="shared" si="276"/>
        <v>6.9153834893775215E-5</v>
      </c>
      <c r="I726" s="37">
        <f t="shared" si="276"/>
        <v>6.9153834893775215E-5</v>
      </c>
      <c r="J726" s="10">
        <v>0</v>
      </c>
      <c r="K726" s="37">
        <f t="shared" si="276"/>
        <v>1.3507873630691573E-4</v>
      </c>
      <c r="L726" s="37">
        <f t="shared" si="276"/>
        <v>0</v>
      </c>
      <c r="M726" s="37">
        <f t="shared" si="276"/>
        <v>6.9153834893775215E-5</v>
      </c>
      <c r="N726" s="37">
        <f t="shared" si="276"/>
        <v>6.9153834893775215E-5</v>
      </c>
      <c r="O726" s="37">
        <f t="shared" si="276"/>
        <v>6.9153834893775215E-5</v>
      </c>
      <c r="P726" s="37">
        <f t="shared" si="276"/>
        <v>8.0153060722440873E-5</v>
      </c>
      <c r="Q726" s="37">
        <f t="shared" si="276"/>
        <v>8.0153060722440873E-5</v>
      </c>
      <c r="R726" s="37">
        <f t="shared" si="276"/>
        <v>8.0153060722440873E-5</v>
      </c>
      <c r="S726" s="37">
        <f t="shared" si="276"/>
        <v>8.0153060722440873E-5</v>
      </c>
      <c r="T726" s="37">
        <f t="shared" si="276"/>
        <v>8.0153060722440873E-5</v>
      </c>
      <c r="U726" s="37">
        <f t="shared" si="276"/>
        <v>8.0153060722440873E-5</v>
      </c>
      <c r="V726" s="37">
        <f t="shared" si="276"/>
        <v>1.3485812924803108E-4</v>
      </c>
      <c r="W726" s="37">
        <f t="shared" si="276"/>
        <v>1.3485812924803108E-4</v>
      </c>
      <c r="X726" s="37">
        <f t="shared" si="276"/>
        <v>1.3485812924803108E-4</v>
      </c>
      <c r="Y726" s="27">
        <f t="shared" si="245"/>
        <v>1.5821221670773121E-3</v>
      </c>
      <c r="Z726" s="10"/>
    </row>
    <row r="727" spans="1:26" outlineLevel="1" x14ac:dyDescent="0.3">
      <c r="A727" t="s">
        <v>172</v>
      </c>
      <c r="B727" t="s">
        <v>71</v>
      </c>
      <c r="C727" s="6" t="s">
        <v>147</v>
      </c>
      <c r="D727" s="10">
        <v>0</v>
      </c>
      <c r="E727" s="37">
        <f t="shared" ref="E727:X727" si="277">_xlfn.MAXIFS(F$403:F$594,$A$403:$A$594,"Summer",$B$403:$B$594,$B727)</f>
        <v>1.7590006510299306E-4</v>
      </c>
      <c r="F727" s="37">
        <f t="shared" si="277"/>
        <v>0</v>
      </c>
      <c r="G727" s="37">
        <f t="shared" si="277"/>
        <v>6.5781979981912933E-5</v>
      </c>
      <c r="H727" s="37">
        <f t="shared" si="277"/>
        <v>6.5781979981912933E-5</v>
      </c>
      <c r="I727" s="37">
        <f t="shared" si="277"/>
        <v>6.5781979981912933E-5</v>
      </c>
      <c r="J727" s="10">
        <v>0</v>
      </c>
      <c r="K727" s="37">
        <f t="shared" si="277"/>
        <v>1.5470495249023114E-4</v>
      </c>
      <c r="L727" s="37">
        <f t="shared" si="277"/>
        <v>0</v>
      </c>
      <c r="M727" s="37">
        <f t="shared" si="277"/>
        <v>6.5781979981912933E-5</v>
      </c>
      <c r="N727" s="37">
        <f t="shared" si="277"/>
        <v>6.5781979981912933E-5</v>
      </c>
      <c r="O727" s="37">
        <f t="shared" si="277"/>
        <v>6.5781979981912933E-5</v>
      </c>
      <c r="P727" s="37">
        <f t="shared" si="277"/>
        <v>1.4667113788586263E-4</v>
      </c>
      <c r="Q727" s="37">
        <f t="shared" si="277"/>
        <v>1.4667113788586263E-4</v>
      </c>
      <c r="R727" s="37">
        <f t="shared" si="277"/>
        <v>1.4667113788586263E-4</v>
      </c>
      <c r="S727" s="37">
        <f t="shared" si="277"/>
        <v>1.4667113788586263E-4</v>
      </c>
      <c r="T727" s="37">
        <f t="shared" si="277"/>
        <v>1.4667113788586263E-4</v>
      </c>
      <c r="U727" s="37">
        <f t="shared" si="277"/>
        <v>1.4667113788586263E-4</v>
      </c>
      <c r="V727" s="37">
        <f t="shared" si="277"/>
        <v>1.3512255695243897E-4</v>
      </c>
      <c r="W727" s="37">
        <f t="shared" si="277"/>
        <v>1.3512255695243897E-4</v>
      </c>
      <c r="X727" s="37">
        <f t="shared" si="277"/>
        <v>1.3512255695243897E-4</v>
      </c>
      <c r="Y727" s="27">
        <f t="shared" si="245"/>
        <v>2.0106913956571939E-3</v>
      </c>
      <c r="Z727" s="10"/>
    </row>
    <row r="728" spans="1:26" outlineLevel="1" x14ac:dyDescent="0.3">
      <c r="A728" t="s">
        <v>172</v>
      </c>
      <c r="B728" t="s">
        <v>72</v>
      </c>
      <c r="C728" s="6" t="s">
        <v>148</v>
      </c>
      <c r="D728" s="10">
        <v>0</v>
      </c>
      <c r="E728" s="37">
        <f t="shared" ref="E728:X728" si="278">_xlfn.MAXIFS(F$403:F$594,$A$403:$A$594,"Summer",$B$403:$B$594,$B728)</f>
        <v>2.0148642161209459E-4</v>
      </c>
      <c r="F728" s="37">
        <f t="shared" si="278"/>
        <v>0</v>
      </c>
      <c r="G728" s="37">
        <f t="shared" si="278"/>
        <v>8.0241791543410074E-5</v>
      </c>
      <c r="H728" s="37">
        <f t="shared" si="278"/>
        <v>8.0241791543410074E-5</v>
      </c>
      <c r="I728" s="37">
        <f t="shared" si="278"/>
        <v>8.0241791543410074E-5</v>
      </c>
      <c r="J728" s="10">
        <v>0</v>
      </c>
      <c r="K728" s="37">
        <f t="shared" si="278"/>
        <v>1.8038845270184617E-4</v>
      </c>
      <c r="L728" s="37">
        <f t="shared" si="278"/>
        <v>0</v>
      </c>
      <c r="M728" s="37">
        <f t="shared" si="278"/>
        <v>8.0241791543410074E-5</v>
      </c>
      <c r="N728" s="37">
        <f t="shared" si="278"/>
        <v>8.0241791543410074E-5</v>
      </c>
      <c r="O728" s="37">
        <f t="shared" si="278"/>
        <v>8.0241791543410074E-5</v>
      </c>
      <c r="P728" s="37">
        <f t="shared" si="278"/>
        <v>1.4873539834499701E-4</v>
      </c>
      <c r="Q728" s="37">
        <f t="shared" si="278"/>
        <v>1.4873539834499701E-4</v>
      </c>
      <c r="R728" s="37">
        <f t="shared" si="278"/>
        <v>1.4873539834499701E-4</v>
      </c>
      <c r="S728" s="37">
        <f t="shared" si="278"/>
        <v>1.4873539834499701E-4</v>
      </c>
      <c r="T728" s="37">
        <f t="shared" si="278"/>
        <v>1.4873539834499701E-4</v>
      </c>
      <c r="U728" s="37">
        <f t="shared" si="278"/>
        <v>1.4873539834499701E-4</v>
      </c>
      <c r="V728" s="37">
        <f t="shared" si="278"/>
        <v>1.3485812924803108E-4</v>
      </c>
      <c r="W728" s="37">
        <f t="shared" si="278"/>
        <v>1.3485812924803108E-4</v>
      </c>
      <c r="X728" s="37">
        <f t="shared" si="278"/>
        <v>1.3485812924803108E-4</v>
      </c>
      <c r="Y728" s="27">
        <f t="shared" si="245"/>
        <v>2.1603124013884764E-3</v>
      </c>
      <c r="Z728" s="10"/>
    </row>
    <row r="729" spans="1:26" outlineLevel="1" x14ac:dyDescent="0.3">
      <c r="A729" t="s">
        <v>172</v>
      </c>
      <c r="B729" t="s">
        <v>73</v>
      </c>
      <c r="C729" s="6" t="s">
        <v>149</v>
      </c>
      <c r="D729" s="10">
        <v>0</v>
      </c>
      <c r="E729" s="37">
        <f t="shared" ref="E729:X729" si="279">_xlfn.MAXIFS(F$403:F$594,$A$403:$A$594,"Summer",$B$403:$B$594,$B729)</f>
        <v>2.2015515552213687E-4</v>
      </c>
      <c r="F729" s="37">
        <f t="shared" si="279"/>
        <v>0</v>
      </c>
      <c r="G729" s="37">
        <f t="shared" si="279"/>
        <v>8.3159674872261341E-5</v>
      </c>
      <c r="H729" s="37">
        <f t="shared" si="279"/>
        <v>8.3159674872261341E-5</v>
      </c>
      <c r="I729" s="37">
        <f t="shared" si="279"/>
        <v>8.3159674872261341E-5</v>
      </c>
      <c r="J729" s="10">
        <v>0</v>
      </c>
      <c r="K729" s="37">
        <f t="shared" si="279"/>
        <v>2.0590392463006786E-4</v>
      </c>
      <c r="L729" s="37">
        <f t="shared" si="279"/>
        <v>0</v>
      </c>
      <c r="M729" s="37">
        <f t="shared" si="279"/>
        <v>8.3159674872261341E-5</v>
      </c>
      <c r="N729" s="37">
        <f t="shared" si="279"/>
        <v>8.3159674872261341E-5</v>
      </c>
      <c r="O729" s="37">
        <f t="shared" si="279"/>
        <v>8.3159674872261341E-5</v>
      </c>
      <c r="P729" s="37">
        <f t="shared" si="279"/>
        <v>1.3385099398176501E-4</v>
      </c>
      <c r="Q729" s="37">
        <f t="shared" si="279"/>
        <v>1.3385099398176501E-4</v>
      </c>
      <c r="R729" s="37">
        <f t="shared" si="279"/>
        <v>1.3385099398176501E-4</v>
      </c>
      <c r="S729" s="37">
        <f t="shared" si="279"/>
        <v>1.3385099398176501E-4</v>
      </c>
      <c r="T729" s="37">
        <f t="shared" si="279"/>
        <v>1.3385099398176501E-4</v>
      </c>
      <c r="U729" s="37">
        <f t="shared" si="279"/>
        <v>1.3385099398176501E-4</v>
      </c>
      <c r="V729" s="37">
        <f t="shared" si="279"/>
        <v>1.3459370154362318E-4</v>
      </c>
      <c r="W729" s="37">
        <f t="shared" si="279"/>
        <v>1.3459370154362318E-4</v>
      </c>
      <c r="X729" s="37">
        <f t="shared" si="279"/>
        <v>1.3459370154362318E-4</v>
      </c>
      <c r="Y729" s="27">
        <f t="shared" ref="Y729:Y743" si="280">SUM(D729:X729)</f>
        <v>2.1319041979072323E-3</v>
      </c>
      <c r="Z729" s="10"/>
    </row>
    <row r="730" spans="1:26" outlineLevel="1" x14ac:dyDescent="0.3">
      <c r="A730" t="s">
        <v>172</v>
      </c>
      <c r="B730" t="s">
        <v>74</v>
      </c>
      <c r="C730" s="6" t="s">
        <v>150</v>
      </c>
      <c r="D730" s="10">
        <v>0</v>
      </c>
      <c r="E730" s="37">
        <f t="shared" ref="E730:X730" si="281">_xlfn.MAXIFS(F$403:F$594,$A$403:$A$594,"Summer",$B$403:$B$594,$B730)</f>
        <v>2.5022181769183353E-4</v>
      </c>
      <c r="F730" s="37">
        <f t="shared" si="281"/>
        <v>0</v>
      </c>
      <c r="G730" s="37">
        <f t="shared" si="281"/>
        <v>8.3645988760403214E-5</v>
      </c>
      <c r="H730" s="37">
        <f t="shared" si="281"/>
        <v>8.3645988760403214E-5</v>
      </c>
      <c r="I730" s="37">
        <f t="shared" si="281"/>
        <v>8.3645988760403214E-5</v>
      </c>
      <c r="J730" s="10">
        <v>0</v>
      </c>
      <c r="K730" s="37">
        <f t="shared" si="281"/>
        <v>2.284524812177986E-4</v>
      </c>
      <c r="L730" s="37">
        <f t="shared" si="281"/>
        <v>0</v>
      </c>
      <c r="M730" s="37">
        <f t="shared" si="281"/>
        <v>8.3645988760403214E-5</v>
      </c>
      <c r="N730" s="37">
        <f t="shared" si="281"/>
        <v>8.3645988760403214E-5</v>
      </c>
      <c r="O730" s="37">
        <f t="shared" si="281"/>
        <v>8.3645988760403214E-5</v>
      </c>
      <c r="P730" s="37">
        <f t="shared" si="281"/>
        <v>1.3472015628034794E-4</v>
      </c>
      <c r="Q730" s="37">
        <f t="shared" si="281"/>
        <v>1.3472015628034794E-4</v>
      </c>
      <c r="R730" s="37">
        <f t="shared" si="281"/>
        <v>1.3472015628034794E-4</v>
      </c>
      <c r="S730" s="37">
        <f t="shared" si="281"/>
        <v>1.3472015628034794E-4</v>
      </c>
      <c r="T730" s="37">
        <f t="shared" si="281"/>
        <v>1.3472015628034794E-4</v>
      </c>
      <c r="U730" s="37">
        <f t="shared" si="281"/>
        <v>1.3472015628034794E-4</v>
      </c>
      <c r="V730" s="37">
        <f t="shared" si="281"/>
        <v>1.3459370154362318E-4</v>
      </c>
      <c r="W730" s="37">
        <f t="shared" si="281"/>
        <v>1.3459370154362318E-4</v>
      </c>
      <c r="X730" s="37">
        <f t="shared" si="281"/>
        <v>1.3459370154362318E-4</v>
      </c>
      <c r="Y730" s="27">
        <f t="shared" si="280"/>
        <v>2.1926522737850083E-3</v>
      </c>
      <c r="Z730" s="10"/>
    </row>
    <row r="731" spans="1:26" outlineLevel="1" x14ac:dyDescent="0.3">
      <c r="A731" t="s">
        <v>172</v>
      </c>
      <c r="B731" t="s">
        <v>75</v>
      </c>
      <c r="C731" s="6" t="s">
        <v>151</v>
      </c>
      <c r="D731" s="10">
        <v>0</v>
      </c>
      <c r="E731" s="37">
        <f t="shared" ref="E731:X731" si="282">_xlfn.MAXIFS(F$403:F$594,$A$403:$A$594,"Summer",$B$403:$B$594,$B731)</f>
        <v>2.9915899305282519E-4</v>
      </c>
      <c r="F731" s="37">
        <f t="shared" si="282"/>
        <v>0</v>
      </c>
      <c r="G731" s="37">
        <f t="shared" si="282"/>
        <v>8.8752284585892957E-5</v>
      </c>
      <c r="H731" s="37">
        <f t="shared" si="282"/>
        <v>8.8752284585892957E-5</v>
      </c>
      <c r="I731" s="37">
        <f t="shared" si="282"/>
        <v>8.8752284585892957E-5</v>
      </c>
      <c r="J731" s="10">
        <v>0</v>
      </c>
      <c r="K731" s="37">
        <f t="shared" si="282"/>
        <v>2.474407393969403E-4</v>
      </c>
      <c r="L731" s="37">
        <f t="shared" si="282"/>
        <v>0</v>
      </c>
      <c r="M731" s="37">
        <f t="shared" si="282"/>
        <v>8.8752284585892957E-5</v>
      </c>
      <c r="N731" s="37">
        <f t="shared" si="282"/>
        <v>8.8752284585892957E-5</v>
      </c>
      <c r="O731" s="37">
        <f t="shared" si="282"/>
        <v>8.8752284585892957E-5</v>
      </c>
      <c r="P731" s="37">
        <f t="shared" si="282"/>
        <v>1.355349959352694E-4</v>
      </c>
      <c r="Q731" s="37">
        <f t="shared" si="282"/>
        <v>1.355349959352694E-4</v>
      </c>
      <c r="R731" s="37">
        <f t="shared" si="282"/>
        <v>1.355349959352694E-4</v>
      </c>
      <c r="S731" s="37">
        <f t="shared" si="282"/>
        <v>1.355349959352694E-4</v>
      </c>
      <c r="T731" s="37">
        <f t="shared" si="282"/>
        <v>1.355349959352694E-4</v>
      </c>
      <c r="U731" s="37">
        <f t="shared" si="282"/>
        <v>1.355349959352694E-4</v>
      </c>
      <c r="V731" s="37">
        <f t="shared" si="282"/>
        <v>1.3406484613480736E-4</v>
      </c>
      <c r="W731" s="37">
        <f t="shared" si="282"/>
        <v>1.3406484613480736E-4</v>
      </c>
      <c r="X731" s="37">
        <f t="shared" si="282"/>
        <v>1.3406484613480736E-4</v>
      </c>
      <c r="Y731" s="27">
        <f t="shared" si="280"/>
        <v>2.2945179539811621E-3</v>
      </c>
      <c r="Z731" s="10"/>
    </row>
    <row r="732" spans="1:26" outlineLevel="1" x14ac:dyDescent="0.3">
      <c r="A732" t="s">
        <v>172</v>
      </c>
      <c r="B732" t="s">
        <v>76</v>
      </c>
      <c r="C732" s="6" t="s">
        <v>152</v>
      </c>
      <c r="D732" s="10">
        <v>0</v>
      </c>
      <c r="E732" s="37">
        <f t="shared" ref="E732:X732" si="283">_xlfn.MAXIFS(F$403:F$594,$A$403:$A$594,"Summer",$B$403:$B$594,$B732)</f>
        <v>3.4414168263242878E-4</v>
      </c>
      <c r="F732" s="37">
        <f t="shared" si="283"/>
        <v>0</v>
      </c>
      <c r="G732" s="37">
        <f t="shared" si="283"/>
        <v>9.1913324858815167E-5</v>
      </c>
      <c r="H732" s="37">
        <f t="shared" si="283"/>
        <v>9.1913324858815167E-5</v>
      </c>
      <c r="I732" s="37">
        <f t="shared" si="283"/>
        <v>9.1913324858815167E-5</v>
      </c>
      <c r="J732" s="10">
        <v>0</v>
      </c>
      <c r="K732" s="37">
        <f t="shared" si="283"/>
        <v>2.6168193303129658E-4</v>
      </c>
      <c r="L732" s="37">
        <f t="shared" si="283"/>
        <v>0</v>
      </c>
      <c r="M732" s="37">
        <f t="shared" si="283"/>
        <v>9.1913324858815167E-5</v>
      </c>
      <c r="N732" s="37">
        <f t="shared" si="283"/>
        <v>9.1913324858815167E-5</v>
      </c>
      <c r="O732" s="37">
        <f t="shared" si="283"/>
        <v>9.1913324858815167E-5</v>
      </c>
      <c r="P732" s="37">
        <f t="shared" si="283"/>
        <v>1.3118918444235492E-4</v>
      </c>
      <c r="Q732" s="37">
        <f t="shared" si="283"/>
        <v>1.3118918444235492E-4</v>
      </c>
      <c r="R732" s="37">
        <f t="shared" si="283"/>
        <v>1.3118918444235492E-4</v>
      </c>
      <c r="S732" s="37">
        <f t="shared" si="283"/>
        <v>1.3118918444235492E-4</v>
      </c>
      <c r="T732" s="37">
        <f t="shared" si="283"/>
        <v>1.3118918444235492E-4</v>
      </c>
      <c r="U732" s="37">
        <f t="shared" si="283"/>
        <v>1.3118918444235492E-4</v>
      </c>
      <c r="V732" s="37">
        <f t="shared" si="283"/>
        <v>1.3406484613480736E-4</v>
      </c>
      <c r="W732" s="37">
        <f t="shared" si="283"/>
        <v>1.3406484613480736E-4</v>
      </c>
      <c r="X732" s="37">
        <f t="shared" si="283"/>
        <v>1.3406484613480736E-4</v>
      </c>
      <c r="Y732" s="27">
        <f t="shared" si="280"/>
        <v>2.3466332098751679E-3</v>
      </c>
      <c r="Z732" s="10"/>
    </row>
    <row r="733" spans="1:26" outlineLevel="1" x14ac:dyDescent="0.3">
      <c r="A733" t="s">
        <v>172</v>
      </c>
      <c r="B733" t="s">
        <v>77</v>
      </c>
      <c r="C733" s="6" t="s">
        <v>153</v>
      </c>
      <c r="D733" s="10">
        <v>0</v>
      </c>
      <c r="E733" s="37">
        <f t="shared" ref="E733:X733" si="284">_xlfn.MAXIFS(F$403:F$594,$A$403:$A$594,"Summer",$B$403:$B$594,$B733)</f>
        <v>3.6783787298826852E-4</v>
      </c>
      <c r="F733" s="37">
        <f t="shared" si="284"/>
        <v>0</v>
      </c>
      <c r="G733" s="37">
        <f t="shared" si="284"/>
        <v>9.1913324858815167E-5</v>
      </c>
      <c r="H733" s="37">
        <f t="shared" si="284"/>
        <v>9.1913324858815167E-5</v>
      </c>
      <c r="I733" s="37">
        <f t="shared" si="284"/>
        <v>9.1913324858815167E-5</v>
      </c>
      <c r="J733" s="10">
        <v>0</v>
      </c>
      <c r="K733" s="37">
        <f t="shared" si="284"/>
        <v>2.6939591291657292E-4</v>
      </c>
      <c r="L733" s="37">
        <f t="shared" si="284"/>
        <v>0</v>
      </c>
      <c r="M733" s="37">
        <f t="shared" si="284"/>
        <v>9.1913324858815167E-5</v>
      </c>
      <c r="N733" s="37">
        <f t="shared" si="284"/>
        <v>9.1913324858815167E-5</v>
      </c>
      <c r="O733" s="37">
        <f t="shared" si="284"/>
        <v>9.1913324858815167E-5</v>
      </c>
      <c r="P733" s="37">
        <f t="shared" si="284"/>
        <v>1.2168272180160458E-4</v>
      </c>
      <c r="Q733" s="37">
        <f t="shared" si="284"/>
        <v>1.2168272180160458E-4</v>
      </c>
      <c r="R733" s="37">
        <f t="shared" si="284"/>
        <v>1.2168272180160458E-4</v>
      </c>
      <c r="S733" s="37">
        <f t="shared" si="284"/>
        <v>1.2168272180160458E-4</v>
      </c>
      <c r="T733" s="37">
        <f t="shared" si="284"/>
        <v>1.2168272180160458E-4</v>
      </c>
      <c r="U733" s="37">
        <f t="shared" si="284"/>
        <v>1.2168272180160458E-4</v>
      </c>
      <c r="V733" s="37">
        <f t="shared" si="284"/>
        <v>1.3406484613480736E-4</v>
      </c>
      <c r="W733" s="37">
        <f t="shared" si="284"/>
        <v>1.3406484613480736E-4</v>
      </c>
      <c r="X733" s="37">
        <f t="shared" si="284"/>
        <v>1.3406484613480736E-4</v>
      </c>
      <c r="Y733" s="27">
        <f t="shared" si="280"/>
        <v>2.3210046042717813E-3</v>
      </c>
      <c r="Z733" s="10"/>
    </row>
    <row r="734" spans="1:26" outlineLevel="1" x14ac:dyDescent="0.3">
      <c r="A734" t="s">
        <v>172</v>
      </c>
      <c r="B734" t="s">
        <v>78</v>
      </c>
      <c r="C734" s="6" t="s">
        <v>154</v>
      </c>
      <c r="D734" s="10">
        <v>0</v>
      </c>
      <c r="E734" s="37">
        <f t="shared" ref="E734:X734" si="285">_xlfn.MAXIFS(F$403:F$594,$A$403:$A$594,"Summer",$B$403:$B$594,$B734)</f>
        <v>3.7399829734859481E-4</v>
      </c>
      <c r="F734" s="37">
        <f t="shared" si="285"/>
        <v>0</v>
      </c>
      <c r="G734" s="37">
        <f t="shared" si="285"/>
        <v>9.0697540138460464E-5</v>
      </c>
      <c r="H734" s="37">
        <f t="shared" si="285"/>
        <v>9.0697540138460464E-5</v>
      </c>
      <c r="I734" s="37">
        <f t="shared" si="285"/>
        <v>9.0697540138460464E-5</v>
      </c>
      <c r="J734" s="10">
        <v>0</v>
      </c>
      <c r="K734" s="37">
        <f t="shared" si="285"/>
        <v>2.7295621132516194E-4</v>
      </c>
      <c r="L734" s="37">
        <f t="shared" si="285"/>
        <v>0</v>
      </c>
      <c r="M734" s="37">
        <f t="shared" si="285"/>
        <v>9.0697540138460464E-5</v>
      </c>
      <c r="N734" s="37">
        <f t="shared" si="285"/>
        <v>9.0697540138460464E-5</v>
      </c>
      <c r="O734" s="37">
        <f t="shared" si="285"/>
        <v>9.0697540138460464E-5</v>
      </c>
      <c r="P734" s="37">
        <f t="shared" si="285"/>
        <v>1.2141110858329744E-4</v>
      </c>
      <c r="Q734" s="37">
        <f t="shared" si="285"/>
        <v>1.2141110858329744E-4</v>
      </c>
      <c r="R734" s="37">
        <f t="shared" si="285"/>
        <v>1.2141110858329744E-4</v>
      </c>
      <c r="S734" s="37">
        <f t="shared" si="285"/>
        <v>1.2141110858329744E-4</v>
      </c>
      <c r="T734" s="37">
        <f t="shared" si="285"/>
        <v>1.2141110858329744E-4</v>
      </c>
      <c r="U734" s="37">
        <f t="shared" si="285"/>
        <v>1.2141110858329744E-4</v>
      </c>
      <c r="V734" s="37">
        <f t="shared" si="285"/>
        <v>1.3459370154362318E-4</v>
      </c>
      <c r="W734" s="37">
        <f t="shared" si="285"/>
        <v>1.3459370154362318E-4</v>
      </c>
      <c r="X734" s="37">
        <f t="shared" si="285"/>
        <v>1.3459370154362318E-4</v>
      </c>
      <c r="Y734" s="27">
        <f t="shared" si="280"/>
        <v>2.3233875056351736E-3</v>
      </c>
      <c r="Z734" s="10"/>
    </row>
    <row r="735" spans="1:26" outlineLevel="1" x14ac:dyDescent="0.3">
      <c r="A735" t="s">
        <v>172</v>
      </c>
      <c r="B735" t="s">
        <v>79</v>
      </c>
      <c r="C735" s="6" t="s">
        <v>155</v>
      </c>
      <c r="D735" s="10">
        <v>0</v>
      </c>
      <c r="E735" s="37">
        <f t="shared" ref="E735:X735" si="286">_xlfn.MAXIFS(F$403:F$594,$A$403:$A$594,"Summer",$B$403:$B$594,$B735)</f>
        <v>3.658971193194126E-4</v>
      </c>
      <c r="F735" s="37">
        <f t="shared" si="286"/>
        <v>0</v>
      </c>
      <c r="G735" s="37">
        <f t="shared" si="286"/>
        <v>9.1183854026602337E-5</v>
      </c>
      <c r="H735" s="37">
        <f t="shared" si="286"/>
        <v>9.1183854026602337E-5</v>
      </c>
      <c r="I735" s="37">
        <f t="shared" si="286"/>
        <v>9.1183854026602337E-5</v>
      </c>
      <c r="J735" s="10">
        <v>0</v>
      </c>
      <c r="K735" s="37">
        <f t="shared" si="286"/>
        <v>2.6939591291657292E-4</v>
      </c>
      <c r="L735" s="37">
        <f t="shared" si="286"/>
        <v>0</v>
      </c>
      <c r="M735" s="37">
        <f t="shared" si="286"/>
        <v>9.1183854026602337E-5</v>
      </c>
      <c r="N735" s="37">
        <f t="shared" si="286"/>
        <v>9.1183854026602337E-5</v>
      </c>
      <c r="O735" s="37">
        <f t="shared" si="286"/>
        <v>9.1183854026602337E-5</v>
      </c>
      <c r="P735" s="37">
        <f t="shared" si="286"/>
        <v>1.3287318639585926E-4</v>
      </c>
      <c r="Q735" s="37">
        <f t="shared" si="286"/>
        <v>1.3287318639585926E-4</v>
      </c>
      <c r="R735" s="37">
        <f t="shared" si="286"/>
        <v>1.3287318639585926E-4</v>
      </c>
      <c r="S735" s="37">
        <f t="shared" si="286"/>
        <v>1.3287318639585926E-4</v>
      </c>
      <c r="T735" s="37">
        <f t="shared" si="286"/>
        <v>1.3287318639585926E-4</v>
      </c>
      <c r="U735" s="37">
        <f t="shared" si="286"/>
        <v>1.3287318639585926E-4</v>
      </c>
      <c r="V735" s="37">
        <f t="shared" si="286"/>
        <v>1.353869846568469E-4</v>
      </c>
      <c r="W735" s="37">
        <f t="shared" si="286"/>
        <v>1.353869846568469E-4</v>
      </c>
      <c r="X735" s="37">
        <f t="shared" si="286"/>
        <v>1.353869846568469E-4</v>
      </c>
      <c r="Y735" s="27">
        <f t="shared" si="280"/>
        <v>2.3857962287412954E-3</v>
      </c>
      <c r="Z735" s="10"/>
    </row>
    <row r="736" spans="1:26" outlineLevel="1" x14ac:dyDescent="0.3">
      <c r="A736" t="s">
        <v>172</v>
      </c>
      <c r="B736" t="s">
        <v>80</v>
      </c>
      <c r="C736" s="6" t="s">
        <v>156</v>
      </c>
      <c r="D736" s="10">
        <v>0</v>
      </c>
      <c r="E736" s="37">
        <f t="shared" ref="E736:X736" si="287">_xlfn.MAXIFS(F$403:F$594,$A$403:$A$594,"Summer",$B$403:$B$594,$B736)</f>
        <v>3.4829369129868969E-4</v>
      </c>
      <c r="F736" s="37">
        <f t="shared" si="287"/>
        <v>0</v>
      </c>
      <c r="G736" s="37">
        <f t="shared" si="287"/>
        <v>9.3372266523240801E-5</v>
      </c>
      <c r="H736" s="37">
        <f t="shared" si="287"/>
        <v>9.3372266523240801E-5</v>
      </c>
      <c r="I736" s="37">
        <f t="shared" si="287"/>
        <v>9.3372266523240801E-5</v>
      </c>
      <c r="J736" s="10">
        <v>0</v>
      </c>
      <c r="K736" s="37">
        <f t="shared" si="287"/>
        <v>2.6049516689510024E-4</v>
      </c>
      <c r="L736" s="37">
        <f t="shared" si="287"/>
        <v>0</v>
      </c>
      <c r="M736" s="37">
        <f t="shared" si="287"/>
        <v>9.3372266523240801E-5</v>
      </c>
      <c r="N736" s="37">
        <f t="shared" si="287"/>
        <v>9.3372266523240801E-5</v>
      </c>
      <c r="O736" s="37">
        <f t="shared" si="287"/>
        <v>9.3372266523240801E-5</v>
      </c>
      <c r="P736" s="37">
        <f t="shared" si="287"/>
        <v>1.4830081719570558E-4</v>
      </c>
      <c r="Q736" s="37">
        <f t="shared" si="287"/>
        <v>1.4830081719570558E-4</v>
      </c>
      <c r="R736" s="37">
        <f t="shared" si="287"/>
        <v>1.4830081719570558E-4</v>
      </c>
      <c r="S736" s="37">
        <f t="shared" si="287"/>
        <v>1.4830081719570558E-4</v>
      </c>
      <c r="T736" s="37">
        <f t="shared" si="287"/>
        <v>1.4830081719570558E-4</v>
      </c>
      <c r="U736" s="37">
        <f t="shared" si="287"/>
        <v>1.4830081719570558E-4</v>
      </c>
      <c r="V736" s="37">
        <f t="shared" si="287"/>
        <v>1.3618026777007062E-4</v>
      </c>
      <c r="W736" s="37">
        <f t="shared" si="287"/>
        <v>1.3618026777007062E-4</v>
      </c>
      <c r="X736" s="37">
        <f t="shared" si="287"/>
        <v>1.3618026777007062E-4</v>
      </c>
      <c r="Y736" s="27">
        <f t="shared" si="280"/>
        <v>2.4673681638176792E-3</v>
      </c>
      <c r="Z736" s="10"/>
    </row>
    <row r="737" spans="1:26" outlineLevel="1" x14ac:dyDescent="0.3">
      <c r="A737" t="s">
        <v>172</v>
      </c>
      <c r="B737" t="s">
        <v>81</v>
      </c>
      <c r="C737" s="6" t="s">
        <v>157</v>
      </c>
      <c r="D737" s="10">
        <v>0</v>
      </c>
      <c r="E737" s="37">
        <f t="shared" ref="E737:X737" si="288">_xlfn.MAXIFS(F$403:F$594,$A$403:$A$594,"Summer",$B$403:$B$594,$B737)</f>
        <v>3.2816887843399416E-4</v>
      </c>
      <c r="F737" s="37">
        <f t="shared" si="288"/>
        <v>0</v>
      </c>
      <c r="G737" s="37">
        <f t="shared" si="288"/>
        <v>1.5270256087655007E-4</v>
      </c>
      <c r="H737" s="37">
        <f t="shared" si="288"/>
        <v>1.5270256087655007E-4</v>
      </c>
      <c r="I737" s="37">
        <f t="shared" si="288"/>
        <v>1.5270256087655007E-4</v>
      </c>
      <c r="J737" s="10">
        <v>0</v>
      </c>
      <c r="K737" s="37">
        <f t="shared" si="288"/>
        <v>2.4388044098835125E-4</v>
      </c>
      <c r="L737" s="37">
        <f t="shared" si="288"/>
        <v>0</v>
      </c>
      <c r="M737" s="37">
        <f t="shared" si="288"/>
        <v>1.5270256087655007E-4</v>
      </c>
      <c r="N737" s="37">
        <f t="shared" si="288"/>
        <v>1.5270256087655007E-4</v>
      </c>
      <c r="O737" s="37">
        <f t="shared" si="288"/>
        <v>1.5270256087655007E-4</v>
      </c>
      <c r="P737" s="37">
        <f t="shared" si="288"/>
        <v>1.4971320593090278E-4</v>
      </c>
      <c r="Q737" s="37">
        <f t="shared" si="288"/>
        <v>1.4971320593090278E-4</v>
      </c>
      <c r="R737" s="37">
        <f t="shared" si="288"/>
        <v>1.4971320593090278E-4</v>
      </c>
      <c r="S737" s="37">
        <f t="shared" si="288"/>
        <v>1.4971320593090278E-4</v>
      </c>
      <c r="T737" s="37">
        <f t="shared" si="288"/>
        <v>1.4971320593090278E-4</v>
      </c>
      <c r="U737" s="37">
        <f t="shared" si="288"/>
        <v>1.4971320593090278E-4</v>
      </c>
      <c r="V737" s="37">
        <f t="shared" si="288"/>
        <v>1.3644469547447849E-4</v>
      </c>
      <c r="W737" s="37">
        <f t="shared" si="288"/>
        <v>1.3644469547447849E-4</v>
      </c>
      <c r="X737" s="37">
        <f t="shared" si="288"/>
        <v>1.3644469547447849E-4</v>
      </c>
      <c r="Y737" s="27">
        <f t="shared" si="280"/>
        <v>2.7958780066904983E-3</v>
      </c>
      <c r="Z737" s="10"/>
    </row>
    <row r="738" spans="1:26" outlineLevel="1" x14ac:dyDescent="0.3">
      <c r="A738" t="s">
        <v>172</v>
      </c>
      <c r="B738" t="s">
        <v>82</v>
      </c>
      <c r="C738" s="6" t="s">
        <v>158</v>
      </c>
      <c r="D738" s="10">
        <v>0</v>
      </c>
      <c r="E738" s="37">
        <f t="shared" ref="E738:X738" si="289">_xlfn.MAXIFS(F$403:F$594,$A$403:$A$594,"Summer",$B$403:$B$594,$B738)</f>
        <v>3.0143230011239508E-4</v>
      </c>
      <c r="F738" s="37">
        <f t="shared" si="289"/>
        <v>0</v>
      </c>
      <c r="G738" s="37">
        <f t="shared" si="289"/>
        <v>3.452828605807342E-4</v>
      </c>
      <c r="H738" s="37">
        <f t="shared" si="289"/>
        <v>3.452828605807342E-4</v>
      </c>
      <c r="I738" s="37">
        <f t="shared" si="289"/>
        <v>3.452828605807342E-4</v>
      </c>
      <c r="J738" s="10">
        <v>0</v>
      </c>
      <c r="K738" s="37">
        <f t="shared" si="289"/>
        <v>2.2370541667301319E-4</v>
      </c>
      <c r="L738" s="37">
        <f t="shared" si="289"/>
        <v>0</v>
      </c>
      <c r="M738" s="37">
        <f t="shared" si="289"/>
        <v>3.452828605807342E-4</v>
      </c>
      <c r="N738" s="37">
        <f t="shared" si="289"/>
        <v>3.452828605807342E-4</v>
      </c>
      <c r="O738" s="37">
        <f t="shared" si="289"/>
        <v>3.452828605807342E-4</v>
      </c>
      <c r="P738" s="37">
        <f t="shared" si="289"/>
        <v>1.4368339248448399E-4</v>
      </c>
      <c r="Q738" s="37">
        <f t="shared" si="289"/>
        <v>1.4368339248448399E-4</v>
      </c>
      <c r="R738" s="37">
        <f t="shared" si="289"/>
        <v>1.4368339248448399E-4</v>
      </c>
      <c r="S738" s="37">
        <f t="shared" si="289"/>
        <v>1.4368339248448399E-4</v>
      </c>
      <c r="T738" s="37">
        <f t="shared" si="289"/>
        <v>1.4368339248448399E-4</v>
      </c>
      <c r="U738" s="37">
        <f t="shared" si="289"/>
        <v>1.4368339248448399E-4</v>
      </c>
      <c r="V738" s="37">
        <f t="shared" si="289"/>
        <v>1.3618026777007062E-4</v>
      </c>
      <c r="W738" s="37">
        <f t="shared" si="289"/>
        <v>1.3618026777007062E-4</v>
      </c>
      <c r="X738" s="37">
        <f t="shared" si="289"/>
        <v>1.3618026777007062E-4</v>
      </c>
      <c r="Y738" s="27">
        <f t="shared" si="280"/>
        <v>3.8674760384869297E-3</v>
      </c>
      <c r="Z738" s="10"/>
    </row>
    <row r="739" spans="1:26" outlineLevel="1" x14ac:dyDescent="0.3">
      <c r="A739" t="s">
        <v>172</v>
      </c>
      <c r="B739" t="s">
        <v>83</v>
      </c>
      <c r="C739" s="6" t="s">
        <v>159</v>
      </c>
      <c r="D739" s="10">
        <v>0</v>
      </c>
      <c r="E739" s="37">
        <f t="shared" ref="E739:X739" si="290">_xlfn.MAXIFS(F$403:F$594,$A$403:$A$594,"Summer",$B$403:$B$594,$B739)</f>
        <v>2.6298645689019808E-4</v>
      </c>
      <c r="F739" s="37">
        <f t="shared" si="290"/>
        <v>0</v>
      </c>
      <c r="G739" s="37">
        <f t="shared" si="290"/>
        <v>3.6181753277755814E-4</v>
      </c>
      <c r="H739" s="37">
        <f t="shared" si="290"/>
        <v>3.6181753277755814E-4</v>
      </c>
      <c r="I739" s="37">
        <f t="shared" si="290"/>
        <v>3.6181753277755814E-4</v>
      </c>
      <c r="J739" s="10">
        <v>0</v>
      </c>
      <c r="K739" s="37">
        <f t="shared" si="290"/>
        <v>2.0056347701718423E-4</v>
      </c>
      <c r="L739" s="37">
        <f t="shared" si="290"/>
        <v>0</v>
      </c>
      <c r="M739" s="37">
        <f t="shared" si="290"/>
        <v>3.6181753277755814E-4</v>
      </c>
      <c r="N739" s="37">
        <f t="shared" si="290"/>
        <v>3.6181753277755814E-4</v>
      </c>
      <c r="O739" s="37">
        <f t="shared" si="290"/>
        <v>3.6181753277755814E-4</v>
      </c>
      <c r="P739" s="37">
        <f t="shared" si="290"/>
        <v>1.4314016604786967E-4</v>
      </c>
      <c r="Q739" s="37">
        <f t="shared" si="290"/>
        <v>1.4314016604786967E-4</v>
      </c>
      <c r="R739" s="37">
        <f t="shared" si="290"/>
        <v>1.4314016604786967E-4</v>
      </c>
      <c r="S739" s="37">
        <f t="shared" si="290"/>
        <v>1.4314016604786967E-4</v>
      </c>
      <c r="T739" s="37">
        <f t="shared" si="290"/>
        <v>1.4314016604786967E-4</v>
      </c>
      <c r="U739" s="37">
        <f t="shared" si="290"/>
        <v>1.4314016604786967E-4</v>
      </c>
      <c r="V739" s="37">
        <f t="shared" si="290"/>
        <v>1.3565141236125477E-4</v>
      </c>
      <c r="W739" s="37">
        <f t="shared" si="290"/>
        <v>1.3565141236125477E-4</v>
      </c>
      <c r="X739" s="37">
        <f t="shared" si="290"/>
        <v>1.3565141236125477E-4</v>
      </c>
      <c r="Y739" s="27">
        <f t="shared" si="280"/>
        <v>3.9002503639437138E-3</v>
      </c>
      <c r="Z739" s="10"/>
    </row>
    <row r="740" spans="1:26" outlineLevel="1" x14ac:dyDescent="0.3">
      <c r="A740" t="s">
        <v>172</v>
      </c>
      <c r="B740" t="s">
        <v>84</v>
      </c>
      <c r="C740" s="6" t="s">
        <v>160</v>
      </c>
      <c r="D740" s="10">
        <v>0</v>
      </c>
      <c r="E740" s="37">
        <f t="shared" ref="E740:X740" si="291">_xlfn.MAXIFS(F$403:F$594,$A$403:$A$594,"Summer",$B$403:$B$594,$B740)</f>
        <v>2.1963574469954756E-4</v>
      </c>
      <c r="F740" s="37">
        <f t="shared" si="291"/>
        <v>0</v>
      </c>
      <c r="G740" s="37">
        <f t="shared" si="291"/>
        <v>3.5987227722499064E-4</v>
      </c>
      <c r="H740" s="37">
        <f t="shared" si="291"/>
        <v>3.5987227722499064E-4</v>
      </c>
      <c r="I740" s="37">
        <f t="shared" si="291"/>
        <v>3.5987227722499064E-4</v>
      </c>
      <c r="J740" s="10">
        <v>0</v>
      </c>
      <c r="K740" s="37">
        <f t="shared" si="291"/>
        <v>1.7866583198600377E-4</v>
      </c>
      <c r="L740" s="37">
        <f t="shared" si="291"/>
        <v>0</v>
      </c>
      <c r="M740" s="37">
        <f t="shared" si="291"/>
        <v>3.5987227722499064E-4</v>
      </c>
      <c r="N740" s="37">
        <f t="shared" si="291"/>
        <v>3.5987227722499064E-4</v>
      </c>
      <c r="O740" s="37">
        <f t="shared" si="291"/>
        <v>3.5987227722499064E-4</v>
      </c>
      <c r="P740" s="37">
        <f t="shared" si="291"/>
        <v>1.4259693961125535E-4</v>
      </c>
      <c r="Q740" s="37">
        <f t="shared" si="291"/>
        <v>1.4259693961125535E-4</v>
      </c>
      <c r="R740" s="37">
        <f t="shared" si="291"/>
        <v>1.4259693961125535E-4</v>
      </c>
      <c r="S740" s="37">
        <f t="shared" si="291"/>
        <v>1.4259693961125535E-4</v>
      </c>
      <c r="T740" s="37">
        <f t="shared" si="291"/>
        <v>1.4259693961125535E-4</v>
      </c>
      <c r="U740" s="37">
        <f t="shared" si="291"/>
        <v>1.4259693961125535E-4</v>
      </c>
      <c r="V740" s="37">
        <f t="shared" si="291"/>
        <v>1.353869846568469E-4</v>
      </c>
      <c r="W740" s="37">
        <f t="shared" si="291"/>
        <v>1.353869846568469E-4</v>
      </c>
      <c r="X740" s="37">
        <f t="shared" si="291"/>
        <v>1.353869846568469E-4</v>
      </c>
      <c r="Y740" s="27">
        <f t="shared" si="280"/>
        <v>3.8192778316735666E-3</v>
      </c>
      <c r="Z740" s="10"/>
    </row>
    <row r="741" spans="1:26" outlineLevel="1" x14ac:dyDescent="0.3">
      <c r="A741" t="s">
        <v>172</v>
      </c>
      <c r="B741" t="s">
        <v>85</v>
      </c>
      <c r="C741" s="6" t="s">
        <v>161</v>
      </c>
      <c r="D741" s="10">
        <v>0</v>
      </c>
      <c r="E741" s="37">
        <f t="shared" ref="E741:X741" si="292">_xlfn.MAXIFS(F$403:F$594,$A$403:$A$594,"Summer",$B$403:$B$594,$B741)</f>
        <v>1.7880755891511719E-4</v>
      </c>
      <c r="F741" s="37">
        <f t="shared" si="292"/>
        <v>0</v>
      </c>
      <c r="G741" s="37">
        <f t="shared" si="292"/>
        <v>2.9762409954283006E-4</v>
      </c>
      <c r="H741" s="37">
        <f t="shared" si="292"/>
        <v>2.9762409954283006E-4</v>
      </c>
      <c r="I741" s="37">
        <f t="shared" si="292"/>
        <v>2.9762409954283006E-4</v>
      </c>
      <c r="J741" s="10">
        <v>0</v>
      </c>
      <c r="K741" s="37">
        <f t="shared" si="292"/>
        <v>1.5944162096366351E-4</v>
      </c>
      <c r="L741" s="37">
        <f t="shared" si="292"/>
        <v>0</v>
      </c>
      <c r="M741" s="37">
        <f t="shared" si="292"/>
        <v>2.9762409954283006E-4</v>
      </c>
      <c r="N741" s="37">
        <f t="shared" si="292"/>
        <v>2.9762409954283006E-4</v>
      </c>
      <c r="O741" s="37">
        <f t="shared" si="292"/>
        <v>2.9762409954283006E-4</v>
      </c>
      <c r="P741" s="37">
        <f t="shared" si="292"/>
        <v>1.4178209995633392E-4</v>
      </c>
      <c r="Q741" s="37">
        <f t="shared" si="292"/>
        <v>1.4178209995633392E-4</v>
      </c>
      <c r="R741" s="37">
        <f t="shared" si="292"/>
        <v>1.4178209995633392E-4</v>
      </c>
      <c r="S741" s="37">
        <f t="shared" si="292"/>
        <v>1.4178209995633392E-4</v>
      </c>
      <c r="T741" s="37">
        <f t="shared" si="292"/>
        <v>1.4178209995633392E-4</v>
      </c>
      <c r="U741" s="37">
        <f t="shared" si="292"/>
        <v>1.4178209995633392E-4</v>
      </c>
      <c r="V741" s="37">
        <f t="shared" si="292"/>
        <v>1.3459370154362318E-4</v>
      </c>
      <c r="W741" s="37">
        <f t="shared" si="292"/>
        <v>1.3459370154362318E-4</v>
      </c>
      <c r="X741" s="37">
        <f t="shared" si="292"/>
        <v>1.3459370154362318E-4</v>
      </c>
      <c r="Y741" s="27">
        <f t="shared" si="280"/>
        <v>3.3784674815046348E-3</v>
      </c>
      <c r="Z741" s="10"/>
    </row>
    <row r="742" spans="1:26" outlineLevel="1" x14ac:dyDescent="0.3">
      <c r="A742" t="s">
        <v>172</v>
      </c>
      <c r="B742" t="s">
        <v>86</v>
      </c>
      <c r="C742" s="6" t="s">
        <v>162</v>
      </c>
      <c r="D742" s="10">
        <v>0</v>
      </c>
      <c r="E742" s="37">
        <f t="shared" ref="E742:X742" si="293">_xlfn.MAXIFS(F$403:F$594,$A$403:$A$594,"Summer",$B$403:$B$594,$B742)</f>
        <v>1.4379106653244957E-4</v>
      </c>
      <c r="F742" s="37">
        <f t="shared" si="293"/>
        <v>0</v>
      </c>
      <c r="G742" s="37">
        <f t="shared" si="293"/>
        <v>1.9209398581604227E-4</v>
      </c>
      <c r="H742" s="37">
        <f t="shared" si="293"/>
        <v>1.9209398581604227E-4</v>
      </c>
      <c r="I742" s="37">
        <f t="shared" si="293"/>
        <v>1.9209398581604227E-4</v>
      </c>
      <c r="J742" s="10">
        <v>0</v>
      </c>
      <c r="K742" s="37">
        <f t="shared" si="293"/>
        <v>1.4285967947142691E-4</v>
      </c>
      <c r="L742" s="37">
        <f t="shared" si="293"/>
        <v>0</v>
      </c>
      <c r="M742" s="37">
        <f t="shared" si="293"/>
        <v>1.9209398581604227E-4</v>
      </c>
      <c r="N742" s="37">
        <f t="shared" si="293"/>
        <v>1.9209398581604227E-4</v>
      </c>
      <c r="O742" s="37">
        <f t="shared" si="293"/>
        <v>1.9209398581604227E-4</v>
      </c>
      <c r="P742" s="37">
        <f t="shared" si="293"/>
        <v>1.4151048673802675E-4</v>
      </c>
      <c r="Q742" s="37">
        <f t="shared" si="293"/>
        <v>1.4151048673802675E-4</v>
      </c>
      <c r="R742" s="37">
        <f t="shared" si="293"/>
        <v>1.4151048673802675E-4</v>
      </c>
      <c r="S742" s="37">
        <f t="shared" si="293"/>
        <v>1.4151048673802675E-4</v>
      </c>
      <c r="T742" s="37">
        <f t="shared" si="293"/>
        <v>1.4151048673802675E-4</v>
      </c>
      <c r="U742" s="37">
        <f t="shared" si="293"/>
        <v>1.4151048673802675E-4</v>
      </c>
      <c r="V742" s="37">
        <f t="shared" si="293"/>
        <v>1.3380041843039946E-4</v>
      </c>
      <c r="W742" s="37">
        <f t="shared" si="293"/>
        <v>1.3380041843039946E-4</v>
      </c>
      <c r="X742" s="37">
        <f t="shared" si="293"/>
        <v>1.3380041843039946E-4</v>
      </c>
      <c r="Y742" s="27">
        <f t="shared" si="280"/>
        <v>2.689678836619489E-3</v>
      </c>
      <c r="Z742" s="10"/>
    </row>
    <row r="743" spans="1:26" outlineLevel="1" x14ac:dyDescent="0.3">
      <c r="A743" t="s">
        <v>172</v>
      </c>
      <c r="B743" t="s">
        <v>87</v>
      </c>
      <c r="C743" s="6" t="s">
        <v>163</v>
      </c>
      <c r="D743" s="10">
        <v>0</v>
      </c>
      <c r="E743" s="37">
        <f t="shared" ref="E743:X743" si="294">_xlfn.MAXIFS(F$403:F$594,$A$403:$A$594,"Summer",$B$403:$B$594,$B743)</f>
        <v>1.1699623592016645E-4</v>
      </c>
      <c r="F743" s="37">
        <f t="shared" si="294"/>
        <v>0</v>
      </c>
      <c r="G743" s="37">
        <f t="shared" si="294"/>
        <v>1.0723221233528436E-4</v>
      </c>
      <c r="H743" s="37">
        <f t="shared" si="294"/>
        <v>1.0723221233528436E-4</v>
      </c>
      <c r="I743" s="37">
        <f t="shared" si="294"/>
        <v>1.0723221233528436E-4</v>
      </c>
      <c r="J743" s="10">
        <v>0</v>
      </c>
      <c r="K743" s="37">
        <f t="shared" si="294"/>
        <v>1.2852540776900877E-4</v>
      </c>
      <c r="L743" s="37">
        <f t="shared" si="294"/>
        <v>0</v>
      </c>
      <c r="M743" s="37">
        <f t="shared" si="294"/>
        <v>1.0723221233528436E-4</v>
      </c>
      <c r="N743" s="37">
        <f t="shared" si="294"/>
        <v>1.0723221233528436E-4</v>
      </c>
      <c r="O743" s="37">
        <f t="shared" si="294"/>
        <v>1.0723221233528436E-4</v>
      </c>
      <c r="P743" s="37">
        <f t="shared" si="294"/>
        <v>9.4793013189196424E-5</v>
      </c>
      <c r="Q743" s="37">
        <f t="shared" si="294"/>
        <v>9.4793013189196424E-5</v>
      </c>
      <c r="R743" s="37">
        <f t="shared" si="294"/>
        <v>9.4793013189196424E-5</v>
      </c>
      <c r="S743" s="37">
        <f t="shared" si="294"/>
        <v>9.4793013189196424E-5</v>
      </c>
      <c r="T743" s="37">
        <f t="shared" si="294"/>
        <v>9.4793013189196424E-5</v>
      </c>
      <c r="U743" s="37">
        <f t="shared" si="294"/>
        <v>9.4793013189196424E-5</v>
      </c>
      <c r="V743" s="37">
        <f t="shared" si="294"/>
        <v>1.3327156302158367E-4</v>
      </c>
      <c r="W743" s="37">
        <f t="shared" si="294"/>
        <v>1.3327156302158367E-4</v>
      </c>
      <c r="X743" s="37">
        <f t="shared" si="294"/>
        <v>1.3327156302158367E-4</v>
      </c>
      <c r="Y743" s="27">
        <f t="shared" si="280"/>
        <v>1.8574876859008109E-3</v>
      </c>
      <c r="Z743" s="10"/>
    </row>
    <row r="744" spans="1:26" outlineLevel="1" x14ac:dyDescent="0.3">
      <c r="C744" s="6"/>
    </row>
    <row r="745" spans="1:26" x14ac:dyDescent="0.3">
      <c r="C745" s="6"/>
    </row>
    <row r="746" spans="1:26" x14ac:dyDescent="0.3">
      <c r="C746" s="6"/>
    </row>
    <row r="747" spans="1:26" x14ac:dyDescent="0.3">
      <c r="C747" s="6"/>
    </row>
    <row r="748" spans="1:26" x14ac:dyDescent="0.3">
      <c r="C748" s="6"/>
    </row>
    <row r="749" spans="1:26" x14ac:dyDescent="0.3">
      <c r="C749" s="6"/>
    </row>
    <row r="750" spans="1:26" x14ac:dyDescent="0.3">
      <c r="C750" s="6"/>
    </row>
    <row r="751" spans="1:26" x14ac:dyDescent="0.3">
      <c r="C751" s="6"/>
    </row>
    <row r="752" spans="1:26" x14ac:dyDescent="0.3">
      <c r="C752" s="6"/>
    </row>
    <row r="753" spans="3:3" x14ac:dyDescent="0.3">
      <c r="C753" s="6"/>
    </row>
    <row r="754" spans="3:3" x14ac:dyDescent="0.3">
      <c r="C754" s="6"/>
    </row>
    <row r="755" spans="3:3" x14ac:dyDescent="0.3">
      <c r="C755" s="6"/>
    </row>
    <row r="756" spans="3:3" x14ac:dyDescent="0.3">
      <c r="C756" s="6"/>
    </row>
    <row r="757" spans="3:3" x14ac:dyDescent="0.3">
      <c r="C757" s="6"/>
    </row>
    <row r="758" spans="3:3" x14ac:dyDescent="0.3">
      <c r="C758" s="6"/>
    </row>
    <row r="759" spans="3:3" x14ac:dyDescent="0.3">
      <c r="C759" s="6"/>
    </row>
    <row r="760" spans="3:3" x14ac:dyDescent="0.3">
      <c r="C760" s="6"/>
    </row>
    <row r="761" spans="3:3" x14ac:dyDescent="0.3">
      <c r="C761" s="6"/>
    </row>
    <row r="762" spans="3:3" x14ac:dyDescent="0.3">
      <c r="C762" s="6"/>
    </row>
    <row r="763" spans="3:3" x14ac:dyDescent="0.3">
      <c r="C763" s="6"/>
    </row>
    <row r="764" spans="3:3" x14ac:dyDescent="0.3">
      <c r="C764" s="6"/>
    </row>
    <row r="765" spans="3:3" x14ac:dyDescent="0.3">
      <c r="C765" s="6"/>
    </row>
    <row r="766" spans="3:3" x14ac:dyDescent="0.3">
      <c r="C766" s="6"/>
    </row>
    <row r="767" spans="3:3" x14ac:dyDescent="0.3">
      <c r="C767" s="6"/>
    </row>
    <row r="768" spans="3:3" x14ac:dyDescent="0.3">
      <c r="C768" s="6"/>
    </row>
    <row r="769" spans="3:3" x14ac:dyDescent="0.3">
      <c r="C769" s="6"/>
    </row>
    <row r="770" spans="3:3" x14ac:dyDescent="0.3">
      <c r="C770" s="6"/>
    </row>
    <row r="771" spans="3:3" x14ac:dyDescent="0.3">
      <c r="C771" s="6"/>
    </row>
    <row r="772" spans="3:3" x14ac:dyDescent="0.3">
      <c r="C772" s="6"/>
    </row>
    <row r="773" spans="3:3" x14ac:dyDescent="0.3">
      <c r="C773" s="6"/>
    </row>
    <row r="774" spans="3:3" x14ac:dyDescent="0.3">
      <c r="C774" s="6"/>
    </row>
    <row r="775" spans="3:3" x14ac:dyDescent="0.3">
      <c r="C775" s="6"/>
    </row>
    <row r="776" spans="3:3" x14ac:dyDescent="0.3">
      <c r="C776" s="6"/>
    </row>
    <row r="777" spans="3:3" x14ac:dyDescent="0.3">
      <c r="C777" s="6"/>
    </row>
    <row r="778" spans="3:3" x14ac:dyDescent="0.3">
      <c r="C778" s="6"/>
    </row>
    <row r="779" spans="3:3" x14ac:dyDescent="0.3">
      <c r="C779" s="6"/>
    </row>
    <row r="780" spans="3:3" x14ac:dyDescent="0.3">
      <c r="C780" s="6"/>
    </row>
    <row r="781" spans="3:3" x14ac:dyDescent="0.3">
      <c r="C781" s="6"/>
    </row>
    <row r="782" spans="3:3" x14ac:dyDescent="0.3">
      <c r="C782" s="6"/>
    </row>
    <row r="783" spans="3:3" x14ac:dyDescent="0.3">
      <c r="C783" s="6"/>
    </row>
    <row r="784" spans="3:3" x14ac:dyDescent="0.3">
      <c r="C784" s="6"/>
    </row>
    <row r="785" spans="3:3" x14ac:dyDescent="0.3">
      <c r="C785" s="6"/>
    </row>
    <row r="786" spans="3:3" x14ac:dyDescent="0.3">
      <c r="C786" s="6"/>
    </row>
    <row r="787" spans="3:3" x14ac:dyDescent="0.3">
      <c r="C787" s="6"/>
    </row>
    <row r="788" spans="3:3" x14ac:dyDescent="0.3">
      <c r="C788" s="6"/>
    </row>
    <row r="789" spans="3:3" x14ac:dyDescent="0.3">
      <c r="C789" s="6"/>
    </row>
    <row r="790" spans="3:3" x14ac:dyDescent="0.3">
      <c r="C790" s="6"/>
    </row>
    <row r="791" spans="3:3" x14ac:dyDescent="0.3">
      <c r="C791" s="6"/>
    </row>
  </sheetData>
  <mergeCells count="9">
    <mergeCell ref="B599:C599"/>
    <mergeCell ref="A1:Y1"/>
    <mergeCell ref="A198:Y198"/>
    <mergeCell ref="A395:Y395"/>
    <mergeCell ref="A400:Y400"/>
    <mergeCell ref="A597:Y597"/>
    <mergeCell ref="B3:C3"/>
    <mergeCell ref="B200:C200"/>
    <mergeCell ref="B402:C4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7E9A-9E47-4EEF-903C-51E7E43741C8}">
  <dimension ref="A1:G45"/>
  <sheetViews>
    <sheetView topLeftCell="A20" workbookViewId="0">
      <selection activeCell="G38" sqref="G38"/>
    </sheetView>
  </sheetViews>
  <sheetFormatPr defaultRowHeight="14.4" x14ac:dyDescent="0.3"/>
  <cols>
    <col min="1" max="1" width="33.88671875" bestFit="1" customWidth="1"/>
    <col min="2" max="2" width="19.5546875" customWidth="1"/>
    <col min="3" max="3" width="15.5546875" bestFit="1" customWidth="1"/>
    <col min="4" max="4" width="14" bestFit="1" customWidth="1"/>
    <col min="5" max="5" width="49.5546875" style="25" customWidth="1"/>
    <col min="6" max="6" width="11.5546875" style="21" bestFit="1" customWidth="1"/>
  </cols>
  <sheetData>
    <row r="1" spans="1:5" s="20" customFormat="1" x14ac:dyDescent="0.3">
      <c r="A1" s="20" t="s">
        <v>173</v>
      </c>
      <c r="B1" s="20" t="s">
        <v>174</v>
      </c>
      <c r="C1" s="20" t="s">
        <v>175</v>
      </c>
      <c r="D1" s="20" t="s">
        <v>176</v>
      </c>
      <c r="E1" s="24" t="s">
        <v>177</v>
      </c>
    </row>
    <row r="2" spans="1:5" x14ac:dyDescent="0.3">
      <c r="A2" t="s">
        <v>107</v>
      </c>
      <c r="B2" t="s">
        <v>49</v>
      </c>
      <c r="C2" t="s">
        <v>121</v>
      </c>
      <c r="D2" t="s">
        <v>121</v>
      </c>
    </row>
    <row r="3" spans="1:5" x14ac:dyDescent="0.3">
      <c r="A3" t="s">
        <v>108</v>
      </c>
      <c r="B3" t="s">
        <v>48</v>
      </c>
      <c r="C3" t="s">
        <v>121</v>
      </c>
      <c r="D3" t="s">
        <v>121</v>
      </c>
    </row>
    <row r="4" spans="1:5" x14ac:dyDescent="0.3">
      <c r="A4" t="s">
        <v>92</v>
      </c>
      <c r="B4" t="s">
        <v>49</v>
      </c>
      <c r="C4" t="s">
        <v>118</v>
      </c>
      <c r="D4" t="s">
        <v>126</v>
      </c>
    </row>
    <row r="5" spans="1:5" x14ac:dyDescent="0.3">
      <c r="A5" t="s">
        <v>94</v>
      </c>
      <c r="B5" t="s">
        <v>48</v>
      </c>
      <c r="C5" t="s">
        <v>118</v>
      </c>
      <c r="D5" t="s">
        <v>126</v>
      </c>
    </row>
    <row r="6" spans="1:5" x14ac:dyDescent="0.3">
      <c r="A6" t="s">
        <v>95</v>
      </c>
      <c r="B6" t="s">
        <v>49</v>
      </c>
      <c r="C6" t="s">
        <v>118</v>
      </c>
      <c r="D6" t="s">
        <v>125</v>
      </c>
    </row>
    <row r="7" spans="1:5" x14ac:dyDescent="0.3">
      <c r="A7" t="s">
        <v>96</v>
      </c>
      <c r="B7" t="s">
        <v>48</v>
      </c>
      <c r="C7" t="s">
        <v>118</v>
      </c>
      <c r="D7" t="s">
        <v>125</v>
      </c>
    </row>
    <row r="8" spans="1:5" x14ac:dyDescent="0.3">
      <c r="A8" t="s">
        <v>97</v>
      </c>
      <c r="B8" t="s">
        <v>49</v>
      </c>
      <c r="C8" t="s">
        <v>118</v>
      </c>
      <c r="D8" t="s">
        <v>128</v>
      </c>
    </row>
    <row r="9" spans="1:5" x14ac:dyDescent="0.3">
      <c r="A9" t="s">
        <v>98</v>
      </c>
      <c r="B9" t="s">
        <v>48</v>
      </c>
      <c r="C9" t="s">
        <v>118</v>
      </c>
      <c r="D9" t="s">
        <v>128</v>
      </c>
    </row>
    <row r="10" spans="1:5" ht="43.35" customHeight="1" x14ac:dyDescent="0.3">
      <c r="A10" t="s">
        <v>109</v>
      </c>
      <c r="B10" t="s">
        <v>49</v>
      </c>
      <c r="C10" t="s">
        <v>118</v>
      </c>
      <c r="D10" t="s">
        <v>50</v>
      </c>
      <c r="E10" s="52" t="s">
        <v>178</v>
      </c>
    </row>
    <row r="11" spans="1:5" x14ac:dyDescent="0.3">
      <c r="A11" t="s">
        <v>110</v>
      </c>
      <c r="B11" t="s">
        <v>48</v>
      </c>
      <c r="C11" t="s">
        <v>118</v>
      </c>
      <c r="D11" t="s">
        <v>50</v>
      </c>
      <c r="E11" s="52"/>
    </row>
    <row r="12" spans="1:5" x14ac:dyDescent="0.3">
      <c r="A12" t="s">
        <v>99</v>
      </c>
      <c r="B12" t="s">
        <v>49</v>
      </c>
      <c r="C12" t="s">
        <v>118</v>
      </c>
      <c r="D12" t="s">
        <v>129</v>
      </c>
    </row>
    <row r="13" spans="1:5" x14ac:dyDescent="0.3">
      <c r="A13" t="s">
        <v>100</v>
      </c>
      <c r="B13" t="s">
        <v>48</v>
      </c>
      <c r="C13" t="s">
        <v>118</v>
      </c>
      <c r="D13" t="s">
        <v>129</v>
      </c>
    </row>
    <row r="14" spans="1:5" x14ac:dyDescent="0.3">
      <c r="A14" t="s">
        <v>101</v>
      </c>
      <c r="B14" t="s">
        <v>49</v>
      </c>
      <c r="C14" t="s">
        <v>119</v>
      </c>
      <c r="D14" t="s">
        <v>126</v>
      </c>
    </row>
    <row r="15" spans="1:5" x14ac:dyDescent="0.3">
      <c r="A15" t="s">
        <v>102</v>
      </c>
      <c r="B15" t="s">
        <v>48</v>
      </c>
      <c r="C15" t="s">
        <v>119</v>
      </c>
      <c r="D15" t="s">
        <v>126</v>
      </c>
    </row>
    <row r="16" spans="1:5" x14ac:dyDescent="0.3">
      <c r="A16" t="s">
        <v>103</v>
      </c>
      <c r="B16" t="s">
        <v>49</v>
      </c>
      <c r="C16" t="s">
        <v>119</v>
      </c>
      <c r="D16" t="s">
        <v>125</v>
      </c>
    </row>
    <row r="17" spans="1:7" x14ac:dyDescent="0.3">
      <c r="A17" t="s">
        <v>104</v>
      </c>
      <c r="B17" t="s">
        <v>48</v>
      </c>
      <c r="C17" t="s">
        <v>119</v>
      </c>
      <c r="D17" t="s">
        <v>125</v>
      </c>
    </row>
    <row r="18" spans="1:7" ht="32.4" customHeight="1" x14ac:dyDescent="0.3">
      <c r="A18" t="s">
        <v>111</v>
      </c>
      <c r="B18" t="s">
        <v>49</v>
      </c>
      <c r="C18" t="s">
        <v>119</v>
      </c>
      <c r="D18" t="s">
        <v>50</v>
      </c>
      <c r="E18" s="52" t="s">
        <v>179</v>
      </c>
    </row>
    <row r="19" spans="1:7" ht="32.4" customHeight="1" x14ac:dyDescent="0.3">
      <c r="A19" t="s">
        <v>112</v>
      </c>
      <c r="B19" t="s">
        <v>48</v>
      </c>
      <c r="C19" t="s">
        <v>119</v>
      </c>
      <c r="D19" t="s">
        <v>50</v>
      </c>
      <c r="E19" s="52"/>
    </row>
    <row r="20" spans="1:7" x14ac:dyDescent="0.3">
      <c r="A20" t="s">
        <v>105</v>
      </c>
      <c r="B20" t="s">
        <v>49</v>
      </c>
      <c r="C20" t="s">
        <v>119</v>
      </c>
      <c r="D20" t="s">
        <v>129</v>
      </c>
    </row>
    <row r="21" spans="1:7" x14ac:dyDescent="0.3">
      <c r="A21" t="s">
        <v>106</v>
      </c>
      <c r="B21" t="s">
        <v>48</v>
      </c>
      <c r="C21" t="s">
        <v>119</v>
      </c>
      <c r="D21" t="s">
        <v>129</v>
      </c>
    </row>
    <row r="22" spans="1:7" x14ac:dyDescent="0.3">
      <c r="A22" t="s">
        <v>113</v>
      </c>
      <c r="B22" t="s">
        <v>49</v>
      </c>
      <c r="C22" t="s">
        <v>180</v>
      </c>
      <c r="D22" t="s">
        <v>50</v>
      </c>
    </row>
    <row r="23" spans="1:7" x14ac:dyDescent="0.3">
      <c r="A23" t="s">
        <v>114</v>
      </c>
      <c r="B23" t="s">
        <v>48</v>
      </c>
      <c r="C23" t="s">
        <v>180</v>
      </c>
      <c r="D23" t="s">
        <v>50</v>
      </c>
    </row>
    <row r="24" spans="1:7" x14ac:dyDescent="0.3">
      <c r="A24" t="s">
        <v>115</v>
      </c>
      <c r="B24" t="s">
        <v>49</v>
      </c>
      <c r="C24" t="s">
        <v>120</v>
      </c>
      <c r="D24" t="s">
        <v>120</v>
      </c>
    </row>
    <row r="25" spans="1:7" x14ac:dyDescent="0.3">
      <c r="A25" t="s">
        <v>116</v>
      </c>
      <c r="B25" t="s">
        <v>48</v>
      </c>
      <c r="C25" t="s">
        <v>120</v>
      </c>
      <c r="D25" t="s">
        <v>120</v>
      </c>
    </row>
    <row r="27" spans="1:7" s="1" customFormat="1" x14ac:dyDescent="0.3">
      <c r="A27" s="20" t="s">
        <v>63</v>
      </c>
      <c r="B27" s="20" t="s">
        <v>181</v>
      </c>
      <c r="C27" s="20" t="s">
        <v>182</v>
      </c>
      <c r="D27" s="20" t="s">
        <v>183</v>
      </c>
      <c r="E27" s="24" t="s">
        <v>184</v>
      </c>
      <c r="F27" s="20" t="s">
        <v>185</v>
      </c>
      <c r="G27" s="1" t="s">
        <v>122</v>
      </c>
    </row>
    <row r="28" spans="1:7" x14ac:dyDescent="0.3">
      <c r="A28" s="21">
        <v>1</v>
      </c>
      <c r="B28" s="21" t="s">
        <v>186</v>
      </c>
      <c r="C28" s="21" t="s">
        <v>187</v>
      </c>
      <c r="D28" s="21">
        <v>31</v>
      </c>
      <c r="E28" s="26">
        <f>D28*(2/7)</f>
        <v>8.8571428571428559</v>
      </c>
      <c r="F28" s="22">
        <f>D28*(5/7)</f>
        <v>22.142857142857142</v>
      </c>
      <c r="G28" t="str">
        <f>IF(AND(A28&gt;=3,A28&lt;=5),"Spring",IF(AND(A28&gt;=6,A28&lt;=8),"Summer",IF(AND(A28&gt;=9,A28&lt;=10),"Fall","Winter")))</f>
        <v>Winter</v>
      </c>
    </row>
    <row r="29" spans="1:7" x14ac:dyDescent="0.3">
      <c r="A29" s="21">
        <v>2</v>
      </c>
      <c r="B29" s="21" t="s">
        <v>188</v>
      </c>
      <c r="C29" s="21" t="s">
        <v>189</v>
      </c>
      <c r="D29" s="21">
        <v>28</v>
      </c>
      <c r="E29" s="26">
        <f t="shared" ref="E29:E39" si="0">D29*(2/7)</f>
        <v>8</v>
      </c>
      <c r="F29" s="22">
        <f t="shared" ref="F29:F39" si="1">D29*(5/7)</f>
        <v>20</v>
      </c>
      <c r="G29" t="str">
        <f t="shared" ref="G29:G39" si="2">IF(AND(A29&gt;=3,A29&lt;=5),"Spring",IF(AND(A29&gt;=6,A29&lt;=8),"Summer",IF(AND(A29&gt;=9,A29&lt;=10),"Fall","Winter")))</f>
        <v>Winter</v>
      </c>
    </row>
    <row r="30" spans="1:7" x14ac:dyDescent="0.3">
      <c r="A30" s="21">
        <v>3</v>
      </c>
      <c r="B30" s="21" t="s">
        <v>190</v>
      </c>
      <c r="C30" s="21" t="s">
        <v>191</v>
      </c>
      <c r="D30" s="21">
        <v>31</v>
      </c>
      <c r="E30" s="26">
        <f t="shared" si="0"/>
        <v>8.8571428571428559</v>
      </c>
      <c r="F30" s="22">
        <f t="shared" si="1"/>
        <v>22.142857142857142</v>
      </c>
      <c r="G30" t="str">
        <f t="shared" si="2"/>
        <v>Spring</v>
      </c>
    </row>
    <row r="31" spans="1:7" x14ac:dyDescent="0.3">
      <c r="A31" s="21">
        <v>4</v>
      </c>
      <c r="B31" s="21" t="s">
        <v>192</v>
      </c>
      <c r="C31" s="21" t="s">
        <v>193</v>
      </c>
      <c r="D31" s="21">
        <v>30</v>
      </c>
      <c r="E31" s="26">
        <f t="shared" si="0"/>
        <v>8.5714285714285712</v>
      </c>
      <c r="F31" s="22">
        <f t="shared" si="1"/>
        <v>21.428571428571431</v>
      </c>
      <c r="G31" t="str">
        <f t="shared" si="2"/>
        <v>Spring</v>
      </c>
    </row>
    <row r="32" spans="1:7" x14ac:dyDescent="0.3">
      <c r="A32" s="21">
        <v>5</v>
      </c>
      <c r="B32" s="21" t="s">
        <v>194</v>
      </c>
      <c r="C32" s="21" t="s">
        <v>194</v>
      </c>
      <c r="D32" s="21">
        <v>31</v>
      </c>
      <c r="E32" s="26">
        <f t="shared" si="0"/>
        <v>8.8571428571428559</v>
      </c>
      <c r="F32" s="22">
        <f t="shared" si="1"/>
        <v>22.142857142857142</v>
      </c>
      <c r="G32" t="str">
        <f t="shared" si="2"/>
        <v>Spring</v>
      </c>
    </row>
    <row r="33" spans="1:7" x14ac:dyDescent="0.3">
      <c r="A33" s="21">
        <v>6</v>
      </c>
      <c r="B33" s="21" t="s">
        <v>195</v>
      </c>
      <c r="C33" s="21" t="s">
        <v>196</v>
      </c>
      <c r="D33" s="21">
        <v>30</v>
      </c>
      <c r="E33" s="26">
        <f t="shared" si="0"/>
        <v>8.5714285714285712</v>
      </c>
      <c r="F33" s="22">
        <f t="shared" si="1"/>
        <v>21.428571428571431</v>
      </c>
      <c r="G33" t="str">
        <f t="shared" si="2"/>
        <v>Summer</v>
      </c>
    </row>
    <row r="34" spans="1:7" x14ac:dyDescent="0.3">
      <c r="A34" s="21">
        <v>7</v>
      </c>
      <c r="B34" s="21" t="s">
        <v>197</v>
      </c>
      <c r="C34" s="21" t="s">
        <v>198</v>
      </c>
      <c r="D34" s="21">
        <v>31</v>
      </c>
      <c r="E34" s="26">
        <f t="shared" si="0"/>
        <v>8.8571428571428559</v>
      </c>
      <c r="F34" s="22">
        <f t="shared" si="1"/>
        <v>22.142857142857142</v>
      </c>
      <c r="G34" t="str">
        <f t="shared" si="2"/>
        <v>Summer</v>
      </c>
    </row>
    <row r="35" spans="1:7" x14ac:dyDescent="0.3">
      <c r="A35" s="21">
        <v>8</v>
      </c>
      <c r="B35" s="21" t="s">
        <v>199</v>
      </c>
      <c r="C35" s="21" t="s">
        <v>200</v>
      </c>
      <c r="D35" s="21">
        <v>31</v>
      </c>
      <c r="E35" s="26">
        <f t="shared" si="0"/>
        <v>8.8571428571428559</v>
      </c>
      <c r="F35" s="22">
        <f t="shared" si="1"/>
        <v>22.142857142857142</v>
      </c>
      <c r="G35" t="str">
        <f t="shared" si="2"/>
        <v>Summer</v>
      </c>
    </row>
    <row r="36" spans="1:7" x14ac:dyDescent="0.3">
      <c r="A36" s="21">
        <v>9</v>
      </c>
      <c r="B36" s="21" t="s">
        <v>201</v>
      </c>
      <c r="C36" s="21" t="s">
        <v>202</v>
      </c>
      <c r="D36" s="21">
        <v>30</v>
      </c>
      <c r="E36" s="26">
        <f t="shared" si="0"/>
        <v>8.5714285714285712</v>
      </c>
      <c r="F36" s="22">
        <f t="shared" si="1"/>
        <v>21.428571428571431</v>
      </c>
      <c r="G36" t="str">
        <f t="shared" si="2"/>
        <v>Fall</v>
      </c>
    </row>
    <row r="37" spans="1:7" x14ac:dyDescent="0.3">
      <c r="A37" s="21">
        <v>10</v>
      </c>
      <c r="B37" s="21" t="s">
        <v>203</v>
      </c>
      <c r="C37" s="21" t="s">
        <v>204</v>
      </c>
      <c r="D37" s="21">
        <v>31</v>
      </c>
      <c r="E37" s="26">
        <f t="shared" si="0"/>
        <v>8.8571428571428559</v>
      </c>
      <c r="F37" s="22">
        <f t="shared" si="1"/>
        <v>22.142857142857142</v>
      </c>
      <c r="G37" t="str">
        <f t="shared" si="2"/>
        <v>Fall</v>
      </c>
    </row>
    <row r="38" spans="1:7" x14ac:dyDescent="0.3">
      <c r="A38" s="21">
        <v>11</v>
      </c>
      <c r="B38" s="21" t="s">
        <v>205</v>
      </c>
      <c r="C38" s="21" t="s">
        <v>206</v>
      </c>
      <c r="D38" s="21">
        <v>30</v>
      </c>
      <c r="E38" s="26">
        <f t="shared" si="0"/>
        <v>8.5714285714285712</v>
      </c>
      <c r="F38" s="22">
        <f t="shared" si="1"/>
        <v>21.428571428571431</v>
      </c>
      <c r="G38" t="s">
        <v>166</v>
      </c>
    </row>
    <row r="39" spans="1:7" x14ac:dyDescent="0.3">
      <c r="A39" s="21">
        <v>12</v>
      </c>
      <c r="B39" s="21" t="s">
        <v>207</v>
      </c>
      <c r="C39" s="21" t="s">
        <v>208</v>
      </c>
      <c r="D39" s="21">
        <v>31</v>
      </c>
      <c r="E39" s="26">
        <f t="shared" si="0"/>
        <v>8.8571428571428559</v>
      </c>
      <c r="F39" s="22">
        <f t="shared" si="1"/>
        <v>22.142857142857142</v>
      </c>
      <c r="G39" t="str">
        <f t="shared" si="2"/>
        <v>Winter</v>
      </c>
    </row>
    <row r="41" spans="1:7" s="20" customFormat="1" x14ac:dyDescent="0.3">
      <c r="A41" s="20" t="s">
        <v>122</v>
      </c>
      <c r="B41" s="20" t="s">
        <v>209</v>
      </c>
      <c r="C41" s="20" t="s">
        <v>210</v>
      </c>
      <c r="D41" s="20" t="s">
        <v>184</v>
      </c>
      <c r="E41" s="24" t="s">
        <v>185</v>
      </c>
    </row>
    <row r="42" spans="1:7" s="21" customFormat="1" x14ac:dyDescent="0.3">
      <c r="A42" s="21" t="s">
        <v>139</v>
      </c>
      <c r="B42" s="28">
        <f>SUMIF($G$28:$G$39,A42,$F$28:$F$39)+SUMIF($G$28:$G$39,A42,$E$28:$E$39)</f>
        <v>89.999999999999986</v>
      </c>
      <c r="C42" s="21">
        <f>B42*24</f>
        <v>2159.9999999999995</v>
      </c>
      <c r="D42" s="22">
        <f>B42*(2/7)</f>
        <v>25.714285714285708</v>
      </c>
      <c r="E42" s="26">
        <f>B42*(5/7)</f>
        <v>64.285714285714278</v>
      </c>
    </row>
    <row r="43" spans="1:7" s="21" customFormat="1" x14ac:dyDescent="0.3">
      <c r="A43" s="21" t="s">
        <v>164</v>
      </c>
      <c r="B43" s="28">
        <f t="shared" ref="B43:B45" si="3">SUMIF($G$28:$G$39,A43,$F$28:$F$39)+SUMIF($G$28:$G$39,A43,$E$28:$E$39)</f>
        <v>92</v>
      </c>
      <c r="C43" s="21">
        <f t="shared" ref="C43:C45" si="4">B43*24</f>
        <v>2208</v>
      </c>
      <c r="D43" s="22">
        <f t="shared" ref="D43:D45" si="5">B43*(2/7)</f>
        <v>26.285714285714285</v>
      </c>
      <c r="E43" s="26">
        <f t="shared" ref="E43:E45" si="6">B43*(5/7)</f>
        <v>65.714285714285722</v>
      </c>
    </row>
    <row r="44" spans="1:7" s="21" customFormat="1" x14ac:dyDescent="0.3">
      <c r="A44" s="21" t="s">
        <v>165</v>
      </c>
      <c r="B44" s="28">
        <f t="shared" si="3"/>
        <v>92</v>
      </c>
      <c r="C44" s="21">
        <f t="shared" si="4"/>
        <v>2208</v>
      </c>
      <c r="D44" s="22">
        <f t="shared" si="5"/>
        <v>26.285714285714285</v>
      </c>
      <c r="E44" s="26">
        <f t="shared" si="6"/>
        <v>65.714285714285722</v>
      </c>
    </row>
    <row r="45" spans="1:7" s="21" customFormat="1" x14ac:dyDescent="0.3">
      <c r="A45" s="21" t="s">
        <v>166</v>
      </c>
      <c r="B45" s="28">
        <f t="shared" si="3"/>
        <v>91</v>
      </c>
      <c r="C45" s="21">
        <f t="shared" si="4"/>
        <v>2184</v>
      </c>
      <c r="D45" s="22">
        <f t="shared" si="5"/>
        <v>26</v>
      </c>
      <c r="E45" s="26">
        <f t="shared" si="6"/>
        <v>65</v>
      </c>
    </row>
  </sheetData>
  <mergeCells count="2">
    <mergeCell ref="E10:E11"/>
    <mergeCell ref="E18:E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F0FE9E-28FA-4421-84C3-479D11029F57}">
          <x14:formula1>
            <xm:f>About!$A$68:$A$69</xm:f>
          </x14:formula1>
          <xm:sqref>B2:B25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2C27-F649-4EF2-930A-B79DC87FFC8A}">
  <sheetPr>
    <tabColor theme="5"/>
  </sheetPr>
  <dimension ref="A1:W21"/>
  <sheetViews>
    <sheetView workbookViewId="0">
      <selection activeCell="F2" sqref="F2"/>
    </sheetView>
  </sheetViews>
  <sheetFormatPr defaultRowHeight="14.4" x14ac:dyDescent="0.3"/>
  <cols>
    <col min="1" max="1" width="17.33203125" customWidth="1"/>
    <col min="2" max="2" width="20.5546875" customWidth="1"/>
    <col min="3" max="23" width="13.109375" customWidth="1"/>
  </cols>
  <sheetData>
    <row r="1" spans="1:23" s="8" customFormat="1" ht="43.2" x14ac:dyDescent="0.3">
      <c r="B1" s="8" t="s">
        <v>211</v>
      </c>
      <c r="C1" s="9" t="s">
        <v>212</v>
      </c>
      <c r="D1" s="8" t="s">
        <v>213</v>
      </c>
      <c r="E1" s="8" t="s">
        <v>214</v>
      </c>
      <c r="F1" s="8" t="s">
        <v>215</v>
      </c>
      <c r="G1" s="8" t="s">
        <v>216</v>
      </c>
      <c r="H1" s="8" t="s">
        <v>217</v>
      </c>
      <c r="I1" s="8" t="s">
        <v>218</v>
      </c>
      <c r="J1" s="8" t="s">
        <v>219</v>
      </c>
      <c r="K1" s="8" t="s">
        <v>220</v>
      </c>
      <c r="L1" s="8" t="s">
        <v>221</v>
      </c>
      <c r="M1" s="8" t="s">
        <v>222</v>
      </c>
      <c r="N1" s="8" t="s">
        <v>223</v>
      </c>
      <c r="O1" s="8" t="s">
        <v>224</v>
      </c>
      <c r="P1" s="8" t="s">
        <v>225</v>
      </c>
      <c r="Q1" s="8" t="s">
        <v>226</v>
      </c>
      <c r="R1" s="8" t="s">
        <v>227</v>
      </c>
      <c r="S1" s="8" t="s">
        <v>228</v>
      </c>
      <c r="T1" s="8" t="s">
        <v>229</v>
      </c>
      <c r="U1" s="8" t="s">
        <v>230</v>
      </c>
      <c r="V1" s="8" t="s">
        <v>231</v>
      </c>
      <c r="W1" s="8" t="s">
        <v>232</v>
      </c>
    </row>
    <row r="2" spans="1:23" x14ac:dyDescent="0.3">
      <c r="A2" s="7" t="s">
        <v>139</v>
      </c>
      <c r="B2" s="23">
        <f>'SHELF-days-per-timeslice'!B2</f>
        <v>89.999999999999986</v>
      </c>
      <c r="C2">
        <f ca="1">SUM(INDIRECT("'"&amp;C$1&amp;"'!B"&amp;ROW($A2)&amp;":Y"&amp;ROW($A2)))</f>
        <v>0</v>
      </c>
      <c r="D2">
        <f ca="1">SUM(INDIRECT("'"&amp;D$1&amp;"'!B"&amp;ROW($A2)&amp;":Y"&amp;ROW($A2)))</f>
        <v>1.5460161349988085E-3</v>
      </c>
      <c r="E2">
        <f t="shared" ref="E2:W5" ca="1" si="0">SUM(INDIRECT("'"&amp;E$1&amp;"'!B"&amp;ROW($A2)&amp;":Y"&amp;ROW($A2)))</f>
        <v>0</v>
      </c>
      <c r="F2">
        <f t="shared" ca="1" si="0"/>
        <v>4.0288946558217041E-3</v>
      </c>
      <c r="G2">
        <f t="shared" ca="1" si="0"/>
        <v>4.0288946558217041E-3</v>
      </c>
      <c r="H2">
        <f t="shared" ca="1" si="0"/>
        <v>4.0288946558217041E-3</v>
      </c>
      <c r="I2">
        <f t="shared" ca="1" si="0"/>
        <v>0</v>
      </c>
      <c r="J2">
        <f t="shared" ca="1" si="0"/>
        <v>1.545917567883573E-3</v>
      </c>
      <c r="K2">
        <f t="shared" ca="1" si="0"/>
        <v>0</v>
      </c>
      <c r="L2">
        <f t="shared" ca="1" si="0"/>
        <v>4.0288946558217041E-3</v>
      </c>
      <c r="M2">
        <f t="shared" ca="1" si="0"/>
        <v>4.0288946558217041E-3</v>
      </c>
      <c r="N2">
        <f t="shared" ca="1" si="0"/>
        <v>4.0288946558217041E-3</v>
      </c>
      <c r="O2">
        <f t="shared" ca="1" si="0"/>
        <v>3.9286073812925303E-3</v>
      </c>
      <c r="P2">
        <f t="shared" ca="1" si="0"/>
        <v>3.9286073812925303E-3</v>
      </c>
      <c r="Q2">
        <f t="shared" ca="1" si="0"/>
        <v>3.9286073812925303E-3</v>
      </c>
      <c r="R2">
        <f t="shared" ca="1" si="0"/>
        <v>3.9286073812925303E-3</v>
      </c>
      <c r="S2">
        <f t="shared" ca="1" si="0"/>
        <v>3.9286073812925303E-3</v>
      </c>
      <c r="T2">
        <f t="shared" ca="1" si="0"/>
        <v>3.9286073812925303E-3</v>
      </c>
      <c r="U2">
        <f t="shared" ca="1" si="0"/>
        <v>3.7110405231847356E-3</v>
      </c>
      <c r="V2">
        <f t="shared" ca="1" si="0"/>
        <v>3.7110405231847356E-3</v>
      </c>
      <c r="W2">
        <f t="shared" ca="1" si="0"/>
        <v>3.7110405231847356E-3</v>
      </c>
    </row>
    <row r="3" spans="1:23" x14ac:dyDescent="0.3">
      <c r="A3" s="7" t="s">
        <v>164</v>
      </c>
      <c r="B3" s="23">
        <f>'SHELF-days-per-timeslice'!B3</f>
        <v>92</v>
      </c>
      <c r="C3">
        <f t="shared" ref="C3:R5" ca="1" si="1">SUM(INDIRECT("'"&amp;C$1&amp;"'!B"&amp;ROW($A3)&amp;":Y"&amp;ROW($A3)))</f>
        <v>0</v>
      </c>
      <c r="D3">
        <f t="shared" ca="1" si="1"/>
        <v>3.2300959065231102E-3</v>
      </c>
      <c r="E3">
        <f t="shared" ca="1" si="1"/>
        <v>0</v>
      </c>
      <c r="F3">
        <f t="shared" ca="1" si="1"/>
        <v>2.6172358360131561E-3</v>
      </c>
      <c r="G3">
        <f t="shared" ca="1" si="1"/>
        <v>2.6172358360131561E-3</v>
      </c>
      <c r="H3">
        <f t="shared" ca="1" si="1"/>
        <v>2.6172358360131561E-3</v>
      </c>
      <c r="I3">
        <f t="shared" ca="1" si="1"/>
        <v>0</v>
      </c>
      <c r="J3">
        <f t="shared" ca="1" si="1"/>
        <v>3.2304878411431735E-3</v>
      </c>
      <c r="K3">
        <f t="shared" ca="1" si="1"/>
        <v>0</v>
      </c>
      <c r="L3">
        <f t="shared" ca="1" si="1"/>
        <v>2.6172358360131561E-3</v>
      </c>
      <c r="M3">
        <f t="shared" ca="1" si="1"/>
        <v>2.6172358360131561E-3</v>
      </c>
      <c r="N3">
        <f t="shared" ca="1" si="1"/>
        <v>2.6172358360131561E-3</v>
      </c>
      <c r="O3">
        <f t="shared" ca="1" si="1"/>
        <v>2.6919198047538643E-3</v>
      </c>
      <c r="P3">
        <f t="shared" ca="1" si="1"/>
        <v>2.6919198047538643E-3</v>
      </c>
      <c r="Q3">
        <f t="shared" ca="1" si="1"/>
        <v>2.6919198047538643E-3</v>
      </c>
      <c r="R3">
        <f t="shared" ca="1" si="1"/>
        <v>2.6919198047538643E-3</v>
      </c>
      <c r="S3">
        <f t="shared" ca="1" si="0"/>
        <v>2.6919198047538643E-3</v>
      </c>
      <c r="T3">
        <f t="shared" ca="1" si="0"/>
        <v>2.6919198047538643E-3</v>
      </c>
      <c r="U3">
        <f t="shared" ca="1" si="0"/>
        <v>2.7161258289053027E-3</v>
      </c>
      <c r="V3">
        <f t="shared" ca="1" si="0"/>
        <v>2.7161258289053027E-3</v>
      </c>
      <c r="W3">
        <f t="shared" ca="1" si="0"/>
        <v>2.7161258289053027E-3</v>
      </c>
    </row>
    <row r="4" spans="1:23" x14ac:dyDescent="0.3">
      <c r="A4" s="7" t="s">
        <v>165</v>
      </c>
      <c r="B4" s="23">
        <f>'SHELF-days-per-timeslice'!B4</f>
        <v>92</v>
      </c>
      <c r="C4">
        <f t="shared" ca="1" si="1"/>
        <v>0</v>
      </c>
      <c r="D4">
        <f t="shared" ca="1" si="1"/>
        <v>4.1428792528291156E-3</v>
      </c>
      <c r="E4">
        <f t="shared" ca="1" si="0"/>
        <v>0</v>
      </c>
      <c r="F4">
        <f t="shared" ca="1" si="0"/>
        <v>2.4912435666236969E-3</v>
      </c>
      <c r="G4">
        <f t="shared" ca="1" si="0"/>
        <v>2.4912435666236969E-3</v>
      </c>
      <c r="H4">
        <f t="shared" ca="1" si="0"/>
        <v>2.4912435666236969E-3</v>
      </c>
      <c r="I4">
        <f t="shared" ca="1" si="0"/>
        <v>0</v>
      </c>
      <c r="J4">
        <f t="shared" ca="1" si="0"/>
        <v>4.1431652825612408E-3</v>
      </c>
      <c r="K4">
        <f t="shared" ca="1" si="0"/>
        <v>0</v>
      </c>
      <c r="L4">
        <f t="shared" ca="1" si="0"/>
        <v>2.4912435666236969E-3</v>
      </c>
      <c r="M4">
        <f t="shared" ca="1" si="0"/>
        <v>2.4912435666236969E-3</v>
      </c>
      <c r="N4">
        <f t="shared" ca="1" si="0"/>
        <v>2.4912435666236969E-3</v>
      </c>
      <c r="O4">
        <f t="shared" ca="1" si="0"/>
        <v>2.5083325503112261E-3</v>
      </c>
      <c r="P4">
        <f t="shared" ca="1" si="0"/>
        <v>2.5083325503112261E-3</v>
      </c>
      <c r="Q4">
        <f t="shared" ca="1" si="0"/>
        <v>2.5083325503112261E-3</v>
      </c>
      <c r="R4">
        <f t="shared" ca="1" si="0"/>
        <v>2.5083325503112261E-3</v>
      </c>
      <c r="S4">
        <f t="shared" ca="1" si="0"/>
        <v>2.5083325503112261E-3</v>
      </c>
      <c r="T4">
        <f t="shared" ca="1" si="0"/>
        <v>2.5083325503112261E-3</v>
      </c>
      <c r="U4">
        <f t="shared" ca="1" si="0"/>
        <v>2.6992780065958838E-3</v>
      </c>
      <c r="V4">
        <f t="shared" ca="1" si="0"/>
        <v>2.6992780065958838E-3</v>
      </c>
      <c r="W4">
        <f t="shared" ca="1" si="0"/>
        <v>2.6992780065958838E-3</v>
      </c>
    </row>
    <row r="5" spans="1:23" x14ac:dyDescent="0.3">
      <c r="A5" s="7" t="s">
        <v>166</v>
      </c>
      <c r="B5" s="23">
        <f>'SHELF-days-per-timeslice'!B5</f>
        <v>91</v>
      </c>
      <c r="C5">
        <f t="shared" ca="1" si="1"/>
        <v>0</v>
      </c>
      <c r="D5">
        <f t="shared" ca="1" si="1"/>
        <v>2.0059871779088173E-3</v>
      </c>
      <c r="E5">
        <f t="shared" ca="1" si="0"/>
        <v>0</v>
      </c>
      <c r="F5">
        <f t="shared" ca="1" si="0"/>
        <v>1.8397733619061121E-3</v>
      </c>
      <c r="G5">
        <f t="shared" ca="1" si="0"/>
        <v>1.8397733619061121E-3</v>
      </c>
      <c r="H5">
        <f t="shared" ca="1" si="0"/>
        <v>1.8397733619061121E-3</v>
      </c>
      <c r="I5">
        <f t="shared" ca="1" si="0"/>
        <v>0</v>
      </c>
      <c r="J5">
        <f t="shared" ca="1" si="0"/>
        <v>2.0053992473590358E-3</v>
      </c>
      <c r="K5">
        <f t="shared" ca="1" si="0"/>
        <v>0</v>
      </c>
      <c r="L5">
        <f t="shared" ca="1" si="0"/>
        <v>1.8397733619061121E-3</v>
      </c>
      <c r="M5">
        <f t="shared" ca="1" si="0"/>
        <v>1.8397733619061121E-3</v>
      </c>
      <c r="N5">
        <f t="shared" ca="1" si="0"/>
        <v>1.8397733619061121E-3</v>
      </c>
      <c r="O5">
        <f t="shared" ca="1" si="0"/>
        <v>1.8461771320624606E-3</v>
      </c>
      <c r="P5">
        <f t="shared" ca="1" si="0"/>
        <v>1.8461771320624606E-3</v>
      </c>
      <c r="Q5">
        <f t="shared" ca="1" si="0"/>
        <v>1.8461771320624606E-3</v>
      </c>
      <c r="R5">
        <f t="shared" ca="1" si="0"/>
        <v>1.8461771320624606E-3</v>
      </c>
      <c r="S5">
        <f t="shared" ca="1" si="0"/>
        <v>1.8461771320624606E-3</v>
      </c>
      <c r="T5">
        <f t="shared" ca="1" si="0"/>
        <v>1.8461771320624606E-3</v>
      </c>
      <c r="U5">
        <f t="shared" ca="1" si="0"/>
        <v>1.8438373631567532E-3</v>
      </c>
      <c r="V5">
        <f t="shared" ca="1" si="0"/>
        <v>1.8438373631567532E-3</v>
      </c>
      <c r="W5">
        <f t="shared" ca="1" si="0"/>
        <v>1.8438373631567532E-3</v>
      </c>
    </row>
    <row r="7" spans="1:23" x14ac:dyDescent="0.3">
      <c r="A7" s="7" t="s">
        <v>233</v>
      </c>
      <c r="C7" s="10">
        <f t="shared" ref="C7:W7" ca="1" si="2">ROUND(SUMPRODUCT($B2:$B5,C2:C5),10)</f>
        <v>0</v>
      </c>
      <c r="D7" s="10">
        <f t="shared" ca="1" si="2"/>
        <v>1</v>
      </c>
      <c r="E7" s="10">
        <f t="shared" ca="1" si="2"/>
        <v>0</v>
      </c>
      <c r="F7" s="10">
        <f t="shared" ca="1" si="2"/>
        <v>1</v>
      </c>
      <c r="G7" s="10">
        <f t="shared" ca="1" si="2"/>
        <v>1</v>
      </c>
      <c r="H7" s="10">
        <f t="shared" ca="1" si="2"/>
        <v>1</v>
      </c>
      <c r="I7" s="10">
        <f t="shared" ca="1" si="2"/>
        <v>0</v>
      </c>
      <c r="J7" s="10">
        <f t="shared" ca="1" si="2"/>
        <v>1</v>
      </c>
      <c r="K7" s="10">
        <f t="shared" ca="1" si="2"/>
        <v>0</v>
      </c>
      <c r="L7" s="10">
        <f t="shared" ca="1" si="2"/>
        <v>1</v>
      </c>
      <c r="M7" s="10">
        <f t="shared" ca="1" si="2"/>
        <v>1</v>
      </c>
      <c r="N7" s="10">
        <f t="shared" ca="1" si="2"/>
        <v>1</v>
      </c>
      <c r="O7" s="10">
        <f t="shared" ca="1" si="2"/>
        <v>1</v>
      </c>
      <c r="P7" s="10">
        <f t="shared" ca="1" si="2"/>
        <v>1</v>
      </c>
      <c r="Q7" s="10">
        <f t="shared" ca="1" si="2"/>
        <v>1</v>
      </c>
      <c r="R7" s="10">
        <f t="shared" ca="1" si="2"/>
        <v>1</v>
      </c>
      <c r="S7" s="10">
        <f t="shared" ca="1" si="2"/>
        <v>1</v>
      </c>
      <c r="T7" s="10">
        <f t="shared" ca="1" si="2"/>
        <v>1</v>
      </c>
      <c r="U7" s="10">
        <f t="shared" ca="1" si="2"/>
        <v>1</v>
      </c>
      <c r="V7" s="10">
        <f t="shared" ca="1" si="2"/>
        <v>1</v>
      </c>
      <c r="W7" s="10">
        <f t="shared" ca="1" si="2"/>
        <v>1</v>
      </c>
    </row>
    <row r="8" spans="1:23" x14ac:dyDescent="0.3">
      <c r="A8" s="7"/>
    </row>
    <row r="9" spans="1:23" x14ac:dyDescent="0.3">
      <c r="A9" s="7"/>
    </row>
    <row r="10" spans="1:23" x14ac:dyDescent="0.3">
      <c r="A10" s="7"/>
    </row>
    <row r="11" spans="1:23" x14ac:dyDescent="0.3">
      <c r="A11" s="7"/>
      <c r="B11" s="11"/>
    </row>
    <row r="12" spans="1:23" x14ac:dyDescent="0.3">
      <c r="A12" s="7"/>
    </row>
    <row r="13" spans="1:23" x14ac:dyDescent="0.3">
      <c r="A13" s="7"/>
    </row>
    <row r="14" spans="1:23" x14ac:dyDescent="0.3">
      <c r="A14" s="7"/>
    </row>
    <row r="15" spans="1:23" x14ac:dyDescent="0.3">
      <c r="A15" s="7"/>
    </row>
    <row r="16" spans="1:23" x14ac:dyDescent="0.3">
      <c r="A16" s="7"/>
    </row>
    <row r="17" spans="1:1" x14ac:dyDescent="0.3">
      <c r="A17" s="7"/>
    </row>
    <row r="18" spans="1:1" x14ac:dyDescent="0.3">
      <c r="A18" s="7"/>
    </row>
    <row r="19" spans="1:1" x14ac:dyDescent="0.3">
      <c r="A19" s="7"/>
    </row>
    <row r="20" spans="1:1" x14ac:dyDescent="0.3">
      <c r="A20" s="7"/>
    </row>
    <row r="21" spans="1:1" x14ac:dyDescent="0.3">
      <c r="A21" s="7"/>
    </row>
  </sheetData>
  <conditionalFormatting sqref="C7:W7">
    <cfRule type="cellIs" dxfId="4" priority="1" operator="greaterThan">
      <formula>1</formula>
    </cfRule>
    <cfRule type="cellIs" dxfId="3" priority="2" operator="between">
      <formula>0.0001</formula>
      <formula>0.9999</formula>
    </cfRule>
    <cfRule type="cellIs" dxfId="2" priority="3" operator="lessThan">
      <formula>0</formula>
    </cfRule>
    <cfRule type="cellIs" dxfId="1" priority="4" operator="equal">
      <formula>0</formula>
    </cfRule>
    <cfRule type="cellIs" dxfId="0" priority="5" operator="equal">
      <formula>1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D0AD-F739-4ED5-80B9-96133A844933}">
  <sheetPr codeName="Sheet8">
    <tabColor rgb="FF002060"/>
  </sheetPr>
  <dimension ref="A1:B15"/>
  <sheetViews>
    <sheetView workbookViewId="0">
      <selection activeCell="B5" sqref="B5"/>
    </sheetView>
  </sheetViews>
  <sheetFormatPr defaultRowHeight="14.4" x14ac:dyDescent="0.3"/>
  <cols>
    <col min="1" max="1" width="28.44140625" customWidth="1"/>
    <col min="2" max="2" width="19.88671875" customWidth="1"/>
  </cols>
  <sheetData>
    <row r="1" spans="1:2" x14ac:dyDescent="0.3">
      <c r="A1" s="5" t="s">
        <v>234</v>
      </c>
      <c r="B1" s="6" t="s">
        <v>235</v>
      </c>
    </row>
    <row r="2" spans="1:2" x14ac:dyDescent="0.3">
      <c r="A2" s="7" t="s">
        <v>139</v>
      </c>
      <c r="B2" s="28">
        <f>'Category Mapping'!B42</f>
        <v>89.999999999999986</v>
      </c>
    </row>
    <row r="3" spans="1:2" x14ac:dyDescent="0.3">
      <c r="A3" s="7" t="s">
        <v>164</v>
      </c>
      <c r="B3" s="28">
        <f>'Category Mapping'!B43</f>
        <v>92</v>
      </c>
    </row>
    <row r="4" spans="1:2" x14ac:dyDescent="0.3">
      <c r="A4" s="7" t="s">
        <v>165</v>
      </c>
      <c r="B4" s="28">
        <f>'Category Mapping'!B44</f>
        <v>92</v>
      </c>
    </row>
    <row r="5" spans="1:2" x14ac:dyDescent="0.3">
      <c r="A5" s="7" t="s">
        <v>166</v>
      </c>
      <c r="B5" s="28">
        <f>'Category Mapping'!B45</f>
        <v>91</v>
      </c>
    </row>
    <row r="6" spans="1:2" x14ac:dyDescent="0.3">
      <c r="A6" s="7" t="s">
        <v>172</v>
      </c>
      <c r="B6" s="34">
        <v>0</v>
      </c>
    </row>
    <row r="7" spans="1:2" x14ac:dyDescent="0.3">
      <c r="A7" s="7" t="s">
        <v>171</v>
      </c>
      <c r="B7" s="34">
        <v>0</v>
      </c>
    </row>
    <row r="8" spans="1:2" x14ac:dyDescent="0.3">
      <c r="A8" s="7"/>
    </row>
    <row r="9" spans="1:2" x14ac:dyDescent="0.3">
      <c r="A9" s="7"/>
    </row>
    <row r="10" spans="1:2" x14ac:dyDescent="0.3">
      <c r="A10" s="7"/>
    </row>
    <row r="11" spans="1:2" x14ac:dyDescent="0.3">
      <c r="A11" s="7"/>
    </row>
    <row r="12" spans="1:2" x14ac:dyDescent="0.3">
      <c r="A12" s="7"/>
    </row>
    <row r="13" spans="1:2" x14ac:dyDescent="0.3">
      <c r="A13" s="7"/>
    </row>
    <row r="14" spans="1:2" x14ac:dyDescent="0.3">
      <c r="A14" s="7"/>
    </row>
    <row r="15" spans="1:2" x14ac:dyDescent="0.3">
      <c r="A1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1E6E-1D2E-4BA8-8B1A-FF688D9C6ABB}">
  <sheetPr codeName="Sheet9">
    <tabColor rgb="FF002060"/>
  </sheetPr>
  <dimension ref="A1:Y19"/>
  <sheetViews>
    <sheetView workbookViewId="0">
      <selection activeCell="B3" sqref="B3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3">
      <c r="A3" s="7" t="s">
        <v>164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">
      <c r="A4" s="7" t="s">
        <v>165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">
      <c r="A5" s="7" t="s">
        <v>166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">
      <c r="A6" s="7" t="s">
        <v>172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3">
      <c r="A7" s="7" t="s">
        <v>171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6D6B-B09E-46F0-9CED-FF728890DF22}">
  <sheetPr codeName="Sheet10">
    <tabColor rgb="FF002060"/>
  </sheetPr>
  <dimension ref="A1:Y19"/>
  <sheetViews>
    <sheetView workbookViewId="0">
      <selection activeCell="B3" sqref="B3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Data'!$E$600:$E$743,MATCH(1,($A2=LoadFactorSeasons)*(B$1=LoadFactorHours),0),)</f>
        <v>1.3903641084772827E-5</v>
      </c>
      <c r="C2" s="7" cm="1">
        <f t="array" ref="C2">INDEX('Summarized Source Data'!$E$600:$E$743,MATCH(1,($A2=LoadFactorSeasons)*(C$1=LoadFactorHours),0),)</f>
        <v>1.1096078233959043E-5</v>
      </c>
      <c r="D2" s="7" cm="1">
        <f t="array" ref="D2">INDEX('Summarized Source Data'!$E$600:$E$743,MATCH(1,($A2=LoadFactorSeasons)*(D$1=LoadFactorHours),0),)</f>
        <v>1.0267190973288476E-5</v>
      </c>
      <c r="E2" s="7" cm="1">
        <f t="array" ref="E2">INDEX('Summarized Source Data'!$E$600:$E$743,MATCH(1,($A2=LoadFactorSeasons)*(E$1=LoadFactorHours),0),)</f>
        <v>1.1181226041822237E-5</v>
      </c>
      <c r="F2" s="7" cm="1">
        <f t="array" ref="F2">INDEX('Summarized Source Data'!$E$600:$E$743,MATCH(1,($A2=LoadFactorSeasons)*(F$1=LoadFactorHours),0),)</f>
        <v>1.3868094959020016E-5</v>
      </c>
      <c r="G2" s="7" cm="1">
        <f t="array" ref="G2">INDEX('Summarized Source Data'!$E$600:$E$743,MATCH(1,($A2=LoadFactorSeasons)*(G$1=LoadFactorHours),0),)</f>
        <v>1.819781597869473E-5</v>
      </c>
      <c r="H2" s="7" cm="1">
        <f t="array" ref="H2">INDEX('Summarized Source Data'!$E$600:$E$743,MATCH(1,($A2=LoadFactorSeasons)*(H$1=LoadFactorHours),0),)</f>
        <v>2.3230424364806475E-5</v>
      </c>
      <c r="I2" s="7" cm="1">
        <f t="array" ref="I2">INDEX('Summarized Source Data'!$E$600:$E$743,MATCH(1,($A2=LoadFactorSeasons)*(I$1=LoadFactorHours),0),)</f>
        <v>2.8763283861958284E-5</v>
      </c>
      <c r="J2" s="7" cm="1">
        <f t="array" ref="J2">INDEX('Summarized Source Data'!$E$600:$E$743,MATCH(1,($A2=LoadFactorSeasons)*(J$1=LoadFactorHours),0),)</f>
        <v>3.6677243197525454E-5</v>
      </c>
      <c r="K2" s="7" cm="1">
        <f t="array" ref="K2">INDEX('Summarized Source Data'!$E$600:$E$743,MATCH(1,($A2=LoadFactorSeasons)*(K$1=LoadFactorHours),0),)</f>
        <v>4.7307339967341326E-5</v>
      </c>
      <c r="L2" s="7" cm="1">
        <f t="array" ref="L2">INDEX('Summarized Source Data'!$E$600:$E$743,MATCH(1,($A2=LoadFactorSeasons)*(L$1=LoadFactorHours),0),)</f>
        <v>6.4813914067668918E-5</v>
      </c>
      <c r="M2" s="7" cm="1">
        <f t="array" ref="M2">INDEX('Summarized Source Data'!$E$600:$E$743,MATCH(1,($A2=LoadFactorSeasons)*(M$1=LoadFactorHours),0),)</f>
        <v>9.4695383881454145E-5</v>
      </c>
      <c r="N2" s="7" cm="1">
        <f t="array" ref="N2">INDEX('Summarized Source Data'!$E$600:$E$743,MATCH(1,($A2=LoadFactorSeasons)*(N$1=LoadFactorHours),0),)</f>
        <v>1.2398850172823657E-4</v>
      </c>
      <c r="O2" s="7" cm="1">
        <f t="array" ref="O2">INDEX('Summarized Source Data'!$E$600:$E$743,MATCH(1,($A2=LoadFactorSeasons)*(O$1=LoadFactorHours),0),)</f>
        <v>1.4180576982949966E-4</v>
      </c>
      <c r="P2" s="7" cm="1">
        <f t="array" ref="P2">INDEX('Summarized Source Data'!$E$600:$E$743,MATCH(1,($A2=LoadFactorSeasons)*(P$1=LoadFactorHours),0),)</f>
        <v>1.5078619867130567E-4</v>
      </c>
      <c r="Q2" s="7" cm="1">
        <f t="array" ref="Q2">INDEX('Summarized Source Data'!$E$600:$E$743,MATCH(1,($A2=LoadFactorSeasons)*(Q$1=LoadFactorHours),0),)</f>
        <v>1.5365138406390661E-4</v>
      </c>
      <c r="R2" s="7" cm="1">
        <f t="array" ref="R2">INDEX('Summarized Source Data'!$E$600:$E$743,MATCH(1,($A2=LoadFactorSeasons)*(R$1=LoadFactorHours),0),)</f>
        <v>1.4589258835404615E-4</v>
      </c>
      <c r="S2" s="7" cm="1">
        <f t="array" ref="S2">INDEX('Summarized Source Data'!$E$600:$E$743,MATCH(1,($A2=LoadFactorSeasons)*(S$1=LoadFactorHours),0),)</f>
        <v>1.2815710539619747E-4</v>
      </c>
      <c r="T2" s="7" cm="1">
        <f t="array" ref="T2">INDEX('Summarized Source Data'!$E$600:$E$743,MATCH(1,($A2=LoadFactorSeasons)*(T$1=LoadFactorHours),0),)</f>
        <v>1.0391761973280305E-4</v>
      </c>
      <c r="U2" s="7" cm="1">
        <f t="array" ref="U2">INDEX('Summarized Source Data'!$E$600:$E$743,MATCH(1,($A2=LoadFactorSeasons)*(U$1=LoadFactorHours),0),)</f>
        <v>7.9635767355142094E-5</v>
      </c>
      <c r="V2" s="7" cm="1">
        <f t="array" ref="V2">INDEX('Summarized Source Data'!$E$600:$E$743,MATCH(1,($A2=LoadFactorSeasons)*(V$1=LoadFactorHours),0),)</f>
        <v>5.7388365072858879E-5</v>
      </c>
      <c r="W2" s="7" cm="1">
        <f t="array" ref="W2">INDEX('Summarized Source Data'!$E$600:$E$743,MATCH(1,($A2=LoadFactorSeasons)*(W$1=LoadFactorHours),0),)</f>
        <v>4.0139230085078448E-5</v>
      </c>
      <c r="X2" s="7" cm="1">
        <f t="array" ref="X2">INDEX('Summarized Source Data'!$E$600:$E$743,MATCH(1,($A2=LoadFactorSeasons)*(X$1=LoadFactorHours),0),)</f>
        <v>2.7511391512954216E-5</v>
      </c>
      <c r="Y2" s="7" cm="1">
        <f t="array" ref="Y2">INDEX('Summarized Source Data'!$E$600:$E$743,MATCH(1,($A2=LoadFactorSeasons)*(Y$1=LoadFactorHours),0),)</f>
        <v>1.9140576584467562E-5</v>
      </c>
    </row>
    <row r="3" spans="1:25" x14ac:dyDescent="0.3">
      <c r="A3" s="7" t="s">
        <v>164</v>
      </c>
      <c r="B3" s="7" cm="1">
        <f t="array" ref="B3">INDEX('Summarized Source Data'!$E$600:$E$743,MATCH(1,($A3=LoadFactorSeasons)*(B$1=LoadFactorHours),0),)</f>
        <v>4.4524976701910602E-5</v>
      </c>
      <c r="C3" s="7" cm="1">
        <f t="array" ref="C3">INDEX('Summarized Source Data'!$E$600:$E$743,MATCH(1,($A3=LoadFactorSeasons)*(C$1=LoadFactorHours),0),)</f>
        <v>3.7443894037611007E-5</v>
      </c>
      <c r="D3" s="7" cm="1">
        <f t="array" ref="D3">INDEX('Summarized Source Data'!$E$600:$E$743,MATCH(1,($A3=LoadFactorSeasons)*(D$1=LoadFactorHours),0),)</f>
        <v>3.5549716108451015E-5</v>
      </c>
      <c r="E3" s="7" cm="1">
        <f t="array" ref="E3">INDEX('Summarized Source Data'!$E$600:$E$743,MATCH(1,($A3=LoadFactorSeasons)*(E$1=LoadFactorHours),0),)</f>
        <v>3.7732536887019052E-5</v>
      </c>
      <c r="F3" s="7" cm="1">
        <f t="array" ref="F3">INDEX('Summarized Source Data'!$E$600:$E$743,MATCH(1,($A3=LoadFactorSeasons)*(F$1=LoadFactorHours),0),)</f>
        <v>4.4417362327759252E-5</v>
      </c>
      <c r="G3" s="7" cm="1">
        <f t="array" ref="G3">INDEX('Summarized Source Data'!$E$600:$E$743,MATCH(1,($A3=LoadFactorSeasons)*(G$1=LoadFactorHours),0),)</f>
        <v>5.4580155181456934E-5</v>
      </c>
      <c r="H3" s="7" cm="1">
        <f t="array" ref="H3">INDEX('Summarized Source Data'!$E$600:$E$743,MATCH(1,($A3=LoadFactorSeasons)*(H$1=LoadFactorHours),0),)</f>
        <v>6.5634703846797552E-5</v>
      </c>
      <c r="I3" s="7" cm="1">
        <f t="array" ref="I3">INDEX('Summarized Source Data'!$E$600:$E$743,MATCH(1,($A3=LoadFactorSeasons)*(I$1=LoadFactorHours),0),)</f>
        <v>7.7201268807026668E-5</v>
      </c>
      <c r="J3" s="7" cm="1">
        <f t="array" ref="J3">INDEX('Summarized Source Data'!$E$600:$E$743,MATCH(1,($A3=LoadFactorSeasons)*(J$1=LoadFactorHours),0),)</f>
        <v>9.3067623490746101E-5</v>
      </c>
      <c r="K3" s="7" cm="1">
        <f t="array" ref="K3">INDEX('Summarized Source Data'!$E$600:$E$743,MATCH(1,($A3=LoadFactorSeasons)*(K$1=LoadFactorHours),0),)</f>
        <v>1.1188623986444068E-4</v>
      </c>
      <c r="L3" s="7" cm="1">
        <f t="array" ref="L3">INDEX('Summarized Source Data'!$E$600:$E$743,MATCH(1,($A3=LoadFactorSeasons)*(L$1=LoadFactorHours),0),)</f>
        <v>1.4118445358296991E-4</v>
      </c>
      <c r="M3" s="7" cm="1">
        <f t="array" ref="M3">INDEX('Summarized Source Data'!$E$600:$E$743,MATCH(1,($A3=LoadFactorSeasons)*(M$1=LoadFactorHours),0),)</f>
        <v>1.8444932262233111E-4</v>
      </c>
      <c r="N3" s="7" cm="1">
        <f t="array" ref="N3">INDEX('Summarized Source Data'!$E$600:$E$743,MATCH(1,($A3=LoadFactorSeasons)*(N$1=LoadFactorHours),0),)</f>
        <v>2.230875749964762E-4</v>
      </c>
      <c r="O3" s="7" cm="1">
        <f t="array" ref="O3">INDEX('Summarized Source Data'!$E$600:$E$743,MATCH(1,($A3=LoadFactorSeasons)*(O$1=LoadFactorHours),0),)</f>
        <v>2.4490808539100233E-4</v>
      </c>
      <c r="P3" s="7" cm="1">
        <f t="array" ref="P3">INDEX('Summarized Source Data'!$E$600:$E$743,MATCH(1,($A3=LoadFactorSeasons)*(P$1=LoadFactorHours),0),)</f>
        <v>2.5688518875147825E-4</v>
      </c>
      <c r="Q3" s="7" cm="1">
        <f t="array" ref="Q3">INDEX('Summarized Source Data'!$E$600:$E$743,MATCH(1,($A3=LoadFactorSeasons)*(Q$1=LoadFactorHours),0),)</f>
        <v>2.6459274679886468E-4</v>
      </c>
      <c r="R3" s="7" cm="1">
        <f t="array" ref="R3">INDEX('Summarized Source Data'!$E$600:$E$743,MATCH(1,($A3=LoadFactorSeasons)*(R$1=LoadFactorHours),0),)</f>
        <v>2.6175718072720528E-4</v>
      </c>
      <c r="S3" s="7" cm="1">
        <f t="array" ref="S3">INDEX('Summarized Source Data'!$E$600:$E$743,MATCH(1,($A3=LoadFactorSeasons)*(S$1=LoadFactorHours),0),)</f>
        <v>2.4950611640565479E-4</v>
      </c>
      <c r="T3" s="7" cm="1">
        <f t="array" ref="T3">INDEX('Summarized Source Data'!$E$600:$E$743,MATCH(1,($A3=LoadFactorSeasons)*(T$1=LoadFactorHours),0),)</f>
        <v>2.2580467486347681E-4</v>
      </c>
      <c r="U3" s="7" cm="1">
        <f t="array" ref="U3">INDEX('Summarized Source Data'!$E$600:$E$743,MATCH(1,($A3=LoadFactorSeasons)*(U$1=LoadFactorHours),0),)</f>
        <v>1.8795749717018744E-4</v>
      </c>
      <c r="V3" s="7" cm="1">
        <f t="array" ref="V3">INDEX('Summarized Source Data'!$E$600:$E$743,MATCH(1,($A3=LoadFactorSeasons)*(V$1=LoadFactorHours),0),)</f>
        <v>1.453326252022481E-4</v>
      </c>
      <c r="W3" s="7" cm="1">
        <f t="array" ref="W3">INDEX('Summarized Source Data'!$E$600:$E$743,MATCH(1,($A3=LoadFactorSeasons)*(W$1=LoadFactorHours),0),)</f>
        <v>1.075508333988299E-4</v>
      </c>
      <c r="X3" s="7" cm="1">
        <f t="array" ref="X3">INDEX('Summarized Source Data'!$E$600:$E$743,MATCH(1,($A3=LoadFactorSeasons)*(X$1=LoadFactorHours),0),)</f>
        <v>7.7655573306009384E-5</v>
      </c>
      <c r="Y3" s="7" cm="1">
        <f t="array" ref="Y3">INDEX('Summarized Source Data'!$E$600:$E$743,MATCH(1,($A3=LoadFactorSeasons)*(Y$1=LoadFactorHours),0),)</f>
        <v>5.7385556053157187E-5</v>
      </c>
    </row>
    <row r="4" spans="1:25" x14ac:dyDescent="0.3">
      <c r="A4" s="7" t="s">
        <v>165</v>
      </c>
      <c r="B4" s="7" cm="1">
        <f t="array" ref="B4">INDEX('Summarized Source Data'!$E$600:$E$743,MATCH(1,($A4=LoadFactorSeasons)*(B$1=LoadFactorHours),0),)</f>
        <v>9.1563566305635744E-5</v>
      </c>
      <c r="C4" s="7" cm="1">
        <f t="array" ref="C4">INDEX('Summarized Source Data'!$E$600:$E$743,MATCH(1,($A4=LoadFactorSeasons)*(C$1=LoadFactorHours),0),)</f>
        <v>8.1679221451560731E-5</v>
      </c>
      <c r="D4" s="7" cm="1">
        <f t="array" ref="D4">INDEX('Summarized Source Data'!$E$600:$E$743,MATCH(1,($A4=LoadFactorSeasons)*(D$1=LoadFactorHours),0),)</f>
        <v>7.8671032530336084E-5</v>
      </c>
      <c r="E4" s="7" cm="1">
        <f t="array" ref="E4">INDEX('Summarized Source Data'!$E$600:$E$743,MATCH(1,($A4=LoadFactorSeasons)*(E$1=LoadFactorHours),0),)</f>
        <v>8.2312201409739087E-5</v>
      </c>
      <c r="F4" s="7" cm="1">
        <f t="array" ref="F4">INDEX('Summarized Source Data'!$E$600:$E$743,MATCH(1,($A4=LoadFactorSeasons)*(F$1=LoadFactorHours),0),)</f>
        <v>9.1357325612742538E-5</v>
      </c>
      <c r="G4" s="7" cm="1">
        <f t="array" ref="G4">INDEX('Summarized Source Data'!$E$600:$E$743,MATCH(1,($A4=LoadFactorSeasons)*(G$1=LoadFactorHours),0),)</f>
        <v>1.0354394059140847E-4</v>
      </c>
      <c r="H4" s="7" cm="1">
        <f t="array" ref="H4">INDEX('Summarized Source Data'!$E$600:$E$743,MATCH(1,($A4=LoadFactorSeasons)*(H$1=LoadFactorHours),0),)</f>
        <v>1.1345395894745675E-4</v>
      </c>
      <c r="I4" s="7" cm="1">
        <f t="array" ref="I4">INDEX('Summarized Source Data'!$E$600:$E$743,MATCH(1,($A4=LoadFactorSeasons)*(I$1=LoadFactorHours),0),)</f>
        <v>1.1956517964519919E-4</v>
      </c>
      <c r="J4" s="7" cm="1">
        <f t="array" ref="J4">INDEX('Summarized Source Data'!$E$600:$E$743,MATCH(1,($A4=LoadFactorSeasons)*(J$1=LoadFactorHours),0),)</f>
        <v>1.2929518528341909E-4</v>
      </c>
      <c r="K4" s="7" cm="1">
        <f t="array" ref="K4">INDEX('Summarized Source Data'!$E$600:$E$743,MATCH(1,($A4=LoadFactorSeasons)*(K$1=LoadFactorHours),0),)</f>
        <v>1.4064064128491168E-4</v>
      </c>
      <c r="L4" s="7" cm="1">
        <f t="array" ref="L4">INDEX('Summarized Source Data'!$E$600:$E$743,MATCH(1,($A4=LoadFactorSeasons)*(L$1=LoadFactorHours),0),)</f>
        <v>1.6505883015704206E-4</v>
      </c>
      <c r="M4" s="7" cm="1">
        <f t="array" ref="M4">INDEX('Summarized Source Data'!$E$600:$E$743,MATCH(1,($A4=LoadFactorSeasons)*(M$1=LoadFactorHours),0),)</f>
        <v>2.064077616929756E-4</v>
      </c>
      <c r="N4" s="7" cm="1">
        <f t="array" ref="N4">INDEX('Summarized Source Data'!$E$600:$E$743,MATCH(1,($A4=LoadFactorSeasons)*(N$1=LoadFactorHours),0),)</f>
        <v>2.4323470889768773E-4</v>
      </c>
      <c r="O4" s="7" cm="1">
        <f t="array" ref="O4">INDEX('Summarized Source Data'!$E$600:$E$743,MATCH(1,($A4=LoadFactorSeasons)*(O$1=LoadFactorHours),0),)</f>
        <v>2.6305147468448745E-4</v>
      </c>
      <c r="P4" s="7" cm="1">
        <f t="array" ref="P4">INDEX('Summarized Source Data'!$E$600:$E$743,MATCH(1,($A4=LoadFactorSeasons)*(P$1=LoadFactorHours),0),)</f>
        <v>2.7506235896861245E-4</v>
      </c>
      <c r="Q4" s="7" cm="1">
        <f t="array" ref="Q4">INDEX('Summarized Source Data'!$E$600:$E$743,MATCH(1,($A4=LoadFactorSeasons)*(Q$1=LoadFactorHours),0),)</f>
        <v>2.8486227481075362E-4</v>
      </c>
      <c r="R4" s="7" cm="1">
        <f t="array" ref="R4">INDEX('Summarized Source Data'!$E$600:$E$743,MATCH(1,($A4=LoadFactorSeasons)*(R$1=LoadFactorHours),0),)</f>
        <v>2.8542404924131762E-4</v>
      </c>
      <c r="S4" s="7" cm="1">
        <f t="array" ref="S4">INDEX('Summarized Source Data'!$E$600:$E$743,MATCH(1,($A4=LoadFactorSeasons)*(S$1=LoadFactorHours),0),)</f>
        <v>2.7874221515960959E-4</v>
      </c>
      <c r="T4" s="7" cm="1">
        <f t="array" ref="T4">INDEX('Summarized Source Data'!$E$600:$E$743,MATCH(1,($A4=LoadFactorSeasons)*(T$1=LoadFactorHours),0),)</f>
        <v>2.6318214861603727E-4</v>
      </c>
      <c r="U4" s="7" cm="1">
        <f t="array" ref="U4">INDEX('Summarized Source Data'!$E$600:$E$743,MATCH(1,($A4=LoadFactorSeasons)*(U$1=LoadFactorHours),0),)</f>
        <v>2.3542364610024079E-4</v>
      </c>
      <c r="V4" s="7" cm="1">
        <f t="array" ref="V4">INDEX('Summarized Source Data'!$E$600:$E$743,MATCH(1,($A4=LoadFactorSeasons)*(V$1=LoadFactorHours),0),)</f>
        <v>2.0123615389195179E-4</v>
      </c>
      <c r="W4" s="7" cm="1">
        <f t="array" ref="W4">INDEX('Summarized Source Data'!$E$600:$E$743,MATCH(1,($A4=LoadFactorSeasons)*(W$1=LoadFactorHours),0),)</f>
        <v>1.6621739935225913E-4</v>
      </c>
      <c r="X4" s="7" cm="1">
        <f t="array" ref="X4">INDEX('Summarized Source Data'!$E$600:$E$743,MATCH(1,($A4=LoadFactorSeasons)*(X$1=LoadFactorHours),0),)</f>
        <v>1.3407807483115439E-4</v>
      </c>
      <c r="Y4" s="7" cm="1">
        <f t="array" ref="Y4">INDEX('Summarized Source Data'!$E$600:$E$743,MATCH(1,($A4=LoadFactorSeasons)*(Y$1=LoadFactorHours),0),)</f>
        <v>1.0881590336257738E-4</v>
      </c>
    </row>
    <row r="5" spans="1:25" x14ac:dyDescent="0.3">
      <c r="A5" s="7" t="s">
        <v>166</v>
      </c>
      <c r="B5" s="7" cm="1">
        <f t="array" ref="B5">INDEX('Summarized Source Data'!$E$600:$E$743,MATCH(1,($A5=LoadFactorSeasons)*(B$1=LoadFactorHours),0),)</f>
        <v>3.8926164613474225E-5</v>
      </c>
      <c r="C5" s="7" cm="1">
        <f t="array" ref="C5">INDEX('Summarized Source Data'!$E$600:$E$743,MATCH(1,($A5=LoadFactorSeasons)*(C$1=LoadFactorHours),0),)</f>
        <v>3.4256370218743349E-5</v>
      </c>
      <c r="D5" s="7" cm="1">
        <f t="array" ref="D5">INDEX('Summarized Source Data'!$E$600:$E$743,MATCH(1,($A5=LoadFactorSeasons)*(D$1=LoadFactorHours),0),)</f>
        <v>3.287918153581334E-5</v>
      </c>
      <c r="E5" s="7" cm="1">
        <f t="array" ref="E5">INDEX('Summarized Source Data'!$E$600:$E$743,MATCH(1,($A5=LoadFactorSeasons)*(E$1=LoadFactorHours),0),)</f>
        <v>3.4521348449480082E-5</v>
      </c>
      <c r="F5" s="7" cm="1">
        <f t="array" ref="F5">INDEX('Summarized Source Data'!$E$600:$E$743,MATCH(1,($A5=LoadFactorSeasons)*(F$1=LoadFactorHours),0),)</f>
        <v>3.8836233778413612E-5</v>
      </c>
      <c r="G5" s="7" cm="1">
        <f t="array" ref="G5">INDEX('Summarized Source Data'!$E$600:$E$743,MATCH(1,($A5=LoadFactorSeasons)*(G$1=LoadFactorHours),0),)</f>
        <v>4.4855494737571979E-5</v>
      </c>
      <c r="H5" s="7" cm="1">
        <f t="array" ref="H5">INDEX('Summarized Source Data'!$E$600:$E$743,MATCH(1,($A5=LoadFactorSeasons)*(H$1=LoadFactorHours),0),)</f>
        <v>4.9869033980453467E-5</v>
      </c>
      <c r="I5" s="7" cm="1">
        <f t="array" ref="I5">INDEX('Summarized Source Data'!$E$600:$E$743,MATCH(1,($A5=LoadFactorSeasons)*(I$1=LoadFactorHours),0),)</f>
        <v>5.3724174942438631E-5</v>
      </c>
      <c r="J5" s="7" cm="1">
        <f t="array" ref="J5">INDEX('Summarized Source Data'!$E$600:$E$743,MATCH(1,($A5=LoadFactorSeasons)*(J$1=LoadFactorHours),0),)</f>
        <v>5.9730990389773094E-5</v>
      </c>
      <c r="K5" s="7" cm="1">
        <f t="array" ref="K5">INDEX('Summarized Source Data'!$E$600:$E$743,MATCH(1,($A5=LoadFactorSeasons)*(K$1=LoadFactorHours),0),)</f>
        <v>6.7169637948181891E-5</v>
      </c>
      <c r="L5" s="7" cm="1">
        <f t="array" ref="L5">INDEX('Summarized Source Data'!$E$600:$E$743,MATCH(1,($A5=LoadFactorSeasons)*(L$1=LoadFactorHours),0),)</f>
        <v>8.1687393439730955E-5</v>
      </c>
      <c r="M5" s="7" cm="1">
        <f t="array" ref="M5">INDEX('Summarized Source Data'!$E$600:$E$743,MATCH(1,($A5=LoadFactorSeasons)*(M$1=LoadFactorHours),0),)</f>
        <v>1.0514382454121531E-4</v>
      </c>
      <c r="N5" s="7" cm="1">
        <f t="array" ref="N5">INDEX('Summarized Source Data'!$E$600:$E$743,MATCH(1,($A5=LoadFactorSeasons)*(N$1=LoadFactorHours),0),)</f>
        <v>1.2599454137587467E-4</v>
      </c>
      <c r="O5" s="7" cm="1">
        <f t="array" ref="O5">INDEX('Summarized Source Data'!$E$600:$E$743,MATCH(1,($A5=LoadFactorSeasons)*(O$1=LoadFactorHours),0),)</f>
        <v>1.3766039040360683E-4</v>
      </c>
      <c r="P5" s="7" cm="1">
        <f t="array" ref="P5">INDEX('Summarized Source Data'!$E$600:$E$743,MATCH(1,($A5=LoadFactorSeasons)*(P$1=LoadFactorHours),0),)</f>
        <v>1.4432207907340877E-4</v>
      </c>
      <c r="Q5" s="7" cm="1">
        <f t="array" ref="Q5">INDEX('Summarized Source Data'!$E$600:$E$743,MATCH(1,($A5=LoadFactorSeasons)*(Q$1=LoadFactorHours),0),)</f>
        <v>1.4896417961347925E-4</v>
      </c>
      <c r="R5" s="7" cm="1">
        <f t="array" ref="R5">INDEX('Summarized Source Data'!$E$600:$E$743,MATCH(1,($A5=LoadFactorSeasons)*(R$1=LoadFactorHours),0),)</f>
        <v>1.4797661270513928E-4</v>
      </c>
      <c r="S5" s="7" cm="1">
        <f t="array" ref="S5">INDEX('Summarized Source Data'!$E$600:$E$743,MATCH(1,($A5=LoadFactorSeasons)*(S$1=LoadFactorHours),0),)</f>
        <v>1.4220135349520677E-4</v>
      </c>
      <c r="T5" s="7" cm="1">
        <f t="array" ref="T5">INDEX('Summarized Source Data'!$E$600:$E$743,MATCH(1,($A5=LoadFactorSeasons)*(T$1=LoadFactorHours),0),)</f>
        <v>1.3062376773584878E-4</v>
      </c>
      <c r="U5" s="7" cm="1">
        <f t="array" ref="U5">INDEX('Summarized Source Data'!$E$600:$E$743,MATCH(1,($A5=LoadFactorSeasons)*(U$1=LoadFactorHours),0),)</f>
        <v>1.1267623268529519E-4</v>
      </c>
      <c r="V5" s="7" cm="1">
        <f t="array" ref="V5">INDEX('Summarized Source Data'!$E$600:$E$743,MATCH(1,($A5=LoadFactorSeasons)*(V$1=LoadFactorHours),0),)</f>
        <v>9.312051328061223E-5</v>
      </c>
      <c r="W5" s="7" cm="1">
        <f t="array" ref="W5">INDEX('Summarized Source Data'!$E$600:$E$743,MATCH(1,($A5=LoadFactorSeasons)*(W$1=LoadFactorHours),0),)</f>
        <v>7.4742147773623196E-5</v>
      </c>
      <c r="X5" s="7" cm="1">
        <f t="array" ref="X5">INDEX('Summarized Source Data'!$E$600:$E$743,MATCH(1,($A5=LoadFactorSeasons)*(X$1=LoadFactorHours),0),)</f>
        <v>5.8958530162707443E-5</v>
      </c>
      <c r="Y5" s="7" cm="1">
        <f t="array" ref="Y5">INDEX('Summarized Source Data'!$E$600:$E$743,MATCH(1,($A5=LoadFactorSeasons)*(Y$1=LoadFactorHours),0),)</f>
        <v>4.7146981028725004E-5</v>
      </c>
    </row>
    <row r="6" spans="1:25" x14ac:dyDescent="0.3">
      <c r="A6" s="7" t="s">
        <v>172</v>
      </c>
      <c r="B6" s="7" cm="1">
        <f t="array" ref="B6">INDEX('Summarized Source Data'!$E$600:$E$743,MATCH(1,($A6=LoadFactorSeasons)*(B$1=LoadFactorHours),0),)</f>
        <v>9.8989754885933545E-5</v>
      </c>
      <c r="C6" s="7" cm="1">
        <f t="array" ref="C6">INDEX('Summarized Source Data'!$E$600:$E$743,MATCH(1,($A6=LoadFactorSeasons)*(C$1=LoadFactorHours),0),)</f>
        <v>8.8890663535362381E-5</v>
      </c>
      <c r="D6" s="7" cm="1">
        <f t="array" ref="D6">INDEX('Summarized Source Data'!$E$600:$E$743,MATCH(1,($A6=LoadFactorSeasons)*(D$1=LoadFactorHours),0),)</f>
        <v>8.6169521606118223E-5</v>
      </c>
      <c r="E6" s="7" cm="1">
        <f t="array" ref="E6">INDEX('Summarized Source Data'!$E$600:$E$743,MATCH(1,($A6=LoadFactorSeasons)*(E$1=LoadFactorHours),0),)</f>
        <v>9.0242093847988823E-5</v>
      </c>
      <c r="F6" s="7" cm="1">
        <f t="array" ref="F6">INDEX('Summarized Source Data'!$E$600:$E$743,MATCH(1,($A6=LoadFactorSeasons)*(F$1=LoadFactorHours),0),)</f>
        <v>1.0170553147261467E-4</v>
      </c>
      <c r="G6" s="7" cm="1">
        <f t="array" ref="G6">INDEX('Summarized Source Data'!$E$600:$E$743,MATCH(1,($A6=LoadFactorSeasons)*(G$1=LoadFactorHours),0),)</f>
        <v>1.2050993190175021E-4</v>
      </c>
      <c r="H6" s="7" cm="1">
        <f t="array" ref="H6">INDEX('Summarized Source Data'!$E$600:$E$743,MATCH(1,($A6=LoadFactorSeasons)*(H$1=LoadFactorHours),0),)</f>
        <v>1.4662766932900715E-4</v>
      </c>
      <c r="I6" s="7" cm="1">
        <f t="array" ref="I6">INDEX('Summarized Source Data'!$E$600:$E$743,MATCH(1,($A6=LoadFactorSeasons)*(I$1=LoadFactorHours),0),)</f>
        <v>1.7590006510299306E-4</v>
      </c>
      <c r="J6" s="7" cm="1">
        <f t="array" ref="J6">INDEX('Summarized Source Data'!$E$600:$E$743,MATCH(1,($A6=LoadFactorSeasons)*(J$1=LoadFactorHours),0),)</f>
        <v>2.0148642161209459E-4</v>
      </c>
      <c r="K6" s="7" cm="1">
        <f t="array" ref="K6">INDEX('Summarized Source Data'!$E$600:$E$743,MATCH(1,($A6=LoadFactorSeasons)*(K$1=LoadFactorHours),0),)</f>
        <v>2.2015515552213687E-4</v>
      </c>
      <c r="L6" s="7" cm="1">
        <f t="array" ref="L6">INDEX('Summarized Source Data'!$E$600:$E$743,MATCH(1,($A6=LoadFactorSeasons)*(L$1=LoadFactorHours),0),)</f>
        <v>2.5022181769183353E-4</v>
      </c>
      <c r="M6" s="7" cm="1">
        <f t="array" ref="M6">INDEX('Summarized Source Data'!$E$600:$E$743,MATCH(1,($A6=LoadFactorSeasons)*(M$1=LoadFactorHours),0),)</f>
        <v>2.9915899305282519E-4</v>
      </c>
      <c r="N6" s="7" cm="1">
        <f t="array" ref="N6">INDEX('Summarized Source Data'!$E$600:$E$743,MATCH(1,($A6=LoadFactorSeasons)*(N$1=LoadFactorHours),0),)</f>
        <v>3.4414168263242878E-4</v>
      </c>
      <c r="O6" s="7" cm="1">
        <f t="array" ref="O6">INDEX('Summarized Source Data'!$E$600:$E$743,MATCH(1,($A6=LoadFactorSeasons)*(O$1=LoadFactorHours),0),)</f>
        <v>3.6783787298826852E-4</v>
      </c>
      <c r="P6" s="7" cm="1">
        <f t="array" ref="P6">INDEX('Summarized Source Data'!$E$600:$E$743,MATCH(1,($A6=LoadFactorSeasons)*(P$1=LoadFactorHours),0),)</f>
        <v>3.7399829734859481E-4</v>
      </c>
      <c r="Q6" s="7" cm="1">
        <f t="array" ref="Q6">INDEX('Summarized Source Data'!$E$600:$E$743,MATCH(1,($A6=LoadFactorSeasons)*(Q$1=LoadFactorHours),0),)</f>
        <v>3.658971193194126E-4</v>
      </c>
      <c r="R6" s="7" cm="1">
        <f t="array" ref="R6">INDEX('Summarized Source Data'!$E$600:$E$743,MATCH(1,($A6=LoadFactorSeasons)*(R$1=LoadFactorHours),0),)</f>
        <v>3.4829369129868969E-4</v>
      </c>
      <c r="S6" s="7" cm="1">
        <f t="array" ref="S6">INDEX('Summarized Source Data'!$E$600:$E$743,MATCH(1,($A6=LoadFactorSeasons)*(S$1=LoadFactorHours),0),)</f>
        <v>3.2816887843399416E-4</v>
      </c>
      <c r="T6" s="7" cm="1">
        <f t="array" ref="T6">INDEX('Summarized Source Data'!$E$600:$E$743,MATCH(1,($A6=LoadFactorSeasons)*(T$1=LoadFactorHours),0),)</f>
        <v>3.0143230011239508E-4</v>
      </c>
      <c r="U6" s="7" cm="1">
        <f t="array" ref="U6">INDEX('Summarized Source Data'!$E$600:$E$743,MATCH(1,($A6=LoadFactorSeasons)*(U$1=LoadFactorHours),0),)</f>
        <v>2.6298645689019808E-4</v>
      </c>
      <c r="V6" s="7" cm="1">
        <f t="array" ref="V6">INDEX('Summarized Source Data'!$E$600:$E$743,MATCH(1,($A6=LoadFactorSeasons)*(V$1=LoadFactorHours),0),)</f>
        <v>2.1963574469954756E-4</v>
      </c>
      <c r="W6" s="7" cm="1">
        <f t="array" ref="W6">INDEX('Summarized Source Data'!$E$600:$E$743,MATCH(1,($A6=LoadFactorSeasons)*(W$1=LoadFactorHours),0),)</f>
        <v>1.7880755891511719E-4</v>
      </c>
      <c r="X6" s="7" cm="1">
        <f t="array" ref="X6">INDEX('Summarized Source Data'!$E$600:$E$743,MATCH(1,($A6=LoadFactorSeasons)*(X$1=LoadFactorHours),0),)</f>
        <v>1.4379106653244957E-4</v>
      </c>
      <c r="Y6" s="7" cm="1">
        <f t="array" ref="Y6">INDEX('Summarized Source Data'!$E$600:$E$743,MATCH(1,($A6=LoadFactorSeasons)*(Y$1=LoadFactorHours),0),)</f>
        <v>1.1699623592016645E-4</v>
      </c>
    </row>
    <row r="7" spans="1:25" x14ac:dyDescent="0.3">
      <c r="A7" s="7" t="s">
        <v>171</v>
      </c>
      <c r="B7" s="7" cm="1">
        <f t="array" ref="B7">INDEX('Summarized Source Data'!$E$600:$E$743,MATCH(1,($A7=LoadFactorSeasons)*(B$1=LoadFactorHours),0),)</f>
        <v>1.4686151201338462E-5</v>
      </c>
      <c r="C7" s="7" cm="1">
        <f t="array" ref="C7">INDEX('Summarized Source Data'!$E$600:$E$743,MATCH(1,($A7=LoadFactorSeasons)*(C$1=LoadFactorHours),0),)</f>
        <v>1.1800982722767286E-5</v>
      </c>
      <c r="D7" s="7" cm="1">
        <f t="array" ref="D7">INDEX('Summarized Source Data'!$E$600:$E$743,MATCH(1,($A7=LoadFactorSeasons)*(D$1=LoadFactorHours),0),)</f>
        <v>1.0991283130272411E-5</v>
      </c>
      <c r="E7" s="7" cm="1">
        <f t="array" ref="E7">INDEX('Summarized Source Data'!$E$600:$E$743,MATCH(1,($A7=LoadFactorSeasons)*(E$1=LoadFactorHours),0),)</f>
        <v>1.1980423261640582E-5</v>
      </c>
      <c r="F7" s="7" cm="1">
        <f t="array" ref="F7">INDEX('Summarized Source Data'!$E$600:$E$743,MATCH(1,($A7=LoadFactorSeasons)*(F$1=LoadFactorHours),0),)</f>
        <v>1.5089075562595203E-5</v>
      </c>
      <c r="G7" s="7" cm="1">
        <f t="array" ref="G7">INDEX('Summarized Source Data'!$E$600:$E$743,MATCH(1,($A7=LoadFactorSeasons)*(G$1=LoadFactorHours),0),)</f>
        <v>2.0706544650779163E-5</v>
      </c>
      <c r="H7" s="7" cm="1">
        <f t="array" ref="H7">INDEX('Summarized Source Data'!$E$600:$E$743,MATCH(1,($A7=LoadFactorSeasons)*(H$1=LoadFactorHours),0),)</f>
        <v>2.9385872134992314E-5</v>
      </c>
      <c r="I7" s="7" cm="1">
        <f t="array" ref="I7">INDEX('Summarized Source Data'!$E$600:$E$743,MATCH(1,($A7=LoadFactorSeasons)*(I$1=LoadFactorHours),0),)</f>
        <v>4.1484622128788479E-5</v>
      </c>
      <c r="J7" s="7" cm="1">
        <f t="array" ref="J7">INDEX('Summarized Source Data'!$E$600:$E$743,MATCH(1,($A7=LoadFactorSeasons)*(J$1=LoadFactorHours),0),)</f>
        <v>5.6076485362097644E-5</v>
      </c>
      <c r="K7" s="7" cm="1">
        <f t="array" ref="K7">INDEX('Summarized Source Data'!$E$600:$E$743,MATCH(1,($A7=LoadFactorSeasons)*(K$1=LoadFactorHours),0),)</f>
        <v>7.2656247697880223E-5</v>
      </c>
      <c r="L7" s="7" cm="1">
        <f t="array" ref="L7">INDEX('Summarized Source Data'!$E$600:$E$743,MATCH(1,($A7=LoadFactorSeasons)*(L$1=LoadFactorHours),0),)</f>
        <v>9.6350433977774423E-5</v>
      </c>
      <c r="M7" s="7" cm="1">
        <f t="array" ref="M7">INDEX('Summarized Source Data'!$E$600:$E$743,MATCH(1,($A7=LoadFactorSeasons)*(M$1=LoadFactorHours),0),)</f>
        <v>1.3449521824326205E-4</v>
      </c>
      <c r="N7" s="7" cm="1">
        <f t="array" ref="N7">INDEX('Summarized Source Data'!$E$600:$E$743,MATCH(1,($A7=LoadFactorSeasons)*(N$1=LoadFactorHours),0),)</f>
        <v>1.7189059987176433E-4</v>
      </c>
      <c r="O7" s="7" cm="1">
        <f t="array" ref="O7">INDEX('Summarized Source Data'!$E$600:$E$743,MATCH(1,($A7=LoadFactorSeasons)*(O$1=LoadFactorHours),0),)</f>
        <v>1.9401966589593036E-4</v>
      </c>
      <c r="P7" s="7" cm="1">
        <f t="array" ref="P7">INDEX('Summarized Source Data'!$E$600:$E$743,MATCH(1,($A7=LoadFactorSeasons)*(P$1=LoadFactorHours),0),)</f>
        <v>2.0063319334510273E-4</v>
      </c>
      <c r="Q7" s="7" cm="1">
        <f t="array" ref="Q7">INDEX('Summarized Source Data'!$E$600:$E$743,MATCH(1,($A7=LoadFactorSeasons)*(Q$1=LoadFactorHours),0),)</f>
        <v>1.9299596795732655E-4</v>
      </c>
      <c r="R7" s="7" cm="1">
        <f t="array" ref="R7">INDEX('Summarized Source Data'!$E$600:$E$743,MATCH(1,($A7=LoadFactorSeasons)*(R$1=LoadFactorHours),0),)</f>
        <v>1.7396440171455865E-4</v>
      </c>
      <c r="S7" s="7" cm="1">
        <f t="array" ref="S7">INDEX('Summarized Source Data'!$E$600:$E$743,MATCH(1,($A7=LoadFactorSeasons)*(S$1=LoadFactorHours),0),)</f>
        <v>1.4753741471206706E-4</v>
      </c>
      <c r="T7" s="7" cm="1">
        <f t="array" ref="T7">INDEX('Summarized Source Data'!$E$600:$E$743,MATCH(1,($A7=LoadFactorSeasons)*(T$1=LoadFactorHours),0),)</f>
        <v>1.1606955555176588E-4</v>
      </c>
      <c r="U7" s="7" cm="1">
        <f t="array" ref="U7">INDEX('Summarized Source Data'!$E$600:$E$743,MATCH(1,($A7=LoadFactorSeasons)*(U$1=LoadFactorHours),0),)</f>
        <v>8.6791574457983884E-5</v>
      </c>
      <c r="V7" s="7" cm="1">
        <f t="array" ref="V7">INDEX('Summarized Source Data'!$E$600:$E$743,MATCH(1,($A7=LoadFactorSeasons)*(V$1=LoadFactorHours),0),)</f>
        <v>6.1127676517822759E-5</v>
      </c>
      <c r="W7" s="7" cm="1">
        <f t="array" ref="W7">INDEX('Summarized Source Data'!$E$600:$E$743,MATCH(1,($A7=LoadFactorSeasons)*(W$1=LoadFactorHours),0),)</f>
        <v>4.2170327041969011E-5</v>
      </c>
      <c r="X7" s="7" cm="1">
        <f t="array" ref="X7">INDEX('Summarized Source Data'!$E$600:$E$743,MATCH(1,($A7=LoadFactorSeasons)*(X$1=LoadFactorHours),0),)</f>
        <v>2.8817377034968424E-5</v>
      </c>
      <c r="Y7" s="7" cm="1">
        <f t="array" ref="Y7">INDEX('Summarized Source Data'!$E$600:$E$743,MATCH(1,($A7=LoadFactorSeasons)*(Y$1=LoadFactorHours),0),)</f>
        <v>2.0102808255774028E-5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366F-B3FC-41F0-AB7A-18ACDEC9FCCF}">
  <sheetPr codeName="Sheet11">
    <tabColor rgb="FF002060"/>
  </sheetPr>
  <dimension ref="A1:Y19"/>
  <sheetViews>
    <sheetView workbookViewId="0">
      <selection activeCell="B2" sqref="B2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3">
      <c r="A3" s="7" t="s">
        <v>164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">
      <c r="A4" s="7" t="s">
        <v>165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">
      <c r="A5" s="7" t="s">
        <v>166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">
      <c r="A6" s="7" t="s">
        <v>172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3">
      <c r="A7" s="7" t="s">
        <v>171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0843-E7EB-4C51-9409-5933C166EB15}">
  <sheetPr codeName="Sheet12">
    <tabColor rgb="FF002060"/>
  </sheetPr>
  <dimension ref="A1:Y19"/>
  <sheetViews>
    <sheetView workbookViewId="0">
      <selection activeCell="B2" sqref="B2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Data'!$G$600:$G$743,MATCH(1,($A2=LoadFactorSeasons)*(B$1=LoadFactorHours),0),)</f>
        <v>8.1669856135572734E-5</v>
      </c>
      <c r="C2" s="7" cm="1">
        <f t="array" ref="C2">INDEX('Summarized Source Data'!$G$600:$G$743,MATCH(1,($A2=LoadFactorSeasons)*(C$1=LoadFactorHours),0),)</f>
        <v>7.3556176792201482E-5</v>
      </c>
      <c r="D2" s="7" cm="1">
        <f t="array" ref="D2">INDEX('Summarized Source Data'!$G$600:$G$743,MATCH(1,($A2=LoadFactorSeasons)*(D$1=LoadFactorHours),0),)</f>
        <v>7.2159110927966517E-5</v>
      </c>
      <c r="E2" s="7" cm="1">
        <f t="array" ref="E2">INDEX('Summarized Source Data'!$G$600:$G$743,MATCH(1,($A2=LoadFactorSeasons)*(E$1=LoadFactorHours),0),)</f>
        <v>7.3202904952328779E-5</v>
      </c>
      <c r="F2" s="7" cm="1">
        <f t="array" ref="F2">INDEX('Summarized Source Data'!$G$600:$G$743,MATCH(1,($A2=LoadFactorSeasons)*(F$1=LoadFactorHours),0),)</f>
        <v>8.8174593151850187E-5</v>
      </c>
      <c r="G2" s="7" cm="1">
        <f t="array" ref="G2">INDEX('Summarized Source Data'!$G$600:$G$743,MATCH(1,($A2=LoadFactorSeasons)*(G$1=LoadFactorHours),0),)</f>
        <v>1.4033011802077542E-4</v>
      </c>
      <c r="H2" s="7" cm="1">
        <f t="array" ref="H2">INDEX('Summarized Source Data'!$G$600:$G$743,MATCH(1,($A2=LoadFactorSeasons)*(H$1=LoadFactorHours),0),)</f>
        <v>2.141880748738151E-4</v>
      </c>
      <c r="I2" s="7" cm="1">
        <f t="array" ref="I2">INDEX('Summarized Source Data'!$G$600:$G$743,MATCH(1,($A2=LoadFactorSeasons)*(I$1=LoadFactorHours),0),)</f>
        <v>1.0311707052943618E-4</v>
      </c>
      <c r="J2" s="7" cm="1">
        <f t="array" ref="J2">INDEX('Summarized Source Data'!$G$600:$G$743,MATCH(1,($A2=LoadFactorSeasons)*(J$1=LoadFactorHours),0),)</f>
        <v>8.0675614408704899E-5</v>
      </c>
      <c r="K2" s="7" cm="1">
        <f t="array" ref="K2">INDEX('Summarized Source Data'!$G$600:$G$743,MATCH(1,($A2=LoadFactorSeasons)*(K$1=LoadFactorHours),0),)</f>
        <v>8.0107476279066124E-5</v>
      </c>
      <c r="L2" s="7" cm="1">
        <f t="array" ref="L2">INDEX('Summarized Source Data'!$G$600:$G$743,MATCH(1,($A2=LoadFactorSeasons)*(L$1=LoadFactorHours),0),)</f>
        <v>8.0959683473524286E-5</v>
      </c>
      <c r="M2" s="7" cm="1">
        <f t="array" ref="M2">INDEX('Summarized Source Data'!$G$600:$G$743,MATCH(1,($A2=LoadFactorSeasons)*(M$1=LoadFactorHours),0),)</f>
        <v>8.7706323762984633E-5</v>
      </c>
      <c r="N2" s="7" cm="1">
        <f t="array" ref="N2">INDEX('Summarized Source Data'!$G$600:$G$743,MATCH(1,($A2=LoadFactorSeasons)*(N$1=LoadFactorHours),0),)</f>
        <v>9.1541256138046303E-5</v>
      </c>
      <c r="O2" s="7" cm="1">
        <f t="array" ref="O2">INDEX('Summarized Source Data'!$G$600:$G$743,MATCH(1,($A2=LoadFactorSeasons)*(O$1=LoadFactorHours),0),)</f>
        <v>9.2251428800094765E-5</v>
      </c>
      <c r="P2" s="7" cm="1">
        <f t="array" ref="P2">INDEX('Summarized Source Data'!$G$600:$G$743,MATCH(1,($A2=LoadFactorSeasons)*(P$1=LoadFactorHours),0),)</f>
        <v>9.3387705059372301E-5</v>
      </c>
      <c r="Q2" s="7" cm="1">
        <f t="array" ref="Q2">INDEX('Summarized Source Data'!$G$600:$G$743,MATCH(1,($A2=LoadFactorSeasons)*(Q$1=LoadFactorHours),0),)</f>
        <v>9.7861792830277602E-5</v>
      </c>
      <c r="R2" s="7" cm="1">
        <f t="array" ref="R2">INDEX('Summarized Source Data'!$G$600:$G$743,MATCH(1,($A2=LoadFactorSeasons)*(R$1=LoadFactorHours),0),)</f>
        <v>1.4224758420830624E-4</v>
      </c>
      <c r="S2" s="7" cm="1">
        <f t="array" ref="S2">INDEX('Summarized Source Data'!$G$600:$G$743,MATCH(1,($A2=LoadFactorSeasons)*(S$1=LoadFactorHours),0),)</f>
        <v>3.7390590656851346E-4</v>
      </c>
      <c r="T2" s="7" cm="1">
        <f t="array" ref="T2">INDEX('Summarized Source Data'!$G$600:$G$743,MATCH(1,($A2=LoadFactorSeasons)*(T$1=LoadFactorHours),0),)</f>
        <v>4.040882447055729E-4</v>
      </c>
      <c r="U2" s="7" cm="1">
        <f t="array" ref="U2">INDEX('Summarized Source Data'!$G$600:$G$743,MATCH(1,($A2=LoadFactorSeasons)*(U$1=LoadFactorHours),0),)</f>
        <v>4.3071971953239008E-4</v>
      </c>
      <c r="V2" s="7" cm="1">
        <f t="array" ref="V2">INDEX('Summarized Source Data'!$G$600:$G$743,MATCH(1,($A2=LoadFactorSeasons)*(V$1=LoadFactorHours),0),)</f>
        <v>4.3441261737504211E-4</v>
      </c>
      <c r="W2" s="7" cm="1">
        <f t="array" ref="W2">INDEX('Summarized Source Data'!$G$600:$G$743,MATCH(1,($A2=LoadFactorSeasons)*(W$1=LoadFactorHours),0),)</f>
        <v>3.5671972814694077E-4</v>
      </c>
      <c r="X2" s="7" cm="1">
        <f t="array" ref="X2">INDEX('Summarized Source Data'!$G$600:$G$743,MATCH(1,($A2=LoadFactorSeasons)*(X$1=LoadFactorHours),0),)</f>
        <v>2.1837809357990099E-4</v>
      </c>
      <c r="Y2" s="7" cm="1">
        <f t="array" ref="Y2">INDEX('Summarized Source Data'!$G$600:$G$743,MATCH(1,($A2=LoadFactorSeasons)*(Y$1=LoadFactorHours),0),)</f>
        <v>1.175335755690199E-4</v>
      </c>
    </row>
    <row r="3" spans="1:25" x14ac:dyDescent="0.3">
      <c r="A3" s="7" t="s">
        <v>164</v>
      </c>
      <c r="B3" s="7" cm="1">
        <f t="array" ref="B3">INDEX('Summarized Source Data'!$G$600:$G$743,MATCH(1,($A3=LoadFactorSeasons)*(B$1=LoadFactorHours),0),)</f>
        <v>5.6739011094924553E-5</v>
      </c>
      <c r="C3" s="7" cm="1">
        <f t="array" ref="C3">INDEX('Summarized Source Data'!$G$600:$G$743,MATCH(1,($A3=LoadFactorSeasons)*(C$1=LoadFactorHours),0),)</f>
        <v>5.1089136531495987E-5</v>
      </c>
      <c r="D3" s="7" cm="1">
        <f t="array" ref="D3">INDEX('Summarized Source Data'!$G$600:$G$743,MATCH(1,($A3=LoadFactorSeasons)*(D$1=LoadFactorHours),0),)</f>
        <v>5.011873259914929E-5</v>
      </c>
      <c r="E3" s="7" cm="1">
        <f t="array" ref="E3">INDEX('Summarized Source Data'!$G$600:$G$743,MATCH(1,($A3=LoadFactorSeasons)*(E$1=LoadFactorHours),0),)</f>
        <v>5.0868079079970465E-5</v>
      </c>
      <c r="F3" s="7" cm="1">
        <f t="array" ref="F3">INDEX('Summarized Source Data'!$G$600:$G$743,MATCH(1,($A3=LoadFactorSeasons)*(F$1=LoadFactorHours),0),)</f>
        <v>6.1311116819453087E-5</v>
      </c>
      <c r="G3" s="7" cm="1">
        <f t="array" ref="G3">INDEX('Summarized Source Data'!$G$600:$G$743,MATCH(1,($A3=LoadFactorSeasons)*(G$1=LoadFactorHours),0),)</f>
        <v>9.7540671278742612E-5</v>
      </c>
      <c r="H3" s="7" cm="1">
        <f t="array" ref="H3">INDEX('Summarized Source Data'!$G$600:$G$743,MATCH(1,($A3=LoadFactorSeasons)*(H$1=LoadFactorHours),0),)</f>
        <v>9.8756799197755502E-5</v>
      </c>
      <c r="I3" s="7" cm="1">
        <f t="array" ref="I3">INDEX('Summarized Source Data'!$G$600:$G$743,MATCH(1,($A3=LoadFactorSeasons)*(I$1=LoadFactorHours),0),)</f>
        <v>5.320154303055674E-5</v>
      </c>
      <c r="J3" s="7" cm="1">
        <f t="array" ref="J3">INDEX('Summarized Source Data'!$G$600:$G$743,MATCH(1,($A3=LoadFactorSeasons)*(J$1=LoadFactorHours),0),)</f>
        <v>5.6065043961499499E-5</v>
      </c>
      <c r="K3" s="7" cm="1">
        <f t="array" ref="K3">INDEX('Summarized Source Data'!$G$600:$G$743,MATCH(1,($A3=LoadFactorSeasons)*(K$1=LoadFactorHours),0),)</f>
        <v>5.5648203485949316E-5</v>
      </c>
      <c r="L3" s="7" cm="1">
        <f t="array" ref="L3">INDEX('Summarized Source Data'!$G$600:$G$743,MATCH(1,($A3=LoadFactorSeasons)*(L$1=LoadFactorHours),0),)</f>
        <v>5.6273464199274588E-5</v>
      </c>
      <c r="M3" s="7" cm="1">
        <f t="array" ref="M3">INDEX('Summarized Source Data'!$G$600:$G$743,MATCH(1,($A3=LoadFactorSeasons)*(M$1=LoadFactorHours),0),)</f>
        <v>6.085870943032659E-5</v>
      </c>
      <c r="N3" s="7" cm="1">
        <f t="array" ref="N3">INDEX('Summarized Source Data'!$G$600:$G$743,MATCH(1,($A3=LoadFactorSeasons)*(N$1=LoadFactorHours),0),)</f>
        <v>6.3637645933994471E-5</v>
      </c>
      <c r="O3" s="7" cm="1">
        <f t="array" ref="O3">INDEX('Summarized Source Data'!$G$600:$G$743,MATCH(1,($A3=LoadFactorSeasons)*(O$1=LoadFactorHours),0),)</f>
        <v>6.4054486409544648E-5</v>
      </c>
      <c r="P3" s="7" cm="1">
        <f t="array" ref="P3">INDEX('Summarized Source Data'!$G$600:$G$743,MATCH(1,($A3=LoadFactorSeasons)*(P$1=LoadFactorHours),0),)</f>
        <v>6.4818693948053319E-5</v>
      </c>
      <c r="Q3" s="7" cm="1">
        <f t="array" ref="Q3">INDEX('Summarized Source Data'!$G$600:$G$743,MATCH(1,($A3=LoadFactorSeasons)*(Q$1=LoadFactorHours),0),)</f>
        <v>6.7944997514679688E-5</v>
      </c>
      <c r="R3" s="7" cm="1">
        <f t="array" ref="R3">INDEX('Summarized Source Data'!$G$600:$G$743,MATCH(1,($A3=LoadFactorSeasons)*(R$1=LoadFactorHours),0),)</f>
        <v>7.3363923696832044E-5</v>
      </c>
      <c r="S3" s="7" cm="1">
        <f t="array" ref="S3">INDEX('Summarized Source Data'!$G$600:$G$743,MATCH(1,($A3=LoadFactorSeasons)*(S$1=LoadFactorHours),0),)</f>
        <v>1.7229406322740863E-4</v>
      </c>
      <c r="T3" s="7" cm="1">
        <f t="array" ref="T3">INDEX('Summarized Source Data'!$G$600:$G$743,MATCH(1,($A3=LoadFactorSeasons)*(T$1=LoadFactorHours),0),)</f>
        <v>2.8067258687045592E-4</v>
      </c>
      <c r="U3" s="7" cm="1">
        <f t="array" ref="U3">INDEX('Summarized Source Data'!$G$600:$G$743,MATCH(1,($A3=LoadFactorSeasons)*(U$1=LoadFactorHours),0),)</f>
        <v>2.9908304120725572E-4</v>
      </c>
      <c r="V3" s="7" cm="1">
        <f t="array" ref="V3">INDEX('Summarized Source Data'!$G$600:$G$743,MATCH(1,($A3=LoadFactorSeasons)*(V$1=LoadFactorHours),0),)</f>
        <v>3.0172303088574014E-4</v>
      </c>
      <c r="W3" s="7" cm="1">
        <f t="array" ref="W3">INDEX('Summarized Source Data'!$G$600:$G$743,MATCH(1,($A3=LoadFactorSeasons)*(W$1=LoadFactorHours),0),)</f>
        <v>2.4788113612717494E-4</v>
      </c>
      <c r="X3" s="7" cm="1">
        <f t="array" ref="X3">INDEX('Summarized Source Data'!$G$600:$G$743,MATCH(1,($A3=LoadFactorSeasons)*(X$1=LoadFactorHours),0),)</f>
        <v>1.5166045968767458E-4</v>
      </c>
      <c r="Y3" s="7" cm="1">
        <f t="array" ref="Y3">INDEX('Summarized Source Data'!$G$600:$G$743,MATCH(1,($A3=LoadFactorSeasons)*(Y$1=LoadFactorHours),0),)</f>
        <v>8.1631259795244011E-5</v>
      </c>
    </row>
    <row r="4" spans="1:25" x14ac:dyDescent="0.3">
      <c r="A4" s="7" t="s">
        <v>165</v>
      </c>
      <c r="B4" s="7" cm="1">
        <f t="array" ref="B4">INDEX('Summarized Source Data'!$G$600:$G$743,MATCH(1,($A4=LoadFactorSeasons)*(B$1=LoadFactorHours),0),)</f>
        <v>5.5722986751465388E-5</v>
      </c>
      <c r="C4" s="7" cm="1">
        <f t="array" ref="C4">INDEX('Summarized Source Data'!$G$600:$G$743,MATCH(1,($A4=LoadFactorSeasons)*(C$1=LoadFactorHours),0),)</f>
        <v>5.0178665227989765E-5</v>
      </c>
      <c r="D4" s="7" cm="1">
        <f t="array" ref="D4">INDEX('Summarized Source Data'!$G$600:$G$743,MATCH(1,($A4=LoadFactorSeasons)*(D$1=LoadFactorHours),0),)</f>
        <v>4.9289859208200277E-5</v>
      </c>
      <c r="E4" s="7" cm="1">
        <f t="array" ref="E4">INDEX('Summarized Source Data'!$G$600:$G$743,MATCH(1,($A4=LoadFactorSeasons)*(E$1=LoadFactorHours),0),)</f>
        <v>4.9970021285826127E-5</v>
      </c>
      <c r="F4" s="7" cm="1">
        <f t="array" ref="F4">INDEX('Summarized Source Data'!$G$600:$G$743,MATCH(1,($A4=LoadFactorSeasons)*(F$1=LoadFactorHours),0),)</f>
        <v>6.0256110249454599E-5</v>
      </c>
      <c r="G4" s="7" cm="1">
        <f t="array" ref="G4">INDEX('Summarized Source Data'!$G$600:$G$743,MATCH(1,($A4=LoadFactorSeasons)*(G$1=LoadFactorHours),0),)</f>
        <v>9.5942782789133573E-5</v>
      </c>
      <c r="H4" s="7" cm="1">
        <f t="array" ref="H4">INDEX('Summarized Source Data'!$G$600:$G$743,MATCH(1,($A4=LoadFactorSeasons)*(H$1=LoadFactorHours),0),)</f>
        <v>6.8361539254555728E-5</v>
      </c>
      <c r="I4" s="7" cm="1">
        <f t="array" ref="I4">INDEX('Summarized Source Data'!$G$600:$G$743,MATCH(1,($A4=LoadFactorSeasons)*(I$1=LoadFactorHours),0),)</f>
        <v>5.1586302166684683E-5</v>
      </c>
      <c r="J4" s="7" cm="1">
        <f t="array" ref="J4">INDEX('Summarized Source Data'!$G$600:$G$743,MATCH(1,($A4=LoadFactorSeasons)*(J$1=LoadFactorHours),0),)</f>
        <v>5.5022942772624037E-5</v>
      </c>
      <c r="K4" s="7" cm="1">
        <f t="array" ref="K4">INDEX('Summarized Source Data'!$G$600:$G$743,MATCH(1,($A4=LoadFactorSeasons)*(K$1=LoadFactorHours),0),)</f>
        <v>5.4675575709665556E-5</v>
      </c>
      <c r="L4" s="7" cm="1">
        <f t="array" ref="L4">INDEX('Summarized Source Data'!$G$600:$G$743,MATCH(1,($A4=LoadFactorSeasons)*(L$1=LoadFactorHours),0),)</f>
        <v>5.5300836422990828E-5</v>
      </c>
      <c r="M4" s="7" cm="1">
        <f t="array" ref="M4">INDEX('Summarized Source Data'!$G$600:$G$743,MATCH(1,($A4=LoadFactorSeasons)*(M$1=LoadFactorHours),0),)</f>
        <v>5.9747134828859438E-5</v>
      </c>
      <c r="N4" s="7" cm="1">
        <f t="array" ref="N4">INDEX('Summarized Source Data'!$G$600:$G$743,MATCH(1,($A4=LoadFactorSeasons)*(N$1=LoadFactorHours),0),)</f>
        <v>6.2456597919935622E-5</v>
      </c>
      <c r="O4" s="7" cm="1">
        <f t="array" ref="O4">INDEX('Summarized Source Data'!$G$600:$G$743,MATCH(1,($A4=LoadFactorSeasons)*(O$1=LoadFactorHours),0),)</f>
        <v>6.3081858633260901E-5</v>
      </c>
      <c r="P4" s="7" cm="1">
        <f t="array" ref="P4">INDEX('Summarized Source Data'!$G$600:$G$743,MATCH(1,($A4=LoadFactorSeasons)*(P$1=LoadFactorHours),0),)</f>
        <v>6.3568172521402761E-5</v>
      </c>
      <c r="Q4" s="7" cm="1">
        <f t="array" ref="Q4">INDEX('Summarized Source Data'!$G$600:$G$743,MATCH(1,($A4=LoadFactorSeasons)*(Q$1=LoadFactorHours),0),)</f>
        <v>6.6833422913212536E-5</v>
      </c>
      <c r="R4" s="7" cm="1">
        <f t="array" ref="R4">INDEX('Summarized Source Data'!$G$600:$G$743,MATCH(1,($A4=LoadFactorSeasons)*(R$1=LoadFactorHours),0),)</f>
        <v>7.1071301081306057E-5</v>
      </c>
      <c r="S4" s="7" cm="1">
        <f t="array" ref="S4">INDEX('Summarized Source Data'!$G$600:$G$743,MATCH(1,($A4=LoadFactorSeasons)*(S$1=LoadFactorHours),0),)</f>
        <v>1.1914690259476039E-4</v>
      </c>
      <c r="T4" s="7" cm="1">
        <f t="array" ref="T4">INDEX('Summarized Source Data'!$G$600:$G$743,MATCH(1,($A4=LoadFactorSeasons)*(T$1=LoadFactorHours),0),)</f>
        <v>2.7573997457644548E-4</v>
      </c>
      <c r="U4" s="7" cm="1">
        <f t="array" ref="U4">INDEX('Summarized Source Data'!$G$600:$G$743,MATCH(1,($A4=LoadFactorSeasons)*(U$1=LoadFactorHours),0),)</f>
        <v>2.9394200867547012E-4</v>
      </c>
      <c r="V4" s="7" cm="1">
        <f t="array" ref="V4">INDEX('Summarized Source Data'!$G$600:$G$743,MATCH(1,($A4=LoadFactorSeasons)*(V$1=LoadFactorHours),0),)</f>
        <v>2.9644305152877118E-4</v>
      </c>
      <c r="W4" s="7" cm="1">
        <f t="array" ref="W4">INDEX('Summarized Source Data'!$G$600:$G$743,MATCH(1,($A4=LoadFactorSeasons)*(W$1=LoadFactorHours),0),)</f>
        <v>2.4357378454648975E-4</v>
      </c>
      <c r="X4" s="7" cm="1">
        <f t="array" ref="X4">INDEX('Summarized Source Data'!$G$600:$G$743,MATCH(1,($A4=LoadFactorSeasons)*(X$1=LoadFactorHours),0),)</f>
        <v>1.4908994342178179E-4</v>
      </c>
      <c r="Y4" s="7" cm="1">
        <f t="array" ref="Y4">INDEX('Summarized Source Data'!$G$600:$G$743,MATCH(1,($A4=LoadFactorSeasons)*(Y$1=LoadFactorHours),0),)</f>
        <v>8.0241791543410047E-5</v>
      </c>
    </row>
    <row r="5" spans="1:25" x14ac:dyDescent="0.3">
      <c r="A5" s="7" t="s">
        <v>166</v>
      </c>
      <c r="B5" s="7" cm="1">
        <f t="array" ref="B5">INDEX('Summarized Source Data'!$G$600:$G$743,MATCH(1,($A5=LoadFactorSeasons)*(B$1=LoadFactorHours),0),)</f>
        <v>3.8700508034047311E-5</v>
      </c>
      <c r="C5" s="7" cm="1">
        <f t="array" ref="C5">INDEX('Summarized Source Data'!$G$600:$G$743,MATCH(1,($A5=LoadFactorSeasons)*(C$1=LoadFactorHours),0),)</f>
        <v>3.4788219594505821E-5</v>
      </c>
      <c r="D5" s="7" cm="1">
        <f t="array" ref="D5">INDEX('Summarized Source Data'!$G$600:$G$743,MATCH(1,($A5=LoadFactorSeasons)*(D$1=LoadFactorHours),0),)</f>
        <v>3.415187086345539E-5</v>
      </c>
      <c r="E5" s="7" cm="1">
        <f t="array" ref="E5">INDEX('Summarized Source Data'!$G$600:$G$743,MATCH(1,($A5=LoadFactorSeasons)*(E$1=LoadFactorHours),0),)</f>
        <v>3.4633376824992751E-5</v>
      </c>
      <c r="F5" s="7" cm="1">
        <f t="array" ref="F5">INDEX('Summarized Source Data'!$G$600:$G$743,MATCH(1,($A5=LoadFactorSeasons)*(F$1=LoadFactorHours),0),)</f>
        <v>4.1797455434590919E-5</v>
      </c>
      <c r="G5" s="7" cm="1">
        <f t="array" ref="G5">INDEX('Summarized Source Data'!$G$600:$G$743,MATCH(1,($A5=LoadFactorSeasons)*(G$1=LoadFactorHours),0),)</f>
        <v>6.6514303281747393E-5</v>
      </c>
      <c r="H5" s="7" cm="1">
        <f t="array" ref="H5">INDEX('Summarized Source Data'!$G$600:$G$743,MATCH(1,($A5=LoadFactorSeasons)*(H$1=LoadFactorHours),0),)</f>
        <v>8.6321096867230765E-5</v>
      </c>
      <c r="I5" s="7" cm="1">
        <f t="array" ref="I5">INDEX('Summarized Source Data'!$G$600:$G$743,MATCH(1,($A5=LoadFactorSeasons)*(I$1=LoadFactorHours),0),)</f>
        <v>3.7795937389946826E-5</v>
      </c>
      <c r="J5" s="7" cm="1">
        <f t="array" ref="J5">INDEX('Summarized Source Data'!$G$600:$G$743,MATCH(1,($A5=LoadFactorSeasons)*(J$1=LoadFactorHours),0),)</f>
        <v>3.8208850037244536E-5</v>
      </c>
      <c r="K5" s="7" cm="1">
        <f t="array" ref="K5">INDEX('Summarized Source Data'!$G$600:$G$743,MATCH(1,($A5=LoadFactorSeasons)*(K$1=LoadFactorHours),0),)</f>
        <v>3.7927902610500093E-5</v>
      </c>
      <c r="L5" s="7" cm="1">
        <f t="array" ref="L5">INDEX('Summarized Source Data'!$G$600:$G$743,MATCH(1,($A5=LoadFactorSeasons)*(L$1=LoadFactorHours),0),)</f>
        <v>3.8349323750616757E-5</v>
      </c>
      <c r="M5" s="7" cm="1">
        <f t="array" ref="M5">INDEX('Summarized Source Data'!$G$600:$G$743,MATCH(1,($A5=LoadFactorSeasons)*(M$1=LoadFactorHours),0),)</f>
        <v>4.1509982301491767E-5</v>
      </c>
      <c r="N5" s="7" cm="1">
        <f t="array" ref="N5">INDEX('Summarized Source Data'!$G$600:$G$743,MATCH(1,($A5=LoadFactorSeasons)*(N$1=LoadFactorHours),0),)</f>
        <v>4.3336140575330659E-5</v>
      </c>
      <c r="O5" s="7" cm="1">
        <f t="array" ref="O5">INDEX('Summarized Source Data'!$G$600:$G$743,MATCH(1,($A5=LoadFactorSeasons)*(O$1=LoadFactorHours),0),)</f>
        <v>4.3687324858761206E-5</v>
      </c>
      <c r="P5" s="7" cm="1">
        <f t="array" ref="P5">INDEX('Summarized Source Data'!$G$600:$G$743,MATCH(1,($A5=LoadFactorSeasons)*(P$1=LoadFactorHours),0),)</f>
        <v>4.4178982855563995E-5</v>
      </c>
      <c r="Q5" s="7" cm="1">
        <f t="array" ref="Q5">INDEX('Summarized Source Data'!$G$600:$G$743,MATCH(1,($A5=LoadFactorSeasons)*(Q$1=LoadFactorHours),0),)</f>
        <v>4.6356325412833447E-5</v>
      </c>
      <c r="R5" s="7" cm="1">
        <f t="array" ref="R5">INDEX('Summarized Source Data'!$G$600:$G$743,MATCH(1,($A5=LoadFactorSeasons)*(R$1=LoadFactorHours),0),)</f>
        <v>5.2045510804408449E-5</v>
      </c>
      <c r="S5" s="7" cm="1">
        <f t="array" ref="S5">INDEX('Summarized Source Data'!$G$600:$G$743,MATCH(1,($A5=LoadFactorSeasons)*(S$1=LoadFactorHours),0),)</f>
        <v>1.5065805759170868E-4</v>
      </c>
      <c r="T5" s="7" cm="1">
        <f t="array" ref="T5">INDEX('Summarized Source Data'!$G$600:$G$743,MATCH(1,($A5=LoadFactorSeasons)*(T$1=LoadFactorHours),0),)</f>
        <v>1.9132519761296709E-4</v>
      </c>
      <c r="U5" s="7" cm="1">
        <f t="array" ref="U5">INDEX('Summarized Source Data'!$G$600:$G$743,MATCH(1,($A5=LoadFactorSeasons)*(U$1=LoadFactorHours),0),)</f>
        <v>2.0389759495978104E-4</v>
      </c>
      <c r="V5" s="7" cm="1">
        <f t="array" ref="V5">INDEX('Summarized Source Data'!$G$600:$G$743,MATCH(1,($A5=LoadFactorSeasons)*(V$1=LoadFactorHours),0),)</f>
        <v>2.0565351637693384E-4</v>
      </c>
      <c r="W5" s="7" cm="1">
        <f t="array" ref="W5">INDEX('Summarized Source Data'!$G$600:$G$743,MATCH(1,($A5=LoadFactorSeasons)*(W$1=LoadFactorHours),0),)</f>
        <v>1.6891964033009761E-4</v>
      </c>
      <c r="X5" s="7" cm="1">
        <f t="array" ref="X5">INDEX('Summarized Source Data'!$G$600:$G$743,MATCH(1,($A5=LoadFactorSeasons)*(X$1=LoadFactorHours),0),)</f>
        <v>1.033886530419558E-4</v>
      </c>
      <c r="Y5" s="7" cm="1">
        <f t="array" ref="Y5">INDEX('Summarized Source Data'!$G$600:$G$743,MATCH(1,($A5=LoadFactorSeasons)*(Y$1=LoadFactorHours),0),)</f>
        <v>5.562759049540013E-5</v>
      </c>
    </row>
    <row r="6" spans="1:25" x14ac:dyDescent="0.3">
      <c r="A6" s="7" t="s">
        <v>172</v>
      </c>
      <c r="B6" s="7" cm="1">
        <f t="array" ref="B6">INDEX('Summarized Source Data'!$G$600:$G$743,MATCH(1,($A6=LoadFactorSeasons)*(B$1=LoadFactorHours),0),)</f>
        <v>7.247935381837535E-5</v>
      </c>
      <c r="C6" s="7" cm="1">
        <f t="array" ref="C6">INDEX('Summarized Source Data'!$G$600:$G$743,MATCH(1,($A6=LoadFactorSeasons)*(C$1=LoadFactorHours),0),)</f>
        <v>6.2557349304977295E-5</v>
      </c>
      <c r="D6" s="7" cm="1">
        <f t="array" ref="D6">INDEX('Summarized Source Data'!$G$600:$G$743,MATCH(1,($A6=LoadFactorSeasons)*(D$1=LoadFactorHours),0),)</f>
        <v>6.0419156011997807E-5</v>
      </c>
      <c r="E6" s="7" cm="1">
        <f t="array" ref="E6">INDEX('Summarized Source Data'!$G$600:$G$743,MATCH(1,($A6=LoadFactorSeasons)*(E$1=LoadFactorHours),0),)</f>
        <v>6.0368153842978933E-5</v>
      </c>
      <c r="F6" s="7" cm="1">
        <f t="array" ref="F6">INDEX('Summarized Source Data'!$G$600:$G$743,MATCH(1,($A6=LoadFactorSeasons)*(F$1=LoadFactorHours),0),)</f>
        <v>6.354327776610173E-5</v>
      </c>
      <c r="G6" s="7" cm="1">
        <f t="array" ref="G6">INDEX('Summarized Source Data'!$G$600:$G$743,MATCH(1,($A6=LoadFactorSeasons)*(G$1=LoadFactorHours),0),)</f>
        <v>1.013478142887676E-4</v>
      </c>
      <c r="H6" s="7" cm="1">
        <f t="array" ref="H6">INDEX('Summarized Source Data'!$G$600:$G$743,MATCH(1,($A6=LoadFactorSeasons)*(H$1=LoadFactorHours),0),)</f>
        <v>6.9153834893775215E-5</v>
      </c>
      <c r="I6" s="7" cm="1">
        <f t="array" ref="I6">INDEX('Summarized Source Data'!$G$600:$G$743,MATCH(1,($A6=LoadFactorSeasons)*(I$1=LoadFactorHours),0),)</f>
        <v>6.5781979981912933E-5</v>
      </c>
      <c r="J6" s="7" cm="1">
        <f t="array" ref="J6">INDEX('Summarized Source Data'!$G$600:$G$743,MATCH(1,($A6=LoadFactorSeasons)*(J$1=LoadFactorHours),0),)</f>
        <v>8.0241791543410074E-5</v>
      </c>
      <c r="K6" s="7" cm="1">
        <f t="array" ref="K6">INDEX('Summarized Source Data'!$G$600:$G$743,MATCH(1,($A6=LoadFactorSeasons)*(K$1=LoadFactorHours),0),)</f>
        <v>8.3159674872261341E-5</v>
      </c>
      <c r="L6" s="7" cm="1">
        <f t="array" ref="L6">INDEX('Summarized Source Data'!$G$600:$G$743,MATCH(1,($A6=LoadFactorSeasons)*(L$1=LoadFactorHours),0),)</f>
        <v>8.3645988760403214E-5</v>
      </c>
      <c r="M6" s="7" cm="1">
        <f t="array" ref="M6">INDEX('Summarized Source Data'!$G$600:$G$743,MATCH(1,($A6=LoadFactorSeasons)*(M$1=LoadFactorHours),0),)</f>
        <v>8.8752284585892957E-5</v>
      </c>
      <c r="N6" s="7" cm="1">
        <f t="array" ref="N6">INDEX('Summarized Source Data'!$G$600:$G$743,MATCH(1,($A6=LoadFactorSeasons)*(N$1=LoadFactorHours),0),)</f>
        <v>9.1913324858815167E-5</v>
      </c>
      <c r="O6" s="7" cm="1">
        <f t="array" ref="O6">INDEX('Summarized Source Data'!$G$600:$G$743,MATCH(1,($A6=LoadFactorSeasons)*(O$1=LoadFactorHours),0),)</f>
        <v>9.1913324858815167E-5</v>
      </c>
      <c r="P6" s="7" cm="1">
        <f t="array" ref="P6">INDEX('Summarized Source Data'!$G$600:$G$743,MATCH(1,($A6=LoadFactorSeasons)*(P$1=LoadFactorHours),0),)</f>
        <v>9.0697540138460464E-5</v>
      </c>
      <c r="Q6" s="7" cm="1">
        <f t="array" ref="Q6">INDEX('Summarized Source Data'!$G$600:$G$743,MATCH(1,($A6=LoadFactorSeasons)*(Q$1=LoadFactorHours),0),)</f>
        <v>9.1183854026602337E-5</v>
      </c>
      <c r="R6" s="7" cm="1">
        <f t="array" ref="R6">INDEX('Summarized Source Data'!$G$600:$G$743,MATCH(1,($A6=LoadFactorSeasons)*(R$1=LoadFactorHours),0),)</f>
        <v>9.3372266523240801E-5</v>
      </c>
      <c r="S6" s="7" cm="1">
        <f t="array" ref="S6">INDEX('Summarized Source Data'!$G$600:$G$743,MATCH(1,($A6=LoadFactorSeasons)*(S$1=LoadFactorHours),0),)</f>
        <v>1.5270256087655007E-4</v>
      </c>
      <c r="T6" s="7" cm="1">
        <f t="array" ref="T6">INDEX('Summarized Source Data'!$G$600:$G$743,MATCH(1,($A6=LoadFactorSeasons)*(T$1=LoadFactorHours),0),)</f>
        <v>3.452828605807342E-4</v>
      </c>
      <c r="U6" s="7" cm="1">
        <f t="array" ref="U6">INDEX('Summarized Source Data'!$G$600:$G$743,MATCH(1,($A6=LoadFactorSeasons)*(U$1=LoadFactorHours),0),)</f>
        <v>3.6181753277755814E-4</v>
      </c>
      <c r="V6" s="7" cm="1">
        <f t="array" ref="V6">INDEX('Summarized Source Data'!$G$600:$G$743,MATCH(1,($A6=LoadFactorSeasons)*(V$1=LoadFactorHours),0),)</f>
        <v>3.5987227722499064E-4</v>
      </c>
      <c r="W6" s="7" cm="1">
        <f t="array" ref="W6">INDEX('Summarized Source Data'!$G$600:$G$743,MATCH(1,($A6=LoadFactorSeasons)*(W$1=LoadFactorHours),0),)</f>
        <v>2.9762409954283006E-4</v>
      </c>
      <c r="X6" s="7" cm="1">
        <f t="array" ref="X6">INDEX('Summarized Source Data'!$G$600:$G$743,MATCH(1,($A6=LoadFactorSeasons)*(X$1=LoadFactorHours),0),)</f>
        <v>1.9209398581604227E-4</v>
      </c>
      <c r="Y6" s="7" cm="1">
        <f t="array" ref="Y6">INDEX('Summarized Source Data'!$G$600:$G$743,MATCH(1,($A6=LoadFactorSeasons)*(Y$1=LoadFactorHours),0),)</f>
        <v>1.0723221233528436E-4</v>
      </c>
    </row>
    <row r="7" spans="1:25" x14ac:dyDescent="0.3">
      <c r="A7" s="7" t="s">
        <v>171</v>
      </c>
      <c r="B7" s="7" cm="1">
        <f t="array" ref="B7">INDEX('Summarized Source Data'!$G$600:$G$743,MATCH(1,($A7=LoadFactorSeasons)*(B$1=LoadFactorHours),0),)</f>
        <v>1.0663242520657606E-4</v>
      </c>
      <c r="C7" s="7" cm="1">
        <f t="array" ref="C7">INDEX('Summarized Source Data'!$G$600:$G$743,MATCH(1,($A7=LoadFactorSeasons)*(C$1=LoadFactorHours),0),)</f>
        <v>9.2153931680926456E-5</v>
      </c>
      <c r="D7" s="7" cm="1">
        <f t="array" ref="D7">INDEX('Summarized Source Data'!$G$600:$G$743,MATCH(1,($A7=LoadFactorSeasons)*(D$1=LoadFactorHours),0),)</f>
        <v>8.9004124178122799E-5</v>
      </c>
      <c r="E7" s="7" cm="1">
        <f t="array" ref="E7">INDEX('Summarized Source Data'!$G$600:$G$743,MATCH(1,($A7=LoadFactorSeasons)*(E$1=LoadFactorHours),0),)</f>
        <v>8.8928996787636345E-5</v>
      </c>
      <c r="F7" s="7" cm="1">
        <f t="array" ref="F7">INDEX('Summarized Source Data'!$G$600:$G$743,MATCH(1,($A7=LoadFactorSeasons)*(F$1=LoadFactorHours),0),)</f>
        <v>9.3606302596304795E-5</v>
      </c>
      <c r="G7" s="7" cm="1">
        <f t="array" ref="G7">INDEX('Summarized Source Data'!$G$600:$G$743,MATCH(1,($A7=LoadFactorSeasons)*(G$1=LoadFactorHours),0),)</f>
        <v>1.479431689579349E-4</v>
      </c>
      <c r="H7" s="7" cm="1">
        <f t="array" ref="H7">INDEX('Summarized Source Data'!$G$600:$G$743,MATCH(1,($A7=LoadFactorSeasons)*(H$1=LoadFactorHours),0),)</f>
        <v>2.1614815142106882E-4</v>
      </c>
      <c r="I7" s="7" cm="1">
        <f t="array" ref="I7">INDEX('Summarized Source Data'!$G$600:$G$743,MATCH(1,($A7=LoadFactorSeasons)*(I$1=LoadFactorHours),0),)</f>
        <v>1.32234149673423E-4</v>
      </c>
      <c r="J7" s="7" cm="1">
        <f t="array" ref="J7">INDEX('Summarized Source Data'!$G$600:$G$743,MATCH(1,($A7=LoadFactorSeasons)*(J$1=LoadFactorHours),0),)</f>
        <v>1.1806620506555626E-4</v>
      </c>
      <c r="K7" s="7" cm="1">
        <f t="array" ref="K7">INDEX('Summarized Source Data'!$G$600:$G$743,MATCH(1,($A7=LoadFactorSeasons)*(K$1=LoadFactorHours),0),)</f>
        <v>1.2254029283646154E-4</v>
      </c>
      <c r="L7" s="7" cm="1">
        <f t="array" ref="L7">INDEX('Summarized Source Data'!$G$600:$G$743,MATCH(1,($A7=LoadFactorSeasons)*(L$1=LoadFactorHours),0),)</f>
        <v>1.2303741369989546E-4</v>
      </c>
      <c r="M7" s="7" cm="1">
        <f t="array" ref="M7">INDEX('Summarized Source Data'!$G$600:$G$743,MATCH(1,($A7=LoadFactorSeasons)*(M$1=LoadFactorHours),0),)</f>
        <v>1.309913475148382E-4</v>
      </c>
      <c r="N7" s="7" cm="1">
        <f t="array" ref="N7">INDEX('Summarized Source Data'!$G$600:$G$743,MATCH(1,($A7=LoadFactorSeasons)*(N$1=LoadFactorHours),0),)</f>
        <v>1.3496831442230954E-4</v>
      </c>
      <c r="O7" s="7" cm="1">
        <f t="array" ref="O7">INDEX('Summarized Source Data'!$G$600:$G$743,MATCH(1,($A7=LoadFactorSeasons)*(O$1=LoadFactorHours),0),)</f>
        <v>1.3496831442230954E-4</v>
      </c>
      <c r="P7" s="7" cm="1">
        <f t="array" ref="P7">INDEX('Summarized Source Data'!$G$600:$G$743,MATCH(1,($A7=LoadFactorSeasons)*(P$1=LoadFactorHours),0),)</f>
        <v>1.3397407269544174E-4</v>
      </c>
      <c r="Q7" s="7" cm="1">
        <f t="array" ref="Q7">INDEX('Summarized Source Data'!$G$600:$G$743,MATCH(1,($A7=LoadFactorSeasons)*(Q$1=LoadFactorHours),0),)</f>
        <v>1.3397407269544174E-4</v>
      </c>
      <c r="R7" s="7" cm="1">
        <f t="array" ref="R7">INDEX('Summarized Source Data'!$G$600:$G$743,MATCH(1,($A7=LoadFactorSeasons)*(R$1=LoadFactorHours),0),)</f>
        <v>1.8791168637802212E-4</v>
      </c>
      <c r="S7" s="7" cm="1">
        <f t="array" ref="S7">INDEX('Summarized Source Data'!$G$600:$G$743,MATCH(1,($A7=LoadFactorSeasons)*(S$1=LoadFactorHours),0),)</f>
        <v>4.8171011666746952E-4</v>
      </c>
      <c r="T7" s="7" cm="1">
        <f t="array" ref="T7">INDEX('Summarized Source Data'!$G$600:$G$743,MATCH(1,($A7=LoadFactorSeasons)*(T$1=LoadFactorHours),0),)</f>
        <v>5.0880320372461818E-4</v>
      </c>
      <c r="U7" s="7" cm="1">
        <f t="array" ref="U7">INDEX('Summarized Source Data'!$G$600:$G$743,MATCH(1,($A7=LoadFactorSeasons)*(U$1=LoadFactorHours),0),)</f>
        <v>5.3291356560116333E-4</v>
      </c>
      <c r="V7" s="7" cm="1">
        <f t="array" ref="V7">INDEX('Summarized Source Data'!$G$600:$G$743,MATCH(1,($A7=LoadFactorSeasons)*(V$1=LoadFactorHours),0),)</f>
        <v>5.2993084042055982E-4</v>
      </c>
      <c r="W7" s="7" cm="1">
        <f t="array" ref="W7">INDEX('Summarized Source Data'!$G$600:$G$743,MATCH(1,($A7=LoadFactorSeasons)*(W$1=LoadFactorHours),0),)</f>
        <v>4.382120411170014E-4</v>
      </c>
      <c r="X7" s="7" cm="1">
        <f t="array" ref="X7">INDEX('Summarized Source Data'!$G$600:$G$743,MATCH(1,($A7=LoadFactorSeasons)*(X$1=LoadFactorHours),0),)</f>
        <v>2.8286177129390106E-4</v>
      </c>
      <c r="Y7" s="7" cm="1">
        <f t="array" ref="Y7">INDEX('Summarized Source Data'!$G$600:$G$743,MATCH(1,($A7=LoadFactorSeasons)*(Y$1=LoadFactorHours),0),)</f>
        <v>1.5833299500370385E-4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8F9E-6BA2-4B0E-8E9D-93D40A7A4F01}">
  <sheetPr codeName="Sheet13">
    <tabColor rgb="FF002060"/>
  </sheetPr>
  <dimension ref="A1:Y19"/>
  <sheetViews>
    <sheetView workbookViewId="0">
      <selection activeCell="B2" sqref="B2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Data'!$H$600:$H$743,MATCH(1,($A2=LoadFactorSeasons)*(B$1=LoadFactorHours),0),)</f>
        <v>8.1669856135572734E-5</v>
      </c>
      <c r="C2" s="7" cm="1">
        <f t="array" ref="C2">INDEX('Summarized Source Data'!$H$600:$H$743,MATCH(1,($A2=LoadFactorSeasons)*(C$1=LoadFactorHours),0),)</f>
        <v>7.3556176792201482E-5</v>
      </c>
      <c r="D2" s="7" cm="1">
        <f t="array" ref="D2">INDEX('Summarized Source Data'!$H$600:$H$743,MATCH(1,($A2=LoadFactorSeasons)*(D$1=LoadFactorHours),0),)</f>
        <v>7.2159110927966517E-5</v>
      </c>
      <c r="E2" s="7" cm="1">
        <f t="array" ref="E2">INDEX('Summarized Source Data'!$H$600:$H$743,MATCH(1,($A2=LoadFactorSeasons)*(E$1=LoadFactorHours),0),)</f>
        <v>7.3202904952328779E-5</v>
      </c>
      <c r="F2" s="7" cm="1">
        <f t="array" ref="F2">INDEX('Summarized Source Data'!$H$600:$H$743,MATCH(1,($A2=LoadFactorSeasons)*(F$1=LoadFactorHours),0),)</f>
        <v>8.8174593151850187E-5</v>
      </c>
      <c r="G2" s="7" cm="1">
        <f t="array" ref="G2">INDEX('Summarized Source Data'!$H$600:$H$743,MATCH(1,($A2=LoadFactorSeasons)*(G$1=LoadFactorHours),0),)</f>
        <v>1.4033011802077542E-4</v>
      </c>
      <c r="H2" s="7" cm="1">
        <f t="array" ref="H2">INDEX('Summarized Source Data'!$H$600:$H$743,MATCH(1,($A2=LoadFactorSeasons)*(H$1=LoadFactorHours),0),)</f>
        <v>2.141880748738151E-4</v>
      </c>
      <c r="I2" s="7" cm="1">
        <f t="array" ref="I2">INDEX('Summarized Source Data'!$H$600:$H$743,MATCH(1,($A2=LoadFactorSeasons)*(I$1=LoadFactorHours),0),)</f>
        <v>1.0311707052943618E-4</v>
      </c>
      <c r="J2" s="7" cm="1">
        <f t="array" ref="J2">INDEX('Summarized Source Data'!$H$600:$H$743,MATCH(1,($A2=LoadFactorSeasons)*(J$1=LoadFactorHours),0),)</f>
        <v>8.0675614408704899E-5</v>
      </c>
      <c r="K2" s="7" cm="1">
        <f t="array" ref="K2">INDEX('Summarized Source Data'!$H$600:$H$743,MATCH(1,($A2=LoadFactorSeasons)*(K$1=LoadFactorHours),0),)</f>
        <v>8.0107476279066124E-5</v>
      </c>
      <c r="L2" s="7" cm="1">
        <f t="array" ref="L2">INDEX('Summarized Source Data'!$H$600:$H$743,MATCH(1,($A2=LoadFactorSeasons)*(L$1=LoadFactorHours),0),)</f>
        <v>8.0959683473524286E-5</v>
      </c>
      <c r="M2" s="7" cm="1">
        <f t="array" ref="M2">INDEX('Summarized Source Data'!$H$600:$H$743,MATCH(1,($A2=LoadFactorSeasons)*(M$1=LoadFactorHours),0),)</f>
        <v>8.7706323762984633E-5</v>
      </c>
      <c r="N2" s="7" cm="1">
        <f t="array" ref="N2">INDEX('Summarized Source Data'!$H$600:$H$743,MATCH(1,($A2=LoadFactorSeasons)*(N$1=LoadFactorHours),0),)</f>
        <v>9.1541256138046303E-5</v>
      </c>
      <c r="O2" s="7" cm="1">
        <f t="array" ref="O2">INDEX('Summarized Source Data'!$H$600:$H$743,MATCH(1,($A2=LoadFactorSeasons)*(O$1=LoadFactorHours),0),)</f>
        <v>9.2251428800094765E-5</v>
      </c>
      <c r="P2" s="7" cm="1">
        <f t="array" ref="P2">INDEX('Summarized Source Data'!$H$600:$H$743,MATCH(1,($A2=LoadFactorSeasons)*(P$1=LoadFactorHours),0),)</f>
        <v>9.3387705059372301E-5</v>
      </c>
      <c r="Q2" s="7" cm="1">
        <f t="array" ref="Q2">INDEX('Summarized Source Data'!$H$600:$H$743,MATCH(1,($A2=LoadFactorSeasons)*(Q$1=LoadFactorHours),0),)</f>
        <v>9.7861792830277602E-5</v>
      </c>
      <c r="R2" s="7" cm="1">
        <f t="array" ref="R2">INDEX('Summarized Source Data'!$H$600:$H$743,MATCH(1,($A2=LoadFactorSeasons)*(R$1=LoadFactorHours),0),)</f>
        <v>1.4224758420830624E-4</v>
      </c>
      <c r="S2" s="7" cm="1">
        <f t="array" ref="S2">INDEX('Summarized Source Data'!$H$600:$H$743,MATCH(1,($A2=LoadFactorSeasons)*(S$1=LoadFactorHours),0),)</f>
        <v>3.7390590656851346E-4</v>
      </c>
      <c r="T2" s="7" cm="1">
        <f t="array" ref="T2">INDEX('Summarized Source Data'!$H$600:$H$743,MATCH(1,($A2=LoadFactorSeasons)*(T$1=LoadFactorHours),0),)</f>
        <v>4.040882447055729E-4</v>
      </c>
      <c r="U2" s="7" cm="1">
        <f t="array" ref="U2">INDEX('Summarized Source Data'!$H$600:$H$743,MATCH(1,($A2=LoadFactorSeasons)*(U$1=LoadFactorHours),0),)</f>
        <v>4.3071971953239008E-4</v>
      </c>
      <c r="V2" s="7" cm="1">
        <f t="array" ref="V2">INDEX('Summarized Source Data'!$H$600:$H$743,MATCH(1,($A2=LoadFactorSeasons)*(V$1=LoadFactorHours),0),)</f>
        <v>4.3441261737504211E-4</v>
      </c>
      <c r="W2" s="7" cm="1">
        <f t="array" ref="W2">INDEX('Summarized Source Data'!$H$600:$H$743,MATCH(1,($A2=LoadFactorSeasons)*(W$1=LoadFactorHours),0),)</f>
        <v>3.5671972814694077E-4</v>
      </c>
      <c r="X2" s="7" cm="1">
        <f t="array" ref="X2">INDEX('Summarized Source Data'!$H$600:$H$743,MATCH(1,($A2=LoadFactorSeasons)*(X$1=LoadFactorHours),0),)</f>
        <v>2.1837809357990099E-4</v>
      </c>
      <c r="Y2" s="7" cm="1">
        <f t="array" ref="Y2">INDEX('Summarized Source Data'!$H$600:$H$743,MATCH(1,($A2=LoadFactorSeasons)*(Y$1=LoadFactorHours),0),)</f>
        <v>1.175335755690199E-4</v>
      </c>
    </row>
    <row r="3" spans="1:25" x14ac:dyDescent="0.3">
      <c r="A3" s="7" t="s">
        <v>164</v>
      </c>
      <c r="B3" s="7" cm="1">
        <f t="array" ref="B3">INDEX('Summarized Source Data'!$H$600:$H$743,MATCH(1,($A3=LoadFactorSeasons)*(B$1=LoadFactorHours),0),)</f>
        <v>5.6739011094924553E-5</v>
      </c>
      <c r="C3" s="7" cm="1">
        <f t="array" ref="C3">INDEX('Summarized Source Data'!$H$600:$H$743,MATCH(1,($A3=LoadFactorSeasons)*(C$1=LoadFactorHours),0),)</f>
        <v>5.1089136531495987E-5</v>
      </c>
      <c r="D3" s="7" cm="1">
        <f t="array" ref="D3">INDEX('Summarized Source Data'!$H$600:$H$743,MATCH(1,($A3=LoadFactorSeasons)*(D$1=LoadFactorHours),0),)</f>
        <v>5.011873259914929E-5</v>
      </c>
      <c r="E3" s="7" cm="1">
        <f t="array" ref="E3">INDEX('Summarized Source Data'!$H$600:$H$743,MATCH(1,($A3=LoadFactorSeasons)*(E$1=LoadFactorHours),0),)</f>
        <v>5.0868079079970465E-5</v>
      </c>
      <c r="F3" s="7" cm="1">
        <f t="array" ref="F3">INDEX('Summarized Source Data'!$H$600:$H$743,MATCH(1,($A3=LoadFactorSeasons)*(F$1=LoadFactorHours),0),)</f>
        <v>6.1311116819453087E-5</v>
      </c>
      <c r="G3" s="7" cm="1">
        <f t="array" ref="G3">INDEX('Summarized Source Data'!$H$600:$H$743,MATCH(1,($A3=LoadFactorSeasons)*(G$1=LoadFactorHours),0),)</f>
        <v>9.7540671278742612E-5</v>
      </c>
      <c r="H3" s="7" cm="1">
        <f t="array" ref="H3">INDEX('Summarized Source Data'!$H$600:$H$743,MATCH(1,($A3=LoadFactorSeasons)*(H$1=LoadFactorHours),0),)</f>
        <v>9.8756799197755502E-5</v>
      </c>
      <c r="I3" s="7" cm="1">
        <f t="array" ref="I3">INDEX('Summarized Source Data'!$H$600:$H$743,MATCH(1,($A3=LoadFactorSeasons)*(I$1=LoadFactorHours),0),)</f>
        <v>5.320154303055674E-5</v>
      </c>
      <c r="J3" s="7" cm="1">
        <f t="array" ref="J3">INDEX('Summarized Source Data'!$H$600:$H$743,MATCH(1,($A3=LoadFactorSeasons)*(J$1=LoadFactorHours),0),)</f>
        <v>5.6065043961499499E-5</v>
      </c>
      <c r="K3" s="7" cm="1">
        <f t="array" ref="K3">INDEX('Summarized Source Data'!$H$600:$H$743,MATCH(1,($A3=LoadFactorSeasons)*(K$1=LoadFactorHours),0),)</f>
        <v>5.5648203485949316E-5</v>
      </c>
      <c r="L3" s="7" cm="1">
        <f t="array" ref="L3">INDEX('Summarized Source Data'!$H$600:$H$743,MATCH(1,($A3=LoadFactorSeasons)*(L$1=LoadFactorHours),0),)</f>
        <v>5.6273464199274588E-5</v>
      </c>
      <c r="M3" s="7" cm="1">
        <f t="array" ref="M3">INDEX('Summarized Source Data'!$H$600:$H$743,MATCH(1,($A3=LoadFactorSeasons)*(M$1=LoadFactorHours),0),)</f>
        <v>6.085870943032659E-5</v>
      </c>
      <c r="N3" s="7" cm="1">
        <f t="array" ref="N3">INDEX('Summarized Source Data'!$H$600:$H$743,MATCH(1,($A3=LoadFactorSeasons)*(N$1=LoadFactorHours),0),)</f>
        <v>6.3637645933994471E-5</v>
      </c>
      <c r="O3" s="7" cm="1">
        <f t="array" ref="O3">INDEX('Summarized Source Data'!$H$600:$H$743,MATCH(1,($A3=LoadFactorSeasons)*(O$1=LoadFactorHours),0),)</f>
        <v>6.4054486409544648E-5</v>
      </c>
      <c r="P3" s="7" cm="1">
        <f t="array" ref="P3">INDEX('Summarized Source Data'!$H$600:$H$743,MATCH(1,($A3=LoadFactorSeasons)*(P$1=LoadFactorHours),0),)</f>
        <v>6.4818693948053319E-5</v>
      </c>
      <c r="Q3" s="7" cm="1">
        <f t="array" ref="Q3">INDEX('Summarized Source Data'!$H$600:$H$743,MATCH(1,($A3=LoadFactorSeasons)*(Q$1=LoadFactorHours),0),)</f>
        <v>6.7944997514679688E-5</v>
      </c>
      <c r="R3" s="7" cm="1">
        <f t="array" ref="R3">INDEX('Summarized Source Data'!$H$600:$H$743,MATCH(1,($A3=LoadFactorSeasons)*(R$1=LoadFactorHours),0),)</f>
        <v>7.3363923696832044E-5</v>
      </c>
      <c r="S3" s="7" cm="1">
        <f t="array" ref="S3">INDEX('Summarized Source Data'!$H$600:$H$743,MATCH(1,($A3=LoadFactorSeasons)*(S$1=LoadFactorHours),0),)</f>
        <v>1.7229406322740863E-4</v>
      </c>
      <c r="T3" s="7" cm="1">
        <f t="array" ref="T3">INDEX('Summarized Source Data'!$H$600:$H$743,MATCH(1,($A3=LoadFactorSeasons)*(T$1=LoadFactorHours),0),)</f>
        <v>2.8067258687045592E-4</v>
      </c>
      <c r="U3" s="7" cm="1">
        <f t="array" ref="U3">INDEX('Summarized Source Data'!$H$600:$H$743,MATCH(1,($A3=LoadFactorSeasons)*(U$1=LoadFactorHours),0),)</f>
        <v>2.9908304120725572E-4</v>
      </c>
      <c r="V3" s="7" cm="1">
        <f t="array" ref="V3">INDEX('Summarized Source Data'!$H$600:$H$743,MATCH(1,($A3=LoadFactorSeasons)*(V$1=LoadFactorHours),0),)</f>
        <v>3.0172303088574014E-4</v>
      </c>
      <c r="W3" s="7" cm="1">
        <f t="array" ref="W3">INDEX('Summarized Source Data'!$H$600:$H$743,MATCH(1,($A3=LoadFactorSeasons)*(W$1=LoadFactorHours),0),)</f>
        <v>2.4788113612717494E-4</v>
      </c>
      <c r="X3" s="7" cm="1">
        <f t="array" ref="X3">INDEX('Summarized Source Data'!$H$600:$H$743,MATCH(1,($A3=LoadFactorSeasons)*(X$1=LoadFactorHours),0),)</f>
        <v>1.5166045968767458E-4</v>
      </c>
      <c r="Y3" s="7" cm="1">
        <f t="array" ref="Y3">INDEX('Summarized Source Data'!$H$600:$H$743,MATCH(1,($A3=LoadFactorSeasons)*(Y$1=LoadFactorHours),0),)</f>
        <v>8.1631259795244011E-5</v>
      </c>
    </row>
    <row r="4" spans="1:25" x14ac:dyDescent="0.3">
      <c r="A4" s="7" t="s">
        <v>165</v>
      </c>
      <c r="B4" s="7" cm="1">
        <f t="array" ref="B4">INDEX('Summarized Source Data'!$H$600:$H$743,MATCH(1,($A4=LoadFactorSeasons)*(B$1=LoadFactorHours),0),)</f>
        <v>5.5722986751465388E-5</v>
      </c>
      <c r="C4" s="7" cm="1">
        <f t="array" ref="C4">INDEX('Summarized Source Data'!$H$600:$H$743,MATCH(1,($A4=LoadFactorSeasons)*(C$1=LoadFactorHours),0),)</f>
        <v>5.0178665227989765E-5</v>
      </c>
      <c r="D4" s="7" cm="1">
        <f t="array" ref="D4">INDEX('Summarized Source Data'!$H$600:$H$743,MATCH(1,($A4=LoadFactorSeasons)*(D$1=LoadFactorHours),0),)</f>
        <v>4.9289859208200277E-5</v>
      </c>
      <c r="E4" s="7" cm="1">
        <f t="array" ref="E4">INDEX('Summarized Source Data'!$H$600:$H$743,MATCH(1,($A4=LoadFactorSeasons)*(E$1=LoadFactorHours),0),)</f>
        <v>4.9970021285826127E-5</v>
      </c>
      <c r="F4" s="7" cm="1">
        <f t="array" ref="F4">INDEX('Summarized Source Data'!$H$600:$H$743,MATCH(1,($A4=LoadFactorSeasons)*(F$1=LoadFactorHours),0),)</f>
        <v>6.0256110249454599E-5</v>
      </c>
      <c r="G4" s="7" cm="1">
        <f t="array" ref="G4">INDEX('Summarized Source Data'!$H$600:$H$743,MATCH(1,($A4=LoadFactorSeasons)*(G$1=LoadFactorHours),0),)</f>
        <v>9.5942782789133573E-5</v>
      </c>
      <c r="H4" s="7" cm="1">
        <f t="array" ref="H4">INDEX('Summarized Source Data'!$H$600:$H$743,MATCH(1,($A4=LoadFactorSeasons)*(H$1=LoadFactorHours),0),)</f>
        <v>6.8361539254555728E-5</v>
      </c>
      <c r="I4" s="7" cm="1">
        <f t="array" ref="I4">INDEX('Summarized Source Data'!$H$600:$H$743,MATCH(1,($A4=LoadFactorSeasons)*(I$1=LoadFactorHours),0),)</f>
        <v>5.1586302166684683E-5</v>
      </c>
      <c r="J4" s="7" cm="1">
        <f t="array" ref="J4">INDEX('Summarized Source Data'!$H$600:$H$743,MATCH(1,($A4=LoadFactorSeasons)*(J$1=LoadFactorHours),0),)</f>
        <v>5.5022942772624037E-5</v>
      </c>
      <c r="K4" s="7" cm="1">
        <f t="array" ref="K4">INDEX('Summarized Source Data'!$H$600:$H$743,MATCH(1,($A4=LoadFactorSeasons)*(K$1=LoadFactorHours),0),)</f>
        <v>5.4675575709665556E-5</v>
      </c>
      <c r="L4" s="7" cm="1">
        <f t="array" ref="L4">INDEX('Summarized Source Data'!$H$600:$H$743,MATCH(1,($A4=LoadFactorSeasons)*(L$1=LoadFactorHours),0),)</f>
        <v>5.5300836422990828E-5</v>
      </c>
      <c r="M4" s="7" cm="1">
        <f t="array" ref="M4">INDEX('Summarized Source Data'!$H$600:$H$743,MATCH(1,($A4=LoadFactorSeasons)*(M$1=LoadFactorHours),0),)</f>
        <v>5.9747134828859438E-5</v>
      </c>
      <c r="N4" s="7" cm="1">
        <f t="array" ref="N4">INDEX('Summarized Source Data'!$H$600:$H$743,MATCH(1,($A4=LoadFactorSeasons)*(N$1=LoadFactorHours),0),)</f>
        <v>6.2456597919935622E-5</v>
      </c>
      <c r="O4" s="7" cm="1">
        <f t="array" ref="O4">INDEX('Summarized Source Data'!$H$600:$H$743,MATCH(1,($A4=LoadFactorSeasons)*(O$1=LoadFactorHours),0),)</f>
        <v>6.3081858633260901E-5</v>
      </c>
      <c r="P4" s="7" cm="1">
        <f t="array" ref="P4">INDEX('Summarized Source Data'!$H$600:$H$743,MATCH(1,($A4=LoadFactorSeasons)*(P$1=LoadFactorHours),0),)</f>
        <v>6.3568172521402761E-5</v>
      </c>
      <c r="Q4" s="7" cm="1">
        <f t="array" ref="Q4">INDEX('Summarized Source Data'!$H$600:$H$743,MATCH(1,($A4=LoadFactorSeasons)*(Q$1=LoadFactorHours),0),)</f>
        <v>6.6833422913212536E-5</v>
      </c>
      <c r="R4" s="7" cm="1">
        <f t="array" ref="R4">INDEX('Summarized Source Data'!$H$600:$H$743,MATCH(1,($A4=LoadFactorSeasons)*(R$1=LoadFactorHours),0),)</f>
        <v>7.1071301081306057E-5</v>
      </c>
      <c r="S4" s="7" cm="1">
        <f t="array" ref="S4">INDEX('Summarized Source Data'!$H$600:$H$743,MATCH(1,($A4=LoadFactorSeasons)*(S$1=LoadFactorHours),0),)</f>
        <v>1.1914690259476039E-4</v>
      </c>
      <c r="T4" s="7" cm="1">
        <f t="array" ref="T4">INDEX('Summarized Source Data'!$H$600:$H$743,MATCH(1,($A4=LoadFactorSeasons)*(T$1=LoadFactorHours),0),)</f>
        <v>2.7573997457644548E-4</v>
      </c>
      <c r="U4" s="7" cm="1">
        <f t="array" ref="U4">INDEX('Summarized Source Data'!$H$600:$H$743,MATCH(1,($A4=LoadFactorSeasons)*(U$1=LoadFactorHours),0),)</f>
        <v>2.9394200867547012E-4</v>
      </c>
      <c r="V4" s="7" cm="1">
        <f t="array" ref="V4">INDEX('Summarized Source Data'!$H$600:$H$743,MATCH(1,($A4=LoadFactorSeasons)*(V$1=LoadFactorHours),0),)</f>
        <v>2.9644305152877118E-4</v>
      </c>
      <c r="W4" s="7" cm="1">
        <f t="array" ref="W4">INDEX('Summarized Source Data'!$H$600:$H$743,MATCH(1,($A4=LoadFactorSeasons)*(W$1=LoadFactorHours),0),)</f>
        <v>2.4357378454648975E-4</v>
      </c>
      <c r="X4" s="7" cm="1">
        <f t="array" ref="X4">INDEX('Summarized Source Data'!$H$600:$H$743,MATCH(1,($A4=LoadFactorSeasons)*(X$1=LoadFactorHours),0),)</f>
        <v>1.4908994342178179E-4</v>
      </c>
      <c r="Y4" s="7" cm="1">
        <f t="array" ref="Y4">INDEX('Summarized Source Data'!$H$600:$H$743,MATCH(1,($A4=LoadFactorSeasons)*(Y$1=LoadFactorHours),0),)</f>
        <v>8.0241791543410047E-5</v>
      </c>
    </row>
    <row r="5" spans="1:25" x14ac:dyDescent="0.3">
      <c r="A5" s="7" t="s">
        <v>166</v>
      </c>
      <c r="B5" s="7" cm="1">
        <f t="array" ref="B5">INDEX('Summarized Source Data'!$H$600:$H$743,MATCH(1,($A5=LoadFactorSeasons)*(B$1=LoadFactorHours),0),)</f>
        <v>3.8700508034047311E-5</v>
      </c>
      <c r="C5" s="7" cm="1">
        <f t="array" ref="C5">INDEX('Summarized Source Data'!$H$600:$H$743,MATCH(1,($A5=LoadFactorSeasons)*(C$1=LoadFactorHours),0),)</f>
        <v>3.4788219594505821E-5</v>
      </c>
      <c r="D5" s="7" cm="1">
        <f t="array" ref="D5">INDEX('Summarized Source Data'!$H$600:$H$743,MATCH(1,($A5=LoadFactorSeasons)*(D$1=LoadFactorHours),0),)</f>
        <v>3.415187086345539E-5</v>
      </c>
      <c r="E5" s="7" cm="1">
        <f t="array" ref="E5">INDEX('Summarized Source Data'!$H$600:$H$743,MATCH(1,($A5=LoadFactorSeasons)*(E$1=LoadFactorHours),0),)</f>
        <v>3.4633376824992751E-5</v>
      </c>
      <c r="F5" s="7" cm="1">
        <f t="array" ref="F5">INDEX('Summarized Source Data'!$H$600:$H$743,MATCH(1,($A5=LoadFactorSeasons)*(F$1=LoadFactorHours),0),)</f>
        <v>4.1797455434590919E-5</v>
      </c>
      <c r="G5" s="7" cm="1">
        <f t="array" ref="G5">INDEX('Summarized Source Data'!$H$600:$H$743,MATCH(1,($A5=LoadFactorSeasons)*(G$1=LoadFactorHours),0),)</f>
        <v>6.6514303281747393E-5</v>
      </c>
      <c r="H5" s="7" cm="1">
        <f t="array" ref="H5">INDEX('Summarized Source Data'!$H$600:$H$743,MATCH(1,($A5=LoadFactorSeasons)*(H$1=LoadFactorHours),0),)</f>
        <v>8.6321096867230765E-5</v>
      </c>
      <c r="I5" s="7" cm="1">
        <f t="array" ref="I5">INDEX('Summarized Source Data'!$H$600:$H$743,MATCH(1,($A5=LoadFactorSeasons)*(I$1=LoadFactorHours),0),)</f>
        <v>3.7795937389946826E-5</v>
      </c>
      <c r="J5" s="7" cm="1">
        <f t="array" ref="J5">INDEX('Summarized Source Data'!$H$600:$H$743,MATCH(1,($A5=LoadFactorSeasons)*(J$1=LoadFactorHours),0),)</f>
        <v>3.8208850037244536E-5</v>
      </c>
      <c r="K5" s="7" cm="1">
        <f t="array" ref="K5">INDEX('Summarized Source Data'!$H$600:$H$743,MATCH(1,($A5=LoadFactorSeasons)*(K$1=LoadFactorHours),0),)</f>
        <v>3.7927902610500093E-5</v>
      </c>
      <c r="L5" s="7" cm="1">
        <f t="array" ref="L5">INDEX('Summarized Source Data'!$H$600:$H$743,MATCH(1,($A5=LoadFactorSeasons)*(L$1=LoadFactorHours),0),)</f>
        <v>3.8349323750616757E-5</v>
      </c>
      <c r="M5" s="7" cm="1">
        <f t="array" ref="M5">INDEX('Summarized Source Data'!$H$600:$H$743,MATCH(1,($A5=LoadFactorSeasons)*(M$1=LoadFactorHours),0),)</f>
        <v>4.1509982301491767E-5</v>
      </c>
      <c r="N5" s="7" cm="1">
        <f t="array" ref="N5">INDEX('Summarized Source Data'!$H$600:$H$743,MATCH(1,($A5=LoadFactorSeasons)*(N$1=LoadFactorHours),0),)</f>
        <v>4.3336140575330659E-5</v>
      </c>
      <c r="O5" s="7" cm="1">
        <f t="array" ref="O5">INDEX('Summarized Source Data'!$H$600:$H$743,MATCH(1,($A5=LoadFactorSeasons)*(O$1=LoadFactorHours),0),)</f>
        <v>4.3687324858761206E-5</v>
      </c>
      <c r="P5" s="7" cm="1">
        <f t="array" ref="P5">INDEX('Summarized Source Data'!$H$600:$H$743,MATCH(1,($A5=LoadFactorSeasons)*(P$1=LoadFactorHours),0),)</f>
        <v>4.4178982855563995E-5</v>
      </c>
      <c r="Q5" s="7" cm="1">
        <f t="array" ref="Q5">INDEX('Summarized Source Data'!$H$600:$H$743,MATCH(1,($A5=LoadFactorSeasons)*(Q$1=LoadFactorHours),0),)</f>
        <v>4.6356325412833447E-5</v>
      </c>
      <c r="R5" s="7" cm="1">
        <f t="array" ref="R5">INDEX('Summarized Source Data'!$H$600:$H$743,MATCH(1,($A5=LoadFactorSeasons)*(R$1=LoadFactorHours),0),)</f>
        <v>5.2045510804408449E-5</v>
      </c>
      <c r="S5" s="7" cm="1">
        <f t="array" ref="S5">INDEX('Summarized Source Data'!$H$600:$H$743,MATCH(1,($A5=LoadFactorSeasons)*(S$1=LoadFactorHours),0),)</f>
        <v>1.5065805759170868E-4</v>
      </c>
      <c r="T5" s="7" cm="1">
        <f t="array" ref="T5">INDEX('Summarized Source Data'!$H$600:$H$743,MATCH(1,($A5=LoadFactorSeasons)*(T$1=LoadFactorHours),0),)</f>
        <v>1.9132519761296709E-4</v>
      </c>
      <c r="U5" s="7" cm="1">
        <f t="array" ref="U5">INDEX('Summarized Source Data'!$H$600:$H$743,MATCH(1,($A5=LoadFactorSeasons)*(U$1=LoadFactorHours),0),)</f>
        <v>2.0389759495978104E-4</v>
      </c>
      <c r="V5" s="7" cm="1">
        <f t="array" ref="V5">INDEX('Summarized Source Data'!$H$600:$H$743,MATCH(1,($A5=LoadFactorSeasons)*(V$1=LoadFactorHours),0),)</f>
        <v>2.0565351637693384E-4</v>
      </c>
      <c r="W5" s="7" cm="1">
        <f t="array" ref="W5">INDEX('Summarized Source Data'!$H$600:$H$743,MATCH(1,($A5=LoadFactorSeasons)*(W$1=LoadFactorHours),0),)</f>
        <v>1.6891964033009761E-4</v>
      </c>
      <c r="X5" s="7" cm="1">
        <f t="array" ref="X5">INDEX('Summarized Source Data'!$H$600:$H$743,MATCH(1,($A5=LoadFactorSeasons)*(X$1=LoadFactorHours),0),)</f>
        <v>1.033886530419558E-4</v>
      </c>
      <c r="Y5" s="7" cm="1">
        <f t="array" ref="Y5">INDEX('Summarized Source Data'!$H$600:$H$743,MATCH(1,($A5=LoadFactorSeasons)*(Y$1=LoadFactorHours),0),)</f>
        <v>5.562759049540013E-5</v>
      </c>
    </row>
    <row r="6" spans="1:25" x14ac:dyDescent="0.3">
      <c r="A6" s="7" t="s">
        <v>172</v>
      </c>
      <c r="B6" s="7" cm="1">
        <f t="array" ref="B6">INDEX('Summarized Source Data'!$H$600:$H$743,MATCH(1,($A6=LoadFactorSeasons)*(B$1=LoadFactorHours),0),)</f>
        <v>7.247935381837535E-5</v>
      </c>
      <c r="C6" s="7" cm="1">
        <f t="array" ref="C6">INDEX('Summarized Source Data'!$H$600:$H$743,MATCH(1,($A6=LoadFactorSeasons)*(C$1=LoadFactorHours),0),)</f>
        <v>6.2557349304977295E-5</v>
      </c>
      <c r="D6" s="7" cm="1">
        <f t="array" ref="D6">INDEX('Summarized Source Data'!$H$600:$H$743,MATCH(1,($A6=LoadFactorSeasons)*(D$1=LoadFactorHours),0),)</f>
        <v>6.0419156011997807E-5</v>
      </c>
      <c r="E6" s="7" cm="1">
        <f t="array" ref="E6">INDEX('Summarized Source Data'!$H$600:$H$743,MATCH(1,($A6=LoadFactorSeasons)*(E$1=LoadFactorHours),0),)</f>
        <v>6.0368153842978933E-5</v>
      </c>
      <c r="F6" s="7" cm="1">
        <f t="array" ref="F6">INDEX('Summarized Source Data'!$H$600:$H$743,MATCH(1,($A6=LoadFactorSeasons)*(F$1=LoadFactorHours),0),)</f>
        <v>6.354327776610173E-5</v>
      </c>
      <c r="G6" s="7" cm="1">
        <f t="array" ref="G6">INDEX('Summarized Source Data'!$H$600:$H$743,MATCH(1,($A6=LoadFactorSeasons)*(G$1=LoadFactorHours),0),)</f>
        <v>1.013478142887676E-4</v>
      </c>
      <c r="H6" s="7" cm="1">
        <f t="array" ref="H6">INDEX('Summarized Source Data'!$H$600:$H$743,MATCH(1,($A6=LoadFactorSeasons)*(H$1=LoadFactorHours),0),)</f>
        <v>6.9153834893775215E-5</v>
      </c>
      <c r="I6" s="7" cm="1">
        <f t="array" ref="I6">INDEX('Summarized Source Data'!$H$600:$H$743,MATCH(1,($A6=LoadFactorSeasons)*(I$1=LoadFactorHours),0),)</f>
        <v>6.5781979981912933E-5</v>
      </c>
      <c r="J6" s="7" cm="1">
        <f t="array" ref="J6">INDEX('Summarized Source Data'!$H$600:$H$743,MATCH(1,($A6=LoadFactorSeasons)*(J$1=LoadFactorHours),0),)</f>
        <v>8.0241791543410074E-5</v>
      </c>
      <c r="K6" s="7" cm="1">
        <f t="array" ref="K6">INDEX('Summarized Source Data'!$H$600:$H$743,MATCH(1,($A6=LoadFactorSeasons)*(K$1=LoadFactorHours),0),)</f>
        <v>8.3159674872261341E-5</v>
      </c>
      <c r="L6" s="7" cm="1">
        <f t="array" ref="L6">INDEX('Summarized Source Data'!$H$600:$H$743,MATCH(1,($A6=LoadFactorSeasons)*(L$1=LoadFactorHours),0),)</f>
        <v>8.3645988760403214E-5</v>
      </c>
      <c r="M6" s="7" cm="1">
        <f t="array" ref="M6">INDEX('Summarized Source Data'!$H$600:$H$743,MATCH(1,($A6=LoadFactorSeasons)*(M$1=LoadFactorHours),0),)</f>
        <v>8.8752284585892957E-5</v>
      </c>
      <c r="N6" s="7" cm="1">
        <f t="array" ref="N6">INDEX('Summarized Source Data'!$H$600:$H$743,MATCH(1,($A6=LoadFactorSeasons)*(N$1=LoadFactorHours),0),)</f>
        <v>9.1913324858815167E-5</v>
      </c>
      <c r="O6" s="7" cm="1">
        <f t="array" ref="O6">INDEX('Summarized Source Data'!$H$600:$H$743,MATCH(1,($A6=LoadFactorSeasons)*(O$1=LoadFactorHours),0),)</f>
        <v>9.1913324858815167E-5</v>
      </c>
      <c r="P6" s="7" cm="1">
        <f t="array" ref="P6">INDEX('Summarized Source Data'!$H$600:$H$743,MATCH(1,($A6=LoadFactorSeasons)*(P$1=LoadFactorHours),0),)</f>
        <v>9.0697540138460464E-5</v>
      </c>
      <c r="Q6" s="7" cm="1">
        <f t="array" ref="Q6">INDEX('Summarized Source Data'!$H$600:$H$743,MATCH(1,($A6=LoadFactorSeasons)*(Q$1=LoadFactorHours),0),)</f>
        <v>9.1183854026602337E-5</v>
      </c>
      <c r="R6" s="7" cm="1">
        <f t="array" ref="R6">INDEX('Summarized Source Data'!$H$600:$H$743,MATCH(1,($A6=LoadFactorSeasons)*(R$1=LoadFactorHours),0),)</f>
        <v>9.3372266523240801E-5</v>
      </c>
      <c r="S6" s="7" cm="1">
        <f t="array" ref="S6">INDEX('Summarized Source Data'!$H$600:$H$743,MATCH(1,($A6=LoadFactorSeasons)*(S$1=LoadFactorHours),0),)</f>
        <v>1.5270256087655007E-4</v>
      </c>
      <c r="T6" s="7" cm="1">
        <f t="array" ref="T6">INDEX('Summarized Source Data'!$H$600:$H$743,MATCH(1,($A6=LoadFactorSeasons)*(T$1=LoadFactorHours),0),)</f>
        <v>3.452828605807342E-4</v>
      </c>
      <c r="U6" s="7" cm="1">
        <f t="array" ref="U6">INDEX('Summarized Source Data'!$H$600:$H$743,MATCH(1,($A6=LoadFactorSeasons)*(U$1=LoadFactorHours),0),)</f>
        <v>3.6181753277755814E-4</v>
      </c>
      <c r="V6" s="7" cm="1">
        <f t="array" ref="V6">INDEX('Summarized Source Data'!$H$600:$H$743,MATCH(1,($A6=LoadFactorSeasons)*(V$1=LoadFactorHours),0),)</f>
        <v>3.5987227722499064E-4</v>
      </c>
      <c r="W6" s="7" cm="1">
        <f t="array" ref="W6">INDEX('Summarized Source Data'!$H$600:$H$743,MATCH(1,($A6=LoadFactorSeasons)*(W$1=LoadFactorHours),0),)</f>
        <v>2.9762409954283006E-4</v>
      </c>
      <c r="X6" s="7" cm="1">
        <f t="array" ref="X6">INDEX('Summarized Source Data'!$H$600:$H$743,MATCH(1,($A6=LoadFactorSeasons)*(X$1=LoadFactorHours),0),)</f>
        <v>1.9209398581604227E-4</v>
      </c>
      <c r="Y6" s="7" cm="1">
        <f t="array" ref="Y6">INDEX('Summarized Source Data'!$H$600:$H$743,MATCH(1,($A6=LoadFactorSeasons)*(Y$1=LoadFactorHours),0),)</f>
        <v>1.0723221233528436E-4</v>
      </c>
    </row>
    <row r="7" spans="1:25" x14ac:dyDescent="0.3">
      <c r="A7" s="7" t="s">
        <v>171</v>
      </c>
      <c r="B7" s="7" cm="1">
        <f t="array" ref="B7">INDEX('Summarized Source Data'!$H$600:$H$743,MATCH(1,($A7=LoadFactorSeasons)*(B$1=LoadFactorHours),0),)</f>
        <v>1.0663242520657606E-4</v>
      </c>
      <c r="C7" s="7" cm="1">
        <f t="array" ref="C7">INDEX('Summarized Source Data'!$H$600:$H$743,MATCH(1,($A7=LoadFactorSeasons)*(C$1=LoadFactorHours),0),)</f>
        <v>9.2153931680926456E-5</v>
      </c>
      <c r="D7" s="7" cm="1">
        <f t="array" ref="D7">INDEX('Summarized Source Data'!$H$600:$H$743,MATCH(1,($A7=LoadFactorSeasons)*(D$1=LoadFactorHours),0),)</f>
        <v>8.9004124178122799E-5</v>
      </c>
      <c r="E7" s="7" cm="1">
        <f t="array" ref="E7">INDEX('Summarized Source Data'!$H$600:$H$743,MATCH(1,($A7=LoadFactorSeasons)*(E$1=LoadFactorHours),0),)</f>
        <v>8.8928996787636345E-5</v>
      </c>
      <c r="F7" s="7" cm="1">
        <f t="array" ref="F7">INDEX('Summarized Source Data'!$H$600:$H$743,MATCH(1,($A7=LoadFactorSeasons)*(F$1=LoadFactorHours),0),)</f>
        <v>9.3606302596304795E-5</v>
      </c>
      <c r="G7" s="7" cm="1">
        <f t="array" ref="G7">INDEX('Summarized Source Data'!$H$600:$H$743,MATCH(1,($A7=LoadFactorSeasons)*(G$1=LoadFactorHours),0),)</f>
        <v>1.479431689579349E-4</v>
      </c>
      <c r="H7" s="7" cm="1">
        <f t="array" ref="H7">INDEX('Summarized Source Data'!$H$600:$H$743,MATCH(1,($A7=LoadFactorSeasons)*(H$1=LoadFactorHours),0),)</f>
        <v>2.1614815142106882E-4</v>
      </c>
      <c r="I7" s="7" cm="1">
        <f t="array" ref="I7">INDEX('Summarized Source Data'!$H$600:$H$743,MATCH(1,($A7=LoadFactorSeasons)*(I$1=LoadFactorHours),0),)</f>
        <v>1.32234149673423E-4</v>
      </c>
      <c r="J7" s="7" cm="1">
        <f t="array" ref="J7">INDEX('Summarized Source Data'!$H$600:$H$743,MATCH(1,($A7=LoadFactorSeasons)*(J$1=LoadFactorHours),0),)</f>
        <v>1.1806620506555626E-4</v>
      </c>
      <c r="K7" s="7" cm="1">
        <f t="array" ref="K7">INDEX('Summarized Source Data'!$H$600:$H$743,MATCH(1,($A7=LoadFactorSeasons)*(K$1=LoadFactorHours),0),)</f>
        <v>1.2254029283646154E-4</v>
      </c>
      <c r="L7" s="7" cm="1">
        <f t="array" ref="L7">INDEX('Summarized Source Data'!$H$600:$H$743,MATCH(1,($A7=LoadFactorSeasons)*(L$1=LoadFactorHours),0),)</f>
        <v>1.2303741369989546E-4</v>
      </c>
      <c r="M7" s="7" cm="1">
        <f t="array" ref="M7">INDEX('Summarized Source Data'!$H$600:$H$743,MATCH(1,($A7=LoadFactorSeasons)*(M$1=LoadFactorHours),0),)</f>
        <v>1.309913475148382E-4</v>
      </c>
      <c r="N7" s="7" cm="1">
        <f t="array" ref="N7">INDEX('Summarized Source Data'!$H$600:$H$743,MATCH(1,($A7=LoadFactorSeasons)*(N$1=LoadFactorHours),0),)</f>
        <v>1.3496831442230954E-4</v>
      </c>
      <c r="O7" s="7" cm="1">
        <f t="array" ref="O7">INDEX('Summarized Source Data'!$H$600:$H$743,MATCH(1,($A7=LoadFactorSeasons)*(O$1=LoadFactorHours),0),)</f>
        <v>1.3496831442230954E-4</v>
      </c>
      <c r="P7" s="7" cm="1">
        <f t="array" ref="P7">INDEX('Summarized Source Data'!$H$600:$H$743,MATCH(1,($A7=LoadFactorSeasons)*(P$1=LoadFactorHours),0),)</f>
        <v>1.3397407269544174E-4</v>
      </c>
      <c r="Q7" s="7" cm="1">
        <f t="array" ref="Q7">INDEX('Summarized Source Data'!$H$600:$H$743,MATCH(1,($A7=LoadFactorSeasons)*(Q$1=LoadFactorHours),0),)</f>
        <v>1.3397407269544174E-4</v>
      </c>
      <c r="R7" s="7" cm="1">
        <f t="array" ref="R7">INDEX('Summarized Source Data'!$H$600:$H$743,MATCH(1,($A7=LoadFactorSeasons)*(R$1=LoadFactorHours),0),)</f>
        <v>1.8791168637802212E-4</v>
      </c>
      <c r="S7" s="7" cm="1">
        <f t="array" ref="S7">INDEX('Summarized Source Data'!$H$600:$H$743,MATCH(1,($A7=LoadFactorSeasons)*(S$1=LoadFactorHours),0),)</f>
        <v>4.8171011666746952E-4</v>
      </c>
      <c r="T7" s="7" cm="1">
        <f t="array" ref="T7">INDEX('Summarized Source Data'!$H$600:$H$743,MATCH(1,($A7=LoadFactorSeasons)*(T$1=LoadFactorHours),0),)</f>
        <v>5.0880320372461818E-4</v>
      </c>
      <c r="U7" s="7" cm="1">
        <f t="array" ref="U7">INDEX('Summarized Source Data'!$H$600:$H$743,MATCH(1,($A7=LoadFactorSeasons)*(U$1=LoadFactorHours),0),)</f>
        <v>5.3291356560116333E-4</v>
      </c>
      <c r="V7" s="7" cm="1">
        <f t="array" ref="V7">INDEX('Summarized Source Data'!$H$600:$H$743,MATCH(1,($A7=LoadFactorSeasons)*(V$1=LoadFactorHours),0),)</f>
        <v>5.2993084042055982E-4</v>
      </c>
      <c r="W7" s="7" cm="1">
        <f t="array" ref="W7">INDEX('Summarized Source Data'!$H$600:$H$743,MATCH(1,($A7=LoadFactorSeasons)*(W$1=LoadFactorHours),0),)</f>
        <v>4.382120411170014E-4</v>
      </c>
      <c r="X7" s="7" cm="1">
        <f t="array" ref="X7">INDEX('Summarized Source Data'!$H$600:$H$743,MATCH(1,($A7=LoadFactorSeasons)*(X$1=LoadFactorHours),0),)</f>
        <v>2.8286177129390106E-4</v>
      </c>
      <c r="Y7" s="7" cm="1">
        <f t="array" ref="Y7">INDEX('Summarized Source Data'!$H$600:$H$743,MATCH(1,($A7=LoadFactorSeasons)*(Y$1=LoadFactorHours),0),)</f>
        <v>1.5833299500370385E-4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58CA-F1E1-4160-AA64-2AF735802A3B}">
  <sheetPr codeName="Sheet14">
    <tabColor rgb="FF002060"/>
  </sheetPr>
  <dimension ref="A1:Y19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Data'!$I$600:$I$743,MATCH(1,($A2=LoadFactorSeasons)*(B$1=LoadFactorHours),0),)</f>
        <v>8.1669856135572734E-5</v>
      </c>
      <c r="C2" s="7" cm="1">
        <f t="array" ref="C2">INDEX('Summarized Source Data'!$I$600:$I$743,MATCH(1,($A2=LoadFactorSeasons)*(C$1=LoadFactorHours),0),)</f>
        <v>7.3556176792201482E-5</v>
      </c>
      <c r="D2" s="7" cm="1">
        <f t="array" ref="D2">INDEX('Summarized Source Data'!$I$600:$I$743,MATCH(1,($A2=LoadFactorSeasons)*(D$1=LoadFactorHours),0),)</f>
        <v>7.2159110927966517E-5</v>
      </c>
      <c r="E2" s="7" cm="1">
        <f t="array" ref="E2">INDEX('Summarized Source Data'!$I$600:$I$743,MATCH(1,($A2=LoadFactorSeasons)*(E$1=LoadFactorHours),0),)</f>
        <v>7.3202904952328779E-5</v>
      </c>
      <c r="F2" s="7" cm="1">
        <f t="array" ref="F2">INDEX('Summarized Source Data'!$I$600:$I$743,MATCH(1,($A2=LoadFactorSeasons)*(F$1=LoadFactorHours),0),)</f>
        <v>8.8174593151850187E-5</v>
      </c>
      <c r="G2" s="7" cm="1">
        <f t="array" ref="G2">INDEX('Summarized Source Data'!$I$600:$I$743,MATCH(1,($A2=LoadFactorSeasons)*(G$1=LoadFactorHours),0),)</f>
        <v>1.4033011802077542E-4</v>
      </c>
      <c r="H2" s="7" cm="1">
        <f t="array" ref="H2">INDEX('Summarized Source Data'!$I$600:$I$743,MATCH(1,($A2=LoadFactorSeasons)*(H$1=LoadFactorHours),0),)</f>
        <v>2.141880748738151E-4</v>
      </c>
      <c r="I2" s="7" cm="1">
        <f t="array" ref="I2">INDEX('Summarized Source Data'!$I$600:$I$743,MATCH(1,($A2=LoadFactorSeasons)*(I$1=LoadFactorHours),0),)</f>
        <v>1.0311707052943618E-4</v>
      </c>
      <c r="J2" s="7" cm="1">
        <f t="array" ref="J2">INDEX('Summarized Source Data'!$I$600:$I$743,MATCH(1,($A2=LoadFactorSeasons)*(J$1=LoadFactorHours),0),)</f>
        <v>8.0675614408704899E-5</v>
      </c>
      <c r="K2" s="7" cm="1">
        <f t="array" ref="K2">INDEX('Summarized Source Data'!$I$600:$I$743,MATCH(1,($A2=LoadFactorSeasons)*(K$1=LoadFactorHours),0),)</f>
        <v>8.0107476279066124E-5</v>
      </c>
      <c r="L2" s="7" cm="1">
        <f t="array" ref="L2">INDEX('Summarized Source Data'!$I$600:$I$743,MATCH(1,($A2=LoadFactorSeasons)*(L$1=LoadFactorHours),0),)</f>
        <v>8.0959683473524286E-5</v>
      </c>
      <c r="M2" s="7" cm="1">
        <f t="array" ref="M2">INDEX('Summarized Source Data'!$I$600:$I$743,MATCH(1,($A2=LoadFactorSeasons)*(M$1=LoadFactorHours),0),)</f>
        <v>8.7706323762984633E-5</v>
      </c>
      <c r="N2" s="7" cm="1">
        <f t="array" ref="N2">INDEX('Summarized Source Data'!$I$600:$I$743,MATCH(1,($A2=LoadFactorSeasons)*(N$1=LoadFactorHours),0),)</f>
        <v>9.1541256138046303E-5</v>
      </c>
      <c r="O2" s="7" cm="1">
        <f t="array" ref="O2">INDEX('Summarized Source Data'!$I$600:$I$743,MATCH(1,($A2=LoadFactorSeasons)*(O$1=LoadFactorHours),0),)</f>
        <v>9.2251428800094765E-5</v>
      </c>
      <c r="P2" s="7" cm="1">
        <f t="array" ref="P2">INDEX('Summarized Source Data'!$I$600:$I$743,MATCH(1,($A2=LoadFactorSeasons)*(P$1=LoadFactorHours),0),)</f>
        <v>9.3387705059372301E-5</v>
      </c>
      <c r="Q2" s="7" cm="1">
        <f t="array" ref="Q2">INDEX('Summarized Source Data'!$I$600:$I$743,MATCH(1,($A2=LoadFactorSeasons)*(Q$1=LoadFactorHours),0),)</f>
        <v>9.7861792830277602E-5</v>
      </c>
      <c r="R2" s="7" cm="1">
        <f t="array" ref="R2">INDEX('Summarized Source Data'!$I$600:$I$743,MATCH(1,($A2=LoadFactorSeasons)*(R$1=LoadFactorHours),0),)</f>
        <v>1.4224758420830624E-4</v>
      </c>
      <c r="S2" s="7" cm="1">
        <f t="array" ref="S2">INDEX('Summarized Source Data'!$I$600:$I$743,MATCH(1,($A2=LoadFactorSeasons)*(S$1=LoadFactorHours),0),)</f>
        <v>3.7390590656851346E-4</v>
      </c>
      <c r="T2" s="7" cm="1">
        <f t="array" ref="T2">INDEX('Summarized Source Data'!$I$600:$I$743,MATCH(1,($A2=LoadFactorSeasons)*(T$1=LoadFactorHours),0),)</f>
        <v>4.040882447055729E-4</v>
      </c>
      <c r="U2" s="7" cm="1">
        <f t="array" ref="U2">INDEX('Summarized Source Data'!$I$600:$I$743,MATCH(1,($A2=LoadFactorSeasons)*(U$1=LoadFactorHours),0),)</f>
        <v>4.3071971953239008E-4</v>
      </c>
      <c r="V2" s="7" cm="1">
        <f t="array" ref="V2">INDEX('Summarized Source Data'!$I$600:$I$743,MATCH(1,($A2=LoadFactorSeasons)*(V$1=LoadFactorHours),0),)</f>
        <v>4.3441261737504211E-4</v>
      </c>
      <c r="W2" s="7" cm="1">
        <f t="array" ref="W2">INDEX('Summarized Source Data'!$I$600:$I$743,MATCH(1,($A2=LoadFactorSeasons)*(W$1=LoadFactorHours),0),)</f>
        <v>3.5671972814694077E-4</v>
      </c>
      <c r="X2" s="7" cm="1">
        <f t="array" ref="X2">INDEX('Summarized Source Data'!$I$600:$I$743,MATCH(1,($A2=LoadFactorSeasons)*(X$1=LoadFactorHours),0),)</f>
        <v>2.1837809357990099E-4</v>
      </c>
      <c r="Y2" s="7" cm="1">
        <f t="array" ref="Y2">INDEX('Summarized Source Data'!$I$600:$I$743,MATCH(1,($A2=LoadFactorSeasons)*(Y$1=LoadFactorHours),0),)</f>
        <v>1.175335755690199E-4</v>
      </c>
    </row>
    <row r="3" spans="1:25" x14ac:dyDescent="0.3">
      <c r="A3" s="7" t="s">
        <v>164</v>
      </c>
      <c r="B3" s="7" cm="1">
        <f t="array" ref="B3">INDEX('Summarized Source Data'!$I$600:$I$743,MATCH(1,($A3=LoadFactorSeasons)*(B$1=LoadFactorHours),0),)</f>
        <v>5.6739011094924553E-5</v>
      </c>
      <c r="C3" s="7" cm="1">
        <f t="array" ref="C3">INDEX('Summarized Source Data'!$I$600:$I$743,MATCH(1,($A3=LoadFactorSeasons)*(C$1=LoadFactorHours),0),)</f>
        <v>5.1089136531495987E-5</v>
      </c>
      <c r="D3" s="7" cm="1">
        <f t="array" ref="D3">INDEX('Summarized Source Data'!$I$600:$I$743,MATCH(1,($A3=LoadFactorSeasons)*(D$1=LoadFactorHours),0),)</f>
        <v>5.011873259914929E-5</v>
      </c>
      <c r="E3" s="7" cm="1">
        <f t="array" ref="E3">INDEX('Summarized Source Data'!$I$600:$I$743,MATCH(1,($A3=LoadFactorSeasons)*(E$1=LoadFactorHours),0),)</f>
        <v>5.0868079079970465E-5</v>
      </c>
      <c r="F3" s="7" cm="1">
        <f t="array" ref="F3">INDEX('Summarized Source Data'!$I$600:$I$743,MATCH(1,($A3=LoadFactorSeasons)*(F$1=LoadFactorHours),0),)</f>
        <v>6.1311116819453087E-5</v>
      </c>
      <c r="G3" s="7" cm="1">
        <f t="array" ref="G3">INDEX('Summarized Source Data'!$I$600:$I$743,MATCH(1,($A3=LoadFactorSeasons)*(G$1=LoadFactorHours),0),)</f>
        <v>9.7540671278742612E-5</v>
      </c>
      <c r="H3" s="7" cm="1">
        <f t="array" ref="H3">INDEX('Summarized Source Data'!$I$600:$I$743,MATCH(1,($A3=LoadFactorSeasons)*(H$1=LoadFactorHours),0),)</f>
        <v>9.8756799197755502E-5</v>
      </c>
      <c r="I3" s="7" cm="1">
        <f t="array" ref="I3">INDEX('Summarized Source Data'!$I$600:$I$743,MATCH(1,($A3=LoadFactorSeasons)*(I$1=LoadFactorHours),0),)</f>
        <v>5.320154303055674E-5</v>
      </c>
      <c r="J3" s="7" cm="1">
        <f t="array" ref="J3">INDEX('Summarized Source Data'!$I$600:$I$743,MATCH(1,($A3=LoadFactorSeasons)*(J$1=LoadFactorHours),0),)</f>
        <v>5.6065043961499499E-5</v>
      </c>
      <c r="K3" s="7" cm="1">
        <f t="array" ref="K3">INDEX('Summarized Source Data'!$I$600:$I$743,MATCH(1,($A3=LoadFactorSeasons)*(K$1=LoadFactorHours),0),)</f>
        <v>5.5648203485949316E-5</v>
      </c>
      <c r="L3" s="7" cm="1">
        <f t="array" ref="L3">INDEX('Summarized Source Data'!$I$600:$I$743,MATCH(1,($A3=LoadFactorSeasons)*(L$1=LoadFactorHours),0),)</f>
        <v>5.6273464199274588E-5</v>
      </c>
      <c r="M3" s="7" cm="1">
        <f t="array" ref="M3">INDEX('Summarized Source Data'!$I$600:$I$743,MATCH(1,($A3=LoadFactorSeasons)*(M$1=LoadFactorHours),0),)</f>
        <v>6.085870943032659E-5</v>
      </c>
      <c r="N3" s="7" cm="1">
        <f t="array" ref="N3">INDEX('Summarized Source Data'!$I$600:$I$743,MATCH(1,($A3=LoadFactorSeasons)*(N$1=LoadFactorHours),0),)</f>
        <v>6.3637645933994471E-5</v>
      </c>
      <c r="O3" s="7" cm="1">
        <f t="array" ref="O3">INDEX('Summarized Source Data'!$I$600:$I$743,MATCH(1,($A3=LoadFactorSeasons)*(O$1=LoadFactorHours),0),)</f>
        <v>6.4054486409544648E-5</v>
      </c>
      <c r="P3" s="7" cm="1">
        <f t="array" ref="P3">INDEX('Summarized Source Data'!$I$600:$I$743,MATCH(1,($A3=LoadFactorSeasons)*(P$1=LoadFactorHours),0),)</f>
        <v>6.4818693948053319E-5</v>
      </c>
      <c r="Q3" s="7" cm="1">
        <f t="array" ref="Q3">INDEX('Summarized Source Data'!$I$600:$I$743,MATCH(1,($A3=LoadFactorSeasons)*(Q$1=LoadFactorHours),0),)</f>
        <v>6.7944997514679688E-5</v>
      </c>
      <c r="R3" s="7" cm="1">
        <f t="array" ref="R3">INDEX('Summarized Source Data'!$I$600:$I$743,MATCH(1,($A3=LoadFactorSeasons)*(R$1=LoadFactorHours),0),)</f>
        <v>7.3363923696832044E-5</v>
      </c>
      <c r="S3" s="7" cm="1">
        <f t="array" ref="S3">INDEX('Summarized Source Data'!$I$600:$I$743,MATCH(1,($A3=LoadFactorSeasons)*(S$1=LoadFactorHours),0),)</f>
        <v>1.7229406322740863E-4</v>
      </c>
      <c r="T3" s="7" cm="1">
        <f t="array" ref="T3">INDEX('Summarized Source Data'!$I$600:$I$743,MATCH(1,($A3=LoadFactorSeasons)*(T$1=LoadFactorHours),0),)</f>
        <v>2.8067258687045592E-4</v>
      </c>
      <c r="U3" s="7" cm="1">
        <f t="array" ref="U3">INDEX('Summarized Source Data'!$I$600:$I$743,MATCH(1,($A3=LoadFactorSeasons)*(U$1=LoadFactorHours),0),)</f>
        <v>2.9908304120725572E-4</v>
      </c>
      <c r="V3" s="7" cm="1">
        <f t="array" ref="V3">INDEX('Summarized Source Data'!$I$600:$I$743,MATCH(1,($A3=LoadFactorSeasons)*(V$1=LoadFactorHours),0),)</f>
        <v>3.0172303088574014E-4</v>
      </c>
      <c r="W3" s="7" cm="1">
        <f t="array" ref="W3">INDEX('Summarized Source Data'!$I$600:$I$743,MATCH(1,($A3=LoadFactorSeasons)*(W$1=LoadFactorHours),0),)</f>
        <v>2.4788113612717494E-4</v>
      </c>
      <c r="X3" s="7" cm="1">
        <f t="array" ref="X3">INDEX('Summarized Source Data'!$I$600:$I$743,MATCH(1,($A3=LoadFactorSeasons)*(X$1=LoadFactorHours),0),)</f>
        <v>1.5166045968767458E-4</v>
      </c>
      <c r="Y3" s="7" cm="1">
        <f t="array" ref="Y3">INDEX('Summarized Source Data'!$I$600:$I$743,MATCH(1,($A3=LoadFactorSeasons)*(Y$1=LoadFactorHours),0),)</f>
        <v>8.1631259795244011E-5</v>
      </c>
    </row>
    <row r="4" spans="1:25" x14ac:dyDescent="0.3">
      <c r="A4" s="7" t="s">
        <v>165</v>
      </c>
      <c r="B4" s="7" cm="1">
        <f t="array" ref="B4">INDEX('Summarized Source Data'!$I$600:$I$743,MATCH(1,($A4=LoadFactorSeasons)*(B$1=LoadFactorHours),0),)</f>
        <v>5.5722986751465388E-5</v>
      </c>
      <c r="C4" s="7" cm="1">
        <f t="array" ref="C4">INDEX('Summarized Source Data'!$I$600:$I$743,MATCH(1,($A4=LoadFactorSeasons)*(C$1=LoadFactorHours),0),)</f>
        <v>5.0178665227989765E-5</v>
      </c>
      <c r="D4" s="7" cm="1">
        <f t="array" ref="D4">INDEX('Summarized Source Data'!$I$600:$I$743,MATCH(1,($A4=LoadFactorSeasons)*(D$1=LoadFactorHours),0),)</f>
        <v>4.9289859208200277E-5</v>
      </c>
      <c r="E4" s="7" cm="1">
        <f t="array" ref="E4">INDEX('Summarized Source Data'!$I$600:$I$743,MATCH(1,($A4=LoadFactorSeasons)*(E$1=LoadFactorHours),0),)</f>
        <v>4.9970021285826127E-5</v>
      </c>
      <c r="F4" s="7" cm="1">
        <f t="array" ref="F4">INDEX('Summarized Source Data'!$I$600:$I$743,MATCH(1,($A4=LoadFactorSeasons)*(F$1=LoadFactorHours),0),)</f>
        <v>6.0256110249454599E-5</v>
      </c>
      <c r="G4" s="7" cm="1">
        <f t="array" ref="G4">INDEX('Summarized Source Data'!$I$600:$I$743,MATCH(1,($A4=LoadFactorSeasons)*(G$1=LoadFactorHours),0),)</f>
        <v>9.5942782789133573E-5</v>
      </c>
      <c r="H4" s="7" cm="1">
        <f t="array" ref="H4">INDEX('Summarized Source Data'!$I$600:$I$743,MATCH(1,($A4=LoadFactorSeasons)*(H$1=LoadFactorHours),0),)</f>
        <v>6.8361539254555728E-5</v>
      </c>
      <c r="I4" s="7" cm="1">
        <f t="array" ref="I4">INDEX('Summarized Source Data'!$I$600:$I$743,MATCH(1,($A4=LoadFactorSeasons)*(I$1=LoadFactorHours),0),)</f>
        <v>5.1586302166684683E-5</v>
      </c>
      <c r="J4" s="7" cm="1">
        <f t="array" ref="J4">INDEX('Summarized Source Data'!$I$600:$I$743,MATCH(1,($A4=LoadFactorSeasons)*(J$1=LoadFactorHours),0),)</f>
        <v>5.5022942772624037E-5</v>
      </c>
      <c r="K4" s="7" cm="1">
        <f t="array" ref="K4">INDEX('Summarized Source Data'!$I$600:$I$743,MATCH(1,($A4=LoadFactorSeasons)*(K$1=LoadFactorHours),0),)</f>
        <v>5.4675575709665556E-5</v>
      </c>
      <c r="L4" s="7" cm="1">
        <f t="array" ref="L4">INDEX('Summarized Source Data'!$I$600:$I$743,MATCH(1,($A4=LoadFactorSeasons)*(L$1=LoadFactorHours),0),)</f>
        <v>5.5300836422990828E-5</v>
      </c>
      <c r="M4" s="7" cm="1">
        <f t="array" ref="M4">INDEX('Summarized Source Data'!$I$600:$I$743,MATCH(1,($A4=LoadFactorSeasons)*(M$1=LoadFactorHours),0),)</f>
        <v>5.9747134828859438E-5</v>
      </c>
      <c r="N4" s="7" cm="1">
        <f t="array" ref="N4">INDEX('Summarized Source Data'!$I$600:$I$743,MATCH(1,($A4=LoadFactorSeasons)*(N$1=LoadFactorHours),0),)</f>
        <v>6.2456597919935622E-5</v>
      </c>
      <c r="O4" s="7" cm="1">
        <f t="array" ref="O4">INDEX('Summarized Source Data'!$I$600:$I$743,MATCH(1,($A4=LoadFactorSeasons)*(O$1=LoadFactorHours),0),)</f>
        <v>6.3081858633260901E-5</v>
      </c>
      <c r="P4" s="7" cm="1">
        <f t="array" ref="P4">INDEX('Summarized Source Data'!$I$600:$I$743,MATCH(1,($A4=LoadFactorSeasons)*(P$1=LoadFactorHours),0),)</f>
        <v>6.3568172521402761E-5</v>
      </c>
      <c r="Q4" s="7" cm="1">
        <f t="array" ref="Q4">INDEX('Summarized Source Data'!$I$600:$I$743,MATCH(1,($A4=LoadFactorSeasons)*(Q$1=LoadFactorHours),0),)</f>
        <v>6.6833422913212536E-5</v>
      </c>
      <c r="R4" s="7" cm="1">
        <f t="array" ref="R4">INDEX('Summarized Source Data'!$I$600:$I$743,MATCH(1,($A4=LoadFactorSeasons)*(R$1=LoadFactorHours),0),)</f>
        <v>7.1071301081306057E-5</v>
      </c>
      <c r="S4" s="7" cm="1">
        <f t="array" ref="S4">INDEX('Summarized Source Data'!$I$600:$I$743,MATCH(1,($A4=LoadFactorSeasons)*(S$1=LoadFactorHours),0),)</f>
        <v>1.1914690259476039E-4</v>
      </c>
      <c r="T4" s="7" cm="1">
        <f t="array" ref="T4">INDEX('Summarized Source Data'!$I$600:$I$743,MATCH(1,($A4=LoadFactorSeasons)*(T$1=LoadFactorHours),0),)</f>
        <v>2.7573997457644548E-4</v>
      </c>
      <c r="U4" s="7" cm="1">
        <f t="array" ref="U4">INDEX('Summarized Source Data'!$I$600:$I$743,MATCH(1,($A4=LoadFactorSeasons)*(U$1=LoadFactorHours),0),)</f>
        <v>2.9394200867547012E-4</v>
      </c>
      <c r="V4" s="7" cm="1">
        <f t="array" ref="V4">INDEX('Summarized Source Data'!$I$600:$I$743,MATCH(1,($A4=LoadFactorSeasons)*(V$1=LoadFactorHours),0),)</f>
        <v>2.9644305152877118E-4</v>
      </c>
      <c r="W4" s="7" cm="1">
        <f t="array" ref="W4">INDEX('Summarized Source Data'!$I$600:$I$743,MATCH(1,($A4=LoadFactorSeasons)*(W$1=LoadFactorHours),0),)</f>
        <v>2.4357378454648975E-4</v>
      </c>
      <c r="X4" s="7" cm="1">
        <f t="array" ref="X4">INDEX('Summarized Source Data'!$I$600:$I$743,MATCH(1,($A4=LoadFactorSeasons)*(X$1=LoadFactorHours),0),)</f>
        <v>1.4908994342178179E-4</v>
      </c>
      <c r="Y4" s="7" cm="1">
        <f t="array" ref="Y4">INDEX('Summarized Source Data'!$I$600:$I$743,MATCH(1,($A4=LoadFactorSeasons)*(Y$1=LoadFactorHours),0),)</f>
        <v>8.0241791543410047E-5</v>
      </c>
    </row>
    <row r="5" spans="1:25" x14ac:dyDescent="0.3">
      <c r="A5" s="7" t="s">
        <v>166</v>
      </c>
      <c r="B5" s="7" cm="1">
        <f t="array" ref="B5">INDEX('Summarized Source Data'!$I$600:$I$743,MATCH(1,($A5=LoadFactorSeasons)*(B$1=LoadFactorHours),0),)</f>
        <v>3.8700508034047311E-5</v>
      </c>
      <c r="C5" s="7" cm="1">
        <f t="array" ref="C5">INDEX('Summarized Source Data'!$I$600:$I$743,MATCH(1,($A5=LoadFactorSeasons)*(C$1=LoadFactorHours),0),)</f>
        <v>3.4788219594505821E-5</v>
      </c>
      <c r="D5" s="7" cm="1">
        <f t="array" ref="D5">INDEX('Summarized Source Data'!$I$600:$I$743,MATCH(1,($A5=LoadFactorSeasons)*(D$1=LoadFactorHours),0),)</f>
        <v>3.415187086345539E-5</v>
      </c>
      <c r="E5" s="7" cm="1">
        <f t="array" ref="E5">INDEX('Summarized Source Data'!$I$600:$I$743,MATCH(1,($A5=LoadFactorSeasons)*(E$1=LoadFactorHours),0),)</f>
        <v>3.4633376824992751E-5</v>
      </c>
      <c r="F5" s="7" cm="1">
        <f t="array" ref="F5">INDEX('Summarized Source Data'!$I$600:$I$743,MATCH(1,($A5=LoadFactorSeasons)*(F$1=LoadFactorHours),0),)</f>
        <v>4.1797455434590919E-5</v>
      </c>
      <c r="G5" s="7" cm="1">
        <f t="array" ref="G5">INDEX('Summarized Source Data'!$I$600:$I$743,MATCH(1,($A5=LoadFactorSeasons)*(G$1=LoadFactorHours),0),)</f>
        <v>6.6514303281747393E-5</v>
      </c>
      <c r="H5" s="7" cm="1">
        <f t="array" ref="H5">INDEX('Summarized Source Data'!$I$600:$I$743,MATCH(1,($A5=LoadFactorSeasons)*(H$1=LoadFactorHours),0),)</f>
        <v>8.6321096867230765E-5</v>
      </c>
      <c r="I5" s="7" cm="1">
        <f t="array" ref="I5">INDEX('Summarized Source Data'!$I$600:$I$743,MATCH(1,($A5=LoadFactorSeasons)*(I$1=LoadFactorHours),0),)</f>
        <v>3.7795937389946826E-5</v>
      </c>
      <c r="J5" s="7" cm="1">
        <f t="array" ref="J5">INDEX('Summarized Source Data'!$I$600:$I$743,MATCH(1,($A5=LoadFactorSeasons)*(J$1=LoadFactorHours),0),)</f>
        <v>3.8208850037244536E-5</v>
      </c>
      <c r="K5" s="7" cm="1">
        <f t="array" ref="K5">INDEX('Summarized Source Data'!$I$600:$I$743,MATCH(1,($A5=LoadFactorSeasons)*(K$1=LoadFactorHours),0),)</f>
        <v>3.7927902610500093E-5</v>
      </c>
      <c r="L5" s="7" cm="1">
        <f t="array" ref="L5">INDEX('Summarized Source Data'!$I$600:$I$743,MATCH(1,($A5=LoadFactorSeasons)*(L$1=LoadFactorHours),0),)</f>
        <v>3.8349323750616757E-5</v>
      </c>
      <c r="M5" s="7" cm="1">
        <f t="array" ref="M5">INDEX('Summarized Source Data'!$I$600:$I$743,MATCH(1,($A5=LoadFactorSeasons)*(M$1=LoadFactorHours),0),)</f>
        <v>4.1509982301491767E-5</v>
      </c>
      <c r="N5" s="7" cm="1">
        <f t="array" ref="N5">INDEX('Summarized Source Data'!$I$600:$I$743,MATCH(1,($A5=LoadFactorSeasons)*(N$1=LoadFactorHours),0),)</f>
        <v>4.3336140575330659E-5</v>
      </c>
      <c r="O5" s="7" cm="1">
        <f t="array" ref="O5">INDEX('Summarized Source Data'!$I$600:$I$743,MATCH(1,($A5=LoadFactorSeasons)*(O$1=LoadFactorHours),0),)</f>
        <v>4.3687324858761206E-5</v>
      </c>
      <c r="P5" s="7" cm="1">
        <f t="array" ref="P5">INDEX('Summarized Source Data'!$I$600:$I$743,MATCH(1,($A5=LoadFactorSeasons)*(P$1=LoadFactorHours),0),)</f>
        <v>4.4178982855563995E-5</v>
      </c>
      <c r="Q5" s="7" cm="1">
        <f t="array" ref="Q5">INDEX('Summarized Source Data'!$I$600:$I$743,MATCH(1,($A5=LoadFactorSeasons)*(Q$1=LoadFactorHours),0),)</f>
        <v>4.6356325412833447E-5</v>
      </c>
      <c r="R5" s="7" cm="1">
        <f t="array" ref="R5">INDEX('Summarized Source Data'!$I$600:$I$743,MATCH(1,($A5=LoadFactorSeasons)*(R$1=LoadFactorHours),0),)</f>
        <v>5.2045510804408449E-5</v>
      </c>
      <c r="S5" s="7" cm="1">
        <f t="array" ref="S5">INDEX('Summarized Source Data'!$I$600:$I$743,MATCH(1,($A5=LoadFactorSeasons)*(S$1=LoadFactorHours),0),)</f>
        <v>1.5065805759170868E-4</v>
      </c>
      <c r="T5" s="7" cm="1">
        <f t="array" ref="T5">INDEX('Summarized Source Data'!$I$600:$I$743,MATCH(1,($A5=LoadFactorSeasons)*(T$1=LoadFactorHours),0),)</f>
        <v>1.9132519761296709E-4</v>
      </c>
      <c r="U5" s="7" cm="1">
        <f t="array" ref="U5">INDEX('Summarized Source Data'!$I$600:$I$743,MATCH(1,($A5=LoadFactorSeasons)*(U$1=LoadFactorHours),0),)</f>
        <v>2.0389759495978104E-4</v>
      </c>
      <c r="V5" s="7" cm="1">
        <f t="array" ref="V5">INDEX('Summarized Source Data'!$I$600:$I$743,MATCH(1,($A5=LoadFactorSeasons)*(V$1=LoadFactorHours),0),)</f>
        <v>2.0565351637693384E-4</v>
      </c>
      <c r="W5" s="7" cm="1">
        <f t="array" ref="W5">INDEX('Summarized Source Data'!$I$600:$I$743,MATCH(1,($A5=LoadFactorSeasons)*(W$1=LoadFactorHours),0),)</f>
        <v>1.6891964033009761E-4</v>
      </c>
      <c r="X5" s="7" cm="1">
        <f t="array" ref="X5">INDEX('Summarized Source Data'!$I$600:$I$743,MATCH(1,($A5=LoadFactorSeasons)*(X$1=LoadFactorHours),0),)</f>
        <v>1.033886530419558E-4</v>
      </c>
      <c r="Y5" s="7" cm="1">
        <f t="array" ref="Y5">INDEX('Summarized Source Data'!$I$600:$I$743,MATCH(1,($A5=LoadFactorSeasons)*(Y$1=LoadFactorHours),0),)</f>
        <v>5.562759049540013E-5</v>
      </c>
    </row>
    <row r="6" spans="1:25" x14ac:dyDescent="0.3">
      <c r="A6" s="7" t="s">
        <v>172</v>
      </c>
      <c r="B6" s="7" cm="1">
        <f t="array" ref="B6">INDEX('Summarized Source Data'!$I$600:$I$743,MATCH(1,($A6=LoadFactorSeasons)*(B$1=LoadFactorHours),0),)</f>
        <v>7.247935381837535E-5</v>
      </c>
      <c r="C6" s="7" cm="1">
        <f t="array" ref="C6">INDEX('Summarized Source Data'!$I$600:$I$743,MATCH(1,($A6=LoadFactorSeasons)*(C$1=LoadFactorHours),0),)</f>
        <v>6.2557349304977295E-5</v>
      </c>
      <c r="D6" s="7" cm="1">
        <f t="array" ref="D6">INDEX('Summarized Source Data'!$I$600:$I$743,MATCH(1,($A6=LoadFactorSeasons)*(D$1=LoadFactorHours),0),)</f>
        <v>6.0419156011997807E-5</v>
      </c>
      <c r="E6" s="7" cm="1">
        <f t="array" ref="E6">INDEX('Summarized Source Data'!$I$600:$I$743,MATCH(1,($A6=LoadFactorSeasons)*(E$1=LoadFactorHours),0),)</f>
        <v>6.0368153842978933E-5</v>
      </c>
      <c r="F6" s="7" cm="1">
        <f t="array" ref="F6">INDEX('Summarized Source Data'!$I$600:$I$743,MATCH(1,($A6=LoadFactorSeasons)*(F$1=LoadFactorHours),0),)</f>
        <v>6.354327776610173E-5</v>
      </c>
      <c r="G6" s="7" cm="1">
        <f t="array" ref="G6">INDEX('Summarized Source Data'!$I$600:$I$743,MATCH(1,($A6=LoadFactorSeasons)*(G$1=LoadFactorHours),0),)</f>
        <v>1.013478142887676E-4</v>
      </c>
      <c r="H6" s="7" cm="1">
        <f t="array" ref="H6">INDEX('Summarized Source Data'!$I$600:$I$743,MATCH(1,($A6=LoadFactorSeasons)*(H$1=LoadFactorHours),0),)</f>
        <v>6.9153834893775215E-5</v>
      </c>
      <c r="I6" s="7" cm="1">
        <f t="array" ref="I6">INDEX('Summarized Source Data'!$I$600:$I$743,MATCH(1,($A6=LoadFactorSeasons)*(I$1=LoadFactorHours),0),)</f>
        <v>6.5781979981912933E-5</v>
      </c>
      <c r="J6" s="7" cm="1">
        <f t="array" ref="J6">INDEX('Summarized Source Data'!$I$600:$I$743,MATCH(1,($A6=LoadFactorSeasons)*(J$1=LoadFactorHours),0),)</f>
        <v>8.0241791543410074E-5</v>
      </c>
      <c r="K6" s="7" cm="1">
        <f t="array" ref="K6">INDEX('Summarized Source Data'!$I$600:$I$743,MATCH(1,($A6=LoadFactorSeasons)*(K$1=LoadFactorHours),0),)</f>
        <v>8.3159674872261341E-5</v>
      </c>
      <c r="L6" s="7" cm="1">
        <f t="array" ref="L6">INDEX('Summarized Source Data'!$I$600:$I$743,MATCH(1,($A6=LoadFactorSeasons)*(L$1=LoadFactorHours),0),)</f>
        <v>8.3645988760403214E-5</v>
      </c>
      <c r="M6" s="7" cm="1">
        <f t="array" ref="M6">INDEX('Summarized Source Data'!$I$600:$I$743,MATCH(1,($A6=LoadFactorSeasons)*(M$1=LoadFactorHours),0),)</f>
        <v>8.8752284585892957E-5</v>
      </c>
      <c r="N6" s="7" cm="1">
        <f t="array" ref="N6">INDEX('Summarized Source Data'!$I$600:$I$743,MATCH(1,($A6=LoadFactorSeasons)*(N$1=LoadFactorHours),0),)</f>
        <v>9.1913324858815167E-5</v>
      </c>
      <c r="O6" s="7" cm="1">
        <f t="array" ref="O6">INDEX('Summarized Source Data'!$I$600:$I$743,MATCH(1,($A6=LoadFactorSeasons)*(O$1=LoadFactorHours),0),)</f>
        <v>9.1913324858815167E-5</v>
      </c>
      <c r="P6" s="7" cm="1">
        <f t="array" ref="P6">INDEX('Summarized Source Data'!$I$600:$I$743,MATCH(1,($A6=LoadFactorSeasons)*(P$1=LoadFactorHours),0),)</f>
        <v>9.0697540138460464E-5</v>
      </c>
      <c r="Q6" s="7" cm="1">
        <f t="array" ref="Q6">INDEX('Summarized Source Data'!$I$600:$I$743,MATCH(1,($A6=LoadFactorSeasons)*(Q$1=LoadFactorHours),0),)</f>
        <v>9.1183854026602337E-5</v>
      </c>
      <c r="R6" s="7" cm="1">
        <f t="array" ref="R6">INDEX('Summarized Source Data'!$I$600:$I$743,MATCH(1,($A6=LoadFactorSeasons)*(R$1=LoadFactorHours),0),)</f>
        <v>9.3372266523240801E-5</v>
      </c>
      <c r="S6" s="7" cm="1">
        <f t="array" ref="S6">INDEX('Summarized Source Data'!$I$600:$I$743,MATCH(1,($A6=LoadFactorSeasons)*(S$1=LoadFactorHours),0),)</f>
        <v>1.5270256087655007E-4</v>
      </c>
      <c r="T6" s="7" cm="1">
        <f t="array" ref="T6">INDEX('Summarized Source Data'!$I$600:$I$743,MATCH(1,($A6=LoadFactorSeasons)*(T$1=LoadFactorHours),0),)</f>
        <v>3.452828605807342E-4</v>
      </c>
      <c r="U6" s="7" cm="1">
        <f t="array" ref="U6">INDEX('Summarized Source Data'!$I$600:$I$743,MATCH(1,($A6=LoadFactorSeasons)*(U$1=LoadFactorHours),0),)</f>
        <v>3.6181753277755814E-4</v>
      </c>
      <c r="V6" s="7" cm="1">
        <f t="array" ref="V6">INDEX('Summarized Source Data'!$I$600:$I$743,MATCH(1,($A6=LoadFactorSeasons)*(V$1=LoadFactorHours),0),)</f>
        <v>3.5987227722499064E-4</v>
      </c>
      <c r="W6" s="7" cm="1">
        <f t="array" ref="W6">INDEX('Summarized Source Data'!$I$600:$I$743,MATCH(1,($A6=LoadFactorSeasons)*(W$1=LoadFactorHours),0),)</f>
        <v>2.9762409954283006E-4</v>
      </c>
      <c r="X6" s="7" cm="1">
        <f t="array" ref="X6">INDEX('Summarized Source Data'!$I$600:$I$743,MATCH(1,($A6=LoadFactorSeasons)*(X$1=LoadFactorHours),0),)</f>
        <v>1.9209398581604227E-4</v>
      </c>
      <c r="Y6" s="7" cm="1">
        <f t="array" ref="Y6">INDEX('Summarized Source Data'!$I$600:$I$743,MATCH(1,($A6=LoadFactorSeasons)*(Y$1=LoadFactorHours),0),)</f>
        <v>1.0723221233528436E-4</v>
      </c>
    </row>
    <row r="7" spans="1:25" x14ac:dyDescent="0.3">
      <c r="A7" s="7" t="s">
        <v>171</v>
      </c>
      <c r="B7" s="7" cm="1">
        <f t="array" ref="B7">INDEX('Summarized Source Data'!$I$600:$I$743,MATCH(1,($A7=LoadFactorSeasons)*(B$1=LoadFactorHours),0),)</f>
        <v>1.0663242520657606E-4</v>
      </c>
      <c r="C7" s="7" cm="1">
        <f t="array" ref="C7">INDEX('Summarized Source Data'!$I$600:$I$743,MATCH(1,($A7=LoadFactorSeasons)*(C$1=LoadFactorHours),0),)</f>
        <v>9.2153931680926456E-5</v>
      </c>
      <c r="D7" s="7" cm="1">
        <f t="array" ref="D7">INDEX('Summarized Source Data'!$I$600:$I$743,MATCH(1,($A7=LoadFactorSeasons)*(D$1=LoadFactorHours),0),)</f>
        <v>8.9004124178122799E-5</v>
      </c>
      <c r="E7" s="7" cm="1">
        <f t="array" ref="E7">INDEX('Summarized Source Data'!$I$600:$I$743,MATCH(1,($A7=LoadFactorSeasons)*(E$1=LoadFactorHours),0),)</f>
        <v>8.8928996787636345E-5</v>
      </c>
      <c r="F7" s="7" cm="1">
        <f t="array" ref="F7">INDEX('Summarized Source Data'!$I$600:$I$743,MATCH(1,($A7=LoadFactorSeasons)*(F$1=LoadFactorHours),0),)</f>
        <v>9.3606302596304795E-5</v>
      </c>
      <c r="G7" s="7" cm="1">
        <f t="array" ref="G7">INDEX('Summarized Source Data'!$I$600:$I$743,MATCH(1,($A7=LoadFactorSeasons)*(G$1=LoadFactorHours),0),)</f>
        <v>1.479431689579349E-4</v>
      </c>
      <c r="H7" s="7" cm="1">
        <f t="array" ref="H7">INDEX('Summarized Source Data'!$I$600:$I$743,MATCH(1,($A7=LoadFactorSeasons)*(H$1=LoadFactorHours),0),)</f>
        <v>2.1614815142106882E-4</v>
      </c>
      <c r="I7" s="7" cm="1">
        <f t="array" ref="I7">INDEX('Summarized Source Data'!$I$600:$I$743,MATCH(1,($A7=LoadFactorSeasons)*(I$1=LoadFactorHours),0),)</f>
        <v>1.32234149673423E-4</v>
      </c>
      <c r="J7" s="7" cm="1">
        <f t="array" ref="J7">INDEX('Summarized Source Data'!$I$600:$I$743,MATCH(1,($A7=LoadFactorSeasons)*(J$1=LoadFactorHours),0),)</f>
        <v>1.1806620506555626E-4</v>
      </c>
      <c r="K7" s="7" cm="1">
        <f t="array" ref="K7">INDEX('Summarized Source Data'!$I$600:$I$743,MATCH(1,($A7=LoadFactorSeasons)*(K$1=LoadFactorHours),0),)</f>
        <v>1.2254029283646154E-4</v>
      </c>
      <c r="L7" s="7" cm="1">
        <f t="array" ref="L7">INDEX('Summarized Source Data'!$I$600:$I$743,MATCH(1,($A7=LoadFactorSeasons)*(L$1=LoadFactorHours),0),)</f>
        <v>1.2303741369989546E-4</v>
      </c>
      <c r="M7" s="7" cm="1">
        <f t="array" ref="M7">INDEX('Summarized Source Data'!$I$600:$I$743,MATCH(1,($A7=LoadFactorSeasons)*(M$1=LoadFactorHours),0),)</f>
        <v>1.309913475148382E-4</v>
      </c>
      <c r="N7" s="7" cm="1">
        <f t="array" ref="N7">INDEX('Summarized Source Data'!$I$600:$I$743,MATCH(1,($A7=LoadFactorSeasons)*(N$1=LoadFactorHours),0),)</f>
        <v>1.3496831442230954E-4</v>
      </c>
      <c r="O7" s="7" cm="1">
        <f t="array" ref="O7">INDEX('Summarized Source Data'!$I$600:$I$743,MATCH(1,($A7=LoadFactorSeasons)*(O$1=LoadFactorHours),0),)</f>
        <v>1.3496831442230954E-4</v>
      </c>
      <c r="P7" s="7" cm="1">
        <f t="array" ref="P7">INDEX('Summarized Source Data'!$I$600:$I$743,MATCH(1,($A7=LoadFactorSeasons)*(P$1=LoadFactorHours),0),)</f>
        <v>1.3397407269544174E-4</v>
      </c>
      <c r="Q7" s="7" cm="1">
        <f t="array" ref="Q7">INDEX('Summarized Source Data'!$I$600:$I$743,MATCH(1,($A7=LoadFactorSeasons)*(Q$1=LoadFactorHours),0),)</f>
        <v>1.3397407269544174E-4</v>
      </c>
      <c r="R7" s="7" cm="1">
        <f t="array" ref="R7">INDEX('Summarized Source Data'!$I$600:$I$743,MATCH(1,($A7=LoadFactorSeasons)*(R$1=LoadFactorHours),0),)</f>
        <v>1.8791168637802212E-4</v>
      </c>
      <c r="S7" s="7" cm="1">
        <f t="array" ref="S7">INDEX('Summarized Source Data'!$I$600:$I$743,MATCH(1,($A7=LoadFactorSeasons)*(S$1=LoadFactorHours),0),)</f>
        <v>4.8171011666746952E-4</v>
      </c>
      <c r="T7" s="7" cm="1">
        <f t="array" ref="T7">INDEX('Summarized Source Data'!$I$600:$I$743,MATCH(1,($A7=LoadFactorSeasons)*(T$1=LoadFactorHours),0),)</f>
        <v>5.0880320372461818E-4</v>
      </c>
      <c r="U7" s="7" cm="1">
        <f t="array" ref="U7">INDEX('Summarized Source Data'!$I$600:$I$743,MATCH(1,($A7=LoadFactorSeasons)*(U$1=LoadFactorHours),0),)</f>
        <v>5.3291356560116333E-4</v>
      </c>
      <c r="V7" s="7" cm="1">
        <f t="array" ref="V7">INDEX('Summarized Source Data'!$I$600:$I$743,MATCH(1,($A7=LoadFactorSeasons)*(V$1=LoadFactorHours),0),)</f>
        <v>5.2993084042055982E-4</v>
      </c>
      <c r="W7" s="7" cm="1">
        <f t="array" ref="W7">INDEX('Summarized Source Data'!$I$600:$I$743,MATCH(1,($A7=LoadFactorSeasons)*(W$1=LoadFactorHours),0),)</f>
        <v>4.382120411170014E-4</v>
      </c>
      <c r="X7" s="7" cm="1">
        <f t="array" ref="X7">INDEX('Summarized Source Data'!$I$600:$I$743,MATCH(1,($A7=LoadFactorSeasons)*(X$1=LoadFactorHours),0),)</f>
        <v>2.8286177129390106E-4</v>
      </c>
      <c r="Y7" s="7" cm="1">
        <f t="array" ref="Y7">INDEX('Summarized Source Data'!$I$600:$I$743,MATCH(1,($A7=LoadFactorSeasons)*(Y$1=LoadFactorHours),0),)</f>
        <v>1.5833299500370385E-4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F2E0-B87A-4DCC-BBCF-890C4AFF5DB9}">
  <sheetPr codeName="Sheet15">
    <tabColor rgb="FF002060"/>
  </sheetPr>
  <dimension ref="A1:Y19"/>
  <sheetViews>
    <sheetView workbookViewId="0">
      <selection activeCell="K21" sqref="K21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3">
      <c r="A3" s="7" t="s">
        <v>164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">
      <c r="A4" s="7" t="s">
        <v>165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">
      <c r="A5" s="7" t="s">
        <v>166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">
      <c r="A6" s="7" t="s">
        <v>172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3">
      <c r="A7" s="7" t="s">
        <v>171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09A3-7618-4502-B6C4-154A6D83895E}">
  <sheetPr codeName="Sheet16">
    <tabColor rgb="FF002060"/>
  </sheetPr>
  <dimension ref="A1:Y19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Data'!$K$600:$K$743,MATCH(1,($A2=LoadFactorSeasons)*(B$1=LoadFactorHours),0),)</f>
        <v>3.9101393205603864E-5</v>
      </c>
      <c r="C2" s="7" cm="1">
        <f t="array" ref="C2">INDEX('Summarized Source Data'!$K$600:$K$743,MATCH(1,($A2=LoadFactorSeasons)*(C$1=LoadFactorHours),0),)</f>
        <v>3.7003009836254611E-5</v>
      </c>
      <c r="D2" s="7" cm="1">
        <f t="array" ref="D2">INDEX('Summarized Source Data'!$K$600:$K$743,MATCH(1,($A2=LoadFactorSeasons)*(D$1=LoadFactorHours),0),)</f>
        <v>3.6174853758872833E-5</v>
      </c>
      <c r="E2" s="7" cm="1">
        <f t="array" ref="E2">INDEX('Summarized Source Data'!$K$600:$K$743,MATCH(1,($A2=LoadFactorSeasons)*(E$1=LoadFactorHours),0),)</f>
        <v>3.5914037599994219E-5</v>
      </c>
      <c r="F2" s="7" cm="1">
        <f t="array" ref="F2">INDEX('Summarized Source Data'!$K$600:$K$743,MATCH(1,($A2=LoadFactorSeasons)*(F$1=LoadFactorHours),0),)</f>
        <v>3.6259315942461036E-5</v>
      </c>
      <c r="G2" s="7" cm="1">
        <f t="array" ref="G2">INDEX('Summarized Source Data'!$K$600:$K$743,MATCH(1,($A2=LoadFactorSeasons)*(G$1=LoadFactorHours),0),)</f>
        <v>3.7906274797716523E-5</v>
      </c>
      <c r="H2" s="7" cm="1">
        <f t="array" ref="H2">INDEX('Summarized Source Data'!$K$600:$K$743,MATCH(1,($A2=LoadFactorSeasons)*(H$1=LoadFactorHours),0),)</f>
        <v>4.224466161718237E-5</v>
      </c>
      <c r="I2" s="7" cm="1">
        <f t="array" ref="I2">INDEX('Summarized Source Data'!$K$600:$K$743,MATCH(1,($A2=LoadFactorSeasons)*(I$1=LoadFactorHours),0),)</f>
        <v>5.0272017838129237E-5</v>
      </c>
      <c r="J2" s="7" cm="1">
        <f t="array" ref="J2">INDEX('Summarized Source Data'!$K$600:$K$743,MATCH(1,($A2=LoadFactorSeasons)*(J$1=LoadFactorHours),0),)</f>
        <v>6.2134367234867189E-5</v>
      </c>
      <c r="K2" s="7" cm="1">
        <f t="array" ref="K2">INDEX('Summarized Source Data'!$K$600:$K$743,MATCH(1,($A2=LoadFactorSeasons)*(K$1=LoadFactorHours),0),)</f>
        <v>7.2351485632493731E-5</v>
      </c>
      <c r="L2" s="7" cm="1">
        <f t="array" ref="L2">INDEX('Summarized Source Data'!$K$600:$K$743,MATCH(1,($A2=LoadFactorSeasons)*(L$1=LoadFactorHours),0),)</f>
        <v>8.1362213830496683E-5</v>
      </c>
      <c r="M2" s="7" cm="1">
        <f t="array" ref="M2">INDEX('Summarized Source Data'!$K$600:$K$743,MATCH(1,($A2=LoadFactorSeasons)*(M$1=LoadFactorHours),0),)</f>
        <v>8.916643571417029E-5</v>
      </c>
      <c r="N2" s="7" cm="1">
        <f t="array" ref="N2">INDEX('Summarized Source Data'!$K$600:$K$743,MATCH(1,($A2=LoadFactorSeasons)*(N$1=LoadFactorHours),0),)</f>
        <v>9.3716581095854549E-5</v>
      </c>
      <c r="O2" s="7" cm="1">
        <f t="array" ref="O2">INDEX('Summarized Source Data'!$K$600:$K$743,MATCH(1,($A2=LoadFactorSeasons)*(O$1=LoadFactorHours),0),)</f>
        <v>9.8780260227832365E-5</v>
      </c>
      <c r="P2" s="7" cm="1">
        <f t="array" ref="P2">INDEX('Summarized Source Data'!$K$600:$K$743,MATCH(1,($A2=LoadFactorSeasons)*(P$1=LoadFactorHours),0),)</f>
        <v>1.0105076371834969E-4</v>
      </c>
      <c r="Q2" s="7" cm="1">
        <f t="array" ref="Q2">INDEX('Summarized Source Data'!$K$600:$K$743,MATCH(1,($A2=LoadFactorSeasons)*(Q$1=LoadFactorHours),0),)</f>
        <v>9.9846132569865749E-5</v>
      </c>
      <c r="R2" s="7" cm="1">
        <f t="array" ref="R2">INDEX('Summarized Source Data'!$K$600:$K$743,MATCH(1,($A2=LoadFactorSeasons)*(R$1=LoadFactorHours),0),)</f>
        <v>9.4721245390449297E-5</v>
      </c>
      <c r="S2" s="7" cm="1">
        <f t="array" ref="S2">INDEX('Summarized Source Data'!$K$600:$K$743,MATCH(1,($A2=LoadFactorSeasons)*(S$1=LoadFactorHours),0),)</f>
        <v>8.610938680426433E-5</v>
      </c>
      <c r="T2" s="7" cm="1">
        <f t="array" ref="T2">INDEX('Summarized Source Data'!$K$600:$K$743,MATCH(1,($A2=LoadFactorSeasons)*(T$1=LoadFactorHours),0),)</f>
        <v>7.6880156725831744E-5</v>
      </c>
      <c r="U2" s="7" cm="1">
        <f t="array" ref="U2">INDEX('Summarized Source Data'!$K$600:$K$743,MATCH(1,($A2=LoadFactorSeasons)*(U$1=LoadFactorHours),0),)</f>
        <v>6.7672510118229923E-5</v>
      </c>
      <c r="V2" s="7" cm="1">
        <f t="array" ref="V2">INDEX('Summarized Source Data'!$K$600:$K$743,MATCH(1,($A2=LoadFactorSeasons)*(V$1=LoadFactorHours),0),)</f>
        <v>6.035360611134776E-5</v>
      </c>
      <c r="W2" s="7" cm="1">
        <f t="array" ref="W2">INDEX('Summarized Source Data'!$K$600:$K$743,MATCH(1,($A2=LoadFactorSeasons)*(W$1=LoadFactorHours),0),)</f>
        <v>5.4431362713518876E-5</v>
      </c>
      <c r="X2" s="7" cm="1">
        <f t="array" ref="X2">INDEX('Summarized Source Data'!$K$600:$K$743,MATCH(1,($A2=LoadFactorSeasons)*(X$1=LoadFactorHours),0),)</f>
        <v>4.9077237376027361E-5</v>
      </c>
      <c r="Y2" s="7" cm="1">
        <f t="array" ref="Y2">INDEX('Summarized Source Data'!$K$600:$K$743,MATCH(1,($A2=LoadFactorSeasons)*(Y$1=LoadFactorHours),0),)</f>
        <v>4.3388258023758676E-5</v>
      </c>
    </row>
    <row r="3" spans="1:25" x14ac:dyDescent="0.3">
      <c r="A3" s="7" t="s">
        <v>164</v>
      </c>
      <c r="B3" s="7" cm="1">
        <f t="array" ref="B3">INDEX('Summarized Source Data'!$K$600:$K$743,MATCH(1,($A3=LoadFactorSeasons)*(B$1=LoadFactorHours),0),)</f>
        <v>7.4232705002437536E-5</v>
      </c>
      <c r="C3" s="7" cm="1">
        <f t="array" ref="C3">INDEX('Summarized Source Data'!$K$600:$K$743,MATCH(1,($A3=LoadFactorSeasons)*(C$1=LoadFactorHours),0),)</f>
        <v>6.9492737319146565E-5</v>
      </c>
      <c r="D3" s="7" cm="1">
        <f t="array" ref="D3">INDEX('Summarized Source Data'!$K$600:$K$743,MATCH(1,($A3=LoadFactorSeasons)*(D$1=LoadFactorHours),0),)</f>
        <v>6.7861530655705067E-5</v>
      </c>
      <c r="E3" s="7" cm="1">
        <f t="array" ref="E3">INDEX('Summarized Source Data'!$K$600:$K$743,MATCH(1,($A3=LoadFactorSeasons)*(E$1=LoadFactorHours),0),)</f>
        <v>6.7598487332377536E-5</v>
      </c>
      <c r="F3" s="7" cm="1">
        <f t="array" ref="F3">INDEX('Summarized Source Data'!$K$600:$K$743,MATCH(1,($A3=LoadFactorSeasons)*(F$1=LoadFactorHours),0),)</f>
        <v>6.9234800480965064E-5</v>
      </c>
      <c r="G3" s="7" cm="1">
        <f t="array" ref="G3">INDEX('Summarized Source Data'!$K$600:$K$743,MATCH(1,($A3=LoadFactorSeasons)*(G$1=LoadFactorHours),0),)</f>
        <v>7.4032804419076433E-5</v>
      </c>
      <c r="H3" s="7" cm="1">
        <f t="array" ref="H3">INDEX('Summarized Source Data'!$K$600:$K$743,MATCH(1,($A3=LoadFactorSeasons)*(H$1=LoadFactorHours),0),)</f>
        <v>8.4833268028445595E-5</v>
      </c>
      <c r="I3" s="7" cm="1">
        <f t="array" ref="I3">INDEX('Summarized Source Data'!$K$600:$K$743,MATCH(1,($A3=LoadFactorSeasons)*(I$1=LoadFactorHours),0),)</f>
        <v>1.0339233562519229E-4</v>
      </c>
      <c r="J3" s="7" cm="1">
        <f t="array" ref="J3">INDEX('Summarized Source Data'!$K$600:$K$743,MATCH(1,($A3=LoadFactorSeasons)*(J$1=LoadFactorHours),0),)</f>
        <v>1.3022788482506943E-4</v>
      </c>
      <c r="K3" s="7" cm="1">
        <f t="array" ref="K3">INDEX('Summarized Source Data'!$K$600:$K$743,MATCH(1,($A3=LoadFactorSeasons)*(K$1=LoadFactorHours),0),)</f>
        <v>1.5507295934447454E-4</v>
      </c>
      <c r="L3" s="7" cm="1">
        <f t="array" ref="L3">INDEX('Summarized Source Data'!$K$600:$K$743,MATCH(1,($A3=LoadFactorSeasons)*(L$1=LoadFactorHours),0),)</f>
        <v>1.7681283992395958E-4</v>
      </c>
      <c r="M3" s="7" cm="1">
        <f t="array" ref="M3">INDEX('Summarized Source Data'!$K$600:$K$743,MATCH(1,($A3=LoadFactorSeasons)*(M$1=LoadFactorHours),0),)</f>
        <v>1.9279961226506301E-4</v>
      </c>
      <c r="N3" s="7" cm="1">
        <f t="array" ref="N3">INDEX('Summarized Source Data'!$K$600:$K$743,MATCH(1,($A3=LoadFactorSeasons)*(N$1=LoadFactorHours),0),)</f>
        <v>2.0155390964994883E-4</v>
      </c>
      <c r="O3" s="7" cm="1">
        <f t="array" ref="O3">INDEX('Summarized Source Data'!$K$600:$K$743,MATCH(1,($A3=LoadFactorSeasons)*(O$1=LoadFactorHours),0),)</f>
        <v>2.1061216835915804E-4</v>
      </c>
      <c r="P3" s="7" cm="1">
        <f t="array" ref="P3">INDEX('Summarized Source Data'!$K$600:$K$743,MATCH(1,($A3=LoadFactorSeasons)*(P$1=LoadFactorHours),0),)</f>
        <v>2.1504931401361641E-4</v>
      </c>
      <c r="Q3" s="7" cm="1">
        <f t="array" ref="Q3">INDEX('Summarized Source Data'!$K$600:$K$743,MATCH(1,($A3=LoadFactorSeasons)*(Q$1=LoadFactorHours),0),)</f>
        <v>2.1247844118195636E-4</v>
      </c>
      <c r="R3" s="7" cm="1">
        <f t="array" ref="R3">INDEX('Summarized Source Data'!$K$600:$K$743,MATCH(1,($A3=LoadFactorSeasons)*(R$1=LoadFactorHours),0),)</f>
        <v>2.0335426270002202E-4</v>
      </c>
      <c r="S3" s="7" cm="1">
        <f t="array" ref="S3">INDEX('Summarized Source Data'!$K$600:$K$743,MATCH(1,($A3=LoadFactorSeasons)*(S$1=LoadFactorHours),0),)</f>
        <v>1.8787493630033439E-4</v>
      </c>
      <c r="T3" s="7" cm="1">
        <f t="array" ref="T3">INDEX('Summarized Source Data'!$K$600:$K$743,MATCH(1,($A3=LoadFactorSeasons)*(T$1=LoadFactorHours),0),)</f>
        <v>1.692576544338469E-4</v>
      </c>
      <c r="U3" s="7" cm="1">
        <f t="array" ref="U3">INDEX('Summarized Source Data'!$K$600:$K$743,MATCH(1,($A3=LoadFactorSeasons)*(U$1=LoadFactorHours),0),)</f>
        <v>1.470608349843224E-4</v>
      </c>
      <c r="V3" s="7" cm="1">
        <f t="array" ref="V3">INDEX('Summarized Source Data'!$K$600:$K$743,MATCH(1,($A3=LoadFactorSeasons)*(V$1=LoadFactorHours),0),)</f>
        <v>1.2707095805389231E-4</v>
      </c>
      <c r="W3" s="7" cm="1">
        <f t="array" ref="W3">INDEX('Summarized Source Data'!$K$600:$K$743,MATCH(1,($A3=LoadFactorSeasons)*(W$1=LoadFactorHours),0),)</f>
        <v>1.1058235487057752E-4</v>
      </c>
      <c r="X3" s="7" cm="1">
        <f t="array" ref="X3">INDEX('Summarized Source Data'!$K$600:$K$743,MATCH(1,($A3=LoadFactorSeasons)*(X$1=LoadFactorHours),0),)</f>
        <v>9.6475535375062385E-5</v>
      </c>
      <c r="Y3" s="7" cm="1">
        <f t="array" ref="Y3">INDEX('Summarized Source Data'!$K$600:$K$743,MATCH(1,($A3=LoadFactorSeasons)*(Y$1=LoadFactorHours),0),)</f>
        <v>8.3525505998523447E-5</v>
      </c>
    </row>
    <row r="4" spans="1:25" x14ac:dyDescent="0.3">
      <c r="A4" s="7" t="s">
        <v>165</v>
      </c>
      <c r="B4" s="7" cm="1">
        <f t="array" ref="B4">INDEX('Summarized Source Data'!$K$600:$K$743,MATCH(1,($A4=LoadFactorSeasons)*(B$1=LoadFactorHours),0),)</f>
        <v>1.0287062814557978E-4</v>
      </c>
      <c r="C4" s="7" cm="1">
        <f t="array" ref="C4">INDEX('Summarized Source Data'!$K$600:$K$743,MATCH(1,($A4=LoadFactorSeasons)*(C$1=LoadFactorHours),0),)</f>
        <v>9.6445371170640666E-5</v>
      </c>
      <c r="D4" s="7" cm="1">
        <f t="array" ref="D4">INDEX('Summarized Source Data'!$K$600:$K$743,MATCH(1,($A4=LoadFactorSeasons)*(D$1=LoadFactorHours),0),)</f>
        <v>9.4033938673998419E-5</v>
      </c>
      <c r="E4" s="7" cm="1">
        <f t="array" ref="E4">INDEX('Summarized Source Data'!$K$600:$K$743,MATCH(1,($A4=LoadFactorSeasons)*(E$1=LoadFactorHours),0),)</f>
        <v>9.4056592344158202E-5</v>
      </c>
      <c r="F4" s="7" cm="1">
        <f t="array" ref="F4">INDEX('Summarized Source Data'!$K$600:$K$743,MATCH(1,($A4=LoadFactorSeasons)*(F$1=LoadFactorHours),0),)</f>
        <v>9.6690219673720089E-5</v>
      </c>
      <c r="G4" s="7" cm="1">
        <f t="array" ref="G4">INDEX('Summarized Source Data'!$K$600:$K$743,MATCH(1,($A4=LoadFactorSeasons)*(G$1=LoadFactorHours),0),)</f>
        <v>1.0343122256071505E-4</v>
      </c>
      <c r="H4" s="7" cm="1">
        <f t="array" ref="H4">INDEX('Summarized Source Data'!$K$600:$K$743,MATCH(1,($A4=LoadFactorSeasons)*(H$1=LoadFactorHours),0),)</f>
        <v>1.1759864172590478E-4</v>
      </c>
      <c r="I4" s="7" cm="1">
        <f t="array" ref="I4">INDEX('Summarized Source Data'!$K$600:$K$743,MATCH(1,($A4=LoadFactorSeasons)*(I$1=LoadFactorHours),0),)</f>
        <v>1.4083808608748361E-4</v>
      </c>
      <c r="J4" s="7" cm="1">
        <f t="array" ref="J4">INDEX('Summarized Source Data'!$K$600:$K$743,MATCH(1,($A4=LoadFactorSeasons)*(J$1=LoadFactorHours),0),)</f>
        <v>1.7242016578738488E-4</v>
      </c>
      <c r="K4" s="7" cm="1">
        <f t="array" ref="K4">INDEX('Summarized Source Data'!$K$600:$K$743,MATCH(1,($A4=LoadFactorSeasons)*(K$1=LoadFactorHours),0),)</f>
        <v>1.9971578691990109E-4</v>
      </c>
      <c r="L4" s="7" cm="1">
        <f t="array" ref="L4">INDEX('Summarized Source Data'!$K$600:$K$743,MATCH(1,($A4=LoadFactorSeasons)*(L$1=LoadFactorHours),0),)</f>
        <v>2.2209480548817523E-4</v>
      </c>
      <c r="M4" s="7" cm="1">
        <f t="array" ref="M4">INDEX('Summarized Source Data'!$K$600:$K$743,MATCH(1,($A4=LoadFactorSeasons)*(M$1=LoadFactorHours),0),)</f>
        <v>2.3803137931709774E-4</v>
      </c>
      <c r="N4" s="7" cm="1">
        <f t="array" ref="N4">INDEX('Summarized Source Data'!$K$600:$K$743,MATCH(1,($A4=LoadFactorSeasons)*(N$1=LoadFactorHours),0),)</f>
        <v>2.4566059019264576E-4</v>
      </c>
      <c r="O4" s="7" cm="1">
        <f t="array" ref="O4">INDEX('Summarized Source Data'!$K$600:$K$743,MATCH(1,($A4=LoadFactorSeasons)*(O$1=LoadFactorHours),0),)</f>
        <v>2.5481564324330333E-4</v>
      </c>
      <c r="P4" s="7" cm="1">
        <f t="array" ref="P4">INDEX('Summarized Source Data'!$K$600:$K$743,MATCH(1,($A4=LoadFactorSeasons)*(P$1=LoadFactorHours),0),)</f>
        <v>2.5956270778808874E-4</v>
      </c>
      <c r="Q4" s="7" cm="1">
        <f t="array" ref="Q4">INDEX('Summarized Source Data'!$K$600:$K$743,MATCH(1,($A4=LoadFactorSeasons)*(Q$1=LoadFactorHours),0),)</f>
        <v>2.5701963749623949E-4</v>
      </c>
      <c r="R4" s="7" cm="1">
        <f t="array" ref="R4">INDEX('Summarized Source Data'!$K$600:$K$743,MATCH(1,($A4=LoadFactorSeasons)*(R$1=LoadFactorHours),0),)</f>
        <v>2.4820366048449507E-4</v>
      </c>
      <c r="S4" s="7" cm="1">
        <f t="array" ref="S4">INDEX('Summarized Source Data'!$K$600:$K$743,MATCH(1,($A4=LoadFactorSeasons)*(S$1=LoadFactorHours),0),)</f>
        <v>2.315889345777461E-4</v>
      </c>
      <c r="T4" s="7" cm="1">
        <f t="array" ref="T4">INDEX('Summarized Source Data'!$K$600:$K$743,MATCH(1,($A4=LoadFactorSeasons)*(T$1=LoadFactorHours),0),)</f>
        <v>2.1260067639860438E-4</v>
      </c>
      <c r="U4" s="7" cm="1">
        <f t="array" ref="U4">INDEX('Summarized Source Data'!$K$600:$K$743,MATCH(1,($A4=LoadFactorSeasons)*(U$1=LoadFactorHours),0),)</f>
        <v>1.8971304377196036E-4</v>
      </c>
      <c r="V4" s="7" cm="1">
        <f t="array" ref="V4">INDEX('Summarized Source Data'!$K$600:$K$743,MATCH(1,($A4=LoadFactorSeasons)*(V$1=LoadFactorHours),0),)</f>
        <v>1.6853722805086892E-4</v>
      </c>
      <c r="W4" s="7" cm="1">
        <f t="array" ref="W4">INDEX('Summarized Source Data'!$K$600:$K$743,MATCH(1,($A4=LoadFactorSeasons)*(W$1=LoadFactorHours),0),)</f>
        <v>1.496510927931271E-4</v>
      </c>
      <c r="X4" s="7" cm="1">
        <f t="array" ref="X4">INDEX('Summarized Source Data'!$K$600:$K$743,MATCH(1,($A4=LoadFactorSeasons)*(X$1=LoadFactorHours),0),)</f>
        <v>1.3236758178412659E-4</v>
      </c>
      <c r="Y4" s="7" cm="1">
        <f t="array" ref="Y4">INDEX('Summarized Source Data'!$K$600:$K$743,MATCH(1,($A4=LoadFactorSeasons)*(Y$1=LoadFactorHours),0),)</f>
        <v>1.1521764808527577E-4</v>
      </c>
    </row>
    <row r="5" spans="1:25" x14ac:dyDescent="0.3">
      <c r="A5" s="7" t="s">
        <v>166</v>
      </c>
      <c r="B5" s="7" cm="1">
        <f t="array" ref="B5">INDEX('Summarized Source Data'!$K$600:$K$743,MATCH(1,($A5=LoadFactorSeasons)*(B$1=LoadFactorHours),0),)</f>
        <v>4.9854763823226254E-5</v>
      </c>
      <c r="C5" s="7" cm="1">
        <f t="array" ref="C5">INDEX('Summarized Source Data'!$K$600:$K$743,MATCH(1,($A5=LoadFactorSeasons)*(C$1=LoadFactorHours),0),)</f>
        <v>4.6798737511176013E-5</v>
      </c>
      <c r="D5" s="7" cm="1">
        <f t="array" ref="D5">INDEX('Summarized Source Data'!$K$600:$K$743,MATCH(1,($A5=LoadFactorSeasons)*(D$1=LoadFactorHours),0),)</f>
        <v>4.5655735733016668E-5</v>
      </c>
      <c r="E5" s="7" cm="1">
        <f t="array" ref="E5">INDEX('Summarized Source Data'!$K$600:$K$743,MATCH(1,($A5=LoadFactorSeasons)*(E$1=LoadFactorHours),0),)</f>
        <v>4.5647455347101996E-5</v>
      </c>
      <c r="F5" s="7" cm="1">
        <f t="array" ref="F5">INDEX('Summarized Source Data'!$K$600:$K$743,MATCH(1,($A5=LoadFactorSeasons)*(F$1=LoadFactorHours),0),)</f>
        <v>4.6649472885347105E-5</v>
      </c>
      <c r="G5" s="7" cm="1">
        <f t="array" ref="G5">INDEX('Summarized Source Data'!$K$600:$K$743,MATCH(1,($A5=LoadFactorSeasons)*(G$1=LoadFactorHours),0),)</f>
        <v>4.9759000328827828E-5</v>
      </c>
      <c r="H5" s="7" cm="1">
        <f t="array" ref="H5">INDEX('Summarized Source Data'!$K$600:$K$743,MATCH(1,($A5=LoadFactorSeasons)*(H$1=LoadFactorHours),0),)</f>
        <v>5.6155832410380466E-5</v>
      </c>
      <c r="I5" s="7" cm="1">
        <f t="array" ref="I5">INDEX('Summarized Source Data'!$K$600:$K$743,MATCH(1,($A5=LoadFactorSeasons)*(I$1=LoadFactorHours),0),)</f>
        <v>6.7188652197702916E-5</v>
      </c>
      <c r="J5" s="7" cm="1">
        <f t="array" ref="J5">INDEX('Summarized Source Data'!$K$600:$K$743,MATCH(1,($A5=LoadFactorSeasons)*(J$1=LoadFactorHours),0),)</f>
        <v>8.2553831257167599E-5</v>
      </c>
      <c r="K5" s="7" cm="1">
        <f t="array" ref="K5">INDEX('Summarized Source Data'!$K$600:$K$743,MATCH(1,($A5=LoadFactorSeasons)*(K$1=LoadFactorHours),0),)</f>
        <v>9.5985760455936743E-5</v>
      </c>
      <c r="L5" s="7" cm="1">
        <f t="array" ref="L5">INDEX('Summarized Source Data'!$K$600:$K$743,MATCH(1,($A5=LoadFactorSeasons)*(L$1=LoadFactorHours),0),)</f>
        <v>1.0744180377669974E-4</v>
      </c>
      <c r="M5" s="7" cm="1">
        <f t="array" ref="M5">INDEX('Summarized Source Data'!$K$600:$K$743,MATCH(1,($A5=LoadFactorSeasons)*(M$1=LoadFactorHours),0),)</f>
        <v>1.1576556958934833E-4</v>
      </c>
      <c r="N5" s="7" cm="1">
        <f t="array" ref="N5">INDEX('Summarized Source Data'!$K$600:$K$743,MATCH(1,($A5=LoadFactorSeasons)*(N$1=LoadFactorHours),0),)</f>
        <v>1.1984968525710346E-4</v>
      </c>
      <c r="O5" s="7" cm="1">
        <f t="array" ref="O5">INDEX('Summarized Source Data'!$K$600:$K$743,MATCH(1,($A5=LoadFactorSeasons)*(O$1=LoadFactorHours),0),)</f>
        <v>1.2456442318660536E-4</v>
      </c>
      <c r="P5" s="7" cm="1">
        <f t="array" ref="P5">INDEX('Summarized Source Data'!$K$600:$K$743,MATCH(1,($A5=LoadFactorSeasons)*(P$1=LoadFactorHours),0),)</f>
        <v>1.2716913161507482E-4</v>
      </c>
      <c r="Q5" s="7" cm="1">
        <f t="array" ref="Q5">INDEX('Summarized Source Data'!$K$600:$K$743,MATCH(1,($A5=LoadFactorSeasons)*(Q$1=LoadFactorHours),0),)</f>
        <v>1.2576595500372442E-4</v>
      </c>
      <c r="R5" s="7" cm="1">
        <f t="array" ref="R5">INDEX('Summarized Source Data'!$K$600:$K$743,MATCH(1,($A5=LoadFactorSeasons)*(R$1=LoadFactorHours),0),)</f>
        <v>1.2096735395643463E-4</v>
      </c>
      <c r="S5" s="7" cm="1">
        <f t="array" ref="S5">INDEX('Summarized Source Data'!$K$600:$K$743,MATCH(1,($A5=LoadFactorSeasons)*(S$1=LoadFactorHours),0),)</f>
        <v>1.1245439220960398E-4</v>
      </c>
      <c r="T5" s="7" cm="1">
        <f t="array" ref="T5">INDEX('Summarized Source Data'!$K$600:$K$743,MATCH(1,($A5=LoadFactorSeasons)*(T$1=LoadFactorHours),0),)</f>
        <v>1.0247677914200134E-4</v>
      </c>
      <c r="U5" s="7" cm="1">
        <f t="array" ref="U5">INDEX('Summarized Source Data'!$K$600:$K$743,MATCH(1,($A5=LoadFactorSeasons)*(U$1=LoadFactorHours),0),)</f>
        <v>9.0735119926542063E-5</v>
      </c>
      <c r="V5" s="7" cm="1">
        <f t="array" ref="V5">INDEX('Summarized Source Data'!$K$600:$K$743,MATCH(1,($A5=LoadFactorSeasons)*(V$1=LoadFactorHours),0),)</f>
        <v>8.0708952362522327E-5</v>
      </c>
      <c r="W5" s="7" cm="1">
        <f t="array" ref="W5">INDEX('Summarized Source Data'!$K$600:$K$743,MATCH(1,($A5=LoadFactorSeasons)*(W$1=LoadFactorHours),0),)</f>
        <v>7.1836888224264763E-5</v>
      </c>
      <c r="X5" s="7" cm="1">
        <f t="array" ref="X5">INDEX('Summarized Source Data'!$K$600:$K$743,MATCH(1,($A5=LoadFactorSeasons)*(X$1=LoadFactorHours),0),)</f>
        <v>6.3705442987388499E-5</v>
      </c>
      <c r="Y5" s="7" cm="1">
        <f t="array" ref="Y5">INDEX('Summarized Source Data'!$K$600:$K$743,MATCH(1,($A5=LoadFactorSeasons)*(Y$1=LoadFactorHours),0),)</f>
        <v>5.5708508171838217E-5</v>
      </c>
    </row>
    <row r="6" spans="1:25" x14ac:dyDescent="0.3">
      <c r="A6" s="7" t="s">
        <v>172</v>
      </c>
      <c r="B6" s="7" cm="1">
        <f t="array" ref="B6">INDEX('Summarized Source Data'!$K$600:$K$743,MATCH(1,($A6=LoadFactorSeasons)*(B$1=LoadFactorHours),0),)</f>
        <v>1.1854028979357077E-4</v>
      </c>
      <c r="C6" s="7" cm="1">
        <f t="array" ref="C6">INDEX('Summarized Source Data'!$K$600:$K$743,MATCH(1,($A6=LoadFactorSeasons)*(C$1=LoadFactorHours),0),)</f>
        <v>1.1325999935613096E-4</v>
      </c>
      <c r="D6" s="7" cm="1">
        <f t="array" ref="D6">INDEX('Summarized Source Data'!$K$600:$K$743,MATCH(1,($A6=LoadFactorSeasons)*(D$1=LoadFactorHours),0),)</f>
        <v>1.1134719936696307E-4</v>
      </c>
      <c r="E6" s="7" cm="1">
        <f t="array" ref="E6">INDEX('Summarized Source Data'!$K$600:$K$743,MATCH(1,($A6=LoadFactorSeasons)*(E$1=LoadFactorHours),0),)</f>
        <v>1.1201987028062053E-4</v>
      </c>
      <c r="F6" s="7" cm="1">
        <f t="array" ref="F6">INDEX('Summarized Source Data'!$K$600:$K$743,MATCH(1,($A6=LoadFactorSeasons)*(F$1=LoadFactorHours),0),)</f>
        <v>1.1530373525310538E-4</v>
      </c>
      <c r="G6" s="7" cm="1">
        <f t="array" ref="G6">INDEX('Summarized Source Data'!$K$600:$K$743,MATCH(1,($A6=LoadFactorSeasons)*(G$1=LoadFactorHours),0),)</f>
        <v>1.2228251945083874E-4</v>
      </c>
      <c r="H6" s="7" cm="1">
        <f t="array" ref="H6">INDEX('Summarized Source Data'!$K$600:$K$743,MATCH(1,($A6=LoadFactorSeasons)*(H$1=LoadFactorHours),0),)</f>
        <v>1.3507873630691573E-4</v>
      </c>
      <c r="I6" s="7" cm="1">
        <f t="array" ref="I6">INDEX('Summarized Source Data'!$K$600:$K$743,MATCH(1,($A6=LoadFactorSeasons)*(I$1=LoadFactorHours),0),)</f>
        <v>1.5470495249023114E-4</v>
      </c>
      <c r="J6" s="7" cm="1">
        <f t="array" ref="J6">INDEX('Summarized Source Data'!$K$600:$K$743,MATCH(1,($A6=LoadFactorSeasons)*(J$1=LoadFactorHours),0),)</f>
        <v>1.8038845270184617E-4</v>
      </c>
      <c r="K6" s="7" cm="1">
        <f t="array" ref="K6">INDEX('Summarized Source Data'!$K$600:$K$743,MATCH(1,($A6=LoadFactorSeasons)*(K$1=LoadFactorHours),0),)</f>
        <v>2.0590392463006786E-4</v>
      </c>
      <c r="L6" s="7" cm="1">
        <f t="array" ref="L6">INDEX('Summarized Source Data'!$K$600:$K$743,MATCH(1,($A6=LoadFactorSeasons)*(L$1=LoadFactorHours),0),)</f>
        <v>2.284524812177986E-4</v>
      </c>
      <c r="M6" s="7" cm="1">
        <f t="array" ref="M6">INDEX('Summarized Source Data'!$K$600:$K$743,MATCH(1,($A6=LoadFactorSeasons)*(M$1=LoadFactorHours),0),)</f>
        <v>2.474407393969403E-4</v>
      </c>
      <c r="N6" s="7" cm="1">
        <f t="array" ref="N6">INDEX('Summarized Source Data'!$K$600:$K$743,MATCH(1,($A6=LoadFactorSeasons)*(N$1=LoadFactorHours),0),)</f>
        <v>2.6168193303129658E-4</v>
      </c>
      <c r="O6" s="7" cm="1">
        <f t="array" ref="O6">INDEX('Summarized Source Data'!$K$600:$K$743,MATCH(1,($A6=LoadFactorSeasons)*(O$1=LoadFactorHours),0),)</f>
        <v>2.6939591291657292E-4</v>
      </c>
      <c r="P6" s="7" cm="1">
        <f t="array" ref="P6">INDEX('Summarized Source Data'!$K$600:$K$743,MATCH(1,($A6=LoadFactorSeasons)*(P$1=LoadFactorHours),0),)</f>
        <v>2.7295621132516194E-4</v>
      </c>
      <c r="Q6" s="7" cm="1">
        <f t="array" ref="Q6">INDEX('Summarized Source Data'!$K$600:$K$743,MATCH(1,($A6=LoadFactorSeasons)*(Q$1=LoadFactorHours),0),)</f>
        <v>2.6939591291657292E-4</v>
      </c>
      <c r="R6" s="7" cm="1">
        <f t="array" ref="R6">INDEX('Summarized Source Data'!$K$600:$K$743,MATCH(1,($A6=LoadFactorSeasons)*(R$1=LoadFactorHours),0),)</f>
        <v>2.6049516689510024E-4</v>
      </c>
      <c r="S6" s="7" cm="1">
        <f t="array" ref="S6">INDEX('Summarized Source Data'!$K$600:$K$743,MATCH(1,($A6=LoadFactorSeasons)*(S$1=LoadFactorHours),0),)</f>
        <v>2.4388044098835125E-4</v>
      </c>
      <c r="T6" s="7" cm="1">
        <f t="array" ref="T6">INDEX('Summarized Source Data'!$K$600:$K$743,MATCH(1,($A6=LoadFactorSeasons)*(T$1=LoadFactorHours),0),)</f>
        <v>2.2370541667301319E-4</v>
      </c>
      <c r="U6" s="7" cm="1">
        <f t="array" ref="U6">INDEX('Summarized Source Data'!$K$600:$K$743,MATCH(1,($A6=LoadFactorSeasons)*(U$1=LoadFactorHours),0),)</f>
        <v>2.0056347701718423E-4</v>
      </c>
      <c r="V6" s="7" cm="1">
        <f t="array" ref="V6">INDEX('Summarized Source Data'!$K$600:$K$743,MATCH(1,($A6=LoadFactorSeasons)*(V$1=LoadFactorHours),0),)</f>
        <v>1.7866583198600377E-4</v>
      </c>
      <c r="W6" s="7" cm="1">
        <f t="array" ref="W6">INDEX('Summarized Source Data'!$K$600:$K$743,MATCH(1,($A6=LoadFactorSeasons)*(W$1=LoadFactorHours),0),)</f>
        <v>1.5944162096366351E-4</v>
      </c>
      <c r="X6" s="7" cm="1">
        <f t="array" ref="X6">INDEX('Summarized Source Data'!$K$600:$K$743,MATCH(1,($A6=LoadFactorSeasons)*(X$1=LoadFactorHours),0),)</f>
        <v>1.4285967947142691E-4</v>
      </c>
      <c r="Y6" s="7" cm="1">
        <f t="array" ref="Y6">INDEX('Summarized Source Data'!$K$600:$K$743,MATCH(1,($A6=LoadFactorSeasons)*(Y$1=LoadFactorHours),0),)</f>
        <v>1.2852540776900877E-4</v>
      </c>
    </row>
    <row r="7" spans="1:25" x14ac:dyDescent="0.3">
      <c r="A7" s="7" t="s">
        <v>171</v>
      </c>
      <c r="B7" s="7" cm="1">
        <f t="array" ref="B7">INDEX('Summarized Source Data'!$K$600:$K$743,MATCH(1,($A7=LoadFactorSeasons)*(B$1=LoadFactorHours),0),)</f>
        <v>4.5957212702266581E-5</v>
      </c>
      <c r="C7" s="7" cm="1">
        <f t="array" ref="C7">INDEX('Summarized Source Data'!$K$600:$K$743,MATCH(1,($A7=LoadFactorSeasons)*(C$1=LoadFactorHours),0),)</f>
        <v>4.4494883161406743E-5</v>
      </c>
      <c r="D7" s="7" cm="1">
        <f t="array" ref="D7">INDEX('Summarized Source Data'!$K$600:$K$743,MATCH(1,($A7=LoadFactorSeasons)*(D$1=LoadFactorHours),0),)</f>
        <v>4.3944397205793327E-5</v>
      </c>
      <c r="E7" s="7" cm="1">
        <f t="array" ref="E7">INDEX('Summarized Source Data'!$K$600:$K$743,MATCH(1,($A7=LoadFactorSeasons)*(E$1=LoadFactorHours),0),)</f>
        <v>4.389345144537288E-5</v>
      </c>
      <c r="F7" s="7" cm="1">
        <f t="array" ref="F7">INDEX('Summarized Source Data'!$K$600:$K$743,MATCH(1,($A7=LoadFactorSeasons)*(F$1=LoadFactorHours),0),)</f>
        <v>4.4387538582032935E-5</v>
      </c>
      <c r="G7" s="7" cm="1">
        <f t="array" ref="G7">INDEX('Summarized Source Data'!$K$600:$K$743,MATCH(1,($A7=LoadFactorSeasons)*(G$1=LoadFactorHours),0),)</f>
        <v>4.5876987838911323E-5</v>
      </c>
      <c r="H7" s="7" cm="1">
        <f t="array" ref="H7">INDEX('Summarized Source Data'!$K$600:$K$743,MATCH(1,($A7=LoadFactorSeasons)*(H$1=LoadFactorHours),0),)</f>
        <v>4.9251448428426939E-5</v>
      </c>
      <c r="I7" s="7" cm="1">
        <f t="array" ref="I7">INDEX('Summarized Source Data'!$K$600:$K$743,MATCH(1,($A7=LoadFactorSeasons)*(I$1=LoadFactorHours),0),)</f>
        <v>5.5241211661133467E-5</v>
      </c>
      <c r="J7" s="7" cm="1">
        <f t="array" ref="J7">INDEX('Summarized Source Data'!$K$600:$K$743,MATCH(1,($A7=LoadFactorSeasons)*(J$1=LoadFactorHours),0),)</f>
        <v>6.4124213682789343E-5</v>
      </c>
      <c r="K7" s="7" cm="1">
        <f t="array" ref="K7">INDEX('Summarized Source Data'!$K$600:$K$743,MATCH(1,($A7=LoadFactorSeasons)*(K$1=LoadFactorHours),0),)</f>
        <v>7.3120759422662916E-5</v>
      </c>
      <c r="L7" s="7" cm="1">
        <f t="array" ref="L7">INDEX('Summarized Source Data'!$K$600:$K$743,MATCH(1,($A7=LoadFactorSeasons)*(L$1=LoadFactorHours),0),)</f>
        <v>8.237943411081242E-5</v>
      </c>
      <c r="M7" s="7" cm="1">
        <f t="array" ref="M7">INDEX('Summarized Source Data'!$K$600:$K$743,MATCH(1,($A7=LoadFactorSeasons)*(M$1=LoadFactorHours),0),)</f>
        <v>9.176121205026956E-5</v>
      </c>
      <c r="N7" s="7" cm="1">
        <f t="array" ref="N7">INDEX('Summarized Source Data'!$K$600:$K$743,MATCH(1,($A7=LoadFactorSeasons)*(N$1=LoadFactorHours),0),)</f>
        <v>9.9839193416404506E-5</v>
      </c>
      <c r="O7" s="7" cm="1">
        <f t="array" ref="O7">INDEX('Summarized Source Data'!$K$600:$K$743,MATCH(1,($A7=LoadFactorSeasons)*(O$1=LoadFactorHours),0),)</f>
        <v>1.0481177016337385E-4</v>
      </c>
      <c r="P7" s="7" cm="1">
        <f t="array" ref="P7">INDEX('Summarized Source Data'!$K$600:$K$743,MATCH(1,($A7=LoadFactorSeasons)*(P$1=LoadFactorHours),0),)</f>
        <v>1.0651810436007764E-4</v>
      </c>
      <c r="Q7" s="7" cm="1">
        <f t="array" ref="Q7">INDEX('Summarized Source Data'!$K$600:$K$743,MATCH(1,($A7=LoadFactorSeasons)*(Q$1=LoadFactorHours),0),)</f>
        <v>1.0482437467464351E-4</v>
      </c>
      <c r="R7" s="7" cm="1">
        <f t="array" ref="R7">INDEX('Summarized Source Data'!$K$600:$K$743,MATCH(1,($A7=LoadFactorSeasons)*(R$1=LoadFactorHours),0),)</f>
        <v>9.9238271218631783E-5</v>
      </c>
      <c r="S7" s="7" cm="1">
        <f t="array" ref="S7">INDEX('Summarized Source Data'!$K$600:$K$743,MATCH(1,($A7=LoadFactorSeasons)*(S$1=LoadFactorHours),0),)</f>
        <v>9.0108134643242111E-5</v>
      </c>
      <c r="T7" s="7" cm="1">
        <f t="array" ref="T7">INDEX('Summarized Source Data'!$K$600:$K$743,MATCH(1,($A7=LoadFactorSeasons)*(T$1=LoadFactorHours),0),)</f>
        <v>7.99125347268722E-5</v>
      </c>
      <c r="U7" s="7" cm="1">
        <f t="array" ref="U7">INDEX('Summarized Source Data'!$K$600:$K$743,MATCH(1,($A7=LoadFactorSeasons)*(U$1=LoadFactorHours),0),)</f>
        <v>7.0536573787563067E-5</v>
      </c>
      <c r="V7" s="7" cm="1">
        <f t="array" ref="V7">INDEX('Summarized Source Data'!$K$600:$K$743,MATCH(1,($A7=LoadFactorSeasons)*(V$1=LoadFactorHours),0),)</f>
        <v>6.3140697862142526E-5</v>
      </c>
      <c r="W7" s="7" cm="1">
        <f t="array" ref="W7">INDEX('Summarized Source Data'!$K$600:$K$743,MATCH(1,($A7=LoadFactorSeasons)*(W$1=LoadFactorHours),0),)</f>
        <v>5.7538405069952445E-5</v>
      </c>
      <c r="X7" s="7" cm="1">
        <f t="array" ref="X7">INDEX('Summarized Source Data'!$K$600:$K$743,MATCH(1,($A7=LoadFactorSeasons)*(X$1=LoadFactorHours),0),)</f>
        <v>5.3025061984303718E-5</v>
      </c>
      <c r="Y7" s="7" cm="1">
        <f t="array" ref="Y7">INDEX('Summarized Source Data'!$K$600:$K$743,MATCH(1,($A7=LoadFactorSeasons)*(Y$1=LoadFactorHours),0),)</f>
        <v>4.8904672726172279E-5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0335-104A-43E1-8BB9-3B8DD97A7DD0}">
  <sheetPr codeName="Sheet17">
    <tabColor rgb="FF002060"/>
  </sheetPr>
  <dimension ref="A1:Y19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3">
      <c r="A3" s="7" t="s">
        <v>164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">
      <c r="A4" s="7" t="s">
        <v>165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">
      <c r="A5" s="7" t="s">
        <v>166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">
      <c r="A6" s="7" t="s">
        <v>172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3">
      <c r="A7" s="7" t="s">
        <v>171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FA03-780D-4CF8-8452-AE3A7CC3231B}">
  <sheetPr codeName="Sheet18">
    <tabColor rgb="FF002060"/>
  </sheetPr>
  <dimension ref="A1:Y19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Data'!$M$600:$M$743,MATCH(1,($A2=LoadFactorSeasons)*(B$1=LoadFactorHours),0),)</f>
        <v>8.1669856135572734E-5</v>
      </c>
      <c r="C2" s="7" cm="1">
        <f t="array" ref="C2">INDEX('Summarized Source Data'!$M$600:$M$743,MATCH(1,($A2=LoadFactorSeasons)*(C$1=LoadFactorHours),0),)</f>
        <v>7.3556176792201482E-5</v>
      </c>
      <c r="D2" s="7" cm="1">
        <f t="array" ref="D2">INDEX('Summarized Source Data'!$M$600:$M$743,MATCH(1,($A2=LoadFactorSeasons)*(D$1=LoadFactorHours),0),)</f>
        <v>7.2159110927966517E-5</v>
      </c>
      <c r="E2" s="7" cm="1">
        <f t="array" ref="E2">INDEX('Summarized Source Data'!$M$600:$M$743,MATCH(1,($A2=LoadFactorSeasons)*(E$1=LoadFactorHours),0),)</f>
        <v>7.3202904952328779E-5</v>
      </c>
      <c r="F2" s="7" cm="1">
        <f t="array" ref="F2">INDEX('Summarized Source Data'!$M$600:$M$743,MATCH(1,($A2=LoadFactorSeasons)*(F$1=LoadFactorHours),0),)</f>
        <v>8.8174593151850187E-5</v>
      </c>
      <c r="G2" s="7" cm="1">
        <f t="array" ref="G2">INDEX('Summarized Source Data'!$M$600:$M$743,MATCH(1,($A2=LoadFactorSeasons)*(G$1=LoadFactorHours),0),)</f>
        <v>1.4033011802077542E-4</v>
      </c>
      <c r="H2" s="7" cm="1">
        <f t="array" ref="H2">INDEX('Summarized Source Data'!$M$600:$M$743,MATCH(1,($A2=LoadFactorSeasons)*(H$1=LoadFactorHours),0),)</f>
        <v>2.141880748738151E-4</v>
      </c>
      <c r="I2" s="7" cm="1">
        <f t="array" ref="I2">INDEX('Summarized Source Data'!$M$600:$M$743,MATCH(1,($A2=LoadFactorSeasons)*(I$1=LoadFactorHours),0),)</f>
        <v>1.0311707052943618E-4</v>
      </c>
      <c r="J2" s="7" cm="1">
        <f t="array" ref="J2">INDEX('Summarized Source Data'!$M$600:$M$743,MATCH(1,($A2=LoadFactorSeasons)*(J$1=LoadFactorHours),0),)</f>
        <v>8.0675614408704899E-5</v>
      </c>
      <c r="K2" s="7" cm="1">
        <f t="array" ref="K2">INDEX('Summarized Source Data'!$M$600:$M$743,MATCH(1,($A2=LoadFactorSeasons)*(K$1=LoadFactorHours),0),)</f>
        <v>8.0107476279066124E-5</v>
      </c>
      <c r="L2" s="7" cm="1">
        <f t="array" ref="L2">INDEX('Summarized Source Data'!$M$600:$M$743,MATCH(1,($A2=LoadFactorSeasons)*(L$1=LoadFactorHours),0),)</f>
        <v>8.0959683473524286E-5</v>
      </c>
      <c r="M2" s="7" cm="1">
        <f t="array" ref="M2">INDEX('Summarized Source Data'!$M$600:$M$743,MATCH(1,($A2=LoadFactorSeasons)*(M$1=LoadFactorHours),0),)</f>
        <v>8.7706323762984633E-5</v>
      </c>
      <c r="N2" s="7" cm="1">
        <f t="array" ref="N2">INDEX('Summarized Source Data'!$M$600:$M$743,MATCH(1,($A2=LoadFactorSeasons)*(N$1=LoadFactorHours),0),)</f>
        <v>9.1541256138046303E-5</v>
      </c>
      <c r="O2" s="7" cm="1">
        <f t="array" ref="O2">INDEX('Summarized Source Data'!$M$600:$M$743,MATCH(1,($A2=LoadFactorSeasons)*(O$1=LoadFactorHours),0),)</f>
        <v>9.2251428800094765E-5</v>
      </c>
      <c r="P2" s="7" cm="1">
        <f t="array" ref="P2">INDEX('Summarized Source Data'!$M$600:$M$743,MATCH(1,($A2=LoadFactorSeasons)*(P$1=LoadFactorHours),0),)</f>
        <v>9.3387705059372301E-5</v>
      </c>
      <c r="Q2" s="7" cm="1">
        <f t="array" ref="Q2">INDEX('Summarized Source Data'!$M$600:$M$743,MATCH(1,($A2=LoadFactorSeasons)*(Q$1=LoadFactorHours),0),)</f>
        <v>9.7861792830277602E-5</v>
      </c>
      <c r="R2" s="7" cm="1">
        <f t="array" ref="R2">INDEX('Summarized Source Data'!$M$600:$M$743,MATCH(1,($A2=LoadFactorSeasons)*(R$1=LoadFactorHours),0),)</f>
        <v>1.4224758420830624E-4</v>
      </c>
      <c r="S2" s="7" cm="1">
        <f t="array" ref="S2">INDEX('Summarized Source Data'!$M$600:$M$743,MATCH(1,($A2=LoadFactorSeasons)*(S$1=LoadFactorHours),0),)</f>
        <v>3.7390590656851346E-4</v>
      </c>
      <c r="T2" s="7" cm="1">
        <f t="array" ref="T2">INDEX('Summarized Source Data'!$M$600:$M$743,MATCH(1,($A2=LoadFactorSeasons)*(T$1=LoadFactorHours),0),)</f>
        <v>4.040882447055729E-4</v>
      </c>
      <c r="U2" s="7" cm="1">
        <f t="array" ref="U2">INDEX('Summarized Source Data'!$M$600:$M$743,MATCH(1,($A2=LoadFactorSeasons)*(U$1=LoadFactorHours),0),)</f>
        <v>4.3071971953239008E-4</v>
      </c>
      <c r="V2" s="7" cm="1">
        <f t="array" ref="V2">INDEX('Summarized Source Data'!$M$600:$M$743,MATCH(1,($A2=LoadFactorSeasons)*(V$1=LoadFactorHours),0),)</f>
        <v>4.3441261737504211E-4</v>
      </c>
      <c r="W2" s="7" cm="1">
        <f t="array" ref="W2">INDEX('Summarized Source Data'!$M$600:$M$743,MATCH(1,($A2=LoadFactorSeasons)*(W$1=LoadFactorHours),0),)</f>
        <v>3.5671972814694077E-4</v>
      </c>
      <c r="X2" s="7" cm="1">
        <f t="array" ref="X2">INDEX('Summarized Source Data'!$M$600:$M$743,MATCH(1,($A2=LoadFactorSeasons)*(X$1=LoadFactorHours),0),)</f>
        <v>2.1837809357990099E-4</v>
      </c>
      <c r="Y2" s="7" cm="1">
        <f t="array" ref="Y2">INDEX('Summarized Source Data'!$M$600:$M$743,MATCH(1,($A2=LoadFactorSeasons)*(Y$1=LoadFactorHours),0),)</f>
        <v>1.175335755690199E-4</v>
      </c>
    </row>
    <row r="3" spans="1:25" x14ac:dyDescent="0.3">
      <c r="A3" s="7" t="s">
        <v>164</v>
      </c>
      <c r="B3" s="7" cm="1">
        <f t="array" ref="B3">INDEX('Summarized Source Data'!$M$600:$M$743,MATCH(1,($A3=LoadFactorSeasons)*(B$1=LoadFactorHours),0),)</f>
        <v>5.6739011094924553E-5</v>
      </c>
      <c r="C3" s="7" cm="1">
        <f t="array" ref="C3">INDEX('Summarized Source Data'!$M$600:$M$743,MATCH(1,($A3=LoadFactorSeasons)*(C$1=LoadFactorHours),0),)</f>
        <v>5.1089136531495987E-5</v>
      </c>
      <c r="D3" s="7" cm="1">
        <f t="array" ref="D3">INDEX('Summarized Source Data'!$M$600:$M$743,MATCH(1,($A3=LoadFactorSeasons)*(D$1=LoadFactorHours),0),)</f>
        <v>5.011873259914929E-5</v>
      </c>
      <c r="E3" s="7" cm="1">
        <f t="array" ref="E3">INDEX('Summarized Source Data'!$M$600:$M$743,MATCH(1,($A3=LoadFactorSeasons)*(E$1=LoadFactorHours),0),)</f>
        <v>5.0868079079970465E-5</v>
      </c>
      <c r="F3" s="7" cm="1">
        <f t="array" ref="F3">INDEX('Summarized Source Data'!$M$600:$M$743,MATCH(1,($A3=LoadFactorSeasons)*(F$1=LoadFactorHours),0),)</f>
        <v>6.1311116819453087E-5</v>
      </c>
      <c r="G3" s="7" cm="1">
        <f t="array" ref="G3">INDEX('Summarized Source Data'!$M$600:$M$743,MATCH(1,($A3=LoadFactorSeasons)*(G$1=LoadFactorHours),0),)</f>
        <v>9.7540671278742612E-5</v>
      </c>
      <c r="H3" s="7" cm="1">
        <f t="array" ref="H3">INDEX('Summarized Source Data'!$M$600:$M$743,MATCH(1,($A3=LoadFactorSeasons)*(H$1=LoadFactorHours),0),)</f>
        <v>9.8756799197755502E-5</v>
      </c>
      <c r="I3" s="7" cm="1">
        <f t="array" ref="I3">INDEX('Summarized Source Data'!$M$600:$M$743,MATCH(1,($A3=LoadFactorSeasons)*(I$1=LoadFactorHours),0),)</f>
        <v>5.320154303055674E-5</v>
      </c>
      <c r="J3" s="7" cm="1">
        <f t="array" ref="J3">INDEX('Summarized Source Data'!$M$600:$M$743,MATCH(1,($A3=LoadFactorSeasons)*(J$1=LoadFactorHours),0),)</f>
        <v>5.6065043961499499E-5</v>
      </c>
      <c r="K3" s="7" cm="1">
        <f t="array" ref="K3">INDEX('Summarized Source Data'!$M$600:$M$743,MATCH(1,($A3=LoadFactorSeasons)*(K$1=LoadFactorHours),0),)</f>
        <v>5.5648203485949316E-5</v>
      </c>
      <c r="L3" s="7" cm="1">
        <f t="array" ref="L3">INDEX('Summarized Source Data'!$M$600:$M$743,MATCH(1,($A3=LoadFactorSeasons)*(L$1=LoadFactorHours),0),)</f>
        <v>5.6273464199274588E-5</v>
      </c>
      <c r="M3" s="7" cm="1">
        <f t="array" ref="M3">INDEX('Summarized Source Data'!$M$600:$M$743,MATCH(1,($A3=LoadFactorSeasons)*(M$1=LoadFactorHours),0),)</f>
        <v>6.085870943032659E-5</v>
      </c>
      <c r="N3" s="7" cm="1">
        <f t="array" ref="N3">INDEX('Summarized Source Data'!$M$600:$M$743,MATCH(1,($A3=LoadFactorSeasons)*(N$1=LoadFactorHours),0),)</f>
        <v>6.3637645933994471E-5</v>
      </c>
      <c r="O3" s="7" cm="1">
        <f t="array" ref="O3">INDEX('Summarized Source Data'!$M$600:$M$743,MATCH(1,($A3=LoadFactorSeasons)*(O$1=LoadFactorHours),0),)</f>
        <v>6.4054486409544648E-5</v>
      </c>
      <c r="P3" s="7" cm="1">
        <f t="array" ref="P3">INDEX('Summarized Source Data'!$M$600:$M$743,MATCH(1,($A3=LoadFactorSeasons)*(P$1=LoadFactorHours),0),)</f>
        <v>6.4818693948053319E-5</v>
      </c>
      <c r="Q3" s="7" cm="1">
        <f t="array" ref="Q3">INDEX('Summarized Source Data'!$M$600:$M$743,MATCH(1,($A3=LoadFactorSeasons)*(Q$1=LoadFactorHours),0),)</f>
        <v>6.7944997514679688E-5</v>
      </c>
      <c r="R3" s="7" cm="1">
        <f t="array" ref="R3">INDEX('Summarized Source Data'!$M$600:$M$743,MATCH(1,($A3=LoadFactorSeasons)*(R$1=LoadFactorHours),0),)</f>
        <v>7.3363923696832044E-5</v>
      </c>
      <c r="S3" s="7" cm="1">
        <f t="array" ref="S3">INDEX('Summarized Source Data'!$M$600:$M$743,MATCH(1,($A3=LoadFactorSeasons)*(S$1=LoadFactorHours),0),)</f>
        <v>1.7229406322740863E-4</v>
      </c>
      <c r="T3" s="7" cm="1">
        <f t="array" ref="T3">INDEX('Summarized Source Data'!$M$600:$M$743,MATCH(1,($A3=LoadFactorSeasons)*(T$1=LoadFactorHours),0),)</f>
        <v>2.8067258687045592E-4</v>
      </c>
      <c r="U3" s="7" cm="1">
        <f t="array" ref="U3">INDEX('Summarized Source Data'!$M$600:$M$743,MATCH(1,($A3=LoadFactorSeasons)*(U$1=LoadFactorHours),0),)</f>
        <v>2.9908304120725572E-4</v>
      </c>
      <c r="V3" s="7" cm="1">
        <f t="array" ref="V3">INDEX('Summarized Source Data'!$M$600:$M$743,MATCH(1,($A3=LoadFactorSeasons)*(V$1=LoadFactorHours),0),)</f>
        <v>3.0172303088574014E-4</v>
      </c>
      <c r="W3" s="7" cm="1">
        <f t="array" ref="W3">INDEX('Summarized Source Data'!$M$600:$M$743,MATCH(1,($A3=LoadFactorSeasons)*(W$1=LoadFactorHours),0),)</f>
        <v>2.4788113612717494E-4</v>
      </c>
      <c r="X3" s="7" cm="1">
        <f t="array" ref="X3">INDEX('Summarized Source Data'!$M$600:$M$743,MATCH(1,($A3=LoadFactorSeasons)*(X$1=LoadFactorHours),0),)</f>
        <v>1.5166045968767458E-4</v>
      </c>
      <c r="Y3" s="7" cm="1">
        <f t="array" ref="Y3">INDEX('Summarized Source Data'!$M$600:$M$743,MATCH(1,($A3=LoadFactorSeasons)*(Y$1=LoadFactorHours),0),)</f>
        <v>8.1631259795244011E-5</v>
      </c>
    </row>
    <row r="4" spans="1:25" x14ac:dyDescent="0.3">
      <c r="A4" s="7" t="s">
        <v>165</v>
      </c>
      <c r="B4" s="7" cm="1">
        <f t="array" ref="B4">INDEX('Summarized Source Data'!$M$600:$M$743,MATCH(1,($A4=LoadFactorSeasons)*(B$1=LoadFactorHours),0),)</f>
        <v>5.5722986751465388E-5</v>
      </c>
      <c r="C4" s="7" cm="1">
        <f t="array" ref="C4">INDEX('Summarized Source Data'!$M$600:$M$743,MATCH(1,($A4=LoadFactorSeasons)*(C$1=LoadFactorHours),0),)</f>
        <v>5.0178665227989765E-5</v>
      </c>
      <c r="D4" s="7" cm="1">
        <f t="array" ref="D4">INDEX('Summarized Source Data'!$M$600:$M$743,MATCH(1,($A4=LoadFactorSeasons)*(D$1=LoadFactorHours),0),)</f>
        <v>4.9289859208200277E-5</v>
      </c>
      <c r="E4" s="7" cm="1">
        <f t="array" ref="E4">INDEX('Summarized Source Data'!$M$600:$M$743,MATCH(1,($A4=LoadFactorSeasons)*(E$1=LoadFactorHours),0),)</f>
        <v>4.9970021285826127E-5</v>
      </c>
      <c r="F4" s="7" cm="1">
        <f t="array" ref="F4">INDEX('Summarized Source Data'!$M$600:$M$743,MATCH(1,($A4=LoadFactorSeasons)*(F$1=LoadFactorHours),0),)</f>
        <v>6.0256110249454599E-5</v>
      </c>
      <c r="G4" s="7" cm="1">
        <f t="array" ref="G4">INDEX('Summarized Source Data'!$M$600:$M$743,MATCH(1,($A4=LoadFactorSeasons)*(G$1=LoadFactorHours),0),)</f>
        <v>9.5942782789133573E-5</v>
      </c>
      <c r="H4" s="7" cm="1">
        <f t="array" ref="H4">INDEX('Summarized Source Data'!$M$600:$M$743,MATCH(1,($A4=LoadFactorSeasons)*(H$1=LoadFactorHours),0),)</f>
        <v>6.8361539254555728E-5</v>
      </c>
      <c r="I4" s="7" cm="1">
        <f t="array" ref="I4">INDEX('Summarized Source Data'!$M$600:$M$743,MATCH(1,($A4=LoadFactorSeasons)*(I$1=LoadFactorHours),0),)</f>
        <v>5.1586302166684683E-5</v>
      </c>
      <c r="J4" s="7" cm="1">
        <f t="array" ref="J4">INDEX('Summarized Source Data'!$M$600:$M$743,MATCH(1,($A4=LoadFactorSeasons)*(J$1=LoadFactorHours),0),)</f>
        <v>5.5022942772624037E-5</v>
      </c>
      <c r="K4" s="7" cm="1">
        <f t="array" ref="K4">INDEX('Summarized Source Data'!$M$600:$M$743,MATCH(1,($A4=LoadFactorSeasons)*(K$1=LoadFactorHours),0),)</f>
        <v>5.4675575709665556E-5</v>
      </c>
      <c r="L4" s="7" cm="1">
        <f t="array" ref="L4">INDEX('Summarized Source Data'!$M$600:$M$743,MATCH(1,($A4=LoadFactorSeasons)*(L$1=LoadFactorHours),0),)</f>
        <v>5.5300836422990828E-5</v>
      </c>
      <c r="M4" s="7" cm="1">
        <f t="array" ref="M4">INDEX('Summarized Source Data'!$M$600:$M$743,MATCH(1,($A4=LoadFactorSeasons)*(M$1=LoadFactorHours),0),)</f>
        <v>5.9747134828859438E-5</v>
      </c>
      <c r="N4" s="7" cm="1">
        <f t="array" ref="N4">INDEX('Summarized Source Data'!$M$600:$M$743,MATCH(1,($A4=LoadFactorSeasons)*(N$1=LoadFactorHours),0),)</f>
        <v>6.2456597919935622E-5</v>
      </c>
      <c r="O4" s="7" cm="1">
        <f t="array" ref="O4">INDEX('Summarized Source Data'!$M$600:$M$743,MATCH(1,($A4=LoadFactorSeasons)*(O$1=LoadFactorHours),0),)</f>
        <v>6.3081858633260901E-5</v>
      </c>
      <c r="P4" s="7" cm="1">
        <f t="array" ref="P4">INDEX('Summarized Source Data'!$M$600:$M$743,MATCH(1,($A4=LoadFactorSeasons)*(P$1=LoadFactorHours),0),)</f>
        <v>6.3568172521402761E-5</v>
      </c>
      <c r="Q4" s="7" cm="1">
        <f t="array" ref="Q4">INDEX('Summarized Source Data'!$M$600:$M$743,MATCH(1,($A4=LoadFactorSeasons)*(Q$1=LoadFactorHours),0),)</f>
        <v>6.6833422913212536E-5</v>
      </c>
      <c r="R4" s="7" cm="1">
        <f t="array" ref="R4">INDEX('Summarized Source Data'!$M$600:$M$743,MATCH(1,($A4=LoadFactorSeasons)*(R$1=LoadFactorHours),0),)</f>
        <v>7.1071301081306057E-5</v>
      </c>
      <c r="S4" s="7" cm="1">
        <f t="array" ref="S4">INDEX('Summarized Source Data'!$M$600:$M$743,MATCH(1,($A4=LoadFactorSeasons)*(S$1=LoadFactorHours),0),)</f>
        <v>1.1914690259476039E-4</v>
      </c>
      <c r="T4" s="7" cm="1">
        <f t="array" ref="T4">INDEX('Summarized Source Data'!$M$600:$M$743,MATCH(1,($A4=LoadFactorSeasons)*(T$1=LoadFactorHours),0),)</f>
        <v>2.7573997457644548E-4</v>
      </c>
      <c r="U4" s="7" cm="1">
        <f t="array" ref="U4">INDEX('Summarized Source Data'!$M$600:$M$743,MATCH(1,($A4=LoadFactorSeasons)*(U$1=LoadFactorHours),0),)</f>
        <v>2.9394200867547012E-4</v>
      </c>
      <c r="V4" s="7" cm="1">
        <f t="array" ref="V4">INDEX('Summarized Source Data'!$M$600:$M$743,MATCH(1,($A4=LoadFactorSeasons)*(V$1=LoadFactorHours),0),)</f>
        <v>2.9644305152877118E-4</v>
      </c>
      <c r="W4" s="7" cm="1">
        <f t="array" ref="W4">INDEX('Summarized Source Data'!$M$600:$M$743,MATCH(1,($A4=LoadFactorSeasons)*(W$1=LoadFactorHours),0),)</f>
        <v>2.4357378454648975E-4</v>
      </c>
      <c r="X4" s="7" cm="1">
        <f t="array" ref="X4">INDEX('Summarized Source Data'!$M$600:$M$743,MATCH(1,($A4=LoadFactorSeasons)*(X$1=LoadFactorHours),0),)</f>
        <v>1.4908994342178179E-4</v>
      </c>
      <c r="Y4" s="7" cm="1">
        <f t="array" ref="Y4">INDEX('Summarized Source Data'!$M$600:$M$743,MATCH(1,($A4=LoadFactorSeasons)*(Y$1=LoadFactorHours),0),)</f>
        <v>8.0241791543410047E-5</v>
      </c>
    </row>
    <row r="5" spans="1:25" x14ac:dyDescent="0.3">
      <c r="A5" s="7" t="s">
        <v>166</v>
      </c>
      <c r="B5" s="7" cm="1">
        <f t="array" ref="B5">INDEX('Summarized Source Data'!$M$600:$M$743,MATCH(1,($A5=LoadFactorSeasons)*(B$1=LoadFactorHours),0),)</f>
        <v>3.8700508034047311E-5</v>
      </c>
      <c r="C5" s="7" cm="1">
        <f t="array" ref="C5">INDEX('Summarized Source Data'!$M$600:$M$743,MATCH(1,($A5=LoadFactorSeasons)*(C$1=LoadFactorHours),0),)</f>
        <v>3.4788219594505821E-5</v>
      </c>
      <c r="D5" s="7" cm="1">
        <f t="array" ref="D5">INDEX('Summarized Source Data'!$M$600:$M$743,MATCH(1,($A5=LoadFactorSeasons)*(D$1=LoadFactorHours),0),)</f>
        <v>3.415187086345539E-5</v>
      </c>
      <c r="E5" s="7" cm="1">
        <f t="array" ref="E5">INDEX('Summarized Source Data'!$M$600:$M$743,MATCH(1,($A5=LoadFactorSeasons)*(E$1=LoadFactorHours),0),)</f>
        <v>3.4633376824992751E-5</v>
      </c>
      <c r="F5" s="7" cm="1">
        <f t="array" ref="F5">INDEX('Summarized Source Data'!$M$600:$M$743,MATCH(1,($A5=LoadFactorSeasons)*(F$1=LoadFactorHours),0),)</f>
        <v>4.1797455434590919E-5</v>
      </c>
      <c r="G5" s="7" cm="1">
        <f t="array" ref="G5">INDEX('Summarized Source Data'!$M$600:$M$743,MATCH(1,($A5=LoadFactorSeasons)*(G$1=LoadFactorHours),0),)</f>
        <v>6.6514303281747393E-5</v>
      </c>
      <c r="H5" s="7" cm="1">
        <f t="array" ref="H5">INDEX('Summarized Source Data'!$M$600:$M$743,MATCH(1,($A5=LoadFactorSeasons)*(H$1=LoadFactorHours),0),)</f>
        <v>8.6321096867230765E-5</v>
      </c>
      <c r="I5" s="7" cm="1">
        <f t="array" ref="I5">INDEX('Summarized Source Data'!$M$600:$M$743,MATCH(1,($A5=LoadFactorSeasons)*(I$1=LoadFactorHours),0),)</f>
        <v>3.7795937389946826E-5</v>
      </c>
      <c r="J5" s="7" cm="1">
        <f t="array" ref="J5">INDEX('Summarized Source Data'!$M$600:$M$743,MATCH(1,($A5=LoadFactorSeasons)*(J$1=LoadFactorHours),0),)</f>
        <v>3.8208850037244536E-5</v>
      </c>
      <c r="K5" s="7" cm="1">
        <f t="array" ref="K5">INDEX('Summarized Source Data'!$M$600:$M$743,MATCH(1,($A5=LoadFactorSeasons)*(K$1=LoadFactorHours),0),)</f>
        <v>3.7927902610500093E-5</v>
      </c>
      <c r="L5" s="7" cm="1">
        <f t="array" ref="L5">INDEX('Summarized Source Data'!$M$600:$M$743,MATCH(1,($A5=LoadFactorSeasons)*(L$1=LoadFactorHours),0),)</f>
        <v>3.8349323750616757E-5</v>
      </c>
      <c r="M5" s="7" cm="1">
        <f t="array" ref="M5">INDEX('Summarized Source Data'!$M$600:$M$743,MATCH(1,($A5=LoadFactorSeasons)*(M$1=LoadFactorHours),0),)</f>
        <v>4.1509982301491767E-5</v>
      </c>
      <c r="N5" s="7" cm="1">
        <f t="array" ref="N5">INDEX('Summarized Source Data'!$M$600:$M$743,MATCH(1,($A5=LoadFactorSeasons)*(N$1=LoadFactorHours),0),)</f>
        <v>4.3336140575330659E-5</v>
      </c>
      <c r="O5" s="7" cm="1">
        <f t="array" ref="O5">INDEX('Summarized Source Data'!$M$600:$M$743,MATCH(1,($A5=LoadFactorSeasons)*(O$1=LoadFactorHours),0),)</f>
        <v>4.3687324858761206E-5</v>
      </c>
      <c r="P5" s="7" cm="1">
        <f t="array" ref="P5">INDEX('Summarized Source Data'!$M$600:$M$743,MATCH(1,($A5=LoadFactorSeasons)*(P$1=LoadFactorHours),0),)</f>
        <v>4.4178982855563995E-5</v>
      </c>
      <c r="Q5" s="7" cm="1">
        <f t="array" ref="Q5">INDEX('Summarized Source Data'!$M$600:$M$743,MATCH(1,($A5=LoadFactorSeasons)*(Q$1=LoadFactorHours),0),)</f>
        <v>4.6356325412833447E-5</v>
      </c>
      <c r="R5" s="7" cm="1">
        <f t="array" ref="R5">INDEX('Summarized Source Data'!$M$600:$M$743,MATCH(1,($A5=LoadFactorSeasons)*(R$1=LoadFactorHours),0),)</f>
        <v>5.2045510804408449E-5</v>
      </c>
      <c r="S5" s="7" cm="1">
        <f t="array" ref="S5">INDEX('Summarized Source Data'!$M$600:$M$743,MATCH(1,($A5=LoadFactorSeasons)*(S$1=LoadFactorHours),0),)</f>
        <v>1.5065805759170868E-4</v>
      </c>
      <c r="T5" s="7" cm="1">
        <f t="array" ref="T5">INDEX('Summarized Source Data'!$M$600:$M$743,MATCH(1,($A5=LoadFactorSeasons)*(T$1=LoadFactorHours),0),)</f>
        <v>1.9132519761296709E-4</v>
      </c>
      <c r="U5" s="7" cm="1">
        <f t="array" ref="U5">INDEX('Summarized Source Data'!$M$600:$M$743,MATCH(1,($A5=LoadFactorSeasons)*(U$1=LoadFactorHours),0),)</f>
        <v>2.0389759495978104E-4</v>
      </c>
      <c r="V5" s="7" cm="1">
        <f t="array" ref="V5">INDEX('Summarized Source Data'!$M$600:$M$743,MATCH(1,($A5=LoadFactorSeasons)*(V$1=LoadFactorHours),0),)</f>
        <v>2.0565351637693384E-4</v>
      </c>
      <c r="W5" s="7" cm="1">
        <f t="array" ref="W5">INDEX('Summarized Source Data'!$M$600:$M$743,MATCH(1,($A5=LoadFactorSeasons)*(W$1=LoadFactorHours),0),)</f>
        <v>1.6891964033009761E-4</v>
      </c>
      <c r="X5" s="7" cm="1">
        <f t="array" ref="X5">INDEX('Summarized Source Data'!$M$600:$M$743,MATCH(1,($A5=LoadFactorSeasons)*(X$1=LoadFactorHours),0),)</f>
        <v>1.033886530419558E-4</v>
      </c>
      <c r="Y5" s="7" cm="1">
        <f t="array" ref="Y5">INDEX('Summarized Source Data'!$M$600:$M$743,MATCH(1,($A5=LoadFactorSeasons)*(Y$1=LoadFactorHours),0),)</f>
        <v>5.562759049540013E-5</v>
      </c>
    </row>
    <row r="6" spans="1:25" x14ac:dyDescent="0.3">
      <c r="A6" s="7" t="s">
        <v>172</v>
      </c>
      <c r="B6" s="7" cm="1">
        <f t="array" ref="B6">INDEX('Summarized Source Data'!$M$600:$M$743,MATCH(1,($A6=LoadFactorSeasons)*(B$1=LoadFactorHours),0),)</f>
        <v>7.247935381837535E-5</v>
      </c>
      <c r="C6" s="7" cm="1">
        <f t="array" ref="C6">INDEX('Summarized Source Data'!$M$600:$M$743,MATCH(1,($A6=LoadFactorSeasons)*(C$1=LoadFactorHours),0),)</f>
        <v>6.2557349304977295E-5</v>
      </c>
      <c r="D6" s="7" cm="1">
        <f t="array" ref="D6">INDEX('Summarized Source Data'!$M$600:$M$743,MATCH(1,($A6=LoadFactorSeasons)*(D$1=LoadFactorHours),0),)</f>
        <v>6.0419156011997807E-5</v>
      </c>
      <c r="E6" s="7" cm="1">
        <f t="array" ref="E6">INDEX('Summarized Source Data'!$M$600:$M$743,MATCH(1,($A6=LoadFactorSeasons)*(E$1=LoadFactorHours),0),)</f>
        <v>6.0368153842978933E-5</v>
      </c>
      <c r="F6" s="7" cm="1">
        <f t="array" ref="F6">INDEX('Summarized Source Data'!$M$600:$M$743,MATCH(1,($A6=LoadFactorSeasons)*(F$1=LoadFactorHours),0),)</f>
        <v>6.354327776610173E-5</v>
      </c>
      <c r="G6" s="7" cm="1">
        <f t="array" ref="G6">INDEX('Summarized Source Data'!$M$600:$M$743,MATCH(1,($A6=LoadFactorSeasons)*(G$1=LoadFactorHours),0),)</f>
        <v>1.013478142887676E-4</v>
      </c>
      <c r="H6" s="7" cm="1">
        <f t="array" ref="H6">INDEX('Summarized Source Data'!$M$600:$M$743,MATCH(1,($A6=LoadFactorSeasons)*(H$1=LoadFactorHours),0),)</f>
        <v>6.9153834893775215E-5</v>
      </c>
      <c r="I6" s="7" cm="1">
        <f t="array" ref="I6">INDEX('Summarized Source Data'!$M$600:$M$743,MATCH(1,($A6=LoadFactorSeasons)*(I$1=LoadFactorHours),0),)</f>
        <v>6.5781979981912933E-5</v>
      </c>
      <c r="J6" s="7" cm="1">
        <f t="array" ref="J6">INDEX('Summarized Source Data'!$M$600:$M$743,MATCH(1,($A6=LoadFactorSeasons)*(J$1=LoadFactorHours),0),)</f>
        <v>8.0241791543410074E-5</v>
      </c>
      <c r="K6" s="7" cm="1">
        <f t="array" ref="K6">INDEX('Summarized Source Data'!$M$600:$M$743,MATCH(1,($A6=LoadFactorSeasons)*(K$1=LoadFactorHours),0),)</f>
        <v>8.3159674872261341E-5</v>
      </c>
      <c r="L6" s="7" cm="1">
        <f t="array" ref="L6">INDEX('Summarized Source Data'!$M$600:$M$743,MATCH(1,($A6=LoadFactorSeasons)*(L$1=LoadFactorHours),0),)</f>
        <v>8.3645988760403214E-5</v>
      </c>
      <c r="M6" s="7" cm="1">
        <f t="array" ref="M6">INDEX('Summarized Source Data'!$M$600:$M$743,MATCH(1,($A6=LoadFactorSeasons)*(M$1=LoadFactorHours),0),)</f>
        <v>8.8752284585892957E-5</v>
      </c>
      <c r="N6" s="7" cm="1">
        <f t="array" ref="N6">INDEX('Summarized Source Data'!$M$600:$M$743,MATCH(1,($A6=LoadFactorSeasons)*(N$1=LoadFactorHours),0),)</f>
        <v>9.1913324858815167E-5</v>
      </c>
      <c r="O6" s="7" cm="1">
        <f t="array" ref="O6">INDEX('Summarized Source Data'!$M$600:$M$743,MATCH(1,($A6=LoadFactorSeasons)*(O$1=LoadFactorHours),0),)</f>
        <v>9.1913324858815167E-5</v>
      </c>
      <c r="P6" s="7" cm="1">
        <f t="array" ref="P6">INDEX('Summarized Source Data'!$M$600:$M$743,MATCH(1,($A6=LoadFactorSeasons)*(P$1=LoadFactorHours),0),)</f>
        <v>9.0697540138460464E-5</v>
      </c>
      <c r="Q6" s="7" cm="1">
        <f t="array" ref="Q6">INDEX('Summarized Source Data'!$M$600:$M$743,MATCH(1,($A6=LoadFactorSeasons)*(Q$1=LoadFactorHours),0),)</f>
        <v>9.1183854026602337E-5</v>
      </c>
      <c r="R6" s="7" cm="1">
        <f t="array" ref="R6">INDEX('Summarized Source Data'!$M$600:$M$743,MATCH(1,($A6=LoadFactorSeasons)*(R$1=LoadFactorHours),0),)</f>
        <v>9.3372266523240801E-5</v>
      </c>
      <c r="S6" s="7" cm="1">
        <f t="array" ref="S6">INDEX('Summarized Source Data'!$M$600:$M$743,MATCH(1,($A6=LoadFactorSeasons)*(S$1=LoadFactorHours),0),)</f>
        <v>1.5270256087655007E-4</v>
      </c>
      <c r="T6" s="7" cm="1">
        <f t="array" ref="T6">INDEX('Summarized Source Data'!$M$600:$M$743,MATCH(1,($A6=LoadFactorSeasons)*(T$1=LoadFactorHours),0),)</f>
        <v>3.452828605807342E-4</v>
      </c>
      <c r="U6" s="7" cm="1">
        <f t="array" ref="U6">INDEX('Summarized Source Data'!$M$600:$M$743,MATCH(1,($A6=LoadFactorSeasons)*(U$1=LoadFactorHours),0),)</f>
        <v>3.6181753277755814E-4</v>
      </c>
      <c r="V6" s="7" cm="1">
        <f t="array" ref="V6">INDEX('Summarized Source Data'!$M$600:$M$743,MATCH(1,($A6=LoadFactorSeasons)*(V$1=LoadFactorHours),0),)</f>
        <v>3.5987227722499064E-4</v>
      </c>
      <c r="W6" s="7" cm="1">
        <f t="array" ref="W6">INDEX('Summarized Source Data'!$M$600:$M$743,MATCH(1,($A6=LoadFactorSeasons)*(W$1=LoadFactorHours),0),)</f>
        <v>2.9762409954283006E-4</v>
      </c>
      <c r="X6" s="7" cm="1">
        <f t="array" ref="X6">INDEX('Summarized Source Data'!$M$600:$M$743,MATCH(1,($A6=LoadFactorSeasons)*(X$1=LoadFactorHours),0),)</f>
        <v>1.9209398581604227E-4</v>
      </c>
      <c r="Y6" s="7" cm="1">
        <f t="array" ref="Y6">INDEX('Summarized Source Data'!$M$600:$M$743,MATCH(1,($A6=LoadFactorSeasons)*(Y$1=LoadFactorHours),0),)</f>
        <v>1.0723221233528436E-4</v>
      </c>
    </row>
    <row r="7" spans="1:25" x14ac:dyDescent="0.3">
      <c r="A7" s="7" t="s">
        <v>171</v>
      </c>
      <c r="B7" s="7" cm="1">
        <f t="array" ref="B7">INDEX('Summarized Source Data'!$M$600:$M$743,MATCH(1,($A7=LoadFactorSeasons)*(B$1=LoadFactorHours),0),)</f>
        <v>1.0663242520657606E-4</v>
      </c>
      <c r="C7" s="7" cm="1">
        <f t="array" ref="C7">INDEX('Summarized Source Data'!$M$600:$M$743,MATCH(1,($A7=LoadFactorSeasons)*(C$1=LoadFactorHours),0),)</f>
        <v>9.2153931680926456E-5</v>
      </c>
      <c r="D7" s="7" cm="1">
        <f t="array" ref="D7">INDEX('Summarized Source Data'!$M$600:$M$743,MATCH(1,($A7=LoadFactorSeasons)*(D$1=LoadFactorHours),0),)</f>
        <v>8.9004124178122799E-5</v>
      </c>
      <c r="E7" s="7" cm="1">
        <f t="array" ref="E7">INDEX('Summarized Source Data'!$M$600:$M$743,MATCH(1,($A7=LoadFactorSeasons)*(E$1=LoadFactorHours),0),)</f>
        <v>8.8928996787636345E-5</v>
      </c>
      <c r="F7" s="7" cm="1">
        <f t="array" ref="F7">INDEX('Summarized Source Data'!$M$600:$M$743,MATCH(1,($A7=LoadFactorSeasons)*(F$1=LoadFactorHours),0),)</f>
        <v>9.3606302596304795E-5</v>
      </c>
      <c r="G7" s="7" cm="1">
        <f t="array" ref="G7">INDEX('Summarized Source Data'!$M$600:$M$743,MATCH(1,($A7=LoadFactorSeasons)*(G$1=LoadFactorHours),0),)</f>
        <v>1.479431689579349E-4</v>
      </c>
      <c r="H7" s="7" cm="1">
        <f t="array" ref="H7">INDEX('Summarized Source Data'!$M$600:$M$743,MATCH(1,($A7=LoadFactorSeasons)*(H$1=LoadFactorHours),0),)</f>
        <v>2.1614815142106882E-4</v>
      </c>
      <c r="I7" s="7" cm="1">
        <f t="array" ref="I7">INDEX('Summarized Source Data'!$M$600:$M$743,MATCH(1,($A7=LoadFactorSeasons)*(I$1=LoadFactorHours),0),)</f>
        <v>1.32234149673423E-4</v>
      </c>
      <c r="J7" s="7" cm="1">
        <f t="array" ref="J7">INDEX('Summarized Source Data'!$M$600:$M$743,MATCH(1,($A7=LoadFactorSeasons)*(J$1=LoadFactorHours),0),)</f>
        <v>1.1806620506555626E-4</v>
      </c>
      <c r="K7" s="7" cm="1">
        <f t="array" ref="K7">INDEX('Summarized Source Data'!$M$600:$M$743,MATCH(1,($A7=LoadFactorSeasons)*(K$1=LoadFactorHours),0),)</f>
        <v>1.2254029283646154E-4</v>
      </c>
      <c r="L7" s="7" cm="1">
        <f t="array" ref="L7">INDEX('Summarized Source Data'!$M$600:$M$743,MATCH(1,($A7=LoadFactorSeasons)*(L$1=LoadFactorHours),0),)</f>
        <v>1.2303741369989546E-4</v>
      </c>
      <c r="M7" s="7" cm="1">
        <f t="array" ref="M7">INDEX('Summarized Source Data'!$M$600:$M$743,MATCH(1,($A7=LoadFactorSeasons)*(M$1=LoadFactorHours),0),)</f>
        <v>1.309913475148382E-4</v>
      </c>
      <c r="N7" s="7" cm="1">
        <f t="array" ref="N7">INDEX('Summarized Source Data'!$M$600:$M$743,MATCH(1,($A7=LoadFactorSeasons)*(N$1=LoadFactorHours),0),)</f>
        <v>1.3496831442230954E-4</v>
      </c>
      <c r="O7" s="7" cm="1">
        <f t="array" ref="O7">INDEX('Summarized Source Data'!$M$600:$M$743,MATCH(1,($A7=LoadFactorSeasons)*(O$1=LoadFactorHours),0),)</f>
        <v>1.3496831442230954E-4</v>
      </c>
      <c r="P7" s="7" cm="1">
        <f t="array" ref="P7">INDEX('Summarized Source Data'!$M$600:$M$743,MATCH(1,($A7=LoadFactorSeasons)*(P$1=LoadFactorHours),0),)</f>
        <v>1.3397407269544174E-4</v>
      </c>
      <c r="Q7" s="7" cm="1">
        <f t="array" ref="Q7">INDEX('Summarized Source Data'!$M$600:$M$743,MATCH(1,($A7=LoadFactorSeasons)*(Q$1=LoadFactorHours),0),)</f>
        <v>1.3397407269544174E-4</v>
      </c>
      <c r="R7" s="7" cm="1">
        <f t="array" ref="R7">INDEX('Summarized Source Data'!$M$600:$M$743,MATCH(1,($A7=LoadFactorSeasons)*(R$1=LoadFactorHours),0),)</f>
        <v>1.8791168637802212E-4</v>
      </c>
      <c r="S7" s="7" cm="1">
        <f t="array" ref="S7">INDEX('Summarized Source Data'!$M$600:$M$743,MATCH(1,($A7=LoadFactorSeasons)*(S$1=LoadFactorHours),0),)</f>
        <v>4.8171011666746952E-4</v>
      </c>
      <c r="T7" s="7" cm="1">
        <f t="array" ref="T7">INDEX('Summarized Source Data'!$M$600:$M$743,MATCH(1,($A7=LoadFactorSeasons)*(T$1=LoadFactorHours),0),)</f>
        <v>5.0880320372461818E-4</v>
      </c>
      <c r="U7" s="7" cm="1">
        <f t="array" ref="U7">INDEX('Summarized Source Data'!$M$600:$M$743,MATCH(1,($A7=LoadFactorSeasons)*(U$1=LoadFactorHours),0),)</f>
        <v>5.3291356560116333E-4</v>
      </c>
      <c r="V7" s="7" cm="1">
        <f t="array" ref="V7">INDEX('Summarized Source Data'!$M$600:$M$743,MATCH(1,($A7=LoadFactorSeasons)*(V$1=LoadFactorHours),0),)</f>
        <v>5.2993084042055982E-4</v>
      </c>
      <c r="W7" s="7" cm="1">
        <f t="array" ref="W7">INDEX('Summarized Source Data'!$M$600:$M$743,MATCH(1,($A7=LoadFactorSeasons)*(W$1=LoadFactorHours),0),)</f>
        <v>4.382120411170014E-4</v>
      </c>
      <c r="X7" s="7" cm="1">
        <f t="array" ref="X7">INDEX('Summarized Source Data'!$M$600:$M$743,MATCH(1,($A7=LoadFactorSeasons)*(X$1=LoadFactorHours),0),)</f>
        <v>2.8286177129390106E-4</v>
      </c>
      <c r="Y7" s="7" cm="1">
        <f t="array" ref="Y7">INDEX('Summarized Source Data'!$M$600:$M$743,MATCH(1,($A7=LoadFactorSeasons)*(Y$1=LoadFactorHours),0),)</f>
        <v>1.5833299500370385E-4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6B3C-8B91-4643-B139-9FCA440C0A09}">
  <sheetPr codeName="Sheet19">
    <tabColor rgb="FF002060"/>
  </sheetPr>
  <dimension ref="A1:Y19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Data'!$N$600:$N$743,MATCH(1,($A2=LoadFactorSeasons)*(B$1=LoadFactorHours),0),)</f>
        <v>8.1669856135572734E-5</v>
      </c>
      <c r="C2" s="7" cm="1">
        <f t="array" ref="C2">INDEX('Summarized Source Data'!$N$600:$N$743,MATCH(1,($A2=LoadFactorSeasons)*(C$1=LoadFactorHours),0),)</f>
        <v>7.3556176792201482E-5</v>
      </c>
      <c r="D2" s="7" cm="1">
        <f t="array" ref="D2">INDEX('Summarized Source Data'!$N$600:$N$743,MATCH(1,($A2=LoadFactorSeasons)*(D$1=LoadFactorHours),0),)</f>
        <v>7.2159110927966517E-5</v>
      </c>
      <c r="E2" s="7" cm="1">
        <f t="array" ref="E2">INDEX('Summarized Source Data'!$N$600:$N$743,MATCH(1,($A2=LoadFactorSeasons)*(E$1=LoadFactorHours),0),)</f>
        <v>7.3202904952328779E-5</v>
      </c>
      <c r="F2" s="7" cm="1">
        <f t="array" ref="F2">INDEX('Summarized Source Data'!$N$600:$N$743,MATCH(1,($A2=LoadFactorSeasons)*(F$1=LoadFactorHours),0),)</f>
        <v>8.8174593151850187E-5</v>
      </c>
      <c r="G2" s="7" cm="1">
        <f t="array" ref="G2">INDEX('Summarized Source Data'!$N$600:$N$743,MATCH(1,($A2=LoadFactorSeasons)*(G$1=LoadFactorHours),0),)</f>
        <v>1.4033011802077542E-4</v>
      </c>
      <c r="H2" s="7" cm="1">
        <f t="array" ref="H2">INDEX('Summarized Source Data'!$N$600:$N$743,MATCH(1,($A2=LoadFactorSeasons)*(H$1=LoadFactorHours),0),)</f>
        <v>2.141880748738151E-4</v>
      </c>
      <c r="I2" s="7" cm="1">
        <f t="array" ref="I2">INDEX('Summarized Source Data'!$N$600:$N$743,MATCH(1,($A2=LoadFactorSeasons)*(I$1=LoadFactorHours),0),)</f>
        <v>1.0311707052943618E-4</v>
      </c>
      <c r="J2" s="7" cm="1">
        <f t="array" ref="J2">INDEX('Summarized Source Data'!$N$600:$N$743,MATCH(1,($A2=LoadFactorSeasons)*(J$1=LoadFactorHours),0),)</f>
        <v>8.0675614408704899E-5</v>
      </c>
      <c r="K2" s="7" cm="1">
        <f t="array" ref="K2">INDEX('Summarized Source Data'!$N$600:$N$743,MATCH(1,($A2=LoadFactorSeasons)*(K$1=LoadFactorHours),0),)</f>
        <v>8.0107476279066124E-5</v>
      </c>
      <c r="L2" s="7" cm="1">
        <f t="array" ref="L2">INDEX('Summarized Source Data'!$N$600:$N$743,MATCH(1,($A2=LoadFactorSeasons)*(L$1=LoadFactorHours),0),)</f>
        <v>8.0959683473524286E-5</v>
      </c>
      <c r="M2" s="7" cm="1">
        <f t="array" ref="M2">INDEX('Summarized Source Data'!$N$600:$N$743,MATCH(1,($A2=LoadFactorSeasons)*(M$1=LoadFactorHours),0),)</f>
        <v>8.7706323762984633E-5</v>
      </c>
      <c r="N2" s="7" cm="1">
        <f t="array" ref="N2">INDEX('Summarized Source Data'!$N$600:$N$743,MATCH(1,($A2=LoadFactorSeasons)*(N$1=LoadFactorHours),0),)</f>
        <v>9.1541256138046303E-5</v>
      </c>
      <c r="O2" s="7" cm="1">
        <f t="array" ref="O2">INDEX('Summarized Source Data'!$N$600:$N$743,MATCH(1,($A2=LoadFactorSeasons)*(O$1=LoadFactorHours),0),)</f>
        <v>9.2251428800094765E-5</v>
      </c>
      <c r="P2" s="7" cm="1">
        <f t="array" ref="P2">INDEX('Summarized Source Data'!$N$600:$N$743,MATCH(1,($A2=LoadFactorSeasons)*(P$1=LoadFactorHours),0),)</f>
        <v>9.3387705059372301E-5</v>
      </c>
      <c r="Q2" s="7" cm="1">
        <f t="array" ref="Q2">INDEX('Summarized Source Data'!$N$600:$N$743,MATCH(1,($A2=LoadFactorSeasons)*(Q$1=LoadFactorHours),0),)</f>
        <v>9.7861792830277602E-5</v>
      </c>
      <c r="R2" s="7" cm="1">
        <f t="array" ref="R2">INDEX('Summarized Source Data'!$N$600:$N$743,MATCH(1,($A2=LoadFactorSeasons)*(R$1=LoadFactorHours),0),)</f>
        <v>1.4224758420830624E-4</v>
      </c>
      <c r="S2" s="7" cm="1">
        <f t="array" ref="S2">INDEX('Summarized Source Data'!$N$600:$N$743,MATCH(1,($A2=LoadFactorSeasons)*(S$1=LoadFactorHours),0),)</f>
        <v>3.7390590656851346E-4</v>
      </c>
      <c r="T2" s="7" cm="1">
        <f t="array" ref="T2">INDEX('Summarized Source Data'!$N$600:$N$743,MATCH(1,($A2=LoadFactorSeasons)*(T$1=LoadFactorHours),0),)</f>
        <v>4.040882447055729E-4</v>
      </c>
      <c r="U2" s="7" cm="1">
        <f t="array" ref="U2">INDEX('Summarized Source Data'!$N$600:$N$743,MATCH(1,($A2=LoadFactorSeasons)*(U$1=LoadFactorHours),0),)</f>
        <v>4.3071971953239008E-4</v>
      </c>
      <c r="V2" s="7" cm="1">
        <f t="array" ref="V2">INDEX('Summarized Source Data'!$N$600:$N$743,MATCH(1,($A2=LoadFactorSeasons)*(V$1=LoadFactorHours),0),)</f>
        <v>4.3441261737504211E-4</v>
      </c>
      <c r="W2" s="7" cm="1">
        <f t="array" ref="W2">INDEX('Summarized Source Data'!$N$600:$N$743,MATCH(1,($A2=LoadFactorSeasons)*(W$1=LoadFactorHours),0),)</f>
        <v>3.5671972814694077E-4</v>
      </c>
      <c r="X2" s="7" cm="1">
        <f t="array" ref="X2">INDEX('Summarized Source Data'!$N$600:$N$743,MATCH(1,($A2=LoadFactorSeasons)*(X$1=LoadFactorHours),0),)</f>
        <v>2.1837809357990099E-4</v>
      </c>
      <c r="Y2" s="7" cm="1">
        <f t="array" ref="Y2">INDEX('Summarized Source Data'!$N$600:$N$743,MATCH(1,($A2=LoadFactorSeasons)*(Y$1=LoadFactorHours),0),)</f>
        <v>1.175335755690199E-4</v>
      </c>
    </row>
    <row r="3" spans="1:25" x14ac:dyDescent="0.3">
      <c r="A3" s="7" t="s">
        <v>164</v>
      </c>
      <c r="B3" s="7" cm="1">
        <f t="array" ref="B3">INDEX('Summarized Source Data'!$N$600:$N$743,MATCH(1,($A3=LoadFactorSeasons)*(B$1=LoadFactorHours),0),)</f>
        <v>5.6739011094924553E-5</v>
      </c>
      <c r="C3" s="7" cm="1">
        <f t="array" ref="C3">INDEX('Summarized Source Data'!$N$600:$N$743,MATCH(1,($A3=LoadFactorSeasons)*(C$1=LoadFactorHours),0),)</f>
        <v>5.1089136531495987E-5</v>
      </c>
      <c r="D3" s="7" cm="1">
        <f t="array" ref="D3">INDEX('Summarized Source Data'!$N$600:$N$743,MATCH(1,($A3=LoadFactorSeasons)*(D$1=LoadFactorHours),0),)</f>
        <v>5.011873259914929E-5</v>
      </c>
      <c r="E3" s="7" cm="1">
        <f t="array" ref="E3">INDEX('Summarized Source Data'!$N$600:$N$743,MATCH(1,($A3=LoadFactorSeasons)*(E$1=LoadFactorHours),0),)</f>
        <v>5.0868079079970465E-5</v>
      </c>
      <c r="F3" s="7" cm="1">
        <f t="array" ref="F3">INDEX('Summarized Source Data'!$N$600:$N$743,MATCH(1,($A3=LoadFactorSeasons)*(F$1=LoadFactorHours),0),)</f>
        <v>6.1311116819453087E-5</v>
      </c>
      <c r="G3" s="7" cm="1">
        <f t="array" ref="G3">INDEX('Summarized Source Data'!$N$600:$N$743,MATCH(1,($A3=LoadFactorSeasons)*(G$1=LoadFactorHours),0),)</f>
        <v>9.7540671278742612E-5</v>
      </c>
      <c r="H3" s="7" cm="1">
        <f t="array" ref="H3">INDEX('Summarized Source Data'!$N$600:$N$743,MATCH(1,($A3=LoadFactorSeasons)*(H$1=LoadFactorHours),0),)</f>
        <v>9.8756799197755502E-5</v>
      </c>
      <c r="I3" s="7" cm="1">
        <f t="array" ref="I3">INDEX('Summarized Source Data'!$N$600:$N$743,MATCH(1,($A3=LoadFactorSeasons)*(I$1=LoadFactorHours),0),)</f>
        <v>5.320154303055674E-5</v>
      </c>
      <c r="J3" s="7" cm="1">
        <f t="array" ref="J3">INDEX('Summarized Source Data'!$N$600:$N$743,MATCH(1,($A3=LoadFactorSeasons)*(J$1=LoadFactorHours),0),)</f>
        <v>5.6065043961499499E-5</v>
      </c>
      <c r="K3" s="7" cm="1">
        <f t="array" ref="K3">INDEX('Summarized Source Data'!$N$600:$N$743,MATCH(1,($A3=LoadFactorSeasons)*(K$1=LoadFactorHours),0),)</f>
        <v>5.5648203485949316E-5</v>
      </c>
      <c r="L3" s="7" cm="1">
        <f t="array" ref="L3">INDEX('Summarized Source Data'!$N$600:$N$743,MATCH(1,($A3=LoadFactorSeasons)*(L$1=LoadFactorHours),0),)</f>
        <v>5.6273464199274588E-5</v>
      </c>
      <c r="M3" s="7" cm="1">
        <f t="array" ref="M3">INDEX('Summarized Source Data'!$N$600:$N$743,MATCH(1,($A3=LoadFactorSeasons)*(M$1=LoadFactorHours),0),)</f>
        <v>6.085870943032659E-5</v>
      </c>
      <c r="N3" s="7" cm="1">
        <f t="array" ref="N3">INDEX('Summarized Source Data'!$N$600:$N$743,MATCH(1,($A3=LoadFactorSeasons)*(N$1=LoadFactorHours),0),)</f>
        <v>6.3637645933994471E-5</v>
      </c>
      <c r="O3" s="7" cm="1">
        <f t="array" ref="O3">INDEX('Summarized Source Data'!$N$600:$N$743,MATCH(1,($A3=LoadFactorSeasons)*(O$1=LoadFactorHours),0),)</f>
        <v>6.4054486409544648E-5</v>
      </c>
      <c r="P3" s="7" cm="1">
        <f t="array" ref="P3">INDEX('Summarized Source Data'!$N$600:$N$743,MATCH(1,($A3=LoadFactorSeasons)*(P$1=LoadFactorHours),0),)</f>
        <v>6.4818693948053319E-5</v>
      </c>
      <c r="Q3" s="7" cm="1">
        <f t="array" ref="Q3">INDEX('Summarized Source Data'!$N$600:$N$743,MATCH(1,($A3=LoadFactorSeasons)*(Q$1=LoadFactorHours),0),)</f>
        <v>6.7944997514679688E-5</v>
      </c>
      <c r="R3" s="7" cm="1">
        <f t="array" ref="R3">INDEX('Summarized Source Data'!$N$600:$N$743,MATCH(1,($A3=LoadFactorSeasons)*(R$1=LoadFactorHours),0),)</f>
        <v>7.3363923696832044E-5</v>
      </c>
      <c r="S3" s="7" cm="1">
        <f t="array" ref="S3">INDEX('Summarized Source Data'!$N$600:$N$743,MATCH(1,($A3=LoadFactorSeasons)*(S$1=LoadFactorHours),0),)</f>
        <v>1.7229406322740863E-4</v>
      </c>
      <c r="T3" s="7" cm="1">
        <f t="array" ref="T3">INDEX('Summarized Source Data'!$N$600:$N$743,MATCH(1,($A3=LoadFactorSeasons)*(T$1=LoadFactorHours),0),)</f>
        <v>2.8067258687045592E-4</v>
      </c>
      <c r="U3" s="7" cm="1">
        <f t="array" ref="U3">INDEX('Summarized Source Data'!$N$600:$N$743,MATCH(1,($A3=LoadFactorSeasons)*(U$1=LoadFactorHours),0),)</f>
        <v>2.9908304120725572E-4</v>
      </c>
      <c r="V3" s="7" cm="1">
        <f t="array" ref="V3">INDEX('Summarized Source Data'!$N$600:$N$743,MATCH(1,($A3=LoadFactorSeasons)*(V$1=LoadFactorHours),0),)</f>
        <v>3.0172303088574014E-4</v>
      </c>
      <c r="W3" s="7" cm="1">
        <f t="array" ref="W3">INDEX('Summarized Source Data'!$N$600:$N$743,MATCH(1,($A3=LoadFactorSeasons)*(W$1=LoadFactorHours),0),)</f>
        <v>2.4788113612717494E-4</v>
      </c>
      <c r="X3" s="7" cm="1">
        <f t="array" ref="X3">INDEX('Summarized Source Data'!$N$600:$N$743,MATCH(1,($A3=LoadFactorSeasons)*(X$1=LoadFactorHours),0),)</f>
        <v>1.5166045968767458E-4</v>
      </c>
      <c r="Y3" s="7" cm="1">
        <f t="array" ref="Y3">INDEX('Summarized Source Data'!$N$600:$N$743,MATCH(1,($A3=LoadFactorSeasons)*(Y$1=LoadFactorHours),0),)</f>
        <v>8.1631259795244011E-5</v>
      </c>
    </row>
    <row r="4" spans="1:25" x14ac:dyDescent="0.3">
      <c r="A4" s="7" t="s">
        <v>165</v>
      </c>
      <c r="B4" s="7" cm="1">
        <f t="array" ref="B4">INDEX('Summarized Source Data'!$N$600:$N$743,MATCH(1,($A4=LoadFactorSeasons)*(B$1=LoadFactorHours),0),)</f>
        <v>5.5722986751465388E-5</v>
      </c>
      <c r="C4" s="7" cm="1">
        <f t="array" ref="C4">INDEX('Summarized Source Data'!$N$600:$N$743,MATCH(1,($A4=LoadFactorSeasons)*(C$1=LoadFactorHours),0),)</f>
        <v>5.0178665227989765E-5</v>
      </c>
      <c r="D4" s="7" cm="1">
        <f t="array" ref="D4">INDEX('Summarized Source Data'!$N$600:$N$743,MATCH(1,($A4=LoadFactorSeasons)*(D$1=LoadFactorHours),0),)</f>
        <v>4.9289859208200277E-5</v>
      </c>
      <c r="E4" s="7" cm="1">
        <f t="array" ref="E4">INDEX('Summarized Source Data'!$N$600:$N$743,MATCH(1,($A4=LoadFactorSeasons)*(E$1=LoadFactorHours),0),)</f>
        <v>4.9970021285826127E-5</v>
      </c>
      <c r="F4" s="7" cm="1">
        <f t="array" ref="F4">INDEX('Summarized Source Data'!$N$600:$N$743,MATCH(1,($A4=LoadFactorSeasons)*(F$1=LoadFactorHours),0),)</f>
        <v>6.0256110249454599E-5</v>
      </c>
      <c r="G4" s="7" cm="1">
        <f t="array" ref="G4">INDEX('Summarized Source Data'!$N$600:$N$743,MATCH(1,($A4=LoadFactorSeasons)*(G$1=LoadFactorHours),0),)</f>
        <v>9.5942782789133573E-5</v>
      </c>
      <c r="H4" s="7" cm="1">
        <f t="array" ref="H4">INDEX('Summarized Source Data'!$N$600:$N$743,MATCH(1,($A4=LoadFactorSeasons)*(H$1=LoadFactorHours),0),)</f>
        <v>6.8361539254555728E-5</v>
      </c>
      <c r="I4" s="7" cm="1">
        <f t="array" ref="I4">INDEX('Summarized Source Data'!$N$600:$N$743,MATCH(1,($A4=LoadFactorSeasons)*(I$1=LoadFactorHours),0),)</f>
        <v>5.1586302166684683E-5</v>
      </c>
      <c r="J4" s="7" cm="1">
        <f t="array" ref="J4">INDEX('Summarized Source Data'!$N$600:$N$743,MATCH(1,($A4=LoadFactorSeasons)*(J$1=LoadFactorHours),0),)</f>
        <v>5.5022942772624037E-5</v>
      </c>
      <c r="K4" s="7" cm="1">
        <f t="array" ref="K4">INDEX('Summarized Source Data'!$N$600:$N$743,MATCH(1,($A4=LoadFactorSeasons)*(K$1=LoadFactorHours),0),)</f>
        <v>5.4675575709665556E-5</v>
      </c>
      <c r="L4" s="7" cm="1">
        <f t="array" ref="L4">INDEX('Summarized Source Data'!$N$600:$N$743,MATCH(1,($A4=LoadFactorSeasons)*(L$1=LoadFactorHours),0),)</f>
        <v>5.5300836422990828E-5</v>
      </c>
      <c r="M4" s="7" cm="1">
        <f t="array" ref="M4">INDEX('Summarized Source Data'!$N$600:$N$743,MATCH(1,($A4=LoadFactorSeasons)*(M$1=LoadFactorHours),0),)</f>
        <v>5.9747134828859438E-5</v>
      </c>
      <c r="N4" s="7" cm="1">
        <f t="array" ref="N4">INDEX('Summarized Source Data'!$N$600:$N$743,MATCH(1,($A4=LoadFactorSeasons)*(N$1=LoadFactorHours),0),)</f>
        <v>6.2456597919935622E-5</v>
      </c>
      <c r="O4" s="7" cm="1">
        <f t="array" ref="O4">INDEX('Summarized Source Data'!$N$600:$N$743,MATCH(1,($A4=LoadFactorSeasons)*(O$1=LoadFactorHours),0),)</f>
        <v>6.3081858633260901E-5</v>
      </c>
      <c r="P4" s="7" cm="1">
        <f t="array" ref="P4">INDEX('Summarized Source Data'!$N$600:$N$743,MATCH(1,($A4=LoadFactorSeasons)*(P$1=LoadFactorHours),0),)</f>
        <v>6.3568172521402761E-5</v>
      </c>
      <c r="Q4" s="7" cm="1">
        <f t="array" ref="Q4">INDEX('Summarized Source Data'!$N$600:$N$743,MATCH(1,($A4=LoadFactorSeasons)*(Q$1=LoadFactorHours),0),)</f>
        <v>6.6833422913212536E-5</v>
      </c>
      <c r="R4" s="7" cm="1">
        <f t="array" ref="R4">INDEX('Summarized Source Data'!$N$600:$N$743,MATCH(1,($A4=LoadFactorSeasons)*(R$1=LoadFactorHours),0),)</f>
        <v>7.1071301081306057E-5</v>
      </c>
      <c r="S4" s="7" cm="1">
        <f t="array" ref="S4">INDEX('Summarized Source Data'!$N$600:$N$743,MATCH(1,($A4=LoadFactorSeasons)*(S$1=LoadFactorHours),0),)</f>
        <v>1.1914690259476039E-4</v>
      </c>
      <c r="T4" s="7" cm="1">
        <f t="array" ref="T4">INDEX('Summarized Source Data'!$N$600:$N$743,MATCH(1,($A4=LoadFactorSeasons)*(T$1=LoadFactorHours),0),)</f>
        <v>2.7573997457644548E-4</v>
      </c>
      <c r="U4" s="7" cm="1">
        <f t="array" ref="U4">INDEX('Summarized Source Data'!$N$600:$N$743,MATCH(1,($A4=LoadFactorSeasons)*(U$1=LoadFactorHours),0),)</f>
        <v>2.9394200867547012E-4</v>
      </c>
      <c r="V4" s="7" cm="1">
        <f t="array" ref="V4">INDEX('Summarized Source Data'!$N$600:$N$743,MATCH(1,($A4=LoadFactorSeasons)*(V$1=LoadFactorHours),0),)</f>
        <v>2.9644305152877118E-4</v>
      </c>
      <c r="W4" s="7" cm="1">
        <f t="array" ref="W4">INDEX('Summarized Source Data'!$N$600:$N$743,MATCH(1,($A4=LoadFactorSeasons)*(W$1=LoadFactorHours),0),)</f>
        <v>2.4357378454648975E-4</v>
      </c>
      <c r="X4" s="7" cm="1">
        <f t="array" ref="X4">INDEX('Summarized Source Data'!$N$600:$N$743,MATCH(1,($A4=LoadFactorSeasons)*(X$1=LoadFactorHours),0),)</f>
        <v>1.4908994342178179E-4</v>
      </c>
      <c r="Y4" s="7" cm="1">
        <f t="array" ref="Y4">INDEX('Summarized Source Data'!$N$600:$N$743,MATCH(1,($A4=LoadFactorSeasons)*(Y$1=LoadFactorHours),0),)</f>
        <v>8.0241791543410047E-5</v>
      </c>
    </row>
    <row r="5" spans="1:25" x14ac:dyDescent="0.3">
      <c r="A5" s="7" t="s">
        <v>166</v>
      </c>
      <c r="B5" s="7" cm="1">
        <f t="array" ref="B5">INDEX('Summarized Source Data'!$N$600:$N$743,MATCH(1,($A5=LoadFactorSeasons)*(B$1=LoadFactorHours),0),)</f>
        <v>3.8700508034047311E-5</v>
      </c>
      <c r="C5" s="7" cm="1">
        <f t="array" ref="C5">INDEX('Summarized Source Data'!$N$600:$N$743,MATCH(1,($A5=LoadFactorSeasons)*(C$1=LoadFactorHours),0),)</f>
        <v>3.4788219594505821E-5</v>
      </c>
      <c r="D5" s="7" cm="1">
        <f t="array" ref="D5">INDEX('Summarized Source Data'!$N$600:$N$743,MATCH(1,($A5=LoadFactorSeasons)*(D$1=LoadFactorHours),0),)</f>
        <v>3.415187086345539E-5</v>
      </c>
      <c r="E5" s="7" cm="1">
        <f t="array" ref="E5">INDEX('Summarized Source Data'!$N$600:$N$743,MATCH(1,($A5=LoadFactorSeasons)*(E$1=LoadFactorHours),0),)</f>
        <v>3.4633376824992751E-5</v>
      </c>
      <c r="F5" s="7" cm="1">
        <f t="array" ref="F5">INDEX('Summarized Source Data'!$N$600:$N$743,MATCH(1,($A5=LoadFactorSeasons)*(F$1=LoadFactorHours),0),)</f>
        <v>4.1797455434590919E-5</v>
      </c>
      <c r="G5" s="7" cm="1">
        <f t="array" ref="G5">INDEX('Summarized Source Data'!$N$600:$N$743,MATCH(1,($A5=LoadFactorSeasons)*(G$1=LoadFactorHours),0),)</f>
        <v>6.6514303281747393E-5</v>
      </c>
      <c r="H5" s="7" cm="1">
        <f t="array" ref="H5">INDEX('Summarized Source Data'!$N$600:$N$743,MATCH(1,($A5=LoadFactorSeasons)*(H$1=LoadFactorHours),0),)</f>
        <v>8.6321096867230765E-5</v>
      </c>
      <c r="I5" s="7" cm="1">
        <f t="array" ref="I5">INDEX('Summarized Source Data'!$N$600:$N$743,MATCH(1,($A5=LoadFactorSeasons)*(I$1=LoadFactorHours),0),)</f>
        <v>3.7795937389946826E-5</v>
      </c>
      <c r="J5" s="7" cm="1">
        <f t="array" ref="J5">INDEX('Summarized Source Data'!$N$600:$N$743,MATCH(1,($A5=LoadFactorSeasons)*(J$1=LoadFactorHours),0),)</f>
        <v>3.8208850037244536E-5</v>
      </c>
      <c r="K5" s="7" cm="1">
        <f t="array" ref="K5">INDEX('Summarized Source Data'!$N$600:$N$743,MATCH(1,($A5=LoadFactorSeasons)*(K$1=LoadFactorHours),0),)</f>
        <v>3.7927902610500093E-5</v>
      </c>
      <c r="L5" s="7" cm="1">
        <f t="array" ref="L5">INDEX('Summarized Source Data'!$N$600:$N$743,MATCH(1,($A5=LoadFactorSeasons)*(L$1=LoadFactorHours),0),)</f>
        <v>3.8349323750616757E-5</v>
      </c>
      <c r="M5" s="7" cm="1">
        <f t="array" ref="M5">INDEX('Summarized Source Data'!$N$600:$N$743,MATCH(1,($A5=LoadFactorSeasons)*(M$1=LoadFactorHours),0),)</f>
        <v>4.1509982301491767E-5</v>
      </c>
      <c r="N5" s="7" cm="1">
        <f t="array" ref="N5">INDEX('Summarized Source Data'!$N$600:$N$743,MATCH(1,($A5=LoadFactorSeasons)*(N$1=LoadFactorHours),0),)</f>
        <v>4.3336140575330659E-5</v>
      </c>
      <c r="O5" s="7" cm="1">
        <f t="array" ref="O5">INDEX('Summarized Source Data'!$N$600:$N$743,MATCH(1,($A5=LoadFactorSeasons)*(O$1=LoadFactorHours),0),)</f>
        <v>4.3687324858761206E-5</v>
      </c>
      <c r="P5" s="7" cm="1">
        <f t="array" ref="P5">INDEX('Summarized Source Data'!$N$600:$N$743,MATCH(1,($A5=LoadFactorSeasons)*(P$1=LoadFactorHours),0),)</f>
        <v>4.4178982855563995E-5</v>
      </c>
      <c r="Q5" s="7" cm="1">
        <f t="array" ref="Q5">INDEX('Summarized Source Data'!$N$600:$N$743,MATCH(1,($A5=LoadFactorSeasons)*(Q$1=LoadFactorHours),0),)</f>
        <v>4.6356325412833447E-5</v>
      </c>
      <c r="R5" s="7" cm="1">
        <f t="array" ref="R5">INDEX('Summarized Source Data'!$N$600:$N$743,MATCH(1,($A5=LoadFactorSeasons)*(R$1=LoadFactorHours),0),)</f>
        <v>5.2045510804408449E-5</v>
      </c>
      <c r="S5" s="7" cm="1">
        <f t="array" ref="S5">INDEX('Summarized Source Data'!$N$600:$N$743,MATCH(1,($A5=LoadFactorSeasons)*(S$1=LoadFactorHours),0),)</f>
        <v>1.5065805759170868E-4</v>
      </c>
      <c r="T5" s="7" cm="1">
        <f t="array" ref="T5">INDEX('Summarized Source Data'!$N$600:$N$743,MATCH(1,($A5=LoadFactorSeasons)*(T$1=LoadFactorHours),0),)</f>
        <v>1.9132519761296709E-4</v>
      </c>
      <c r="U5" s="7" cm="1">
        <f t="array" ref="U5">INDEX('Summarized Source Data'!$N$600:$N$743,MATCH(1,($A5=LoadFactorSeasons)*(U$1=LoadFactorHours),0),)</f>
        <v>2.0389759495978104E-4</v>
      </c>
      <c r="V5" s="7" cm="1">
        <f t="array" ref="V5">INDEX('Summarized Source Data'!$N$600:$N$743,MATCH(1,($A5=LoadFactorSeasons)*(V$1=LoadFactorHours),0),)</f>
        <v>2.0565351637693384E-4</v>
      </c>
      <c r="W5" s="7" cm="1">
        <f t="array" ref="W5">INDEX('Summarized Source Data'!$N$600:$N$743,MATCH(1,($A5=LoadFactorSeasons)*(W$1=LoadFactorHours),0),)</f>
        <v>1.6891964033009761E-4</v>
      </c>
      <c r="X5" s="7" cm="1">
        <f t="array" ref="X5">INDEX('Summarized Source Data'!$N$600:$N$743,MATCH(1,($A5=LoadFactorSeasons)*(X$1=LoadFactorHours),0),)</f>
        <v>1.033886530419558E-4</v>
      </c>
      <c r="Y5" s="7" cm="1">
        <f t="array" ref="Y5">INDEX('Summarized Source Data'!$N$600:$N$743,MATCH(1,($A5=LoadFactorSeasons)*(Y$1=LoadFactorHours),0),)</f>
        <v>5.562759049540013E-5</v>
      </c>
    </row>
    <row r="6" spans="1:25" x14ac:dyDescent="0.3">
      <c r="A6" s="7" t="s">
        <v>172</v>
      </c>
      <c r="B6" s="7" cm="1">
        <f t="array" ref="B6">INDEX('Summarized Source Data'!$N$600:$N$743,MATCH(1,($A6=LoadFactorSeasons)*(B$1=LoadFactorHours),0),)</f>
        <v>7.247935381837535E-5</v>
      </c>
      <c r="C6" s="7" cm="1">
        <f t="array" ref="C6">INDEX('Summarized Source Data'!$N$600:$N$743,MATCH(1,($A6=LoadFactorSeasons)*(C$1=LoadFactorHours),0),)</f>
        <v>6.2557349304977295E-5</v>
      </c>
      <c r="D6" s="7" cm="1">
        <f t="array" ref="D6">INDEX('Summarized Source Data'!$N$600:$N$743,MATCH(1,($A6=LoadFactorSeasons)*(D$1=LoadFactorHours),0),)</f>
        <v>6.0419156011997807E-5</v>
      </c>
      <c r="E6" s="7" cm="1">
        <f t="array" ref="E6">INDEX('Summarized Source Data'!$N$600:$N$743,MATCH(1,($A6=LoadFactorSeasons)*(E$1=LoadFactorHours),0),)</f>
        <v>6.0368153842978933E-5</v>
      </c>
      <c r="F6" s="7" cm="1">
        <f t="array" ref="F6">INDEX('Summarized Source Data'!$N$600:$N$743,MATCH(1,($A6=LoadFactorSeasons)*(F$1=LoadFactorHours),0),)</f>
        <v>6.354327776610173E-5</v>
      </c>
      <c r="G6" s="7" cm="1">
        <f t="array" ref="G6">INDEX('Summarized Source Data'!$N$600:$N$743,MATCH(1,($A6=LoadFactorSeasons)*(G$1=LoadFactorHours),0),)</f>
        <v>1.013478142887676E-4</v>
      </c>
      <c r="H6" s="7" cm="1">
        <f t="array" ref="H6">INDEX('Summarized Source Data'!$N$600:$N$743,MATCH(1,($A6=LoadFactorSeasons)*(H$1=LoadFactorHours),0),)</f>
        <v>6.9153834893775215E-5</v>
      </c>
      <c r="I6" s="7" cm="1">
        <f t="array" ref="I6">INDEX('Summarized Source Data'!$N$600:$N$743,MATCH(1,($A6=LoadFactorSeasons)*(I$1=LoadFactorHours),0),)</f>
        <v>6.5781979981912933E-5</v>
      </c>
      <c r="J6" s="7" cm="1">
        <f t="array" ref="J6">INDEX('Summarized Source Data'!$N$600:$N$743,MATCH(1,($A6=LoadFactorSeasons)*(J$1=LoadFactorHours),0),)</f>
        <v>8.0241791543410074E-5</v>
      </c>
      <c r="K6" s="7" cm="1">
        <f t="array" ref="K6">INDEX('Summarized Source Data'!$N$600:$N$743,MATCH(1,($A6=LoadFactorSeasons)*(K$1=LoadFactorHours),0),)</f>
        <v>8.3159674872261341E-5</v>
      </c>
      <c r="L6" s="7" cm="1">
        <f t="array" ref="L6">INDEX('Summarized Source Data'!$N$600:$N$743,MATCH(1,($A6=LoadFactorSeasons)*(L$1=LoadFactorHours),0),)</f>
        <v>8.3645988760403214E-5</v>
      </c>
      <c r="M6" s="7" cm="1">
        <f t="array" ref="M6">INDEX('Summarized Source Data'!$N$600:$N$743,MATCH(1,($A6=LoadFactorSeasons)*(M$1=LoadFactorHours),0),)</f>
        <v>8.8752284585892957E-5</v>
      </c>
      <c r="N6" s="7" cm="1">
        <f t="array" ref="N6">INDEX('Summarized Source Data'!$N$600:$N$743,MATCH(1,($A6=LoadFactorSeasons)*(N$1=LoadFactorHours),0),)</f>
        <v>9.1913324858815167E-5</v>
      </c>
      <c r="O6" s="7" cm="1">
        <f t="array" ref="O6">INDEX('Summarized Source Data'!$N$600:$N$743,MATCH(1,($A6=LoadFactorSeasons)*(O$1=LoadFactorHours),0),)</f>
        <v>9.1913324858815167E-5</v>
      </c>
      <c r="P6" s="7" cm="1">
        <f t="array" ref="P6">INDEX('Summarized Source Data'!$N$600:$N$743,MATCH(1,($A6=LoadFactorSeasons)*(P$1=LoadFactorHours),0),)</f>
        <v>9.0697540138460464E-5</v>
      </c>
      <c r="Q6" s="7" cm="1">
        <f t="array" ref="Q6">INDEX('Summarized Source Data'!$N$600:$N$743,MATCH(1,($A6=LoadFactorSeasons)*(Q$1=LoadFactorHours),0),)</f>
        <v>9.1183854026602337E-5</v>
      </c>
      <c r="R6" s="7" cm="1">
        <f t="array" ref="R6">INDEX('Summarized Source Data'!$N$600:$N$743,MATCH(1,($A6=LoadFactorSeasons)*(R$1=LoadFactorHours),0),)</f>
        <v>9.3372266523240801E-5</v>
      </c>
      <c r="S6" s="7" cm="1">
        <f t="array" ref="S6">INDEX('Summarized Source Data'!$N$600:$N$743,MATCH(1,($A6=LoadFactorSeasons)*(S$1=LoadFactorHours),0),)</f>
        <v>1.5270256087655007E-4</v>
      </c>
      <c r="T6" s="7" cm="1">
        <f t="array" ref="T6">INDEX('Summarized Source Data'!$N$600:$N$743,MATCH(1,($A6=LoadFactorSeasons)*(T$1=LoadFactorHours),0),)</f>
        <v>3.452828605807342E-4</v>
      </c>
      <c r="U6" s="7" cm="1">
        <f t="array" ref="U6">INDEX('Summarized Source Data'!$N$600:$N$743,MATCH(1,($A6=LoadFactorSeasons)*(U$1=LoadFactorHours),0),)</f>
        <v>3.6181753277755814E-4</v>
      </c>
      <c r="V6" s="7" cm="1">
        <f t="array" ref="V6">INDEX('Summarized Source Data'!$N$600:$N$743,MATCH(1,($A6=LoadFactorSeasons)*(V$1=LoadFactorHours),0),)</f>
        <v>3.5987227722499064E-4</v>
      </c>
      <c r="W6" s="7" cm="1">
        <f t="array" ref="W6">INDEX('Summarized Source Data'!$N$600:$N$743,MATCH(1,($A6=LoadFactorSeasons)*(W$1=LoadFactorHours),0),)</f>
        <v>2.9762409954283006E-4</v>
      </c>
      <c r="X6" s="7" cm="1">
        <f t="array" ref="X6">INDEX('Summarized Source Data'!$N$600:$N$743,MATCH(1,($A6=LoadFactorSeasons)*(X$1=LoadFactorHours),0),)</f>
        <v>1.9209398581604227E-4</v>
      </c>
      <c r="Y6" s="7" cm="1">
        <f t="array" ref="Y6">INDEX('Summarized Source Data'!$N$600:$N$743,MATCH(1,($A6=LoadFactorSeasons)*(Y$1=LoadFactorHours),0),)</f>
        <v>1.0723221233528436E-4</v>
      </c>
    </row>
    <row r="7" spans="1:25" x14ac:dyDescent="0.3">
      <c r="A7" s="7" t="s">
        <v>171</v>
      </c>
      <c r="B7" s="7" cm="1">
        <f t="array" ref="B7">INDEX('Summarized Source Data'!$N$600:$N$743,MATCH(1,($A7=LoadFactorSeasons)*(B$1=LoadFactorHours),0),)</f>
        <v>1.0663242520657606E-4</v>
      </c>
      <c r="C7" s="7" cm="1">
        <f t="array" ref="C7">INDEX('Summarized Source Data'!$N$600:$N$743,MATCH(1,($A7=LoadFactorSeasons)*(C$1=LoadFactorHours),0),)</f>
        <v>9.2153931680926456E-5</v>
      </c>
      <c r="D7" s="7" cm="1">
        <f t="array" ref="D7">INDEX('Summarized Source Data'!$N$600:$N$743,MATCH(1,($A7=LoadFactorSeasons)*(D$1=LoadFactorHours),0),)</f>
        <v>8.9004124178122799E-5</v>
      </c>
      <c r="E7" s="7" cm="1">
        <f t="array" ref="E7">INDEX('Summarized Source Data'!$N$600:$N$743,MATCH(1,($A7=LoadFactorSeasons)*(E$1=LoadFactorHours),0),)</f>
        <v>8.8928996787636345E-5</v>
      </c>
      <c r="F7" s="7" cm="1">
        <f t="array" ref="F7">INDEX('Summarized Source Data'!$N$600:$N$743,MATCH(1,($A7=LoadFactorSeasons)*(F$1=LoadFactorHours),0),)</f>
        <v>9.3606302596304795E-5</v>
      </c>
      <c r="G7" s="7" cm="1">
        <f t="array" ref="G7">INDEX('Summarized Source Data'!$N$600:$N$743,MATCH(1,($A7=LoadFactorSeasons)*(G$1=LoadFactorHours),0),)</f>
        <v>1.479431689579349E-4</v>
      </c>
      <c r="H7" s="7" cm="1">
        <f t="array" ref="H7">INDEX('Summarized Source Data'!$N$600:$N$743,MATCH(1,($A7=LoadFactorSeasons)*(H$1=LoadFactorHours),0),)</f>
        <v>2.1614815142106882E-4</v>
      </c>
      <c r="I7" s="7" cm="1">
        <f t="array" ref="I7">INDEX('Summarized Source Data'!$N$600:$N$743,MATCH(1,($A7=LoadFactorSeasons)*(I$1=LoadFactorHours),0),)</f>
        <v>1.32234149673423E-4</v>
      </c>
      <c r="J7" s="7" cm="1">
        <f t="array" ref="J7">INDEX('Summarized Source Data'!$N$600:$N$743,MATCH(1,($A7=LoadFactorSeasons)*(J$1=LoadFactorHours),0),)</f>
        <v>1.1806620506555626E-4</v>
      </c>
      <c r="K7" s="7" cm="1">
        <f t="array" ref="K7">INDEX('Summarized Source Data'!$N$600:$N$743,MATCH(1,($A7=LoadFactorSeasons)*(K$1=LoadFactorHours),0),)</f>
        <v>1.2254029283646154E-4</v>
      </c>
      <c r="L7" s="7" cm="1">
        <f t="array" ref="L7">INDEX('Summarized Source Data'!$N$600:$N$743,MATCH(1,($A7=LoadFactorSeasons)*(L$1=LoadFactorHours),0),)</f>
        <v>1.2303741369989546E-4</v>
      </c>
      <c r="M7" s="7" cm="1">
        <f t="array" ref="M7">INDEX('Summarized Source Data'!$N$600:$N$743,MATCH(1,($A7=LoadFactorSeasons)*(M$1=LoadFactorHours),0),)</f>
        <v>1.309913475148382E-4</v>
      </c>
      <c r="N7" s="7" cm="1">
        <f t="array" ref="N7">INDEX('Summarized Source Data'!$N$600:$N$743,MATCH(1,($A7=LoadFactorSeasons)*(N$1=LoadFactorHours),0),)</f>
        <v>1.3496831442230954E-4</v>
      </c>
      <c r="O7" s="7" cm="1">
        <f t="array" ref="O7">INDEX('Summarized Source Data'!$N$600:$N$743,MATCH(1,($A7=LoadFactorSeasons)*(O$1=LoadFactorHours),0),)</f>
        <v>1.3496831442230954E-4</v>
      </c>
      <c r="P7" s="7" cm="1">
        <f t="array" ref="P7">INDEX('Summarized Source Data'!$N$600:$N$743,MATCH(1,($A7=LoadFactorSeasons)*(P$1=LoadFactorHours),0),)</f>
        <v>1.3397407269544174E-4</v>
      </c>
      <c r="Q7" s="7" cm="1">
        <f t="array" ref="Q7">INDEX('Summarized Source Data'!$N$600:$N$743,MATCH(1,($A7=LoadFactorSeasons)*(Q$1=LoadFactorHours),0),)</f>
        <v>1.3397407269544174E-4</v>
      </c>
      <c r="R7" s="7" cm="1">
        <f t="array" ref="R7">INDEX('Summarized Source Data'!$N$600:$N$743,MATCH(1,($A7=LoadFactorSeasons)*(R$1=LoadFactorHours),0),)</f>
        <v>1.8791168637802212E-4</v>
      </c>
      <c r="S7" s="7" cm="1">
        <f t="array" ref="S7">INDEX('Summarized Source Data'!$N$600:$N$743,MATCH(1,($A7=LoadFactorSeasons)*(S$1=LoadFactorHours),0),)</f>
        <v>4.8171011666746952E-4</v>
      </c>
      <c r="T7" s="7" cm="1">
        <f t="array" ref="T7">INDEX('Summarized Source Data'!$N$600:$N$743,MATCH(1,($A7=LoadFactorSeasons)*(T$1=LoadFactorHours),0),)</f>
        <v>5.0880320372461818E-4</v>
      </c>
      <c r="U7" s="7" cm="1">
        <f t="array" ref="U7">INDEX('Summarized Source Data'!$N$600:$N$743,MATCH(1,($A7=LoadFactorSeasons)*(U$1=LoadFactorHours),0),)</f>
        <v>5.3291356560116333E-4</v>
      </c>
      <c r="V7" s="7" cm="1">
        <f t="array" ref="V7">INDEX('Summarized Source Data'!$N$600:$N$743,MATCH(1,($A7=LoadFactorSeasons)*(V$1=LoadFactorHours),0),)</f>
        <v>5.2993084042055982E-4</v>
      </c>
      <c r="W7" s="7" cm="1">
        <f t="array" ref="W7">INDEX('Summarized Source Data'!$N$600:$N$743,MATCH(1,($A7=LoadFactorSeasons)*(W$1=LoadFactorHours),0),)</f>
        <v>4.382120411170014E-4</v>
      </c>
      <c r="X7" s="7" cm="1">
        <f t="array" ref="X7">INDEX('Summarized Source Data'!$N$600:$N$743,MATCH(1,($A7=LoadFactorSeasons)*(X$1=LoadFactorHours),0),)</f>
        <v>2.8286177129390106E-4</v>
      </c>
      <c r="Y7" s="7" cm="1">
        <f t="array" ref="Y7">INDEX('Summarized Source Data'!$N$600:$N$743,MATCH(1,($A7=LoadFactorSeasons)*(Y$1=LoadFactorHours),0),)</f>
        <v>1.5833299500370385E-4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B4C7-AEAF-44C1-B07C-F31C2CAF4A8C}">
  <sheetPr codeName="Sheet20">
    <tabColor rgb="FF002060"/>
  </sheetPr>
  <dimension ref="A1:Y19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Data'!$O$600:$O$743,MATCH(1,($A2=LoadFactorSeasons)*(B$1=LoadFactorHours),0),)</f>
        <v>8.1669856135572734E-5</v>
      </c>
      <c r="C2" s="7" cm="1">
        <f t="array" ref="C2">INDEX('Summarized Source Data'!$O$600:$O$743,MATCH(1,($A2=LoadFactorSeasons)*(C$1=LoadFactorHours),0),)</f>
        <v>7.3556176792201482E-5</v>
      </c>
      <c r="D2" s="7" cm="1">
        <f t="array" ref="D2">INDEX('Summarized Source Data'!$O$600:$O$743,MATCH(1,($A2=LoadFactorSeasons)*(D$1=LoadFactorHours),0),)</f>
        <v>7.2159110927966517E-5</v>
      </c>
      <c r="E2" s="7" cm="1">
        <f t="array" ref="E2">INDEX('Summarized Source Data'!$O$600:$O$743,MATCH(1,($A2=LoadFactorSeasons)*(E$1=LoadFactorHours),0),)</f>
        <v>7.3202904952328779E-5</v>
      </c>
      <c r="F2" s="7" cm="1">
        <f t="array" ref="F2">INDEX('Summarized Source Data'!$O$600:$O$743,MATCH(1,($A2=LoadFactorSeasons)*(F$1=LoadFactorHours),0),)</f>
        <v>8.8174593151850187E-5</v>
      </c>
      <c r="G2" s="7" cm="1">
        <f t="array" ref="G2">INDEX('Summarized Source Data'!$O$600:$O$743,MATCH(1,($A2=LoadFactorSeasons)*(G$1=LoadFactorHours),0),)</f>
        <v>1.4033011802077542E-4</v>
      </c>
      <c r="H2" s="7" cm="1">
        <f t="array" ref="H2">INDEX('Summarized Source Data'!$O$600:$O$743,MATCH(1,($A2=LoadFactorSeasons)*(H$1=LoadFactorHours),0),)</f>
        <v>2.141880748738151E-4</v>
      </c>
      <c r="I2" s="7" cm="1">
        <f t="array" ref="I2">INDEX('Summarized Source Data'!$O$600:$O$743,MATCH(1,($A2=LoadFactorSeasons)*(I$1=LoadFactorHours),0),)</f>
        <v>1.0311707052943618E-4</v>
      </c>
      <c r="J2" s="7" cm="1">
        <f t="array" ref="J2">INDEX('Summarized Source Data'!$O$600:$O$743,MATCH(1,($A2=LoadFactorSeasons)*(J$1=LoadFactorHours),0),)</f>
        <v>8.0675614408704899E-5</v>
      </c>
      <c r="K2" s="7" cm="1">
        <f t="array" ref="K2">INDEX('Summarized Source Data'!$O$600:$O$743,MATCH(1,($A2=LoadFactorSeasons)*(K$1=LoadFactorHours),0),)</f>
        <v>8.0107476279066124E-5</v>
      </c>
      <c r="L2" s="7" cm="1">
        <f t="array" ref="L2">INDEX('Summarized Source Data'!$O$600:$O$743,MATCH(1,($A2=LoadFactorSeasons)*(L$1=LoadFactorHours),0),)</f>
        <v>8.0959683473524286E-5</v>
      </c>
      <c r="M2" s="7" cm="1">
        <f t="array" ref="M2">INDEX('Summarized Source Data'!$O$600:$O$743,MATCH(1,($A2=LoadFactorSeasons)*(M$1=LoadFactorHours),0),)</f>
        <v>8.7706323762984633E-5</v>
      </c>
      <c r="N2" s="7" cm="1">
        <f t="array" ref="N2">INDEX('Summarized Source Data'!$O$600:$O$743,MATCH(1,($A2=LoadFactorSeasons)*(N$1=LoadFactorHours),0),)</f>
        <v>9.1541256138046303E-5</v>
      </c>
      <c r="O2" s="7" cm="1">
        <f t="array" ref="O2">INDEX('Summarized Source Data'!$O$600:$O$743,MATCH(1,($A2=LoadFactorSeasons)*(O$1=LoadFactorHours),0),)</f>
        <v>9.2251428800094765E-5</v>
      </c>
      <c r="P2" s="7" cm="1">
        <f t="array" ref="P2">INDEX('Summarized Source Data'!$O$600:$O$743,MATCH(1,($A2=LoadFactorSeasons)*(P$1=LoadFactorHours),0),)</f>
        <v>9.3387705059372301E-5</v>
      </c>
      <c r="Q2" s="7" cm="1">
        <f t="array" ref="Q2">INDEX('Summarized Source Data'!$O$600:$O$743,MATCH(1,($A2=LoadFactorSeasons)*(Q$1=LoadFactorHours),0),)</f>
        <v>9.7861792830277602E-5</v>
      </c>
      <c r="R2" s="7" cm="1">
        <f t="array" ref="R2">INDEX('Summarized Source Data'!$O$600:$O$743,MATCH(1,($A2=LoadFactorSeasons)*(R$1=LoadFactorHours),0),)</f>
        <v>1.4224758420830624E-4</v>
      </c>
      <c r="S2" s="7" cm="1">
        <f t="array" ref="S2">INDEX('Summarized Source Data'!$O$600:$O$743,MATCH(1,($A2=LoadFactorSeasons)*(S$1=LoadFactorHours),0),)</f>
        <v>3.7390590656851346E-4</v>
      </c>
      <c r="T2" s="7" cm="1">
        <f t="array" ref="T2">INDEX('Summarized Source Data'!$O$600:$O$743,MATCH(1,($A2=LoadFactorSeasons)*(T$1=LoadFactorHours),0),)</f>
        <v>4.040882447055729E-4</v>
      </c>
      <c r="U2" s="7" cm="1">
        <f t="array" ref="U2">INDEX('Summarized Source Data'!$O$600:$O$743,MATCH(1,($A2=LoadFactorSeasons)*(U$1=LoadFactorHours),0),)</f>
        <v>4.3071971953239008E-4</v>
      </c>
      <c r="V2" s="7" cm="1">
        <f t="array" ref="V2">INDEX('Summarized Source Data'!$O$600:$O$743,MATCH(1,($A2=LoadFactorSeasons)*(V$1=LoadFactorHours),0),)</f>
        <v>4.3441261737504211E-4</v>
      </c>
      <c r="W2" s="7" cm="1">
        <f t="array" ref="W2">INDEX('Summarized Source Data'!$O$600:$O$743,MATCH(1,($A2=LoadFactorSeasons)*(W$1=LoadFactorHours),0),)</f>
        <v>3.5671972814694077E-4</v>
      </c>
      <c r="X2" s="7" cm="1">
        <f t="array" ref="X2">INDEX('Summarized Source Data'!$O$600:$O$743,MATCH(1,($A2=LoadFactorSeasons)*(X$1=LoadFactorHours),0),)</f>
        <v>2.1837809357990099E-4</v>
      </c>
      <c r="Y2" s="7" cm="1">
        <f t="array" ref="Y2">INDEX('Summarized Source Data'!$O$600:$O$743,MATCH(1,($A2=LoadFactorSeasons)*(Y$1=LoadFactorHours),0),)</f>
        <v>1.175335755690199E-4</v>
      </c>
    </row>
    <row r="3" spans="1:25" x14ac:dyDescent="0.3">
      <c r="A3" s="7" t="s">
        <v>164</v>
      </c>
      <c r="B3" s="7" cm="1">
        <f t="array" ref="B3">INDEX('Summarized Source Data'!$O$600:$O$743,MATCH(1,($A3=LoadFactorSeasons)*(B$1=LoadFactorHours),0),)</f>
        <v>5.6739011094924553E-5</v>
      </c>
      <c r="C3" s="7" cm="1">
        <f t="array" ref="C3">INDEX('Summarized Source Data'!$O$600:$O$743,MATCH(1,($A3=LoadFactorSeasons)*(C$1=LoadFactorHours),0),)</f>
        <v>5.1089136531495987E-5</v>
      </c>
      <c r="D3" s="7" cm="1">
        <f t="array" ref="D3">INDEX('Summarized Source Data'!$O$600:$O$743,MATCH(1,($A3=LoadFactorSeasons)*(D$1=LoadFactorHours),0),)</f>
        <v>5.011873259914929E-5</v>
      </c>
      <c r="E3" s="7" cm="1">
        <f t="array" ref="E3">INDEX('Summarized Source Data'!$O$600:$O$743,MATCH(1,($A3=LoadFactorSeasons)*(E$1=LoadFactorHours),0),)</f>
        <v>5.0868079079970465E-5</v>
      </c>
      <c r="F3" s="7" cm="1">
        <f t="array" ref="F3">INDEX('Summarized Source Data'!$O$600:$O$743,MATCH(1,($A3=LoadFactorSeasons)*(F$1=LoadFactorHours),0),)</f>
        <v>6.1311116819453087E-5</v>
      </c>
      <c r="G3" s="7" cm="1">
        <f t="array" ref="G3">INDEX('Summarized Source Data'!$O$600:$O$743,MATCH(1,($A3=LoadFactorSeasons)*(G$1=LoadFactorHours),0),)</f>
        <v>9.7540671278742612E-5</v>
      </c>
      <c r="H3" s="7" cm="1">
        <f t="array" ref="H3">INDEX('Summarized Source Data'!$O$600:$O$743,MATCH(1,($A3=LoadFactorSeasons)*(H$1=LoadFactorHours),0),)</f>
        <v>9.8756799197755502E-5</v>
      </c>
      <c r="I3" s="7" cm="1">
        <f t="array" ref="I3">INDEX('Summarized Source Data'!$O$600:$O$743,MATCH(1,($A3=LoadFactorSeasons)*(I$1=LoadFactorHours),0),)</f>
        <v>5.320154303055674E-5</v>
      </c>
      <c r="J3" s="7" cm="1">
        <f t="array" ref="J3">INDEX('Summarized Source Data'!$O$600:$O$743,MATCH(1,($A3=LoadFactorSeasons)*(J$1=LoadFactorHours),0),)</f>
        <v>5.6065043961499499E-5</v>
      </c>
      <c r="K3" s="7" cm="1">
        <f t="array" ref="K3">INDEX('Summarized Source Data'!$O$600:$O$743,MATCH(1,($A3=LoadFactorSeasons)*(K$1=LoadFactorHours),0),)</f>
        <v>5.5648203485949316E-5</v>
      </c>
      <c r="L3" s="7" cm="1">
        <f t="array" ref="L3">INDEX('Summarized Source Data'!$O$600:$O$743,MATCH(1,($A3=LoadFactorSeasons)*(L$1=LoadFactorHours),0),)</f>
        <v>5.6273464199274588E-5</v>
      </c>
      <c r="M3" s="7" cm="1">
        <f t="array" ref="M3">INDEX('Summarized Source Data'!$O$600:$O$743,MATCH(1,($A3=LoadFactorSeasons)*(M$1=LoadFactorHours),0),)</f>
        <v>6.085870943032659E-5</v>
      </c>
      <c r="N3" s="7" cm="1">
        <f t="array" ref="N3">INDEX('Summarized Source Data'!$O$600:$O$743,MATCH(1,($A3=LoadFactorSeasons)*(N$1=LoadFactorHours),0),)</f>
        <v>6.3637645933994471E-5</v>
      </c>
      <c r="O3" s="7" cm="1">
        <f t="array" ref="O3">INDEX('Summarized Source Data'!$O$600:$O$743,MATCH(1,($A3=LoadFactorSeasons)*(O$1=LoadFactorHours),0),)</f>
        <v>6.4054486409544648E-5</v>
      </c>
      <c r="P3" s="7" cm="1">
        <f t="array" ref="P3">INDEX('Summarized Source Data'!$O$600:$O$743,MATCH(1,($A3=LoadFactorSeasons)*(P$1=LoadFactorHours),0),)</f>
        <v>6.4818693948053319E-5</v>
      </c>
      <c r="Q3" s="7" cm="1">
        <f t="array" ref="Q3">INDEX('Summarized Source Data'!$O$600:$O$743,MATCH(1,($A3=LoadFactorSeasons)*(Q$1=LoadFactorHours),0),)</f>
        <v>6.7944997514679688E-5</v>
      </c>
      <c r="R3" s="7" cm="1">
        <f t="array" ref="R3">INDEX('Summarized Source Data'!$O$600:$O$743,MATCH(1,($A3=LoadFactorSeasons)*(R$1=LoadFactorHours),0),)</f>
        <v>7.3363923696832044E-5</v>
      </c>
      <c r="S3" s="7" cm="1">
        <f t="array" ref="S3">INDEX('Summarized Source Data'!$O$600:$O$743,MATCH(1,($A3=LoadFactorSeasons)*(S$1=LoadFactorHours),0),)</f>
        <v>1.7229406322740863E-4</v>
      </c>
      <c r="T3" s="7" cm="1">
        <f t="array" ref="T3">INDEX('Summarized Source Data'!$O$600:$O$743,MATCH(1,($A3=LoadFactorSeasons)*(T$1=LoadFactorHours),0),)</f>
        <v>2.8067258687045592E-4</v>
      </c>
      <c r="U3" s="7" cm="1">
        <f t="array" ref="U3">INDEX('Summarized Source Data'!$O$600:$O$743,MATCH(1,($A3=LoadFactorSeasons)*(U$1=LoadFactorHours),0),)</f>
        <v>2.9908304120725572E-4</v>
      </c>
      <c r="V3" s="7" cm="1">
        <f t="array" ref="V3">INDEX('Summarized Source Data'!$O$600:$O$743,MATCH(1,($A3=LoadFactorSeasons)*(V$1=LoadFactorHours),0),)</f>
        <v>3.0172303088574014E-4</v>
      </c>
      <c r="W3" s="7" cm="1">
        <f t="array" ref="W3">INDEX('Summarized Source Data'!$O$600:$O$743,MATCH(1,($A3=LoadFactorSeasons)*(W$1=LoadFactorHours),0),)</f>
        <v>2.4788113612717494E-4</v>
      </c>
      <c r="X3" s="7" cm="1">
        <f t="array" ref="X3">INDEX('Summarized Source Data'!$O$600:$O$743,MATCH(1,($A3=LoadFactorSeasons)*(X$1=LoadFactorHours),0),)</f>
        <v>1.5166045968767458E-4</v>
      </c>
      <c r="Y3" s="7" cm="1">
        <f t="array" ref="Y3">INDEX('Summarized Source Data'!$O$600:$O$743,MATCH(1,($A3=LoadFactorSeasons)*(Y$1=LoadFactorHours),0),)</f>
        <v>8.1631259795244011E-5</v>
      </c>
    </row>
    <row r="4" spans="1:25" x14ac:dyDescent="0.3">
      <c r="A4" s="7" t="s">
        <v>165</v>
      </c>
      <c r="B4" s="7" cm="1">
        <f t="array" ref="B4">INDEX('Summarized Source Data'!$O$600:$O$743,MATCH(1,($A4=LoadFactorSeasons)*(B$1=LoadFactorHours),0),)</f>
        <v>5.5722986751465388E-5</v>
      </c>
      <c r="C4" s="7" cm="1">
        <f t="array" ref="C4">INDEX('Summarized Source Data'!$O$600:$O$743,MATCH(1,($A4=LoadFactorSeasons)*(C$1=LoadFactorHours),0),)</f>
        <v>5.0178665227989765E-5</v>
      </c>
      <c r="D4" s="7" cm="1">
        <f t="array" ref="D4">INDEX('Summarized Source Data'!$O$600:$O$743,MATCH(1,($A4=LoadFactorSeasons)*(D$1=LoadFactorHours),0),)</f>
        <v>4.9289859208200277E-5</v>
      </c>
      <c r="E4" s="7" cm="1">
        <f t="array" ref="E4">INDEX('Summarized Source Data'!$O$600:$O$743,MATCH(1,($A4=LoadFactorSeasons)*(E$1=LoadFactorHours),0),)</f>
        <v>4.9970021285826127E-5</v>
      </c>
      <c r="F4" s="7" cm="1">
        <f t="array" ref="F4">INDEX('Summarized Source Data'!$O$600:$O$743,MATCH(1,($A4=LoadFactorSeasons)*(F$1=LoadFactorHours),0),)</f>
        <v>6.0256110249454599E-5</v>
      </c>
      <c r="G4" s="7" cm="1">
        <f t="array" ref="G4">INDEX('Summarized Source Data'!$O$600:$O$743,MATCH(1,($A4=LoadFactorSeasons)*(G$1=LoadFactorHours),0),)</f>
        <v>9.5942782789133573E-5</v>
      </c>
      <c r="H4" s="7" cm="1">
        <f t="array" ref="H4">INDEX('Summarized Source Data'!$O$600:$O$743,MATCH(1,($A4=LoadFactorSeasons)*(H$1=LoadFactorHours),0),)</f>
        <v>6.8361539254555728E-5</v>
      </c>
      <c r="I4" s="7" cm="1">
        <f t="array" ref="I4">INDEX('Summarized Source Data'!$O$600:$O$743,MATCH(1,($A4=LoadFactorSeasons)*(I$1=LoadFactorHours),0),)</f>
        <v>5.1586302166684683E-5</v>
      </c>
      <c r="J4" s="7" cm="1">
        <f t="array" ref="J4">INDEX('Summarized Source Data'!$O$600:$O$743,MATCH(1,($A4=LoadFactorSeasons)*(J$1=LoadFactorHours),0),)</f>
        <v>5.5022942772624037E-5</v>
      </c>
      <c r="K4" s="7" cm="1">
        <f t="array" ref="K4">INDEX('Summarized Source Data'!$O$600:$O$743,MATCH(1,($A4=LoadFactorSeasons)*(K$1=LoadFactorHours),0),)</f>
        <v>5.4675575709665556E-5</v>
      </c>
      <c r="L4" s="7" cm="1">
        <f t="array" ref="L4">INDEX('Summarized Source Data'!$O$600:$O$743,MATCH(1,($A4=LoadFactorSeasons)*(L$1=LoadFactorHours),0),)</f>
        <v>5.5300836422990828E-5</v>
      </c>
      <c r="M4" s="7" cm="1">
        <f t="array" ref="M4">INDEX('Summarized Source Data'!$O$600:$O$743,MATCH(1,($A4=LoadFactorSeasons)*(M$1=LoadFactorHours),0),)</f>
        <v>5.9747134828859438E-5</v>
      </c>
      <c r="N4" s="7" cm="1">
        <f t="array" ref="N4">INDEX('Summarized Source Data'!$O$600:$O$743,MATCH(1,($A4=LoadFactorSeasons)*(N$1=LoadFactorHours),0),)</f>
        <v>6.2456597919935622E-5</v>
      </c>
      <c r="O4" s="7" cm="1">
        <f t="array" ref="O4">INDEX('Summarized Source Data'!$O$600:$O$743,MATCH(1,($A4=LoadFactorSeasons)*(O$1=LoadFactorHours),0),)</f>
        <v>6.3081858633260901E-5</v>
      </c>
      <c r="P4" s="7" cm="1">
        <f t="array" ref="P4">INDEX('Summarized Source Data'!$O$600:$O$743,MATCH(1,($A4=LoadFactorSeasons)*(P$1=LoadFactorHours),0),)</f>
        <v>6.3568172521402761E-5</v>
      </c>
      <c r="Q4" s="7" cm="1">
        <f t="array" ref="Q4">INDEX('Summarized Source Data'!$O$600:$O$743,MATCH(1,($A4=LoadFactorSeasons)*(Q$1=LoadFactorHours),0),)</f>
        <v>6.6833422913212536E-5</v>
      </c>
      <c r="R4" s="7" cm="1">
        <f t="array" ref="R4">INDEX('Summarized Source Data'!$O$600:$O$743,MATCH(1,($A4=LoadFactorSeasons)*(R$1=LoadFactorHours),0),)</f>
        <v>7.1071301081306057E-5</v>
      </c>
      <c r="S4" s="7" cm="1">
        <f t="array" ref="S4">INDEX('Summarized Source Data'!$O$600:$O$743,MATCH(1,($A4=LoadFactorSeasons)*(S$1=LoadFactorHours),0),)</f>
        <v>1.1914690259476039E-4</v>
      </c>
      <c r="T4" s="7" cm="1">
        <f t="array" ref="T4">INDEX('Summarized Source Data'!$O$600:$O$743,MATCH(1,($A4=LoadFactorSeasons)*(T$1=LoadFactorHours),0),)</f>
        <v>2.7573997457644548E-4</v>
      </c>
      <c r="U4" s="7" cm="1">
        <f t="array" ref="U4">INDEX('Summarized Source Data'!$O$600:$O$743,MATCH(1,($A4=LoadFactorSeasons)*(U$1=LoadFactorHours),0),)</f>
        <v>2.9394200867547012E-4</v>
      </c>
      <c r="V4" s="7" cm="1">
        <f t="array" ref="V4">INDEX('Summarized Source Data'!$O$600:$O$743,MATCH(1,($A4=LoadFactorSeasons)*(V$1=LoadFactorHours),0),)</f>
        <v>2.9644305152877118E-4</v>
      </c>
      <c r="W4" s="7" cm="1">
        <f t="array" ref="W4">INDEX('Summarized Source Data'!$O$600:$O$743,MATCH(1,($A4=LoadFactorSeasons)*(W$1=LoadFactorHours),0),)</f>
        <v>2.4357378454648975E-4</v>
      </c>
      <c r="X4" s="7" cm="1">
        <f t="array" ref="X4">INDEX('Summarized Source Data'!$O$600:$O$743,MATCH(1,($A4=LoadFactorSeasons)*(X$1=LoadFactorHours),0),)</f>
        <v>1.4908994342178179E-4</v>
      </c>
      <c r="Y4" s="7" cm="1">
        <f t="array" ref="Y4">INDEX('Summarized Source Data'!$O$600:$O$743,MATCH(1,($A4=LoadFactorSeasons)*(Y$1=LoadFactorHours),0),)</f>
        <v>8.0241791543410047E-5</v>
      </c>
    </row>
    <row r="5" spans="1:25" x14ac:dyDescent="0.3">
      <c r="A5" s="7" t="s">
        <v>166</v>
      </c>
      <c r="B5" s="7" cm="1">
        <f t="array" ref="B5">INDEX('Summarized Source Data'!$O$600:$O$743,MATCH(1,($A5=LoadFactorSeasons)*(B$1=LoadFactorHours),0),)</f>
        <v>3.8700508034047311E-5</v>
      </c>
      <c r="C5" s="7" cm="1">
        <f t="array" ref="C5">INDEX('Summarized Source Data'!$O$600:$O$743,MATCH(1,($A5=LoadFactorSeasons)*(C$1=LoadFactorHours),0),)</f>
        <v>3.4788219594505821E-5</v>
      </c>
      <c r="D5" s="7" cm="1">
        <f t="array" ref="D5">INDEX('Summarized Source Data'!$O$600:$O$743,MATCH(1,($A5=LoadFactorSeasons)*(D$1=LoadFactorHours),0),)</f>
        <v>3.415187086345539E-5</v>
      </c>
      <c r="E5" s="7" cm="1">
        <f t="array" ref="E5">INDEX('Summarized Source Data'!$O$600:$O$743,MATCH(1,($A5=LoadFactorSeasons)*(E$1=LoadFactorHours),0),)</f>
        <v>3.4633376824992751E-5</v>
      </c>
      <c r="F5" s="7" cm="1">
        <f t="array" ref="F5">INDEX('Summarized Source Data'!$O$600:$O$743,MATCH(1,($A5=LoadFactorSeasons)*(F$1=LoadFactorHours),0),)</f>
        <v>4.1797455434590919E-5</v>
      </c>
      <c r="G5" s="7" cm="1">
        <f t="array" ref="G5">INDEX('Summarized Source Data'!$O$600:$O$743,MATCH(1,($A5=LoadFactorSeasons)*(G$1=LoadFactorHours),0),)</f>
        <v>6.6514303281747393E-5</v>
      </c>
      <c r="H5" s="7" cm="1">
        <f t="array" ref="H5">INDEX('Summarized Source Data'!$O$600:$O$743,MATCH(1,($A5=LoadFactorSeasons)*(H$1=LoadFactorHours),0),)</f>
        <v>8.6321096867230765E-5</v>
      </c>
      <c r="I5" s="7" cm="1">
        <f t="array" ref="I5">INDEX('Summarized Source Data'!$O$600:$O$743,MATCH(1,($A5=LoadFactorSeasons)*(I$1=LoadFactorHours),0),)</f>
        <v>3.7795937389946826E-5</v>
      </c>
      <c r="J5" s="7" cm="1">
        <f t="array" ref="J5">INDEX('Summarized Source Data'!$O$600:$O$743,MATCH(1,($A5=LoadFactorSeasons)*(J$1=LoadFactorHours),0),)</f>
        <v>3.8208850037244536E-5</v>
      </c>
      <c r="K5" s="7" cm="1">
        <f t="array" ref="K5">INDEX('Summarized Source Data'!$O$600:$O$743,MATCH(1,($A5=LoadFactorSeasons)*(K$1=LoadFactorHours),0),)</f>
        <v>3.7927902610500093E-5</v>
      </c>
      <c r="L5" s="7" cm="1">
        <f t="array" ref="L5">INDEX('Summarized Source Data'!$O$600:$O$743,MATCH(1,($A5=LoadFactorSeasons)*(L$1=LoadFactorHours),0),)</f>
        <v>3.8349323750616757E-5</v>
      </c>
      <c r="M5" s="7" cm="1">
        <f t="array" ref="M5">INDEX('Summarized Source Data'!$O$600:$O$743,MATCH(1,($A5=LoadFactorSeasons)*(M$1=LoadFactorHours),0),)</f>
        <v>4.1509982301491767E-5</v>
      </c>
      <c r="N5" s="7" cm="1">
        <f t="array" ref="N5">INDEX('Summarized Source Data'!$O$600:$O$743,MATCH(1,($A5=LoadFactorSeasons)*(N$1=LoadFactorHours),0),)</f>
        <v>4.3336140575330659E-5</v>
      </c>
      <c r="O5" s="7" cm="1">
        <f t="array" ref="O5">INDEX('Summarized Source Data'!$O$600:$O$743,MATCH(1,($A5=LoadFactorSeasons)*(O$1=LoadFactorHours),0),)</f>
        <v>4.3687324858761206E-5</v>
      </c>
      <c r="P5" s="7" cm="1">
        <f t="array" ref="P5">INDEX('Summarized Source Data'!$O$600:$O$743,MATCH(1,($A5=LoadFactorSeasons)*(P$1=LoadFactorHours),0),)</f>
        <v>4.4178982855563995E-5</v>
      </c>
      <c r="Q5" s="7" cm="1">
        <f t="array" ref="Q5">INDEX('Summarized Source Data'!$O$600:$O$743,MATCH(1,($A5=LoadFactorSeasons)*(Q$1=LoadFactorHours),0),)</f>
        <v>4.6356325412833447E-5</v>
      </c>
      <c r="R5" s="7" cm="1">
        <f t="array" ref="R5">INDEX('Summarized Source Data'!$O$600:$O$743,MATCH(1,($A5=LoadFactorSeasons)*(R$1=LoadFactorHours),0),)</f>
        <v>5.2045510804408449E-5</v>
      </c>
      <c r="S5" s="7" cm="1">
        <f t="array" ref="S5">INDEX('Summarized Source Data'!$O$600:$O$743,MATCH(1,($A5=LoadFactorSeasons)*(S$1=LoadFactorHours),0),)</f>
        <v>1.5065805759170868E-4</v>
      </c>
      <c r="T5" s="7" cm="1">
        <f t="array" ref="T5">INDEX('Summarized Source Data'!$O$600:$O$743,MATCH(1,($A5=LoadFactorSeasons)*(T$1=LoadFactorHours),0),)</f>
        <v>1.9132519761296709E-4</v>
      </c>
      <c r="U5" s="7" cm="1">
        <f t="array" ref="U5">INDEX('Summarized Source Data'!$O$600:$O$743,MATCH(1,($A5=LoadFactorSeasons)*(U$1=LoadFactorHours),0),)</f>
        <v>2.0389759495978104E-4</v>
      </c>
      <c r="V5" s="7" cm="1">
        <f t="array" ref="V5">INDEX('Summarized Source Data'!$O$600:$O$743,MATCH(1,($A5=LoadFactorSeasons)*(V$1=LoadFactorHours),0),)</f>
        <v>2.0565351637693384E-4</v>
      </c>
      <c r="W5" s="7" cm="1">
        <f t="array" ref="W5">INDEX('Summarized Source Data'!$O$600:$O$743,MATCH(1,($A5=LoadFactorSeasons)*(W$1=LoadFactorHours),0),)</f>
        <v>1.6891964033009761E-4</v>
      </c>
      <c r="X5" s="7" cm="1">
        <f t="array" ref="X5">INDEX('Summarized Source Data'!$O$600:$O$743,MATCH(1,($A5=LoadFactorSeasons)*(X$1=LoadFactorHours),0),)</f>
        <v>1.033886530419558E-4</v>
      </c>
      <c r="Y5" s="7" cm="1">
        <f t="array" ref="Y5">INDEX('Summarized Source Data'!$O$600:$O$743,MATCH(1,($A5=LoadFactorSeasons)*(Y$1=LoadFactorHours),0),)</f>
        <v>5.562759049540013E-5</v>
      </c>
    </row>
    <row r="6" spans="1:25" x14ac:dyDescent="0.3">
      <c r="A6" s="7" t="s">
        <v>172</v>
      </c>
      <c r="B6" s="7" cm="1">
        <f t="array" ref="B6">INDEX('Summarized Source Data'!$O$600:$O$743,MATCH(1,($A6=LoadFactorSeasons)*(B$1=LoadFactorHours),0),)</f>
        <v>7.247935381837535E-5</v>
      </c>
      <c r="C6" s="7" cm="1">
        <f t="array" ref="C6">INDEX('Summarized Source Data'!$O$600:$O$743,MATCH(1,($A6=LoadFactorSeasons)*(C$1=LoadFactorHours),0),)</f>
        <v>6.2557349304977295E-5</v>
      </c>
      <c r="D6" s="7" cm="1">
        <f t="array" ref="D6">INDEX('Summarized Source Data'!$O$600:$O$743,MATCH(1,($A6=LoadFactorSeasons)*(D$1=LoadFactorHours),0),)</f>
        <v>6.0419156011997807E-5</v>
      </c>
      <c r="E6" s="7" cm="1">
        <f t="array" ref="E6">INDEX('Summarized Source Data'!$O$600:$O$743,MATCH(1,($A6=LoadFactorSeasons)*(E$1=LoadFactorHours),0),)</f>
        <v>6.0368153842978933E-5</v>
      </c>
      <c r="F6" s="7" cm="1">
        <f t="array" ref="F6">INDEX('Summarized Source Data'!$O$600:$O$743,MATCH(1,($A6=LoadFactorSeasons)*(F$1=LoadFactorHours),0),)</f>
        <v>6.354327776610173E-5</v>
      </c>
      <c r="G6" s="7" cm="1">
        <f t="array" ref="G6">INDEX('Summarized Source Data'!$O$600:$O$743,MATCH(1,($A6=LoadFactorSeasons)*(G$1=LoadFactorHours),0),)</f>
        <v>1.013478142887676E-4</v>
      </c>
      <c r="H6" s="7" cm="1">
        <f t="array" ref="H6">INDEX('Summarized Source Data'!$O$600:$O$743,MATCH(1,($A6=LoadFactorSeasons)*(H$1=LoadFactorHours),0),)</f>
        <v>6.9153834893775215E-5</v>
      </c>
      <c r="I6" s="7" cm="1">
        <f t="array" ref="I6">INDEX('Summarized Source Data'!$O$600:$O$743,MATCH(1,($A6=LoadFactorSeasons)*(I$1=LoadFactorHours),0),)</f>
        <v>6.5781979981912933E-5</v>
      </c>
      <c r="J6" s="7" cm="1">
        <f t="array" ref="J6">INDEX('Summarized Source Data'!$O$600:$O$743,MATCH(1,($A6=LoadFactorSeasons)*(J$1=LoadFactorHours),0),)</f>
        <v>8.0241791543410074E-5</v>
      </c>
      <c r="K6" s="7" cm="1">
        <f t="array" ref="K6">INDEX('Summarized Source Data'!$O$600:$O$743,MATCH(1,($A6=LoadFactorSeasons)*(K$1=LoadFactorHours),0),)</f>
        <v>8.3159674872261341E-5</v>
      </c>
      <c r="L6" s="7" cm="1">
        <f t="array" ref="L6">INDEX('Summarized Source Data'!$O$600:$O$743,MATCH(1,($A6=LoadFactorSeasons)*(L$1=LoadFactorHours),0),)</f>
        <v>8.3645988760403214E-5</v>
      </c>
      <c r="M6" s="7" cm="1">
        <f t="array" ref="M6">INDEX('Summarized Source Data'!$O$600:$O$743,MATCH(1,($A6=LoadFactorSeasons)*(M$1=LoadFactorHours),0),)</f>
        <v>8.8752284585892957E-5</v>
      </c>
      <c r="N6" s="7" cm="1">
        <f t="array" ref="N6">INDEX('Summarized Source Data'!$O$600:$O$743,MATCH(1,($A6=LoadFactorSeasons)*(N$1=LoadFactorHours),0),)</f>
        <v>9.1913324858815167E-5</v>
      </c>
      <c r="O6" s="7" cm="1">
        <f t="array" ref="O6">INDEX('Summarized Source Data'!$O$600:$O$743,MATCH(1,($A6=LoadFactorSeasons)*(O$1=LoadFactorHours),0),)</f>
        <v>9.1913324858815167E-5</v>
      </c>
      <c r="P6" s="7" cm="1">
        <f t="array" ref="P6">INDEX('Summarized Source Data'!$O$600:$O$743,MATCH(1,($A6=LoadFactorSeasons)*(P$1=LoadFactorHours),0),)</f>
        <v>9.0697540138460464E-5</v>
      </c>
      <c r="Q6" s="7" cm="1">
        <f t="array" ref="Q6">INDEX('Summarized Source Data'!$O$600:$O$743,MATCH(1,($A6=LoadFactorSeasons)*(Q$1=LoadFactorHours),0),)</f>
        <v>9.1183854026602337E-5</v>
      </c>
      <c r="R6" s="7" cm="1">
        <f t="array" ref="R6">INDEX('Summarized Source Data'!$O$600:$O$743,MATCH(1,($A6=LoadFactorSeasons)*(R$1=LoadFactorHours),0),)</f>
        <v>9.3372266523240801E-5</v>
      </c>
      <c r="S6" s="7" cm="1">
        <f t="array" ref="S6">INDEX('Summarized Source Data'!$O$600:$O$743,MATCH(1,($A6=LoadFactorSeasons)*(S$1=LoadFactorHours),0),)</f>
        <v>1.5270256087655007E-4</v>
      </c>
      <c r="T6" s="7" cm="1">
        <f t="array" ref="T6">INDEX('Summarized Source Data'!$O$600:$O$743,MATCH(1,($A6=LoadFactorSeasons)*(T$1=LoadFactorHours),0),)</f>
        <v>3.452828605807342E-4</v>
      </c>
      <c r="U6" s="7" cm="1">
        <f t="array" ref="U6">INDEX('Summarized Source Data'!$O$600:$O$743,MATCH(1,($A6=LoadFactorSeasons)*(U$1=LoadFactorHours),0),)</f>
        <v>3.6181753277755814E-4</v>
      </c>
      <c r="V6" s="7" cm="1">
        <f t="array" ref="V6">INDEX('Summarized Source Data'!$O$600:$O$743,MATCH(1,($A6=LoadFactorSeasons)*(V$1=LoadFactorHours),0),)</f>
        <v>3.5987227722499064E-4</v>
      </c>
      <c r="W6" s="7" cm="1">
        <f t="array" ref="W6">INDEX('Summarized Source Data'!$O$600:$O$743,MATCH(1,($A6=LoadFactorSeasons)*(W$1=LoadFactorHours),0),)</f>
        <v>2.9762409954283006E-4</v>
      </c>
      <c r="X6" s="7" cm="1">
        <f t="array" ref="X6">INDEX('Summarized Source Data'!$O$600:$O$743,MATCH(1,($A6=LoadFactorSeasons)*(X$1=LoadFactorHours),0),)</f>
        <v>1.9209398581604227E-4</v>
      </c>
      <c r="Y6" s="7" cm="1">
        <f t="array" ref="Y6">INDEX('Summarized Source Data'!$O$600:$O$743,MATCH(1,($A6=LoadFactorSeasons)*(Y$1=LoadFactorHours),0),)</f>
        <v>1.0723221233528436E-4</v>
      </c>
    </row>
    <row r="7" spans="1:25" x14ac:dyDescent="0.3">
      <c r="A7" s="7" t="s">
        <v>171</v>
      </c>
      <c r="B7" s="7" cm="1">
        <f t="array" ref="B7">INDEX('Summarized Source Data'!$O$600:$O$743,MATCH(1,($A7=LoadFactorSeasons)*(B$1=LoadFactorHours),0),)</f>
        <v>1.0663242520657606E-4</v>
      </c>
      <c r="C7" s="7" cm="1">
        <f t="array" ref="C7">INDEX('Summarized Source Data'!$O$600:$O$743,MATCH(1,($A7=LoadFactorSeasons)*(C$1=LoadFactorHours),0),)</f>
        <v>9.2153931680926456E-5</v>
      </c>
      <c r="D7" s="7" cm="1">
        <f t="array" ref="D7">INDEX('Summarized Source Data'!$O$600:$O$743,MATCH(1,($A7=LoadFactorSeasons)*(D$1=LoadFactorHours),0),)</f>
        <v>8.9004124178122799E-5</v>
      </c>
      <c r="E7" s="7" cm="1">
        <f t="array" ref="E7">INDEX('Summarized Source Data'!$O$600:$O$743,MATCH(1,($A7=LoadFactorSeasons)*(E$1=LoadFactorHours),0),)</f>
        <v>8.8928996787636345E-5</v>
      </c>
      <c r="F7" s="7" cm="1">
        <f t="array" ref="F7">INDEX('Summarized Source Data'!$O$600:$O$743,MATCH(1,($A7=LoadFactorSeasons)*(F$1=LoadFactorHours),0),)</f>
        <v>9.3606302596304795E-5</v>
      </c>
      <c r="G7" s="7" cm="1">
        <f t="array" ref="G7">INDEX('Summarized Source Data'!$O$600:$O$743,MATCH(1,($A7=LoadFactorSeasons)*(G$1=LoadFactorHours),0),)</f>
        <v>1.479431689579349E-4</v>
      </c>
      <c r="H7" s="7" cm="1">
        <f t="array" ref="H7">INDEX('Summarized Source Data'!$O$600:$O$743,MATCH(1,($A7=LoadFactorSeasons)*(H$1=LoadFactorHours),0),)</f>
        <v>2.1614815142106882E-4</v>
      </c>
      <c r="I7" s="7" cm="1">
        <f t="array" ref="I7">INDEX('Summarized Source Data'!$O$600:$O$743,MATCH(1,($A7=LoadFactorSeasons)*(I$1=LoadFactorHours),0),)</f>
        <v>1.32234149673423E-4</v>
      </c>
      <c r="J7" s="7" cm="1">
        <f t="array" ref="J7">INDEX('Summarized Source Data'!$O$600:$O$743,MATCH(1,($A7=LoadFactorSeasons)*(J$1=LoadFactorHours),0),)</f>
        <v>1.1806620506555626E-4</v>
      </c>
      <c r="K7" s="7" cm="1">
        <f t="array" ref="K7">INDEX('Summarized Source Data'!$O$600:$O$743,MATCH(1,($A7=LoadFactorSeasons)*(K$1=LoadFactorHours),0),)</f>
        <v>1.2254029283646154E-4</v>
      </c>
      <c r="L7" s="7" cm="1">
        <f t="array" ref="L7">INDEX('Summarized Source Data'!$O$600:$O$743,MATCH(1,($A7=LoadFactorSeasons)*(L$1=LoadFactorHours),0),)</f>
        <v>1.2303741369989546E-4</v>
      </c>
      <c r="M7" s="7" cm="1">
        <f t="array" ref="M7">INDEX('Summarized Source Data'!$O$600:$O$743,MATCH(1,($A7=LoadFactorSeasons)*(M$1=LoadFactorHours),0),)</f>
        <v>1.309913475148382E-4</v>
      </c>
      <c r="N7" s="7" cm="1">
        <f t="array" ref="N7">INDEX('Summarized Source Data'!$O$600:$O$743,MATCH(1,($A7=LoadFactorSeasons)*(N$1=LoadFactorHours),0),)</f>
        <v>1.3496831442230954E-4</v>
      </c>
      <c r="O7" s="7" cm="1">
        <f t="array" ref="O7">INDEX('Summarized Source Data'!$O$600:$O$743,MATCH(1,($A7=LoadFactorSeasons)*(O$1=LoadFactorHours),0),)</f>
        <v>1.3496831442230954E-4</v>
      </c>
      <c r="P7" s="7" cm="1">
        <f t="array" ref="P7">INDEX('Summarized Source Data'!$O$600:$O$743,MATCH(1,($A7=LoadFactorSeasons)*(P$1=LoadFactorHours),0),)</f>
        <v>1.3397407269544174E-4</v>
      </c>
      <c r="Q7" s="7" cm="1">
        <f t="array" ref="Q7">INDEX('Summarized Source Data'!$O$600:$O$743,MATCH(1,($A7=LoadFactorSeasons)*(Q$1=LoadFactorHours),0),)</f>
        <v>1.3397407269544174E-4</v>
      </c>
      <c r="R7" s="7" cm="1">
        <f t="array" ref="R7">INDEX('Summarized Source Data'!$O$600:$O$743,MATCH(1,($A7=LoadFactorSeasons)*(R$1=LoadFactorHours),0),)</f>
        <v>1.8791168637802212E-4</v>
      </c>
      <c r="S7" s="7" cm="1">
        <f t="array" ref="S7">INDEX('Summarized Source Data'!$O$600:$O$743,MATCH(1,($A7=LoadFactorSeasons)*(S$1=LoadFactorHours),0),)</f>
        <v>4.8171011666746952E-4</v>
      </c>
      <c r="T7" s="7" cm="1">
        <f t="array" ref="T7">INDEX('Summarized Source Data'!$O$600:$O$743,MATCH(1,($A7=LoadFactorSeasons)*(T$1=LoadFactorHours),0),)</f>
        <v>5.0880320372461818E-4</v>
      </c>
      <c r="U7" s="7" cm="1">
        <f t="array" ref="U7">INDEX('Summarized Source Data'!$O$600:$O$743,MATCH(1,($A7=LoadFactorSeasons)*(U$1=LoadFactorHours),0),)</f>
        <v>5.3291356560116333E-4</v>
      </c>
      <c r="V7" s="7" cm="1">
        <f t="array" ref="V7">INDEX('Summarized Source Data'!$O$600:$O$743,MATCH(1,($A7=LoadFactorSeasons)*(V$1=LoadFactorHours),0),)</f>
        <v>5.2993084042055982E-4</v>
      </c>
      <c r="W7" s="7" cm="1">
        <f t="array" ref="W7">INDEX('Summarized Source Data'!$O$600:$O$743,MATCH(1,($A7=LoadFactorSeasons)*(W$1=LoadFactorHours),0),)</f>
        <v>4.382120411170014E-4</v>
      </c>
      <c r="X7" s="7" cm="1">
        <f t="array" ref="X7">INDEX('Summarized Source Data'!$O$600:$O$743,MATCH(1,($A7=LoadFactorSeasons)*(X$1=LoadFactorHours),0),)</f>
        <v>2.8286177129390106E-4</v>
      </c>
      <c r="Y7" s="7" cm="1">
        <f t="array" ref="Y7">INDEX('Summarized Source Data'!$O$600:$O$743,MATCH(1,($A7=LoadFactorSeasons)*(Y$1=LoadFactorHours),0),)</f>
        <v>1.5833299500370385E-4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3DC2-C1AE-4985-90F8-3D04658CF446}">
  <sheetPr codeName="Sheet21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Data'!$P$600:$P$743,MATCH(1,($A2=LoadFactorSeasons)*(B$1=LoadFactorHours),0),)</f>
        <v>8.6142606431415422E-5</v>
      </c>
      <c r="C2" s="7" cm="1">
        <f t="array" ref="C2">INDEX('Summarized Source Data'!$P$600:$P$743,MATCH(1,($A2=LoadFactorSeasons)*(C$1=LoadFactorHours),0),)</f>
        <v>8.5793561889286086E-5</v>
      </c>
      <c r="D2" s="7" cm="1">
        <f t="array" ref="D2">INDEX('Summarized Source Data'!$P$600:$P$743,MATCH(1,($A2=LoadFactorSeasons)*(D$1=LoadFactorHours),0),)</f>
        <v>8.5738032075765504E-5</v>
      </c>
      <c r="E2" s="7" cm="1">
        <f t="array" ref="E2">INDEX('Summarized Source Data'!$P$600:$P$743,MATCH(1,($A2=LoadFactorSeasons)*(E$1=LoadFactorHours),0),)</f>
        <v>8.5738032075765504E-5</v>
      </c>
      <c r="F2" s="7" cm="1">
        <f t="array" ref="F2">INDEX('Summarized Source Data'!$P$600:$P$743,MATCH(1,($A2=LoadFactorSeasons)*(F$1=LoadFactorHours),0),)</f>
        <v>8.57142335842567E-5</v>
      </c>
      <c r="G2" s="7" cm="1">
        <f t="array" ref="G2">INDEX('Summarized Source Data'!$P$600:$P$743,MATCH(1,($A2=LoadFactorSeasons)*(G$1=LoadFactorHours),0),)</f>
        <v>8.5904621516327251E-5</v>
      </c>
      <c r="H2" s="7" cm="1">
        <f t="array" ref="H2">INDEX('Summarized Source Data'!$P$600:$P$743,MATCH(1,($A2=LoadFactorSeasons)*(H$1=LoadFactorHours),0),)</f>
        <v>1.177232046636159E-4</v>
      </c>
      <c r="I2" s="7" cm="1">
        <f t="array" ref="I2">INDEX('Summarized Source Data'!$P$600:$P$743,MATCH(1,($A2=LoadFactorSeasons)*(I$1=LoadFactorHours),0),)</f>
        <v>2.1053732154800305E-4</v>
      </c>
      <c r="J2" s="7" cm="1">
        <f t="array" ref="J2">INDEX('Summarized Source Data'!$P$600:$P$743,MATCH(1,($A2=LoadFactorSeasons)*(J$1=LoadFactorHours),0),)</f>
        <v>2.1942209171129482E-4</v>
      </c>
      <c r="K2" s="7" cm="1">
        <f t="array" ref="K2">INDEX('Summarized Source Data'!$P$600:$P$743,MATCH(1,($A2=LoadFactorSeasons)*(K$1=LoadFactorHours),0),)</f>
        <v>2.0760217426191559E-4</v>
      </c>
      <c r="L2" s="7" cm="1">
        <f t="array" ref="L2">INDEX('Summarized Source Data'!$P$600:$P$743,MATCH(1,($A2=LoadFactorSeasons)*(L$1=LoadFactorHours),0),)</f>
        <v>1.8388301105812778E-4</v>
      </c>
      <c r="M2" s="7" cm="1">
        <f t="array" ref="M2">INDEX('Summarized Source Data'!$P$600:$P$743,MATCH(1,($A2=LoadFactorSeasons)*(M$1=LoadFactorHours),0),)</f>
        <v>1.8420032427824532E-4</v>
      </c>
      <c r="N2" s="7" cm="1">
        <f t="array" ref="N2">INDEX('Summarized Source Data'!$P$600:$P$743,MATCH(1,($A2=LoadFactorSeasons)*(N$1=LoadFactorHours),0),)</f>
        <v>1.8245510156759872E-4</v>
      </c>
      <c r="O2" s="7" cm="1">
        <f t="array" ref="O2">INDEX('Summarized Source Data'!$P$600:$P$743,MATCH(1,($A2=LoadFactorSeasons)*(O$1=LoadFactorHours),0),)</f>
        <v>1.781713730960116E-4</v>
      </c>
      <c r="P2" s="7" cm="1">
        <f t="array" ref="P2">INDEX('Summarized Source Data'!$P$600:$P$743,MATCH(1,($A2=LoadFactorSeasons)*(P$1=LoadFactorHours),0),)</f>
        <v>1.7785405987589406E-4</v>
      </c>
      <c r="Q2" s="7" cm="1">
        <f t="array" ref="Q2">INDEX('Summarized Source Data'!$P$600:$P$743,MATCH(1,($A2=LoadFactorSeasons)*(Q$1=LoadFactorHours),0),)</f>
        <v>2.0276314765512278E-4</v>
      </c>
      <c r="R2" s="7" cm="1">
        <f t="array" ref="R2">INDEX('Summarized Source Data'!$P$600:$P$743,MATCH(1,($A2=LoadFactorSeasons)*(R$1=LoadFactorHours),0),)</f>
        <v>2.299727562802038E-4</v>
      </c>
      <c r="S2" s="7" cm="1">
        <f t="array" ref="S2">INDEX('Summarized Source Data'!$P$600:$P$743,MATCH(1,($A2=LoadFactorSeasons)*(S$1=LoadFactorHours),0),)</f>
        <v>2.3140066577073286E-4</v>
      </c>
      <c r="T2" s="7" cm="1">
        <f t="array" ref="T2">INDEX('Summarized Source Data'!$P$600:$P$743,MATCH(1,($A2=LoadFactorSeasons)*(T$1=LoadFactorHours),0),)</f>
        <v>2.1561433306988408E-4</v>
      </c>
      <c r="U2" s="7" cm="1">
        <f t="array" ref="U2">INDEX('Summarized Source Data'!$P$600:$P$743,MATCH(1,($A2=LoadFactorSeasons)*(U$1=LoadFactorHours),0),)</f>
        <v>1.8935666410515575E-4</v>
      </c>
      <c r="V2" s="7" cm="1">
        <f t="array" ref="V2">INDEX('Summarized Source Data'!$P$600:$P$743,MATCH(1,($A2=LoadFactorSeasons)*(V$1=LoadFactorHours),0),)</f>
        <v>1.8737345647942095E-4</v>
      </c>
      <c r="W2" s="7" cm="1">
        <f t="array" ref="W2">INDEX('Summarized Source Data'!$P$600:$P$743,MATCH(1,($A2=LoadFactorSeasons)*(W$1=LoadFactorHours),0),)</f>
        <v>1.8602487529392129E-4</v>
      </c>
      <c r="X2" s="7" cm="1">
        <f t="array" ref="X2">INDEX('Summarized Source Data'!$P$600:$P$743,MATCH(1,($A2=LoadFactorSeasons)*(X$1=LoadFactorHours),0),)</f>
        <v>1.8499360732853926E-4</v>
      </c>
      <c r="Y2" s="7" cm="1">
        <f t="array" ref="Y2">INDEX('Summarized Source Data'!$P$600:$P$743,MATCH(1,($A2=LoadFactorSeasons)*(Y$1=LoadFactorHours),0),)</f>
        <v>1.2422812567602592E-4</v>
      </c>
    </row>
    <row r="3" spans="1:25" x14ac:dyDescent="0.3">
      <c r="A3" s="7" t="s">
        <v>164</v>
      </c>
      <c r="B3" s="7" cm="1">
        <f t="array" ref="B3">INDEX('Summarized Source Data'!$P$600:$P$743,MATCH(1,($A3=LoadFactorSeasons)*(B$1=LoadFactorHours),0),)</f>
        <v>5.8955589127984047E-5</v>
      </c>
      <c r="C3" s="7" cm="1">
        <f t="array" ref="C3">INDEX('Summarized Source Data'!$P$600:$P$743,MATCH(1,($A3=LoadFactorSeasons)*(C$1=LoadFactorHours),0),)</f>
        <v>5.8738298553338321E-5</v>
      </c>
      <c r="D3" s="7" cm="1">
        <f t="array" ref="D3">INDEX('Summarized Source Data'!$P$600:$P$743,MATCH(1,($A3=LoadFactorSeasons)*(D$1=LoadFactorHours),0),)</f>
        <v>5.869949666500873E-5</v>
      </c>
      <c r="E3" s="7" cm="1">
        <f t="array" ref="E3">INDEX('Summarized Source Data'!$P$600:$P$743,MATCH(1,($A3=LoadFactorSeasons)*(E$1=LoadFactorHours),0),)</f>
        <v>5.869949666500873E-5</v>
      </c>
      <c r="F3" s="7" cm="1">
        <f t="array" ref="F3">INDEX('Summarized Source Data'!$P$600:$P$743,MATCH(1,($A3=LoadFactorSeasons)*(F$1=LoadFactorHours),0),)</f>
        <v>5.8683975909676896E-5</v>
      </c>
      <c r="G3" s="7" cm="1">
        <f t="array" ref="G3">INDEX('Summarized Source Data'!$P$600:$P$743,MATCH(1,($A3=LoadFactorSeasons)*(G$1=LoadFactorHours),0),)</f>
        <v>5.8777100441667926E-5</v>
      </c>
      <c r="H3" s="7" cm="1">
        <f t="array" ref="H3">INDEX('Summarized Source Data'!$P$600:$P$743,MATCH(1,($A3=LoadFactorSeasons)*(H$1=LoadFactorHours),0),)</f>
        <v>8.0630323948894882E-5</v>
      </c>
      <c r="I3" s="7" cm="1">
        <f t="array" ref="I3">INDEX('Summarized Source Data'!$P$600:$P$743,MATCH(1,($A3=LoadFactorSeasons)*(I$1=LoadFactorHours),0),)</f>
        <v>1.4426542080942786E-4</v>
      </c>
      <c r="J3" s="7" cm="1">
        <f t="array" ref="J3">INDEX('Summarized Source Data'!$P$600:$P$743,MATCH(1,($A3=LoadFactorSeasons)*(J$1=LoadFactorHours),0),)</f>
        <v>1.503961191655036E-4</v>
      </c>
      <c r="K3" s="7" cm="1">
        <f t="array" ref="K3">INDEX('Summarized Source Data'!$P$600:$P$743,MATCH(1,($A3=LoadFactorSeasons)*(K$1=LoadFactorHours),0),)</f>
        <v>1.4232532639294821E-4</v>
      </c>
      <c r="L3" s="7" cm="1">
        <f t="array" ref="L3">INDEX('Summarized Source Data'!$P$600:$P$743,MATCH(1,($A3=LoadFactorSeasons)*(L$1=LoadFactorHours),0),)</f>
        <v>1.2602853329451901E-4</v>
      </c>
      <c r="M3" s="7" cm="1">
        <f t="array" ref="M3">INDEX('Summarized Source Data'!$P$600:$P$743,MATCH(1,($A3=LoadFactorSeasons)*(M$1=LoadFactorHours),0),)</f>
        <v>1.2633894840115577E-4</v>
      </c>
      <c r="N3" s="7" cm="1">
        <f t="array" ref="N3">INDEX('Summarized Source Data'!$P$600:$P$743,MATCH(1,($A3=LoadFactorSeasons)*(N$1=LoadFactorHours),0),)</f>
        <v>1.2517489175126797E-4</v>
      </c>
      <c r="O3" s="7" cm="1">
        <f t="array" ref="O3">INDEX('Summarized Source Data'!$P$600:$P$743,MATCH(1,($A3=LoadFactorSeasons)*(O$1=LoadFactorHours),0),)</f>
        <v>1.2214834446155968E-4</v>
      </c>
      <c r="P3" s="7" cm="1">
        <f t="array" ref="P3">INDEX('Summarized Source Data'!$P$600:$P$743,MATCH(1,($A3=LoadFactorSeasons)*(P$1=LoadFactorHours),0),)</f>
        <v>1.2191553313158214E-4</v>
      </c>
      <c r="Q3" s="7" cm="1">
        <f t="array" ref="Q3">INDEX('Summarized Source Data'!$P$600:$P$743,MATCH(1,($A3=LoadFactorSeasons)*(Q$1=LoadFactorHours),0),)</f>
        <v>1.38910760219944E-4</v>
      </c>
      <c r="R3" s="7" cm="1">
        <f t="array" ref="R3">INDEX('Summarized Source Data'!$P$600:$P$743,MATCH(1,($A3=LoadFactorSeasons)*(R$1=LoadFactorHours),0),)</f>
        <v>1.5776847794812633E-4</v>
      </c>
      <c r="S3" s="7" cm="1">
        <f t="array" ref="S3">INDEX('Summarized Source Data'!$P$600:$P$743,MATCH(1,($A3=LoadFactorSeasons)*(S$1=LoadFactorHours),0),)</f>
        <v>1.5869972326803657E-4</v>
      </c>
      <c r="T3" s="7" cm="1">
        <f t="array" ref="T3">INDEX('Summarized Source Data'!$P$600:$P$743,MATCH(1,($A3=LoadFactorSeasons)*(T$1=LoadFactorHours),0),)</f>
        <v>1.4775759075909124E-4</v>
      </c>
      <c r="U3" s="7" cm="1">
        <f t="array" ref="U3">INDEX('Summarized Source Data'!$P$600:$P$743,MATCH(1,($A3=LoadFactorSeasons)*(U$1=LoadFactorHours),0),)</f>
        <v>1.2975351457415998E-4</v>
      </c>
      <c r="V3" s="7" cm="1">
        <f t="array" ref="V3">INDEX('Summarized Source Data'!$P$600:$P$743,MATCH(1,($A3=LoadFactorSeasons)*(V$1=LoadFactorHours),0),)</f>
        <v>1.2843425037095378E-4</v>
      </c>
      <c r="W3" s="7" cm="1">
        <f t="array" ref="W3">INDEX('Summarized Source Data'!$P$600:$P$743,MATCH(1,($A3=LoadFactorSeasons)*(W$1=LoadFactorHours),0),)</f>
        <v>1.2734779749772521E-4</v>
      </c>
      <c r="X3" s="7" cm="1">
        <f t="array" ref="X3">INDEX('Summarized Source Data'!$P$600:$P$743,MATCH(1,($A3=LoadFactorSeasons)*(X$1=LoadFactorHours),0),)</f>
        <v>1.265717597311333E-4</v>
      </c>
      <c r="Y3" s="7" cm="1">
        <f t="array" ref="Y3">INDEX('Summarized Source Data'!$P$600:$P$743,MATCH(1,($A3=LoadFactorSeasons)*(Y$1=LoadFactorHours),0),)</f>
        <v>8.4898531665150123E-5</v>
      </c>
    </row>
    <row r="4" spans="1:25" x14ac:dyDescent="0.3">
      <c r="A4" s="7" t="s">
        <v>165</v>
      </c>
      <c r="B4" s="7" cm="1">
        <f t="array" ref="B4">INDEX('Summarized Source Data'!$P$600:$P$743,MATCH(1,($A4=LoadFactorSeasons)*(B$1=LoadFactorHours),0),)</f>
        <v>5.4850349342713081E-5</v>
      </c>
      <c r="C4" s="7" cm="1">
        <f t="array" ref="C4">INDEX('Summarized Source Data'!$P$600:$P$743,MATCH(1,($A4=LoadFactorSeasons)*(C$1=LoadFactorHours),0),)</f>
        <v>5.471066254472655E-5</v>
      </c>
      <c r="D4" s="7" cm="1">
        <f t="array" ref="D4">INDEX('Summarized Source Data'!$P$600:$P$743,MATCH(1,($A4=LoadFactorSeasons)*(D$1=LoadFactorHours),0),)</f>
        <v>5.458649650207184E-5</v>
      </c>
      <c r="E4" s="7" cm="1">
        <f t="array" ref="E4">INDEX('Summarized Source Data'!$P$600:$P$743,MATCH(1,($A4=LoadFactorSeasons)*(E$1=LoadFactorHours),0),)</f>
        <v>5.4664100278731029E-5</v>
      </c>
      <c r="F4" s="7" cm="1">
        <f t="array" ref="F4">INDEX('Summarized Source Data'!$P$600:$P$743,MATCH(1,($A4=LoadFactorSeasons)*(F$1=LoadFactorHours),0),)</f>
        <v>5.4570975746740006E-5</v>
      </c>
      <c r="G4" s="7" cm="1">
        <f t="array" ref="G4">INDEX('Summarized Source Data'!$P$600:$P$743,MATCH(1,($A4=LoadFactorSeasons)*(G$1=LoadFactorHours),0),)</f>
        <v>5.4741704055390224E-5</v>
      </c>
      <c r="H4" s="7" cm="1">
        <f t="array" ref="H4">INDEX('Summarized Source Data'!$P$600:$P$743,MATCH(1,($A4=LoadFactorSeasons)*(H$1=LoadFactorHours),0),)</f>
        <v>7.4973008630440169E-5</v>
      </c>
      <c r="I4" s="7" cm="1">
        <f t="array" ref="I4">INDEX('Summarized Source Data'!$P$600:$P$743,MATCH(1,($A4=LoadFactorSeasons)*(I$1=LoadFactorHours),0),)</f>
        <v>1.3433213739705196E-4</v>
      </c>
      <c r="J4" s="7" cm="1">
        <f t="array" ref="J4">INDEX('Summarized Source Data'!$P$600:$P$743,MATCH(1,($A4=LoadFactorSeasons)*(J$1=LoadFactorHours),0),)</f>
        <v>1.4023002442315019E-4</v>
      </c>
      <c r="K4" s="7" cm="1">
        <f t="array" ref="K4">INDEX('Summarized Source Data'!$P$600:$P$743,MATCH(1,($A4=LoadFactorSeasons)*(K$1=LoadFactorHours),0),)</f>
        <v>1.3262485431054987E-4</v>
      </c>
      <c r="L4" s="7" cm="1">
        <f t="array" ref="L4">INDEX('Summarized Source Data'!$P$600:$P$743,MATCH(1,($A4=LoadFactorSeasons)*(L$1=LoadFactorHours),0),)</f>
        <v>1.1741451408534931E-4</v>
      </c>
      <c r="M4" s="7" cm="1">
        <f t="array" ref="M4">INDEX('Summarized Source Data'!$P$600:$P$743,MATCH(1,($A4=LoadFactorSeasons)*(M$1=LoadFactorHours),0),)</f>
        <v>1.1764732541532687E-4</v>
      </c>
      <c r="N4" s="7" cm="1">
        <f t="array" ref="N4">INDEX('Summarized Source Data'!$P$600:$P$743,MATCH(1,($A4=LoadFactorSeasons)*(N$1=LoadFactorHours),0),)</f>
        <v>1.1663847631875744E-4</v>
      </c>
      <c r="O4" s="7" cm="1">
        <f t="array" ref="O4">INDEX('Summarized Source Data'!$P$600:$P$743,MATCH(1,($A4=LoadFactorSeasons)*(O$1=LoadFactorHours),0),)</f>
        <v>1.1392234413568592E-4</v>
      </c>
      <c r="P4" s="7" cm="1">
        <f t="array" ref="P4">INDEX('Summarized Source Data'!$P$600:$P$743,MATCH(1,($A4=LoadFactorSeasons)*(P$1=LoadFactorHours),0),)</f>
        <v>1.1361192902904916E-4</v>
      </c>
      <c r="Q4" s="7" cm="1">
        <f t="array" ref="Q4">INDEX('Summarized Source Data'!$P$600:$P$743,MATCH(1,($A4=LoadFactorSeasons)*(Q$1=LoadFactorHours),0),)</f>
        <v>1.2952070324418242E-4</v>
      </c>
      <c r="R4" s="7" cm="1">
        <f t="array" ref="R4">INDEX('Summarized Source Data'!$P$600:$P$743,MATCH(1,($A4=LoadFactorSeasons)*(R$1=LoadFactorHours),0),)</f>
        <v>1.4705915676915858E-4</v>
      </c>
      <c r="S4" s="7" cm="1">
        <f t="array" ref="S4">INDEX('Summarized Source Data'!$P$600:$P$743,MATCH(1,($A4=LoadFactorSeasons)*(S$1=LoadFactorHours),0),)</f>
        <v>1.4806800586572799E-4</v>
      </c>
      <c r="T4" s="7" cm="1">
        <f t="array" ref="T4">INDEX('Summarized Source Data'!$P$600:$P$743,MATCH(1,($A4=LoadFactorSeasons)*(T$1=LoadFactorHours),0),)</f>
        <v>1.3790191112337456E-4</v>
      </c>
      <c r="U4" s="7" cm="1">
        <f t="array" ref="U4">INDEX('Summarized Source Data'!$P$600:$P$743,MATCH(1,($A4=LoadFactorSeasons)*(U$1=LoadFactorHours),0),)</f>
        <v>1.2098428781167189E-4</v>
      </c>
      <c r="V4" s="7" cm="1">
        <f t="array" ref="V4">INDEX('Summarized Source Data'!$P$600:$P$743,MATCH(1,($A4=LoadFactorSeasons)*(V$1=LoadFactorHours),0),)</f>
        <v>1.196650236084657E-4</v>
      </c>
      <c r="W4" s="7" cm="1">
        <f t="array" ref="W4">INDEX('Summarized Source Data'!$P$600:$P$743,MATCH(1,($A4=LoadFactorSeasons)*(W$1=LoadFactorHours),0),)</f>
        <v>1.186561745118963E-4</v>
      </c>
      <c r="X4" s="7" cm="1">
        <f t="array" ref="X4">INDEX('Summarized Source Data'!$P$600:$P$743,MATCH(1,($A4=LoadFactorSeasons)*(X$1=LoadFactorHours),0),)</f>
        <v>1.1788013674530443E-4</v>
      </c>
      <c r="Y4" s="7" cm="1">
        <f t="array" ref="Y4">INDEX('Summarized Source Data'!$P$600:$P$743,MATCH(1,($A4=LoadFactorSeasons)*(Y$1=LoadFactorHours),0),)</f>
        <v>7.9078248415711115E-5</v>
      </c>
    </row>
    <row r="5" spans="1:25" x14ac:dyDescent="0.3">
      <c r="A5" s="7" t="s">
        <v>166</v>
      </c>
      <c r="B5" s="7" cm="1">
        <f t="array" ref="B5">INDEX('Summarized Source Data'!$P$600:$P$743,MATCH(1,($A5=LoadFactorSeasons)*(B$1=LoadFactorHours),0),)</f>
        <v>4.0452205127295038E-5</v>
      </c>
      <c r="C5" s="7" cm="1">
        <f t="array" ref="C5">INDEX('Summarized Source Data'!$P$600:$P$743,MATCH(1,($A5=LoadFactorSeasons)*(C$1=LoadFactorHours),0),)</f>
        <v>4.0279600683384928E-5</v>
      </c>
      <c r="D5" s="7" cm="1">
        <f t="array" ref="D5">INDEX('Summarized Source Data'!$P$600:$P$743,MATCH(1,($A5=LoadFactorSeasons)*(D$1=LoadFactorHours),0),)</f>
        <v>4.0256063713760832E-5</v>
      </c>
      <c r="E5" s="7" cm="1">
        <f t="array" ref="E5">INDEX('Summarized Source Data'!$P$600:$P$743,MATCH(1,($A5=LoadFactorSeasons)*(E$1=LoadFactorHours),0),)</f>
        <v>4.0256063713760832E-5</v>
      </c>
      <c r="F5" s="7" cm="1">
        <f t="array" ref="F5">INDEX('Summarized Source Data'!$P$600:$P$743,MATCH(1,($A5=LoadFactorSeasons)*(F$1=LoadFactorHours),0),)</f>
        <v>4.0240372400678092E-5</v>
      </c>
      <c r="G5" s="7" cm="1">
        <f t="array" ref="G5">INDEX('Summarized Source Data'!$P$600:$P$743,MATCH(1,($A5=LoadFactorSeasons)*(G$1=LoadFactorHours),0),)</f>
        <v>4.0412976844588195E-5</v>
      </c>
      <c r="H5" s="7" cm="1">
        <f t="array" ref="H5">INDEX('Summarized Source Data'!$P$600:$P$743,MATCH(1,($A5=LoadFactorSeasons)*(H$1=LoadFactorHours),0),)</f>
        <v>5.5390335182060313E-5</v>
      </c>
      <c r="I5" s="7" cm="1">
        <f t="array" ref="I5">INDEX('Summarized Source Data'!$P$600:$P$743,MATCH(1,($A5=LoadFactorSeasons)*(I$1=LoadFactorHours),0),)</f>
        <v>9.8933728986654444E-5</v>
      </c>
      <c r="J5" s="7" cm="1">
        <f t="array" ref="J5">INDEX('Summarized Source Data'!$P$600:$P$743,MATCH(1,($A5=LoadFactorSeasons)*(J$1=LoadFactorHours),0),)</f>
        <v>1.0309192695357966E-4</v>
      </c>
      <c r="K5" s="7" cm="1">
        <f t="array" ref="K5">INDEX('Summarized Source Data'!$P$600:$P$743,MATCH(1,($A5=LoadFactorSeasons)*(K$1=LoadFactorHours),0),)</f>
        <v>9.7521510809208154E-5</v>
      </c>
      <c r="L5" s="7" cm="1">
        <f t="array" ref="L5">INDEX('Summarized Source Data'!$P$600:$P$743,MATCH(1,($A5=LoadFactorSeasons)*(L$1=LoadFactorHours),0),)</f>
        <v>8.6459135085878823E-5</v>
      </c>
      <c r="M5" s="7" cm="1">
        <f t="array" ref="M5">INDEX('Summarized Source Data'!$P$600:$P$743,MATCH(1,($A5=LoadFactorSeasons)*(M$1=LoadFactorHours),0),)</f>
        <v>8.6616048216706193E-5</v>
      </c>
      <c r="N5" s="7" cm="1">
        <f t="array" ref="N5">INDEX('Summarized Source Data'!$P$600:$P$743,MATCH(1,($A5=LoadFactorSeasons)*(N$1=LoadFactorHours),0),)</f>
        <v>8.5753025997155685E-5</v>
      </c>
      <c r="O5" s="7" cm="1">
        <f t="array" ref="O5">INDEX('Summarized Source Data'!$P$600:$P$743,MATCH(1,($A5=LoadFactorSeasons)*(O$1=LoadFactorHours),0),)</f>
        <v>8.3791611861813614E-5</v>
      </c>
      <c r="P5" s="7" cm="1">
        <f t="array" ref="P5">INDEX('Summarized Source Data'!$P$600:$P$743,MATCH(1,($A5=LoadFactorSeasons)*(P$1=LoadFactorHours),0),)</f>
        <v>8.3556242165572559E-5</v>
      </c>
      <c r="Q5" s="7" cm="1">
        <f t="array" ref="Q5">INDEX('Summarized Source Data'!$P$600:$P$743,MATCH(1,($A5=LoadFactorSeasons)*(Q$1=LoadFactorHours),0),)</f>
        <v>9.5246270412211356E-5</v>
      </c>
      <c r="R5" s="7" cm="1">
        <f t="array" ref="R5">INDEX('Summarized Source Data'!$P$600:$P$743,MATCH(1,($A5=LoadFactorSeasons)*(R$1=LoadFactorHours),0),)</f>
        <v>1.0819160370546907E-4</v>
      </c>
      <c r="S5" s="7" cm="1">
        <f t="array" ref="S5">INDEX('Summarized Source Data'!$P$600:$P$743,MATCH(1,($A5=LoadFactorSeasons)*(S$1=LoadFactorHours),0),)</f>
        <v>1.0881925622877854E-4</v>
      </c>
      <c r="T5" s="7" cm="1">
        <f t="array" ref="T5">INDEX('Summarized Source Data'!$P$600:$P$743,MATCH(1,($A5=LoadFactorSeasons)*(T$1=LoadFactorHours),0),)</f>
        <v>1.0128742594906494E-4</v>
      </c>
      <c r="U5" s="7" cm="1">
        <f t="array" ref="U5">INDEX('Summarized Source Data'!$P$600:$P$743,MATCH(1,($A5=LoadFactorSeasons)*(U$1=LoadFactorHours),0),)</f>
        <v>8.8969745179116703E-5</v>
      </c>
      <c r="V5" s="7" cm="1">
        <f t="array" ref="V5">INDEX('Summarized Source Data'!$P$600:$P$743,MATCH(1,($A5=LoadFactorSeasons)*(V$1=LoadFactorHours),0),)</f>
        <v>8.8028266394152497E-5</v>
      </c>
      <c r="W5" s="7" cm="1">
        <f t="array" ref="W5">INDEX('Summarized Source Data'!$P$600:$P$743,MATCH(1,($A5=LoadFactorSeasons)*(W$1=LoadFactorHours),0),)</f>
        <v>8.7400613870843017E-5</v>
      </c>
      <c r="X5" s="7" cm="1">
        <f t="array" ref="X5">INDEX('Summarized Source Data'!$P$600:$P$743,MATCH(1,($A5=LoadFactorSeasons)*(X$1=LoadFactorHours),0),)</f>
        <v>8.6929874478360934E-5</v>
      </c>
      <c r="Y5" s="7" cm="1">
        <f t="array" ref="Y5">INDEX('Summarized Source Data'!$P$600:$P$743,MATCH(1,($A5=LoadFactorSeasons)*(Y$1=LoadFactorHours),0),)</f>
        <v>5.8293228102366584E-5</v>
      </c>
    </row>
    <row r="6" spans="1:25" x14ac:dyDescent="0.3">
      <c r="A6" s="7" t="s">
        <v>172</v>
      </c>
      <c r="B6" s="7" cm="1">
        <f t="array" ref="B6">INDEX('Summarized Source Data'!$P$600:$P$743,MATCH(1,($A6=LoadFactorSeasons)*(B$1=LoadFactorHours),0),)</f>
        <v>6.6219302623283919E-5</v>
      </c>
      <c r="C6" s="7" cm="1">
        <f t="array" ref="C6">INDEX('Summarized Source Data'!$P$600:$P$743,MATCH(1,($A6=LoadFactorSeasons)*(C$1=LoadFactorHours),0),)</f>
        <v>6.5730398830331048E-5</v>
      </c>
      <c r="D6" s="7" cm="1">
        <f t="array" ref="D6">INDEX('Summarized Source Data'!$P$600:$P$743,MATCH(1,($A6=LoadFactorSeasons)*(D$1=LoadFactorHours),0),)</f>
        <v>6.5567430899346753E-5</v>
      </c>
      <c r="E6" s="7" cm="1">
        <f t="array" ref="E6">INDEX('Summarized Source Data'!$P$600:$P$743,MATCH(1,($A6=LoadFactorSeasons)*(E$1=LoadFactorHours),0),)</f>
        <v>6.5567430899346753E-5</v>
      </c>
      <c r="F6" s="7" cm="1">
        <f t="array" ref="F6">INDEX('Summarized Source Data'!$P$600:$P$743,MATCH(1,($A6=LoadFactorSeasons)*(F$1=LoadFactorHours),0),)</f>
        <v>6.5513108255685321E-5</v>
      </c>
      <c r="G6" s="7" cm="1">
        <f t="array" ref="G6">INDEX('Summarized Source Data'!$P$600:$P$743,MATCH(1,($A6=LoadFactorSeasons)*(G$1=LoadFactorHours),0),)</f>
        <v>6.5567430899346753E-5</v>
      </c>
      <c r="H6" s="7" cm="1">
        <f t="array" ref="H6">INDEX('Summarized Source Data'!$P$600:$P$743,MATCH(1,($A6=LoadFactorSeasons)*(H$1=LoadFactorHours),0),)</f>
        <v>8.0153060722440873E-5</v>
      </c>
      <c r="I6" s="7" cm="1">
        <f t="array" ref="I6">INDEX('Summarized Source Data'!$P$600:$P$743,MATCH(1,($A6=LoadFactorSeasons)*(I$1=LoadFactorHours),0),)</f>
        <v>1.4667113788586263E-4</v>
      </c>
      <c r="J6" s="7" cm="1">
        <f t="array" ref="J6">INDEX('Summarized Source Data'!$P$600:$P$743,MATCH(1,($A6=LoadFactorSeasons)*(J$1=LoadFactorHours),0),)</f>
        <v>1.4873539834499701E-4</v>
      </c>
      <c r="K6" s="7" cm="1">
        <f t="array" ref="K6">INDEX('Summarized Source Data'!$P$600:$P$743,MATCH(1,($A6=LoadFactorSeasons)*(K$1=LoadFactorHours),0),)</f>
        <v>1.3385099398176501E-4</v>
      </c>
      <c r="L6" s="7" cm="1">
        <f t="array" ref="L6">INDEX('Summarized Source Data'!$P$600:$P$743,MATCH(1,($A6=LoadFactorSeasons)*(L$1=LoadFactorHours),0),)</f>
        <v>1.3472015628034794E-4</v>
      </c>
      <c r="M6" s="7" cm="1">
        <f t="array" ref="M6">INDEX('Summarized Source Data'!$P$600:$P$743,MATCH(1,($A6=LoadFactorSeasons)*(M$1=LoadFactorHours),0),)</f>
        <v>1.355349959352694E-4</v>
      </c>
      <c r="N6" s="7" cm="1">
        <f t="array" ref="N6">INDEX('Summarized Source Data'!$P$600:$P$743,MATCH(1,($A6=LoadFactorSeasons)*(N$1=LoadFactorHours),0),)</f>
        <v>1.3118918444235492E-4</v>
      </c>
      <c r="O6" s="7" cm="1">
        <f t="array" ref="O6">INDEX('Summarized Source Data'!$P$600:$P$743,MATCH(1,($A6=LoadFactorSeasons)*(O$1=LoadFactorHours),0),)</f>
        <v>1.2168272180160458E-4</v>
      </c>
      <c r="P6" s="7" cm="1">
        <f t="array" ref="P6">INDEX('Summarized Source Data'!$P$600:$P$743,MATCH(1,($A6=LoadFactorSeasons)*(P$1=LoadFactorHours),0),)</f>
        <v>1.2141110858329744E-4</v>
      </c>
      <c r="Q6" s="7" cm="1">
        <f t="array" ref="Q6">INDEX('Summarized Source Data'!$P$600:$P$743,MATCH(1,($A6=LoadFactorSeasons)*(Q$1=LoadFactorHours),0),)</f>
        <v>1.3287318639585926E-4</v>
      </c>
      <c r="R6" s="7" cm="1">
        <f t="array" ref="R6">INDEX('Summarized Source Data'!$P$600:$P$743,MATCH(1,($A6=LoadFactorSeasons)*(R$1=LoadFactorHours),0),)</f>
        <v>1.4830081719570558E-4</v>
      </c>
      <c r="S6" s="7" cm="1">
        <f t="array" ref="S6">INDEX('Summarized Source Data'!$P$600:$P$743,MATCH(1,($A6=LoadFactorSeasons)*(S$1=LoadFactorHours),0),)</f>
        <v>1.4971320593090278E-4</v>
      </c>
      <c r="T6" s="7" cm="1">
        <f t="array" ref="T6">INDEX('Summarized Source Data'!$P$600:$P$743,MATCH(1,($A6=LoadFactorSeasons)*(T$1=LoadFactorHours),0),)</f>
        <v>1.4368339248448399E-4</v>
      </c>
      <c r="U6" s="7" cm="1">
        <f t="array" ref="U6">INDEX('Summarized Source Data'!$P$600:$P$743,MATCH(1,($A6=LoadFactorSeasons)*(U$1=LoadFactorHours),0),)</f>
        <v>1.4314016604786967E-4</v>
      </c>
      <c r="V6" s="7" cm="1">
        <f t="array" ref="V6">INDEX('Summarized Source Data'!$P$600:$P$743,MATCH(1,($A6=LoadFactorSeasons)*(V$1=LoadFactorHours),0),)</f>
        <v>1.4259693961125535E-4</v>
      </c>
      <c r="W6" s="7" cm="1">
        <f t="array" ref="W6">INDEX('Summarized Source Data'!$P$600:$P$743,MATCH(1,($A6=LoadFactorSeasons)*(W$1=LoadFactorHours),0),)</f>
        <v>1.4178209995633392E-4</v>
      </c>
      <c r="X6" s="7" cm="1">
        <f t="array" ref="X6">INDEX('Summarized Source Data'!$P$600:$P$743,MATCH(1,($A6=LoadFactorSeasons)*(X$1=LoadFactorHours),0),)</f>
        <v>1.4151048673802675E-4</v>
      </c>
      <c r="Y6" s="7" cm="1">
        <f t="array" ref="Y6">INDEX('Summarized Source Data'!$P$600:$P$743,MATCH(1,($A6=LoadFactorSeasons)*(Y$1=LoadFactorHours),0),)</f>
        <v>9.4793013189196424E-5</v>
      </c>
    </row>
    <row r="7" spans="1:25" x14ac:dyDescent="0.3">
      <c r="A7" s="7" t="s">
        <v>171</v>
      </c>
      <c r="B7" s="7" cm="1">
        <f t="array" ref="B7">INDEX('Summarized Source Data'!$P$600:$P$743,MATCH(1,($A7=LoadFactorSeasons)*(B$1=LoadFactorHours),0),)</f>
        <v>1.0381298637671222E-4</v>
      </c>
      <c r="C7" s="7" cm="1">
        <f t="array" ref="C7">INDEX('Summarized Source Data'!$P$600:$P$743,MATCH(1,($A7=LoadFactorSeasons)*(C$1=LoadFactorHours),0),)</f>
        <v>1.0314662861446532E-4</v>
      </c>
      <c r="D7" s="7" cm="1">
        <f t="array" ref="D7">INDEX('Summarized Source Data'!$P$600:$P$743,MATCH(1,($A7=LoadFactorSeasons)*(D$1=LoadFactorHours),0),)</f>
        <v>1.0295227426714332E-4</v>
      </c>
      <c r="E7" s="7" cm="1">
        <f t="array" ref="E7">INDEX('Summarized Source Data'!$P$600:$P$743,MATCH(1,($A7=LoadFactorSeasons)*(E$1=LoadFactorHours),0),)</f>
        <v>1.0295227426714332E-4</v>
      </c>
      <c r="F7" s="7" cm="1">
        <f t="array" ref="F7">INDEX('Summarized Source Data'!$P$600:$P$743,MATCH(1,($A7=LoadFactorSeasons)*(F$1=LoadFactorHours),0),)</f>
        <v>1.0286897954686246E-4</v>
      </c>
      <c r="G7" s="7" cm="1">
        <f t="array" ref="G7">INDEX('Summarized Source Data'!$P$600:$P$743,MATCH(1,($A7=LoadFactorSeasons)*(G$1=LoadFactorHours),0),)</f>
        <v>1.0298003917390362E-4</v>
      </c>
      <c r="H7" s="7" cm="1">
        <f t="array" ref="H7">INDEX('Summarized Source Data'!$P$600:$P$743,MATCH(1,($A7=LoadFactorSeasons)*(H$1=LoadFactorHours),0),)</f>
        <v>1.2577502762409906E-4</v>
      </c>
      <c r="I7" s="7" cm="1">
        <f t="array" ref="I7">INDEX('Summarized Source Data'!$P$600:$P$743,MATCH(1,($A7=LoadFactorSeasons)*(I$1=LoadFactorHours),0),)</f>
        <v>2.296713087210921E-4</v>
      </c>
      <c r="J7" s="7" cm="1">
        <f t="array" ref="J7">INDEX('Summarized Source Data'!$P$600:$P$743,MATCH(1,($A7=LoadFactorSeasons)*(J$1=LoadFactorHours),0),)</f>
        <v>2.3255885902416192E-4</v>
      </c>
      <c r="K7" s="7" cm="1">
        <f t="array" ref="K7">INDEX('Summarized Source Data'!$P$600:$P$743,MATCH(1,($A7=LoadFactorSeasons)*(K$1=LoadFactorHours),0),)</f>
        <v>2.0934739697256219E-4</v>
      </c>
      <c r="L7" s="7" cm="1">
        <f t="array" ref="L7">INDEX('Summarized Source Data'!$P$600:$P$743,MATCH(1,($A7=LoadFactorSeasons)*(L$1=LoadFactorHours),0),)</f>
        <v>2.1129094044578228E-4</v>
      </c>
      <c r="M7" s="7" cm="1">
        <f t="array" ref="M7">INDEX('Summarized Source Data'!$P$600:$P$743,MATCH(1,($A7=LoadFactorSeasons)*(M$1=LoadFactorHours),0),)</f>
        <v>2.121238876485909E-4</v>
      </c>
      <c r="N7" s="7" cm="1">
        <f t="array" ref="N7">INDEX('Summarized Source Data'!$P$600:$P$743,MATCH(1,($A7=LoadFactorSeasons)*(N$1=LoadFactorHours),0),)</f>
        <v>2.0490501189091633E-4</v>
      </c>
      <c r="O7" s="7" cm="1">
        <f t="array" ref="O7">INDEX('Summarized Source Data'!$P$600:$P$743,MATCH(1,($A7=LoadFactorSeasons)*(O$1=LoadFactorHours),0),)</f>
        <v>1.9018961130796432E-4</v>
      </c>
      <c r="P7" s="7" cm="1">
        <f t="array" ref="P7">INDEX('Summarized Source Data'!$P$600:$P$743,MATCH(1,($A7=LoadFactorSeasons)*(P$1=LoadFactorHours),0),)</f>
        <v>1.8991196224036147E-4</v>
      </c>
      <c r="Q7" s="7" cm="1">
        <f t="array" ref="Q7">INDEX('Summarized Source Data'!$P$600:$P$743,MATCH(1,($A7=LoadFactorSeasons)*(Q$1=LoadFactorHours),0),)</f>
        <v>2.0812574107510957E-4</v>
      </c>
      <c r="R7" s="7" cm="1">
        <f t="array" ref="R7">INDEX('Summarized Source Data'!$P$600:$P$743,MATCH(1,($A7=LoadFactorSeasons)*(R$1=LoadFactorHours),0),)</f>
        <v>2.3189250126191504E-4</v>
      </c>
      <c r="S7" s="7" cm="1">
        <f t="array" ref="S7">INDEX('Summarized Source Data'!$P$600:$P$743,MATCH(1,($A7=LoadFactorSeasons)*(S$1=LoadFactorHours),0),)</f>
        <v>2.3378051492161454E-4</v>
      </c>
      <c r="T7" s="7" cm="1">
        <f t="array" ref="T7">INDEX('Summarized Source Data'!$P$600:$P$743,MATCH(1,($A7=LoadFactorSeasons)*(T$1=LoadFactorHours),0),)</f>
        <v>2.2517339382592568E-4</v>
      </c>
      <c r="U7" s="7" cm="1">
        <f t="array" ref="U7">INDEX('Summarized Source Data'!$P$600:$P$743,MATCH(1,($A7=LoadFactorSeasons)*(U$1=LoadFactorHours),0),)</f>
        <v>2.2461809569071994E-4</v>
      </c>
      <c r="V7" s="7" cm="1">
        <f t="array" ref="V7">INDEX('Summarized Source Data'!$P$600:$P$743,MATCH(1,($A7=LoadFactorSeasons)*(V$1=LoadFactorHours),0),)</f>
        <v>2.2350749942030845E-4</v>
      </c>
      <c r="W7" s="7" cm="1">
        <f t="array" ref="W7">INDEX('Summarized Source Data'!$P$600:$P$743,MATCH(1,($A7=LoadFactorSeasons)*(W$1=LoadFactorHours),0),)</f>
        <v>2.2239690314989699E-4</v>
      </c>
      <c r="X7" s="7" cm="1">
        <f t="array" ref="X7">INDEX('Summarized Source Data'!$P$600:$P$743,MATCH(1,($A7=LoadFactorSeasons)*(X$1=LoadFactorHours),0),)</f>
        <v>2.2211925408229414E-4</v>
      </c>
      <c r="Y7" s="7" cm="1">
        <f t="array" ref="Y7">INDEX('Summarized Source Data'!$P$600:$P$743,MATCH(1,($A7=LoadFactorSeasons)*(Y$1=LoadFactorHours),0),)</f>
        <v>1.4937519837034282E-4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23F1-1322-435B-827E-B2F4F7C9CCC9}">
  <sheetPr codeName="Sheet22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Data'!$Q$600:$Q$743,MATCH(1,($A2=LoadFactorSeasons)*(B$1=LoadFactorHours),0),)</f>
        <v>8.6142606431415422E-5</v>
      </c>
      <c r="C2" s="7" cm="1">
        <f t="array" ref="C2">INDEX('Summarized Source Data'!$Q$600:$Q$743,MATCH(1,($A2=LoadFactorSeasons)*(C$1=LoadFactorHours),0),)</f>
        <v>8.5793561889286086E-5</v>
      </c>
      <c r="D2" s="7" cm="1">
        <f t="array" ref="D2">INDEX('Summarized Source Data'!$Q$600:$Q$743,MATCH(1,($A2=LoadFactorSeasons)*(D$1=LoadFactorHours),0),)</f>
        <v>8.5738032075765504E-5</v>
      </c>
      <c r="E2" s="7" cm="1">
        <f t="array" ref="E2">INDEX('Summarized Source Data'!$Q$600:$Q$743,MATCH(1,($A2=LoadFactorSeasons)*(E$1=LoadFactorHours),0),)</f>
        <v>8.5738032075765504E-5</v>
      </c>
      <c r="F2" s="7" cm="1">
        <f t="array" ref="F2">INDEX('Summarized Source Data'!$Q$600:$Q$743,MATCH(1,($A2=LoadFactorSeasons)*(F$1=LoadFactorHours),0),)</f>
        <v>8.57142335842567E-5</v>
      </c>
      <c r="G2" s="7" cm="1">
        <f t="array" ref="G2">INDEX('Summarized Source Data'!$Q$600:$Q$743,MATCH(1,($A2=LoadFactorSeasons)*(G$1=LoadFactorHours),0),)</f>
        <v>8.5904621516327251E-5</v>
      </c>
      <c r="H2" s="7" cm="1">
        <f t="array" ref="H2">INDEX('Summarized Source Data'!$Q$600:$Q$743,MATCH(1,($A2=LoadFactorSeasons)*(H$1=LoadFactorHours),0),)</f>
        <v>1.177232046636159E-4</v>
      </c>
      <c r="I2" s="7" cm="1">
        <f t="array" ref="I2">INDEX('Summarized Source Data'!$Q$600:$Q$743,MATCH(1,($A2=LoadFactorSeasons)*(I$1=LoadFactorHours),0),)</f>
        <v>2.1053732154800305E-4</v>
      </c>
      <c r="J2" s="7" cm="1">
        <f t="array" ref="J2">INDEX('Summarized Source Data'!$Q$600:$Q$743,MATCH(1,($A2=LoadFactorSeasons)*(J$1=LoadFactorHours),0),)</f>
        <v>2.1942209171129482E-4</v>
      </c>
      <c r="K2" s="7" cm="1">
        <f t="array" ref="K2">INDEX('Summarized Source Data'!$Q$600:$Q$743,MATCH(1,($A2=LoadFactorSeasons)*(K$1=LoadFactorHours),0),)</f>
        <v>2.0760217426191559E-4</v>
      </c>
      <c r="L2" s="7" cm="1">
        <f t="array" ref="L2">INDEX('Summarized Source Data'!$Q$600:$Q$743,MATCH(1,($A2=LoadFactorSeasons)*(L$1=LoadFactorHours),0),)</f>
        <v>1.8388301105812778E-4</v>
      </c>
      <c r="M2" s="7" cm="1">
        <f t="array" ref="M2">INDEX('Summarized Source Data'!$Q$600:$Q$743,MATCH(1,($A2=LoadFactorSeasons)*(M$1=LoadFactorHours),0),)</f>
        <v>1.8420032427824532E-4</v>
      </c>
      <c r="N2" s="7" cm="1">
        <f t="array" ref="N2">INDEX('Summarized Source Data'!$Q$600:$Q$743,MATCH(1,($A2=LoadFactorSeasons)*(N$1=LoadFactorHours),0),)</f>
        <v>1.8245510156759872E-4</v>
      </c>
      <c r="O2" s="7" cm="1">
        <f t="array" ref="O2">INDEX('Summarized Source Data'!$Q$600:$Q$743,MATCH(1,($A2=LoadFactorSeasons)*(O$1=LoadFactorHours),0),)</f>
        <v>1.781713730960116E-4</v>
      </c>
      <c r="P2" s="7" cm="1">
        <f t="array" ref="P2">INDEX('Summarized Source Data'!$Q$600:$Q$743,MATCH(1,($A2=LoadFactorSeasons)*(P$1=LoadFactorHours),0),)</f>
        <v>1.7785405987589406E-4</v>
      </c>
      <c r="Q2" s="7" cm="1">
        <f t="array" ref="Q2">INDEX('Summarized Source Data'!$Q$600:$Q$743,MATCH(1,($A2=LoadFactorSeasons)*(Q$1=LoadFactorHours),0),)</f>
        <v>2.0276314765512278E-4</v>
      </c>
      <c r="R2" s="7" cm="1">
        <f t="array" ref="R2">INDEX('Summarized Source Data'!$Q$600:$Q$743,MATCH(1,($A2=LoadFactorSeasons)*(R$1=LoadFactorHours),0),)</f>
        <v>2.299727562802038E-4</v>
      </c>
      <c r="S2" s="7" cm="1">
        <f t="array" ref="S2">INDEX('Summarized Source Data'!$Q$600:$Q$743,MATCH(1,($A2=LoadFactorSeasons)*(S$1=LoadFactorHours),0),)</f>
        <v>2.3140066577073286E-4</v>
      </c>
      <c r="T2" s="7" cm="1">
        <f t="array" ref="T2">INDEX('Summarized Source Data'!$Q$600:$Q$743,MATCH(1,($A2=LoadFactorSeasons)*(T$1=LoadFactorHours),0),)</f>
        <v>2.1561433306988408E-4</v>
      </c>
      <c r="U2" s="7" cm="1">
        <f t="array" ref="U2">INDEX('Summarized Source Data'!$Q$600:$Q$743,MATCH(1,($A2=LoadFactorSeasons)*(U$1=LoadFactorHours),0),)</f>
        <v>1.8935666410515575E-4</v>
      </c>
      <c r="V2" s="7" cm="1">
        <f t="array" ref="V2">INDEX('Summarized Source Data'!$Q$600:$Q$743,MATCH(1,($A2=LoadFactorSeasons)*(V$1=LoadFactorHours),0),)</f>
        <v>1.8737345647942095E-4</v>
      </c>
      <c r="W2" s="7" cm="1">
        <f t="array" ref="W2">INDEX('Summarized Source Data'!$Q$600:$Q$743,MATCH(1,($A2=LoadFactorSeasons)*(W$1=LoadFactorHours),0),)</f>
        <v>1.8602487529392129E-4</v>
      </c>
      <c r="X2" s="7" cm="1">
        <f t="array" ref="X2">INDEX('Summarized Source Data'!$Q$600:$Q$743,MATCH(1,($A2=LoadFactorSeasons)*(X$1=LoadFactorHours),0),)</f>
        <v>1.8499360732853926E-4</v>
      </c>
      <c r="Y2" s="7" cm="1">
        <f t="array" ref="Y2">INDEX('Summarized Source Data'!$Q$600:$Q$743,MATCH(1,($A2=LoadFactorSeasons)*(Y$1=LoadFactorHours),0),)</f>
        <v>1.2422812567602592E-4</v>
      </c>
    </row>
    <row r="3" spans="1:25" x14ac:dyDescent="0.3">
      <c r="A3" s="7" t="s">
        <v>164</v>
      </c>
      <c r="B3" s="7" cm="1">
        <f t="array" ref="B3">INDEX('Summarized Source Data'!$Q$600:$Q$743,MATCH(1,($A3=LoadFactorSeasons)*(B$1=LoadFactorHours),0),)</f>
        <v>5.8955589127984047E-5</v>
      </c>
      <c r="C3" s="7" cm="1">
        <f t="array" ref="C3">INDEX('Summarized Source Data'!$Q$600:$Q$743,MATCH(1,($A3=LoadFactorSeasons)*(C$1=LoadFactorHours),0),)</f>
        <v>5.8738298553338321E-5</v>
      </c>
      <c r="D3" s="7" cm="1">
        <f t="array" ref="D3">INDEX('Summarized Source Data'!$Q$600:$Q$743,MATCH(1,($A3=LoadFactorSeasons)*(D$1=LoadFactorHours),0),)</f>
        <v>5.869949666500873E-5</v>
      </c>
      <c r="E3" s="7" cm="1">
        <f t="array" ref="E3">INDEX('Summarized Source Data'!$Q$600:$Q$743,MATCH(1,($A3=LoadFactorSeasons)*(E$1=LoadFactorHours),0),)</f>
        <v>5.869949666500873E-5</v>
      </c>
      <c r="F3" s="7" cm="1">
        <f t="array" ref="F3">INDEX('Summarized Source Data'!$Q$600:$Q$743,MATCH(1,($A3=LoadFactorSeasons)*(F$1=LoadFactorHours),0),)</f>
        <v>5.8683975909676896E-5</v>
      </c>
      <c r="G3" s="7" cm="1">
        <f t="array" ref="G3">INDEX('Summarized Source Data'!$Q$600:$Q$743,MATCH(1,($A3=LoadFactorSeasons)*(G$1=LoadFactorHours),0),)</f>
        <v>5.8777100441667926E-5</v>
      </c>
      <c r="H3" s="7" cm="1">
        <f t="array" ref="H3">INDEX('Summarized Source Data'!$Q$600:$Q$743,MATCH(1,($A3=LoadFactorSeasons)*(H$1=LoadFactorHours),0),)</f>
        <v>8.0630323948894882E-5</v>
      </c>
      <c r="I3" s="7" cm="1">
        <f t="array" ref="I3">INDEX('Summarized Source Data'!$Q$600:$Q$743,MATCH(1,($A3=LoadFactorSeasons)*(I$1=LoadFactorHours),0),)</f>
        <v>1.4426542080942786E-4</v>
      </c>
      <c r="J3" s="7" cm="1">
        <f t="array" ref="J3">INDEX('Summarized Source Data'!$Q$600:$Q$743,MATCH(1,($A3=LoadFactorSeasons)*(J$1=LoadFactorHours),0),)</f>
        <v>1.503961191655036E-4</v>
      </c>
      <c r="K3" s="7" cm="1">
        <f t="array" ref="K3">INDEX('Summarized Source Data'!$Q$600:$Q$743,MATCH(1,($A3=LoadFactorSeasons)*(K$1=LoadFactorHours),0),)</f>
        <v>1.4232532639294821E-4</v>
      </c>
      <c r="L3" s="7" cm="1">
        <f t="array" ref="L3">INDEX('Summarized Source Data'!$Q$600:$Q$743,MATCH(1,($A3=LoadFactorSeasons)*(L$1=LoadFactorHours),0),)</f>
        <v>1.2602853329451901E-4</v>
      </c>
      <c r="M3" s="7" cm="1">
        <f t="array" ref="M3">INDEX('Summarized Source Data'!$Q$600:$Q$743,MATCH(1,($A3=LoadFactorSeasons)*(M$1=LoadFactorHours),0),)</f>
        <v>1.2633894840115577E-4</v>
      </c>
      <c r="N3" s="7" cm="1">
        <f t="array" ref="N3">INDEX('Summarized Source Data'!$Q$600:$Q$743,MATCH(1,($A3=LoadFactorSeasons)*(N$1=LoadFactorHours),0),)</f>
        <v>1.2517489175126797E-4</v>
      </c>
      <c r="O3" s="7" cm="1">
        <f t="array" ref="O3">INDEX('Summarized Source Data'!$Q$600:$Q$743,MATCH(1,($A3=LoadFactorSeasons)*(O$1=LoadFactorHours),0),)</f>
        <v>1.2214834446155968E-4</v>
      </c>
      <c r="P3" s="7" cm="1">
        <f t="array" ref="P3">INDEX('Summarized Source Data'!$Q$600:$Q$743,MATCH(1,($A3=LoadFactorSeasons)*(P$1=LoadFactorHours),0),)</f>
        <v>1.2191553313158214E-4</v>
      </c>
      <c r="Q3" s="7" cm="1">
        <f t="array" ref="Q3">INDEX('Summarized Source Data'!$Q$600:$Q$743,MATCH(1,($A3=LoadFactorSeasons)*(Q$1=LoadFactorHours),0),)</f>
        <v>1.38910760219944E-4</v>
      </c>
      <c r="R3" s="7" cm="1">
        <f t="array" ref="R3">INDEX('Summarized Source Data'!$Q$600:$Q$743,MATCH(1,($A3=LoadFactorSeasons)*(R$1=LoadFactorHours),0),)</f>
        <v>1.5776847794812633E-4</v>
      </c>
      <c r="S3" s="7" cm="1">
        <f t="array" ref="S3">INDEX('Summarized Source Data'!$Q$600:$Q$743,MATCH(1,($A3=LoadFactorSeasons)*(S$1=LoadFactorHours),0),)</f>
        <v>1.5869972326803657E-4</v>
      </c>
      <c r="T3" s="7" cm="1">
        <f t="array" ref="T3">INDEX('Summarized Source Data'!$Q$600:$Q$743,MATCH(1,($A3=LoadFactorSeasons)*(T$1=LoadFactorHours),0),)</f>
        <v>1.4775759075909124E-4</v>
      </c>
      <c r="U3" s="7" cm="1">
        <f t="array" ref="U3">INDEX('Summarized Source Data'!$Q$600:$Q$743,MATCH(1,($A3=LoadFactorSeasons)*(U$1=LoadFactorHours),0),)</f>
        <v>1.2975351457415998E-4</v>
      </c>
      <c r="V3" s="7" cm="1">
        <f t="array" ref="V3">INDEX('Summarized Source Data'!$Q$600:$Q$743,MATCH(1,($A3=LoadFactorSeasons)*(V$1=LoadFactorHours),0),)</f>
        <v>1.2843425037095378E-4</v>
      </c>
      <c r="W3" s="7" cm="1">
        <f t="array" ref="W3">INDEX('Summarized Source Data'!$Q$600:$Q$743,MATCH(1,($A3=LoadFactorSeasons)*(W$1=LoadFactorHours),0),)</f>
        <v>1.2734779749772521E-4</v>
      </c>
      <c r="X3" s="7" cm="1">
        <f t="array" ref="X3">INDEX('Summarized Source Data'!$Q$600:$Q$743,MATCH(1,($A3=LoadFactorSeasons)*(X$1=LoadFactorHours),0),)</f>
        <v>1.265717597311333E-4</v>
      </c>
      <c r="Y3" s="7" cm="1">
        <f t="array" ref="Y3">INDEX('Summarized Source Data'!$Q$600:$Q$743,MATCH(1,($A3=LoadFactorSeasons)*(Y$1=LoadFactorHours),0),)</f>
        <v>8.4898531665150123E-5</v>
      </c>
    </row>
    <row r="4" spans="1:25" x14ac:dyDescent="0.3">
      <c r="A4" s="7" t="s">
        <v>165</v>
      </c>
      <c r="B4" s="7" cm="1">
        <f t="array" ref="B4">INDEX('Summarized Source Data'!$Q$600:$Q$743,MATCH(1,($A4=LoadFactorSeasons)*(B$1=LoadFactorHours),0),)</f>
        <v>5.4850349342713081E-5</v>
      </c>
      <c r="C4" s="7" cm="1">
        <f t="array" ref="C4">INDEX('Summarized Source Data'!$Q$600:$Q$743,MATCH(1,($A4=LoadFactorSeasons)*(C$1=LoadFactorHours),0),)</f>
        <v>5.471066254472655E-5</v>
      </c>
      <c r="D4" s="7" cm="1">
        <f t="array" ref="D4">INDEX('Summarized Source Data'!$Q$600:$Q$743,MATCH(1,($A4=LoadFactorSeasons)*(D$1=LoadFactorHours),0),)</f>
        <v>5.458649650207184E-5</v>
      </c>
      <c r="E4" s="7" cm="1">
        <f t="array" ref="E4">INDEX('Summarized Source Data'!$Q$600:$Q$743,MATCH(1,($A4=LoadFactorSeasons)*(E$1=LoadFactorHours),0),)</f>
        <v>5.4664100278731029E-5</v>
      </c>
      <c r="F4" s="7" cm="1">
        <f t="array" ref="F4">INDEX('Summarized Source Data'!$Q$600:$Q$743,MATCH(1,($A4=LoadFactorSeasons)*(F$1=LoadFactorHours),0),)</f>
        <v>5.4570975746740006E-5</v>
      </c>
      <c r="G4" s="7" cm="1">
        <f t="array" ref="G4">INDEX('Summarized Source Data'!$Q$600:$Q$743,MATCH(1,($A4=LoadFactorSeasons)*(G$1=LoadFactorHours),0),)</f>
        <v>5.4741704055390224E-5</v>
      </c>
      <c r="H4" s="7" cm="1">
        <f t="array" ref="H4">INDEX('Summarized Source Data'!$Q$600:$Q$743,MATCH(1,($A4=LoadFactorSeasons)*(H$1=LoadFactorHours),0),)</f>
        <v>7.4973008630440169E-5</v>
      </c>
      <c r="I4" s="7" cm="1">
        <f t="array" ref="I4">INDEX('Summarized Source Data'!$Q$600:$Q$743,MATCH(1,($A4=LoadFactorSeasons)*(I$1=LoadFactorHours),0),)</f>
        <v>1.3433213739705196E-4</v>
      </c>
      <c r="J4" s="7" cm="1">
        <f t="array" ref="J4">INDEX('Summarized Source Data'!$Q$600:$Q$743,MATCH(1,($A4=LoadFactorSeasons)*(J$1=LoadFactorHours),0),)</f>
        <v>1.4023002442315019E-4</v>
      </c>
      <c r="K4" s="7" cm="1">
        <f t="array" ref="K4">INDEX('Summarized Source Data'!$Q$600:$Q$743,MATCH(1,($A4=LoadFactorSeasons)*(K$1=LoadFactorHours),0),)</f>
        <v>1.3262485431054987E-4</v>
      </c>
      <c r="L4" s="7" cm="1">
        <f t="array" ref="L4">INDEX('Summarized Source Data'!$Q$600:$Q$743,MATCH(1,($A4=LoadFactorSeasons)*(L$1=LoadFactorHours),0),)</f>
        <v>1.1741451408534931E-4</v>
      </c>
      <c r="M4" s="7" cm="1">
        <f t="array" ref="M4">INDEX('Summarized Source Data'!$Q$600:$Q$743,MATCH(1,($A4=LoadFactorSeasons)*(M$1=LoadFactorHours),0),)</f>
        <v>1.1764732541532687E-4</v>
      </c>
      <c r="N4" s="7" cm="1">
        <f t="array" ref="N4">INDEX('Summarized Source Data'!$Q$600:$Q$743,MATCH(1,($A4=LoadFactorSeasons)*(N$1=LoadFactorHours),0),)</f>
        <v>1.1663847631875744E-4</v>
      </c>
      <c r="O4" s="7" cm="1">
        <f t="array" ref="O4">INDEX('Summarized Source Data'!$Q$600:$Q$743,MATCH(1,($A4=LoadFactorSeasons)*(O$1=LoadFactorHours),0),)</f>
        <v>1.1392234413568592E-4</v>
      </c>
      <c r="P4" s="7" cm="1">
        <f t="array" ref="P4">INDEX('Summarized Source Data'!$Q$600:$Q$743,MATCH(1,($A4=LoadFactorSeasons)*(P$1=LoadFactorHours),0),)</f>
        <v>1.1361192902904916E-4</v>
      </c>
      <c r="Q4" s="7" cm="1">
        <f t="array" ref="Q4">INDEX('Summarized Source Data'!$Q$600:$Q$743,MATCH(1,($A4=LoadFactorSeasons)*(Q$1=LoadFactorHours),0),)</f>
        <v>1.2952070324418242E-4</v>
      </c>
      <c r="R4" s="7" cm="1">
        <f t="array" ref="R4">INDEX('Summarized Source Data'!$Q$600:$Q$743,MATCH(1,($A4=LoadFactorSeasons)*(R$1=LoadFactorHours),0),)</f>
        <v>1.4705915676915858E-4</v>
      </c>
      <c r="S4" s="7" cm="1">
        <f t="array" ref="S4">INDEX('Summarized Source Data'!$Q$600:$Q$743,MATCH(1,($A4=LoadFactorSeasons)*(S$1=LoadFactorHours),0),)</f>
        <v>1.4806800586572799E-4</v>
      </c>
      <c r="T4" s="7" cm="1">
        <f t="array" ref="T4">INDEX('Summarized Source Data'!$Q$600:$Q$743,MATCH(1,($A4=LoadFactorSeasons)*(T$1=LoadFactorHours),0),)</f>
        <v>1.3790191112337456E-4</v>
      </c>
      <c r="U4" s="7" cm="1">
        <f t="array" ref="U4">INDEX('Summarized Source Data'!$Q$600:$Q$743,MATCH(1,($A4=LoadFactorSeasons)*(U$1=LoadFactorHours),0),)</f>
        <v>1.2098428781167189E-4</v>
      </c>
      <c r="V4" s="7" cm="1">
        <f t="array" ref="V4">INDEX('Summarized Source Data'!$Q$600:$Q$743,MATCH(1,($A4=LoadFactorSeasons)*(V$1=LoadFactorHours),0),)</f>
        <v>1.196650236084657E-4</v>
      </c>
      <c r="W4" s="7" cm="1">
        <f t="array" ref="W4">INDEX('Summarized Source Data'!$Q$600:$Q$743,MATCH(1,($A4=LoadFactorSeasons)*(W$1=LoadFactorHours),0),)</f>
        <v>1.186561745118963E-4</v>
      </c>
      <c r="X4" s="7" cm="1">
        <f t="array" ref="X4">INDEX('Summarized Source Data'!$Q$600:$Q$743,MATCH(1,($A4=LoadFactorSeasons)*(X$1=LoadFactorHours),0),)</f>
        <v>1.1788013674530443E-4</v>
      </c>
      <c r="Y4" s="7" cm="1">
        <f t="array" ref="Y4">INDEX('Summarized Source Data'!$Q$600:$Q$743,MATCH(1,($A4=LoadFactorSeasons)*(Y$1=LoadFactorHours),0),)</f>
        <v>7.9078248415711115E-5</v>
      </c>
    </row>
    <row r="5" spans="1:25" x14ac:dyDescent="0.3">
      <c r="A5" s="7" t="s">
        <v>166</v>
      </c>
      <c r="B5" s="7" cm="1">
        <f t="array" ref="B5">INDEX('Summarized Source Data'!$Q$600:$Q$743,MATCH(1,($A5=LoadFactorSeasons)*(B$1=LoadFactorHours),0),)</f>
        <v>4.0452205127295038E-5</v>
      </c>
      <c r="C5" s="7" cm="1">
        <f t="array" ref="C5">INDEX('Summarized Source Data'!$Q$600:$Q$743,MATCH(1,($A5=LoadFactorSeasons)*(C$1=LoadFactorHours),0),)</f>
        <v>4.0279600683384928E-5</v>
      </c>
      <c r="D5" s="7" cm="1">
        <f t="array" ref="D5">INDEX('Summarized Source Data'!$Q$600:$Q$743,MATCH(1,($A5=LoadFactorSeasons)*(D$1=LoadFactorHours),0),)</f>
        <v>4.0256063713760832E-5</v>
      </c>
      <c r="E5" s="7" cm="1">
        <f t="array" ref="E5">INDEX('Summarized Source Data'!$Q$600:$Q$743,MATCH(1,($A5=LoadFactorSeasons)*(E$1=LoadFactorHours),0),)</f>
        <v>4.0256063713760832E-5</v>
      </c>
      <c r="F5" s="7" cm="1">
        <f t="array" ref="F5">INDEX('Summarized Source Data'!$Q$600:$Q$743,MATCH(1,($A5=LoadFactorSeasons)*(F$1=LoadFactorHours),0),)</f>
        <v>4.0240372400678092E-5</v>
      </c>
      <c r="G5" s="7" cm="1">
        <f t="array" ref="G5">INDEX('Summarized Source Data'!$Q$600:$Q$743,MATCH(1,($A5=LoadFactorSeasons)*(G$1=LoadFactorHours),0),)</f>
        <v>4.0412976844588195E-5</v>
      </c>
      <c r="H5" s="7" cm="1">
        <f t="array" ref="H5">INDEX('Summarized Source Data'!$Q$600:$Q$743,MATCH(1,($A5=LoadFactorSeasons)*(H$1=LoadFactorHours),0),)</f>
        <v>5.5390335182060313E-5</v>
      </c>
      <c r="I5" s="7" cm="1">
        <f t="array" ref="I5">INDEX('Summarized Source Data'!$Q$600:$Q$743,MATCH(1,($A5=LoadFactorSeasons)*(I$1=LoadFactorHours),0),)</f>
        <v>9.8933728986654444E-5</v>
      </c>
      <c r="J5" s="7" cm="1">
        <f t="array" ref="J5">INDEX('Summarized Source Data'!$Q$600:$Q$743,MATCH(1,($A5=LoadFactorSeasons)*(J$1=LoadFactorHours),0),)</f>
        <v>1.0309192695357966E-4</v>
      </c>
      <c r="K5" s="7" cm="1">
        <f t="array" ref="K5">INDEX('Summarized Source Data'!$Q$600:$Q$743,MATCH(1,($A5=LoadFactorSeasons)*(K$1=LoadFactorHours),0),)</f>
        <v>9.7521510809208154E-5</v>
      </c>
      <c r="L5" s="7" cm="1">
        <f t="array" ref="L5">INDEX('Summarized Source Data'!$Q$600:$Q$743,MATCH(1,($A5=LoadFactorSeasons)*(L$1=LoadFactorHours),0),)</f>
        <v>8.6459135085878823E-5</v>
      </c>
      <c r="M5" s="7" cm="1">
        <f t="array" ref="M5">INDEX('Summarized Source Data'!$Q$600:$Q$743,MATCH(1,($A5=LoadFactorSeasons)*(M$1=LoadFactorHours),0),)</f>
        <v>8.6616048216706193E-5</v>
      </c>
      <c r="N5" s="7" cm="1">
        <f t="array" ref="N5">INDEX('Summarized Source Data'!$Q$600:$Q$743,MATCH(1,($A5=LoadFactorSeasons)*(N$1=LoadFactorHours),0),)</f>
        <v>8.5753025997155685E-5</v>
      </c>
      <c r="O5" s="7" cm="1">
        <f t="array" ref="O5">INDEX('Summarized Source Data'!$Q$600:$Q$743,MATCH(1,($A5=LoadFactorSeasons)*(O$1=LoadFactorHours),0),)</f>
        <v>8.3791611861813614E-5</v>
      </c>
      <c r="P5" s="7" cm="1">
        <f t="array" ref="P5">INDEX('Summarized Source Data'!$Q$600:$Q$743,MATCH(1,($A5=LoadFactorSeasons)*(P$1=LoadFactorHours),0),)</f>
        <v>8.3556242165572559E-5</v>
      </c>
      <c r="Q5" s="7" cm="1">
        <f t="array" ref="Q5">INDEX('Summarized Source Data'!$Q$600:$Q$743,MATCH(1,($A5=LoadFactorSeasons)*(Q$1=LoadFactorHours),0),)</f>
        <v>9.5246270412211356E-5</v>
      </c>
      <c r="R5" s="7" cm="1">
        <f t="array" ref="R5">INDEX('Summarized Source Data'!$Q$600:$Q$743,MATCH(1,($A5=LoadFactorSeasons)*(R$1=LoadFactorHours),0),)</f>
        <v>1.0819160370546907E-4</v>
      </c>
      <c r="S5" s="7" cm="1">
        <f t="array" ref="S5">INDEX('Summarized Source Data'!$Q$600:$Q$743,MATCH(1,($A5=LoadFactorSeasons)*(S$1=LoadFactorHours),0),)</f>
        <v>1.0881925622877854E-4</v>
      </c>
      <c r="T5" s="7" cm="1">
        <f t="array" ref="T5">INDEX('Summarized Source Data'!$Q$600:$Q$743,MATCH(1,($A5=LoadFactorSeasons)*(T$1=LoadFactorHours),0),)</f>
        <v>1.0128742594906494E-4</v>
      </c>
      <c r="U5" s="7" cm="1">
        <f t="array" ref="U5">INDEX('Summarized Source Data'!$Q$600:$Q$743,MATCH(1,($A5=LoadFactorSeasons)*(U$1=LoadFactorHours),0),)</f>
        <v>8.8969745179116703E-5</v>
      </c>
      <c r="V5" s="7" cm="1">
        <f t="array" ref="V5">INDEX('Summarized Source Data'!$Q$600:$Q$743,MATCH(1,($A5=LoadFactorSeasons)*(V$1=LoadFactorHours),0),)</f>
        <v>8.8028266394152497E-5</v>
      </c>
      <c r="W5" s="7" cm="1">
        <f t="array" ref="W5">INDEX('Summarized Source Data'!$Q$600:$Q$743,MATCH(1,($A5=LoadFactorSeasons)*(W$1=LoadFactorHours),0),)</f>
        <v>8.7400613870843017E-5</v>
      </c>
      <c r="X5" s="7" cm="1">
        <f t="array" ref="X5">INDEX('Summarized Source Data'!$Q$600:$Q$743,MATCH(1,($A5=LoadFactorSeasons)*(X$1=LoadFactorHours),0),)</f>
        <v>8.6929874478360934E-5</v>
      </c>
      <c r="Y5" s="7" cm="1">
        <f t="array" ref="Y5">INDEX('Summarized Source Data'!$Q$600:$Q$743,MATCH(1,($A5=LoadFactorSeasons)*(Y$1=LoadFactorHours),0),)</f>
        <v>5.8293228102366584E-5</v>
      </c>
    </row>
    <row r="6" spans="1:25" x14ac:dyDescent="0.3">
      <c r="A6" s="7" t="s">
        <v>172</v>
      </c>
      <c r="B6" s="7" cm="1">
        <f t="array" ref="B6">INDEX('Summarized Source Data'!$Q$600:$Q$743,MATCH(1,($A6=LoadFactorSeasons)*(B$1=LoadFactorHours),0),)</f>
        <v>6.6219302623283919E-5</v>
      </c>
      <c r="C6" s="7" cm="1">
        <f t="array" ref="C6">INDEX('Summarized Source Data'!$Q$600:$Q$743,MATCH(1,($A6=LoadFactorSeasons)*(C$1=LoadFactorHours),0),)</f>
        <v>6.5730398830331048E-5</v>
      </c>
      <c r="D6" s="7" cm="1">
        <f t="array" ref="D6">INDEX('Summarized Source Data'!$Q$600:$Q$743,MATCH(1,($A6=LoadFactorSeasons)*(D$1=LoadFactorHours),0),)</f>
        <v>6.5567430899346753E-5</v>
      </c>
      <c r="E6" s="7" cm="1">
        <f t="array" ref="E6">INDEX('Summarized Source Data'!$Q$600:$Q$743,MATCH(1,($A6=LoadFactorSeasons)*(E$1=LoadFactorHours),0),)</f>
        <v>6.5567430899346753E-5</v>
      </c>
      <c r="F6" s="7" cm="1">
        <f t="array" ref="F6">INDEX('Summarized Source Data'!$Q$600:$Q$743,MATCH(1,($A6=LoadFactorSeasons)*(F$1=LoadFactorHours),0),)</f>
        <v>6.5513108255685321E-5</v>
      </c>
      <c r="G6" s="7" cm="1">
        <f t="array" ref="G6">INDEX('Summarized Source Data'!$Q$600:$Q$743,MATCH(1,($A6=LoadFactorSeasons)*(G$1=LoadFactorHours),0),)</f>
        <v>6.5567430899346753E-5</v>
      </c>
      <c r="H6" s="7" cm="1">
        <f t="array" ref="H6">INDEX('Summarized Source Data'!$Q$600:$Q$743,MATCH(1,($A6=LoadFactorSeasons)*(H$1=LoadFactorHours),0),)</f>
        <v>8.0153060722440873E-5</v>
      </c>
      <c r="I6" s="7" cm="1">
        <f t="array" ref="I6">INDEX('Summarized Source Data'!$Q$600:$Q$743,MATCH(1,($A6=LoadFactorSeasons)*(I$1=LoadFactorHours),0),)</f>
        <v>1.4667113788586263E-4</v>
      </c>
      <c r="J6" s="7" cm="1">
        <f t="array" ref="J6">INDEX('Summarized Source Data'!$Q$600:$Q$743,MATCH(1,($A6=LoadFactorSeasons)*(J$1=LoadFactorHours),0),)</f>
        <v>1.4873539834499701E-4</v>
      </c>
      <c r="K6" s="7" cm="1">
        <f t="array" ref="K6">INDEX('Summarized Source Data'!$Q$600:$Q$743,MATCH(1,($A6=LoadFactorSeasons)*(K$1=LoadFactorHours),0),)</f>
        <v>1.3385099398176501E-4</v>
      </c>
      <c r="L6" s="7" cm="1">
        <f t="array" ref="L6">INDEX('Summarized Source Data'!$Q$600:$Q$743,MATCH(1,($A6=LoadFactorSeasons)*(L$1=LoadFactorHours),0),)</f>
        <v>1.3472015628034794E-4</v>
      </c>
      <c r="M6" s="7" cm="1">
        <f t="array" ref="M6">INDEX('Summarized Source Data'!$Q$600:$Q$743,MATCH(1,($A6=LoadFactorSeasons)*(M$1=LoadFactorHours),0),)</f>
        <v>1.355349959352694E-4</v>
      </c>
      <c r="N6" s="7" cm="1">
        <f t="array" ref="N6">INDEX('Summarized Source Data'!$Q$600:$Q$743,MATCH(1,($A6=LoadFactorSeasons)*(N$1=LoadFactorHours),0),)</f>
        <v>1.3118918444235492E-4</v>
      </c>
      <c r="O6" s="7" cm="1">
        <f t="array" ref="O6">INDEX('Summarized Source Data'!$Q$600:$Q$743,MATCH(1,($A6=LoadFactorSeasons)*(O$1=LoadFactorHours),0),)</f>
        <v>1.2168272180160458E-4</v>
      </c>
      <c r="P6" s="7" cm="1">
        <f t="array" ref="P6">INDEX('Summarized Source Data'!$Q$600:$Q$743,MATCH(1,($A6=LoadFactorSeasons)*(P$1=LoadFactorHours),0),)</f>
        <v>1.2141110858329744E-4</v>
      </c>
      <c r="Q6" s="7" cm="1">
        <f t="array" ref="Q6">INDEX('Summarized Source Data'!$Q$600:$Q$743,MATCH(1,($A6=LoadFactorSeasons)*(Q$1=LoadFactorHours),0),)</f>
        <v>1.3287318639585926E-4</v>
      </c>
      <c r="R6" s="7" cm="1">
        <f t="array" ref="R6">INDEX('Summarized Source Data'!$Q$600:$Q$743,MATCH(1,($A6=LoadFactorSeasons)*(R$1=LoadFactorHours),0),)</f>
        <v>1.4830081719570558E-4</v>
      </c>
      <c r="S6" s="7" cm="1">
        <f t="array" ref="S6">INDEX('Summarized Source Data'!$Q$600:$Q$743,MATCH(1,($A6=LoadFactorSeasons)*(S$1=LoadFactorHours),0),)</f>
        <v>1.4971320593090278E-4</v>
      </c>
      <c r="T6" s="7" cm="1">
        <f t="array" ref="T6">INDEX('Summarized Source Data'!$Q$600:$Q$743,MATCH(1,($A6=LoadFactorSeasons)*(T$1=LoadFactorHours),0),)</f>
        <v>1.4368339248448399E-4</v>
      </c>
      <c r="U6" s="7" cm="1">
        <f t="array" ref="U6">INDEX('Summarized Source Data'!$Q$600:$Q$743,MATCH(1,($A6=LoadFactorSeasons)*(U$1=LoadFactorHours),0),)</f>
        <v>1.4314016604786967E-4</v>
      </c>
      <c r="V6" s="7" cm="1">
        <f t="array" ref="V6">INDEX('Summarized Source Data'!$Q$600:$Q$743,MATCH(1,($A6=LoadFactorSeasons)*(V$1=LoadFactorHours),0),)</f>
        <v>1.4259693961125535E-4</v>
      </c>
      <c r="W6" s="7" cm="1">
        <f t="array" ref="W6">INDEX('Summarized Source Data'!$Q$600:$Q$743,MATCH(1,($A6=LoadFactorSeasons)*(W$1=LoadFactorHours),0),)</f>
        <v>1.4178209995633392E-4</v>
      </c>
      <c r="X6" s="7" cm="1">
        <f t="array" ref="X6">INDEX('Summarized Source Data'!$Q$600:$Q$743,MATCH(1,($A6=LoadFactorSeasons)*(X$1=LoadFactorHours),0),)</f>
        <v>1.4151048673802675E-4</v>
      </c>
      <c r="Y6" s="7" cm="1">
        <f t="array" ref="Y6">INDEX('Summarized Source Data'!$Q$600:$Q$743,MATCH(1,($A6=LoadFactorSeasons)*(Y$1=LoadFactorHours),0),)</f>
        <v>9.4793013189196424E-5</v>
      </c>
    </row>
    <row r="7" spans="1:25" x14ac:dyDescent="0.3">
      <c r="A7" s="7" t="s">
        <v>171</v>
      </c>
      <c r="B7" s="7" cm="1">
        <f t="array" ref="B7">INDEX('Summarized Source Data'!$Q$600:$Q$743,MATCH(1,($A7=LoadFactorSeasons)*(B$1=LoadFactorHours),0),)</f>
        <v>1.0381298637671222E-4</v>
      </c>
      <c r="C7" s="7" cm="1">
        <f t="array" ref="C7">INDEX('Summarized Source Data'!$Q$600:$Q$743,MATCH(1,($A7=LoadFactorSeasons)*(C$1=LoadFactorHours),0),)</f>
        <v>1.0314662861446532E-4</v>
      </c>
      <c r="D7" s="7" cm="1">
        <f t="array" ref="D7">INDEX('Summarized Source Data'!$Q$600:$Q$743,MATCH(1,($A7=LoadFactorSeasons)*(D$1=LoadFactorHours),0),)</f>
        <v>1.0295227426714332E-4</v>
      </c>
      <c r="E7" s="7" cm="1">
        <f t="array" ref="E7">INDEX('Summarized Source Data'!$Q$600:$Q$743,MATCH(1,($A7=LoadFactorSeasons)*(E$1=LoadFactorHours),0),)</f>
        <v>1.0295227426714332E-4</v>
      </c>
      <c r="F7" s="7" cm="1">
        <f t="array" ref="F7">INDEX('Summarized Source Data'!$Q$600:$Q$743,MATCH(1,($A7=LoadFactorSeasons)*(F$1=LoadFactorHours),0),)</f>
        <v>1.0286897954686246E-4</v>
      </c>
      <c r="G7" s="7" cm="1">
        <f t="array" ref="G7">INDEX('Summarized Source Data'!$Q$600:$Q$743,MATCH(1,($A7=LoadFactorSeasons)*(G$1=LoadFactorHours),0),)</f>
        <v>1.0298003917390362E-4</v>
      </c>
      <c r="H7" s="7" cm="1">
        <f t="array" ref="H7">INDEX('Summarized Source Data'!$Q$600:$Q$743,MATCH(1,($A7=LoadFactorSeasons)*(H$1=LoadFactorHours),0),)</f>
        <v>1.2577502762409906E-4</v>
      </c>
      <c r="I7" s="7" cm="1">
        <f t="array" ref="I7">INDEX('Summarized Source Data'!$Q$600:$Q$743,MATCH(1,($A7=LoadFactorSeasons)*(I$1=LoadFactorHours),0),)</f>
        <v>2.296713087210921E-4</v>
      </c>
      <c r="J7" s="7" cm="1">
        <f t="array" ref="J7">INDEX('Summarized Source Data'!$Q$600:$Q$743,MATCH(1,($A7=LoadFactorSeasons)*(J$1=LoadFactorHours),0),)</f>
        <v>2.3255885902416192E-4</v>
      </c>
      <c r="K7" s="7" cm="1">
        <f t="array" ref="K7">INDEX('Summarized Source Data'!$Q$600:$Q$743,MATCH(1,($A7=LoadFactorSeasons)*(K$1=LoadFactorHours),0),)</f>
        <v>2.0934739697256219E-4</v>
      </c>
      <c r="L7" s="7" cm="1">
        <f t="array" ref="L7">INDEX('Summarized Source Data'!$Q$600:$Q$743,MATCH(1,($A7=LoadFactorSeasons)*(L$1=LoadFactorHours),0),)</f>
        <v>2.1129094044578228E-4</v>
      </c>
      <c r="M7" s="7" cm="1">
        <f t="array" ref="M7">INDEX('Summarized Source Data'!$Q$600:$Q$743,MATCH(1,($A7=LoadFactorSeasons)*(M$1=LoadFactorHours),0),)</f>
        <v>2.121238876485909E-4</v>
      </c>
      <c r="N7" s="7" cm="1">
        <f t="array" ref="N7">INDEX('Summarized Source Data'!$Q$600:$Q$743,MATCH(1,($A7=LoadFactorSeasons)*(N$1=LoadFactorHours),0),)</f>
        <v>2.0490501189091633E-4</v>
      </c>
      <c r="O7" s="7" cm="1">
        <f t="array" ref="O7">INDEX('Summarized Source Data'!$Q$600:$Q$743,MATCH(1,($A7=LoadFactorSeasons)*(O$1=LoadFactorHours),0),)</f>
        <v>1.9018961130796432E-4</v>
      </c>
      <c r="P7" s="7" cm="1">
        <f t="array" ref="P7">INDEX('Summarized Source Data'!$Q$600:$Q$743,MATCH(1,($A7=LoadFactorSeasons)*(P$1=LoadFactorHours),0),)</f>
        <v>1.8991196224036147E-4</v>
      </c>
      <c r="Q7" s="7" cm="1">
        <f t="array" ref="Q7">INDEX('Summarized Source Data'!$Q$600:$Q$743,MATCH(1,($A7=LoadFactorSeasons)*(Q$1=LoadFactorHours),0),)</f>
        <v>2.0812574107510957E-4</v>
      </c>
      <c r="R7" s="7" cm="1">
        <f t="array" ref="R7">INDEX('Summarized Source Data'!$Q$600:$Q$743,MATCH(1,($A7=LoadFactorSeasons)*(R$1=LoadFactorHours),0),)</f>
        <v>2.3189250126191504E-4</v>
      </c>
      <c r="S7" s="7" cm="1">
        <f t="array" ref="S7">INDEX('Summarized Source Data'!$Q$600:$Q$743,MATCH(1,($A7=LoadFactorSeasons)*(S$1=LoadFactorHours),0),)</f>
        <v>2.3378051492161454E-4</v>
      </c>
      <c r="T7" s="7" cm="1">
        <f t="array" ref="T7">INDEX('Summarized Source Data'!$Q$600:$Q$743,MATCH(1,($A7=LoadFactorSeasons)*(T$1=LoadFactorHours),0),)</f>
        <v>2.2517339382592568E-4</v>
      </c>
      <c r="U7" s="7" cm="1">
        <f t="array" ref="U7">INDEX('Summarized Source Data'!$Q$600:$Q$743,MATCH(1,($A7=LoadFactorSeasons)*(U$1=LoadFactorHours),0),)</f>
        <v>2.2461809569071994E-4</v>
      </c>
      <c r="V7" s="7" cm="1">
        <f t="array" ref="V7">INDEX('Summarized Source Data'!$Q$600:$Q$743,MATCH(1,($A7=LoadFactorSeasons)*(V$1=LoadFactorHours),0),)</f>
        <v>2.2350749942030845E-4</v>
      </c>
      <c r="W7" s="7" cm="1">
        <f t="array" ref="W7">INDEX('Summarized Source Data'!$Q$600:$Q$743,MATCH(1,($A7=LoadFactorSeasons)*(W$1=LoadFactorHours),0),)</f>
        <v>2.2239690314989699E-4</v>
      </c>
      <c r="X7" s="7" cm="1">
        <f t="array" ref="X7">INDEX('Summarized Source Data'!$Q$600:$Q$743,MATCH(1,($A7=LoadFactorSeasons)*(X$1=LoadFactorHours),0),)</f>
        <v>2.2211925408229414E-4</v>
      </c>
      <c r="Y7" s="7" cm="1">
        <f t="array" ref="Y7">INDEX('Summarized Source Data'!$Q$600:$Q$743,MATCH(1,($A7=LoadFactorSeasons)*(Y$1=LoadFactorHours),0),)</f>
        <v>1.4937519837034282E-4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DA11-196B-42D0-91D7-8209AB2A2FAE}">
  <sheetPr codeName="Sheet23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Data'!$R$600:$R$743,MATCH(1,($A2=LoadFactorSeasons)*(B$1=LoadFactorHours),0),)</f>
        <v>8.6142606431415422E-5</v>
      </c>
      <c r="C2" s="7" cm="1">
        <f t="array" ref="C2">INDEX('Summarized Source Data'!$R$600:$R$743,MATCH(1,($A2=LoadFactorSeasons)*(C$1=LoadFactorHours),0),)</f>
        <v>8.5793561889286086E-5</v>
      </c>
      <c r="D2" s="7" cm="1">
        <f t="array" ref="D2">INDEX('Summarized Source Data'!$R$600:$R$743,MATCH(1,($A2=LoadFactorSeasons)*(D$1=LoadFactorHours),0),)</f>
        <v>8.5738032075765504E-5</v>
      </c>
      <c r="E2" s="7" cm="1">
        <f t="array" ref="E2">INDEX('Summarized Source Data'!$R$600:$R$743,MATCH(1,($A2=LoadFactorSeasons)*(E$1=LoadFactorHours),0),)</f>
        <v>8.5738032075765504E-5</v>
      </c>
      <c r="F2" s="7" cm="1">
        <f t="array" ref="F2">INDEX('Summarized Source Data'!$R$600:$R$743,MATCH(1,($A2=LoadFactorSeasons)*(F$1=LoadFactorHours),0),)</f>
        <v>8.57142335842567E-5</v>
      </c>
      <c r="G2" s="7" cm="1">
        <f t="array" ref="G2">INDEX('Summarized Source Data'!$R$600:$R$743,MATCH(1,($A2=LoadFactorSeasons)*(G$1=LoadFactorHours),0),)</f>
        <v>8.5904621516327251E-5</v>
      </c>
      <c r="H2" s="7" cm="1">
        <f t="array" ref="H2">INDEX('Summarized Source Data'!$R$600:$R$743,MATCH(1,($A2=LoadFactorSeasons)*(H$1=LoadFactorHours),0),)</f>
        <v>1.177232046636159E-4</v>
      </c>
      <c r="I2" s="7" cm="1">
        <f t="array" ref="I2">INDEX('Summarized Source Data'!$R$600:$R$743,MATCH(1,($A2=LoadFactorSeasons)*(I$1=LoadFactorHours),0),)</f>
        <v>2.1053732154800305E-4</v>
      </c>
      <c r="J2" s="7" cm="1">
        <f t="array" ref="J2">INDEX('Summarized Source Data'!$R$600:$R$743,MATCH(1,($A2=LoadFactorSeasons)*(J$1=LoadFactorHours),0),)</f>
        <v>2.1942209171129482E-4</v>
      </c>
      <c r="K2" s="7" cm="1">
        <f t="array" ref="K2">INDEX('Summarized Source Data'!$R$600:$R$743,MATCH(1,($A2=LoadFactorSeasons)*(K$1=LoadFactorHours),0),)</f>
        <v>2.0760217426191559E-4</v>
      </c>
      <c r="L2" s="7" cm="1">
        <f t="array" ref="L2">INDEX('Summarized Source Data'!$R$600:$R$743,MATCH(1,($A2=LoadFactorSeasons)*(L$1=LoadFactorHours),0),)</f>
        <v>1.8388301105812778E-4</v>
      </c>
      <c r="M2" s="7" cm="1">
        <f t="array" ref="M2">INDEX('Summarized Source Data'!$R$600:$R$743,MATCH(1,($A2=LoadFactorSeasons)*(M$1=LoadFactorHours),0),)</f>
        <v>1.8420032427824532E-4</v>
      </c>
      <c r="N2" s="7" cm="1">
        <f t="array" ref="N2">INDEX('Summarized Source Data'!$R$600:$R$743,MATCH(1,($A2=LoadFactorSeasons)*(N$1=LoadFactorHours),0),)</f>
        <v>1.8245510156759872E-4</v>
      </c>
      <c r="O2" s="7" cm="1">
        <f t="array" ref="O2">INDEX('Summarized Source Data'!$R$600:$R$743,MATCH(1,($A2=LoadFactorSeasons)*(O$1=LoadFactorHours),0),)</f>
        <v>1.781713730960116E-4</v>
      </c>
      <c r="P2" s="7" cm="1">
        <f t="array" ref="P2">INDEX('Summarized Source Data'!$R$600:$R$743,MATCH(1,($A2=LoadFactorSeasons)*(P$1=LoadFactorHours),0),)</f>
        <v>1.7785405987589406E-4</v>
      </c>
      <c r="Q2" s="7" cm="1">
        <f t="array" ref="Q2">INDEX('Summarized Source Data'!$R$600:$R$743,MATCH(1,($A2=LoadFactorSeasons)*(Q$1=LoadFactorHours),0),)</f>
        <v>2.0276314765512278E-4</v>
      </c>
      <c r="R2" s="7" cm="1">
        <f t="array" ref="R2">INDEX('Summarized Source Data'!$R$600:$R$743,MATCH(1,($A2=LoadFactorSeasons)*(R$1=LoadFactorHours),0),)</f>
        <v>2.299727562802038E-4</v>
      </c>
      <c r="S2" s="7" cm="1">
        <f t="array" ref="S2">INDEX('Summarized Source Data'!$R$600:$R$743,MATCH(1,($A2=LoadFactorSeasons)*(S$1=LoadFactorHours),0),)</f>
        <v>2.3140066577073286E-4</v>
      </c>
      <c r="T2" s="7" cm="1">
        <f t="array" ref="T2">INDEX('Summarized Source Data'!$R$600:$R$743,MATCH(1,($A2=LoadFactorSeasons)*(T$1=LoadFactorHours),0),)</f>
        <v>2.1561433306988408E-4</v>
      </c>
      <c r="U2" s="7" cm="1">
        <f t="array" ref="U2">INDEX('Summarized Source Data'!$R$600:$R$743,MATCH(1,($A2=LoadFactorSeasons)*(U$1=LoadFactorHours),0),)</f>
        <v>1.8935666410515575E-4</v>
      </c>
      <c r="V2" s="7" cm="1">
        <f t="array" ref="V2">INDEX('Summarized Source Data'!$R$600:$R$743,MATCH(1,($A2=LoadFactorSeasons)*(V$1=LoadFactorHours),0),)</f>
        <v>1.8737345647942095E-4</v>
      </c>
      <c r="W2" s="7" cm="1">
        <f t="array" ref="W2">INDEX('Summarized Source Data'!$R$600:$R$743,MATCH(1,($A2=LoadFactorSeasons)*(W$1=LoadFactorHours),0),)</f>
        <v>1.8602487529392129E-4</v>
      </c>
      <c r="X2" s="7" cm="1">
        <f t="array" ref="X2">INDEX('Summarized Source Data'!$R$600:$R$743,MATCH(1,($A2=LoadFactorSeasons)*(X$1=LoadFactorHours),0),)</f>
        <v>1.8499360732853926E-4</v>
      </c>
      <c r="Y2" s="7" cm="1">
        <f t="array" ref="Y2">INDEX('Summarized Source Data'!$R$600:$R$743,MATCH(1,($A2=LoadFactorSeasons)*(Y$1=LoadFactorHours),0),)</f>
        <v>1.2422812567602592E-4</v>
      </c>
    </row>
    <row r="3" spans="1:25" x14ac:dyDescent="0.3">
      <c r="A3" s="7" t="s">
        <v>164</v>
      </c>
      <c r="B3" s="7" cm="1">
        <f t="array" ref="B3">INDEX('Summarized Source Data'!$R$600:$R$743,MATCH(1,($A3=LoadFactorSeasons)*(B$1=LoadFactorHours),0),)</f>
        <v>5.8955589127984047E-5</v>
      </c>
      <c r="C3" s="7" cm="1">
        <f t="array" ref="C3">INDEX('Summarized Source Data'!$R$600:$R$743,MATCH(1,($A3=LoadFactorSeasons)*(C$1=LoadFactorHours),0),)</f>
        <v>5.8738298553338321E-5</v>
      </c>
      <c r="D3" s="7" cm="1">
        <f t="array" ref="D3">INDEX('Summarized Source Data'!$R$600:$R$743,MATCH(1,($A3=LoadFactorSeasons)*(D$1=LoadFactorHours),0),)</f>
        <v>5.869949666500873E-5</v>
      </c>
      <c r="E3" s="7" cm="1">
        <f t="array" ref="E3">INDEX('Summarized Source Data'!$R$600:$R$743,MATCH(1,($A3=LoadFactorSeasons)*(E$1=LoadFactorHours),0),)</f>
        <v>5.869949666500873E-5</v>
      </c>
      <c r="F3" s="7" cm="1">
        <f t="array" ref="F3">INDEX('Summarized Source Data'!$R$600:$R$743,MATCH(1,($A3=LoadFactorSeasons)*(F$1=LoadFactorHours),0),)</f>
        <v>5.8683975909676896E-5</v>
      </c>
      <c r="G3" s="7" cm="1">
        <f t="array" ref="G3">INDEX('Summarized Source Data'!$R$600:$R$743,MATCH(1,($A3=LoadFactorSeasons)*(G$1=LoadFactorHours),0),)</f>
        <v>5.8777100441667926E-5</v>
      </c>
      <c r="H3" s="7" cm="1">
        <f t="array" ref="H3">INDEX('Summarized Source Data'!$R$600:$R$743,MATCH(1,($A3=LoadFactorSeasons)*(H$1=LoadFactorHours),0),)</f>
        <v>8.0630323948894882E-5</v>
      </c>
      <c r="I3" s="7" cm="1">
        <f t="array" ref="I3">INDEX('Summarized Source Data'!$R$600:$R$743,MATCH(1,($A3=LoadFactorSeasons)*(I$1=LoadFactorHours),0),)</f>
        <v>1.4426542080942786E-4</v>
      </c>
      <c r="J3" s="7" cm="1">
        <f t="array" ref="J3">INDEX('Summarized Source Data'!$R$600:$R$743,MATCH(1,($A3=LoadFactorSeasons)*(J$1=LoadFactorHours),0),)</f>
        <v>1.503961191655036E-4</v>
      </c>
      <c r="K3" s="7" cm="1">
        <f t="array" ref="K3">INDEX('Summarized Source Data'!$R$600:$R$743,MATCH(1,($A3=LoadFactorSeasons)*(K$1=LoadFactorHours),0),)</f>
        <v>1.4232532639294821E-4</v>
      </c>
      <c r="L3" s="7" cm="1">
        <f t="array" ref="L3">INDEX('Summarized Source Data'!$R$600:$R$743,MATCH(1,($A3=LoadFactorSeasons)*(L$1=LoadFactorHours),0),)</f>
        <v>1.2602853329451901E-4</v>
      </c>
      <c r="M3" s="7" cm="1">
        <f t="array" ref="M3">INDEX('Summarized Source Data'!$R$600:$R$743,MATCH(1,($A3=LoadFactorSeasons)*(M$1=LoadFactorHours),0),)</f>
        <v>1.2633894840115577E-4</v>
      </c>
      <c r="N3" s="7" cm="1">
        <f t="array" ref="N3">INDEX('Summarized Source Data'!$R$600:$R$743,MATCH(1,($A3=LoadFactorSeasons)*(N$1=LoadFactorHours),0),)</f>
        <v>1.2517489175126797E-4</v>
      </c>
      <c r="O3" s="7" cm="1">
        <f t="array" ref="O3">INDEX('Summarized Source Data'!$R$600:$R$743,MATCH(1,($A3=LoadFactorSeasons)*(O$1=LoadFactorHours),0),)</f>
        <v>1.2214834446155968E-4</v>
      </c>
      <c r="P3" s="7" cm="1">
        <f t="array" ref="P3">INDEX('Summarized Source Data'!$R$600:$R$743,MATCH(1,($A3=LoadFactorSeasons)*(P$1=LoadFactorHours),0),)</f>
        <v>1.2191553313158214E-4</v>
      </c>
      <c r="Q3" s="7" cm="1">
        <f t="array" ref="Q3">INDEX('Summarized Source Data'!$R$600:$R$743,MATCH(1,($A3=LoadFactorSeasons)*(Q$1=LoadFactorHours),0),)</f>
        <v>1.38910760219944E-4</v>
      </c>
      <c r="R3" s="7" cm="1">
        <f t="array" ref="R3">INDEX('Summarized Source Data'!$R$600:$R$743,MATCH(1,($A3=LoadFactorSeasons)*(R$1=LoadFactorHours),0),)</f>
        <v>1.5776847794812633E-4</v>
      </c>
      <c r="S3" s="7" cm="1">
        <f t="array" ref="S3">INDEX('Summarized Source Data'!$R$600:$R$743,MATCH(1,($A3=LoadFactorSeasons)*(S$1=LoadFactorHours),0),)</f>
        <v>1.5869972326803657E-4</v>
      </c>
      <c r="T3" s="7" cm="1">
        <f t="array" ref="T3">INDEX('Summarized Source Data'!$R$600:$R$743,MATCH(1,($A3=LoadFactorSeasons)*(T$1=LoadFactorHours),0),)</f>
        <v>1.4775759075909124E-4</v>
      </c>
      <c r="U3" s="7" cm="1">
        <f t="array" ref="U3">INDEX('Summarized Source Data'!$R$600:$R$743,MATCH(1,($A3=LoadFactorSeasons)*(U$1=LoadFactorHours),0),)</f>
        <v>1.2975351457415998E-4</v>
      </c>
      <c r="V3" s="7" cm="1">
        <f t="array" ref="V3">INDEX('Summarized Source Data'!$R$600:$R$743,MATCH(1,($A3=LoadFactorSeasons)*(V$1=LoadFactorHours),0),)</f>
        <v>1.2843425037095378E-4</v>
      </c>
      <c r="W3" s="7" cm="1">
        <f t="array" ref="W3">INDEX('Summarized Source Data'!$R$600:$R$743,MATCH(1,($A3=LoadFactorSeasons)*(W$1=LoadFactorHours),0),)</f>
        <v>1.2734779749772521E-4</v>
      </c>
      <c r="X3" s="7" cm="1">
        <f t="array" ref="X3">INDEX('Summarized Source Data'!$R$600:$R$743,MATCH(1,($A3=LoadFactorSeasons)*(X$1=LoadFactorHours),0),)</f>
        <v>1.265717597311333E-4</v>
      </c>
      <c r="Y3" s="7" cm="1">
        <f t="array" ref="Y3">INDEX('Summarized Source Data'!$R$600:$R$743,MATCH(1,($A3=LoadFactorSeasons)*(Y$1=LoadFactorHours),0),)</f>
        <v>8.4898531665150123E-5</v>
      </c>
    </row>
    <row r="4" spans="1:25" x14ac:dyDescent="0.3">
      <c r="A4" s="7" t="s">
        <v>165</v>
      </c>
      <c r="B4" s="7" cm="1">
        <f t="array" ref="B4">INDEX('Summarized Source Data'!$R$600:$R$743,MATCH(1,($A4=LoadFactorSeasons)*(B$1=LoadFactorHours),0),)</f>
        <v>5.4850349342713081E-5</v>
      </c>
      <c r="C4" s="7" cm="1">
        <f t="array" ref="C4">INDEX('Summarized Source Data'!$R$600:$R$743,MATCH(1,($A4=LoadFactorSeasons)*(C$1=LoadFactorHours),0),)</f>
        <v>5.471066254472655E-5</v>
      </c>
      <c r="D4" s="7" cm="1">
        <f t="array" ref="D4">INDEX('Summarized Source Data'!$R$600:$R$743,MATCH(1,($A4=LoadFactorSeasons)*(D$1=LoadFactorHours),0),)</f>
        <v>5.458649650207184E-5</v>
      </c>
      <c r="E4" s="7" cm="1">
        <f t="array" ref="E4">INDEX('Summarized Source Data'!$R$600:$R$743,MATCH(1,($A4=LoadFactorSeasons)*(E$1=LoadFactorHours),0),)</f>
        <v>5.4664100278731029E-5</v>
      </c>
      <c r="F4" s="7" cm="1">
        <f t="array" ref="F4">INDEX('Summarized Source Data'!$R$600:$R$743,MATCH(1,($A4=LoadFactorSeasons)*(F$1=LoadFactorHours),0),)</f>
        <v>5.4570975746740006E-5</v>
      </c>
      <c r="G4" s="7" cm="1">
        <f t="array" ref="G4">INDEX('Summarized Source Data'!$R$600:$R$743,MATCH(1,($A4=LoadFactorSeasons)*(G$1=LoadFactorHours),0),)</f>
        <v>5.4741704055390224E-5</v>
      </c>
      <c r="H4" s="7" cm="1">
        <f t="array" ref="H4">INDEX('Summarized Source Data'!$R$600:$R$743,MATCH(1,($A4=LoadFactorSeasons)*(H$1=LoadFactorHours),0),)</f>
        <v>7.4973008630440169E-5</v>
      </c>
      <c r="I4" s="7" cm="1">
        <f t="array" ref="I4">INDEX('Summarized Source Data'!$R$600:$R$743,MATCH(1,($A4=LoadFactorSeasons)*(I$1=LoadFactorHours),0),)</f>
        <v>1.3433213739705196E-4</v>
      </c>
      <c r="J4" s="7" cm="1">
        <f t="array" ref="J4">INDEX('Summarized Source Data'!$R$600:$R$743,MATCH(1,($A4=LoadFactorSeasons)*(J$1=LoadFactorHours),0),)</f>
        <v>1.4023002442315019E-4</v>
      </c>
      <c r="K4" s="7" cm="1">
        <f t="array" ref="K4">INDEX('Summarized Source Data'!$R$600:$R$743,MATCH(1,($A4=LoadFactorSeasons)*(K$1=LoadFactorHours),0),)</f>
        <v>1.3262485431054987E-4</v>
      </c>
      <c r="L4" s="7" cm="1">
        <f t="array" ref="L4">INDEX('Summarized Source Data'!$R$600:$R$743,MATCH(1,($A4=LoadFactorSeasons)*(L$1=LoadFactorHours),0),)</f>
        <v>1.1741451408534931E-4</v>
      </c>
      <c r="M4" s="7" cm="1">
        <f t="array" ref="M4">INDEX('Summarized Source Data'!$R$600:$R$743,MATCH(1,($A4=LoadFactorSeasons)*(M$1=LoadFactorHours),0),)</f>
        <v>1.1764732541532687E-4</v>
      </c>
      <c r="N4" s="7" cm="1">
        <f t="array" ref="N4">INDEX('Summarized Source Data'!$R$600:$R$743,MATCH(1,($A4=LoadFactorSeasons)*(N$1=LoadFactorHours),0),)</f>
        <v>1.1663847631875744E-4</v>
      </c>
      <c r="O4" s="7" cm="1">
        <f t="array" ref="O4">INDEX('Summarized Source Data'!$R$600:$R$743,MATCH(1,($A4=LoadFactorSeasons)*(O$1=LoadFactorHours),0),)</f>
        <v>1.1392234413568592E-4</v>
      </c>
      <c r="P4" s="7" cm="1">
        <f t="array" ref="P4">INDEX('Summarized Source Data'!$R$600:$R$743,MATCH(1,($A4=LoadFactorSeasons)*(P$1=LoadFactorHours),0),)</f>
        <v>1.1361192902904916E-4</v>
      </c>
      <c r="Q4" s="7" cm="1">
        <f t="array" ref="Q4">INDEX('Summarized Source Data'!$R$600:$R$743,MATCH(1,($A4=LoadFactorSeasons)*(Q$1=LoadFactorHours),0),)</f>
        <v>1.2952070324418242E-4</v>
      </c>
      <c r="R4" s="7" cm="1">
        <f t="array" ref="R4">INDEX('Summarized Source Data'!$R$600:$R$743,MATCH(1,($A4=LoadFactorSeasons)*(R$1=LoadFactorHours),0),)</f>
        <v>1.4705915676915858E-4</v>
      </c>
      <c r="S4" s="7" cm="1">
        <f t="array" ref="S4">INDEX('Summarized Source Data'!$R$600:$R$743,MATCH(1,($A4=LoadFactorSeasons)*(S$1=LoadFactorHours),0),)</f>
        <v>1.4806800586572799E-4</v>
      </c>
      <c r="T4" s="7" cm="1">
        <f t="array" ref="T4">INDEX('Summarized Source Data'!$R$600:$R$743,MATCH(1,($A4=LoadFactorSeasons)*(T$1=LoadFactorHours),0),)</f>
        <v>1.3790191112337456E-4</v>
      </c>
      <c r="U4" s="7" cm="1">
        <f t="array" ref="U4">INDEX('Summarized Source Data'!$R$600:$R$743,MATCH(1,($A4=LoadFactorSeasons)*(U$1=LoadFactorHours),0),)</f>
        <v>1.2098428781167189E-4</v>
      </c>
      <c r="V4" s="7" cm="1">
        <f t="array" ref="V4">INDEX('Summarized Source Data'!$R$600:$R$743,MATCH(1,($A4=LoadFactorSeasons)*(V$1=LoadFactorHours),0),)</f>
        <v>1.196650236084657E-4</v>
      </c>
      <c r="W4" s="7" cm="1">
        <f t="array" ref="W4">INDEX('Summarized Source Data'!$R$600:$R$743,MATCH(1,($A4=LoadFactorSeasons)*(W$1=LoadFactorHours),0),)</f>
        <v>1.186561745118963E-4</v>
      </c>
      <c r="X4" s="7" cm="1">
        <f t="array" ref="X4">INDEX('Summarized Source Data'!$R$600:$R$743,MATCH(1,($A4=LoadFactorSeasons)*(X$1=LoadFactorHours),0),)</f>
        <v>1.1788013674530443E-4</v>
      </c>
      <c r="Y4" s="7" cm="1">
        <f t="array" ref="Y4">INDEX('Summarized Source Data'!$R$600:$R$743,MATCH(1,($A4=LoadFactorSeasons)*(Y$1=LoadFactorHours),0),)</f>
        <v>7.9078248415711115E-5</v>
      </c>
    </row>
    <row r="5" spans="1:25" x14ac:dyDescent="0.3">
      <c r="A5" s="7" t="s">
        <v>166</v>
      </c>
      <c r="B5" s="7" cm="1">
        <f t="array" ref="B5">INDEX('Summarized Source Data'!$R$600:$R$743,MATCH(1,($A5=LoadFactorSeasons)*(B$1=LoadFactorHours),0),)</f>
        <v>4.0452205127295038E-5</v>
      </c>
      <c r="C5" s="7" cm="1">
        <f t="array" ref="C5">INDEX('Summarized Source Data'!$R$600:$R$743,MATCH(1,($A5=LoadFactorSeasons)*(C$1=LoadFactorHours),0),)</f>
        <v>4.0279600683384928E-5</v>
      </c>
      <c r="D5" s="7" cm="1">
        <f t="array" ref="D5">INDEX('Summarized Source Data'!$R$600:$R$743,MATCH(1,($A5=LoadFactorSeasons)*(D$1=LoadFactorHours),0),)</f>
        <v>4.0256063713760832E-5</v>
      </c>
      <c r="E5" s="7" cm="1">
        <f t="array" ref="E5">INDEX('Summarized Source Data'!$R$600:$R$743,MATCH(1,($A5=LoadFactorSeasons)*(E$1=LoadFactorHours),0),)</f>
        <v>4.0256063713760832E-5</v>
      </c>
      <c r="F5" s="7" cm="1">
        <f t="array" ref="F5">INDEX('Summarized Source Data'!$R$600:$R$743,MATCH(1,($A5=LoadFactorSeasons)*(F$1=LoadFactorHours),0),)</f>
        <v>4.0240372400678092E-5</v>
      </c>
      <c r="G5" s="7" cm="1">
        <f t="array" ref="G5">INDEX('Summarized Source Data'!$R$600:$R$743,MATCH(1,($A5=LoadFactorSeasons)*(G$1=LoadFactorHours),0),)</f>
        <v>4.0412976844588195E-5</v>
      </c>
      <c r="H5" s="7" cm="1">
        <f t="array" ref="H5">INDEX('Summarized Source Data'!$R$600:$R$743,MATCH(1,($A5=LoadFactorSeasons)*(H$1=LoadFactorHours),0),)</f>
        <v>5.5390335182060313E-5</v>
      </c>
      <c r="I5" s="7" cm="1">
        <f t="array" ref="I5">INDEX('Summarized Source Data'!$R$600:$R$743,MATCH(1,($A5=LoadFactorSeasons)*(I$1=LoadFactorHours),0),)</f>
        <v>9.8933728986654444E-5</v>
      </c>
      <c r="J5" s="7" cm="1">
        <f t="array" ref="J5">INDEX('Summarized Source Data'!$R$600:$R$743,MATCH(1,($A5=LoadFactorSeasons)*(J$1=LoadFactorHours),0),)</f>
        <v>1.0309192695357966E-4</v>
      </c>
      <c r="K5" s="7" cm="1">
        <f t="array" ref="K5">INDEX('Summarized Source Data'!$R$600:$R$743,MATCH(1,($A5=LoadFactorSeasons)*(K$1=LoadFactorHours),0),)</f>
        <v>9.7521510809208154E-5</v>
      </c>
      <c r="L5" s="7" cm="1">
        <f t="array" ref="L5">INDEX('Summarized Source Data'!$R$600:$R$743,MATCH(1,($A5=LoadFactorSeasons)*(L$1=LoadFactorHours),0),)</f>
        <v>8.6459135085878823E-5</v>
      </c>
      <c r="M5" s="7" cm="1">
        <f t="array" ref="M5">INDEX('Summarized Source Data'!$R$600:$R$743,MATCH(1,($A5=LoadFactorSeasons)*(M$1=LoadFactorHours),0),)</f>
        <v>8.6616048216706193E-5</v>
      </c>
      <c r="N5" s="7" cm="1">
        <f t="array" ref="N5">INDEX('Summarized Source Data'!$R$600:$R$743,MATCH(1,($A5=LoadFactorSeasons)*(N$1=LoadFactorHours),0),)</f>
        <v>8.5753025997155685E-5</v>
      </c>
      <c r="O5" s="7" cm="1">
        <f t="array" ref="O5">INDEX('Summarized Source Data'!$R$600:$R$743,MATCH(1,($A5=LoadFactorSeasons)*(O$1=LoadFactorHours),0),)</f>
        <v>8.3791611861813614E-5</v>
      </c>
      <c r="P5" s="7" cm="1">
        <f t="array" ref="P5">INDEX('Summarized Source Data'!$R$600:$R$743,MATCH(1,($A5=LoadFactorSeasons)*(P$1=LoadFactorHours),0),)</f>
        <v>8.3556242165572559E-5</v>
      </c>
      <c r="Q5" s="7" cm="1">
        <f t="array" ref="Q5">INDEX('Summarized Source Data'!$R$600:$R$743,MATCH(1,($A5=LoadFactorSeasons)*(Q$1=LoadFactorHours),0),)</f>
        <v>9.5246270412211356E-5</v>
      </c>
      <c r="R5" s="7" cm="1">
        <f t="array" ref="R5">INDEX('Summarized Source Data'!$R$600:$R$743,MATCH(1,($A5=LoadFactorSeasons)*(R$1=LoadFactorHours),0),)</f>
        <v>1.0819160370546907E-4</v>
      </c>
      <c r="S5" s="7" cm="1">
        <f t="array" ref="S5">INDEX('Summarized Source Data'!$R$600:$R$743,MATCH(1,($A5=LoadFactorSeasons)*(S$1=LoadFactorHours),0),)</f>
        <v>1.0881925622877854E-4</v>
      </c>
      <c r="T5" s="7" cm="1">
        <f t="array" ref="T5">INDEX('Summarized Source Data'!$R$600:$R$743,MATCH(1,($A5=LoadFactorSeasons)*(T$1=LoadFactorHours),0),)</f>
        <v>1.0128742594906494E-4</v>
      </c>
      <c r="U5" s="7" cm="1">
        <f t="array" ref="U5">INDEX('Summarized Source Data'!$R$600:$R$743,MATCH(1,($A5=LoadFactorSeasons)*(U$1=LoadFactorHours),0),)</f>
        <v>8.8969745179116703E-5</v>
      </c>
      <c r="V5" s="7" cm="1">
        <f t="array" ref="V5">INDEX('Summarized Source Data'!$R$600:$R$743,MATCH(1,($A5=LoadFactorSeasons)*(V$1=LoadFactorHours),0),)</f>
        <v>8.8028266394152497E-5</v>
      </c>
      <c r="W5" s="7" cm="1">
        <f t="array" ref="W5">INDEX('Summarized Source Data'!$R$600:$R$743,MATCH(1,($A5=LoadFactorSeasons)*(W$1=LoadFactorHours),0),)</f>
        <v>8.7400613870843017E-5</v>
      </c>
      <c r="X5" s="7" cm="1">
        <f t="array" ref="X5">INDEX('Summarized Source Data'!$R$600:$R$743,MATCH(1,($A5=LoadFactorSeasons)*(X$1=LoadFactorHours),0),)</f>
        <v>8.6929874478360934E-5</v>
      </c>
      <c r="Y5" s="7" cm="1">
        <f t="array" ref="Y5">INDEX('Summarized Source Data'!$R$600:$R$743,MATCH(1,($A5=LoadFactorSeasons)*(Y$1=LoadFactorHours),0),)</f>
        <v>5.8293228102366584E-5</v>
      </c>
    </row>
    <row r="6" spans="1:25" x14ac:dyDescent="0.3">
      <c r="A6" s="7" t="s">
        <v>172</v>
      </c>
      <c r="B6" s="7" cm="1">
        <f t="array" ref="B6">INDEX('Summarized Source Data'!$R$600:$R$743,MATCH(1,($A6=LoadFactorSeasons)*(B$1=LoadFactorHours),0),)</f>
        <v>6.6219302623283919E-5</v>
      </c>
      <c r="C6" s="7" cm="1">
        <f t="array" ref="C6">INDEX('Summarized Source Data'!$R$600:$R$743,MATCH(1,($A6=LoadFactorSeasons)*(C$1=LoadFactorHours),0),)</f>
        <v>6.5730398830331048E-5</v>
      </c>
      <c r="D6" s="7" cm="1">
        <f t="array" ref="D6">INDEX('Summarized Source Data'!$R$600:$R$743,MATCH(1,($A6=LoadFactorSeasons)*(D$1=LoadFactorHours),0),)</f>
        <v>6.5567430899346753E-5</v>
      </c>
      <c r="E6" s="7" cm="1">
        <f t="array" ref="E6">INDEX('Summarized Source Data'!$R$600:$R$743,MATCH(1,($A6=LoadFactorSeasons)*(E$1=LoadFactorHours),0),)</f>
        <v>6.5567430899346753E-5</v>
      </c>
      <c r="F6" s="7" cm="1">
        <f t="array" ref="F6">INDEX('Summarized Source Data'!$R$600:$R$743,MATCH(1,($A6=LoadFactorSeasons)*(F$1=LoadFactorHours),0),)</f>
        <v>6.5513108255685321E-5</v>
      </c>
      <c r="G6" s="7" cm="1">
        <f t="array" ref="G6">INDEX('Summarized Source Data'!$R$600:$R$743,MATCH(1,($A6=LoadFactorSeasons)*(G$1=LoadFactorHours),0),)</f>
        <v>6.5567430899346753E-5</v>
      </c>
      <c r="H6" s="7" cm="1">
        <f t="array" ref="H6">INDEX('Summarized Source Data'!$R$600:$R$743,MATCH(1,($A6=LoadFactorSeasons)*(H$1=LoadFactorHours),0),)</f>
        <v>8.0153060722440873E-5</v>
      </c>
      <c r="I6" s="7" cm="1">
        <f t="array" ref="I6">INDEX('Summarized Source Data'!$R$600:$R$743,MATCH(1,($A6=LoadFactorSeasons)*(I$1=LoadFactorHours),0),)</f>
        <v>1.4667113788586263E-4</v>
      </c>
      <c r="J6" s="7" cm="1">
        <f t="array" ref="J6">INDEX('Summarized Source Data'!$R$600:$R$743,MATCH(1,($A6=LoadFactorSeasons)*(J$1=LoadFactorHours),0),)</f>
        <v>1.4873539834499701E-4</v>
      </c>
      <c r="K6" s="7" cm="1">
        <f t="array" ref="K6">INDEX('Summarized Source Data'!$R$600:$R$743,MATCH(1,($A6=LoadFactorSeasons)*(K$1=LoadFactorHours),0),)</f>
        <v>1.3385099398176501E-4</v>
      </c>
      <c r="L6" s="7" cm="1">
        <f t="array" ref="L6">INDEX('Summarized Source Data'!$R$600:$R$743,MATCH(1,($A6=LoadFactorSeasons)*(L$1=LoadFactorHours),0),)</f>
        <v>1.3472015628034794E-4</v>
      </c>
      <c r="M6" s="7" cm="1">
        <f t="array" ref="M6">INDEX('Summarized Source Data'!$R$600:$R$743,MATCH(1,($A6=LoadFactorSeasons)*(M$1=LoadFactorHours),0),)</f>
        <v>1.355349959352694E-4</v>
      </c>
      <c r="N6" s="7" cm="1">
        <f t="array" ref="N6">INDEX('Summarized Source Data'!$R$600:$R$743,MATCH(1,($A6=LoadFactorSeasons)*(N$1=LoadFactorHours),0),)</f>
        <v>1.3118918444235492E-4</v>
      </c>
      <c r="O6" s="7" cm="1">
        <f t="array" ref="O6">INDEX('Summarized Source Data'!$R$600:$R$743,MATCH(1,($A6=LoadFactorSeasons)*(O$1=LoadFactorHours),0),)</f>
        <v>1.2168272180160458E-4</v>
      </c>
      <c r="P6" s="7" cm="1">
        <f t="array" ref="P6">INDEX('Summarized Source Data'!$R$600:$R$743,MATCH(1,($A6=LoadFactorSeasons)*(P$1=LoadFactorHours),0),)</f>
        <v>1.2141110858329744E-4</v>
      </c>
      <c r="Q6" s="7" cm="1">
        <f t="array" ref="Q6">INDEX('Summarized Source Data'!$R$600:$R$743,MATCH(1,($A6=LoadFactorSeasons)*(Q$1=LoadFactorHours),0),)</f>
        <v>1.3287318639585926E-4</v>
      </c>
      <c r="R6" s="7" cm="1">
        <f t="array" ref="R6">INDEX('Summarized Source Data'!$R$600:$R$743,MATCH(1,($A6=LoadFactorSeasons)*(R$1=LoadFactorHours),0),)</f>
        <v>1.4830081719570558E-4</v>
      </c>
      <c r="S6" s="7" cm="1">
        <f t="array" ref="S6">INDEX('Summarized Source Data'!$R$600:$R$743,MATCH(1,($A6=LoadFactorSeasons)*(S$1=LoadFactorHours),0),)</f>
        <v>1.4971320593090278E-4</v>
      </c>
      <c r="T6" s="7" cm="1">
        <f t="array" ref="T6">INDEX('Summarized Source Data'!$R$600:$R$743,MATCH(1,($A6=LoadFactorSeasons)*(T$1=LoadFactorHours),0),)</f>
        <v>1.4368339248448399E-4</v>
      </c>
      <c r="U6" s="7" cm="1">
        <f t="array" ref="U6">INDEX('Summarized Source Data'!$R$600:$R$743,MATCH(1,($A6=LoadFactorSeasons)*(U$1=LoadFactorHours),0),)</f>
        <v>1.4314016604786967E-4</v>
      </c>
      <c r="V6" s="7" cm="1">
        <f t="array" ref="V6">INDEX('Summarized Source Data'!$R$600:$R$743,MATCH(1,($A6=LoadFactorSeasons)*(V$1=LoadFactorHours),0),)</f>
        <v>1.4259693961125535E-4</v>
      </c>
      <c r="W6" s="7" cm="1">
        <f t="array" ref="W6">INDEX('Summarized Source Data'!$R$600:$R$743,MATCH(1,($A6=LoadFactorSeasons)*(W$1=LoadFactorHours),0),)</f>
        <v>1.4178209995633392E-4</v>
      </c>
      <c r="X6" s="7" cm="1">
        <f t="array" ref="X6">INDEX('Summarized Source Data'!$R$600:$R$743,MATCH(1,($A6=LoadFactorSeasons)*(X$1=LoadFactorHours),0),)</f>
        <v>1.4151048673802675E-4</v>
      </c>
      <c r="Y6" s="7" cm="1">
        <f t="array" ref="Y6">INDEX('Summarized Source Data'!$R$600:$R$743,MATCH(1,($A6=LoadFactorSeasons)*(Y$1=LoadFactorHours),0),)</f>
        <v>9.4793013189196424E-5</v>
      </c>
    </row>
    <row r="7" spans="1:25" x14ac:dyDescent="0.3">
      <c r="A7" s="7" t="s">
        <v>171</v>
      </c>
      <c r="B7" s="7" cm="1">
        <f t="array" ref="B7">INDEX('Summarized Source Data'!$R$600:$R$743,MATCH(1,($A7=LoadFactorSeasons)*(B$1=LoadFactorHours),0),)</f>
        <v>1.0381298637671222E-4</v>
      </c>
      <c r="C7" s="7" cm="1">
        <f t="array" ref="C7">INDEX('Summarized Source Data'!$R$600:$R$743,MATCH(1,($A7=LoadFactorSeasons)*(C$1=LoadFactorHours),0),)</f>
        <v>1.0314662861446532E-4</v>
      </c>
      <c r="D7" s="7" cm="1">
        <f t="array" ref="D7">INDEX('Summarized Source Data'!$R$600:$R$743,MATCH(1,($A7=LoadFactorSeasons)*(D$1=LoadFactorHours),0),)</f>
        <v>1.0295227426714332E-4</v>
      </c>
      <c r="E7" s="7" cm="1">
        <f t="array" ref="E7">INDEX('Summarized Source Data'!$R$600:$R$743,MATCH(1,($A7=LoadFactorSeasons)*(E$1=LoadFactorHours),0),)</f>
        <v>1.0295227426714332E-4</v>
      </c>
      <c r="F7" s="7" cm="1">
        <f t="array" ref="F7">INDEX('Summarized Source Data'!$R$600:$R$743,MATCH(1,($A7=LoadFactorSeasons)*(F$1=LoadFactorHours),0),)</f>
        <v>1.0286897954686246E-4</v>
      </c>
      <c r="G7" s="7" cm="1">
        <f t="array" ref="G7">INDEX('Summarized Source Data'!$R$600:$R$743,MATCH(1,($A7=LoadFactorSeasons)*(G$1=LoadFactorHours),0),)</f>
        <v>1.0298003917390362E-4</v>
      </c>
      <c r="H7" s="7" cm="1">
        <f t="array" ref="H7">INDEX('Summarized Source Data'!$R$600:$R$743,MATCH(1,($A7=LoadFactorSeasons)*(H$1=LoadFactorHours),0),)</f>
        <v>1.2577502762409906E-4</v>
      </c>
      <c r="I7" s="7" cm="1">
        <f t="array" ref="I7">INDEX('Summarized Source Data'!$R$600:$R$743,MATCH(1,($A7=LoadFactorSeasons)*(I$1=LoadFactorHours),0),)</f>
        <v>2.296713087210921E-4</v>
      </c>
      <c r="J7" s="7" cm="1">
        <f t="array" ref="J7">INDEX('Summarized Source Data'!$R$600:$R$743,MATCH(1,($A7=LoadFactorSeasons)*(J$1=LoadFactorHours),0),)</f>
        <v>2.3255885902416192E-4</v>
      </c>
      <c r="K7" s="7" cm="1">
        <f t="array" ref="K7">INDEX('Summarized Source Data'!$R$600:$R$743,MATCH(1,($A7=LoadFactorSeasons)*(K$1=LoadFactorHours),0),)</f>
        <v>2.0934739697256219E-4</v>
      </c>
      <c r="L7" s="7" cm="1">
        <f t="array" ref="L7">INDEX('Summarized Source Data'!$R$600:$R$743,MATCH(1,($A7=LoadFactorSeasons)*(L$1=LoadFactorHours),0),)</f>
        <v>2.1129094044578228E-4</v>
      </c>
      <c r="M7" s="7" cm="1">
        <f t="array" ref="M7">INDEX('Summarized Source Data'!$R$600:$R$743,MATCH(1,($A7=LoadFactorSeasons)*(M$1=LoadFactorHours),0),)</f>
        <v>2.121238876485909E-4</v>
      </c>
      <c r="N7" s="7" cm="1">
        <f t="array" ref="N7">INDEX('Summarized Source Data'!$R$600:$R$743,MATCH(1,($A7=LoadFactorSeasons)*(N$1=LoadFactorHours),0),)</f>
        <v>2.0490501189091633E-4</v>
      </c>
      <c r="O7" s="7" cm="1">
        <f t="array" ref="O7">INDEX('Summarized Source Data'!$R$600:$R$743,MATCH(1,($A7=LoadFactorSeasons)*(O$1=LoadFactorHours),0),)</f>
        <v>1.9018961130796432E-4</v>
      </c>
      <c r="P7" s="7" cm="1">
        <f t="array" ref="P7">INDEX('Summarized Source Data'!$R$600:$R$743,MATCH(1,($A7=LoadFactorSeasons)*(P$1=LoadFactorHours),0),)</f>
        <v>1.8991196224036147E-4</v>
      </c>
      <c r="Q7" s="7" cm="1">
        <f t="array" ref="Q7">INDEX('Summarized Source Data'!$R$600:$R$743,MATCH(1,($A7=LoadFactorSeasons)*(Q$1=LoadFactorHours),0),)</f>
        <v>2.0812574107510957E-4</v>
      </c>
      <c r="R7" s="7" cm="1">
        <f t="array" ref="R7">INDEX('Summarized Source Data'!$R$600:$R$743,MATCH(1,($A7=LoadFactorSeasons)*(R$1=LoadFactorHours),0),)</f>
        <v>2.3189250126191504E-4</v>
      </c>
      <c r="S7" s="7" cm="1">
        <f t="array" ref="S7">INDEX('Summarized Source Data'!$R$600:$R$743,MATCH(1,($A7=LoadFactorSeasons)*(S$1=LoadFactorHours),0),)</f>
        <v>2.3378051492161454E-4</v>
      </c>
      <c r="T7" s="7" cm="1">
        <f t="array" ref="T7">INDEX('Summarized Source Data'!$R$600:$R$743,MATCH(1,($A7=LoadFactorSeasons)*(T$1=LoadFactorHours),0),)</f>
        <v>2.2517339382592568E-4</v>
      </c>
      <c r="U7" s="7" cm="1">
        <f t="array" ref="U7">INDEX('Summarized Source Data'!$R$600:$R$743,MATCH(1,($A7=LoadFactorSeasons)*(U$1=LoadFactorHours),0),)</f>
        <v>2.2461809569071994E-4</v>
      </c>
      <c r="V7" s="7" cm="1">
        <f t="array" ref="V7">INDEX('Summarized Source Data'!$R$600:$R$743,MATCH(1,($A7=LoadFactorSeasons)*(V$1=LoadFactorHours),0),)</f>
        <v>2.2350749942030845E-4</v>
      </c>
      <c r="W7" s="7" cm="1">
        <f t="array" ref="W7">INDEX('Summarized Source Data'!$R$600:$R$743,MATCH(1,($A7=LoadFactorSeasons)*(W$1=LoadFactorHours),0),)</f>
        <v>2.2239690314989699E-4</v>
      </c>
      <c r="X7" s="7" cm="1">
        <f t="array" ref="X7">INDEX('Summarized Source Data'!$R$600:$R$743,MATCH(1,($A7=LoadFactorSeasons)*(X$1=LoadFactorHours),0),)</f>
        <v>2.2211925408229414E-4</v>
      </c>
      <c r="Y7" s="7" cm="1">
        <f t="array" ref="Y7">INDEX('Summarized Source Data'!$R$600:$R$743,MATCH(1,($A7=LoadFactorSeasons)*(Y$1=LoadFactorHours),0),)</f>
        <v>1.4937519837034282E-4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352B-F82B-42E7-8B19-D9E9172F9B53}">
  <sheetPr codeName="Sheet24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Data'!$S$600:$S$743,MATCH(1,($A2=LoadFactorSeasons)*(B$1=LoadFactorHours),0),)</f>
        <v>8.6142606431415422E-5</v>
      </c>
      <c r="C2" s="7" cm="1">
        <f t="array" ref="C2">INDEX('Summarized Source Data'!$S$600:$S$743,MATCH(1,($A2=LoadFactorSeasons)*(C$1=LoadFactorHours),0),)</f>
        <v>8.5793561889286086E-5</v>
      </c>
      <c r="D2" s="7" cm="1">
        <f t="array" ref="D2">INDEX('Summarized Source Data'!$S$600:$S$743,MATCH(1,($A2=LoadFactorSeasons)*(D$1=LoadFactorHours),0),)</f>
        <v>8.5738032075765504E-5</v>
      </c>
      <c r="E2" s="7" cm="1">
        <f t="array" ref="E2">INDEX('Summarized Source Data'!$S$600:$S$743,MATCH(1,($A2=LoadFactorSeasons)*(E$1=LoadFactorHours),0),)</f>
        <v>8.5738032075765504E-5</v>
      </c>
      <c r="F2" s="7" cm="1">
        <f t="array" ref="F2">INDEX('Summarized Source Data'!$S$600:$S$743,MATCH(1,($A2=LoadFactorSeasons)*(F$1=LoadFactorHours),0),)</f>
        <v>8.57142335842567E-5</v>
      </c>
      <c r="G2" s="7" cm="1">
        <f t="array" ref="G2">INDEX('Summarized Source Data'!$S$600:$S$743,MATCH(1,($A2=LoadFactorSeasons)*(G$1=LoadFactorHours),0),)</f>
        <v>8.5904621516327251E-5</v>
      </c>
      <c r="H2" s="7" cm="1">
        <f t="array" ref="H2">INDEX('Summarized Source Data'!$S$600:$S$743,MATCH(1,($A2=LoadFactorSeasons)*(H$1=LoadFactorHours),0),)</f>
        <v>1.177232046636159E-4</v>
      </c>
      <c r="I2" s="7" cm="1">
        <f t="array" ref="I2">INDEX('Summarized Source Data'!$S$600:$S$743,MATCH(1,($A2=LoadFactorSeasons)*(I$1=LoadFactorHours),0),)</f>
        <v>2.1053732154800305E-4</v>
      </c>
      <c r="J2" s="7" cm="1">
        <f t="array" ref="J2">INDEX('Summarized Source Data'!$S$600:$S$743,MATCH(1,($A2=LoadFactorSeasons)*(J$1=LoadFactorHours),0),)</f>
        <v>2.1942209171129482E-4</v>
      </c>
      <c r="K2" s="7" cm="1">
        <f t="array" ref="K2">INDEX('Summarized Source Data'!$S$600:$S$743,MATCH(1,($A2=LoadFactorSeasons)*(K$1=LoadFactorHours),0),)</f>
        <v>2.0760217426191559E-4</v>
      </c>
      <c r="L2" s="7" cm="1">
        <f t="array" ref="L2">INDEX('Summarized Source Data'!$S$600:$S$743,MATCH(1,($A2=LoadFactorSeasons)*(L$1=LoadFactorHours),0),)</f>
        <v>1.8388301105812778E-4</v>
      </c>
      <c r="M2" s="7" cm="1">
        <f t="array" ref="M2">INDEX('Summarized Source Data'!$S$600:$S$743,MATCH(1,($A2=LoadFactorSeasons)*(M$1=LoadFactorHours),0),)</f>
        <v>1.8420032427824532E-4</v>
      </c>
      <c r="N2" s="7" cm="1">
        <f t="array" ref="N2">INDEX('Summarized Source Data'!$S$600:$S$743,MATCH(1,($A2=LoadFactorSeasons)*(N$1=LoadFactorHours),0),)</f>
        <v>1.8245510156759872E-4</v>
      </c>
      <c r="O2" s="7" cm="1">
        <f t="array" ref="O2">INDEX('Summarized Source Data'!$S$600:$S$743,MATCH(1,($A2=LoadFactorSeasons)*(O$1=LoadFactorHours),0),)</f>
        <v>1.781713730960116E-4</v>
      </c>
      <c r="P2" s="7" cm="1">
        <f t="array" ref="P2">INDEX('Summarized Source Data'!$S$600:$S$743,MATCH(1,($A2=LoadFactorSeasons)*(P$1=LoadFactorHours),0),)</f>
        <v>1.7785405987589406E-4</v>
      </c>
      <c r="Q2" s="7" cm="1">
        <f t="array" ref="Q2">INDEX('Summarized Source Data'!$S$600:$S$743,MATCH(1,($A2=LoadFactorSeasons)*(Q$1=LoadFactorHours),0),)</f>
        <v>2.0276314765512278E-4</v>
      </c>
      <c r="R2" s="7" cm="1">
        <f t="array" ref="R2">INDEX('Summarized Source Data'!$S$600:$S$743,MATCH(1,($A2=LoadFactorSeasons)*(R$1=LoadFactorHours),0),)</f>
        <v>2.299727562802038E-4</v>
      </c>
      <c r="S2" s="7" cm="1">
        <f t="array" ref="S2">INDEX('Summarized Source Data'!$S$600:$S$743,MATCH(1,($A2=LoadFactorSeasons)*(S$1=LoadFactorHours),0),)</f>
        <v>2.3140066577073286E-4</v>
      </c>
      <c r="T2" s="7" cm="1">
        <f t="array" ref="T2">INDEX('Summarized Source Data'!$S$600:$S$743,MATCH(1,($A2=LoadFactorSeasons)*(T$1=LoadFactorHours),0),)</f>
        <v>2.1561433306988408E-4</v>
      </c>
      <c r="U2" s="7" cm="1">
        <f t="array" ref="U2">INDEX('Summarized Source Data'!$S$600:$S$743,MATCH(1,($A2=LoadFactorSeasons)*(U$1=LoadFactorHours),0),)</f>
        <v>1.8935666410515575E-4</v>
      </c>
      <c r="V2" s="7" cm="1">
        <f t="array" ref="V2">INDEX('Summarized Source Data'!$S$600:$S$743,MATCH(1,($A2=LoadFactorSeasons)*(V$1=LoadFactorHours),0),)</f>
        <v>1.8737345647942095E-4</v>
      </c>
      <c r="W2" s="7" cm="1">
        <f t="array" ref="W2">INDEX('Summarized Source Data'!$S$600:$S$743,MATCH(1,($A2=LoadFactorSeasons)*(W$1=LoadFactorHours),0),)</f>
        <v>1.8602487529392129E-4</v>
      </c>
      <c r="X2" s="7" cm="1">
        <f t="array" ref="X2">INDEX('Summarized Source Data'!$S$600:$S$743,MATCH(1,($A2=LoadFactorSeasons)*(X$1=LoadFactorHours),0),)</f>
        <v>1.8499360732853926E-4</v>
      </c>
      <c r="Y2" s="7" cm="1">
        <f t="array" ref="Y2">INDEX('Summarized Source Data'!$S$600:$S$743,MATCH(1,($A2=LoadFactorSeasons)*(Y$1=LoadFactorHours),0),)</f>
        <v>1.2422812567602592E-4</v>
      </c>
    </row>
    <row r="3" spans="1:25" x14ac:dyDescent="0.3">
      <c r="A3" s="7" t="s">
        <v>164</v>
      </c>
      <c r="B3" s="7" cm="1">
        <f t="array" ref="B3">INDEX('Summarized Source Data'!$S$600:$S$743,MATCH(1,($A3=LoadFactorSeasons)*(B$1=LoadFactorHours),0),)</f>
        <v>5.8955589127984047E-5</v>
      </c>
      <c r="C3" s="7" cm="1">
        <f t="array" ref="C3">INDEX('Summarized Source Data'!$S$600:$S$743,MATCH(1,($A3=LoadFactorSeasons)*(C$1=LoadFactorHours),0),)</f>
        <v>5.8738298553338321E-5</v>
      </c>
      <c r="D3" s="7" cm="1">
        <f t="array" ref="D3">INDEX('Summarized Source Data'!$S$600:$S$743,MATCH(1,($A3=LoadFactorSeasons)*(D$1=LoadFactorHours),0),)</f>
        <v>5.869949666500873E-5</v>
      </c>
      <c r="E3" s="7" cm="1">
        <f t="array" ref="E3">INDEX('Summarized Source Data'!$S$600:$S$743,MATCH(1,($A3=LoadFactorSeasons)*(E$1=LoadFactorHours),0),)</f>
        <v>5.869949666500873E-5</v>
      </c>
      <c r="F3" s="7" cm="1">
        <f t="array" ref="F3">INDEX('Summarized Source Data'!$S$600:$S$743,MATCH(1,($A3=LoadFactorSeasons)*(F$1=LoadFactorHours),0),)</f>
        <v>5.8683975909676896E-5</v>
      </c>
      <c r="G3" s="7" cm="1">
        <f t="array" ref="G3">INDEX('Summarized Source Data'!$S$600:$S$743,MATCH(1,($A3=LoadFactorSeasons)*(G$1=LoadFactorHours),0),)</f>
        <v>5.8777100441667926E-5</v>
      </c>
      <c r="H3" s="7" cm="1">
        <f t="array" ref="H3">INDEX('Summarized Source Data'!$S$600:$S$743,MATCH(1,($A3=LoadFactorSeasons)*(H$1=LoadFactorHours),0),)</f>
        <v>8.0630323948894882E-5</v>
      </c>
      <c r="I3" s="7" cm="1">
        <f t="array" ref="I3">INDEX('Summarized Source Data'!$S$600:$S$743,MATCH(1,($A3=LoadFactorSeasons)*(I$1=LoadFactorHours),0),)</f>
        <v>1.4426542080942786E-4</v>
      </c>
      <c r="J3" s="7" cm="1">
        <f t="array" ref="J3">INDEX('Summarized Source Data'!$S$600:$S$743,MATCH(1,($A3=LoadFactorSeasons)*(J$1=LoadFactorHours),0),)</f>
        <v>1.503961191655036E-4</v>
      </c>
      <c r="K3" s="7" cm="1">
        <f t="array" ref="K3">INDEX('Summarized Source Data'!$S$600:$S$743,MATCH(1,($A3=LoadFactorSeasons)*(K$1=LoadFactorHours),0),)</f>
        <v>1.4232532639294821E-4</v>
      </c>
      <c r="L3" s="7" cm="1">
        <f t="array" ref="L3">INDEX('Summarized Source Data'!$S$600:$S$743,MATCH(1,($A3=LoadFactorSeasons)*(L$1=LoadFactorHours),0),)</f>
        <v>1.2602853329451901E-4</v>
      </c>
      <c r="M3" s="7" cm="1">
        <f t="array" ref="M3">INDEX('Summarized Source Data'!$S$600:$S$743,MATCH(1,($A3=LoadFactorSeasons)*(M$1=LoadFactorHours),0),)</f>
        <v>1.2633894840115577E-4</v>
      </c>
      <c r="N3" s="7" cm="1">
        <f t="array" ref="N3">INDEX('Summarized Source Data'!$S$600:$S$743,MATCH(1,($A3=LoadFactorSeasons)*(N$1=LoadFactorHours),0),)</f>
        <v>1.2517489175126797E-4</v>
      </c>
      <c r="O3" s="7" cm="1">
        <f t="array" ref="O3">INDEX('Summarized Source Data'!$S$600:$S$743,MATCH(1,($A3=LoadFactorSeasons)*(O$1=LoadFactorHours),0),)</f>
        <v>1.2214834446155968E-4</v>
      </c>
      <c r="P3" s="7" cm="1">
        <f t="array" ref="P3">INDEX('Summarized Source Data'!$S$600:$S$743,MATCH(1,($A3=LoadFactorSeasons)*(P$1=LoadFactorHours),0),)</f>
        <v>1.2191553313158214E-4</v>
      </c>
      <c r="Q3" s="7" cm="1">
        <f t="array" ref="Q3">INDEX('Summarized Source Data'!$S$600:$S$743,MATCH(1,($A3=LoadFactorSeasons)*(Q$1=LoadFactorHours),0),)</f>
        <v>1.38910760219944E-4</v>
      </c>
      <c r="R3" s="7" cm="1">
        <f t="array" ref="R3">INDEX('Summarized Source Data'!$S$600:$S$743,MATCH(1,($A3=LoadFactorSeasons)*(R$1=LoadFactorHours),0),)</f>
        <v>1.5776847794812633E-4</v>
      </c>
      <c r="S3" s="7" cm="1">
        <f t="array" ref="S3">INDEX('Summarized Source Data'!$S$600:$S$743,MATCH(1,($A3=LoadFactorSeasons)*(S$1=LoadFactorHours),0),)</f>
        <v>1.5869972326803657E-4</v>
      </c>
      <c r="T3" s="7" cm="1">
        <f t="array" ref="T3">INDEX('Summarized Source Data'!$S$600:$S$743,MATCH(1,($A3=LoadFactorSeasons)*(T$1=LoadFactorHours),0),)</f>
        <v>1.4775759075909124E-4</v>
      </c>
      <c r="U3" s="7" cm="1">
        <f t="array" ref="U3">INDEX('Summarized Source Data'!$S$600:$S$743,MATCH(1,($A3=LoadFactorSeasons)*(U$1=LoadFactorHours),0),)</f>
        <v>1.2975351457415998E-4</v>
      </c>
      <c r="V3" s="7" cm="1">
        <f t="array" ref="V3">INDEX('Summarized Source Data'!$S$600:$S$743,MATCH(1,($A3=LoadFactorSeasons)*(V$1=LoadFactorHours),0),)</f>
        <v>1.2843425037095378E-4</v>
      </c>
      <c r="W3" s="7" cm="1">
        <f t="array" ref="W3">INDEX('Summarized Source Data'!$S$600:$S$743,MATCH(1,($A3=LoadFactorSeasons)*(W$1=LoadFactorHours),0),)</f>
        <v>1.2734779749772521E-4</v>
      </c>
      <c r="X3" s="7" cm="1">
        <f t="array" ref="X3">INDEX('Summarized Source Data'!$S$600:$S$743,MATCH(1,($A3=LoadFactorSeasons)*(X$1=LoadFactorHours),0),)</f>
        <v>1.265717597311333E-4</v>
      </c>
      <c r="Y3" s="7" cm="1">
        <f t="array" ref="Y3">INDEX('Summarized Source Data'!$S$600:$S$743,MATCH(1,($A3=LoadFactorSeasons)*(Y$1=LoadFactorHours),0),)</f>
        <v>8.4898531665150123E-5</v>
      </c>
    </row>
    <row r="4" spans="1:25" x14ac:dyDescent="0.3">
      <c r="A4" s="7" t="s">
        <v>165</v>
      </c>
      <c r="B4" s="7" cm="1">
        <f t="array" ref="B4">INDEX('Summarized Source Data'!$S$600:$S$743,MATCH(1,($A4=LoadFactorSeasons)*(B$1=LoadFactorHours),0),)</f>
        <v>5.4850349342713081E-5</v>
      </c>
      <c r="C4" s="7" cm="1">
        <f t="array" ref="C4">INDEX('Summarized Source Data'!$S$600:$S$743,MATCH(1,($A4=LoadFactorSeasons)*(C$1=LoadFactorHours),0),)</f>
        <v>5.471066254472655E-5</v>
      </c>
      <c r="D4" s="7" cm="1">
        <f t="array" ref="D4">INDEX('Summarized Source Data'!$S$600:$S$743,MATCH(1,($A4=LoadFactorSeasons)*(D$1=LoadFactorHours),0),)</f>
        <v>5.458649650207184E-5</v>
      </c>
      <c r="E4" s="7" cm="1">
        <f t="array" ref="E4">INDEX('Summarized Source Data'!$S$600:$S$743,MATCH(1,($A4=LoadFactorSeasons)*(E$1=LoadFactorHours),0),)</f>
        <v>5.4664100278731029E-5</v>
      </c>
      <c r="F4" s="7" cm="1">
        <f t="array" ref="F4">INDEX('Summarized Source Data'!$S$600:$S$743,MATCH(1,($A4=LoadFactorSeasons)*(F$1=LoadFactorHours),0),)</f>
        <v>5.4570975746740006E-5</v>
      </c>
      <c r="G4" s="7" cm="1">
        <f t="array" ref="G4">INDEX('Summarized Source Data'!$S$600:$S$743,MATCH(1,($A4=LoadFactorSeasons)*(G$1=LoadFactorHours),0),)</f>
        <v>5.4741704055390224E-5</v>
      </c>
      <c r="H4" s="7" cm="1">
        <f t="array" ref="H4">INDEX('Summarized Source Data'!$S$600:$S$743,MATCH(1,($A4=LoadFactorSeasons)*(H$1=LoadFactorHours),0),)</f>
        <v>7.4973008630440169E-5</v>
      </c>
      <c r="I4" s="7" cm="1">
        <f t="array" ref="I4">INDEX('Summarized Source Data'!$S$600:$S$743,MATCH(1,($A4=LoadFactorSeasons)*(I$1=LoadFactorHours),0),)</f>
        <v>1.3433213739705196E-4</v>
      </c>
      <c r="J4" s="7" cm="1">
        <f t="array" ref="J4">INDEX('Summarized Source Data'!$S$600:$S$743,MATCH(1,($A4=LoadFactorSeasons)*(J$1=LoadFactorHours),0),)</f>
        <v>1.4023002442315019E-4</v>
      </c>
      <c r="K4" s="7" cm="1">
        <f t="array" ref="K4">INDEX('Summarized Source Data'!$S$600:$S$743,MATCH(1,($A4=LoadFactorSeasons)*(K$1=LoadFactorHours),0),)</f>
        <v>1.3262485431054987E-4</v>
      </c>
      <c r="L4" s="7" cm="1">
        <f t="array" ref="L4">INDEX('Summarized Source Data'!$S$600:$S$743,MATCH(1,($A4=LoadFactorSeasons)*(L$1=LoadFactorHours),0),)</f>
        <v>1.1741451408534931E-4</v>
      </c>
      <c r="M4" s="7" cm="1">
        <f t="array" ref="M4">INDEX('Summarized Source Data'!$S$600:$S$743,MATCH(1,($A4=LoadFactorSeasons)*(M$1=LoadFactorHours),0),)</f>
        <v>1.1764732541532687E-4</v>
      </c>
      <c r="N4" s="7" cm="1">
        <f t="array" ref="N4">INDEX('Summarized Source Data'!$S$600:$S$743,MATCH(1,($A4=LoadFactorSeasons)*(N$1=LoadFactorHours),0),)</f>
        <v>1.1663847631875744E-4</v>
      </c>
      <c r="O4" s="7" cm="1">
        <f t="array" ref="O4">INDEX('Summarized Source Data'!$S$600:$S$743,MATCH(1,($A4=LoadFactorSeasons)*(O$1=LoadFactorHours),0),)</f>
        <v>1.1392234413568592E-4</v>
      </c>
      <c r="P4" s="7" cm="1">
        <f t="array" ref="P4">INDEX('Summarized Source Data'!$S$600:$S$743,MATCH(1,($A4=LoadFactorSeasons)*(P$1=LoadFactorHours),0),)</f>
        <v>1.1361192902904916E-4</v>
      </c>
      <c r="Q4" s="7" cm="1">
        <f t="array" ref="Q4">INDEX('Summarized Source Data'!$S$600:$S$743,MATCH(1,($A4=LoadFactorSeasons)*(Q$1=LoadFactorHours),0),)</f>
        <v>1.2952070324418242E-4</v>
      </c>
      <c r="R4" s="7" cm="1">
        <f t="array" ref="R4">INDEX('Summarized Source Data'!$S$600:$S$743,MATCH(1,($A4=LoadFactorSeasons)*(R$1=LoadFactorHours),0),)</f>
        <v>1.4705915676915858E-4</v>
      </c>
      <c r="S4" s="7" cm="1">
        <f t="array" ref="S4">INDEX('Summarized Source Data'!$S$600:$S$743,MATCH(1,($A4=LoadFactorSeasons)*(S$1=LoadFactorHours),0),)</f>
        <v>1.4806800586572799E-4</v>
      </c>
      <c r="T4" s="7" cm="1">
        <f t="array" ref="T4">INDEX('Summarized Source Data'!$S$600:$S$743,MATCH(1,($A4=LoadFactorSeasons)*(T$1=LoadFactorHours),0),)</f>
        <v>1.3790191112337456E-4</v>
      </c>
      <c r="U4" s="7" cm="1">
        <f t="array" ref="U4">INDEX('Summarized Source Data'!$S$600:$S$743,MATCH(1,($A4=LoadFactorSeasons)*(U$1=LoadFactorHours),0),)</f>
        <v>1.2098428781167189E-4</v>
      </c>
      <c r="V4" s="7" cm="1">
        <f t="array" ref="V4">INDEX('Summarized Source Data'!$S$600:$S$743,MATCH(1,($A4=LoadFactorSeasons)*(V$1=LoadFactorHours),0),)</f>
        <v>1.196650236084657E-4</v>
      </c>
      <c r="W4" s="7" cm="1">
        <f t="array" ref="W4">INDEX('Summarized Source Data'!$S$600:$S$743,MATCH(1,($A4=LoadFactorSeasons)*(W$1=LoadFactorHours),0),)</f>
        <v>1.186561745118963E-4</v>
      </c>
      <c r="X4" s="7" cm="1">
        <f t="array" ref="X4">INDEX('Summarized Source Data'!$S$600:$S$743,MATCH(1,($A4=LoadFactorSeasons)*(X$1=LoadFactorHours),0),)</f>
        <v>1.1788013674530443E-4</v>
      </c>
      <c r="Y4" s="7" cm="1">
        <f t="array" ref="Y4">INDEX('Summarized Source Data'!$S$600:$S$743,MATCH(1,($A4=LoadFactorSeasons)*(Y$1=LoadFactorHours),0),)</f>
        <v>7.9078248415711115E-5</v>
      </c>
    </row>
    <row r="5" spans="1:25" x14ac:dyDescent="0.3">
      <c r="A5" s="7" t="s">
        <v>166</v>
      </c>
      <c r="B5" s="7" cm="1">
        <f t="array" ref="B5">INDEX('Summarized Source Data'!$S$600:$S$743,MATCH(1,($A5=LoadFactorSeasons)*(B$1=LoadFactorHours),0),)</f>
        <v>4.0452205127295038E-5</v>
      </c>
      <c r="C5" s="7" cm="1">
        <f t="array" ref="C5">INDEX('Summarized Source Data'!$S$600:$S$743,MATCH(1,($A5=LoadFactorSeasons)*(C$1=LoadFactorHours),0),)</f>
        <v>4.0279600683384928E-5</v>
      </c>
      <c r="D5" s="7" cm="1">
        <f t="array" ref="D5">INDEX('Summarized Source Data'!$S$600:$S$743,MATCH(1,($A5=LoadFactorSeasons)*(D$1=LoadFactorHours),0),)</f>
        <v>4.0256063713760832E-5</v>
      </c>
      <c r="E5" s="7" cm="1">
        <f t="array" ref="E5">INDEX('Summarized Source Data'!$S$600:$S$743,MATCH(1,($A5=LoadFactorSeasons)*(E$1=LoadFactorHours),0),)</f>
        <v>4.0256063713760832E-5</v>
      </c>
      <c r="F5" s="7" cm="1">
        <f t="array" ref="F5">INDEX('Summarized Source Data'!$S$600:$S$743,MATCH(1,($A5=LoadFactorSeasons)*(F$1=LoadFactorHours),0),)</f>
        <v>4.0240372400678092E-5</v>
      </c>
      <c r="G5" s="7" cm="1">
        <f t="array" ref="G5">INDEX('Summarized Source Data'!$S$600:$S$743,MATCH(1,($A5=LoadFactorSeasons)*(G$1=LoadFactorHours),0),)</f>
        <v>4.0412976844588195E-5</v>
      </c>
      <c r="H5" s="7" cm="1">
        <f t="array" ref="H5">INDEX('Summarized Source Data'!$S$600:$S$743,MATCH(1,($A5=LoadFactorSeasons)*(H$1=LoadFactorHours),0),)</f>
        <v>5.5390335182060313E-5</v>
      </c>
      <c r="I5" s="7" cm="1">
        <f t="array" ref="I5">INDEX('Summarized Source Data'!$S$600:$S$743,MATCH(1,($A5=LoadFactorSeasons)*(I$1=LoadFactorHours),0),)</f>
        <v>9.8933728986654444E-5</v>
      </c>
      <c r="J5" s="7" cm="1">
        <f t="array" ref="J5">INDEX('Summarized Source Data'!$S$600:$S$743,MATCH(1,($A5=LoadFactorSeasons)*(J$1=LoadFactorHours),0),)</f>
        <v>1.0309192695357966E-4</v>
      </c>
      <c r="K5" s="7" cm="1">
        <f t="array" ref="K5">INDEX('Summarized Source Data'!$S$600:$S$743,MATCH(1,($A5=LoadFactorSeasons)*(K$1=LoadFactorHours),0),)</f>
        <v>9.7521510809208154E-5</v>
      </c>
      <c r="L5" s="7" cm="1">
        <f t="array" ref="L5">INDEX('Summarized Source Data'!$S$600:$S$743,MATCH(1,($A5=LoadFactorSeasons)*(L$1=LoadFactorHours),0),)</f>
        <v>8.6459135085878823E-5</v>
      </c>
      <c r="M5" s="7" cm="1">
        <f t="array" ref="M5">INDEX('Summarized Source Data'!$S$600:$S$743,MATCH(1,($A5=LoadFactorSeasons)*(M$1=LoadFactorHours),0),)</f>
        <v>8.6616048216706193E-5</v>
      </c>
      <c r="N5" s="7" cm="1">
        <f t="array" ref="N5">INDEX('Summarized Source Data'!$S$600:$S$743,MATCH(1,($A5=LoadFactorSeasons)*(N$1=LoadFactorHours),0),)</f>
        <v>8.5753025997155685E-5</v>
      </c>
      <c r="O5" s="7" cm="1">
        <f t="array" ref="O5">INDEX('Summarized Source Data'!$S$600:$S$743,MATCH(1,($A5=LoadFactorSeasons)*(O$1=LoadFactorHours),0),)</f>
        <v>8.3791611861813614E-5</v>
      </c>
      <c r="P5" s="7" cm="1">
        <f t="array" ref="P5">INDEX('Summarized Source Data'!$S$600:$S$743,MATCH(1,($A5=LoadFactorSeasons)*(P$1=LoadFactorHours),0),)</f>
        <v>8.3556242165572559E-5</v>
      </c>
      <c r="Q5" s="7" cm="1">
        <f t="array" ref="Q5">INDEX('Summarized Source Data'!$S$600:$S$743,MATCH(1,($A5=LoadFactorSeasons)*(Q$1=LoadFactorHours),0),)</f>
        <v>9.5246270412211356E-5</v>
      </c>
      <c r="R5" s="7" cm="1">
        <f t="array" ref="R5">INDEX('Summarized Source Data'!$S$600:$S$743,MATCH(1,($A5=LoadFactorSeasons)*(R$1=LoadFactorHours),0),)</f>
        <v>1.0819160370546907E-4</v>
      </c>
      <c r="S5" s="7" cm="1">
        <f t="array" ref="S5">INDEX('Summarized Source Data'!$S$600:$S$743,MATCH(1,($A5=LoadFactorSeasons)*(S$1=LoadFactorHours),0),)</f>
        <v>1.0881925622877854E-4</v>
      </c>
      <c r="T5" s="7" cm="1">
        <f t="array" ref="T5">INDEX('Summarized Source Data'!$S$600:$S$743,MATCH(1,($A5=LoadFactorSeasons)*(T$1=LoadFactorHours),0),)</f>
        <v>1.0128742594906494E-4</v>
      </c>
      <c r="U5" s="7" cm="1">
        <f t="array" ref="U5">INDEX('Summarized Source Data'!$S$600:$S$743,MATCH(1,($A5=LoadFactorSeasons)*(U$1=LoadFactorHours),0),)</f>
        <v>8.8969745179116703E-5</v>
      </c>
      <c r="V5" s="7" cm="1">
        <f t="array" ref="V5">INDEX('Summarized Source Data'!$S$600:$S$743,MATCH(1,($A5=LoadFactorSeasons)*(V$1=LoadFactorHours),0),)</f>
        <v>8.8028266394152497E-5</v>
      </c>
      <c r="W5" s="7" cm="1">
        <f t="array" ref="W5">INDEX('Summarized Source Data'!$S$600:$S$743,MATCH(1,($A5=LoadFactorSeasons)*(W$1=LoadFactorHours),0),)</f>
        <v>8.7400613870843017E-5</v>
      </c>
      <c r="X5" s="7" cm="1">
        <f t="array" ref="X5">INDEX('Summarized Source Data'!$S$600:$S$743,MATCH(1,($A5=LoadFactorSeasons)*(X$1=LoadFactorHours),0),)</f>
        <v>8.6929874478360934E-5</v>
      </c>
      <c r="Y5" s="7" cm="1">
        <f t="array" ref="Y5">INDEX('Summarized Source Data'!$S$600:$S$743,MATCH(1,($A5=LoadFactorSeasons)*(Y$1=LoadFactorHours),0),)</f>
        <v>5.8293228102366584E-5</v>
      </c>
    </row>
    <row r="6" spans="1:25" x14ac:dyDescent="0.3">
      <c r="A6" s="7" t="s">
        <v>172</v>
      </c>
      <c r="B6" s="7" cm="1">
        <f t="array" ref="B6">INDEX('Summarized Source Data'!$S$600:$S$743,MATCH(1,($A6=LoadFactorSeasons)*(B$1=LoadFactorHours),0),)</f>
        <v>6.6219302623283919E-5</v>
      </c>
      <c r="C6" s="7" cm="1">
        <f t="array" ref="C6">INDEX('Summarized Source Data'!$S$600:$S$743,MATCH(1,($A6=LoadFactorSeasons)*(C$1=LoadFactorHours),0),)</f>
        <v>6.5730398830331048E-5</v>
      </c>
      <c r="D6" s="7" cm="1">
        <f t="array" ref="D6">INDEX('Summarized Source Data'!$S$600:$S$743,MATCH(1,($A6=LoadFactorSeasons)*(D$1=LoadFactorHours),0),)</f>
        <v>6.5567430899346753E-5</v>
      </c>
      <c r="E6" s="7" cm="1">
        <f t="array" ref="E6">INDEX('Summarized Source Data'!$S$600:$S$743,MATCH(1,($A6=LoadFactorSeasons)*(E$1=LoadFactorHours),0),)</f>
        <v>6.5567430899346753E-5</v>
      </c>
      <c r="F6" s="7" cm="1">
        <f t="array" ref="F6">INDEX('Summarized Source Data'!$S$600:$S$743,MATCH(1,($A6=LoadFactorSeasons)*(F$1=LoadFactorHours),0),)</f>
        <v>6.5513108255685321E-5</v>
      </c>
      <c r="G6" s="7" cm="1">
        <f t="array" ref="G6">INDEX('Summarized Source Data'!$S$600:$S$743,MATCH(1,($A6=LoadFactorSeasons)*(G$1=LoadFactorHours),0),)</f>
        <v>6.5567430899346753E-5</v>
      </c>
      <c r="H6" s="7" cm="1">
        <f t="array" ref="H6">INDEX('Summarized Source Data'!$S$600:$S$743,MATCH(1,($A6=LoadFactorSeasons)*(H$1=LoadFactorHours),0),)</f>
        <v>8.0153060722440873E-5</v>
      </c>
      <c r="I6" s="7" cm="1">
        <f t="array" ref="I6">INDEX('Summarized Source Data'!$S$600:$S$743,MATCH(1,($A6=LoadFactorSeasons)*(I$1=LoadFactorHours),0),)</f>
        <v>1.4667113788586263E-4</v>
      </c>
      <c r="J6" s="7" cm="1">
        <f t="array" ref="J6">INDEX('Summarized Source Data'!$S$600:$S$743,MATCH(1,($A6=LoadFactorSeasons)*(J$1=LoadFactorHours),0),)</f>
        <v>1.4873539834499701E-4</v>
      </c>
      <c r="K6" s="7" cm="1">
        <f t="array" ref="K6">INDEX('Summarized Source Data'!$S$600:$S$743,MATCH(1,($A6=LoadFactorSeasons)*(K$1=LoadFactorHours),0),)</f>
        <v>1.3385099398176501E-4</v>
      </c>
      <c r="L6" s="7" cm="1">
        <f t="array" ref="L6">INDEX('Summarized Source Data'!$S$600:$S$743,MATCH(1,($A6=LoadFactorSeasons)*(L$1=LoadFactorHours),0),)</f>
        <v>1.3472015628034794E-4</v>
      </c>
      <c r="M6" s="7" cm="1">
        <f t="array" ref="M6">INDEX('Summarized Source Data'!$S$600:$S$743,MATCH(1,($A6=LoadFactorSeasons)*(M$1=LoadFactorHours),0),)</f>
        <v>1.355349959352694E-4</v>
      </c>
      <c r="N6" s="7" cm="1">
        <f t="array" ref="N6">INDEX('Summarized Source Data'!$S$600:$S$743,MATCH(1,($A6=LoadFactorSeasons)*(N$1=LoadFactorHours),0),)</f>
        <v>1.3118918444235492E-4</v>
      </c>
      <c r="O6" s="7" cm="1">
        <f t="array" ref="O6">INDEX('Summarized Source Data'!$S$600:$S$743,MATCH(1,($A6=LoadFactorSeasons)*(O$1=LoadFactorHours),0),)</f>
        <v>1.2168272180160458E-4</v>
      </c>
      <c r="P6" s="7" cm="1">
        <f t="array" ref="P6">INDEX('Summarized Source Data'!$S$600:$S$743,MATCH(1,($A6=LoadFactorSeasons)*(P$1=LoadFactorHours),0),)</f>
        <v>1.2141110858329744E-4</v>
      </c>
      <c r="Q6" s="7" cm="1">
        <f t="array" ref="Q6">INDEX('Summarized Source Data'!$S$600:$S$743,MATCH(1,($A6=LoadFactorSeasons)*(Q$1=LoadFactorHours),0),)</f>
        <v>1.3287318639585926E-4</v>
      </c>
      <c r="R6" s="7" cm="1">
        <f t="array" ref="R6">INDEX('Summarized Source Data'!$S$600:$S$743,MATCH(1,($A6=LoadFactorSeasons)*(R$1=LoadFactorHours),0),)</f>
        <v>1.4830081719570558E-4</v>
      </c>
      <c r="S6" s="7" cm="1">
        <f t="array" ref="S6">INDEX('Summarized Source Data'!$S$600:$S$743,MATCH(1,($A6=LoadFactorSeasons)*(S$1=LoadFactorHours),0),)</f>
        <v>1.4971320593090278E-4</v>
      </c>
      <c r="T6" s="7" cm="1">
        <f t="array" ref="T6">INDEX('Summarized Source Data'!$S$600:$S$743,MATCH(1,($A6=LoadFactorSeasons)*(T$1=LoadFactorHours),0),)</f>
        <v>1.4368339248448399E-4</v>
      </c>
      <c r="U6" s="7" cm="1">
        <f t="array" ref="U6">INDEX('Summarized Source Data'!$S$600:$S$743,MATCH(1,($A6=LoadFactorSeasons)*(U$1=LoadFactorHours),0),)</f>
        <v>1.4314016604786967E-4</v>
      </c>
      <c r="V6" s="7" cm="1">
        <f t="array" ref="V6">INDEX('Summarized Source Data'!$S$600:$S$743,MATCH(1,($A6=LoadFactorSeasons)*(V$1=LoadFactorHours),0),)</f>
        <v>1.4259693961125535E-4</v>
      </c>
      <c r="W6" s="7" cm="1">
        <f t="array" ref="W6">INDEX('Summarized Source Data'!$S$600:$S$743,MATCH(1,($A6=LoadFactorSeasons)*(W$1=LoadFactorHours),0),)</f>
        <v>1.4178209995633392E-4</v>
      </c>
      <c r="X6" s="7" cm="1">
        <f t="array" ref="X6">INDEX('Summarized Source Data'!$S$600:$S$743,MATCH(1,($A6=LoadFactorSeasons)*(X$1=LoadFactorHours),0),)</f>
        <v>1.4151048673802675E-4</v>
      </c>
      <c r="Y6" s="7" cm="1">
        <f t="array" ref="Y6">INDEX('Summarized Source Data'!$S$600:$S$743,MATCH(1,($A6=LoadFactorSeasons)*(Y$1=LoadFactorHours),0),)</f>
        <v>9.4793013189196424E-5</v>
      </c>
    </row>
    <row r="7" spans="1:25" x14ac:dyDescent="0.3">
      <c r="A7" s="7" t="s">
        <v>171</v>
      </c>
      <c r="B7" s="7" cm="1">
        <f t="array" ref="B7">INDEX('Summarized Source Data'!$S$600:$S$743,MATCH(1,($A7=LoadFactorSeasons)*(B$1=LoadFactorHours),0),)</f>
        <v>1.0381298637671222E-4</v>
      </c>
      <c r="C7" s="7" cm="1">
        <f t="array" ref="C7">INDEX('Summarized Source Data'!$S$600:$S$743,MATCH(1,($A7=LoadFactorSeasons)*(C$1=LoadFactorHours),0),)</f>
        <v>1.0314662861446532E-4</v>
      </c>
      <c r="D7" s="7" cm="1">
        <f t="array" ref="D7">INDEX('Summarized Source Data'!$S$600:$S$743,MATCH(1,($A7=LoadFactorSeasons)*(D$1=LoadFactorHours),0),)</f>
        <v>1.0295227426714332E-4</v>
      </c>
      <c r="E7" s="7" cm="1">
        <f t="array" ref="E7">INDEX('Summarized Source Data'!$S$600:$S$743,MATCH(1,($A7=LoadFactorSeasons)*(E$1=LoadFactorHours),0),)</f>
        <v>1.0295227426714332E-4</v>
      </c>
      <c r="F7" s="7" cm="1">
        <f t="array" ref="F7">INDEX('Summarized Source Data'!$S$600:$S$743,MATCH(1,($A7=LoadFactorSeasons)*(F$1=LoadFactorHours),0),)</f>
        <v>1.0286897954686246E-4</v>
      </c>
      <c r="G7" s="7" cm="1">
        <f t="array" ref="G7">INDEX('Summarized Source Data'!$S$600:$S$743,MATCH(1,($A7=LoadFactorSeasons)*(G$1=LoadFactorHours),0),)</f>
        <v>1.0298003917390362E-4</v>
      </c>
      <c r="H7" s="7" cm="1">
        <f t="array" ref="H7">INDEX('Summarized Source Data'!$S$600:$S$743,MATCH(1,($A7=LoadFactorSeasons)*(H$1=LoadFactorHours),0),)</f>
        <v>1.2577502762409906E-4</v>
      </c>
      <c r="I7" s="7" cm="1">
        <f t="array" ref="I7">INDEX('Summarized Source Data'!$S$600:$S$743,MATCH(1,($A7=LoadFactorSeasons)*(I$1=LoadFactorHours),0),)</f>
        <v>2.296713087210921E-4</v>
      </c>
      <c r="J7" s="7" cm="1">
        <f t="array" ref="J7">INDEX('Summarized Source Data'!$S$600:$S$743,MATCH(1,($A7=LoadFactorSeasons)*(J$1=LoadFactorHours),0),)</f>
        <v>2.3255885902416192E-4</v>
      </c>
      <c r="K7" s="7" cm="1">
        <f t="array" ref="K7">INDEX('Summarized Source Data'!$S$600:$S$743,MATCH(1,($A7=LoadFactorSeasons)*(K$1=LoadFactorHours),0),)</f>
        <v>2.0934739697256219E-4</v>
      </c>
      <c r="L7" s="7" cm="1">
        <f t="array" ref="L7">INDEX('Summarized Source Data'!$S$600:$S$743,MATCH(1,($A7=LoadFactorSeasons)*(L$1=LoadFactorHours),0),)</f>
        <v>2.1129094044578228E-4</v>
      </c>
      <c r="M7" s="7" cm="1">
        <f t="array" ref="M7">INDEX('Summarized Source Data'!$S$600:$S$743,MATCH(1,($A7=LoadFactorSeasons)*(M$1=LoadFactorHours),0),)</f>
        <v>2.121238876485909E-4</v>
      </c>
      <c r="N7" s="7" cm="1">
        <f t="array" ref="N7">INDEX('Summarized Source Data'!$S$600:$S$743,MATCH(1,($A7=LoadFactorSeasons)*(N$1=LoadFactorHours),0),)</f>
        <v>2.0490501189091633E-4</v>
      </c>
      <c r="O7" s="7" cm="1">
        <f t="array" ref="O7">INDEX('Summarized Source Data'!$S$600:$S$743,MATCH(1,($A7=LoadFactorSeasons)*(O$1=LoadFactorHours),0),)</f>
        <v>1.9018961130796432E-4</v>
      </c>
      <c r="P7" s="7" cm="1">
        <f t="array" ref="P7">INDEX('Summarized Source Data'!$S$600:$S$743,MATCH(1,($A7=LoadFactorSeasons)*(P$1=LoadFactorHours),0),)</f>
        <v>1.8991196224036147E-4</v>
      </c>
      <c r="Q7" s="7" cm="1">
        <f t="array" ref="Q7">INDEX('Summarized Source Data'!$S$600:$S$743,MATCH(1,($A7=LoadFactorSeasons)*(Q$1=LoadFactorHours),0),)</f>
        <v>2.0812574107510957E-4</v>
      </c>
      <c r="R7" s="7" cm="1">
        <f t="array" ref="R7">INDEX('Summarized Source Data'!$S$600:$S$743,MATCH(1,($A7=LoadFactorSeasons)*(R$1=LoadFactorHours),0),)</f>
        <v>2.3189250126191504E-4</v>
      </c>
      <c r="S7" s="7" cm="1">
        <f t="array" ref="S7">INDEX('Summarized Source Data'!$S$600:$S$743,MATCH(1,($A7=LoadFactorSeasons)*(S$1=LoadFactorHours),0),)</f>
        <v>2.3378051492161454E-4</v>
      </c>
      <c r="T7" s="7" cm="1">
        <f t="array" ref="T7">INDEX('Summarized Source Data'!$S$600:$S$743,MATCH(1,($A7=LoadFactorSeasons)*(T$1=LoadFactorHours),0),)</f>
        <v>2.2517339382592568E-4</v>
      </c>
      <c r="U7" s="7" cm="1">
        <f t="array" ref="U7">INDEX('Summarized Source Data'!$S$600:$S$743,MATCH(1,($A7=LoadFactorSeasons)*(U$1=LoadFactorHours),0),)</f>
        <v>2.2461809569071994E-4</v>
      </c>
      <c r="V7" s="7" cm="1">
        <f t="array" ref="V7">INDEX('Summarized Source Data'!$S$600:$S$743,MATCH(1,($A7=LoadFactorSeasons)*(V$1=LoadFactorHours),0),)</f>
        <v>2.2350749942030845E-4</v>
      </c>
      <c r="W7" s="7" cm="1">
        <f t="array" ref="W7">INDEX('Summarized Source Data'!$S$600:$S$743,MATCH(1,($A7=LoadFactorSeasons)*(W$1=LoadFactorHours),0),)</f>
        <v>2.2239690314989699E-4</v>
      </c>
      <c r="X7" s="7" cm="1">
        <f t="array" ref="X7">INDEX('Summarized Source Data'!$S$600:$S$743,MATCH(1,($A7=LoadFactorSeasons)*(X$1=LoadFactorHours),0),)</f>
        <v>2.2211925408229414E-4</v>
      </c>
      <c r="Y7" s="7" cm="1">
        <f t="array" ref="Y7">INDEX('Summarized Source Data'!$S$600:$S$743,MATCH(1,($A7=LoadFactorSeasons)*(Y$1=LoadFactorHours),0),)</f>
        <v>1.4937519837034282E-4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2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06D9-1DA2-4036-AB90-E94945EC509F}">
  <sheetPr codeName="Sheet25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Data'!$T$600:$T$743,MATCH(1,($A2=LoadFactorSeasons)*(B$1=LoadFactorHours),0),)</f>
        <v>8.6142606431415422E-5</v>
      </c>
      <c r="C2" s="7" cm="1">
        <f t="array" ref="C2">INDEX('Summarized Source Data'!$T$600:$T$743,MATCH(1,($A2=LoadFactorSeasons)*(C$1=LoadFactorHours),0),)</f>
        <v>8.5793561889286086E-5</v>
      </c>
      <c r="D2" s="7" cm="1">
        <f t="array" ref="D2">INDEX('Summarized Source Data'!$T$600:$T$743,MATCH(1,($A2=LoadFactorSeasons)*(D$1=LoadFactorHours),0),)</f>
        <v>8.5738032075765504E-5</v>
      </c>
      <c r="E2" s="7" cm="1">
        <f t="array" ref="E2">INDEX('Summarized Source Data'!$T$600:$T$743,MATCH(1,($A2=LoadFactorSeasons)*(E$1=LoadFactorHours),0),)</f>
        <v>8.5738032075765504E-5</v>
      </c>
      <c r="F2" s="7" cm="1">
        <f t="array" ref="F2">INDEX('Summarized Source Data'!$T$600:$T$743,MATCH(1,($A2=LoadFactorSeasons)*(F$1=LoadFactorHours),0),)</f>
        <v>8.57142335842567E-5</v>
      </c>
      <c r="G2" s="7" cm="1">
        <f t="array" ref="G2">INDEX('Summarized Source Data'!$T$600:$T$743,MATCH(1,($A2=LoadFactorSeasons)*(G$1=LoadFactorHours),0),)</f>
        <v>8.5904621516327251E-5</v>
      </c>
      <c r="H2" s="7" cm="1">
        <f t="array" ref="H2">INDEX('Summarized Source Data'!$T$600:$T$743,MATCH(1,($A2=LoadFactorSeasons)*(H$1=LoadFactorHours),0),)</f>
        <v>1.177232046636159E-4</v>
      </c>
      <c r="I2" s="7" cm="1">
        <f t="array" ref="I2">INDEX('Summarized Source Data'!$T$600:$T$743,MATCH(1,($A2=LoadFactorSeasons)*(I$1=LoadFactorHours),0),)</f>
        <v>2.1053732154800305E-4</v>
      </c>
      <c r="J2" s="7" cm="1">
        <f t="array" ref="J2">INDEX('Summarized Source Data'!$T$600:$T$743,MATCH(1,($A2=LoadFactorSeasons)*(J$1=LoadFactorHours),0),)</f>
        <v>2.1942209171129482E-4</v>
      </c>
      <c r="K2" s="7" cm="1">
        <f t="array" ref="K2">INDEX('Summarized Source Data'!$T$600:$T$743,MATCH(1,($A2=LoadFactorSeasons)*(K$1=LoadFactorHours),0),)</f>
        <v>2.0760217426191559E-4</v>
      </c>
      <c r="L2" s="7" cm="1">
        <f t="array" ref="L2">INDEX('Summarized Source Data'!$T$600:$T$743,MATCH(1,($A2=LoadFactorSeasons)*(L$1=LoadFactorHours),0),)</f>
        <v>1.8388301105812778E-4</v>
      </c>
      <c r="M2" s="7" cm="1">
        <f t="array" ref="M2">INDEX('Summarized Source Data'!$T$600:$T$743,MATCH(1,($A2=LoadFactorSeasons)*(M$1=LoadFactorHours),0),)</f>
        <v>1.8420032427824532E-4</v>
      </c>
      <c r="N2" s="7" cm="1">
        <f t="array" ref="N2">INDEX('Summarized Source Data'!$T$600:$T$743,MATCH(1,($A2=LoadFactorSeasons)*(N$1=LoadFactorHours),0),)</f>
        <v>1.8245510156759872E-4</v>
      </c>
      <c r="O2" s="7" cm="1">
        <f t="array" ref="O2">INDEX('Summarized Source Data'!$T$600:$T$743,MATCH(1,($A2=LoadFactorSeasons)*(O$1=LoadFactorHours),0),)</f>
        <v>1.781713730960116E-4</v>
      </c>
      <c r="P2" s="7" cm="1">
        <f t="array" ref="P2">INDEX('Summarized Source Data'!$T$600:$T$743,MATCH(1,($A2=LoadFactorSeasons)*(P$1=LoadFactorHours),0),)</f>
        <v>1.7785405987589406E-4</v>
      </c>
      <c r="Q2" s="7" cm="1">
        <f t="array" ref="Q2">INDEX('Summarized Source Data'!$T$600:$T$743,MATCH(1,($A2=LoadFactorSeasons)*(Q$1=LoadFactorHours),0),)</f>
        <v>2.0276314765512278E-4</v>
      </c>
      <c r="R2" s="7" cm="1">
        <f t="array" ref="R2">INDEX('Summarized Source Data'!$T$600:$T$743,MATCH(1,($A2=LoadFactorSeasons)*(R$1=LoadFactorHours),0),)</f>
        <v>2.299727562802038E-4</v>
      </c>
      <c r="S2" s="7" cm="1">
        <f t="array" ref="S2">INDEX('Summarized Source Data'!$T$600:$T$743,MATCH(1,($A2=LoadFactorSeasons)*(S$1=LoadFactorHours),0),)</f>
        <v>2.3140066577073286E-4</v>
      </c>
      <c r="T2" s="7" cm="1">
        <f t="array" ref="T2">INDEX('Summarized Source Data'!$T$600:$T$743,MATCH(1,($A2=LoadFactorSeasons)*(T$1=LoadFactorHours),0),)</f>
        <v>2.1561433306988408E-4</v>
      </c>
      <c r="U2" s="7" cm="1">
        <f t="array" ref="U2">INDEX('Summarized Source Data'!$T$600:$T$743,MATCH(1,($A2=LoadFactorSeasons)*(U$1=LoadFactorHours),0),)</f>
        <v>1.8935666410515575E-4</v>
      </c>
      <c r="V2" s="7" cm="1">
        <f t="array" ref="V2">INDEX('Summarized Source Data'!$T$600:$T$743,MATCH(1,($A2=LoadFactorSeasons)*(V$1=LoadFactorHours),0),)</f>
        <v>1.8737345647942095E-4</v>
      </c>
      <c r="W2" s="7" cm="1">
        <f t="array" ref="W2">INDEX('Summarized Source Data'!$T$600:$T$743,MATCH(1,($A2=LoadFactorSeasons)*(W$1=LoadFactorHours),0),)</f>
        <v>1.8602487529392129E-4</v>
      </c>
      <c r="X2" s="7" cm="1">
        <f t="array" ref="X2">INDEX('Summarized Source Data'!$T$600:$T$743,MATCH(1,($A2=LoadFactorSeasons)*(X$1=LoadFactorHours),0),)</f>
        <v>1.8499360732853926E-4</v>
      </c>
      <c r="Y2" s="7" cm="1">
        <f t="array" ref="Y2">INDEX('Summarized Source Data'!$T$600:$T$743,MATCH(1,($A2=LoadFactorSeasons)*(Y$1=LoadFactorHours),0),)</f>
        <v>1.2422812567602592E-4</v>
      </c>
    </row>
    <row r="3" spans="1:25" x14ac:dyDescent="0.3">
      <c r="A3" s="7" t="s">
        <v>164</v>
      </c>
      <c r="B3" s="7" cm="1">
        <f t="array" ref="B3">INDEX('Summarized Source Data'!$T$600:$T$743,MATCH(1,($A3=LoadFactorSeasons)*(B$1=LoadFactorHours),0),)</f>
        <v>5.8955589127984047E-5</v>
      </c>
      <c r="C3" s="7" cm="1">
        <f t="array" ref="C3">INDEX('Summarized Source Data'!$T$600:$T$743,MATCH(1,($A3=LoadFactorSeasons)*(C$1=LoadFactorHours),0),)</f>
        <v>5.8738298553338321E-5</v>
      </c>
      <c r="D3" s="7" cm="1">
        <f t="array" ref="D3">INDEX('Summarized Source Data'!$T$600:$T$743,MATCH(1,($A3=LoadFactorSeasons)*(D$1=LoadFactorHours),0),)</f>
        <v>5.869949666500873E-5</v>
      </c>
      <c r="E3" s="7" cm="1">
        <f t="array" ref="E3">INDEX('Summarized Source Data'!$T$600:$T$743,MATCH(1,($A3=LoadFactorSeasons)*(E$1=LoadFactorHours),0),)</f>
        <v>5.869949666500873E-5</v>
      </c>
      <c r="F3" s="7" cm="1">
        <f t="array" ref="F3">INDEX('Summarized Source Data'!$T$600:$T$743,MATCH(1,($A3=LoadFactorSeasons)*(F$1=LoadFactorHours),0),)</f>
        <v>5.8683975909676896E-5</v>
      </c>
      <c r="G3" s="7" cm="1">
        <f t="array" ref="G3">INDEX('Summarized Source Data'!$T$600:$T$743,MATCH(1,($A3=LoadFactorSeasons)*(G$1=LoadFactorHours),0),)</f>
        <v>5.8777100441667926E-5</v>
      </c>
      <c r="H3" s="7" cm="1">
        <f t="array" ref="H3">INDEX('Summarized Source Data'!$T$600:$T$743,MATCH(1,($A3=LoadFactorSeasons)*(H$1=LoadFactorHours),0),)</f>
        <v>8.0630323948894882E-5</v>
      </c>
      <c r="I3" s="7" cm="1">
        <f t="array" ref="I3">INDEX('Summarized Source Data'!$T$600:$T$743,MATCH(1,($A3=LoadFactorSeasons)*(I$1=LoadFactorHours),0),)</f>
        <v>1.4426542080942786E-4</v>
      </c>
      <c r="J3" s="7" cm="1">
        <f t="array" ref="J3">INDEX('Summarized Source Data'!$T$600:$T$743,MATCH(1,($A3=LoadFactorSeasons)*(J$1=LoadFactorHours),0),)</f>
        <v>1.503961191655036E-4</v>
      </c>
      <c r="K3" s="7" cm="1">
        <f t="array" ref="K3">INDEX('Summarized Source Data'!$T$600:$T$743,MATCH(1,($A3=LoadFactorSeasons)*(K$1=LoadFactorHours),0),)</f>
        <v>1.4232532639294821E-4</v>
      </c>
      <c r="L3" s="7" cm="1">
        <f t="array" ref="L3">INDEX('Summarized Source Data'!$T$600:$T$743,MATCH(1,($A3=LoadFactorSeasons)*(L$1=LoadFactorHours),0),)</f>
        <v>1.2602853329451901E-4</v>
      </c>
      <c r="M3" s="7" cm="1">
        <f t="array" ref="M3">INDEX('Summarized Source Data'!$T$600:$T$743,MATCH(1,($A3=LoadFactorSeasons)*(M$1=LoadFactorHours),0),)</f>
        <v>1.2633894840115577E-4</v>
      </c>
      <c r="N3" s="7" cm="1">
        <f t="array" ref="N3">INDEX('Summarized Source Data'!$T$600:$T$743,MATCH(1,($A3=LoadFactorSeasons)*(N$1=LoadFactorHours),0),)</f>
        <v>1.2517489175126797E-4</v>
      </c>
      <c r="O3" s="7" cm="1">
        <f t="array" ref="O3">INDEX('Summarized Source Data'!$T$600:$T$743,MATCH(1,($A3=LoadFactorSeasons)*(O$1=LoadFactorHours),0),)</f>
        <v>1.2214834446155968E-4</v>
      </c>
      <c r="P3" s="7" cm="1">
        <f t="array" ref="P3">INDEX('Summarized Source Data'!$T$600:$T$743,MATCH(1,($A3=LoadFactorSeasons)*(P$1=LoadFactorHours),0),)</f>
        <v>1.2191553313158214E-4</v>
      </c>
      <c r="Q3" s="7" cm="1">
        <f t="array" ref="Q3">INDEX('Summarized Source Data'!$T$600:$T$743,MATCH(1,($A3=LoadFactorSeasons)*(Q$1=LoadFactorHours),0),)</f>
        <v>1.38910760219944E-4</v>
      </c>
      <c r="R3" s="7" cm="1">
        <f t="array" ref="R3">INDEX('Summarized Source Data'!$T$600:$T$743,MATCH(1,($A3=LoadFactorSeasons)*(R$1=LoadFactorHours),0),)</f>
        <v>1.5776847794812633E-4</v>
      </c>
      <c r="S3" s="7" cm="1">
        <f t="array" ref="S3">INDEX('Summarized Source Data'!$T$600:$T$743,MATCH(1,($A3=LoadFactorSeasons)*(S$1=LoadFactorHours),0),)</f>
        <v>1.5869972326803657E-4</v>
      </c>
      <c r="T3" s="7" cm="1">
        <f t="array" ref="T3">INDEX('Summarized Source Data'!$T$600:$T$743,MATCH(1,($A3=LoadFactorSeasons)*(T$1=LoadFactorHours),0),)</f>
        <v>1.4775759075909124E-4</v>
      </c>
      <c r="U3" s="7" cm="1">
        <f t="array" ref="U3">INDEX('Summarized Source Data'!$T$600:$T$743,MATCH(1,($A3=LoadFactorSeasons)*(U$1=LoadFactorHours),0),)</f>
        <v>1.2975351457415998E-4</v>
      </c>
      <c r="V3" s="7" cm="1">
        <f t="array" ref="V3">INDEX('Summarized Source Data'!$T$600:$T$743,MATCH(1,($A3=LoadFactorSeasons)*(V$1=LoadFactorHours),0),)</f>
        <v>1.2843425037095378E-4</v>
      </c>
      <c r="W3" s="7" cm="1">
        <f t="array" ref="W3">INDEX('Summarized Source Data'!$T$600:$T$743,MATCH(1,($A3=LoadFactorSeasons)*(W$1=LoadFactorHours),0),)</f>
        <v>1.2734779749772521E-4</v>
      </c>
      <c r="X3" s="7" cm="1">
        <f t="array" ref="X3">INDEX('Summarized Source Data'!$T$600:$T$743,MATCH(1,($A3=LoadFactorSeasons)*(X$1=LoadFactorHours),0),)</f>
        <v>1.265717597311333E-4</v>
      </c>
      <c r="Y3" s="7" cm="1">
        <f t="array" ref="Y3">INDEX('Summarized Source Data'!$T$600:$T$743,MATCH(1,($A3=LoadFactorSeasons)*(Y$1=LoadFactorHours),0),)</f>
        <v>8.4898531665150123E-5</v>
      </c>
    </row>
    <row r="4" spans="1:25" x14ac:dyDescent="0.3">
      <c r="A4" s="7" t="s">
        <v>165</v>
      </c>
      <c r="B4" s="7" cm="1">
        <f t="array" ref="B4">INDEX('Summarized Source Data'!$T$600:$T$743,MATCH(1,($A4=LoadFactorSeasons)*(B$1=LoadFactorHours),0),)</f>
        <v>5.4850349342713081E-5</v>
      </c>
      <c r="C4" s="7" cm="1">
        <f t="array" ref="C4">INDEX('Summarized Source Data'!$T$600:$T$743,MATCH(1,($A4=LoadFactorSeasons)*(C$1=LoadFactorHours),0),)</f>
        <v>5.471066254472655E-5</v>
      </c>
      <c r="D4" s="7" cm="1">
        <f t="array" ref="D4">INDEX('Summarized Source Data'!$T$600:$T$743,MATCH(1,($A4=LoadFactorSeasons)*(D$1=LoadFactorHours),0),)</f>
        <v>5.458649650207184E-5</v>
      </c>
      <c r="E4" s="7" cm="1">
        <f t="array" ref="E4">INDEX('Summarized Source Data'!$T$600:$T$743,MATCH(1,($A4=LoadFactorSeasons)*(E$1=LoadFactorHours),0),)</f>
        <v>5.4664100278731029E-5</v>
      </c>
      <c r="F4" s="7" cm="1">
        <f t="array" ref="F4">INDEX('Summarized Source Data'!$T$600:$T$743,MATCH(1,($A4=LoadFactorSeasons)*(F$1=LoadFactorHours),0),)</f>
        <v>5.4570975746740006E-5</v>
      </c>
      <c r="G4" s="7" cm="1">
        <f t="array" ref="G4">INDEX('Summarized Source Data'!$T$600:$T$743,MATCH(1,($A4=LoadFactorSeasons)*(G$1=LoadFactorHours),0),)</f>
        <v>5.4741704055390224E-5</v>
      </c>
      <c r="H4" s="7" cm="1">
        <f t="array" ref="H4">INDEX('Summarized Source Data'!$T$600:$T$743,MATCH(1,($A4=LoadFactorSeasons)*(H$1=LoadFactorHours),0),)</f>
        <v>7.4973008630440169E-5</v>
      </c>
      <c r="I4" s="7" cm="1">
        <f t="array" ref="I4">INDEX('Summarized Source Data'!$T$600:$T$743,MATCH(1,($A4=LoadFactorSeasons)*(I$1=LoadFactorHours),0),)</f>
        <v>1.3433213739705196E-4</v>
      </c>
      <c r="J4" s="7" cm="1">
        <f t="array" ref="J4">INDEX('Summarized Source Data'!$T$600:$T$743,MATCH(1,($A4=LoadFactorSeasons)*(J$1=LoadFactorHours),0),)</f>
        <v>1.4023002442315019E-4</v>
      </c>
      <c r="K4" s="7" cm="1">
        <f t="array" ref="K4">INDEX('Summarized Source Data'!$T$600:$T$743,MATCH(1,($A4=LoadFactorSeasons)*(K$1=LoadFactorHours),0),)</f>
        <v>1.3262485431054987E-4</v>
      </c>
      <c r="L4" s="7" cm="1">
        <f t="array" ref="L4">INDEX('Summarized Source Data'!$T$600:$T$743,MATCH(1,($A4=LoadFactorSeasons)*(L$1=LoadFactorHours),0),)</f>
        <v>1.1741451408534931E-4</v>
      </c>
      <c r="M4" s="7" cm="1">
        <f t="array" ref="M4">INDEX('Summarized Source Data'!$T$600:$T$743,MATCH(1,($A4=LoadFactorSeasons)*(M$1=LoadFactorHours),0),)</f>
        <v>1.1764732541532687E-4</v>
      </c>
      <c r="N4" s="7" cm="1">
        <f t="array" ref="N4">INDEX('Summarized Source Data'!$T$600:$T$743,MATCH(1,($A4=LoadFactorSeasons)*(N$1=LoadFactorHours),0),)</f>
        <v>1.1663847631875744E-4</v>
      </c>
      <c r="O4" s="7" cm="1">
        <f t="array" ref="O4">INDEX('Summarized Source Data'!$T$600:$T$743,MATCH(1,($A4=LoadFactorSeasons)*(O$1=LoadFactorHours),0),)</f>
        <v>1.1392234413568592E-4</v>
      </c>
      <c r="P4" s="7" cm="1">
        <f t="array" ref="P4">INDEX('Summarized Source Data'!$T$600:$T$743,MATCH(1,($A4=LoadFactorSeasons)*(P$1=LoadFactorHours),0),)</f>
        <v>1.1361192902904916E-4</v>
      </c>
      <c r="Q4" s="7" cm="1">
        <f t="array" ref="Q4">INDEX('Summarized Source Data'!$T$600:$T$743,MATCH(1,($A4=LoadFactorSeasons)*(Q$1=LoadFactorHours),0),)</f>
        <v>1.2952070324418242E-4</v>
      </c>
      <c r="R4" s="7" cm="1">
        <f t="array" ref="R4">INDEX('Summarized Source Data'!$T$600:$T$743,MATCH(1,($A4=LoadFactorSeasons)*(R$1=LoadFactorHours),0),)</f>
        <v>1.4705915676915858E-4</v>
      </c>
      <c r="S4" s="7" cm="1">
        <f t="array" ref="S4">INDEX('Summarized Source Data'!$T$600:$T$743,MATCH(1,($A4=LoadFactorSeasons)*(S$1=LoadFactorHours),0),)</f>
        <v>1.4806800586572799E-4</v>
      </c>
      <c r="T4" s="7" cm="1">
        <f t="array" ref="T4">INDEX('Summarized Source Data'!$T$600:$T$743,MATCH(1,($A4=LoadFactorSeasons)*(T$1=LoadFactorHours),0),)</f>
        <v>1.3790191112337456E-4</v>
      </c>
      <c r="U4" s="7" cm="1">
        <f t="array" ref="U4">INDEX('Summarized Source Data'!$T$600:$T$743,MATCH(1,($A4=LoadFactorSeasons)*(U$1=LoadFactorHours),0),)</f>
        <v>1.2098428781167189E-4</v>
      </c>
      <c r="V4" s="7" cm="1">
        <f t="array" ref="V4">INDEX('Summarized Source Data'!$T$600:$T$743,MATCH(1,($A4=LoadFactorSeasons)*(V$1=LoadFactorHours),0),)</f>
        <v>1.196650236084657E-4</v>
      </c>
      <c r="W4" s="7" cm="1">
        <f t="array" ref="W4">INDEX('Summarized Source Data'!$T$600:$T$743,MATCH(1,($A4=LoadFactorSeasons)*(W$1=LoadFactorHours),0),)</f>
        <v>1.186561745118963E-4</v>
      </c>
      <c r="X4" s="7" cm="1">
        <f t="array" ref="X4">INDEX('Summarized Source Data'!$T$600:$T$743,MATCH(1,($A4=LoadFactorSeasons)*(X$1=LoadFactorHours),0),)</f>
        <v>1.1788013674530443E-4</v>
      </c>
      <c r="Y4" s="7" cm="1">
        <f t="array" ref="Y4">INDEX('Summarized Source Data'!$T$600:$T$743,MATCH(1,($A4=LoadFactorSeasons)*(Y$1=LoadFactorHours),0),)</f>
        <v>7.9078248415711115E-5</v>
      </c>
    </row>
    <row r="5" spans="1:25" x14ac:dyDescent="0.3">
      <c r="A5" s="7" t="s">
        <v>166</v>
      </c>
      <c r="B5" s="7" cm="1">
        <f t="array" ref="B5">INDEX('Summarized Source Data'!$T$600:$T$743,MATCH(1,($A5=LoadFactorSeasons)*(B$1=LoadFactorHours),0),)</f>
        <v>4.0452205127295038E-5</v>
      </c>
      <c r="C5" s="7" cm="1">
        <f t="array" ref="C5">INDEX('Summarized Source Data'!$T$600:$T$743,MATCH(1,($A5=LoadFactorSeasons)*(C$1=LoadFactorHours),0),)</f>
        <v>4.0279600683384928E-5</v>
      </c>
      <c r="D5" s="7" cm="1">
        <f t="array" ref="D5">INDEX('Summarized Source Data'!$T$600:$T$743,MATCH(1,($A5=LoadFactorSeasons)*(D$1=LoadFactorHours),0),)</f>
        <v>4.0256063713760832E-5</v>
      </c>
      <c r="E5" s="7" cm="1">
        <f t="array" ref="E5">INDEX('Summarized Source Data'!$T$600:$T$743,MATCH(1,($A5=LoadFactorSeasons)*(E$1=LoadFactorHours),0),)</f>
        <v>4.0256063713760832E-5</v>
      </c>
      <c r="F5" s="7" cm="1">
        <f t="array" ref="F5">INDEX('Summarized Source Data'!$T$600:$T$743,MATCH(1,($A5=LoadFactorSeasons)*(F$1=LoadFactorHours),0),)</f>
        <v>4.0240372400678092E-5</v>
      </c>
      <c r="G5" s="7" cm="1">
        <f t="array" ref="G5">INDEX('Summarized Source Data'!$T$600:$T$743,MATCH(1,($A5=LoadFactorSeasons)*(G$1=LoadFactorHours),0),)</f>
        <v>4.0412976844588195E-5</v>
      </c>
      <c r="H5" s="7" cm="1">
        <f t="array" ref="H5">INDEX('Summarized Source Data'!$T$600:$T$743,MATCH(1,($A5=LoadFactorSeasons)*(H$1=LoadFactorHours),0),)</f>
        <v>5.5390335182060313E-5</v>
      </c>
      <c r="I5" s="7" cm="1">
        <f t="array" ref="I5">INDEX('Summarized Source Data'!$T$600:$T$743,MATCH(1,($A5=LoadFactorSeasons)*(I$1=LoadFactorHours),0),)</f>
        <v>9.8933728986654444E-5</v>
      </c>
      <c r="J5" s="7" cm="1">
        <f t="array" ref="J5">INDEX('Summarized Source Data'!$T$600:$T$743,MATCH(1,($A5=LoadFactorSeasons)*(J$1=LoadFactorHours),0),)</f>
        <v>1.0309192695357966E-4</v>
      </c>
      <c r="K5" s="7" cm="1">
        <f t="array" ref="K5">INDEX('Summarized Source Data'!$T$600:$T$743,MATCH(1,($A5=LoadFactorSeasons)*(K$1=LoadFactorHours),0),)</f>
        <v>9.7521510809208154E-5</v>
      </c>
      <c r="L5" s="7" cm="1">
        <f t="array" ref="L5">INDEX('Summarized Source Data'!$T$600:$T$743,MATCH(1,($A5=LoadFactorSeasons)*(L$1=LoadFactorHours),0),)</f>
        <v>8.6459135085878823E-5</v>
      </c>
      <c r="M5" s="7" cm="1">
        <f t="array" ref="M5">INDEX('Summarized Source Data'!$T$600:$T$743,MATCH(1,($A5=LoadFactorSeasons)*(M$1=LoadFactorHours),0),)</f>
        <v>8.6616048216706193E-5</v>
      </c>
      <c r="N5" s="7" cm="1">
        <f t="array" ref="N5">INDEX('Summarized Source Data'!$T$600:$T$743,MATCH(1,($A5=LoadFactorSeasons)*(N$1=LoadFactorHours),0),)</f>
        <v>8.5753025997155685E-5</v>
      </c>
      <c r="O5" s="7" cm="1">
        <f t="array" ref="O5">INDEX('Summarized Source Data'!$T$600:$T$743,MATCH(1,($A5=LoadFactorSeasons)*(O$1=LoadFactorHours),0),)</f>
        <v>8.3791611861813614E-5</v>
      </c>
      <c r="P5" s="7" cm="1">
        <f t="array" ref="P5">INDEX('Summarized Source Data'!$T$600:$T$743,MATCH(1,($A5=LoadFactorSeasons)*(P$1=LoadFactorHours),0),)</f>
        <v>8.3556242165572559E-5</v>
      </c>
      <c r="Q5" s="7" cm="1">
        <f t="array" ref="Q5">INDEX('Summarized Source Data'!$T$600:$T$743,MATCH(1,($A5=LoadFactorSeasons)*(Q$1=LoadFactorHours),0),)</f>
        <v>9.5246270412211356E-5</v>
      </c>
      <c r="R5" s="7" cm="1">
        <f t="array" ref="R5">INDEX('Summarized Source Data'!$T$600:$T$743,MATCH(1,($A5=LoadFactorSeasons)*(R$1=LoadFactorHours),0),)</f>
        <v>1.0819160370546907E-4</v>
      </c>
      <c r="S5" s="7" cm="1">
        <f t="array" ref="S5">INDEX('Summarized Source Data'!$T$600:$T$743,MATCH(1,($A5=LoadFactorSeasons)*(S$1=LoadFactorHours),0),)</f>
        <v>1.0881925622877854E-4</v>
      </c>
      <c r="T5" s="7" cm="1">
        <f t="array" ref="T5">INDEX('Summarized Source Data'!$T$600:$T$743,MATCH(1,($A5=LoadFactorSeasons)*(T$1=LoadFactorHours),0),)</f>
        <v>1.0128742594906494E-4</v>
      </c>
      <c r="U5" s="7" cm="1">
        <f t="array" ref="U5">INDEX('Summarized Source Data'!$T$600:$T$743,MATCH(1,($A5=LoadFactorSeasons)*(U$1=LoadFactorHours),0),)</f>
        <v>8.8969745179116703E-5</v>
      </c>
      <c r="V5" s="7" cm="1">
        <f t="array" ref="V5">INDEX('Summarized Source Data'!$T$600:$T$743,MATCH(1,($A5=LoadFactorSeasons)*(V$1=LoadFactorHours),0),)</f>
        <v>8.8028266394152497E-5</v>
      </c>
      <c r="W5" s="7" cm="1">
        <f t="array" ref="W5">INDEX('Summarized Source Data'!$T$600:$T$743,MATCH(1,($A5=LoadFactorSeasons)*(W$1=LoadFactorHours),0),)</f>
        <v>8.7400613870843017E-5</v>
      </c>
      <c r="X5" s="7" cm="1">
        <f t="array" ref="X5">INDEX('Summarized Source Data'!$T$600:$T$743,MATCH(1,($A5=LoadFactorSeasons)*(X$1=LoadFactorHours),0),)</f>
        <v>8.6929874478360934E-5</v>
      </c>
      <c r="Y5" s="7" cm="1">
        <f t="array" ref="Y5">INDEX('Summarized Source Data'!$T$600:$T$743,MATCH(1,($A5=LoadFactorSeasons)*(Y$1=LoadFactorHours),0),)</f>
        <v>5.8293228102366584E-5</v>
      </c>
    </row>
    <row r="6" spans="1:25" x14ac:dyDescent="0.3">
      <c r="A6" s="7" t="s">
        <v>172</v>
      </c>
      <c r="B6" s="7" cm="1">
        <f t="array" ref="B6">INDEX('Summarized Source Data'!$T$600:$T$743,MATCH(1,($A6=LoadFactorSeasons)*(B$1=LoadFactorHours),0),)</f>
        <v>6.6219302623283919E-5</v>
      </c>
      <c r="C6" s="7" cm="1">
        <f t="array" ref="C6">INDEX('Summarized Source Data'!$T$600:$T$743,MATCH(1,($A6=LoadFactorSeasons)*(C$1=LoadFactorHours),0),)</f>
        <v>6.5730398830331048E-5</v>
      </c>
      <c r="D6" s="7" cm="1">
        <f t="array" ref="D6">INDEX('Summarized Source Data'!$T$600:$T$743,MATCH(1,($A6=LoadFactorSeasons)*(D$1=LoadFactorHours),0),)</f>
        <v>6.5567430899346753E-5</v>
      </c>
      <c r="E6" s="7" cm="1">
        <f t="array" ref="E6">INDEX('Summarized Source Data'!$T$600:$T$743,MATCH(1,($A6=LoadFactorSeasons)*(E$1=LoadFactorHours),0),)</f>
        <v>6.5567430899346753E-5</v>
      </c>
      <c r="F6" s="7" cm="1">
        <f t="array" ref="F6">INDEX('Summarized Source Data'!$T$600:$T$743,MATCH(1,($A6=LoadFactorSeasons)*(F$1=LoadFactorHours),0),)</f>
        <v>6.5513108255685321E-5</v>
      </c>
      <c r="G6" s="7" cm="1">
        <f t="array" ref="G6">INDEX('Summarized Source Data'!$T$600:$T$743,MATCH(1,($A6=LoadFactorSeasons)*(G$1=LoadFactorHours),0),)</f>
        <v>6.5567430899346753E-5</v>
      </c>
      <c r="H6" s="7" cm="1">
        <f t="array" ref="H6">INDEX('Summarized Source Data'!$T$600:$T$743,MATCH(1,($A6=LoadFactorSeasons)*(H$1=LoadFactorHours),0),)</f>
        <v>8.0153060722440873E-5</v>
      </c>
      <c r="I6" s="7" cm="1">
        <f t="array" ref="I6">INDEX('Summarized Source Data'!$T$600:$T$743,MATCH(1,($A6=LoadFactorSeasons)*(I$1=LoadFactorHours),0),)</f>
        <v>1.4667113788586263E-4</v>
      </c>
      <c r="J6" s="7" cm="1">
        <f t="array" ref="J6">INDEX('Summarized Source Data'!$T$600:$T$743,MATCH(1,($A6=LoadFactorSeasons)*(J$1=LoadFactorHours),0),)</f>
        <v>1.4873539834499701E-4</v>
      </c>
      <c r="K6" s="7" cm="1">
        <f t="array" ref="K6">INDEX('Summarized Source Data'!$T$600:$T$743,MATCH(1,($A6=LoadFactorSeasons)*(K$1=LoadFactorHours),0),)</f>
        <v>1.3385099398176501E-4</v>
      </c>
      <c r="L6" s="7" cm="1">
        <f t="array" ref="L6">INDEX('Summarized Source Data'!$T$600:$T$743,MATCH(1,($A6=LoadFactorSeasons)*(L$1=LoadFactorHours),0),)</f>
        <v>1.3472015628034794E-4</v>
      </c>
      <c r="M6" s="7" cm="1">
        <f t="array" ref="M6">INDEX('Summarized Source Data'!$T$600:$T$743,MATCH(1,($A6=LoadFactorSeasons)*(M$1=LoadFactorHours),0),)</f>
        <v>1.355349959352694E-4</v>
      </c>
      <c r="N6" s="7" cm="1">
        <f t="array" ref="N6">INDEX('Summarized Source Data'!$T$600:$T$743,MATCH(1,($A6=LoadFactorSeasons)*(N$1=LoadFactorHours),0),)</f>
        <v>1.3118918444235492E-4</v>
      </c>
      <c r="O6" s="7" cm="1">
        <f t="array" ref="O6">INDEX('Summarized Source Data'!$T$600:$T$743,MATCH(1,($A6=LoadFactorSeasons)*(O$1=LoadFactorHours),0),)</f>
        <v>1.2168272180160458E-4</v>
      </c>
      <c r="P6" s="7" cm="1">
        <f t="array" ref="P6">INDEX('Summarized Source Data'!$T$600:$T$743,MATCH(1,($A6=LoadFactorSeasons)*(P$1=LoadFactorHours),0),)</f>
        <v>1.2141110858329744E-4</v>
      </c>
      <c r="Q6" s="7" cm="1">
        <f t="array" ref="Q6">INDEX('Summarized Source Data'!$T$600:$T$743,MATCH(1,($A6=LoadFactorSeasons)*(Q$1=LoadFactorHours),0),)</f>
        <v>1.3287318639585926E-4</v>
      </c>
      <c r="R6" s="7" cm="1">
        <f t="array" ref="R6">INDEX('Summarized Source Data'!$T$600:$T$743,MATCH(1,($A6=LoadFactorSeasons)*(R$1=LoadFactorHours),0),)</f>
        <v>1.4830081719570558E-4</v>
      </c>
      <c r="S6" s="7" cm="1">
        <f t="array" ref="S6">INDEX('Summarized Source Data'!$T$600:$T$743,MATCH(1,($A6=LoadFactorSeasons)*(S$1=LoadFactorHours),0),)</f>
        <v>1.4971320593090278E-4</v>
      </c>
      <c r="T6" s="7" cm="1">
        <f t="array" ref="T6">INDEX('Summarized Source Data'!$T$600:$T$743,MATCH(1,($A6=LoadFactorSeasons)*(T$1=LoadFactorHours),0),)</f>
        <v>1.4368339248448399E-4</v>
      </c>
      <c r="U6" s="7" cm="1">
        <f t="array" ref="U6">INDEX('Summarized Source Data'!$T$600:$T$743,MATCH(1,($A6=LoadFactorSeasons)*(U$1=LoadFactorHours),0),)</f>
        <v>1.4314016604786967E-4</v>
      </c>
      <c r="V6" s="7" cm="1">
        <f t="array" ref="V6">INDEX('Summarized Source Data'!$T$600:$T$743,MATCH(1,($A6=LoadFactorSeasons)*(V$1=LoadFactorHours),0),)</f>
        <v>1.4259693961125535E-4</v>
      </c>
      <c r="W6" s="7" cm="1">
        <f t="array" ref="W6">INDEX('Summarized Source Data'!$T$600:$T$743,MATCH(1,($A6=LoadFactorSeasons)*(W$1=LoadFactorHours),0),)</f>
        <v>1.4178209995633392E-4</v>
      </c>
      <c r="X6" s="7" cm="1">
        <f t="array" ref="X6">INDEX('Summarized Source Data'!$T$600:$T$743,MATCH(1,($A6=LoadFactorSeasons)*(X$1=LoadFactorHours),0),)</f>
        <v>1.4151048673802675E-4</v>
      </c>
      <c r="Y6" s="7" cm="1">
        <f t="array" ref="Y6">INDEX('Summarized Source Data'!$T$600:$T$743,MATCH(1,($A6=LoadFactorSeasons)*(Y$1=LoadFactorHours),0),)</f>
        <v>9.4793013189196424E-5</v>
      </c>
    </row>
    <row r="7" spans="1:25" x14ac:dyDescent="0.3">
      <c r="A7" s="7" t="s">
        <v>171</v>
      </c>
      <c r="B7" s="7" cm="1">
        <f t="array" ref="B7">INDEX('Summarized Source Data'!$T$600:$T$743,MATCH(1,($A7=LoadFactorSeasons)*(B$1=LoadFactorHours),0),)</f>
        <v>1.0381298637671222E-4</v>
      </c>
      <c r="C7" s="7" cm="1">
        <f t="array" ref="C7">INDEX('Summarized Source Data'!$T$600:$T$743,MATCH(1,($A7=LoadFactorSeasons)*(C$1=LoadFactorHours),0),)</f>
        <v>1.0314662861446532E-4</v>
      </c>
      <c r="D7" s="7" cm="1">
        <f t="array" ref="D7">INDEX('Summarized Source Data'!$T$600:$T$743,MATCH(1,($A7=LoadFactorSeasons)*(D$1=LoadFactorHours),0),)</f>
        <v>1.0295227426714332E-4</v>
      </c>
      <c r="E7" s="7" cm="1">
        <f t="array" ref="E7">INDEX('Summarized Source Data'!$T$600:$T$743,MATCH(1,($A7=LoadFactorSeasons)*(E$1=LoadFactorHours),0),)</f>
        <v>1.0295227426714332E-4</v>
      </c>
      <c r="F7" s="7" cm="1">
        <f t="array" ref="F7">INDEX('Summarized Source Data'!$T$600:$T$743,MATCH(1,($A7=LoadFactorSeasons)*(F$1=LoadFactorHours),0),)</f>
        <v>1.0286897954686246E-4</v>
      </c>
      <c r="G7" s="7" cm="1">
        <f t="array" ref="G7">INDEX('Summarized Source Data'!$T$600:$T$743,MATCH(1,($A7=LoadFactorSeasons)*(G$1=LoadFactorHours),0),)</f>
        <v>1.0298003917390362E-4</v>
      </c>
      <c r="H7" s="7" cm="1">
        <f t="array" ref="H7">INDEX('Summarized Source Data'!$T$600:$T$743,MATCH(1,($A7=LoadFactorSeasons)*(H$1=LoadFactorHours),0),)</f>
        <v>1.2577502762409906E-4</v>
      </c>
      <c r="I7" s="7" cm="1">
        <f t="array" ref="I7">INDEX('Summarized Source Data'!$T$600:$T$743,MATCH(1,($A7=LoadFactorSeasons)*(I$1=LoadFactorHours),0),)</f>
        <v>2.296713087210921E-4</v>
      </c>
      <c r="J7" s="7" cm="1">
        <f t="array" ref="J7">INDEX('Summarized Source Data'!$T$600:$T$743,MATCH(1,($A7=LoadFactorSeasons)*(J$1=LoadFactorHours),0),)</f>
        <v>2.3255885902416192E-4</v>
      </c>
      <c r="K7" s="7" cm="1">
        <f t="array" ref="K7">INDEX('Summarized Source Data'!$T$600:$T$743,MATCH(1,($A7=LoadFactorSeasons)*(K$1=LoadFactorHours),0),)</f>
        <v>2.0934739697256219E-4</v>
      </c>
      <c r="L7" s="7" cm="1">
        <f t="array" ref="L7">INDEX('Summarized Source Data'!$T$600:$T$743,MATCH(1,($A7=LoadFactorSeasons)*(L$1=LoadFactorHours),0),)</f>
        <v>2.1129094044578228E-4</v>
      </c>
      <c r="M7" s="7" cm="1">
        <f t="array" ref="M7">INDEX('Summarized Source Data'!$T$600:$T$743,MATCH(1,($A7=LoadFactorSeasons)*(M$1=LoadFactorHours),0),)</f>
        <v>2.121238876485909E-4</v>
      </c>
      <c r="N7" s="7" cm="1">
        <f t="array" ref="N7">INDEX('Summarized Source Data'!$T$600:$T$743,MATCH(1,($A7=LoadFactorSeasons)*(N$1=LoadFactorHours),0),)</f>
        <v>2.0490501189091633E-4</v>
      </c>
      <c r="O7" s="7" cm="1">
        <f t="array" ref="O7">INDEX('Summarized Source Data'!$T$600:$T$743,MATCH(1,($A7=LoadFactorSeasons)*(O$1=LoadFactorHours),0),)</f>
        <v>1.9018961130796432E-4</v>
      </c>
      <c r="P7" s="7" cm="1">
        <f t="array" ref="P7">INDEX('Summarized Source Data'!$T$600:$T$743,MATCH(1,($A7=LoadFactorSeasons)*(P$1=LoadFactorHours),0),)</f>
        <v>1.8991196224036147E-4</v>
      </c>
      <c r="Q7" s="7" cm="1">
        <f t="array" ref="Q7">INDEX('Summarized Source Data'!$T$600:$T$743,MATCH(1,($A7=LoadFactorSeasons)*(Q$1=LoadFactorHours),0),)</f>
        <v>2.0812574107510957E-4</v>
      </c>
      <c r="R7" s="7" cm="1">
        <f t="array" ref="R7">INDEX('Summarized Source Data'!$T$600:$T$743,MATCH(1,($A7=LoadFactorSeasons)*(R$1=LoadFactorHours),0),)</f>
        <v>2.3189250126191504E-4</v>
      </c>
      <c r="S7" s="7" cm="1">
        <f t="array" ref="S7">INDEX('Summarized Source Data'!$T$600:$T$743,MATCH(1,($A7=LoadFactorSeasons)*(S$1=LoadFactorHours),0),)</f>
        <v>2.3378051492161454E-4</v>
      </c>
      <c r="T7" s="7" cm="1">
        <f t="array" ref="T7">INDEX('Summarized Source Data'!$T$600:$T$743,MATCH(1,($A7=LoadFactorSeasons)*(T$1=LoadFactorHours),0),)</f>
        <v>2.2517339382592568E-4</v>
      </c>
      <c r="U7" s="7" cm="1">
        <f t="array" ref="U7">INDEX('Summarized Source Data'!$T$600:$T$743,MATCH(1,($A7=LoadFactorSeasons)*(U$1=LoadFactorHours),0),)</f>
        <v>2.2461809569071994E-4</v>
      </c>
      <c r="V7" s="7" cm="1">
        <f t="array" ref="V7">INDEX('Summarized Source Data'!$T$600:$T$743,MATCH(1,($A7=LoadFactorSeasons)*(V$1=LoadFactorHours),0),)</f>
        <v>2.2350749942030845E-4</v>
      </c>
      <c r="W7" s="7" cm="1">
        <f t="array" ref="W7">INDEX('Summarized Source Data'!$T$600:$T$743,MATCH(1,($A7=LoadFactorSeasons)*(W$1=LoadFactorHours),0),)</f>
        <v>2.2239690314989699E-4</v>
      </c>
      <c r="X7" s="7" cm="1">
        <f t="array" ref="X7">INDEX('Summarized Source Data'!$T$600:$T$743,MATCH(1,($A7=LoadFactorSeasons)*(X$1=LoadFactorHours),0),)</f>
        <v>2.2211925408229414E-4</v>
      </c>
      <c r="Y7" s="7" cm="1">
        <f t="array" ref="Y7">INDEX('Summarized Source Data'!$T$600:$T$743,MATCH(1,($A7=LoadFactorSeasons)*(Y$1=LoadFactorHours),0),)</f>
        <v>1.4937519837034282E-4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21DE-C53D-4048-8E2A-505AC208822B}">
  <sheetPr codeName="Sheet26">
    <tabColor rgb="FF002060"/>
  </sheetPr>
  <dimension ref="A1:Y15"/>
  <sheetViews>
    <sheetView workbookViewId="0">
      <selection activeCell="B3" sqref="B3"/>
    </sheetView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Data'!$U$600:$U$743,MATCH(1,($A2=LoadFactorSeasons)*(B$1=LoadFactorHours),0),)</f>
        <v>8.6142606431415422E-5</v>
      </c>
      <c r="C2" s="7" cm="1">
        <f t="array" ref="C2">INDEX('Summarized Source Data'!$U$600:$U$743,MATCH(1,($A2=LoadFactorSeasons)*(C$1=LoadFactorHours),0),)</f>
        <v>8.5793561889286086E-5</v>
      </c>
      <c r="D2" s="7" cm="1">
        <f t="array" ref="D2">INDEX('Summarized Source Data'!$U$600:$U$743,MATCH(1,($A2=LoadFactorSeasons)*(D$1=LoadFactorHours),0),)</f>
        <v>8.5738032075765504E-5</v>
      </c>
      <c r="E2" s="7" cm="1">
        <f t="array" ref="E2">INDEX('Summarized Source Data'!$U$600:$U$743,MATCH(1,($A2=LoadFactorSeasons)*(E$1=LoadFactorHours),0),)</f>
        <v>8.5738032075765504E-5</v>
      </c>
      <c r="F2" s="7" cm="1">
        <f t="array" ref="F2">INDEX('Summarized Source Data'!$U$600:$U$743,MATCH(1,($A2=LoadFactorSeasons)*(F$1=LoadFactorHours),0),)</f>
        <v>8.57142335842567E-5</v>
      </c>
      <c r="G2" s="7" cm="1">
        <f t="array" ref="G2">INDEX('Summarized Source Data'!$U$600:$U$743,MATCH(1,($A2=LoadFactorSeasons)*(G$1=LoadFactorHours),0),)</f>
        <v>8.5904621516327251E-5</v>
      </c>
      <c r="H2" s="7" cm="1">
        <f t="array" ref="H2">INDEX('Summarized Source Data'!$U$600:$U$743,MATCH(1,($A2=LoadFactorSeasons)*(H$1=LoadFactorHours),0),)</f>
        <v>1.177232046636159E-4</v>
      </c>
      <c r="I2" s="7" cm="1">
        <f t="array" ref="I2">INDEX('Summarized Source Data'!$U$600:$U$743,MATCH(1,($A2=LoadFactorSeasons)*(I$1=LoadFactorHours),0),)</f>
        <v>2.1053732154800305E-4</v>
      </c>
      <c r="J2" s="7" cm="1">
        <f t="array" ref="J2">INDEX('Summarized Source Data'!$U$600:$U$743,MATCH(1,($A2=LoadFactorSeasons)*(J$1=LoadFactorHours),0),)</f>
        <v>2.1942209171129482E-4</v>
      </c>
      <c r="K2" s="7" cm="1">
        <f t="array" ref="K2">INDEX('Summarized Source Data'!$U$600:$U$743,MATCH(1,($A2=LoadFactorSeasons)*(K$1=LoadFactorHours),0),)</f>
        <v>2.0760217426191559E-4</v>
      </c>
      <c r="L2" s="7" cm="1">
        <f t="array" ref="L2">INDEX('Summarized Source Data'!$U$600:$U$743,MATCH(1,($A2=LoadFactorSeasons)*(L$1=LoadFactorHours),0),)</f>
        <v>1.8388301105812778E-4</v>
      </c>
      <c r="M2" s="7" cm="1">
        <f t="array" ref="M2">INDEX('Summarized Source Data'!$U$600:$U$743,MATCH(1,($A2=LoadFactorSeasons)*(M$1=LoadFactorHours),0),)</f>
        <v>1.8420032427824532E-4</v>
      </c>
      <c r="N2" s="7" cm="1">
        <f t="array" ref="N2">INDEX('Summarized Source Data'!$U$600:$U$743,MATCH(1,($A2=LoadFactorSeasons)*(N$1=LoadFactorHours),0),)</f>
        <v>1.8245510156759872E-4</v>
      </c>
      <c r="O2" s="7" cm="1">
        <f t="array" ref="O2">INDEX('Summarized Source Data'!$U$600:$U$743,MATCH(1,($A2=LoadFactorSeasons)*(O$1=LoadFactorHours),0),)</f>
        <v>1.781713730960116E-4</v>
      </c>
      <c r="P2" s="7" cm="1">
        <f t="array" ref="P2">INDEX('Summarized Source Data'!$U$600:$U$743,MATCH(1,($A2=LoadFactorSeasons)*(P$1=LoadFactorHours),0),)</f>
        <v>1.7785405987589406E-4</v>
      </c>
      <c r="Q2" s="7" cm="1">
        <f t="array" ref="Q2">INDEX('Summarized Source Data'!$U$600:$U$743,MATCH(1,($A2=LoadFactorSeasons)*(Q$1=LoadFactorHours),0),)</f>
        <v>2.0276314765512278E-4</v>
      </c>
      <c r="R2" s="7" cm="1">
        <f t="array" ref="R2">INDEX('Summarized Source Data'!$U$600:$U$743,MATCH(1,($A2=LoadFactorSeasons)*(R$1=LoadFactorHours),0),)</f>
        <v>2.299727562802038E-4</v>
      </c>
      <c r="S2" s="7" cm="1">
        <f t="array" ref="S2">INDEX('Summarized Source Data'!$U$600:$U$743,MATCH(1,($A2=LoadFactorSeasons)*(S$1=LoadFactorHours),0),)</f>
        <v>2.3140066577073286E-4</v>
      </c>
      <c r="T2" s="7" cm="1">
        <f t="array" ref="T2">INDEX('Summarized Source Data'!$U$600:$U$743,MATCH(1,($A2=LoadFactorSeasons)*(T$1=LoadFactorHours),0),)</f>
        <v>2.1561433306988408E-4</v>
      </c>
      <c r="U2" s="7" cm="1">
        <f t="array" ref="U2">INDEX('Summarized Source Data'!$U$600:$U$743,MATCH(1,($A2=LoadFactorSeasons)*(U$1=LoadFactorHours),0),)</f>
        <v>1.8935666410515575E-4</v>
      </c>
      <c r="V2" s="7" cm="1">
        <f t="array" ref="V2">INDEX('Summarized Source Data'!$U$600:$U$743,MATCH(1,($A2=LoadFactorSeasons)*(V$1=LoadFactorHours),0),)</f>
        <v>1.8737345647942095E-4</v>
      </c>
      <c r="W2" s="7" cm="1">
        <f t="array" ref="W2">INDEX('Summarized Source Data'!$U$600:$U$743,MATCH(1,($A2=LoadFactorSeasons)*(W$1=LoadFactorHours),0),)</f>
        <v>1.8602487529392129E-4</v>
      </c>
      <c r="X2" s="7" cm="1">
        <f t="array" ref="X2">INDEX('Summarized Source Data'!$U$600:$U$743,MATCH(1,($A2=LoadFactorSeasons)*(X$1=LoadFactorHours),0),)</f>
        <v>1.8499360732853926E-4</v>
      </c>
      <c r="Y2" s="7" cm="1">
        <f t="array" ref="Y2">INDEX('Summarized Source Data'!$U$600:$U$743,MATCH(1,($A2=LoadFactorSeasons)*(Y$1=LoadFactorHours),0),)</f>
        <v>1.2422812567602592E-4</v>
      </c>
    </row>
    <row r="3" spans="1:25" x14ac:dyDescent="0.3">
      <c r="A3" s="7" t="s">
        <v>164</v>
      </c>
      <c r="B3" s="7" cm="1">
        <f t="array" ref="B3">INDEX('Summarized Source Data'!$U$600:$U$743,MATCH(1,($A3=LoadFactorSeasons)*(B$1=LoadFactorHours),0),)</f>
        <v>5.8955589127984047E-5</v>
      </c>
      <c r="C3" s="7" cm="1">
        <f t="array" ref="C3">INDEX('Summarized Source Data'!$U$600:$U$743,MATCH(1,($A3=LoadFactorSeasons)*(C$1=LoadFactorHours),0),)</f>
        <v>5.8738298553338321E-5</v>
      </c>
      <c r="D3" s="7" cm="1">
        <f t="array" ref="D3">INDEX('Summarized Source Data'!$U$600:$U$743,MATCH(1,($A3=LoadFactorSeasons)*(D$1=LoadFactorHours),0),)</f>
        <v>5.869949666500873E-5</v>
      </c>
      <c r="E3" s="7" cm="1">
        <f t="array" ref="E3">INDEX('Summarized Source Data'!$U$600:$U$743,MATCH(1,($A3=LoadFactorSeasons)*(E$1=LoadFactorHours),0),)</f>
        <v>5.869949666500873E-5</v>
      </c>
      <c r="F3" s="7" cm="1">
        <f t="array" ref="F3">INDEX('Summarized Source Data'!$U$600:$U$743,MATCH(1,($A3=LoadFactorSeasons)*(F$1=LoadFactorHours),0),)</f>
        <v>5.8683975909676896E-5</v>
      </c>
      <c r="G3" s="7" cm="1">
        <f t="array" ref="G3">INDEX('Summarized Source Data'!$U$600:$U$743,MATCH(1,($A3=LoadFactorSeasons)*(G$1=LoadFactorHours),0),)</f>
        <v>5.8777100441667926E-5</v>
      </c>
      <c r="H3" s="7" cm="1">
        <f t="array" ref="H3">INDEX('Summarized Source Data'!$U$600:$U$743,MATCH(1,($A3=LoadFactorSeasons)*(H$1=LoadFactorHours),0),)</f>
        <v>8.0630323948894882E-5</v>
      </c>
      <c r="I3" s="7" cm="1">
        <f t="array" ref="I3">INDEX('Summarized Source Data'!$U$600:$U$743,MATCH(1,($A3=LoadFactorSeasons)*(I$1=LoadFactorHours),0),)</f>
        <v>1.4426542080942786E-4</v>
      </c>
      <c r="J3" s="7" cm="1">
        <f t="array" ref="J3">INDEX('Summarized Source Data'!$U$600:$U$743,MATCH(1,($A3=LoadFactorSeasons)*(J$1=LoadFactorHours),0),)</f>
        <v>1.503961191655036E-4</v>
      </c>
      <c r="K3" s="7" cm="1">
        <f t="array" ref="K3">INDEX('Summarized Source Data'!$U$600:$U$743,MATCH(1,($A3=LoadFactorSeasons)*(K$1=LoadFactorHours),0),)</f>
        <v>1.4232532639294821E-4</v>
      </c>
      <c r="L3" s="7" cm="1">
        <f t="array" ref="L3">INDEX('Summarized Source Data'!$U$600:$U$743,MATCH(1,($A3=LoadFactorSeasons)*(L$1=LoadFactorHours),0),)</f>
        <v>1.2602853329451901E-4</v>
      </c>
      <c r="M3" s="7" cm="1">
        <f t="array" ref="M3">INDEX('Summarized Source Data'!$U$600:$U$743,MATCH(1,($A3=LoadFactorSeasons)*(M$1=LoadFactorHours),0),)</f>
        <v>1.2633894840115577E-4</v>
      </c>
      <c r="N3" s="7" cm="1">
        <f t="array" ref="N3">INDEX('Summarized Source Data'!$U$600:$U$743,MATCH(1,($A3=LoadFactorSeasons)*(N$1=LoadFactorHours),0),)</f>
        <v>1.2517489175126797E-4</v>
      </c>
      <c r="O3" s="7" cm="1">
        <f t="array" ref="O3">INDEX('Summarized Source Data'!$U$600:$U$743,MATCH(1,($A3=LoadFactorSeasons)*(O$1=LoadFactorHours),0),)</f>
        <v>1.2214834446155968E-4</v>
      </c>
      <c r="P3" s="7" cm="1">
        <f t="array" ref="P3">INDEX('Summarized Source Data'!$U$600:$U$743,MATCH(1,($A3=LoadFactorSeasons)*(P$1=LoadFactorHours),0),)</f>
        <v>1.2191553313158214E-4</v>
      </c>
      <c r="Q3" s="7" cm="1">
        <f t="array" ref="Q3">INDEX('Summarized Source Data'!$U$600:$U$743,MATCH(1,($A3=LoadFactorSeasons)*(Q$1=LoadFactorHours),0),)</f>
        <v>1.38910760219944E-4</v>
      </c>
      <c r="R3" s="7" cm="1">
        <f t="array" ref="R3">INDEX('Summarized Source Data'!$U$600:$U$743,MATCH(1,($A3=LoadFactorSeasons)*(R$1=LoadFactorHours),0),)</f>
        <v>1.5776847794812633E-4</v>
      </c>
      <c r="S3" s="7" cm="1">
        <f t="array" ref="S3">INDEX('Summarized Source Data'!$U$600:$U$743,MATCH(1,($A3=LoadFactorSeasons)*(S$1=LoadFactorHours),0),)</f>
        <v>1.5869972326803657E-4</v>
      </c>
      <c r="T3" s="7" cm="1">
        <f t="array" ref="T3">INDEX('Summarized Source Data'!$U$600:$U$743,MATCH(1,($A3=LoadFactorSeasons)*(T$1=LoadFactorHours),0),)</f>
        <v>1.4775759075909124E-4</v>
      </c>
      <c r="U3" s="7" cm="1">
        <f t="array" ref="U3">INDEX('Summarized Source Data'!$U$600:$U$743,MATCH(1,($A3=LoadFactorSeasons)*(U$1=LoadFactorHours),0),)</f>
        <v>1.2975351457415998E-4</v>
      </c>
      <c r="V3" s="7" cm="1">
        <f t="array" ref="V3">INDEX('Summarized Source Data'!$U$600:$U$743,MATCH(1,($A3=LoadFactorSeasons)*(V$1=LoadFactorHours),0),)</f>
        <v>1.2843425037095378E-4</v>
      </c>
      <c r="W3" s="7" cm="1">
        <f t="array" ref="W3">INDEX('Summarized Source Data'!$U$600:$U$743,MATCH(1,($A3=LoadFactorSeasons)*(W$1=LoadFactorHours),0),)</f>
        <v>1.2734779749772521E-4</v>
      </c>
      <c r="X3" s="7" cm="1">
        <f t="array" ref="X3">INDEX('Summarized Source Data'!$U$600:$U$743,MATCH(1,($A3=LoadFactorSeasons)*(X$1=LoadFactorHours),0),)</f>
        <v>1.265717597311333E-4</v>
      </c>
      <c r="Y3" s="7" cm="1">
        <f t="array" ref="Y3">INDEX('Summarized Source Data'!$U$600:$U$743,MATCH(1,($A3=LoadFactorSeasons)*(Y$1=LoadFactorHours),0),)</f>
        <v>8.4898531665150123E-5</v>
      </c>
    </row>
    <row r="4" spans="1:25" x14ac:dyDescent="0.3">
      <c r="A4" s="7" t="s">
        <v>165</v>
      </c>
      <c r="B4" s="7" cm="1">
        <f t="array" ref="B4">INDEX('Summarized Source Data'!$U$600:$U$743,MATCH(1,($A4=LoadFactorSeasons)*(B$1=LoadFactorHours),0),)</f>
        <v>5.4850349342713081E-5</v>
      </c>
      <c r="C4" s="7" cm="1">
        <f t="array" ref="C4">INDEX('Summarized Source Data'!$U$600:$U$743,MATCH(1,($A4=LoadFactorSeasons)*(C$1=LoadFactorHours),0),)</f>
        <v>5.471066254472655E-5</v>
      </c>
      <c r="D4" s="7" cm="1">
        <f t="array" ref="D4">INDEX('Summarized Source Data'!$U$600:$U$743,MATCH(1,($A4=LoadFactorSeasons)*(D$1=LoadFactorHours),0),)</f>
        <v>5.458649650207184E-5</v>
      </c>
      <c r="E4" s="7" cm="1">
        <f t="array" ref="E4">INDEX('Summarized Source Data'!$U$600:$U$743,MATCH(1,($A4=LoadFactorSeasons)*(E$1=LoadFactorHours),0),)</f>
        <v>5.4664100278731029E-5</v>
      </c>
      <c r="F4" s="7" cm="1">
        <f t="array" ref="F4">INDEX('Summarized Source Data'!$U$600:$U$743,MATCH(1,($A4=LoadFactorSeasons)*(F$1=LoadFactorHours),0),)</f>
        <v>5.4570975746740006E-5</v>
      </c>
      <c r="G4" s="7" cm="1">
        <f t="array" ref="G4">INDEX('Summarized Source Data'!$U$600:$U$743,MATCH(1,($A4=LoadFactorSeasons)*(G$1=LoadFactorHours),0),)</f>
        <v>5.4741704055390224E-5</v>
      </c>
      <c r="H4" s="7" cm="1">
        <f t="array" ref="H4">INDEX('Summarized Source Data'!$U$600:$U$743,MATCH(1,($A4=LoadFactorSeasons)*(H$1=LoadFactorHours),0),)</f>
        <v>7.4973008630440169E-5</v>
      </c>
      <c r="I4" s="7" cm="1">
        <f t="array" ref="I4">INDEX('Summarized Source Data'!$U$600:$U$743,MATCH(1,($A4=LoadFactorSeasons)*(I$1=LoadFactorHours),0),)</f>
        <v>1.3433213739705196E-4</v>
      </c>
      <c r="J4" s="7" cm="1">
        <f t="array" ref="J4">INDEX('Summarized Source Data'!$U$600:$U$743,MATCH(1,($A4=LoadFactorSeasons)*(J$1=LoadFactorHours),0),)</f>
        <v>1.4023002442315019E-4</v>
      </c>
      <c r="K4" s="7" cm="1">
        <f t="array" ref="K4">INDEX('Summarized Source Data'!$U$600:$U$743,MATCH(1,($A4=LoadFactorSeasons)*(K$1=LoadFactorHours),0),)</f>
        <v>1.3262485431054987E-4</v>
      </c>
      <c r="L4" s="7" cm="1">
        <f t="array" ref="L4">INDEX('Summarized Source Data'!$U$600:$U$743,MATCH(1,($A4=LoadFactorSeasons)*(L$1=LoadFactorHours),0),)</f>
        <v>1.1741451408534931E-4</v>
      </c>
      <c r="M4" s="7" cm="1">
        <f t="array" ref="M4">INDEX('Summarized Source Data'!$U$600:$U$743,MATCH(1,($A4=LoadFactorSeasons)*(M$1=LoadFactorHours),0),)</f>
        <v>1.1764732541532687E-4</v>
      </c>
      <c r="N4" s="7" cm="1">
        <f t="array" ref="N4">INDEX('Summarized Source Data'!$U$600:$U$743,MATCH(1,($A4=LoadFactorSeasons)*(N$1=LoadFactorHours),0),)</f>
        <v>1.1663847631875744E-4</v>
      </c>
      <c r="O4" s="7" cm="1">
        <f t="array" ref="O4">INDEX('Summarized Source Data'!$U$600:$U$743,MATCH(1,($A4=LoadFactorSeasons)*(O$1=LoadFactorHours),0),)</f>
        <v>1.1392234413568592E-4</v>
      </c>
      <c r="P4" s="7" cm="1">
        <f t="array" ref="P4">INDEX('Summarized Source Data'!$U$600:$U$743,MATCH(1,($A4=LoadFactorSeasons)*(P$1=LoadFactorHours),0),)</f>
        <v>1.1361192902904916E-4</v>
      </c>
      <c r="Q4" s="7" cm="1">
        <f t="array" ref="Q4">INDEX('Summarized Source Data'!$U$600:$U$743,MATCH(1,($A4=LoadFactorSeasons)*(Q$1=LoadFactorHours),0),)</f>
        <v>1.2952070324418242E-4</v>
      </c>
      <c r="R4" s="7" cm="1">
        <f t="array" ref="R4">INDEX('Summarized Source Data'!$U$600:$U$743,MATCH(1,($A4=LoadFactorSeasons)*(R$1=LoadFactorHours),0),)</f>
        <v>1.4705915676915858E-4</v>
      </c>
      <c r="S4" s="7" cm="1">
        <f t="array" ref="S4">INDEX('Summarized Source Data'!$U$600:$U$743,MATCH(1,($A4=LoadFactorSeasons)*(S$1=LoadFactorHours),0),)</f>
        <v>1.4806800586572799E-4</v>
      </c>
      <c r="T4" s="7" cm="1">
        <f t="array" ref="T4">INDEX('Summarized Source Data'!$U$600:$U$743,MATCH(1,($A4=LoadFactorSeasons)*(T$1=LoadFactorHours),0),)</f>
        <v>1.3790191112337456E-4</v>
      </c>
      <c r="U4" s="7" cm="1">
        <f t="array" ref="U4">INDEX('Summarized Source Data'!$U$600:$U$743,MATCH(1,($A4=LoadFactorSeasons)*(U$1=LoadFactorHours),0),)</f>
        <v>1.2098428781167189E-4</v>
      </c>
      <c r="V4" s="7" cm="1">
        <f t="array" ref="V4">INDEX('Summarized Source Data'!$U$600:$U$743,MATCH(1,($A4=LoadFactorSeasons)*(V$1=LoadFactorHours),0),)</f>
        <v>1.196650236084657E-4</v>
      </c>
      <c r="W4" s="7" cm="1">
        <f t="array" ref="W4">INDEX('Summarized Source Data'!$U$600:$U$743,MATCH(1,($A4=LoadFactorSeasons)*(W$1=LoadFactorHours),0),)</f>
        <v>1.186561745118963E-4</v>
      </c>
      <c r="X4" s="7" cm="1">
        <f t="array" ref="X4">INDEX('Summarized Source Data'!$U$600:$U$743,MATCH(1,($A4=LoadFactorSeasons)*(X$1=LoadFactorHours),0),)</f>
        <v>1.1788013674530443E-4</v>
      </c>
      <c r="Y4" s="7" cm="1">
        <f t="array" ref="Y4">INDEX('Summarized Source Data'!$U$600:$U$743,MATCH(1,($A4=LoadFactorSeasons)*(Y$1=LoadFactorHours),0),)</f>
        <v>7.9078248415711115E-5</v>
      </c>
    </row>
    <row r="5" spans="1:25" x14ac:dyDescent="0.3">
      <c r="A5" s="7" t="s">
        <v>166</v>
      </c>
      <c r="B5" s="7" cm="1">
        <f t="array" ref="B5">INDEX('Summarized Source Data'!$U$600:$U$743,MATCH(1,($A5=LoadFactorSeasons)*(B$1=LoadFactorHours),0),)</f>
        <v>4.0452205127295038E-5</v>
      </c>
      <c r="C5" s="7" cm="1">
        <f t="array" ref="C5">INDEX('Summarized Source Data'!$U$600:$U$743,MATCH(1,($A5=LoadFactorSeasons)*(C$1=LoadFactorHours),0),)</f>
        <v>4.0279600683384928E-5</v>
      </c>
      <c r="D5" s="7" cm="1">
        <f t="array" ref="D5">INDEX('Summarized Source Data'!$U$600:$U$743,MATCH(1,($A5=LoadFactorSeasons)*(D$1=LoadFactorHours),0),)</f>
        <v>4.0256063713760832E-5</v>
      </c>
      <c r="E5" s="7" cm="1">
        <f t="array" ref="E5">INDEX('Summarized Source Data'!$U$600:$U$743,MATCH(1,($A5=LoadFactorSeasons)*(E$1=LoadFactorHours),0),)</f>
        <v>4.0256063713760832E-5</v>
      </c>
      <c r="F5" s="7" cm="1">
        <f t="array" ref="F5">INDEX('Summarized Source Data'!$U$600:$U$743,MATCH(1,($A5=LoadFactorSeasons)*(F$1=LoadFactorHours),0),)</f>
        <v>4.0240372400678092E-5</v>
      </c>
      <c r="G5" s="7" cm="1">
        <f t="array" ref="G5">INDEX('Summarized Source Data'!$U$600:$U$743,MATCH(1,($A5=LoadFactorSeasons)*(G$1=LoadFactorHours),0),)</f>
        <v>4.0412976844588195E-5</v>
      </c>
      <c r="H5" s="7" cm="1">
        <f t="array" ref="H5">INDEX('Summarized Source Data'!$U$600:$U$743,MATCH(1,($A5=LoadFactorSeasons)*(H$1=LoadFactorHours),0),)</f>
        <v>5.5390335182060313E-5</v>
      </c>
      <c r="I5" s="7" cm="1">
        <f t="array" ref="I5">INDEX('Summarized Source Data'!$U$600:$U$743,MATCH(1,($A5=LoadFactorSeasons)*(I$1=LoadFactorHours),0),)</f>
        <v>9.8933728986654444E-5</v>
      </c>
      <c r="J5" s="7" cm="1">
        <f t="array" ref="J5">INDEX('Summarized Source Data'!$U$600:$U$743,MATCH(1,($A5=LoadFactorSeasons)*(J$1=LoadFactorHours),0),)</f>
        <v>1.0309192695357966E-4</v>
      </c>
      <c r="K5" s="7" cm="1">
        <f t="array" ref="K5">INDEX('Summarized Source Data'!$U$600:$U$743,MATCH(1,($A5=LoadFactorSeasons)*(K$1=LoadFactorHours),0),)</f>
        <v>9.7521510809208154E-5</v>
      </c>
      <c r="L5" s="7" cm="1">
        <f t="array" ref="L5">INDEX('Summarized Source Data'!$U$600:$U$743,MATCH(1,($A5=LoadFactorSeasons)*(L$1=LoadFactorHours),0),)</f>
        <v>8.6459135085878823E-5</v>
      </c>
      <c r="M5" s="7" cm="1">
        <f t="array" ref="M5">INDEX('Summarized Source Data'!$U$600:$U$743,MATCH(1,($A5=LoadFactorSeasons)*(M$1=LoadFactorHours),0),)</f>
        <v>8.6616048216706193E-5</v>
      </c>
      <c r="N5" s="7" cm="1">
        <f t="array" ref="N5">INDEX('Summarized Source Data'!$U$600:$U$743,MATCH(1,($A5=LoadFactorSeasons)*(N$1=LoadFactorHours),0),)</f>
        <v>8.5753025997155685E-5</v>
      </c>
      <c r="O5" s="7" cm="1">
        <f t="array" ref="O5">INDEX('Summarized Source Data'!$U$600:$U$743,MATCH(1,($A5=LoadFactorSeasons)*(O$1=LoadFactorHours),0),)</f>
        <v>8.3791611861813614E-5</v>
      </c>
      <c r="P5" s="7" cm="1">
        <f t="array" ref="P5">INDEX('Summarized Source Data'!$U$600:$U$743,MATCH(1,($A5=LoadFactorSeasons)*(P$1=LoadFactorHours),0),)</f>
        <v>8.3556242165572559E-5</v>
      </c>
      <c r="Q5" s="7" cm="1">
        <f t="array" ref="Q5">INDEX('Summarized Source Data'!$U$600:$U$743,MATCH(1,($A5=LoadFactorSeasons)*(Q$1=LoadFactorHours),0),)</f>
        <v>9.5246270412211356E-5</v>
      </c>
      <c r="R5" s="7" cm="1">
        <f t="array" ref="R5">INDEX('Summarized Source Data'!$U$600:$U$743,MATCH(1,($A5=LoadFactorSeasons)*(R$1=LoadFactorHours),0),)</f>
        <v>1.0819160370546907E-4</v>
      </c>
      <c r="S5" s="7" cm="1">
        <f t="array" ref="S5">INDEX('Summarized Source Data'!$U$600:$U$743,MATCH(1,($A5=LoadFactorSeasons)*(S$1=LoadFactorHours),0),)</f>
        <v>1.0881925622877854E-4</v>
      </c>
      <c r="T5" s="7" cm="1">
        <f t="array" ref="T5">INDEX('Summarized Source Data'!$U$600:$U$743,MATCH(1,($A5=LoadFactorSeasons)*(T$1=LoadFactorHours),0),)</f>
        <v>1.0128742594906494E-4</v>
      </c>
      <c r="U5" s="7" cm="1">
        <f t="array" ref="U5">INDEX('Summarized Source Data'!$U$600:$U$743,MATCH(1,($A5=LoadFactorSeasons)*(U$1=LoadFactorHours),0),)</f>
        <v>8.8969745179116703E-5</v>
      </c>
      <c r="V5" s="7" cm="1">
        <f t="array" ref="V5">INDEX('Summarized Source Data'!$U$600:$U$743,MATCH(1,($A5=LoadFactorSeasons)*(V$1=LoadFactorHours),0),)</f>
        <v>8.8028266394152497E-5</v>
      </c>
      <c r="W5" s="7" cm="1">
        <f t="array" ref="W5">INDEX('Summarized Source Data'!$U$600:$U$743,MATCH(1,($A5=LoadFactorSeasons)*(W$1=LoadFactorHours),0),)</f>
        <v>8.7400613870843017E-5</v>
      </c>
      <c r="X5" s="7" cm="1">
        <f t="array" ref="X5">INDEX('Summarized Source Data'!$U$600:$U$743,MATCH(1,($A5=LoadFactorSeasons)*(X$1=LoadFactorHours),0),)</f>
        <v>8.6929874478360934E-5</v>
      </c>
      <c r="Y5" s="7" cm="1">
        <f t="array" ref="Y5">INDEX('Summarized Source Data'!$U$600:$U$743,MATCH(1,($A5=LoadFactorSeasons)*(Y$1=LoadFactorHours),0),)</f>
        <v>5.8293228102366584E-5</v>
      </c>
    </row>
    <row r="6" spans="1:25" x14ac:dyDescent="0.3">
      <c r="A6" s="7" t="s">
        <v>172</v>
      </c>
      <c r="B6" s="7" cm="1">
        <f t="array" ref="B6">INDEX('Summarized Source Data'!$U$600:$U$743,MATCH(1,($A6=LoadFactorSeasons)*(B$1=LoadFactorHours),0),)</f>
        <v>6.6219302623283919E-5</v>
      </c>
      <c r="C6" s="7" cm="1">
        <f t="array" ref="C6">INDEX('Summarized Source Data'!$U$600:$U$743,MATCH(1,($A6=LoadFactorSeasons)*(C$1=LoadFactorHours),0),)</f>
        <v>6.5730398830331048E-5</v>
      </c>
      <c r="D6" s="7" cm="1">
        <f t="array" ref="D6">INDEX('Summarized Source Data'!$U$600:$U$743,MATCH(1,($A6=LoadFactorSeasons)*(D$1=LoadFactorHours),0),)</f>
        <v>6.5567430899346753E-5</v>
      </c>
      <c r="E6" s="7" cm="1">
        <f t="array" ref="E6">INDEX('Summarized Source Data'!$U$600:$U$743,MATCH(1,($A6=LoadFactorSeasons)*(E$1=LoadFactorHours),0),)</f>
        <v>6.5567430899346753E-5</v>
      </c>
      <c r="F6" s="7" cm="1">
        <f t="array" ref="F6">INDEX('Summarized Source Data'!$U$600:$U$743,MATCH(1,($A6=LoadFactorSeasons)*(F$1=LoadFactorHours),0),)</f>
        <v>6.5513108255685321E-5</v>
      </c>
      <c r="G6" s="7" cm="1">
        <f t="array" ref="G6">INDEX('Summarized Source Data'!$U$600:$U$743,MATCH(1,($A6=LoadFactorSeasons)*(G$1=LoadFactorHours),0),)</f>
        <v>6.5567430899346753E-5</v>
      </c>
      <c r="H6" s="7" cm="1">
        <f t="array" ref="H6">INDEX('Summarized Source Data'!$U$600:$U$743,MATCH(1,($A6=LoadFactorSeasons)*(H$1=LoadFactorHours),0),)</f>
        <v>8.0153060722440873E-5</v>
      </c>
      <c r="I6" s="7" cm="1">
        <f t="array" ref="I6">INDEX('Summarized Source Data'!$U$600:$U$743,MATCH(1,($A6=LoadFactorSeasons)*(I$1=LoadFactorHours),0),)</f>
        <v>1.4667113788586263E-4</v>
      </c>
      <c r="J6" s="7" cm="1">
        <f t="array" ref="J6">INDEX('Summarized Source Data'!$U$600:$U$743,MATCH(1,($A6=LoadFactorSeasons)*(J$1=LoadFactorHours),0),)</f>
        <v>1.4873539834499701E-4</v>
      </c>
      <c r="K6" s="7" cm="1">
        <f t="array" ref="K6">INDEX('Summarized Source Data'!$U$600:$U$743,MATCH(1,($A6=LoadFactorSeasons)*(K$1=LoadFactorHours),0),)</f>
        <v>1.3385099398176501E-4</v>
      </c>
      <c r="L6" s="7" cm="1">
        <f t="array" ref="L6">INDEX('Summarized Source Data'!$U$600:$U$743,MATCH(1,($A6=LoadFactorSeasons)*(L$1=LoadFactorHours),0),)</f>
        <v>1.3472015628034794E-4</v>
      </c>
      <c r="M6" s="7" cm="1">
        <f t="array" ref="M6">INDEX('Summarized Source Data'!$U$600:$U$743,MATCH(1,($A6=LoadFactorSeasons)*(M$1=LoadFactorHours),0),)</f>
        <v>1.355349959352694E-4</v>
      </c>
      <c r="N6" s="7" cm="1">
        <f t="array" ref="N6">INDEX('Summarized Source Data'!$U$600:$U$743,MATCH(1,($A6=LoadFactorSeasons)*(N$1=LoadFactorHours),0),)</f>
        <v>1.3118918444235492E-4</v>
      </c>
      <c r="O6" s="7" cm="1">
        <f t="array" ref="O6">INDEX('Summarized Source Data'!$U$600:$U$743,MATCH(1,($A6=LoadFactorSeasons)*(O$1=LoadFactorHours),0),)</f>
        <v>1.2168272180160458E-4</v>
      </c>
      <c r="P6" s="7" cm="1">
        <f t="array" ref="P6">INDEX('Summarized Source Data'!$U$600:$U$743,MATCH(1,($A6=LoadFactorSeasons)*(P$1=LoadFactorHours),0),)</f>
        <v>1.2141110858329744E-4</v>
      </c>
      <c r="Q6" s="7" cm="1">
        <f t="array" ref="Q6">INDEX('Summarized Source Data'!$U$600:$U$743,MATCH(1,($A6=LoadFactorSeasons)*(Q$1=LoadFactorHours),0),)</f>
        <v>1.3287318639585926E-4</v>
      </c>
      <c r="R6" s="7" cm="1">
        <f t="array" ref="R6">INDEX('Summarized Source Data'!$U$600:$U$743,MATCH(1,($A6=LoadFactorSeasons)*(R$1=LoadFactorHours),0),)</f>
        <v>1.4830081719570558E-4</v>
      </c>
      <c r="S6" s="7" cm="1">
        <f t="array" ref="S6">INDEX('Summarized Source Data'!$U$600:$U$743,MATCH(1,($A6=LoadFactorSeasons)*(S$1=LoadFactorHours),0),)</f>
        <v>1.4971320593090278E-4</v>
      </c>
      <c r="T6" s="7" cm="1">
        <f t="array" ref="T6">INDEX('Summarized Source Data'!$U$600:$U$743,MATCH(1,($A6=LoadFactorSeasons)*(T$1=LoadFactorHours),0),)</f>
        <v>1.4368339248448399E-4</v>
      </c>
      <c r="U6" s="7" cm="1">
        <f t="array" ref="U6">INDEX('Summarized Source Data'!$U$600:$U$743,MATCH(1,($A6=LoadFactorSeasons)*(U$1=LoadFactorHours),0),)</f>
        <v>1.4314016604786967E-4</v>
      </c>
      <c r="V6" s="7" cm="1">
        <f t="array" ref="V6">INDEX('Summarized Source Data'!$U$600:$U$743,MATCH(1,($A6=LoadFactorSeasons)*(V$1=LoadFactorHours),0),)</f>
        <v>1.4259693961125535E-4</v>
      </c>
      <c r="W6" s="7" cm="1">
        <f t="array" ref="W6">INDEX('Summarized Source Data'!$U$600:$U$743,MATCH(1,($A6=LoadFactorSeasons)*(W$1=LoadFactorHours),0),)</f>
        <v>1.4178209995633392E-4</v>
      </c>
      <c r="X6" s="7" cm="1">
        <f t="array" ref="X6">INDEX('Summarized Source Data'!$U$600:$U$743,MATCH(1,($A6=LoadFactorSeasons)*(X$1=LoadFactorHours),0),)</f>
        <v>1.4151048673802675E-4</v>
      </c>
      <c r="Y6" s="7" cm="1">
        <f t="array" ref="Y6">INDEX('Summarized Source Data'!$U$600:$U$743,MATCH(1,($A6=LoadFactorSeasons)*(Y$1=LoadFactorHours),0),)</f>
        <v>9.4793013189196424E-5</v>
      </c>
    </row>
    <row r="7" spans="1:25" x14ac:dyDescent="0.3">
      <c r="A7" s="7" t="s">
        <v>171</v>
      </c>
      <c r="B7" s="7" cm="1">
        <f t="array" ref="B7">INDEX('Summarized Source Data'!$U$600:$U$743,MATCH(1,($A7=LoadFactorSeasons)*(B$1=LoadFactorHours),0),)</f>
        <v>1.0381298637671222E-4</v>
      </c>
      <c r="C7" s="7" cm="1">
        <f t="array" ref="C7">INDEX('Summarized Source Data'!$U$600:$U$743,MATCH(1,($A7=LoadFactorSeasons)*(C$1=LoadFactorHours),0),)</f>
        <v>1.0314662861446532E-4</v>
      </c>
      <c r="D7" s="7" cm="1">
        <f t="array" ref="D7">INDEX('Summarized Source Data'!$U$600:$U$743,MATCH(1,($A7=LoadFactorSeasons)*(D$1=LoadFactorHours),0),)</f>
        <v>1.0295227426714332E-4</v>
      </c>
      <c r="E7" s="7" cm="1">
        <f t="array" ref="E7">INDEX('Summarized Source Data'!$U$600:$U$743,MATCH(1,($A7=LoadFactorSeasons)*(E$1=LoadFactorHours),0),)</f>
        <v>1.0295227426714332E-4</v>
      </c>
      <c r="F7" s="7" cm="1">
        <f t="array" ref="F7">INDEX('Summarized Source Data'!$U$600:$U$743,MATCH(1,($A7=LoadFactorSeasons)*(F$1=LoadFactorHours),0),)</f>
        <v>1.0286897954686246E-4</v>
      </c>
      <c r="G7" s="7" cm="1">
        <f t="array" ref="G7">INDEX('Summarized Source Data'!$U$600:$U$743,MATCH(1,($A7=LoadFactorSeasons)*(G$1=LoadFactorHours),0),)</f>
        <v>1.0298003917390362E-4</v>
      </c>
      <c r="H7" s="7" cm="1">
        <f t="array" ref="H7">INDEX('Summarized Source Data'!$U$600:$U$743,MATCH(1,($A7=LoadFactorSeasons)*(H$1=LoadFactorHours),0),)</f>
        <v>1.2577502762409906E-4</v>
      </c>
      <c r="I7" s="7" cm="1">
        <f t="array" ref="I7">INDEX('Summarized Source Data'!$U$600:$U$743,MATCH(1,($A7=LoadFactorSeasons)*(I$1=LoadFactorHours),0),)</f>
        <v>2.296713087210921E-4</v>
      </c>
      <c r="J7" s="7" cm="1">
        <f t="array" ref="J7">INDEX('Summarized Source Data'!$U$600:$U$743,MATCH(1,($A7=LoadFactorSeasons)*(J$1=LoadFactorHours),0),)</f>
        <v>2.3255885902416192E-4</v>
      </c>
      <c r="K7" s="7" cm="1">
        <f t="array" ref="K7">INDEX('Summarized Source Data'!$U$600:$U$743,MATCH(1,($A7=LoadFactorSeasons)*(K$1=LoadFactorHours),0),)</f>
        <v>2.0934739697256219E-4</v>
      </c>
      <c r="L7" s="7" cm="1">
        <f t="array" ref="L7">INDEX('Summarized Source Data'!$U$600:$U$743,MATCH(1,($A7=LoadFactorSeasons)*(L$1=LoadFactorHours),0),)</f>
        <v>2.1129094044578228E-4</v>
      </c>
      <c r="M7" s="7" cm="1">
        <f t="array" ref="M7">INDEX('Summarized Source Data'!$U$600:$U$743,MATCH(1,($A7=LoadFactorSeasons)*(M$1=LoadFactorHours),0),)</f>
        <v>2.121238876485909E-4</v>
      </c>
      <c r="N7" s="7" cm="1">
        <f t="array" ref="N7">INDEX('Summarized Source Data'!$U$600:$U$743,MATCH(1,($A7=LoadFactorSeasons)*(N$1=LoadFactorHours),0),)</f>
        <v>2.0490501189091633E-4</v>
      </c>
      <c r="O7" s="7" cm="1">
        <f t="array" ref="O7">INDEX('Summarized Source Data'!$U$600:$U$743,MATCH(1,($A7=LoadFactorSeasons)*(O$1=LoadFactorHours),0),)</f>
        <v>1.9018961130796432E-4</v>
      </c>
      <c r="P7" s="7" cm="1">
        <f t="array" ref="P7">INDEX('Summarized Source Data'!$U$600:$U$743,MATCH(1,($A7=LoadFactorSeasons)*(P$1=LoadFactorHours),0),)</f>
        <v>1.8991196224036147E-4</v>
      </c>
      <c r="Q7" s="7" cm="1">
        <f t="array" ref="Q7">INDEX('Summarized Source Data'!$U$600:$U$743,MATCH(1,($A7=LoadFactorSeasons)*(Q$1=LoadFactorHours),0),)</f>
        <v>2.0812574107510957E-4</v>
      </c>
      <c r="R7" s="7" cm="1">
        <f t="array" ref="R7">INDEX('Summarized Source Data'!$U$600:$U$743,MATCH(1,($A7=LoadFactorSeasons)*(R$1=LoadFactorHours),0),)</f>
        <v>2.3189250126191504E-4</v>
      </c>
      <c r="S7" s="7" cm="1">
        <f t="array" ref="S7">INDEX('Summarized Source Data'!$U$600:$U$743,MATCH(1,($A7=LoadFactorSeasons)*(S$1=LoadFactorHours),0),)</f>
        <v>2.3378051492161454E-4</v>
      </c>
      <c r="T7" s="7" cm="1">
        <f t="array" ref="T7">INDEX('Summarized Source Data'!$U$600:$U$743,MATCH(1,($A7=LoadFactorSeasons)*(T$1=LoadFactorHours),0),)</f>
        <v>2.2517339382592568E-4</v>
      </c>
      <c r="U7" s="7" cm="1">
        <f t="array" ref="U7">INDEX('Summarized Source Data'!$U$600:$U$743,MATCH(1,($A7=LoadFactorSeasons)*(U$1=LoadFactorHours),0),)</f>
        <v>2.2461809569071994E-4</v>
      </c>
      <c r="V7" s="7" cm="1">
        <f t="array" ref="V7">INDEX('Summarized Source Data'!$U$600:$U$743,MATCH(1,($A7=LoadFactorSeasons)*(V$1=LoadFactorHours),0),)</f>
        <v>2.2350749942030845E-4</v>
      </c>
      <c r="W7" s="7" cm="1">
        <f t="array" ref="W7">INDEX('Summarized Source Data'!$U$600:$U$743,MATCH(1,($A7=LoadFactorSeasons)*(W$1=LoadFactorHours),0),)</f>
        <v>2.2239690314989699E-4</v>
      </c>
      <c r="X7" s="7" cm="1">
        <f t="array" ref="X7">INDEX('Summarized Source Data'!$U$600:$U$743,MATCH(1,($A7=LoadFactorSeasons)*(X$1=LoadFactorHours),0),)</f>
        <v>2.2211925408229414E-4</v>
      </c>
      <c r="Y7" s="7" cm="1">
        <f t="array" ref="Y7">INDEX('Summarized Source Data'!$U$600:$U$743,MATCH(1,($A7=LoadFactorSeasons)*(Y$1=LoadFactorHours),0),)</f>
        <v>1.4937519837034282E-4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5888-7BC8-49E2-A356-BA1FA0BB38A7}">
  <sheetPr codeName="Sheet27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Data'!$V$600:$V$743,MATCH(1,($A2=LoadFactorSeasons)*(B$1=LoadFactorHours),0),)</f>
        <v>1.5299199359920427E-4</v>
      </c>
      <c r="C2" s="7" cm="1">
        <f t="array" ref="C2">INDEX('Summarized Source Data'!$V$600:$V$743,MATCH(1,($A2=LoadFactorSeasons)*(C$1=LoadFactorHours),0),)</f>
        <v>1.5283753424170886E-4</v>
      </c>
      <c r="D2" s="7" cm="1">
        <f t="array" ref="D2">INDEX('Summarized Source Data'!$V$600:$V$743,MATCH(1,($A2=LoadFactorSeasons)*(D$1=LoadFactorHours),0),)</f>
        <v>1.5283753424170886E-4</v>
      </c>
      <c r="E2" s="7" cm="1">
        <f t="array" ref="E2">INDEX('Summarized Source Data'!$V$600:$V$743,MATCH(1,($A2=LoadFactorSeasons)*(E$1=LoadFactorHours),0),)</f>
        <v>1.5306922327795196E-4</v>
      </c>
      <c r="F2" s="7" cm="1">
        <f t="array" ref="F2">INDEX('Summarized Source Data'!$V$600:$V$743,MATCH(1,($A2=LoadFactorSeasons)*(F$1=LoadFactorHours),0),)</f>
        <v>1.5330091231419507E-4</v>
      </c>
      <c r="G2" s="7" cm="1">
        <f t="array" ref="G2">INDEX('Summarized Source Data'!$V$600:$V$743,MATCH(1,($A2=LoadFactorSeasons)*(G$1=LoadFactorHours),0),)</f>
        <v>1.5407320910167213E-4</v>
      </c>
      <c r="H2" s="7" cm="1">
        <f t="array" ref="H2">INDEX('Summarized Source Data'!$V$600:$V$743,MATCH(1,($A2=LoadFactorSeasons)*(H$1=LoadFactorHours),0),)</f>
        <v>1.5484550588914917E-4</v>
      </c>
      <c r="I2" s="7" cm="1">
        <f t="array" ref="I2">INDEX('Summarized Source Data'!$V$600:$V$743,MATCH(1,($A2=LoadFactorSeasons)*(I$1=LoadFactorHours),0),)</f>
        <v>1.5554057299787852E-4</v>
      </c>
      <c r="J2" s="7" cm="1">
        <f t="array" ref="J2">INDEX('Summarized Source Data'!$V$600:$V$743,MATCH(1,($A2=LoadFactorSeasons)*(J$1=LoadFactorHours),0),)</f>
        <v>1.5554057299787852E-4</v>
      </c>
      <c r="K2" s="7" cm="1">
        <f t="array" ref="K2">INDEX('Summarized Source Data'!$V$600:$V$743,MATCH(1,($A2=LoadFactorSeasons)*(K$1=LoadFactorHours),0),)</f>
        <v>1.5523165428288769E-4</v>
      </c>
      <c r="L2" s="7" cm="1">
        <f t="array" ref="L2">INDEX('Summarized Source Data'!$V$600:$V$743,MATCH(1,($A2=LoadFactorSeasons)*(L$1=LoadFactorHours),0),)</f>
        <v>1.5507719492539228E-4</v>
      </c>
      <c r="M2" s="7" cm="1">
        <f t="array" ref="M2">INDEX('Summarized Source Data'!$V$600:$V$743,MATCH(1,($A2=LoadFactorSeasons)*(M$1=LoadFactorHours),0),)</f>
        <v>1.5476827621040148E-4</v>
      </c>
      <c r="N2" s="7" cm="1">
        <f t="array" ref="N2">INDEX('Summarized Source Data'!$V$600:$V$743,MATCH(1,($A2=LoadFactorSeasons)*(N$1=LoadFactorHours),0),)</f>
        <v>1.5461381685290607E-4</v>
      </c>
      <c r="O2" s="7" cm="1">
        <f t="array" ref="O2">INDEX('Summarized Source Data'!$V$600:$V$743,MATCH(1,($A2=LoadFactorSeasons)*(O$1=LoadFactorHours),0),)</f>
        <v>1.5469104653165379E-4</v>
      </c>
      <c r="P2" s="7" cm="1">
        <f t="array" ref="P2">INDEX('Summarized Source Data'!$V$600:$V$743,MATCH(1,($A2=LoadFactorSeasons)*(P$1=LoadFactorHours),0),)</f>
        <v>1.5476827621040148E-4</v>
      </c>
      <c r="Q2" s="7" cm="1">
        <f t="array" ref="Q2">INDEX('Summarized Source Data'!$V$600:$V$743,MATCH(1,($A2=LoadFactorSeasons)*(Q$1=LoadFactorHours),0),)</f>
        <v>1.5554057299787852E-4</v>
      </c>
      <c r="R2" s="7" cm="1">
        <f t="array" ref="R2">INDEX('Summarized Source Data'!$V$600:$V$743,MATCH(1,($A2=LoadFactorSeasons)*(R$1=LoadFactorHours),0),)</f>
        <v>1.5639009946410331E-4</v>
      </c>
      <c r="S2" s="7" cm="1">
        <f t="array" ref="S2">INDEX('Summarized Source Data'!$V$600:$V$743,MATCH(1,($A2=LoadFactorSeasons)*(S$1=LoadFactorHours),0),)</f>
        <v>1.5662178850034639E-4</v>
      </c>
      <c r="T2" s="7" cm="1">
        <f t="array" ref="T2">INDEX('Summarized Source Data'!$V$600:$V$743,MATCH(1,($A2=LoadFactorSeasons)*(T$1=LoadFactorHours),0),)</f>
        <v>1.5623564010660787E-4</v>
      </c>
      <c r="U2" s="7" cm="1">
        <f t="array" ref="U2">INDEX('Summarized Source Data'!$V$600:$V$743,MATCH(1,($A2=LoadFactorSeasons)*(U$1=LoadFactorHours),0),)</f>
        <v>1.5569503235537393E-4</v>
      </c>
      <c r="V2" s="7" cm="1">
        <f t="array" ref="V2">INDEX('Summarized Source Data'!$V$600:$V$743,MATCH(1,($A2=LoadFactorSeasons)*(V$1=LoadFactorHours),0),)</f>
        <v>1.5515442460414003E-4</v>
      </c>
      <c r="W2" s="7" cm="1">
        <f t="array" ref="W2">INDEX('Summarized Source Data'!$V$600:$V$743,MATCH(1,($A2=LoadFactorSeasons)*(W$1=LoadFactorHours),0),)</f>
        <v>1.5438212781666293E-4</v>
      </c>
      <c r="X2" s="7" cm="1">
        <f t="array" ref="X2">INDEX('Summarized Source Data'!$V$600:$V$743,MATCH(1,($A2=LoadFactorSeasons)*(X$1=LoadFactorHours),0),)</f>
        <v>1.5360983102918589E-4</v>
      </c>
      <c r="Y2" s="7" cm="1">
        <f t="array" ref="Y2">INDEX('Summarized Source Data'!$V$600:$V$743,MATCH(1,($A2=LoadFactorSeasons)*(Y$1=LoadFactorHours),0),)</f>
        <v>1.5322368263544738E-4</v>
      </c>
    </row>
    <row r="3" spans="1:25" x14ac:dyDescent="0.3">
      <c r="A3" s="7" t="s">
        <v>164</v>
      </c>
      <c r="B3" s="7" cm="1">
        <f t="array" ref="B3">INDEX('Summarized Source Data'!$V$600:$V$743,MATCH(1,($A3=LoadFactorSeasons)*(B$1=LoadFactorHours),0),)</f>
        <v>1.1204179589626333E-4</v>
      </c>
      <c r="C3" s="7" cm="1">
        <f t="array" ref="C3">INDEX('Summarized Source Data'!$V$600:$V$743,MATCH(1,($A3=LoadFactorSeasons)*(C$1=LoadFactorHours),0),)</f>
        <v>1.1189069435088739E-4</v>
      </c>
      <c r="D3" s="7" cm="1">
        <f t="array" ref="D3">INDEX('Summarized Source Data'!$V$600:$V$743,MATCH(1,($A3=LoadFactorSeasons)*(D$1=LoadFactorHours),0),)</f>
        <v>1.1189069435088739E-4</v>
      </c>
      <c r="E3" s="7" cm="1">
        <f t="array" ref="E3">INDEX('Summarized Source Data'!$V$600:$V$743,MATCH(1,($A3=LoadFactorSeasons)*(E$1=LoadFactorHours),0),)</f>
        <v>1.1196624512357539E-4</v>
      </c>
      <c r="F3" s="7" cm="1">
        <f t="array" ref="F3">INDEX('Summarized Source Data'!$V$600:$V$743,MATCH(1,($A3=LoadFactorSeasons)*(F$1=LoadFactorHours),0),)</f>
        <v>1.1226844821432727E-4</v>
      </c>
      <c r="G3" s="7" cm="1">
        <f t="array" ref="G3">INDEX('Summarized Source Data'!$V$600:$V$743,MATCH(1,($A3=LoadFactorSeasons)*(G$1=LoadFactorHours),0),)</f>
        <v>1.1279730362314308E-4</v>
      </c>
      <c r="H3" s="7" cm="1">
        <f t="array" ref="H3">INDEX('Summarized Source Data'!$V$600:$V$743,MATCH(1,($A3=LoadFactorSeasons)*(H$1=LoadFactorHours),0),)</f>
        <v>1.132506082592709E-4</v>
      </c>
      <c r="I3" s="7" cm="1">
        <f t="array" ref="I3">INDEX('Summarized Source Data'!$V$600:$V$743,MATCH(1,($A3=LoadFactorSeasons)*(I$1=LoadFactorHours),0),)</f>
        <v>1.1377946366808671E-4</v>
      </c>
      <c r="J3" s="7" cm="1">
        <f t="array" ref="J3">INDEX('Summarized Source Data'!$V$600:$V$743,MATCH(1,($A3=LoadFactorSeasons)*(J$1=LoadFactorHours),0),)</f>
        <v>1.1385501444077468E-4</v>
      </c>
      <c r="K3" s="7" cm="1">
        <f t="array" ref="K3">INDEX('Summarized Source Data'!$V$600:$V$743,MATCH(1,($A3=LoadFactorSeasons)*(K$1=LoadFactorHours),0),)</f>
        <v>1.1362836212271077E-4</v>
      </c>
      <c r="L3" s="7" cm="1">
        <f t="array" ref="L3">INDEX('Summarized Source Data'!$V$600:$V$743,MATCH(1,($A3=LoadFactorSeasons)*(L$1=LoadFactorHours),0),)</f>
        <v>1.1347726057733483E-4</v>
      </c>
      <c r="M3" s="7" cm="1">
        <f t="array" ref="M3">INDEX('Summarized Source Data'!$V$600:$V$743,MATCH(1,($A3=LoadFactorSeasons)*(M$1=LoadFactorHours),0),)</f>
        <v>1.1332615903195887E-4</v>
      </c>
      <c r="N3" s="7" cm="1">
        <f t="array" ref="N3">INDEX('Summarized Source Data'!$V$600:$V$743,MATCH(1,($A3=LoadFactorSeasons)*(N$1=LoadFactorHours),0),)</f>
        <v>1.1302395594120699E-4</v>
      </c>
      <c r="O3" s="7" cm="1">
        <f t="array" ref="O3">INDEX('Summarized Source Data'!$V$600:$V$743,MATCH(1,($A3=LoadFactorSeasons)*(O$1=LoadFactorHours),0),)</f>
        <v>1.1309950671389496E-4</v>
      </c>
      <c r="P3" s="7" cm="1">
        <f t="array" ref="P3">INDEX('Summarized Source Data'!$V$600:$V$743,MATCH(1,($A3=LoadFactorSeasons)*(P$1=LoadFactorHours),0),)</f>
        <v>1.132506082592709E-4</v>
      </c>
      <c r="Q3" s="7" cm="1">
        <f t="array" ref="Q3">INDEX('Summarized Source Data'!$V$600:$V$743,MATCH(1,($A3=LoadFactorSeasons)*(Q$1=LoadFactorHours),0),)</f>
        <v>1.1385501444077469E-4</v>
      </c>
      <c r="R3" s="7" cm="1">
        <f t="array" ref="R3">INDEX('Summarized Source Data'!$V$600:$V$743,MATCH(1,($A3=LoadFactorSeasons)*(R$1=LoadFactorHours),0),)</f>
        <v>1.1453497139496643E-4</v>
      </c>
      <c r="S3" s="7" cm="1">
        <f t="array" ref="S3">INDEX('Summarized Source Data'!$V$600:$V$743,MATCH(1,($A3=LoadFactorSeasons)*(S$1=LoadFactorHours),0),)</f>
        <v>1.146105221676544E-4</v>
      </c>
      <c r="T3" s="7" cm="1">
        <f t="array" ref="T3">INDEX('Summarized Source Data'!$V$600:$V$743,MATCH(1,($A3=LoadFactorSeasons)*(T$1=LoadFactorHours),0),)</f>
        <v>1.1430831907690252E-4</v>
      </c>
      <c r="U3" s="7" cm="1">
        <f t="array" ref="U3">INDEX('Summarized Source Data'!$V$600:$V$743,MATCH(1,($A3=LoadFactorSeasons)*(U$1=LoadFactorHours),0),)</f>
        <v>1.1393056521346265E-4</v>
      </c>
      <c r="V3" s="7" cm="1">
        <f t="array" ref="V3">INDEX('Summarized Source Data'!$V$600:$V$743,MATCH(1,($A3=LoadFactorSeasons)*(V$1=LoadFactorHours),0),)</f>
        <v>1.1362836212271077E-4</v>
      </c>
      <c r="W3" s="7" cm="1">
        <f t="array" ref="W3">INDEX('Summarized Source Data'!$V$600:$V$743,MATCH(1,($A3=LoadFactorSeasons)*(W$1=LoadFactorHours),0),)</f>
        <v>1.13023955941207E-4</v>
      </c>
      <c r="X3" s="7" cm="1">
        <f t="array" ref="X3">INDEX('Summarized Source Data'!$V$600:$V$743,MATCH(1,($A3=LoadFactorSeasons)*(X$1=LoadFactorHours),0),)</f>
        <v>1.1249510053239118E-4</v>
      </c>
      <c r="Y3" s="7" cm="1">
        <f t="array" ref="Y3">INDEX('Summarized Source Data'!$V$600:$V$743,MATCH(1,($A3=LoadFactorSeasons)*(Y$1=LoadFactorHours),0),)</f>
        <v>1.1219289744163927E-4</v>
      </c>
    </row>
    <row r="4" spans="1:25" x14ac:dyDescent="0.3">
      <c r="A4" s="7" t="s">
        <v>165</v>
      </c>
      <c r="B4" s="7" cm="1">
        <f t="array" ref="B4">INDEX('Summarized Source Data'!$V$600:$V$743,MATCH(1,($A4=LoadFactorSeasons)*(B$1=LoadFactorHours),0),)</f>
        <v>1.1128628816938361E-4</v>
      </c>
      <c r="C4" s="7" cm="1">
        <f t="array" ref="C4">INDEX('Summarized Source Data'!$V$600:$V$743,MATCH(1,($A4=LoadFactorSeasons)*(C$1=LoadFactorHours),0),)</f>
        <v>1.1121073739669563E-4</v>
      </c>
      <c r="D4" s="7" cm="1">
        <f t="array" ref="D4">INDEX('Summarized Source Data'!$V$600:$V$743,MATCH(1,($A4=LoadFactorSeasons)*(D$1=LoadFactorHours),0),)</f>
        <v>1.1121073739669563E-4</v>
      </c>
      <c r="E4" s="7" cm="1">
        <f t="array" ref="E4">INDEX('Summarized Source Data'!$V$600:$V$743,MATCH(1,($A4=LoadFactorSeasons)*(E$1=LoadFactorHours),0),)</f>
        <v>1.112862881693836E-4</v>
      </c>
      <c r="F4" s="7" cm="1">
        <f t="array" ref="F4">INDEX('Summarized Source Data'!$V$600:$V$743,MATCH(1,($A4=LoadFactorSeasons)*(F$1=LoadFactorHours),0),)</f>
        <v>1.1151294048744752E-4</v>
      </c>
      <c r="G4" s="7" cm="1">
        <f t="array" ref="G4">INDEX('Summarized Source Data'!$V$600:$V$743,MATCH(1,($A4=LoadFactorSeasons)*(G$1=LoadFactorHours),0),)</f>
        <v>1.1204179589626336E-4</v>
      </c>
      <c r="H4" s="7" cm="1">
        <f t="array" ref="H4">INDEX('Summarized Source Data'!$V$600:$V$743,MATCH(1,($A4=LoadFactorSeasons)*(H$1=LoadFactorHours),0),)</f>
        <v>1.1257065130507915E-4</v>
      </c>
      <c r="I4" s="7" cm="1">
        <f t="array" ref="I4">INDEX('Summarized Source Data'!$V$600:$V$743,MATCH(1,($A4=LoadFactorSeasons)*(I$1=LoadFactorHours),0),)</f>
        <v>1.1309950671389496E-4</v>
      </c>
      <c r="J4" s="7" cm="1">
        <f t="array" ref="J4">INDEX('Summarized Source Data'!$V$600:$V$743,MATCH(1,($A4=LoadFactorSeasons)*(J$1=LoadFactorHours),0),)</f>
        <v>1.1317505748658293E-4</v>
      </c>
      <c r="K4" s="7" cm="1">
        <f t="array" ref="K4">INDEX('Summarized Source Data'!$V$600:$V$743,MATCH(1,($A4=LoadFactorSeasons)*(K$1=LoadFactorHours),0),)</f>
        <v>1.1294840516851902E-4</v>
      </c>
      <c r="L4" s="7" cm="1">
        <f t="array" ref="L4">INDEX('Summarized Source Data'!$V$600:$V$743,MATCH(1,($A4=LoadFactorSeasons)*(L$1=LoadFactorHours),0),)</f>
        <v>1.1287285439583105E-4</v>
      </c>
      <c r="M4" s="7" cm="1">
        <f t="array" ref="M4">INDEX('Summarized Source Data'!$V$600:$V$743,MATCH(1,($A4=LoadFactorSeasons)*(M$1=LoadFactorHours),0),)</f>
        <v>1.1257065130507915E-4</v>
      </c>
      <c r="N4" s="7" cm="1">
        <f t="array" ref="N4">INDEX('Summarized Source Data'!$V$600:$V$743,MATCH(1,($A4=LoadFactorSeasons)*(N$1=LoadFactorHours),0),)</f>
        <v>1.1234399898701521E-4</v>
      </c>
      <c r="O4" s="7" cm="1">
        <f t="array" ref="O4">INDEX('Summarized Source Data'!$V$600:$V$743,MATCH(1,($A4=LoadFactorSeasons)*(O$1=LoadFactorHours),0),)</f>
        <v>1.1234399898701521E-4</v>
      </c>
      <c r="P4" s="7" cm="1">
        <f t="array" ref="P4">INDEX('Summarized Source Data'!$V$600:$V$743,MATCH(1,($A4=LoadFactorSeasons)*(P$1=LoadFactorHours),0),)</f>
        <v>1.1257065130507915E-4</v>
      </c>
      <c r="Q4" s="7" cm="1">
        <f t="array" ref="Q4">INDEX('Summarized Source Data'!$V$600:$V$743,MATCH(1,($A4=LoadFactorSeasons)*(Q$1=LoadFactorHours),0),)</f>
        <v>1.1317505748658294E-4</v>
      </c>
      <c r="R4" s="7" cm="1">
        <f t="array" ref="R4">INDEX('Summarized Source Data'!$V$600:$V$743,MATCH(1,($A4=LoadFactorSeasons)*(R$1=LoadFactorHours),0),)</f>
        <v>1.1385501444077469E-4</v>
      </c>
      <c r="S4" s="7" cm="1">
        <f t="array" ref="S4">INDEX('Summarized Source Data'!$V$600:$V$743,MATCH(1,($A4=LoadFactorSeasons)*(S$1=LoadFactorHours),0),)</f>
        <v>1.1393056521346265E-4</v>
      </c>
      <c r="T4" s="7" cm="1">
        <f t="array" ref="T4">INDEX('Summarized Source Data'!$V$600:$V$743,MATCH(1,($A4=LoadFactorSeasons)*(T$1=LoadFactorHours),0),)</f>
        <v>1.1362836212271077E-4</v>
      </c>
      <c r="U4" s="7" cm="1">
        <f t="array" ref="U4">INDEX('Summarized Source Data'!$V$600:$V$743,MATCH(1,($A4=LoadFactorSeasons)*(U$1=LoadFactorHours),0),)</f>
        <v>1.132506082592709E-4</v>
      </c>
      <c r="V4" s="7" cm="1">
        <f t="array" ref="V4">INDEX('Summarized Source Data'!$V$600:$V$743,MATCH(1,($A4=LoadFactorSeasons)*(V$1=LoadFactorHours),0),)</f>
        <v>1.1294840516851902E-4</v>
      </c>
      <c r="W4" s="7" cm="1">
        <f t="array" ref="W4">INDEX('Summarized Source Data'!$V$600:$V$743,MATCH(1,($A4=LoadFactorSeasons)*(W$1=LoadFactorHours),0),)</f>
        <v>1.1234399898701524E-4</v>
      </c>
      <c r="X4" s="7" cm="1">
        <f t="array" ref="X4">INDEX('Summarized Source Data'!$V$600:$V$743,MATCH(1,($A4=LoadFactorSeasons)*(X$1=LoadFactorHours),0),)</f>
        <v>1.1173959280551145E-4</v>
      </c>
      <c r="Y4" s="7" cm="1">
        <f t="array" ref="Y4">INDEX('Summarized Source Data'!$V$600:$V$743,MATCH(1,($A4=LoadFactorSeasons)*(Y$1=LoadFactorHours),0),)</f>
        <v>1.1136183894207158E-4</v>
      </c>
    </row>
    <row r="5" spans="1:25" x14ac:dyDescent="0.3">
      <c r="A5" s="7" t="s">
        <v>166</v>
      </c>
      <c r="B5" s="7" cm="1">
        <f t="array" ref="B5">INDEX('Summarized Source Data'!$V$600:$V$743,MATCH(1,($A5=LoadFactorSeasons)*(B$1=LoadFactorHours),0),)</f>
        <v>7.5999095954472627E-5</v>
      </c>
      <c r="C5" s="7" cm="1">
        <f t="array" ref="C5">INDEX('Summarized Source Data'!$V$600:$V$743,MATCH(1,($A5=LoadFactorSeasons)*(C$1=LoadFactorHours),0),)</f>
        <v>7.5999095954472627E-5</v>
      </c>
      <c r="D5" s="7" cm="1">
        <f t="array" ref="D5">INDEX('Summarized Source Data'!$V$600:$V$743,MATCH(1,($A5=LoadFactorSeasons)*(D$1=LoadFactorHours),0),)</f>
        <v>7.5999095954472627E-5</v>
      </c>
      <c r="E5" s="7" cm="1">
        <f t="array" ref="E5">INDEX('Summarized Source Data'!$V$600:$V$743,MATCH(1,($A5=LoadFactorSeasons)*(E$1=LoadFactorHours),0),)</f>
        <v>7.6075476955431915E-5</v>
      </c>
      <c r="F5" s="7" cm="1">
        <f t="array" ref="F5">INDEX('Summarized Source Data'!$V$600:$V$743,MATCH(1,($A5=LoadFactorSeasons)*(F$1=LoadFactorHours),0),)</f>
        <v>7.6151857956391163E-5</v>
      </c>
      <c r="G5" s="7" cm="1">
        <f t="array" ref="G5">INDEX('Summarized Source Data'!$V$600:$V$743,MATCH(1,($A5=LoadFactorSeasons)*(G$1=LoadFactorHours),0),)</f>
        <v>7.6533762961187522E-5</v>
      </c>
      <c r="H5" s="7" cm="1">
        <f t="array" ref="H5">INDEX('Summarized Source Data'!$V$600:$V$743,MATCH(1,($A5=LoadFactorSeasons)*(H$1=LoadFactorHours),0),)</f>
        <v>7.6992048966943141E-5</v>
      </c>
      <c r="I5" s="7" cm="1">
        <f t="array" ref="I5">INDEX('Summarized Source Data'!$V$600:$V$743,MATCH(1,($A5=LoadFactorSeasons)*(I$1=LoadFactorHours),0),)</f>
        <v>7.7221191969820951E-5</v>
      </c>
      <c r="J5" s="7" cm="1">
        <f t="array" ref="J5">INDEX('Summarized Source Data'!$V$600:$V$743,MATCH(1,($A5=LoadFactorSeasons)*(J$1=LoadFactorHours),0),)</f>
        <v>7.7297572970780226E-5</v>
      </c>
      <c r="K5" s="7" cm="1">
        <f t="array" ref="K5">INDEX('Summarized Source Data'!$V$600:$V$743,MATCH(1,($A5=LoadFactorSeasons)*(K$1=LoadFactorHours),0),)</f>
        <v>7.7221191969820951E-5</v>
      </c>
      <c r="L5" s="7" cm="1">
        <f t="array" ref="L5">INDEX('Summarized Source Data'!$V$600:$V$743,MATCH(1,($A5=LoadFactorSeasons)*(L$1=LoadFactorHours),0),)</f>
        <v>7.6992048966943141E-5</v>
      </c>
      <c r="M5" s="7" cm="1">
        <f t="array" ref="M5">INDEX('Summarized Source Data'!$V$600:$V$743,MATCH(1,($A5=LoadFactorSeasons)*(M$1=LoadFactorHours),0),)</f>
        <v>7.6839286965024606E-5</v>
      </c>
      <c r="N5" s="7" cm="1">
        <f t="array" ref="N5">INDEX('Summarized Source Data'!$V$600:$V$743,MATCH(1,($A5=LoadFactorSeasons)*(N$1=LoadFactorHours),0),)</f>
        <v>7.6839286965024606E-5</v>
      </c>
      <c r="O5" s="7" cm="1">
        <f t="array" ref="O5">INDEX('Summarized Source Data'!$V$600:$V$743,MATCH(1,($A5=LoadFactorSeasons)*(O$1=LoadFactorHours),0),)</f>
        <v>7.6762905964065332E-5</v>
      </c>
      <c r="P5" s="7" cm="1">
        <f t="array" ref="P5">INDEX('Summarized Source Data'!$V$600:$V$743,MATCH(1,($A5=LoadFactorSeasons)*(P$1=LoadFactorHours),0),)</f>
        <v>7.6915667965983867E-5</v>
      </c>
      <c r="Q5" s="7" cm="1">
        <f t="array" ref="Q5">INDEX('Summarized Source Data'!$V$600:$V$743,MATCH(1,($A5=LoadFactorSeasons)*(Q$1=LoadFactorHours),0),)</f>
        <v>7.7297572970780226E-5</v>
      </c>
      <c r="R5" s="7" cm="1">
        <f t="array" ref="R5">INDEX('Summarized Source Data'!$V$600:$V$743,MATCH(1,($A5=LoadFactorSeasons)*(R$1=LoadFactorHours),0),)</f>
        <v>7.7679477975576558E-5</v>
      </c>
      <c r="S5" s="7" cm="1">
        <f t="array" ref="S5">INDEX('Summarized Source Data'!$V$600:$V$743,MATCH(1,($A5=LoadFactorSeasons)*(S$1=LoadFactorHours),0),)</f>
        <v>7.7908620978454394E-5</v>
      </c>
      <c r="T5" s="7" cm="1">
        <f t="array" ref="T5">INDEX('Summarized Source Data'!$V$600:$V$743,MATCH(1,($A5=LoadFactorSeasons)*(T$1=LoadFactorHours),0),)</f>
        <v>7.7603096974617297E-5</v>
      </c>
      <c r="U5" s="7" cm="1">
        <f t="array" ref="U5">INDEX('Summarized Source Data'!$V$600:$V$743,MATCH(1,($A5=LoadFactorSeasons)*(U$1=LoadFactorHours),0),)</f>
        <v>7.7450334972698761E-5</v>
      </c>
      <c r="V5" s="7" cm="1">
        <f t="array" ref="V5">INDEX('Summarized Source Data'!$V$600:$V$743,MATCH(1,($A5=LoadFactorSeasons)*(V$1=LoadFactorHours),0),)</f>
        <v>7.6992048966943141E-5</v>
      </c>
      <c r="W5" s="7" cm="1">
        <f t="array" ref="W5">INDEX('Summarized Source Data'!$V$600:$V$743,MATCH(1,($A5=LoadFactorSeasons)*(W$1=LoadFactorHours),0),)</f>
        <v>7.6686524963106071E-5</v>
      </c>
      <c r="X5" s="7" cm="1">
        <f t="array" ref="X5">INDEX('Summarized Source Data'!$V$600:$V$743,MATCH(1,($A5=LoadFactorSeasons)*(X$1=LoadFactorHours),0),)</f>
        <v>7.6304619958309725E-5</v>
      </c>
      <c r="Y5" s="7" cm="1">
        <f t="array" ref="Y5">INDEX('Summarized Source Data'!$V$600:$V$743,MATCH(1,($A5=LoadFactorSeasons)*(Y$1=LoadFactorHours),0),)</f>
        <v>7.6075476955431915E-5</v>
      </c>
    </row>
    <row r="6" spans="1:25" x14ac:dyDescent="0.3">
      <c r="A6" s="7" t="s">
        <v>172</v>
      </c>
      <c r="B6" s="7" cm="1">
        <f t="array" ref="B6">INDEX('Summarized Source Data'!$V$600:$V$743,MATCH(1,($A6=LoadFactorSeasons)*(B$1=LoadFactorHours),0),)</f>
        <v>1.3300713531717574E-4</v>
      </c>
      <c r="C6" s="7" cm="1">
        <f t="array" ref="C6">INDEX('Summarized Source Data'!$V$600:$V$743,MATCH(1,($A6=LoadFactorSeasons)*(C$1=LoadFactorHours),0),)</f>
        <v>1.3300713531717574E-4</v>
      </c>
      <c r="D6" s="7" cm="1">
        <f t="array" ref="D6">INDEX('Summarized Source Data'!$V$600:$V$743,MATCH(1,($A6=LoadFactorSeasons)*(D$1=LoadFactorHours),0),)</f>
        <v>1.3300713531717574E-4</v>
      </c>
      <c r="E6" s="7" cm="1">
        <f t="array" ref="E6">INDEX('Summarized Source Data'!$V$600:$V$743,MATCH(1,($A6=LoadFactorSeasons)*(E$1=LoadFactorHours),0),)</f>
        <v>1.3327156302158367E-4</v>
      </c>
      <c r="F6" s="7" cm="1">
        <f t="array" ref="F6">INDEX('Summarized Source Data'!$V$600:$V$743,MATCH(1,($A6=LoadFactorSeasons)*(F$1=LoadFactorHours),0),)</f>
        <v>1.3380041843039946E-4</v>
      </c>
      <c r="G6" s="7" cm="1">
        <f t="array" ref="G6">INDEX('Summarized Source Data'!$V$600:$V$743,MATCH(1,($A6=LoadFactorSeasons)*(G$1=LoadFactorHours),0),)</f>
        <v>1.3459370154362318E-4</v>
      </c>
      <c r="H6" s="7" cm="1">
        <f t="array" ref="H6">INDEX('Summarized Source Data'!$V$600:$V$743,MATCH(1,($A6=LoadFactorSeasons)*(H$1=LoadFactorHours),0),)</f>
        <v>1.3485812924803108E-4</v>
      </c>
      <c r="I6" s="7" cm="1">
        <f t="array" ref="I6">INDEX('Summarized Source Data'!$V$600:$V$743,MATCH(1,($A6=LoadFactorSeasons)*(I$1=LoadFactorHours),0),)</f>
        <v>1.3512255695243897E-4</v>
      </c>
      <c r="J6" s="7" cm="1">
        <f t="array" ref="J6">INDEX('Summarized Source Data'!$V$600:$V$743,MATCH(1,($A6=LoadFactorSeasons)*(J$1=LoadFactorHours),0),)</f>
        <v>1.3485812924803108E-4</v>
      </c>
      <c r="K6" s="7" cm="1">
        <f t="array" ref="K6">INDEX('Summarized Source Data'!$V$600:$V$743,MATCH(1,($A6=LoadFactorSeasons)*(K$1=LoadFactorHours),0),)</f>
        <v>1.3459370154362318E-4</v>
      </c>
      <c r="L6" s="7" cm="1">
        <f t="array" ref="L6">INDEX('Summarized Source Data'!$V$600:$V$743,MATCH(1,($A6=LoadFactorSeasons)*(L$1=LoadFactorHours),0),)</f>
        <v>1.3459370154362318E-4</v>
      </c>
      <c r="M6" s="7" cm="1">
        <f t="array" ref="M6">INDEX('Summarized Source Data'!$V$600:$V$743,MATCH(1,($A6=LoadFactorSeasons)*(M$1=LoadFactorHours),0),)</f>
        <v>1.3406484613480736E-4</v>
      </c>
      <c r="N6" s="7" cm="1">
        <f t="array" ref="N6">INDEX('Summarized Source Data'!$V$600:$V$743,MATCH(1,($A6=LoadFactorSeasons)*(N$1=LoadFactorHours),0),)</f>
        <v>1.3406484613480736E-4</v>
      </c>
      <c r="O6" s="7" cm="1">
        <f t="array" ref="O6">INDEX('Summarized Source Data'!$V$600:$V$743,MATCH(1,($A6=LoadFactorSeasons)*(O$1=LoadFactorHours),0),)</f>
        <v>1.3406484613480736E-4</v>
      </c>
      <c r="P6" s="7" cm="1">
        <f t="array" ref="P6">INDEX('Summarized Source Data'!$V$600:$V$743,MATCH(1,($A6=LoadFactorSeasons)*(P$1=LoadFactorHours),0),)</f>
        <v>1.3459370154362318E-4</v>
      </c>
      <c r="Q6" s="7" cm="1">
        <f t="array" ref="Q6">INDEX('Summarized Source Data'!$V$600:$V$743,MATCH(1,($A6=LoadFactorSeasons)*(Q$1=LoadFactorHours),0),)</f>
        <v>1.353869846568469E-4</v>
      </c>
      <c r="R6" s="7" cm="1">
        <f t="array" ref="R6">INDEX('Summarized Source Data'!$V$600:$V$743,MATCH(1,($A6=LoadFactorSeasons)*(R$1=LoadFactorHours),0),)</f>
        <v>1.3618026777007062E-4</v>
      </c>
      <c r="S6" s="7" cm="1">
        <f t="array" ref="S6">INDEX('Summarized Source Data'!$V$600:$V$743,MATCH(1,($A6=LoadFactorSeasons)*(S$1=LoadFactorHours),0),)</f>
        <v>1.3644469547447849E-4</v>
      </c>
      <c r="T6" s="7" cm="1">
        <f t="array" ref="T6">INDEX('Summarized Source Data'!$V$600:$V$743,MATCH(1,($A6=LoadFactorSeasons)*(T$1=LoadFactorHours),0),)</f>
        <v>1.3618026777007062E-4</v>
      </c>
      <c r="U6" s="7" cm="1">
        <f t="array" ref="U6">INDEX('Summarized Source Data'!$V$600:$V$743,MATCH(1,($A6=LoadFactorSeasons)*(U$1=LoadFactorHours),0),)</f>
        <v>1.3565141236125477E-4</v>
      </c>
      <c r="V6" s="7" cm="1">
        <f t="array" ref="V6">INDEX('Summarized Source Data'!$V$600:$V$743,MATCH(1,($A6=LoadFactorSeasons)*(V$1=LoadFactorHours),0),)</f>
        <v>1.353869846568469E-4</v>
      </c>
      <c r="W6" s="7" cm="1">
        <f t="array" ref="W6">INDEX('Summarized Source Data'!$V$600:$V$743,MATCH(1,($A6=LoadFactorSeasons)*(W$1=LoadFactorHours),0),)</f>
        <v>1.3459370154362318E-4</v>
      </c>
      <c r="X6" s="7" cm="1">
        <f t="array" ref="X6">INDEX('Summarized Source Data'!$V$600:$V$743,MATCH(1,($A6=LoadFactorSeasons)*(X$1=LoadFactorHours),0),)</f>
        <v>1.3380041843039946E-4</v>
      </c>
      <c r="Y6" s="7" cm="1">
        <f t="array" ref="Y6">INDEX('Summarized Source Data'!$V$600:$V$743,MATCH(1,($A6=LoadFactorSeasons)*(Y$1=LoadFactorHours),0),)</f>
        <v>1.3327156302158367E-4</v>
      </c>
    </row>
    <row r="7" spans="1:25" x14ac:dyDescent="0.3">
      <c r="A7" s="7" t="s">
        <v>171</v>
      </c>
      <c r="B7" s="7" cm="1">
        <f t="array" ref="B7">INDEX('Summarized Source Data'!$V$600:$V$743,MATCH(1,($A7=LoadFactorSeasons)*(B$1=LoadFactorHours),0),)</f>
        <v>1.8272541991707082E-4</v>
      </c>
      <c r="C7" s="7" cm="1">
        <f t="array" ref="C7">INDEX('Summarized Source Data'!$V$600:$V$743,MATCH(1,($A7=LoadFactorSeasons)*(C$1=LoadFactorHours),0),)</f>
        <v>1.8272541991707082E-4</v>
      </c>
      <c r="D7" s="7" cm="1">
        <f t="array" ref="D7">INDEX('Summarized Source Data'!$V$600:$V$743,MATCH(1,($A7=LoadFactorSeasons)*(D$1=LoadFactorHours),0),)</f>
        <v>1.8272541991707082E-4</v>
      </c>
      <c r="E7" s="7" cm="1">
        <f t="array" ref="E7">INDEX('Summarized Source Data'!$V$600:$V$743,MATCH(1,($A7=LoadFactorSeasons)*(E$1=LoadFactorHours),0),)</f>
        <v>1.8353633154392172E-4</v>
      </c>
      <c r="F7" s="7" cm="1">
        <f t="array" ref="F7">INDEX('Summarized Source Data'!$V$600:$V$743,MATCH(1,($A7=LoadFactorSeasons)*(F$1=LoadFactorHours),0),)</f>
        <v>1.8380663541953869E-4</v>
      </c>
      <c r="G7" s="7" cm="1">
        <f t="array" ref="G7">INDEX('Summarized Source Data'!$V$600:$V$743,MATCH(1,($A7=LoadFactorSeasons)*(G$1=LoadFactorHours),0),)</f>
        <v>1.8488785092200658E-4</v>
      </c>
      <c r="H7" s="7" cm="1">
        <f t="array" ref="H7">INDEX('Summarized Source Data'!$V$600:$V$743,MATCH(1,($A7=LoadFactorSeasons)*(H$1=LoadFactorHours),0),)</f>
        <v>1.8542845867324049E-4</v>
      </c>
      <c r="I7" s="7" cm="1">
        <f t="array" ref="I7">INDEX('Summarized Source Data'!$V$600:$V$743,MATCH(1,($A7=LoadFactorSeasons)*(I$1=LoadFactorHours),0),)</f>
        <v>1.8596906642447445E-4</v>
      </c>
      <c r="J7" s="7" cm="1">
        <f t="array" ref="J7">INDEX('Summarized Source Data'!$V$600:$V$743,MATCH(1,($A7=LoadFactorSeasons)*(J$1=LoadFactorHours),0),)</f>
        <v>1.8542845867324049E-4</v>
      </c>
      <c r="K7" s="7" cm="1">
        <f t="array" ref="K7">INDEX('Summarized Source Data'!$V$600:$V$743,MATCH(1,($A7=LoadFactorSeasons)*(K$1=LoadFactorHours),0),)</f>
        <v>1.8488785092200658E-4</v>
      </c>
      <c r="L7" s="7" cm="1">
        <f t="array" ref="L7">INDEX('Summarized Source Data'!$V$600:$V$743,MATCH(1,($A7=LoadFactorSeasons)*(L$1=LoadFactorHours),0),)</f>
        <v>1.8488785092200658E-4</v>
      </c>
      <c r="M7" s="7" cm="1">
        <f t="array" ref="M7">INDEX('Summarized Source Data'!$V$600:$V$743,MATCH(1,($A7=LoadFactorSeasons)*(M$1=LoadFactorHours),0),)</f>
        <v>1.8488785092200658E-4</v>
      </c>
      <c r="N7" s="7" cm="1">
        <f t="array" ref="N7">INDEX('Summarized Source Data'!$V$600:$V$743,MATCH(1,($A7=LoadFactorSeasons)*(N$1=LoadFactorHours),0),)</f>
        <v>1.8461754704638959E-4</v>
      </c>
      <c r="O7" s="7" cm="1">
        <f t="array" ref="O7">INDEX('Summarized Source Data'!$V$600:$V$743,MATCH(1,($A7=LoadFactorSeasons)*(O$1=LoadFactorHours),0),)</f>
        <v>1.8488785092200658E-4</v>
      </c>
      <c r="P7" s="7" cm="1">
        <f t="array" ref="P7">INDEX('Summarized Source Data'!$V$600:$V$743,MATCH(1,($A7=LoadFactorSeasons)*(P$1=LoadFactorHours),0),)</f>
        <v>1.8488785092200658E-4</v>
      </c>
      <c r="Q7" s="7" cm="1">
        <f t="array" ref="Q7">INDEX('Summarized Source Data'!$V$600:$V$743,MATCH(1,($A7=LoadFactorSeasons)*(Q$1=LoadFactorHours),0),)</f>
        <v>1.8596906642447445E-4</v>
      </c>
      <c r="R7" s="7" cm="1">
        <f t="array" ref="R7">INDEX('Summarized Source Data'!$V$600:$V$743,MATCH(1,($A7=LoadFactorSeasons)*(R$1=LoadFactorHours),0),)</f>
        <v>1.8705028192694229E-4</v>
      </c>
      <c r="S7" s="7" cm="1">
        <f t="array" ref="S7">INDEX('Summarized Source Data'!$V$600:$V$743,MATCH(1,($A7=LoadFactorSeasons)*(S$1=LoadFactorHours),0),)</f>
        <v>1.8759088967817625E-4</v>
      </c>
      <c r="T7" s="7" cm="1">
        <f t="array" ref="T7">INDEX('Summarized Source Data'!$V$600:$V$743,MATCH(1,($A7=LoadFactorSeasons)*(T$1=LoadFactorHours),0),)</f>
        <v>1.8705028192694229E-4</v>
      </c>
      <c r="U7" s="7" cm="1">
        <f t="array" ref="U7">INDEX('Summarized Source Data'!$V$600:$V$743,MATCH(1,($A7=LoadFactorSeasons)*(U$1=LoadFactorHours),0),)</f>
        <v>1.8650967417570838E-4</v>
      </c>
      <c r="V7" s="7" cm="1">
        <f t="array" ref="V7">INDEX('Summarized Source Data'!$V$600:$V$743,MATCH(1,($A7=LoadFactorSeasons)*(V$1=LoadFactorHours),0),)</f>
        <v>1.8596906642447445E-4</v>
      </c>
      <c r="W7" s="7" cm="1">
        <f t="array" ref="W7">INDEX('Summarized Source Data'!$V$600:$V$743,MATCH(1,($A7=LoadFactorSeasons)*(W$1=LoadFactorHours),0),)</f>
        <v>1.8488785092200658E-4</v>
      </c>
      <c r="X7" s="7" cm="1">
        <f t="array" ref="X7">INDEX('Summarized Source Data'!$V$600:$V$743,MATCH(1,($A7=LoadFactorSeasons)*(X$1=LoadFactorHours),0),)</f>
        <v>1.8380663541953869E-4</v>
      </c>
      <c r="Y7" s="7" cm="1">
        <f t="array" ref="Y7">INDEX('Summarized Source Data'!$V$600:$V$743,MATCH(1,($A7=LoadFactorSeasons)*(Y$1=LoadFactorHours),0),)</f>
        <v>1.8353633154392172E-4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AA8C-641F-4A79-9199-91495F9050DA}">
  <sheetPr codeName="Sheet28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Data'!$W$600:$W$743,MATCH(1,($A2=LoadFactorSeasons)*(B$1=LoadFactorHours),0),)</f>
        <v>1.5299199359920427E-4</v>
      </c>
      <c r="C2" s="7" cm="1">
        <f t="array" ref="C2">INDEX('Summarized Source Data'!$W$600:$W$743,MATCH(1,($A2=LoadFactorSeasons)*(C$1=LoadFactorHours),0),)</f>
        <v>1.5283753424170886E-4</v>
      </c>
      <c r="D2" s="7" cm="1">
        <f t="array" ref="D2">INDEX('Summarized Source Data'!$W$600:$W$743,MATCH(1,($A2=LoadFactorSeasons)*(D$1=LoadFactorHours),0),)</f>
        <v>1.5283753424170886E-4</v>
      </c>
      <c r="E2" s="7" cm="1">
        <f t="array" ref="E2">INDEX('Summarized Source Data'!$W$600:$W$743,MATCH(1,($A2=LoadFactorSeasons)*(E$1=LoadFactorHours),0),)</f>
        <v>1.5306922327795196E-4</v>
      </c>
      <c r="F2" s="7" cm="1">
        <f t="array" ref="F2">INDEX('Summarized Source Data'!$W$600:$W$743,MATCH(1,($A2=LoadFactorSeasons)*(F$1=LoadFactorHours),0),)</f>
        <v>1.5330091231419507E-4</v>
      </c>
      <c r="G2" s="7" cm="1">
        <f t="array" ref="G2">INDEX('Summarized Source Data'!$W$600:$W$743,MATCH(1,($A2=LoadFactorSeasons)*(G$1=LoadFactorHours),0),)</f>
        <v>1.5407320910167213E-4</v>
      </c>
      <c r="H2" s="7" cm="1">
        <f t="array" ref="H2">INDEX('Summarized Source Data'!$W$600:$W$743,MATCH(1,($A2=LoadFactorSeasons)*(H$1=LoadFactorHours),0),)</f>
        <v>1.5484550588914917E-4</v>
      </c>
      <c r="I2" s="7" cm="1">
        <f t="array" ref="I2">INDEX('Summarized Source Data'!$W$600:$W$743,MATCH(1,($A2=LoadFactorSeasons)*(I$1=LoadFactorHours),0),)</f>
        <v>1.5554057299787852E-4</v>
      </c>
      <c r="J2" s="7" cm="1">
        <f t="array" ref="J2">INDEX('Summarized Source Data'!$W$600:$W$743,MATCH(1,($A2=LoadFactorSeasons)*(J$1=LoadFactorHours),0),)</f>
        <v>1.5554057299787852E-4</v>
      </c>
      <c r="K2" s="7" cm="1">
        <f t="array" ref="K2">INDEX('Summarized Source Data'!$W$600:$W$743,MATCH(1,($A2=LoadFactorSeasons)*(K$1=LoadFactorHours),0),)</f>
        <v>1.5523165428288769E-4</v>
      </c>
      <c r="L2" s="7" cm="1">
        <f t="array" ref="L2">INDEX('Summarized Source Data'!$W$600:$W$743,MATCH(1,($A2=LoadFactorSeasons)*(L$1=LoadFactorHours),0),)</f>
        <v>1.5507719492539228E-4</v>
      </c>
      <c r="M2" s="7" cm="1">
        <f t="array" ref="M2">INDEX('Summarized Source Data'!$W$600:$W$743,MATCH(1,($A2=LoadFactorSeasons)*(M$1=LoadFactorHours),0),)</f>
        <v>1.5476827621040148E-4</v>
      </c>
      <c r="N2" s="7" cm="1">
        <f t="array" ref="N2">INDEX('Summarized Source Data'!$W$600:$W$743,MATCH(1,($A2=LoadFactorSeasons)*(N$1=LoadFactorHours),0),)</f>
        <v>1.5461381685290607E-4</v>
      </c>
      <c r="O2" s="7" cm="1">
        <f t="array" ref="O2">INDEX('Summarized Source Data'!$W$600:$W$743,MATCH(1,($A2=LoadFactorSeasons)*(O$1=LoadFactorHours),0),)</f>
        <v>1.5469104653165379E-4</v>
      </c>
      <c r="P2" s="7" cm="1">
        <f t="array" ref="P2">INDEX('Summarized Source Data'!$W$600:$W$743,MATCH(1,($A2=LoadFactorSeasons)*(P$1=LoadFactorHours),0),)</f>
        <v>1.5476827621040148E-4</v>
      </c>
      <c r="Q2" s="7" cm="1">
        <f t="array" ref="Q2">INDEX('Summarized Source Data'!$W$600:$W$743,MATCH(1,($A2=LoadFactorSeasons)*(Q$1=LoadFactorHours),0),)</f>
        <v>1.5554057299787852E-4</v>
      </c>
      <c r="R2" s="7" cm="1">
        <f t="array" ref="R2">INDEX('Summarized Source Data'!$W$600:$W$743,MATCH(1,($A2=LoadFactorSeasons)*(R$1=LoadFactorHours),0),)</f>
        <v>1.5639009946410331E-4</v>
      </c>
      <c r="S2" s="7" cm="1">
        <f t="array" ref="S2">INDEX('Summarized Source Data'!$W$600:$W$743,MATCH(1,($A2=LoadFactorSeasons)*(S$1=LoadFactorHours),0),)</f>
        <v>1.5662178850034639E-4</v>
      </c>
      <c r="T2" s="7" cm="1">
        <f t="array" ref="T2">INDEX('Summarized Source Data'!$W$600:$W$743,MATCH(1,($A2=LoadFactorSeasons)*(T$1=LoadFactorHours),0),)</f>
        <v>1.5623564010660787E-4</v>
      </c>
      <c r="U2" s="7" cm="1">
        <f t="array" ref="U2">INDEX('Summarized Source Data'!$W$600:$W$743,MATCH(1,($A2=LoadFactorSeasons)*(U$1=LoadFactorHours),0),)</f>
        <v>1.5569503235537393E-4</v>
      </c>
      <c r="V2" s="7" cm="1">
        <f t="array" ref="V2">INDEX('Summarized Source Data'!$W$600:$W$743,MATCH(1,($A2=LoadFactorSeasons)*(V$1=LoadFactorHours),0),)</f>
        <v>1.5515442460414003E-4</v>
      </c>
      <c r="W2" s="7" cm="1">
        <f t="array" ref="W2">INDEX('Summarized Source Data'!$W$600:$W$743,MATCH(1,($A2=LoadFactorSeasons)*(W$1=LoadFactorHours),0),)</f>
        <v>1.5438212781666293E-4</v>
      </c>
      <c r="X2" s="7" cm="1">
        <f t="array" ref="X2">INDEX('Summarized Source Data'!$W$600:$W$743,MATCH(1,($A2=LoadFactorSeasons)*(X$1=LoadFactorHours),0),)</f>
        <v>1.5360983102918589E-4</v>
      </c>
      <c r="Y2" s="7" cm="1">
        <f t="array" ref="Y2">INDEX('Summarized Source Data'!$W$600:$W$743,MATCH(1,($A2=LoadFactorSeasons)*(Y$1=LoadFactorHours),0),)</f>
        <v>1.5322368263544738E-4</v>
      </c>
    </row>
    <row r="3" spans="1:25" x14ac:dyDescent="0.3">
      <c r="A3" s="7" t="s">
        <v>164</v>
      </c>
      <c r="B3" s="7" cm="1">
        <f t="array" ref="B3">INDEX('Summarized Source Data'!$W$600:$W$743,MATCH(1,($A3=LoadFactorSeasons)*(B$1=LoadFactorHours),0),)</f>
        <v>1.1204179589626333E-4</v>
      </c>
      <c r="C3" s="7" cm="1">
        <f t="array" ref="C3">INDEX('Summarized Source Data'!$W$600:$W$743,MATCH(1,($A3=LoadFactorSeasons)*(C$1=LoadFactorHours),0),)</f>
        <v>1.1189069435088739E-4</v>
      </c>
      <c r="D3" s="7" cm="1">
        <f t="array" ref="D3">INDEX('Summarized Source Data'!$W$600:$W$743,MATCH(1,($A3=LoadFactorSeasons)*(D$1=LoadFactorHours),0),)</f>
        <v>1.1189069435088739E-4</v>
      </c>
      <c r="E3" s="7" cm="1">
        <f t="array" ref="E3">INDEX('Summarized Source Data'!$W$600:$W$743,MATCH(1,($A3=LoadFactorSeasons)*(E$1=LoadFactorHours),0),)</f>
        <v>1.1196624512357539E-4</v>
      </c>
      <c r="F3" s="7" cm="1">
        <f t="array" ref="F3">INDEX('Summarized Source Data'!$W$600:$W$743,MATCH(1,($A3=LoadFactorSeasons)*(F$1=LoadFactorHours),0),)</f>
        <v>1.1226844821432727E-4</v>
      </c>
      <c r="G3" s="7" cm="1">
        <f t="array" ref="G3">INDEX('Summarized Source Data'!$W$600:$W$743,MATCH(1,($A3=LoadFactorSeasons)*(G$1=LoadFactorHours),0),)</f>
        <v>1.1279730362314308E-4</v>
      </c>
      <c r="H3" s="7" cm="1">
        <f t="array" ref="H3">INDEX('Summarized Source Data'!$W$600:$W$743,MATCH(1,($A3=LoadFactorSeasons)*(H$1=LoadFactorHours),0),)</f>
        <v>1.132506082592709E-4</v>
      </c>
      <c r="I3" s="7" cm="1">
        <f t="array" ref="I3">INDEX('Summarized Source Data'!$W$600:$W$743,MATCH(1,($A3=LoadFactorSeasons)*(I$1=LoadFactorHours),0),)</f>
        <v>1.1377946366808671E-4</v>
      </c>
      <c r="J3" s="7" cm="1">
        <f t="array" ref="J3">INDEX('Summarized Source Data'!$W$600:$W$743,MATCH(1,($A3=LoadFactorSeasons)*(J$1=LoadFactorHours),0),)</f>
        <v>1.1385501444077468E-4</v>
      </c>
      <c r="K3" s="7" cm="1">
        <f t="array" ref="K3">INDEX('Summarized Source Data'!$W$600:$W$743,MATCH(1,($A3=LoadFactorSeasons)*(K$1=LoadFactorHours),0),)</f>
        <v>1.1362836212271077E-4</v>
      </c>
      <c r="L3" s="7" cm="1">
        <f t="array" ref="L3">INDEX('Summarized Source Data'!$W$600:$W$743,MATCH(1,($A3=LoadFactorSeasons)*(L$1=LoadFactorHours),0),)</f>
        <v>1.1347726057733483E-4</v>
      </c>
      <c r="M3" s="7" cm="1">
        <f t="array" ref="M3">INDEX('Summarized Source Data'!$W$600:$W$743,MATCH(1,($A3=LoadFactorSeasons)*(M$1=LoadFactorHours),0),)</f>
        <v>1.1332615903195887E-4</v>
      </c>
      <c r="N3" s="7" cm="1">
        <f t="array" ref="N3">INDEX('Summarized Source Data'!$W$600:$W$743,MATCH(1,($A3=LoadFactorSeasons)*(N$1=LoadFactorHours),0),)</f>
        <v>1.1302395594120699E-4</v>
      </c>
      <c r="O3" s="7" cm="1">
        <f t="array" ref="O3">INDEX('Summarized Source Data'!$W$600:$W$743,MATCH(1,($A3=LoadFactorSeasons)*(O$1=LoadFactorHours),0),)</f>
        <v>1.1309950671389496E-4</v>
      </c>
      <c r="P3" s="7" cm="1">
        <f t="array" ref="P3">INDEX('Summarized Source Data'!$W$600:$W$743,MATCH(1,($A3=LoadFactorSeasons)*(P$1=LoadFactorHours),0),)</f>
        <v>1.132506082592709E-4</v>
      </c>
      <c r="Q3" s="7" cm="1">
        <f t="array" ref="Q3">INDEX('Summarized Source Data'!$W$600:$W$743,MATCH(1,($A3=LoadFactorSeasons)*(Q$1=LoadFactorHours),0),)</f>
        <v>1.1385501444077469E-4</v>
      </c>
      <c r="R3" s="7" cm="1">
        <f t="array" ref="R3">INDEX('Summarized Source Data'!$W$600:$W$743,MATCH(1,($A3=LoadFactorSeasons)*(R$1=LoadFactorHours),0),)</f>
        <v>1.1453497139496643E-4</v>
      </c>
      <c r="S3" s="7" cm="1">
        <f t="array" ref="S3">INDEX('Summarized Source Data'!$W$600:$W$743,MATCH(1,($A3=LoadFactorSeasons)*(S$1=LoadFactorHours),0),)</f>
        <v>1.146105221676544E-4</v>
      </c>
      <c r="T3" s="7" cm="1">
        <f t="array" ref="T3">INDEX('Summarized Source Data'!$W$600:$W$743,MATCH(1,($A3=LoadFactorSeasons)*(T$1=LoadFactorHours),0),)</f>
        <v>1.1430831907690252E-4</v>
      </c>
      <c r="U3" s="7" cm="1">
        <f t="array" ref="U3">INDEX('Summarized Source Data'!$W$600:$W$743,MATCH(1,($A3=LoadFactorSeasons)*(U$1=LoadFactorHours),0),)</f>
        <v>1.1393056521346265E-4</v>
      </c>
      <c r="V3" s="7" cm="1">
        <f t="array" ref="V3">INDEX('Summarized Source Data'!$W$600:$W$743,MATCH(1,($A3=LoadFactorSeasons)*(V$1=LoadFactorHours),0),)</f>
        <v>1.1362836212271077E-4</v>
      </c>
      <c r="W3" s="7" cm="1">
        <f t="array" ref="W3">INDEX('Summarized Source Data'!$W$600:$W$743,MATCH(1,($A3=LoadFactorSeasons)*(W$1=LoadFactorHours),0),)</f>
        <v>1.13023955941207E-4</v>
      </c>
      <c r="X3" s="7" cm="1">
        <f t="array" ref="X3">INDEX('Summarized Source Data'!$W$600:$W$743,MATCH(1,($A3=LoadFactorSeasons)*(X$1=LoadFactorHours),0),)</f>
        <v>1.1249510053239118E-4</v>
      </c>
      <c r="Y3" s="7" cm="1">
        <f t="array" ref="Y3">INDEX('Summarized Source Data'!$W$600:$W$743,MATCH(1,($A3=LoadFactorSeasons)*(Y$1=LoadFactorHours),0),)</f>
        <v>1.1219289744163927E-4</v>
      </c>
    </row>
    <row r="4" spans="1:25" x14ac:dyDescent="0.3">
      <c r="A4" s="7" t="s">
        <v>165</v>
      </c>
      <c r="B4" s="7" cm="1">
        <f t="array" ref="B4">INDEX('Summarized Source Data'!$W$600:$W$743,MATCH(1,($A4=LoadFactorSeasons)*(B$1=LoadFactorHours),0),)</f>
        <v>1.1128628816938361E-4</v>
      </c>
      <c r="C4" s="7" cm="1">
        <f t="array" ref="C4">INDEX('Summarized Source Data'!$W$600:$W$743,MATCH(1,($A4=LoadFactorSeasons)*(C$1=LoadFactorHours),0),)</f>
        <v>1.1121073739669563E-4</v>
      </c>
      <c r="D4" s="7" cm="1">
        <f t="array" ref="D4">INDEX('Summarized Source Data'!$W$600:$W$743,MATCH(1,($A4=LoadFactorSeasons)*(D$1=LoadFactorHours),0),)</f>
        <v>1.1121073739669563E-4</v>
      </c>
      <c r="E4" s="7" cm="1">
        <f t="array" ref="E4">INDEX('Summarized Source Data'!$W$600:$W$743,MATCH(1,($A4=LoadFactorSeasons)*(E$1=LoadFactorHours),0),)</f>
        <v>1.112862881693836E-4</v>
      </c>
      <c r="F4" s="7" cm="1">
        <f t="array" ref="F4">INDEX('Summarized Source Data'!$W$600:$W$743,MATCH(1,($A4=LoadFactorSeasons)*(F$1=LoadFactorHours),0),)</f>
        <v>1.1151294048744752E-4</v>
      </c>
      <c r="G4" s="7" cm="1">
        <f t="array" ref="G4">INDEX('Summarized Source Data'!$W$600:$W$743,MATCH(1,($A4=LoadFactorSeasons)*(G$1=LoadFactorHours),0),)</f>
        <v>1.1204179589626336E-4</v>
      </c>
      <c r="H4" s="7" cm="1">
        <f t="array" ref="H4">INDEX('Summarized Source Data'!$W$600:$W$743,MATCH(1,($A4=LoadFactorSeasons)*(H$1=LoadFactorHours),0),)</f>
        <v>1.1257065130507915E-4</v>
      </c>
      <c r="I4" s="7" cm="1">
        <f t="array" ref="I4">INDEX('Summarized Source Data'!$W$600:$W$743,MATCH(1,($A4=LoadFactorSeasons)*(I$1=LoadFactorHours),0),)</f>
        <v>1.1309950671389496E-4</v>
      </c>
      <c r="J4" s="7" cm="1">
        <f t="array" ref="J4">INDEX('Summarized Source Data'!$W$600:$W$743,MATCH(1,($A4=LoadFactorSeasons)*(J$1=LoadFactorHours),0),)</f>
        <v>1.1317505748658293E-4</v>
      </c>
      <c r="K4" s="7" cm="1">
        <f t="array" ref="K4">INDEX('Summarized Source Data'!$W$600:$W$743,MATCH(1,($A4=LoadFactorSeasons)*(K$1=LoadFactorHours),0),)</f>
        <v>1.1294840516851902E-4</v>
      </c>
      <c r="L4" s="7" cm="1">
        <f t="array" ref="L4">INDEX('Summarized Source Data'!$W$600:$W$743,MATCH(1,($A4=LoadFactorSeasons)*(L$1=LoadFactorHours),0),)</f>
        <v>1.1287285439583105E-4</v>
      </c>
      <c r="M4" s="7" cm="1">
        <f t="array" ref="M4">INDEX('Summarized Source Data'!$W$600:$W$743,MATCH(1,($A4=LoadFactorSeasons)*(M$1=LoadFactorHours),0),)</f>
        <v>1.1257065130507915E-4</v>
      </c>
      <c r="N4" s="7" cm="1">
        <f t="array" ref="N4">INDEX('Summarized Source Data'!$W$600:$W$743,MATCH(1,($A4=LoadFactorSeasons)*(N$1=LoadFactorHours),0),)</f>
        <v>1.1234399898701521E-4</v>
      </c>
      <c r="O4" s="7" cm="1">
        <f t="array" ref="O4">INDEX('Summarized Source Data'!$W$600:$W$743,MATCH(1,($A4=LoadFactorSeasons)*(O$1=LoadFactorHours),0),)</f>
        <v>1.1234399898701521E-4</v>
      </c>
      <c r="P4" s="7" cm="1">
        <f t="array" ref="P4">INDEX('Summarized Source Data'!$W$600:$W$743,MATCH(1,($A4=LoadFactorSeasons)*(P$1=LoadFactorHours),0),)</f>
        <v>1.1257065130507915E-4</v>
      </c>
      <c r="Q4" s="7" cm="1">
        <f t="array" ref="Q4">INDEX('Summarized Source Data'!$W$600:$W$743,MATCH(1,($A4=LoadFactorSeasons)*(Q$1=LoadFactorHours),0),)</f>
        <v>1.1317505748658294E-4</v>
      </c>
      <c r="R4" s="7" cm="1">
        <f t="array" ref="R4">INDEX('Summarized Source Data'!$W$600:$W$743,MATCH(1,($A4=LoadFactorSeasons)*(R$1=LoadFactorHours),0),)</f>
        <v>1.1385501444077469E-4</v>
      </c>
      <c r="S4" s="7" cm="1">
        <f t="array" ref="S4">INDEX('Summarized Source Data'!$W$600:$W$743,MATCH(1,($A4=LoadFactorSeasons)*(S$1=LoadFactorHours),0),)</f>
        <v>1.1393056521346265E-4</v>
      </c>
      <c r="T4" s="7" cm="1">
        <f t="array" ref="T4">INDEX('Summarized Source Data'!$W$600:$W$743,MATCH(1,($A4=LoadFactorSeasons)*(T$1=LoadFactorHours),0),)</f>
        <v>1.1362836212271077E-4</v>
      </c>
      <c r="U4" s="7" cm="1">
        <f t="array" ref="U4">INDEX('Summarized Source Data'!$W$600:$W$743,MATCH(1,($A4=LoadFactorSeasons)*(U$1=LoadFactorHours),0),)</f>
        <v>1.132506082592709E-4</v>
      </c>
      <c r="V4" s="7" cm="1">
        <f t="array" ref="V4">INDEX('Summarized Source Data'!$W$600:$W$743,MATCH(1,($A4=LoadFactorSeasons)*(V$1=LoadFactorHours),0),)</f>
        <v>1.1294840516851902E-4</v>
      </c>
      <c r="W4" s="7" cm="1">
        <f t="array" ref="W4">INDEX('Summarized Source Data'!$W$600:$W$743,MATCH(1,($A4=LoadFactorSeasons)*(W$1=LoadFactorHours),0),)</f>
        <v>1.1234399898701524E-4</v>
      </c>
      <c r="X4" s="7" cm="1">
        <f t="array" ref="X4">INDEX('Summarized Source Data'!$W$600:$W$743,MATCH(1,($A4=LoadFactorSeasons)*(X$1=LoadFactorHours),0),)</f>
        <v>1.1173959280551145E-4</v>
      </c>
      <c r="Y4" s="7" cm="1">
        <f t="array" ref="Y4">INDEX('Summarized Source Data'!$W$600:$W$743,MATCH(1,($A4=LoadFactorSeasons)*(Y$1=LoadFactorHours),0),)</f>
        <v>1.1136183894207158E-4</v>
      </c>
    </row>
    <row r="5" spans="1:25" x14ac:dyDescent="0.3">
      <c r="A5" s="7" t="s">
        <v>166</v>
      </c>
      <c r="B5" s="7" cm="1">
        <f t="array" ref="B5">INDEX('Summarized Source Data'!$W$600:$W$743,MATCH(1,($A5=LoadFactorSeasons)*(B$1=LoadFactorHours),0),)</f>
        <v>7.5999095954472627E-5</v>
      </c>
      <c r="C5" s="7" cm="1">
        <f t="array" ref="C5">INDEX('Summarized Source Data'!$W$600:$W$743,MATCH(1,($A5=LoadFactorSeasons)*(C$1=LoadFactorHours),0),)</f>
        <v>7.5999095954472627E-5</v>
      </c>
      <c r="D5" s="7" cm="1">
        <f t="array" ref="D5">INDEX('Summarized Source Data'!$W$600:$W$743,MATCH(1,($A5=LoadFactorSeasons)*(D$1=LoadFactorHours),0),)</f>
        <v>7.5999095954472627E-5</v>
      </c>
      <c r="E5" s="7" cm="1">
        <f t="array" ref="E5">INDEX('Summarized Source Data'!$W$600:$W$743,MATCH(1,($A5=LoadFactorSeasons)*(E$1=LoadFactorHours),0),)</f>
        <v>7.6075476955431915E-5</v>
      </c>
      <c r="F5" s="7" cm="1">
        <f t="array" ref="F5">INDEX('Summarized Source Data'!$W$600:$W$743,MATCH(1,($A5=LoadFactorSeasons)*(F$1=LoadFactorHours),0),)</f>
        <v>7.6151857956391163E-5</v>
      </c>
      <c r="G5" s="7" cm="1">
        <f t="array" ref="G5">INDEX('Summarized Source Data'!$W$600:$W$743,MATCH(1,($A5=LoadFactorSeasons)*(G$1=LoadFactorHours),0),)</f>
        <v>7.6533762961187522E-5</v>
      </c>
      <c r="H5" s="7" cm="1">
        <f t="array" ref="H5">INDEX('Summarized Source Data'!$W$600:$W$743,MATCH(1,($A5=LoadFactorSeasons)*(H$1=LoadFactorHours),0),)</f>
        <v>7.6992048966943141E-5</v>
      </c>
      <c r="I5" s="7" cm="1">
        <f t="array" ref="I5">INDEX('Summarized Source Data'!$W$600:$W$743,MATCH(1,($A5=LoadFactorSeasons)*(I$1=LoadFactorHours),0),)</f>
        <v>7.7221191969820951E-5</v>
      </c>
      <c r="J5" s="7" cm="1">
        <f t="array" ref="J5">INDEX('Summarized Source Data'!$W$600:$W$743,MATCH(1,($A5=LoadFactorSeasons)*(J$1=LoadFactorHours),0),)</f>
        <v>7.7297572970780226E-5</v>
      </c>
      <c r="K5" s="7" cm="1">
        <f t="array" ref="K5">INDEX('Summarized Source Data'!$W$600:$W$743,MATCH(1,($A5=LoadFactorSeasons)*(K$1=LoadFactorHours),0),)</f>
        <v>7.7221191969820951E-5</v>
      </c>
      <c r="L5" s="7" cm="1">
        <f t="array" ref="L5">INDEX('Summarized Source Data'!$W$600:$W$743,MATCH(1,($A5=LoadFactorSeasons)*(L$1=LoadFactorHours),0),)</f>
        <v>7.6992048966943141E-5</v>
      </c>
      <c r="M5" s="7" cm="1">
        <f t="array" ref="M5">INDEX('Summarized Source Data'!$W$600:$W$743,MATCH(1,($A5=LoadFactorSeasons)*(M$1=LoadFactorHours),0),)</f>
        <v>7.6839286965024606E-5</v>
      </c>
      <c r="N5" s="7" cm="1">
        <f t="array" ref="N5">INDEX('Summarized Source Data'!$W$600:$W$743,MATCH(1,($A5=LoadFactorSeasons)*(N$1=LoadFactorHours),0),)</f>
        <v>7.6839286965024606E-5</v>
      </c>
      <c r="O5" s="7" cm="1">
        <f t="array" ref="O5">INDEX('Summarized Source Data'!$W$600:$W$743,MATCH(1,($A5=LoadFactorSeasons)*(O$1=LoadFactorHours),0),)</f>
        <v>7.6762905964065332E-5</v>
      </c>
      <c r="P5" s="7" cm="1">
        <f t="array" ref="P5">INDEX('Summarized Source Data'!$W$600:$W$743,MATCH(1,($A5=LoadFactorSeasons)*(P$1=LoadFactorHours),0),)</f>
        <v>7.6915667965983867E-5</v>
      </c>
      <c r="Q5" s="7" cm="1">
        <f t="array" ref="Q5">INDEX('Summarized Source Data'!$W$600:$W$743,MATCH(1,($A5=LoadFactorSeasons)*(Q$1=LoadFactorHours),0),)</f>
        <v>7.7297572970780226E-5</v>
      </c>
      <c r="R5" s="7" cm="1">
        <f t="array" ref="R5">INDEX('Summarized Source Data'!$W$600:$W$743,MATCH(1,($A5=LoadFactorSeasons)*(R$1=LoadFactorHours),0),)</f>
        <v>7.7679477975576558E-5</v>
      </c>
      <c r="S5" s="7" cm="1">
        <f t="array" ref="S5">INDEX('Summarized Source Data'!$W$600:$W$743,MATCH(1,($A5=LoadFactorSeasons)*(S$1=LoadFactorHours),0),)</f>
        <v>7.7908620978454394E-5</v>
      </c>
      <c r="T5" s="7" cm="1">
        <f t="array" ref="T5">INDEX('Summarized Source Data'!$W$600:$W$743,MATCH(1,($A5=LoadFactorSeasons)*(T$1=LoadFactorHours),0),)</f>
        <v>7.7603096974617297E-5</v>
      </c>
      <c r="U5" s="7" cm="1">
        <f t="array" ref="U5">INDEX('Summarized Source Data'!$W$600:$W$743,MATCH(1,($A5=LoadFactorSeasons)*(U$1=LoadFactorHours),0),)</f>
        <v>7.7450334972698761E-5</v>
      </c>
      <c r="V5" s="7" cm="1">
        <f t="array" ref="V5">INDEX('Summarized Source Data'!$W$600:$W$743,MATCH(1,($A5=LoadFactorSeasons)*(V$1=LoadFactorHours),0),)</f>
        <v>7.6992048966943141E-5</v>
      </c>
      <c r="W5" s="7" cm="1">
        <f t="array" ref="W5">INDEX('Summarized Source Data'!$W$600:$W$743,MATCH(1,($A5=LoadFactorSeasons)*(W$1=LoadFactorHours),0),)</f>
        <v>7.6686524963106071E-5</v>
      </c>
      <c r="X5" s="7" cm="1">
        <f t="array" ref="X5">INDEX('Summarized Source Data'!$W$600:$W$743,MATCH(1,($A5=LoadFactorSeasons)*(X$1=LoadFactorHours),0),)</f>
        <v>7.6304619958309725E-5</v>
      </c>
      <c r="Y5" s="7" cm="1">
        <f t="array" ref="Y5">INDEX('Summarized Source Data'!$W$600:$W$743,MATCH(1,($A5=LoadFactorSeasons)*(Y$1=LoadFactorHours),0),)</f>
        <v>7.6075476955431915E-5</v>
      </c>
    </row>
    <row r="6" spans="1:25" x14ac:dyDescent="0.3">
      <c r="A6" s="7" t="s">
        <v>172</v>
      </c>
      <c r="B6" s="7" cm="1">
        <f t="array" ref="B6">INDEX('Summarized Source Data'!$W$600:$W$743,MATCH(1,($A6=LoadFactorSeasons)*(B$1=LoadFactorHours),0),)</f>
        <v>1.3300713531717574E-4</v>
      </c>
      <c r="C6" s="7" cm="1">
        <f t="array" ref="C6">INDEX('Summarized Source Data'!$W$600:$W$743,MATCH(1,($A6=LoadFactorSeasons)*(C$1=LoadFactorHours),0),)</f>
        <v>1.3300713531717574E-4</v>
      </c>
      <c r="D6" s="7" cm="1">
        <f t="array" ref="D6">INDEX('Summarized Source Data'!$W$600:$W$743,MATCH(1,($A6=LoadFactorSeasons)*(D$1=LoadFactorHours),0),)</f>
        <v>1.3300713531717574E-4</v>
      </c>
      <c r="E6" s="7" cm="1">
        <f t="array" ref="E6">INDEX('Summarized Source Data'!$W$600:$W$743,MATCH(1,($A6=LoadFactorSeasons)*(E$1=LoadFactorHours),0),)</f>
        <v>1.3327156302158367E-4</v>
      </c>
      <c r="F6" s="7" cm="1">
        <f t="array" ref="F6">INDEX('Summarized Source Data'!$W$600:$W$743,MATCH(1,($A6=LoadFactorSeasons)*(F$1=LoadFactorHours),0),)</f>
        <v>1.3380041843039946E-4</v>
      </c>
      <c r="G6" s="7" cm="1">
        <f t="array" ref="G6">INDEX('Summarized Source Data'!$W$600:$W$743,MATCH(1,($A6=LoadFactorSeasons)*(G$1=LoadFactorHours),0),)</f>
        <v>1.3459370154362318E-4</v>
      </c>
      <c r="H6" s="7" cm="1">
        <f t="array" ref="H6">INDEX('Summarized Source Data'!$W$600:$W$743,MATCH(1,($A6=LoadFactorSeasons)*(H$1=LoadFactorHours),0),)</f>
        <v>1.3485812924803108E-4</v>
      </c>
      <c r="I6" s="7" cm="1">
        <f t="array" ref="I6">INDEX('Summarized Source Data'!$W$600:$W$743,MATCH(1,($A6=LoadFactorSeasons)*(I$1=LoadFactorHours),0),)</f>
        <v>1.3512255695243897E-4</v>
      </c>
      <c r="J6" s="7" cm="1">
        <f t="array" ref="J6">INDEX('Summarized Source Data'!$W$600:$W$743,MATCH(1,($A6=LoadFactorSeasons)*(J$1=LoadFactorHours),0),)</f>
        <v>1.3485812924803108E-4</v>
      </c>
      <c r="K6" s="7" cm="1">
        <f t="array" ref="K6">INDEX('Summarized Source Data'!$W$600:$W$743,MATCH(1,($A6=LoadFactorSeasons)*(K$1=LoadFactorHours),0),)</f>
        <v>1.3459370154362318E-4</v>
      </c>
      <c r="L6" s="7" cm="1">
        <f t="array" ref="L6">INDEX('Summarized Source Data'!$W$600:$W$743,MATCH(1,($A6=LoadFactorSeasons)*(L$1=LoadFactorHours),0),)</f>
        <v>1.3459370154362318E-4</v>
      </c>
      <c r="M6" s="7" cm="1">
        <f t="array" ref="M6">INDEX('Summarized Source Data'!$W$600:$W$743,MATCH(1,($A6=LoadFactorSeasons)*(M$1=LoadFactorHours),0),)</f>
        <v>1.3406484613480736E-4</v>
      </c>
      <c r="N6" s="7" cm="1">
        <f t="array" ref="N6">INDEX('Summarized Source Data'!$W$600:$W$743,MATCH(1,($A6=LoadFactorSeasons)*(N$1=LoadFactorHours),0),)</f>
        <v>1.3406484613480736E-4</v>
      </c>
      <c r="O6" s="7" cm="1">
        <f t="array" ref="O6">INDEX('Summarized Source Data'!$W$600:$W$743,MATCH(1,($A6=LoadFactorSeasons)*(O$1=LoadFactorHours),0),)</f>
        <v>1.3406484613480736E-4</v>
      </c>
      <c r="P6" s="7" cm="1">
        <f t="array" ref="P6">INDEX('Summarized Source Data'!$W$600:$W$743,MATCH(1,($A6=LoadFactorSeasons)*(P$1=LoadFactorHours),0),)</f>
        <v>1.3459370154362318E-4</v>
      </c>
      <c r="Q6" s="7" cm="1">
        <f t="array" ref="Q6">INDEX('Summarized Source Data'!$W$600:$W$743,MATCH(1,($A6=LoadFactorSeasons)*(Q$1=LoadFactorHours),0),)</f>
        <v>1.353869846568469E-4</v>
      </c>
      <c r="R6" s="7" cm="1">
        <f t="array" ref="R6">INDEX('Summarized Source Data'!$W$600:$W$743,MATCH(1,($A6=LoadFactorSeasons)*(R$1=LoadFactorHours),0),)</f>
        <v>1.3618026777007062E-4</v>
      </c>
      <c r="S6" s="7" cm="1">
        <f t="array" ref="S6">INDEX('Summarized Source Data'!$W$600:$W$743,MATCH(1,($A6=LoadFactorSeasons)*(S$1=LoadFactorHours),0),)</f>
        <v>1.3644469547447849E-4</v>
      </c>
      <c r="T6" s="7" cm="1">
        <f t="array" ref="T6">INDEX('Summarized Source Data'!$W$600:$W$743,MATCH(1,($A6=LoadFactorSeasons)*(T$1=LoadFactorHours),0),)</f>
        <v>1.3618026777007062E-4</v>
      </c>
      <c r="U6" s="7" cm="1">
        <f t="array" ref="U6">INDEX('Summarized Source Data'!$W$600:$W$743,MATCH(1,($A6=LoadFactorSeasons)*(U$1=LoadFactorHours),0),)</f>
        <v>1.3565141236125477E-4</v>
      </c>
      <c r="V6" s="7" cm="1">
        <f t="array" ref="V6">INDEX('Summarized Source Data'!$W$600:$W$743,MATCH(1,($A6=LoadFactorSeasons)*(V$1=LoadFactorHours),0),)</f>
        <v>1.353869846568469E-4</v>
      </c>
      <c r="W6" s="7" cm="1">
        <f t="array" ref="W6">INDEX('Summarized Source Data'!$W$600:$W$743,MATCH(1,($A6=LoadFactorSeasons)*(W$1=LoadFactorHours),0),)</f>
        <v>1.3459370154362318E-4</v>
      </c>
      <c r="X6" s="7" cm="1">
        <f t="array" ref="X6">INDEX('Summarized Source Data'!$W$600:$W$743,MATCH(1,($A6=LoadFactorSeasons)*(X$1=LoadFactorHours),0),)</f>
        <v>1.3380041843039946E-4</v>
      </c>
      <c r="Y6" s="7" cm="1">
        <f t="array" ref="Y6">INDEX('Summarized Source Data'!$W$600:$W$743,MATCH(1,($A6=LoadFactorSeasons)*(Y$1=LoadFactorHours),0),)</f>
        <v>1.3327156302158367E-4</v>
      </c>
    </row>
    <row r="7" spans="1:25" x14ac:dyDescent="0.3">
      <c r="A7" s="7" t="s">
        <v>171</v>
      </c>
      <c r="B7" s="7" cm="1">
        <f t="array" ref="B7">INDEX('Summarized Source Data'!$W$600:$W$743,MATCH(1,($A7=LoadFactorSeasons)*(B$1=LoadFactorHours),0),)</f>
        <v>1.8272541991707082E-4</v>
      </c>
      <c r="C7" s="7" cm="1">
        <f t="array" ref="C7">INDEX('Summarized Source Data'!$W$600:$W$743,MATCH(1,($A7=LoadFactorSeasons)*(C$1=LoadFactorHours),0),)</f>
        <v>1.8272541991707082E-4</v>
      </c>
      <c r="D7" s="7" cm="1">
        <f t="array" ref="D7">INDEX('Summarized Source Data'!$W$600:$W$743,MATCH(1,($A7=LoadFactorSeasons)*(D$1=LoadFactorHours),0),)</f>
        <v>1.8272541991707082E-4</v>
      </c>
      <c r="E7" s="7" cm="1">
        <f t="array" ref="E7">INDEX('Summarized Source Data'!$W$600:$W$743,MATCH(1,($A7=LoadFactorSeasons)*(E$1=LoadFactorHours),0),)</f>
        <v>1.8353633154392172E-4</v>
      </c>
      <c r="F7" s="7" cm="1">
        <f t="array" ref="F7">INDEX('Summarized Source Data'!$W$600:$W$743,MATCH(1,($A7=LoadFactorSeasons)*(F$1=LoadFactorHours),0),)</f>
        <v>1.8380663541953869E-4</v>
      </c>
      <c r="G7" s="7" cm="1">
        <f t="array" ref="G7">INDEX('Summarized Source Data'!$W$600:$W$743,MATCH(1,($A7=LoadFactorSeasons)*(G$1=LoadFactorHours),0),)</f>
        <v>1.8488785092200658E-4</v>
      </c>
      <c r="H7" s="7" cm="1">
        <f t="array" ref="H7">INDEX('Summarized Source Data'!$W$600:$W$743,MATCH(1,($A7=LoadFactorSeasons)*(H$1=LoadFactorHours),0),)</f>
        <v>1.8542845867324049E-4</v>
      </c>
      <c r="I7" s="7" cm="1">
        <f t="array" ref="I7">INDEX('Summarized Source Data'!$W$600:$W$743,MATCH(1,($A7=LoadFactorSeasons)*(I$1=LoadFactorHours),0),)</f>
        <v>1.8596906642447445E-4</v>
      </c>
      <c r="J7" s="7" cm="1">
        <f t="array" ref="J7">INDEX('Summarized Source Data'!$W$600:$W$743,MATCH(1,($A7=LoadFactorSeasons)*(J$1=LoadFactorHours),0),)</f>
        <v>1.8542845867324049E-4</v>
      </c>
      <c r="K7" s="7" cm="1">
        <f t="array" ref="K7">INDEX('Summarized Source Data'!$W$600:$W$743,MATCH(1,($A7=LoadFactorSeasons)*(K$1=LoadFactorHours),0),)</f>
        <v>1.8488785092200658E-4</v>
      </c>
      <c r="L7" s="7" cm="1">
        <f t="array" ref="L7">INDEX('Summarized Source Data'!$W$600:$W$743,MATCH(1,($A7=LoadFactorSeasons)*(L$1=LoadFactorHours),0),)</f>
        <v>1.8488785092200658E-4</v>
      </c>
      <c r="M7" s="7" cm="1">
        <f t="array" ref="M7">INDEX('Summarized Source Data'!$W$600:$W$743,MATCH(1,($A7=LoadFactorSeasons)*(M$1=LoadFactorHours),0),)</f>
        <v>1.8488785092200658E-4</v>
      </c>
      <c r="N7" s="7" cm="1">
        <f t="array" ref="N7">INDEX('Summarized Source Data'!$W$600:$W$743,MATCH(1,($A7=LoadFactorSeasons)*(N$1=LoadFactorHours),0),)</f>
        <v>1.8461754704638959E-4</v>
      </c>
      <c r="O7" s="7" cm="1">
        <f t="array" ref="O7">INDEX('Summarized Source Data'!$W$600:$W$743,MATCH(1,($A7=LoadFactorSeasons)*(O$1=LoadFactorHours),0),)</f>
        <v>1.8488785092200658E-4</v>
      </c>
      <c r="P7" s="7" cm="1">
        <f t="array" ref="P7">INDEX('Summarized Source Data'!$W$600:$W$743,MATCH(1,($A7=LoadFactorSeasons)*(P$1=LoadFactorHours),0),)</f>
        <v>1.8488785092200658E-4</v>
      </c>
      <c r="Q7" s="7" cm="1">
        <f t="array" ref="Q7">INDEX('Summarized Source Data'!$W$600:$W$743,MATCH(1,($A7=LoadFactorSeasons)*(Q$1=LoadFactorHours),0),)</f>
        <v>1.8596906642447445E-4</v>
      </c>
      <c r="R7" s="7" cm="1">
        <f t="array" ref="R7">INDEX('Summarized Source Data'!$W$600:$W$743,MATCH(1,($A7=LoadFactorSeasons)*(R$1=LoadFactorHours),0),)</f>
        <v>1.8705028192694229E-4</v>
      </c>
      <c r="S7" s="7" cm="1">
        <f t="array" ref="S7">INDEX('Summarized Source Data'!$W$600:$W$743,MATCH(1,($A7=LoadFactorSeasons)*(S$1=LoadFactorHours),0),)</f>
        <v>1.8759088967817625E-4</v>
      </c>
      <c r="T7" s="7" cm="1">
        <f t="array" ref="T7">INDEX('Summarized Source Data'!$W$600:$W$743,MATCH(1,($A7=LoadFactorSeasons)*(T$1=LoadFactorHours),0),)</f>
        <v>1.8705028192694229E-4</v>
      </c>
      <c r="U7" s="7" cm="1">
        <f t="array" ref="U7">INDEX('Summarized Source Data'!$W$600:$W$743,MATCH(1,($A7=LoadFactorSeasons)*(U$1=LoadFactorHours),0),)</f>
        <v>1.8650967417570838E-4</v>
      </c>
      <c r="V7" s="7" cm="1">
        <f t="array" ref="V7">INDEX('Summarized Source Data'!$W$600:$W$743,MATCH(1,($A7=LoadFactorSeasons)*(V$1=LoadFactorHours),0),)</f>
        <v>1.8596906642447445E-4</v>
      </c>
      <c r="W7" s="7" cm="1">
        <f t="array" ref="W7">INDEX('Summarized Source Data'!$W$600:$W$743,MATCH(1,($A7=LoadFactorSeasons)*(W$1=LoadFactorHours),0),)</f>
        <v>1.8488785092200658E-4</v>
      </c>
      <c r="X7" s="7" cm="1">
        <f t="array" ref="X7">INDEX('Summarized Source Data'!$W$600:$W$743,MATCH(1,($A7=LoadFactorSeasons)*(X$1=LoadFactorHours),0),)</f>
        <v>1.8380663541953869E-4</v>
      </c>
      <c r="Y7" s="7" cm="1">
        <f t="array" ref="Y7">INDEX('Summarized Source Data'!$W$600:$W$743,MATCH(1,($A7=LoadFactorSeasons)*(Y$1=LoadFactorHours),0),)</f>
        <v>1.8353633154392172E-4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 codeName="Sheet29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236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  <c r="W1" s="6" t="s">
        <v>161</v>
      </c>
      <c r="X1" s="6" t="s">
        <v>162</v>
      </c>
      <c r="Y1" s="6" t="s">
        <v>163</v>
      </c>
    </row>
    <row r="2" spans="1:25" x14ac:dyDescent="0.3">
      <c r="A2" s="7" t="s">
        <v>139</v>
      </c>
      <c r="B2" s="7" cm="1">
        <f t="array" ref="B2">INDEX('Summarized Source Data'!$X$600:$X$743,MATCH(1,($A2=LoadFactorSeasons)*(B$1=LoadFactorHours),0),)</f>
        <v>1.5299199359920427E-4</v>
      </c>
      <c r="C2" s="7" cm="1">
        <f t="array" ref="C2">INDEX('Summarized Source Data'!$X$600:$X$743,MATCH(1,($A2=LoadFactorSeasons)*(C$1=LoadFactorHours),0),)</f>
        <v>1.5283753424170886E-4</v>
      </c>
      <c r="D2" s="7" cm="1">
        <f t="array" ref="D2">INDEX('Summarized Source Data'!$X$600:$X$743,MATCH(1,($A2=LoadFactorSeasons)*(D$1=LoadFactorHours),0),)</f>
        <v>1.5283753424170886E-4</v>
      </c>
      <c r="E2" s="7" cm="1">
        <f t="array" ref="E2">INDEX('Summarized Source Data'!$X$600:$X$743,MATCH(1,($A2=LoadFactorSeasons)*(E$1=LoadFactorHours),0),)</f>
        <v>1.5306922327795196E-4</v>
      </c>
      <c r="F2" s="7" cm="1">
        <f t="array" ref="F2">INDEX('Summarized Source Data'!$X$600:$X$743,MATCH(1,($A2=LoadFactorSeasons)*(F$1=LoadFactorHours),0),)</f>
        <v>1.5330091231419507E-4</v>
      </c>
      <c r="G2" s="7" cm="1">
        <f t="array" ref="G2">INDEX('Summarized Source Data'!$X$600:$X$743,MATCH(1,($A2=LoadFactorSeasons)*(G$1=LoadFactorHours),0),)</f>
        <v>1.5407320910167213E-4</v>
      </c>
      <c r="H2" s="7" cm="1">
        <f t="array" ref="H2">INDEX('Summarized Source Data'!$X$600:$X$743,MATCH(1,($A2=LoadFactorSeasons)*(H$1=LoadFactorHours),0),)</f>
        <v>1.5484550588914917E-4</v>
      </c>
      <c r="I2" s="7" cm="1">
        <f t="array" ref="I2">INDEX('Summarized Source Data'!$X$600:$X$743,MATCH(1,($A2=LoadFactorSeasons)*(I$1=LoadFactorHours),0),)</f>
        <v>1.5554057299787852E-4</v>
      </c>
      <c r="J2" s="7" cm="1">
        <f t="array" ref="J2">INDEX('Summarized Source Data'!$X$600:$X$743,MATCH(1,($A2=LoadFactorSeasons)*(J$1=LoadFactorHours),0),)</f>
        <v>1.5554057299787852E-4</v>
      </c>
      <c r="K2" s="7" cm="1">
        <f t="array" ref="K2">INDEX('Summarized Source Data'!$X$600:$X$743,MATCH(1,($A2=LoadFactorSeasons)*(K$1=LoadFactorHours),0),)</f>
        <v>1.5523165428288769E-4</v>
      </c>
      <c r="L2" s="7" cm="1">
        <f t="array" ref="L2">INDEX('Summarized Source Data'!$X$600:$X$743,MATCH(1,($A2=LoadFactorSeasons)*(L$1=LoadFactorHours),0),)</f>
        <v>1.5507719492539228E-4</v>
      </c>
      <c r="M2" s="7" cm="1">
        <f t="array" ref="M2">INDEX('Summarized Source Data'!$X$600:$X$743,MATCH(1,($A2=LoadFactorSeasons)*(M$1=LoadFactorHours),0),)</f>
        <v>1.5476827621040148E-4</v>
      </c>
      <c r="N2" s="7" cm="1">
        <f t="array" ref="N2">INDEX('Summarized Source Data'!$X$600:$X$743,MATCH(1,($A2=LoadFactorSeasons)*(N$1=LoadFactorHours),0),)</f>
        <v>1.5461381685290607E-4</v>
      </c>
      <c r="O2" s="7" cm="1">
        <f t="array" ref="O2">INDEX('Summarized Source Data'!$X$600:$X$743,MATCH(1,($A2=LoadFactorSeasons)*(O$1=LoadFactorHours),0),)</f>
        <v>1.5469104653165379E-4</v>
      </c>
      <c r="P2" s="7" cm="1">
        <f t="array" ref="P2">INDEX('Summarized Source Data'!$X$600:$X$743,MATCH(1,($A2=LoadFactorSeasons)*(P$1=LoadFactorHours),0),)</f>
        <v>1.5476827621040148E-4</v>
      </c>
      <c r="Q2" s="7" cm="1">
        <f t="array" ref="Q2">INDEX('Summarized Source Data'!$X$600:$X$743,MATCH(1,($A2=LoadFactorSeasons)*(Q$1=LoadFactorHours),0),)</f>
        <v>1.5554057299787852E-4</v>
      </c>
      <c r="R2" s="7" cm="1">
        <f t="array" ref="R2">INDEX('Summarized Source Data'!$X$600:$X$743,MATCH(1,($A2=LoadFactorSeasons)*(R$1=LoadFactorHours),0),)</f>
        <v>1.5639009946410331E-4</v>
      </c>
      <c r="S2" s="7" cm="1">
        <f t="array" ref="S2">INDEX('Summarized Source Data'!$X$600:$X$743,MATCH(1,($A2=LoadFactorSeasons)*(S$1=LoadFactorHours),0),)</f>
        <v>1.5662178850034639E-4</v>
      </c>
      <c r="T2" s="7" cm="1">
        <f t="array" ref="T2">INDEX('Summarized Source Data'!$X$600:$X$743,MATCH(1,($A2=LoadFactorSeasons)*(T$1=LoadFactorHours),0),)</f>
        <v>1.5623564010660787E-4</v>
      </c>
      <c r="U2" s="7" cm="1">
        <f t="array" ref="U2">INDEX('Summarized Source Data'!$X$600:$X$743,MATCH(1,($A2=LoadFactorSeasons)*(U$1=LoadFactorHours),0),)</f>
        <v>1.5569503235537393E-4</v>
      </c>
      <c r="V2" s="7" cm="1">
        <f t="array" ref="V2">INDEX('Summarized Source Data'!$X$600:$X$743,MATCH(1,($A2=LoadFactorSeasons)*(V$1=LoadFactorHours),0),)</f>
        <v>1.5515442460414003E-4</v>
      </c>
      <c r="W2" s="7" cm="1">
        <f t="array" ref="W2">INDEX('Summarized Source Data'!$X$600:$X$743,MATCH(1,($A2=LoadFactorSeasons)*(W$1=LoadFactorHours),0),)</f>
        <v>1.5438212781666293E-4</v>
      </c>
      <c r="X2" s="7" cm="1">
        <f t="array" ref="X2">INDEX('Summarized Source Data'!$X$600:$X$743,MATCH(1,($A2=LoadFactorSeasons)*(X$1=LoadFactorHours),0),)</f>
        <v>1.5360983102918589E-4</v>
      </c>
      <c r="Y2" s="7" cm="1">
        <f t="array" ref="Y2">INDEX('Summarized Source Data'!$X$600:$X$743,MATCH(1,($A2=LoadFactorSeasons)*(Y$1=LoadFactorHours),0),)</f>
        <v>1.5322368263544738E-4</v>
      </c>
    </row>
    <row r="3" spans="1:25" x14ac:dyDescent="0.3">
      <c r="A3" s="7" t="s">
        <v>164</v>
      </c>
      <c r="B3" s="7" cm="1">
        <f t="array" ref="B3">INDEX('Summarized Source Data'!$X$600:$X$743,MATCH(1,($A3=LoadFactorSeasons)*(B$1=LoadFactorHours),0),)</f>
        <v>1.1204179589626333E-4</v>
      </c>
      <c r="C3" s="7" cm="1">
        <f t="array" ref="C3">INDEX('Summarized Source Data'!$X$600:$X$743,MATCH(1,($A3=LoadFactorSeasons)*(C$1=LoadFactorHours),0),)</f>
        <v>1.1189069435088739E-4</v>
      </c>
      <c r="D3" s="7" cm="1">
        <f t="array" ref="D3">INDEX('Summarized Source Data'!$X$600:$X$743,MATCH(1,($A3=LoadFactorSeasons)*(D$1=LoadFactorHours),0),)</f>
        <v>1.1189069435088739E-4</v>
      </c>
      <c r="E3" s="7" cm="1">
        <f t="array" ref="E3">INDEX('Summarized Source Data'!$X$600:$X$743,MATCH(1,($A3=LoadFactorSeasons)*(E$1=LoadFactorHours),0),)</f>
        <v>1.1196624512357539E-4</v>
      </c>
      <c r="F3" s="7" cm="1">
        <f t="array" ref="F3">INDEX('Summarized Source Data'!$X$600:$X$743,MATCH(1,($A3=LoadFactorSeasons)*(F$1=LoadFactorHours),0),)</f>
        <v>1.1226844821432727E-4</v>
      </c>
      <c r="G3" s="7" cm="1">
        <f t="array" ref="G3">INDEX('Summarized Source Data'!$X$600:$X$743,MATCH(1,($A3=LoadFactorSeasons)*(G$1=LoadFactorHours),0),)</f>
        <v>1.1279730362314308E-4</v>
      </c>
      <c r="H3" s="7" cm="1">
        <f t="array" ref="H3">INDEX('Summarized Source Data'!$X$600:$X$743,MATCH(1,($A3=LoadFactorSeasons)*(H$1=LoadFactorHours),0),)</f>
        <v>1.132506082592709E-4</v>
      </c>
      <c r="I3" s="7" cm="1">
        <f t="array" ref="I3">INDEX('Summarized Source Data'!$X$600:$X$743,MATCH(1,($A3=LoadFactorSeasons)*(I$1=LoadFactorHours),0),)</f>
        <v>1.1377946366808671E-4</v>
      </c>
      <c r="J3" s="7" cm="1">
        <f t="array" ref="J3">INDEX('Summarized Source Data'!$X$600:$X$743,MATCH(1,($A3=LoadFactorSeasons)*(J$1=LoadFactorHours),0),)</f>
        <v>1.1385501444077468E-4</v>
      </c>
      <c r="K3" s="7" cm="1">
        <f t="array" ref="K3">INDEX('Summarized Source Data'!$X$600:$X$743,MATCH(1,($A3=LoadFactorSeasons)*(K$1=LoadFactorHours),0),)</f>
        <v>1.1362836212271077E-4</v>
      </c>
      <c r="L3" s="7" cm="1">
        <f t="array" ref="L3">INDEX('Summarized Source Data'!$X$600:$X$743,MATCH(1,($A3=LoadFactorSeasons)*(L$1=LoadFactorHours),0),)</f>
        <v>1.1347726057733483E-4</v>
      </c>
      <c r="M3" s="7" cm="1">
        <f t="array" ref="M3">INDEX('Summarized Source Data'!$X$600:$X$743,MATCH(1,($A3=LoadFactorSeasons)*(M$1=LoadFactorHours),0),)</f>
        <v>1.1332615903195887E-4</v>
      </c>
      <c r="N3" s="7" cm="1">
        <f t="array" ref="N3">INDEX('Summarized Source Data'!$X$600:$X$743,MATCH(1,($A3=LoadFactorSeasons)*(N$1=LoadFactorHours),0),)</f>
        <v>1.1302395594120699E-4</v>
      </c>
      <c r="O3" s="7" cm="1">
        <f t="array" ref="O3">INDEX('Summarized Source Data'!$X$600:$X$743,MATCH(1,($A3=LoadFactorSeasons)*(O$1=LoadFactorHours),0),)</f>
        <v>1.1309950671389496E-4</v>
      </c>
      <c r="P3" s="7" cm="1">
        <f t="array" ref="P3">INDEX('Summarized Source Data'!$X$600:$X$743,MATCH(1,($A3=LoadFactorSeasons)*(P$1=LoadFactorHours),0),)</f>
        <v>1.132506082592709E-4</v>
      </c>
      <c r="Q3" s="7" cm="1">
        <f t="array" ref="Q3">INDEX('Summarized Source Data'!$X$600:$X$743,MATCH(1,($A3=LoadFactorSeasons)*(Q$1=LoadFactorHours),0),)</f>
        <v>1.1385501444077469E-4</v>
      </c>
      <c r="R3" s="7" cm="1">
        <f t="array" ref="R3">INDEX('Summarized Source Data'!$X$600:$X$743,MATCH(1,($A3=LoadFactorSeasons)*(R$1=LoadFactorHours),0),)</f>
        <v>1.1453497139496643E-4</v>
      </c>
      <c r="S3" s="7" cm="1">
        <f t="array" ref="S3">INDEX('Summarized Source Data'!$X$600:$X$743,MATCH(1,($A3=LoadFactorSeasons)*(S$1=LoadFactorHours),0),)</f>
        <v>1.146105221676544E-4</v>
      </c>
      <c r="T3" s="7" cm="1">
        <f t="array" ref="T3">INDEX('Summarized Source Data'!$X$600:$X$743,MATCH(1,($A3=LoadFactorSeasons)*(T$1=LoadFactorHours),0),)</f>
        <v>1.1430831907690252E-4</v>
      </c>
      <c r="U3" s="7" cm="1">
        <f t="array" ref="U3">INDEX('Summarized Source Data'!$X$600:$X$743,MATCH(1,($A3=LoadFactorSeasons)*(U$1=LoadFactorHours),0),)</f>
        <v>1.1393056521346265E-4</v>
      </c>
      <c r="V3" s="7" cm="1">
        <f t="array" ref="V3">INDEX('Summarized Source Data'!$X$600:$X$743,MATCH(1,($A3=LoadFactorSeasons)*(V$1=LoadFactorHours),0),)</f>
        <v>1.1362836212271077E-4</v>
      </c>
      <c r="W3" s="7" cm="1">
        <f t="array" ref="W3">INDEX('Summarized Source Data'!$X$600:$X$743,MATCH(1,($A3=LoadFactorSeasons)*(W$1=LoadFactorHours),0),)</f>
        <v>1.13023955941207E-4</v>
      </c>
      <c r="X3" s="7" cm="1">
        <f t="array" ref="X3">INDEX('Summarized Source Data'!$X$600:$X$743,MATCH(1,($A3=LoadFactorSeasons)*(X$1=LoadFactorHours),0),)</f>
        <v>1.1249510053239118E-4</v>
      </c>
      <c r="Y3" s="7" cm="1">
        <f t="array" ref="Y3">INDEX('Summarized Source Data'!$X$600:$X$743,MATCH(1,($A3=LoadFactorSeasons)*(Y$1=LoadFactorHours),0),)</f>
        <v>1.1219289744163927E-4</v>
      </c>
    </row>
    <row r="4" spans="1:25" x14ac:dyDescent="0.3">
      <c r="A4" s="7" t="s">
        <v>165</v>
      </c>
      <c r="B4" s="7" cm="1">
        <f t="array" ref="B4">INDEX('Summarized Source Data'!$X$600:$X$743,MATCH(1,($A4=LoadFactorSeasons)*(B$1=LoadFactorHours),0),)</f>
        <v>1.1128628816938361E-4</v>
      </c>
      <c r="C4" s="7" cm="1">
        <f t="array" ref="C4">INDEX('Summarized Source Data'!$X$600:$X$743,MATCH(1,($A4=LoadFactorSeasons)*(C$1=LoadFactorHours),0),)</f>
        <v>1.1121073739669563E-4</v>
      </c>
      <c r="D4" s="7" cm="1">
        <f t="array" ref="D4">INDEX('Summarized Source Data'!$X$600:$X$743,MATCH(1,($A4=LoadFactorSeasons)*(D$1=LoadFactorHours),0),)</f>
        <v>1.1121073739669563E-4</v>
      </c>
      <c r="E4" s="7" cm="1">
        <f t="array" ref="E4">INDEX('Summarized Source Data'!$X$600:$X$743,MATCH(1,($A4=LoadFactorSeasons)*(E$1=LoadFactorHours),0),)</f>
        <v>1.112862881693836E-4</v>
      </c>
      <c r="F4" s="7" cm="1">
        <f t="array" ref="F4">INDEX('Summarized Source Data'!$X$600:$X$743,MATCH(1,($A4=LoadFactorSeasons)*(F$1=LoadFactorHours),0),)</f>
        <v>1.1151294048744752E-4</v>
      </c>
      <c r="G4" s="7" cm="1">
        <f t="array" ref="G4">INDEX('Summarized Source Data'!$X$600:$X$743,MATCH(1,($A4=LoadFactorSeasons)*(G$1=LoadFactorHours),0),)</f>
        <v>1.1204179589626336E-4</v>
      </c>
      <c r="H4" s="7" cm="1">
        <f t="array" ref="H4">INDEX('Summarized Source Data'!$X$600:$X$743,MATCH(1,($A4=LoadFactorSeasons)*(H$1=LoadFactorHours),0),)</f>
        <v>1.1257065130507915E-4</v>
      </c>
      <c r="I4" s="7" cm="1">
        <f t="array" ref="I4">INDEX('Summarized Source Data'!$X$600:$X$743,MATCH(1,($A4=LoadFactorSeasons)*(I$1=LoadFactorHours),0),)</f>
        <v>1.1309950671389496E-4</v>
      </c>
      <c r="J4" s="7" cm="1">
        <f t="array" ref="J4">INDEX('Summarized Source Data'!$X$600:$X$743,MATCH(1,($A4=LoadFactorSeasons)*(J$1=LoadFactorHours),0),)</f>
        <v>1.1317505748658293E-4</v>
      </c>
      <c r="K4" s="7" cm="1">
        <f t="array" ref="K4">INDEX('Summarized Source Data'!$X$600:$X$743,MATCH(1,($A4=LoadFactorSeasons)*(K$1=LoadFactorHours),0),)</f>
        <v>1.1294840516851902E-4</v>
      </c>
      <c r="L4" s="7" cm="1">
        <f t="array" ref="L4">INDEX('Summarized Source Data'!$X$600:$X$743,MATCH(1,($A4=LoadFactorSeasons)*(L$1=LoadFactorHours),0),)</f>
        <v>1.1287285439583105E-4</v>
      </c>
      <c r="M4" s="7" cm="1">
        <f t="array" ref="M4">INDEX('Summarized Source Data'!$X$600:$X$743,MATCH(1,($A4=LoadFactorSeasons)*(M$1=LoadFactorHours),0),)</f>
        <v>1.1257065130507915E-4</v>
      </c>
      <c r="N4" s="7" cm="1">
        <f t="array" ref="N4">INDEX('Summarized Source Data'!$X$600:$X$743,MATCH(1,($A4=LoadFactorSeasons)*(N$1=LoadFactorHours),0),)</f>
        <v>1.1234399898701521E-4</v>
      </c>
      <c r="O4" s="7" cm="1">
        <f t="array" ref="O4">INDEX('Summarized Source Data'!$X$600:$X$743,MATCH(1,($A4=LoadFactorSeasons)*(O$1=LoadFactorHours),0),)</f>
        <v>1.1234399898701521E-4</v>
      </c>
      <c r="P4" s="7" cm="1">
        <f t="array" ref="P4">INDEX('Summarized Source Data'!$X$600:$X$743,MATCH(1,($A4=LoadFactorSeasons)*(P$1=LoadFactorHours),0),)</f>
        <v>1.1257065130507915E-4</v>
      </c>
      <c r="Q4" s="7" cm="1">
        <f t="array" ref="Q4">INDEX('Summarized Source Data'!$X$600:$X$743,MATCH(1,($A4=LoadFactorSeasons)*(Q$1=LoadFactorHours),0),)</f>
        <v>1.1317505748658294E-4</v>
      </c>
      <c r="R4" s="7" cm="1">
        <f t="array" ref="R4">INDEX('Summarized Source Data'!$X$600:$X$743,MATCH(1,($A4=LoadFactorSeasons)*(R$1=LoadFactorHours),0),)</f>
        <v>1.1385501444077469E-4</v>
      </c>
      <c r="S4" s="7" cm="1">
        <f t="array" ref="S4">INDEX('Summarized Source Data'!$X$600:$X$743,MATCH(1,($A4=LoadFactorSeasons)*(S$1=LoadFactorHours),0),)</f>
        <v>1.1393056521346265E-4</v>
      </c>
      <c r="T4" s="7" cm="1">
        <f t="array" ref="T4">INDEX('Summarized Source Data'!$X$600:$X$743,MATCH(1,($A4=LoadFactorSeasons)*(T$1=LoadFactorHours),0),)</f>
        <v>1.1362836212271077E-4</v>
      </c>
      <c r="U4" s="7" cm="1">
        <f t="array" ref="U4">INDEX('Summarized Source Data'!$X$600:$X$743,MATCH(1,($A4=LoadFactorSeasons)*(U$1=LoadFactorHours),0),)</f>
        <v>1.132506082592709E-4</v>
      </c>
      <c r="V4" s="7" cm="1">
        <f t="array" ref="V4">INDEX('Summarized Source Data'!$X$600:$X$743,MATCH(1,($A4=LoadFactorSeasons)*(V$1=LoadFactorHours),0),)</f>
        <v>1.1294840516851902E-4</v>
      </c>
      <c r="W4" s="7" cm="1">
        <f t="array" ref="W4">INDEX('Summarized Source Data'!$X$600:$X$743,MATCH(1,($A4=LoadFactorSeasons)*(W$1=LoadFactorHours),0),)</f>
        <v>1.1234399898701524E-4</v>
      </c>
      <c r="X4" s="7" cm="1">
        <f t="array" ref="X4">INDEX('Summarized Source Data'!$X$600:$X$743,MATCH(1,($A4=LoadFactorSeasons)*(X$1=LoadFactorHours),0),)</f>
        <v>1.1173959280551145E-4</v>
      </c>
      <c r="Y4" s="7" cm="1">
        <f t="array" ref="Y4">INDEX('Summarized Source Data'!$X$600:$X$743,MATCH(1,($A4=LoadFactorSeasons)*(Y$1=LoadFactorHours),0),)</f>
        <v>1.1136183894207158E-4</v>
      </c>
    </row>
    <row r="5" spans="1:25" x14ac:dyDescent="0.3">
      <c r="A5" s="7" t="s">
        <v>166</v>
      </c>
      <c r="B5" s="7" cm="1">
        <f t="array" ref="B5">INDEX('Summarized Source Data'!$X$600:$X$743,MATCH(1,($A5=LoadFactorSeasons)*(B$1=LoadFactorHours),0),)</f>
        <v>7.5999095954472627E-5</v>
      </c>
      <c r="C5" s="7" cm="1">
        <f t="array" ref="C5">INDEX('Summarized Source Data'!$X$600:$X$743,MATCH(1,($A5=LoadFactorSeasons)*(C$1=LoadFactorHours),0),)</f>
        <v>7.5999095954472627E-5</v>
      </c>
      <c r="D5" s="7" cm="1">
        <f t="array" ref="D5">INDEX('Summarized Source Data'!$X$600:$X$743,MATCH(1,($A5=LoadFactorSeasons)*(D$1=LoadFactorHours),0),)</f>
        <v>7.5999095954472627E-5</v>
      </c>
      <c r="E5" s="7" cm="1">
        <f t="array" ref="E5">INDEX('Summarized Source Data'!$X$600:$X$743,MATCH(1,($A5=LoadFactorSeasons)*(E$1=LoadFactorHours),0),)</f>
        <v>7.6075476955431915E-5</v>
      </c>
      <c r="F5" s="7" cm="1">
        <f t="array" ref="F5">INDEX('Summarized Source Data'!$X$600:$X$743,MATCH(1,($A5=LoadFactorSeasons)*(F$1=LoadFactorHours),0),)</f>
        <v>7.6151857956391163E-5</v>
      </c>
      <c r="G5" s="7" cm="1">
        <f t="array" ref="G5">INDEX('Summarized Source Data'!$X$600:$X$743,MATCH(1,($A5=LoadFactorSeasons)*(G$1=LoadFactorHours),0),)</f>
        <v>7.6533762961187522E-5</v>
      </c>
      <c r="H5" s="7" cm="1">
        <f t="array" ref="H5">INDEX('Summarized Source Data'!$X$600:$X$743,MATCH(1,($A5=LoadFactorSeasons)*(H$1=LoadFactorHours),0),)</f>
        <v>7.6992048966943141E-5</v>
      </c>
      <c r="I5" s="7" cm="1">
        <f t="array" ref="I5">INDEX('Summarized Source Data'!$X$600:$X$743,MATCH(1,($A5=LoadFactorSeasons)*(I$1=LoadFactorHours),0),)</f>
        <v>7.7221191969820951E-5</v>
      </c>
      <c r="J5" s="7" cm="1">
        <f t="array" ref="J5">INDEX('Summarized Source Data'!$X$600:$X$743,MATCH(1,($A5=LoadFactorSeasons)*(J$1=LoadFactorHours),0),)</f>
        <v>7.7297572970780226E-5</v>
      </c>
      <c r="K5" s="7" cm="1">
        <f t="array" ref="K5">INDEX('Summarized Source Data'!$X$600:$X$743,MATCH(1,($A5=LoadFactorSeasons)*(K$1=LoadFactorHours),0),)</f>
        <v>7.7221191969820951E-5</v>
      </c>
      <c r="L5" s="7" cm="1">
        <f t="array" ref="L5">INDEX('Summarized Source Data'!$X$600:$X$743,MATCH(1,($A5=LoadFactorSeasons)*(L$1=LoadFactorHours),0),)</f>
        <v>7.6992048966943141E-5</v>
      </c>
      <c r="M5" s="7" cm="1">
        <f t="array" ref="M5">INDEX('Summarized Source Data'!$X$600:$X$743,MATCH(1,($A5=LoadFactorSeasons)*(M$1=LoadFactorHours),0),)</f>
        <v>7.6839286965024606E-5</v>
      </c>
      <c r="N5" s="7" cm="1">
        <f t="array" ref="N5">INDEX('Summarized Source Data'!$X$600:$X$743,MATCH(1,($A5=LoadFactorSeasons)*(N$1=LoadFactorHours),0),)</f>
        <v>7.6839286965024606E-5</v>
      </c>
      <c r="O5" s="7" cm="1">
        <f t="array" ref="O5">INDEX('Summarized Source Data'!$X$600:$X$743,MATCH(1,($A5=LoadFactorSeasons)*(O$1=LoadFactorHours),0),)</f>
        <v>7.6762905964065332E-5</v>
      </c>
      <c r="P5" s="7" cm="1">
        <f t="array" ref="P5">INDEX('Summarized Source Data'!$X$600:$X$743,MATCH(1,($A5=LoadFactorSeasons)*(P$1=LoadFactorHours),0),)</f>
        <v>7.6915667965983867E-5</v>
      </c>
      <c r="Q5" s="7" cm="1">
        <f t="array" ref="Q5">INDEX('Summarized Source Data'!$X$600:$X$743,MATCH(1,($A5=LoadFactorSeasons)*(Q$1=LoadFactorHours),0),)</f>
        <v>7.7297572970780226E-5</v>
      </c>
      <c r="R5" s="7" cm="1">
        <f t="array" ref="R5">INDEX('Summarized Source Data'!$X$600:$X$743,MATCH(1,($A5=LoadFactorSeasons)*(R$1=LoadFactorHours),0),)</f>
        <v>7.7679477975576558E-5</v>
      </c>
      <c r="S5" s="7" cm="1">
        <f t="array" ref="S5">INDEX('Summarized Source Data'!$X$600:$X$743,MATCH(1,($A5=LoadFactorSeasons)*(S$1=LoadFactorHours),0),)</f>
        <v>7.7908620978454394E-5</v>
      </c>
      <c r="T5" s="7" cm="1">
        <f t="array" ref="T5">INDEX('Summarized Source Data'!$X$600:$X$743,MATCH(1,($A5=LoadFactorSeasons)*(T$1=LoadFactorHours),0),)</f>
        <v>7.7603096974617297E-5</v>
      </c>
      <c r="U5" s="7" cm="1">
        <f t="array" ref="U5">INDEX('Summarized Source Data'!$X$600:$X$743,MATCH(1,($A5=LoadFactorSeasons)*(U$1=LoadFactorHours),0),)</f>
        <v>7.7450334972698761E-5</v>
      </c>
      <c r="V5" s="7" cm="1">
        <f t="array" ref="V5">INDEX('Summarized Source Data'!$X$600:$X$743,MATCH(1,($A5=LoadFactorSeasons)*(V$1=LoadFactorHours),0),)</f>
        <v>7.6992048966943141E-5</v>
      </c>
      <c r="W5" s="7" cm="1">
        <f t="array" ref="W5">INDEX('Summarized Source Data'!$X$600:$X$743,MATCH(1,($A5=LoadFactorSeasons)*(W$1=LoadFactorHours),0),)</f>
        <v>7.6686524963106071E-5</v>
      </c>
      <c r="X5" s="7" cm="1">
        <f t="array" ref="X5">INDEX('Summarized Source Data'!$X$600:$X$743,MATCH(1,($A5=LoadFactorSeasons)*(X$1=LoadFactorHours),0),)</f>
        <v>7.6304619958309725E-5</v>
      </c>
      <c r="Y5" s="7" cm="1">
        <f t="array" ref="Y5">INDEX('Summarized Source Data'!$X$600:$X$743,MATCH(1,($A5=LoadFactorSeasons)*(Y$1=LoadFactorHours),0),)</f>
        <v>7.6075476955431915E-5</v>
      </c>
    </row>
    <row r="6" spans="1:25" x14ac:dyDescent="0.3">
      <c r="A6" s="7" t="s">
        <v>172</v>
      </c>
      <c r="B6" s="7" cm="1">
        <f t="array" ref="B6">INDEX('Summarized Source Data'!$X$600:$X$743,MATCH(1,($A6=LoadFactorSeasons)*(B$1=LoadFactorHours),0),)</f>
        <v>1.3300713531717574E-4</v>
      </c>
      <c r="C6" s="7" cm="1">
        <f t="array" ref="C6">INDEX('Summarized Source Data'!$X$600:$X$743,MATCH(1,($A6=LoadFactorSeasons)*(C$1=LoadFactorHours),0),)</f>
        <v>1.3300713531717574E-4</v>
      </c>
      <c r="D6" s="7" cm="1">
        <f t="array" ref="D6">INDEX('Summarized Source Data'!$X$600:$X$743,MATCH(1,($A6=LoadFactorSeasons)*(D$1=LoadFactorHours),0),)</f>
        <v>1.3300713531717574E-4</v>
      </c>
      <c r="E6" s="7" cm="1">
        <f t="array" ref="E6">INDEX('Summarized Source Data'!$X$600:$X$743,MATCH(1,($A6=LoadFactorSeasons)*(E$1=LoadFactorHours),0),)</f>
        <v>1.3327156302158367E-4</v>
      </c>
      <c r="F6" s="7" cm="1">
        <f t="array" ref="F6">INDEX('Summarized Source Data'!$X$600:$X$743,MATCH(1,($A6=LoadFactorSeasons)*(F$1=LoadFactorHours),0),)</f>
        <v>1.3380041843039946E-4</v>
      </c>
      <c r="G6" s="7" cm="1">
        <f t="array" ref="G6">INDEX('Summarized Source Data'!$X$600:$X$743,MATCH(1,($A6=LoadFactorSeasons)*(G$1=LoadFactorHours),0),)</f>
        <v>1.3459370154362318E-4</v>
      </c>
      <c r="H6" s="7" cm="1">
        <f t="array" ref="H6">INDEX('Summarized Source Data'!$X$600:$X$743,MATCH(1,($A6=LoadFactorSeasons)*(H$1=LoadFactorHours),0),)</f>
        <v>1.3485812924803108E-4</v>
      </c>
      <c r="I6" s="7" cm="1">
        <f t="array" ref="I6">INDEX('Summarized Source Data'!$X$600:$X$743,MATCH(1,($A6=LoadFactorSeasons)*(I$1=LoadFactorHours),0),)</f>
        <v>1.3512255695243897E-4</v>
      </c>
      <c r="J6" s="7" cm="1">
        <f t="array" ref="J6">INDEX('Summarized Source Data'!$X$600:$X$743,MATCH(1,($A6=LoadFactorSeasons)*(J$1=LoadFactorHours),0),)</f>
        <v>1.3485812924803108E-4</v>
      </c>
      <c r="K6" s="7" cm="1">
        <f t="array" ref="K6">INDEX('Summarized Source Data'!$X$600:$X$743,MATCH(1,($A6=LoadFactorSeasons)*(K$1=LoadFactorHours),0),)</f>
        <v>1.3459370154362318E-4</v>
      </c>
      <c r="L6" s="7" cm="1">
        <f t="array" ref="L6">INDEX('Summarized Source Data'!$X$600:$X$743,MATCH(1,($A6=LoadFactorSeasons)*(L$1=LoadFactorHours),0),)</f>
        <v>1.3459370154362318E-4</v>
      </c>
      <c r="M6" s="7" cm="1">
        <f t="array" ref="M6">INDEX('Summarized Source Data'!$X$600:$X$743,MATCH(1,($A6=LoadFactorSeasons)*(M$1=LoadFactorHours),0),)</f>
        <v>1.3406484613480736E-4</v>
      </c>
      <c r="N6" s="7" cm="1">
        <f t="array" ref="N6">INDEX('Summarized Source Data'!$X$600:$X$743,MATCH(1,($A6=LoadFactorSeasons)*(N$1=LoadFactorHours),0),)</f>
        <v>1.3406484613480736E-4</v>
      </c>
      <c r="O6" s="7" cm="1">
        <f t="array" ref="O6">INDEX('Summarized Source Data'!$X$600:$X$743,MATCH(1,($A6=LoadFactorSeasons)*(O$1=LoadFactorHours),0),)</f>
        <v>1.3406484613480736E-4</v>
      </c>
      <c r="P6" s="7" cm="1">
        <f t="array" ref="P6">INDEX('Summarized Source Data'!$X$600:$X$743,MATCH(1,($A6=LoadFactorSeasons)*(P$1=LoadFactorHours),0),)</f>
        <v>1.3459370154362318E-4</v>
      </c>
      <c r="Q6" s="7" cm="1">
        <f t="array" ref="Q6">INDEX('Summarized Source Data'!$X$600:$X$743,MATCH(1,($A6=LoadFactorSeasons)*(Q$1=LoadFactorHours),0),)</f>
        <v>1.353869846568469E-4</v>
      </c>
      <c r="R6" s="7" cm="1">
        <f t="array" ref="R6">INDEX('Summarized Source Data'!$X$600:$X$743,MATCH(1,($A6=LoadFactorSeasons)*(R$1=LoadFactorHours),0),)</f>
        <v>1.3618026777007062E-4</v>
      </c>
      <c r="S6" s="7" cm="1">
        <f t="array" ref="S6">INDEX('Summarized Source Data'!$X$600:$X$743,MATCH(1,($A6=LoadFactorSeasons)*(S$1=LoadFactorHours),0),)</f>
        <v>1.3644469547447849E-4</v>
      </c>
      <c r="T6" s="7" cm="1">
        <f t="array" ref="T6">INDEX('Summarized Source Data'!$X$600:$X$743,MATCH(1,($A6=LoadFactorSeasons)*(T$1=LoadFactorHours),0),)</f>
        <v>1.3618026777007062E-4</v>
      </c>
      <c r="U6" s="7" cm="1">
        <f t="array" ref="U6">INDEX('Summarized Source Data'!$X$600:$X$743,MATCH(1,($A6=LoadFactorSeasons)*(U$1=LoadFactorHours),0),)</f>
        <v>1.3565141236125477E-4</v>
      </c>
      <c r="V6" s="7" cm="1">
        <f t="array" ref="V6">INDEX('Summarized Source Data'!$X$600:$X$743,MATCH(1,($A6=LoadFactorSeasons)*(V$1=LoadFactorHours),0),)</f>
        <v>1.353869846568469E-4</v>
      </c>
      <c r="W6" s="7" cm="1">
        <f t="array" ref="W6">INDEX('Summarized Source Data'!$X$600:$X$743,MATCH(1,($A6=LoadFactorSeasons)*(W$1=LoadFactorHours),0),)</f>
        <v>1.3459370154362318E-4</v>
      </c>
      <c r="X6" s="7" cm="1">
        <f t="array" ref="X6">INDEX('Summarized Source Data'!$X$600:$X$743,MATCH(1,($A6=LoadFactorSeasons)*(X$1=LoadFactorHours),0),)</f>
        <v>1.3380041843039946E-4</v>
      </c>
      <c r="Y6" s="7" cm="1">
        <f t="array" ref="Y6">INDEX('Summarized Source Data'!$X$600:$X$743,MATCH(1,($A6=LoadFactorSeasons)*(Y$1=LoadFactorHours),0),)</f>
        <v>1.3327156302158367E-4</v>
      </c>
    </row>
    <row r="7" spans="1:25" x14ac:dyDescent="0.3">
      <c r="A7" s="7" t="s">
        <v>171</v>
      </c>
      <c r="B7" s="7" cm="1">
        <f t="array" ref="B7">INDEX('Summarized Source Data'!$X$600:$X$743,MATCH(1,($A7=LoadFactorSeasons)*(B$1=LoadFactorHours),0),)</f>
        <v>1.8272541991707082E-4</v>
      </c>
      <c r="C7" s="7" cm="1">
        <f t="array" ref="C7">INDEX('Summarized Source Data'!$X$600:$X$743,MATCH(1,($A7=LoadFactorSeasons)*(C$1=LoadFactorHours),0),)</f>
        <v>1.8272541991707082E-4</v>
      </c>
      <c r="D7" s="7" cm="1">
        <f t="array" ref="D7">INDEX('Summarized Source Data'!$X$600:$X$743,MATCH(1,($A7=LoadFactorSeasons)*(D$1=LoadFactorHours),0),)</f>
        <v>1.8272541991707082E-4</v>
      </c>
      <c r="E7" s="7" cm="1">
        <f t="array" ref="E7">INDEX('Summarized Source Data'!$X$600:$X$743,MATCH(1,($A7=LoadFactorSeasons)*(E$1=LoadFactorHours),0),)</f>
        <v>1.8353633154392172E-4</v>
      </c>
      <c r="F7" s="7" cm="1">
        <f t="array" ref="F7">INDEX('Summarized Source Data'!$X$600:$X$743,MATCH(1,($A7=LoadFactorSeasons)*(F$1=LoadFactorHours),0),)</f>
        <v>1.8380663541953869E-4</v>
      </c>
      <c r="G7" s="7" cm="1">
        <f t="array" ref="G7">INDEX('Summarized Source Data'!$X$600:$X$743,MATCH(1,($A7=LoadFactorSeasons)*(G$1=LoadFactorHours),0),)</f>
        <v>1.8488785092200658E-4</v>
      </c>
      <c r="H7" s="7" cm="1">
        <f t="array" ref="H7">INDEX('Summarized Source Data'!$X$600:$X$743,MATCH(1,($A7=LoadFactorSeasons)*(H$1=LoadFactorHours),0),)</f>
        <v>1.8542845867324049E-4</v>
      </c>
      <c r="I7" s="7" cm="1">
        <f t="array" ref="I7">INDEX('Summarized Source Data'!$X$600:$X$743,MATCH(1,($A7=LoadFactorSeasons)*(I$1=LoadFactorHours),0),)</f>
        <v>1.8596906642447445E-4</v>
      </c>
      <c r="J7" s="7" cm="1">
        <f t="array" ref="J7">INDEX('Summarized Source Data'!$X$600:$X$743,MATCH(1,($A7=LoadFactorSeasons)*(J$1=LoadFactorHours),0),)</f>
        <v>1.8542845867324049E-4</v>
      </c>
      <c r="K7" s="7" cm="1">
        <f t="array" ref="K7">INDEX('Summarized Source Data'!$X$600:$X$743,MATCH(1,($A7=LoadFactorSeasons)*(K$1=LoadFactorHours),0),)</f>
        <v>1.8488785092200658E-4</v>
      </c>
      <c r="L7" s="7" cm="1">
        <f t="array" ref="L7">INDEX('Summarized Source Data'!$X$600:$X$743,MATCH(1,($A7=LoadFactorSeasons)*(L$1=LoadFactorHours),0),)</f>
        <v>1.8488785092200658E-4</v>
      </c>
      <c r="M7" s="7" cm="1">
        <f t="array" ref="M7">INDEX('Summarized Source Data'!$X$600:$X$743,MATCH(1,($A7=LoadFactorSeasons)*(M$1=LoadFactorHours),0),)</f>
        <v>1.8488785092200658E-4</v>
      </c>
      <c r="N7" s="7" cm="1">
        <f t="array" ref="N7">INDEX('Summarized Source Data'!$X$600:$X$743,MATCH(1,($A7=LoadFactorSeasons)*(N$1=LoadFactorHours),0),)</f>
        <v>1.8461754704638959E-4</v>
      </c>
      <c r="O7" s="7" cm="1">
        <f t="array" ref="O7">INDEX('Summarized Source Data'!$X$600:$X$743,MATCH(1,($A7=LoadFactorSeasons)*(O$1=LoadFactorHours),0),)</f>
        <v>1.8488785092200658E-4</v>
      </c>
      <c r="P7" s="7" cm="1">
        <f t="array" ref="P7">INDEX('Summarized Source Data'!$X$600:$X$743,MATCH(1,($A7=LoadFactorSeasons)*(P$1=LoadFactorHours),0),)</f>
        <v>1.8488785092200658E-4</v>
      </c>
      <c r="Q7" s="7" cm="1">
        <f t="array" ref="Q7">INDEX('Summarized Source Data'!$X$600:$X$743,MATCH(1,($A7=LoadFactorSeasons)*(Q$1=LoadFactorHours),0),)</f>
        <v>1.8596906642447445E-4</v>
      </c>
      <c r="R7" s="7" cm="1">
        <f t="array" ref="R7">INDEX('Summarized Source Data'!$X$600:$X$743,MATCH(1,($A7=LoadFactorSeasons)*(R$1=LoadFactorHours),0),)</f>
        <v>1.8705028192694229E-4</v>
      </c>
      <c r="S7" s="7" cm="1">
        <f t="array" ref="S7">INDEX('Summarized Source Data'!$X$600:$X$743,MATCH(1,($A7=LoadFactorSeasons)*(S$1=LoadFactorHours),0),)</f>
        <v>1.8759088967817625E-4</v>
      </c>
      <c r="T7" s="7" cm="1">
        <f t="array" ref="T7">INDEX('Summarized Source Data'!$X$600:$X$743,MATCH(1,($A7=LoadFactorSeasons)*(T$1=LoadFactorHours),0),)</f>
        <v>1.8705028192694229E-4</v>
      </c>
      <c r="U7" s="7" cm="1">
        <f t="array" ref="U7">INDEX('Summarized Source Data'!$X$600:$X$743,MATCH(1,($A7=LoadFactorSeasons)*(U$1=LoadFactorHours),0),)</f>
        <v>1.8650967417570838E-4</v>
      </c>
      <c r="V7" s="7" cm="1">
        <f t="array" ref="V7">INDEX('Summarized Source Data'!$X$600:$X$743,MATCH(1,($A7=LoadFactorSeasons)*(V$1=LoadFactorHours),0),)</f>
        <v>1.8596906642447445E-4</v>
      </c>
      <c r="W7" s="7" cm="1">
        <f t="array" ref="W7">INDEX('Summarized Source Data'!$X$600:$X$743,MATCH(1,($A7=LoadFactorSeasons)*(W$1=LoadFactorHours),0),)</f>
        <v>1.8488785092200658E-4</v>
      </c>
      <c r="X7" s="7" cm="1">
        <f t="array" ref="X7">INDEX('Summarized Source Data'!$X$600:$X$743,MATCH(1,($A7=LoadFactorSeasons)*(X$1=LoadFactorHours),0),)</f>
        <v>1.8380663541953869E-4</v>
      </c>
      <c r="Y7" s="7" cm="1">
        <f t="array" ref="Y7">INDEX('Summarized Source Data'!$X$600:$X$743,MATCH(1,($A7=LoadFactorSeasons)*(Y$1=LoadFactorHours),0),)</f>
        <v>1.8353633154392172E-4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505A9D-461E-4598-B35E-A8C6534D6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71FDBC-7343-4C7B-8ABB-56F59852EA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967FB2A-F1F1-4A5B-8B48-1259643665D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69B738D-ADB8-4B4D-815A-3BE016592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19</vt:i4>
      </vt:variant>
    </vt:vector>
  </HeadingPairs>
  <TitlesOfParts>
    <vt:vector size="47" baseType="lpstr">
      <vt:lpstr>About</vt:lpstr>
      <vt:lpstr>Sheet1</vt:lpstr>
      <vt:lpstr>Source Data</vt:lpstr>
      <vt:lpstr>Summarized Source Data</vt:lpstr>
      <vt:lpstr>Category Mapping</vt:lpstr>
      <vt:lpstr>Double Check</vt:lpstr>
      <vt:lpstr>SHELF-days-per-timeslice</vt:lpstr>
      <vt:lpstr>SHELF-residential-heating</vt:lpstr>
      <vt:lpstr>SHELF-residential-cooling</vt:lpstr>
      <vt:lpstr>SHELF-residential-envelope</vt:lpstr>
      <vt:lpstr>SHELF-residential-lighting</vt:lpstr>
      <vt:lpstr>SHELF-residential-appliances</vt:lpstr>
      <vt:lpstr>SHELF-residential-other</vt:lpstr>
      <vt:lpstr>SHELF-commercial-heating</vt:lpstr>
      <vt:lpstr>SHELF-commercial-cooling</vt:lpstr>
      <vt:lpstr>SHELF-commercial-envelope</vt:lpstr>
      <vt:lpstr>SHELF-commercial-lighting</vt:lpstr>
      <vt:lpstr>SHELF-commercial-appliances</vt:lpstr>
      <vt:lpstr>SHELF-commercial-other</vt:lpstr>
      <vt:lpstr>SHELF-LDVs</vt:lpstr>
      <vt:lpstr>SHELF-HDVs</vt:lpstr>
      <vt:lpstr>SHELF-aircraft</vt:lpstr>
      <vt:lpstr>SHELF-rail</vt:lpstr>
      <vt:lpstr>SHELF-ships</vt:lpstr>
      <vt:lpstr>SHELF-motorbikes</vt:lpstr>
      <vt:lpstr>SHELF-industry</vt:lpstr>
      <vt:lpstr>SHELF-district-heat-hydrogen</vt:lpstr>
      <vt:lpstr>SHELF-geoeng</vt:lpstr>
      <vt:lpstr>DaysPerWeek</vt:lpstr>
      <vt:lpstr>FallWeekdays</vt:lpstr>
      <vt:lpstr>FallWeekendDays</vt:lpstr>
      <vt:lpstr>Hour</vt:lpstr>
      <vt:lpstr>Load</vt:lpstr>
      <vt:lpstr>LoadFactorHours</vt:lpstr>
      <vt:lpstr>LoadFactorSeasons</vt:lpstr>
      <vt:lpstr>Season</vt:lpstr>
      <vt:lpstr>Sector</vt:lpstr>
      <vt:lpstr>SpringWeekdays</vt:lpstr>
      <vt:lpstr>SpringWeekendDays</vt:lpstr>
      <vt:lpstr>Subsector</vt:lpstr>
      <vt:lpstr>SummerWeekdays</vt:lpstr>
      <vt:lpstr>SummerWeekendDays</vt:lpstr>
      <vt:lpstr>TimeOfWeek</vt:lpstr>
      <vt:lpstr>Weekdays</vt:lpstr>
      <vt:lpstr>WeekendDays</vt:lpstr>
      <vt:lpstr>WinterWeekdays</vt:lpstr>
      <vt:lpstr>WinterWeekendDays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Rachel Goldstein</cp:lastModifiedBy>
  <cp:revision/>
  <dcterms:created xsi:type="dcterms:W3CDTF">2022-08-05T18:16:01Z</dcterms:created>
  <dcterms:modified xsi:type="dcterms:W3CDTF">2025-10-15T21:16:09Z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  <property fmtid="{D5CDD505-2E9C-101B-9397-08002B2CF9AE}" pid="3" name="Order">
    <vt:r8>703100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