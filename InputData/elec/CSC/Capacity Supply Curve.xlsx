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CSC\"/>
    </mc:Choice>
  </mc:AlternateContent>
  <xr:revisionPtr revIDLastSave="0" documentId="13_ncr:1_{A95611E0-384B-474B-A7CC-3F6FC5F659B6}" xr6:coauthVersionLast="47" xr6:coauthVersionMax="47" xr10:uidLastSave="{00000000-0000-0000-0000-000000000000}"/>
  <bookViews>
    <workbookView xWindow="-120" yWindow="-120" windowWidth="29040" windowHeight="17520" xr2:uid="{F87DB1D1-DC21-4EA7-B1DF-998EE56837F8}"/>
  </bookViews>
  <sheets>
    <sheet name="About" sheetId="1" r:id="rId1"/>
    <sheet name="CSC-CSCCCMvSoECBtY" sheetId="2" r:id="rId2"/>
    <sheet name="CSC-CSCMBCfPTwNEC" sheetId="3" r:id="rId3"/>
    <sheet name="CSC-CSCSoCECBiaS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2" i="2" l="1"/>
  <c r="CF1" i="2" s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E1" i="2" l="1"/>
  <c r="D1" i="2"/>
  <c r="C1" i="2"/>
  <c r="B1" i="2"/>
  <c r="B23" i="1"/>
  <c r="B24" i="1"/>
  <c r="B25" i="1" l="1"/>
  <c r="E1" i="2"/>
  <c r="B26" i="1" l="1"/>
  <c r="F1" i="2"/>
  <c r="B27" i="1" l="1"/>
  <c r="G1" i="2"/>
  <c r="B28" i="1" l="1"/>
  <c r="H1" i="2"/>
  <c r="B29" i="1" l="1"/>
  <c r="I1" i="2"/>
  <c r="B30" i="1" l="1"/>
  <c r="J1" i="2"/>
  <c r="B31" i="1" l="1"/>
  <c r="K1" i="2"/>
  <c r="B32" i="1" l="1"/>
  <c r="L1" i="2"/>
  <c r="B33" i="1" l="1"/>
  <c r="M1" i="2"/>
  <c r="B34" i="1" l="1"/>
  <c r="N1" i="2"/>
  <c r="B35" i="1" l="1"/>
  <c r="O1" i="2"/>
  <c r="B36" i="1" l="1"/>
  <c r="P1" i="2"/>
  <c r="B37" i="1" l="1"/>
  <c r="Q1" i="2"/>
  <c r="B38" i="1" l="1"/>
  <c r="R1" i="2"/>
  <c r="B39" i="1" l="1"/>
  <c r="S1" i="2"/>
  <c r="B40" i="1" l="1"/>
  <c r="T1" i="2"/>
  <c r="B41" i="1" l="1"/>
  <c r="U1" i="2"/>
  <c r="B42" i="1" l="1"/>
  <c r="V1" i="2"/>
  <c r="B43" i="1" l="1"/>
  <c r="W1" i="2"/>
  <c r="B44" i="1" l="1"/>
  <c r="X1" i="2"/>
  <c r="B45" i="1" l="1"/>
  <c r="Y1" i="2"/>
  <c r="B46" i="1" l="1"/>
  <c r="Z1" i="2"/>
  <c r="B47" i="1" l="1"/>
  <c r="AA1" i="2"/>
  <c r="B48" i="1" l="1"/>
  <c r="AB1" i="2"/>
  <c r="B49" i="1" l="1"/>
  <c r="AC1" i="2"/>
  <c r="B50" i="1" l="1"/>
  <c r="AD1" i="2"/>
  <c r="B51" i="1" l="1"/>
  <c r="AE1" i="2"/>
  <c r="B52" i="1" l="1"/>
  <c r="AF1" i="2"/>
  <c r="B53" i="1" l="1"/>
  <c r="AG1" i="2"/>
  <c r="B54" i="1" l="1"/>
  <c r="AH1" i="2"/>
  <c r="AI1" i="2" l="1"/>
  <c r="B55" i="1"/>
  <c r="AJ1" i="2" l="1"/>
  <c r="B56" i="1"/>
  <c r="AK1" i="2" l="1"/>
  <c r="B57" i="1"/>
  <c r="AL1" i="2" l="1"/>
  <c r="B58" i="1"/>
  <c r="AM1" i="2" l="1"/>
  <c r="B59" i="1"/>
  <c r="AN1" i="2" l="1"/>
  <c r="B60" i="1"/>
  <c r="AO1" i="2" l="1"/>
  <c r="B61" i="1"/>
  <c r="AP1" i="2" l="1"/>
  <c r="B62" i="1"/>
  <c r="AQ1" i="2" l="1"/>
  <c r="B63" i="1"/>
  <c r="AR1" i="2" l="1"/>
  <c r="B64" i="1"/>
  <c r="AS1" i="2" l="1"/>
  <c r="B65" i="1"/>
  <c r="AT1" i="2" l="1"/>
  <c r="B66" i="1"/>
  <c r="AU1" i="2" l="1"/>
  <c r="B67" i="1"/>
  <c r="AV1" i="2" l="1"/>
  <c r="B68" i="1"/>
  <c r="AW1" i="2" l="1"/>
  <c r="B69" i="1"/>
  <c r="AX1" i="2" l="1"/>
  <c r="B70" i="1"/>
  <c r="AY1" i="2" l="1"/>
  <c r="B71" i="1"/>
  <c r="AZ1" i="2" l="1"/>
  <c r="B72" i="1"/>
  <c r="BA1" i="2" l="1"/>
  <c r="B73" i="1"/>
  <c r="BB1" i="2" l="1"/>
  <c r="B74" i="1"/>
  <c r="BC1" i="2" l="1"/>
  <c r="B75" i="1"/>
  <c r="BD1" i="2" l="1"/>
  <c r="B76" i="1"/>
  <c r="BE1" i="2" l="1"/>
  <c r="B77" i="1"/>
  <c r="BF1" i="2" l="1"/>
  <c r="B78" i="1"/>
  <c r="BG1" i="2" l="1"/>
  <c r="B79" i="1"/>
  <c r="BH1" i="2" l="1"/>
  <c r="B80" i="1"/>
  <c r="BI1" i="2" l="1"/>
  <c r="B81" i="1"/>
  <c r="BJ1" i="2" l="1"/>
  <c r="B82" i="1"/>
  <c r="BK1" i="2" l="1"/>
  <c r="B83" i="1"/>
  <c r="BL1" i="2" l="1"/>
  <c r="B84" i="1"/>
  <c r="BM1" i="2" l="1"/>
  <c r="B85" i="1"/>
  <c r="BN1" i="2" l="1"/>
  <c r="B86" i="1"/>
  <c r="BO1" i="2" l="1"/>
  <c r="B87" i="1"/>
  <c r="BP1" i="2" l="1"/>
  <c r="B88" i="1"/>
  <c r="BQ1" i="2" l="1"/>
  <c r="B89" i="1"/>
  <c r="BR1" i="2" l="1"/>
  <c r="B90" i="1"/>
  <c r="BS1" i="2" l="1"/>
  <c r="B91" i="1"/>
  <c r="BT1" i="2" l="1"/>
  <c r="B92" i="1"/>
  <c r="BU1" i="2" l="1"/>
  <c r="B93" i="1"/>
  <c r="BV1" i="2" l="1"/>
  <c r="B94" i="1"/>
  <c r="BW1" i="2" l="1"/>
  <c r="B95" i="1"/>
  <c r="BX1" i="2" l="1"/>
  <c r="B96" i="1"/>
  <c r="BY1" i="2" l="1"/>
  <c r="B97" i="1"/>
  <c r="BZ1" i="2" l="1"/>
  <c r="B98" i="1"/>
  <c r="CA1" i="2" l="1"/>
  <c r="B99" i="1"/>
  <c r="CB1" i="2" l="1"/>
  <c r="B100" i="1"/>
  <c r="CC1" i="2" l="1"/>
  <c r="CD1" i="2"/>
  <c r="B101" i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4" i="1" l="1"/>
  <c r="B123" i="1"/>
</calcChain>
</file>

<file path=xl/sharedStrings.xml><?xml version="1.0" encoding="utf-8"?>
<sst xmlns="http://schemas.openxmlformats.org/spreadsheetml/2006/main" count="45" uniqueCount="45">
  <si>
    <t xml:space="preserve">Source: </t>
  </si>
  <si>
    <t>(none)</t>
  </si>
  <si>
    <t>These are calibrated variables used in establishing supply curves for resources.</t>
  </si>
  <si>
    <t>Share of existing capacity</t>
  </si>
  <si>
    <t>Time (Year)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</si>
  <si>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</si>
  <si>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</si>
  <si>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</si>
  <si>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</si>
  <si>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</si>
  <si>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</si>
  <si>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</si>
  <si>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</si>
  <si>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</si>
  <si>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</si>
  <si>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</si>
  <si>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</si>
  <si>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</si>
  <si>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</si>
  <si>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</si>
  <si>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</si>
  <si>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</si>
  <si>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</si>
  <si>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</si>
  <si>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</si>
  <si>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</si>
  <si>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</si>
  <si>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</si>
  <si>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</si>
  <si>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CSC Capacity Supply Curve Capacity Cost Multiplier vs Share of Existing Capacity Built this Year</t>
  </si>
  <si>
    <t>CSC Capacity Supply Curve Minimum Buildable Capacity for Plant Types with No Existing Capacity</t>
  </si>
  <si>
    <t>CSC Capacity Supply Curve Share of Cost Effective Capacity Built in a Single Year</t>
  </si>
  <si>
    <t>Supply Curve Parameters</t>
  </si>
  <si>
    <t>% of total installed capacity</t>
  </si>
  <si>
    <t>Share</t>
  </si>
  <si>
    <t>parameter 1</t>
  </si>
  <si>
    <t>parameter 2</t>
  </si>
  <si>
    <t>max share</t>
  </si>
  <si>
    <t>multiplier cutoff</t>
  </si>
  <si>
    <t>Max profitability cutoff</t>
  </si>
  <si>
    <t>Incremental Revenue</t>
  </si>
  <si>
    <t>Notes:</t>
  </si>
  <si>
    <t>For the Share of Cost Effective Capacity Built in a Single Year, we use a value of 1 for all resources except wind,</t>
  </si>
  <si>
    <t>which in recent years has faced unique siting constraints that have limited new capacity.</t>
  </si>
  <si>
    <t>For onshore wind, we use a value of 0.75.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</si>
</sst>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About!$C$24:$C$124</c:f>
              <c:numCache>
                <c:formatCode>General</c:formatCode>
                <c:ptCount val="101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</c:numCache>
            </c:numRef>
          </c:xVal>
          <c:yVal>
            <c:numRef>
              <c:f>About!$B$24:$B$124</c:f>
              <c:numCache>
                <c:formatCode>General</c:formatCode>
                <c:ptCount val="101"/>
                <c:pt idx="0">
                  <c:v>5.3583604489038093E-7</c:v>
                </c:pt>
                <c:pt idx="1">
                  <c:v>4.286648162477036E-6</c:v>
                </c:pt>
                <c:pt idx="2">
                  <c:v>1.4467069327128713E-5</c:v>
                </c:pt>
                <c:pt idx="3">
                  <c:v>3.4290612860687911E-5</c:v>
                </c:pt>
                <c:pt idx="4">
                  <c:v>6.6968380922527435E-5</c:v>
                </c:pt>
                <c:pt idx="5">
                  <c:v>1.1570725740235322E-4</c:v>
                </c:pt>
                <c:pt idx="6">
                  <c:v>1.8370758670760434E-4</c:v>
                </c:pt>
                <c:pt idx="7">
                  <c:v>2.7416034086391594E-4</c:v>
                </c:pt>
                <c:pt idx="8">
                  <c:v>3.9024377850489512E-4</c:v>
                </c:pt>
                <c:pt idx="9">
                  <c:v>5.3511960071055413E-4</c:v>
                </c:pt>
                <c:pt idx="10">
                  <c:v>7.1192861025950462E-4</c:v>
                </c:pt>
                <c:pt idx="11">
                  <c:v>9.2378588268478008E-4</c:v>
                </c:pt>
                <c:pt idx="12">
                  <c:v>1.1737754595568363E-3</c:v>
                </c:pt>
                <c:pt idx="13">
                  <c:v>1.4649445766562463E-3</c:v>
                </c:pt>
                <c:pt idx="14">
                  <c:v>1.8002974421282847E-3</c:v>
                </c:pt>
                <c:pt idx="15">
                  <c:v>2.1827885823227922E-3</c:v>
                </c:pt>
                <c:pt idx="16">
                  <c:v>2.6153157758011638E-3</c:v>
                </c:pt>
                <c:pt idx="17">
                  <c:v>3.1007125989183093E-3</c:v>
                </c:pt>
                <c:pt idx="18">
                  <c:v>3.6417406094471309E-3</c:v>
                </c:pt>
                <c:pt idx="19">
                  <c:v>4.2410811978808027E-3</c:v>
                </c:pt>
                <c:pt idx="20">
                  <c:v>4.9013271393022924E-3</c:v>
                </c:pt>
                <c:pt idx="21">
                  <c:v>5.6249738820245872E-3</c:v>
                </c:pt>
                <c:pt idx="22">
                  <c:v>6.4144106125502594E-3</c:v>
                </c:pt>
                <c:pt idx="23">
                  <c:v>7.2719111397427484E-3</c:v>
                </c:pt>
                <c:pt idx="24">
                  <c:v>8.1996246444144827E-3</c:v>
                </c:pt>
                <c:pt idx="25">
                  <c:v>9.1995663437769003E-3</c:v>
                </c:pt>
                <c:pt idx="26">
                  <c:v>1.0273608123333956E-2</c:v>
                </c:pt>
                <c:pt idx="27">
                  <c:v>1.1423469191788382E-2</c:v>
                </c:pt>
                <c:pt idx="28">
                  <c:v>1.2650706817332047E-2</c:v>
                </c:pt>
                <c:pt idx="29">
                  <c:v>1.3956707206263963E-2</c:v>
                </c:pt>
                <c:pt idx="30">
                  <c:v>1.5342676587180182E-2</c:v>
                </c:pt>
                <c:pt idx="31">
                  <c:v>1.6809632565965439E-2</c:v>
                </c:pt>
                <c:pt idx="32">
                  <c:v>1.8358395818443476E-2</c:v>
                </c:pt>
                <c:pt idx="33">
                  <c:v>1.9989582188770449E-2</c:v>
                </c:pt>
                <c:pt idx="34">
                  <c:v>2.1703595262441103E-2</c:v>
                </c:pt>
                <c:pt idx="35">
                  <c:v>2.3500619483080909E-2</c:v>
                </c:pt>
                <c:pt idx="36">
                  <c:v>2.538061388198436E-2</c:v>
                </c:pt>
                <c:pt idx="37">
                  <c:v>2.7343306488591249E-2</c:v>
                </c:pt>
                <c:pt idx="38">
                  <c:v>2.9388189488745109E-2</c:v>
                </c:pt>
                <c:pt idx="39">
                  <c:v>3.1514515195616613E-2</c:v>
                </c:pt>
                <c:pt idx="40">
                  <c:v>3.372129289558741E-2</c:v>
                </c:pt>
                <c:pt idx="41">
                  <c:v>3.6007286628151627E-2</c:v>
                </c:pt>
                <c:pt idx="42">
                  <c:v>3.8371013955001823E-2</c:v>
                </c:pt>
                <c:pt idx="43">
                  <c:v>4.0810745768913415E-2</c:v>
                </c:pt>
                <c:pt idx="44">
                  <c:v>4.3324507187836363E-2</c:v>
                </c:pt>
                <c:pt idx="45">
                  <c:v>4.5910079573753593E-2</c:v>
                </c:pt>
                <c:pt idx="46">
                  <c:v>4.8565003709393588E-2</c:v>
                </c:pt>
                <c:pt idx="47">
                  <c:v>5.1286584158818753E-2</c:v>
                </c:pt>
                <c:pt idx="48">
                  <c:v>5.407189483028596E-2</c:v>
                </c:pt>
                <c:pt idx="49">
                  <c:v>5.6917785751641151E-2</c:v>
                </c:pt>
                <c:pt idx="50">
                  <c:v>5.982089105991404E-2</c:v>
                </c:pt>
                <c:pt idx="51">
                  <c:v>6.2777638197790697E-2</c:v>
                </c:pt>
                <c:pt idx="52">
                  <c:v>6.5784258300326109E-2</c:v>
                </c:pt>
                <c:pt idx="53">
                  <c:v>6.8836797745699688E-2</c:v>
                </c:pt>
                <c:pt idx="54">
                  <c:v>7.1931130834093512E-2</c:v>
                </c:pt>
                <c:pt idx="55">
                  <c:v>7.506297354898428E-2</c:v>
                </c:pt>
                <c:pt idx="56">
                  <c:v>7.8227898345377744E-2</c:v>
                </c:pt>
                <c:pt idx="57">
                  <c:v>8.142134989988481E-2</c:v>
                </c:pt>
                <c:pt idx="58">
                  <c:v>8.4638661748143884E-2</c:v>
                </c:pt>
                <c:pt idx="59">
                  <c:v>8.787507372604586E-2</c:v>
                </c:pt>
                <c:pt idx="60">
                  <c:v>9.1125750122621946E-2</c:v>
                </c:pt>
                <c:pt idx="61">
                  <c:v>9.438579844442066E-2</c:v>
                </c:pt>
                <c:pt idx="62">
                  <c:v>9.7650288683833367E-2</c:v>
                </c:pt>
                <c:pt idx="63">
                  <c:v>0.10091427297723279</c:v>
                </c:pt>
                <c:pt idx="64">
                  <c:v>0.10417280553305999</c:v>
                </c:pt>
                <c:pt idx="65">
                  <c:v>0.10742096270522571</c:v>
                </c:pt>
                <c:pt idx="66">
                  <c:v>0.11065386308346375</c:v>
                </c:pt>
                <c:pt idx="67">
                  <c:v>0.11386668746965854</c:v>
                </c:pt>
                <c:pt idx="68">
                  <c:v>0.11705469860772776</c:v>
                </c:pt>
                <c:pt idx="69">
                  <c:v>0.12021326053442474</c:v>
                </c:pt>
                <c:pt idx="70">
                  <c:v>0.12333785741946623</c:v>
                </c:pt>
                <c:pt idx="71">
                  <c:v>0.12642411176571153</c:v>
                </c:pt>
                <c:pt idx="72">
                  <c:v>0.12946780184372289</c:v>
                </c:pt>
                <c:pt idx="73">
                  <c:v>0.1324648782399141</c:v>
                </c:pt>
                <c:pt idx="74">
                  <c:v>0.13541147940361392</c:v>
                </c:pt>
                <c:pt idx="75">
                  <c:v>0.1383039460856948</c:v>
                </c:pt>
                <c:pt idx="76">
                  <c:v>0.14113883456987392</c:v>
                </c:pt>
                <c:pt idx="77">
                  <c:v>0.1439129286073208</c:v>
                </c:pt>
                <c:pt idx="78">
                  <c:v>0.14662324997569645</c:v>
                </c:pt>
                <c:pt idx="79">
                  <c:v>0.14926706759510625</c:v>
                </c:pt>
                <c:pt idx="80">
                  <c:v>0.15184190514555035</c:v>
                </c:pt>
                <c:pt idx="81">
                  <c:v>0.15434554714316789</c:v>
                </c:pt>
                <c:pt idx="82">
                  <c:v>0.15677604344575632</c:v>
                </c:pt>
                <c:pt idx="83">
                  <c:v>0.1591317121715517</c:v>
                </c:pt>
                <c:pt idx="84">
                  <c:v>0.16141114102892998</c:v>
                </c:pt>
                <c:pt idx="85">
                  <c:v>0.16361318706836692</c:v>
                </c:pt>
                <c:pt idx="86">
                  <c:v>0.16573697488151984</c:v>
                </c:pt>
                <c:pt idx="87">
                  <c:v>0.16778189328550838</c:v>
                </c:pt>
                <c:pt idx="88">
                  <c:v>0.16974759054321262</c:v>
                </c:pt>
                <c:pt idx="89">
                  <c:v>0.17163396818253152</c:v>
                </c:pt>
                <c:pt idx="90">
                  <c:v>0.17344117348890589</c:v>
                </c:pt>
                <c:pt idx="91">
                  <c:v>0.17516959075587743</c:v>
                </c:pt>
                <c:pt idx="92">
                  <c:v>0.17681983138790913</c:v>
                </c:pt>
                <c:pt idx="93">
                  <c:v>0.17839272295802988</c:v>
                </c:pt>
                <c:pt idx="94">
                  <c:v>0.17988929732999137</c:v>
                </c:pt>
                <c:pt idx="95">
                  <c:v>0.18131077796047496</c:v>
                </c:pt>
                <c:pt idx="96">
                  <c:v>0.18265856650140078</c:v>
                </c:pt>
                <c:pt idx="97">
                  <c:v>0.18393422882553601</c:v>
                </c:pt>
                <c:pt idx="98">
                  <c:v>0.18513948060036278</c:v>
                </c:pt>
                <c:pt idx="99">
                  <c:v>0.18627617253555084</c:v>
                </c:pt>
                <c:pt idx="100">
                  <c:v>0.18734627542840634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0-4FB8-B3A9-2CABD5DD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23327"/>
        <c:axId val="535710847"/>
      </c:scatterChart>
      <c:valAx>
        <c:axId val="535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10847"/>
        <c:crosses val="autoZero"/>
        <c:crossBetween val="midCat"/>
      </c:valAx>
      <c:valAx>
        <c:axId val="5357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  <c:pt idx="33">
                  <c:v>24750</c:v>
                </c:pt>
                <c:pt idx="34">
                  <c:v>25500</c:v>
                </c:pt>
                <c:pt idx="35">
                  <c:v>26250</c:v>
                </c:pt>
                <c:pt idx="36">
                  <c:v>27000</c:v>
                </c:pt>
                <c:pt idx="37">
                  <c:v>27750</c:v>
                </c:pt>
                <c:pt idx="38">
                  <c:v>28500</c:v>
                </c:pt>
                <c:pt idx="39">
                  <c:v>29250</c:v>
                </c:pt>
                <c:pt idx="40">
                  <c:v>30000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1.8084408978769062E-6</c:v>
                </c:pt>
                <c:pt idx="2">
                  <c:v>1.4467069327128713E-5</c:v>
                </c:pt>
                <c:pt idx="3">
                  <c:v>4.8822165020556696E-5</c:v>
                </c:pt>
                <c:pt idx="4">
                  <c:v>1.1570725740235322E-4</c:v>
                </c:pt>
                <c:pt idx="5">
                  <c:v>2.2592842893849331E-4</c:v>
                </c:pt>
                <c:pt idx="6">
                  <c:v>3.9024377850489512E-4</c:v>
                </c:pt>
                <c:pt idx="7">
                  <c:v>6.1933710198034406E-4</c:v>
                </c:pt>
                <c:pt idx="8">
                  <c:v>9.2378588268478008E-4</c:v>
                </c:pt>
                <c:pt idx="9">
                  <c:v>1.314023728194358E-3</c:v>
                </c:pt>
                <c:pt idx="10">
                  <c:v>1.8002974421282847E-3</c:v>
                </c:pt>
                <c:pt idx="11">
                  <c:v>2.3926189792404132E-3</c:v>
                </c:pt>
                <c:pt idx="12">
                  <c:v>3.1007125989183093E-3</c:v>
                </c:pt>
                <c:pt idx="13">
                  <c:v>3.9339576051655948E-3</c:v>
                </c:pt>
                <c:pt idx="14">
                  <c:v>4.9013271393022924E-3</c:v>
                </c:pt>
                <c:pt idx="15">
                  <c:v>6.0113235737311978E-3</c:v>
                </c:pt>
                <c:pt idx="16">
                  <c:v>7.2719111397427484E-3</c:v>
                </c:pt>
                <c:pt idx="17">
                  <c:v>8.6904465078136549E-3</c:v>
                </c:pt>
                <c:pt idx="18">
                  <c:v>1.0273608123333956E-2</c:v>
                </c:pt>
                <c:pt idx="19">
                  <c:v>1.2027325182124038E-2</c:v>
                </c:pt>
                <c:pt idx="20">
                  <c:v>1.3956707206263963E-2</c:v>
                </c:pt>
                <c:pt idx="21">
                  <c:v>1.6065975249306242E-2</c:v>
                </c:pt>
                <c:pt idx="22">
                  <c:v>1.8358395818443476E-2</c:v>
                </c:pt>
                <c:pt idx="23">
                  <c:v>2.0836218647182148E-2</c:v>
                </c:pt>
                <c:pt idx="24">
                  <c:v>2.3500619483080909E-2</c:v>
                </c:pt>
                <c:pt idx="25">
                  <c:v>2.6351649068786332E-2</c:v>
                </c:pt>
                <c:pt idx="26">
                  <c:v>2.9388189488745109E-2</c:v>
                </c:pt>
                <c:pt idx="27">
                  <c:v>3.2607919026638753E-2</c:v>
                </c:pt>
                <c:pt idx="28">
                  <c:v>3.6007286628151627E-2</c:v>
                </c:pt>
                <c:pt idx="29">
                  <c:v>3.9581496988934053E-2</c:v>
                </c:pt>
                <c:pt idx="30">
                  <c:v>4.3324507187836363E-2</c:v>
                </c:pt>
                <c:pt idx="31">
                  <c:v>4.7229035660514646E-2</c:v>
                </c:pt>
                <c:pt idx="32">
                  <c:v>5.1286584158818753E-2</c:v>
                </c:pt>
                <c:pt idx="33">
                  <c:v>5.5487473168130901E-2</c:v>
                </c:pt>
                <c:pt idx="34">
                  <c:v>5.982089105991404E-2</c:v>
                </c:pt>
                <c:pt idx="35">
                  <c:v>6.4274957042773889E-2</c:v>
                </c:pt>
                <c:pt idx="36">
                  <c:v>6.8836797745699688E-2</c:v>
                </c:pt>
                <c:pt idx="37">
                  <c:v>7.3492637025887084E-2</c:v>
                </c:pt>
                <c:pt idx="38">
                  <c:v>7.8227898345377744E-2</c:v>
                </c:pt>
                <c:pt idx="39">
                  <c:v>8.3027318810954889E-2</c:v>
                </c:pt>
                <c:pt idx="40">
                  <c:v>8.787507372604586E-2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E-4506-B7FF-2865DFAA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21</xdr:row>
      <xdr:rowOff>151130</xdr:rowOff>
    </xdr:from>
    <xdr:to>
      <xdr:col>11</xdr:col>
      <xdr:colOff>123825</xdr:colOff>
      <xdr:row>36</xdr:row>
      <xdr:rowOff>138430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03698-6335-5964-6586-96038B70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21</xdr:row>
      <xdr:rowOff>152400</xdr:rowOff>
    </xdr:from>
    <xdr:to>
      <xdr:col>0</xdr:col>
      <xdr:colOff>5210175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539E-DC92-4633-8C32-ACBC3A592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2DEE-686E-48A0-AC3D-0F54DEA5D0EC}">
  <dimension ref="A1:C124"/>
  <sheetViews>
    <sheetView tabSelected="1" workbookViewId="0">
      <selection activeCell="B16" sqref="B16"/>
    </sheetView>
  </sheetViews>
  <sheetFormatPr defaultRowHeight="15" x14ac:dyDescent="0.25"/>
  <cols>
    <col min="1" max="1" width="88.7109375" bestFit="1" customWidth="1"/>
    <col min="2" max="2" width="12.7109375" bestFit="1" customWidth="1"/>
  </cols>
  <sheetData>
    <row r="1" spans="1:2" x14ac:dyDescent="0.25">
      <c r="A1" s="1" t="s">
        <v>29</v>
      </c>
    </row>
    <row r="2" spans="1:2" x14ac:dyDescent="0.25">
      <c r="A2" s="1" t="s">
        <v>30</v>
      </c>
    </row>
    <row r="3" spans="1:2" x14ac:dyDescent="0.25">
      <c r="A3" s="1" t="s">
        <v>31</v>
      </c>
    </row>
    <row r="5" spans="1:2" x14ac:dyDescent="0.25">
      <c r="A5" s="1" t="s">
        <v>0</v>
      </c>
      <c r="B5" t="s">
        <v>1</v>
      </c>
    </row>
    <row r="7" spans="1:2" x14ac:dyDescent="0.25">
      <c r="A7" s="1" t="s">
        <v>41</v>
      </c>
    </row>
    <row r="8" spans="1:2" x14ac:dyDescent="0.25">
      <c r="A8" t="s">
        <v>42</v>
      </c>
    </row>
    <row r="9" spans="1:2" x14ac:dyDescent="0.25">
      <c r="A9" t="s">
        <v>43</v>
      </c>
    </row>
    <row r="10" spans="1:2" x14ac:dyDescent="0.25">
      <c r="A10" t="s">
        <v>44</v>
      </c>
    </row>
    <row r="11" spans="1:2" x14ac:dyDescent="0.25">
      <c r="A11" s="1"/>
    </row>
    <row r="12" spans="1:2" x14ac:dyDescent="0.25">
      <c r="A12" t="s">
        <v>2</v>
      </c>
    </row>
    <row r="14" spans="1:2" x14ac:dyDescent="0.25">
      <c r="A14" s="1" t="s">
        <v>32</v>
      </c>
    </row>
    <row r="15" spans="1:2" x14ac:dyDescent="0.25">
      <c r="A15" t="s">
        <v>37</v>
      </c>
      <c r="B15">
        <v>0.2</v>
      </c>
    </row>
    <row r="16" spans="1:2" x14ac:dyDescent="0.25">
      <c r="A16" t="s">
        <v>35</v>
      </c>
      <c r="B16">
        <v>0.6</v>
      </c>
    </row>
    <row r="17" spans="1:3" x14ac:dyDescent="0.25">
      <c r="A17" t="s">
        <v>36</v>
      </c>
      <c r="B17">
        <v>3</v>
      </c>
    </row>
    <row r="18" spans="1:3" x14ac:dyDescent="0.25">
      <c r="A18" t="s">
        <v>38</v>
      </c>
      <c r="B18">
        <v>0.5</v>
      </c>
    </row>
    <row r="19" spans="1:3" x14ac:dyDescent="0.25">
      <c r="A19" t="s">
        <v>39</v>
      </c>
      <c r="B19">
        <v>60000</v>
      </c>
    </row>
    <row r="23" spans="1:3" x14ac:dyDescent="0.25">
      <c r="B23">
        <f>(1-EXP(-((C23/$B$19-($B$18-0.5))/$B$16)^$B$17))*$B$15</f>
        <v>0</v>
      </c>
      <c r="C23">
        <v>0</v>
      </c>
    </row>
    <row r="24" spans="1:3" x14ac:dyDescent="0.25">
      <c r="B24">
        <f t="shared" ref="B24:B87" si="0">(1-EXP(-((C24/$B$19-($B$18-0.5))/$B$16)^$B$17))*$B$15</f>
        <v>5.3583604489038093E-7</v>
      </c>
      <c r="C24">
        <v>500</v>
      </c>
    </row>
    <row r="25" spans="1:3" x14ac:dyDescent="0.25">
      <c r="B25">
        <f t="shared" si="0"/>
        <v>4.286648162477036E-6</v>
      </c>
      <c r="C25">
        <v>1000</v>
      </c>
    </row>
    <row r="26" spans="1:3" x14ac:dyDescent="0.25">
      <c r="B26">
        <f t="shared" si="0"/>
        <v>1.4467069327128713E-5</v>
      </c>
      <c r="C26">
        <f>C25+500</f>
        <v>1500</v>
      </c>
    </row>
    <row r="27" spans="1:3" x14ac:dyDescent="0.25">
      <c r="B27">
        <f t="shared" si="0"/>
        <v>3.4290612860687911E-5</v>
      </c>
      <c r="C27">
        <f t="shared" ref="C27:C90" si="1">C26+500</f>
        <v>2000</v>
      </c>
    </row>
    <row r="28" spans="1:3" x14ac:dyDescent="0.25">
      <c r="B28">
        <f t="shared" si="0"/>
        <v>6.6968380922527435E-5</v>
      </c>
      <c r="C28">
        <f t="shared" si="1"/>
        <v>2500</v>
      </c>
    </row>
    <row r="29" spans="1:3" x14ac:dyDescent="0.25">
      <c r="B29">
        <f t="shared" si="0"/>
        <v>1.1570725740235322E-4</v>
      </c>
      <c r="C29">
        <f t="shared" si="1"/>
        <v>3000</v>
      </c>
    </row>
    <row r="30" spans="1:3" x14ac:dyDescent="0.25">
      <c r="B30">
        <f t="shared" si="0"/>
        <v>1.8370758670760434E-4</v>
      </c>
      <c r="C30">
        <f t="shared" si="1"/>
        <v>3500</v>
      </c>
    </row>
    <row r="31" spans="1:3" x14ac:dyDescent="0.25">
      <c r="B31">
        <f t="shared" si="0"/>
        <v>2.7416034086391594E-4</v>
      </c>
      <c r="C31">
        <f t="shared" si="1"/>
        <v>4000</v>
      </c>
    </row>
    <row r="32" spans="1:3" x14ac:dyDescent="0.25">
      <c r="B32">
        <f t="shared" si="0"/>
        <v>3.9024377850489512E-4</v>
      </c>
      <c r="C32">
        <f t="shared" si="1"/>
        <v>4500</v>
      </c>
    </row>
    <row r="33" spans="2:3" x14ac:dyDescent="0.25">
      <c r="B33">
        <f t="shared" si="0"/>
        <v>5.3511960071055413E-4</v>
      </c>
      <c r="C33">
        <f t="shared" si="1"/>
        <v>5000</v>
      </c>
    </row>
    <row r="34" spans="2:3" x14ac:dyDescent="0.25">
      <c r="B34">
        <f t="shared" si="0"/>
        <v>7.1192861025950462E-4</v>
      </c>
      <c r="C34">
        <f t="shared" si="1"/>
        <v>5500</v>
      </c>
    </row>
    <row r="35" spans="2:3" x14ac:dyDescent="0.25">
      <c r="B35">
        <f t="shared" si="0"/>
        <v>9.2378588268478008E-4</v>
      </c>
      <c r="C35">
        <f t="shared" si="1"/>
        <v>6000</v>
      </c>
    </row>
    <row r="36" spans="2:3" x14ac:dyDescent="0.25">
      <c r="B36">
        <f t="shared" si="0"/>
        <v>1.1737754595568363E-3</v>
      </c>
      <c r="C36">
        <f t="shared" si="1"/>
        <v>6500</v>
      </c>
    </row>
    <row r="37" spans="2:3" x14ac:dyDescent="0.25">
      <c r="B37">
        <f t="shared" si="0"/>
        <v>1.4649445766562463E-3</v>
      </c>
      <c r="C37">
        <f t="shared" si="1"/>
        <v>7000</v>
      </c>
    </row>
    <row r="38" spans="2:3" x14ac:dyDescent="0.25">
      <c r="B38">
        <f t="shared" si="0"/>
        <v>1.8002974421282847E-3</v>
      </c>
      <c r="C38">
        <f t="shared" si="1"/>
        <v>7500</v>
      </c>
    </row>
    <row r="39" spans="2:3" x14ac:dyDescent="0.25">
      <c r="B39">
        <f t="shared" si="0"/>
        <v>2.1827885823227922E-3</v>
      </c>
      <c r="C39">
        <f t="shared" si="1"/>
        <v>8000</v>
      </c>
    </row>
    <row r="40" spans="2:3" x14ac:dyDescent="0.25">
      <c r="B40">
        <f t="shared" si="0"/>
        <v>2.6153157758011638E-3</v>
      </c>
      <c r="C40">
        <f t="shared" si="1"/>
        <v>8500</v>
      </c>
    </row>
    <row r="41" spans="2:3" x14ac:dyDescent="0.25">
      <c r="B41">
        <f t="shared" si="0"/>
        <v>3.1007125989183093E-3</v>
      </c>
      <c r="C41">
        <f t="shared" si="1"/>
        <v>9000</v>
      </c>
    </row>
    <row r="42" spans="2:3" x14ac:dyDescent="0.25">
      <c r="B42">
        <f t="shared" si="0"/>
        <v>3.6417406094471309E-3</v>
      </c>
      <c r="C42">
        <f t="shared" si="1"/>
        <v>9500</v>
      </c>
    </row>
    <row r="43" spans="2:3" x14ac:dyDescent="0.25">
      <c r="B43">
        <f t="shared" si="0"/>
        <v>4.2410811978808027E-3</v>
      </c>
      <c r="C43">
        <f t="shared" si="1"/>
        <v>10000</v>
      </c>
    </row>
    <row r="44" spans="2:3" x14ac:dyDescent="0.25">
      <c r="B44">
        <f t="shared" si="0"/>
        <v>4.9013271393022924E-3</v>
      </c>
      <c r="C44">
        <f t="shared" si="1"/>
        <v>10500</v>
      </c>
    </row>
    <row r="45" spans="2:3" x14ac:dyDescent="0.25">
      <c r="B45">
        <f t="shared" si="0"/>
        <v>5.6249738820245872E-3</v>
      </c>
      <c r="C45">
        <f t="shared" si="1"/>
        <v>11000</v>
      </c>
    </row>
    <row r="46" spans="2:3" x14ac:dyDescent="0.25">
      <c r="B46">
        <f t="shared" si="0"/>
        <v>6.4144106125502594E-3</v>
      </c>
      <c r="C46">
        <f t="shared" si="1"/>
        <v>11500</v>
      </c>
    </row>
    <row r="47" spans="2:3" x14ac:dyDescent="0.25">
      <c r="B47">
        <f t="shared" si="0"/>
        <v>7.2719111397427484E-3</v>
      </c>
      <c r="C47">
        <f t="shared" si="1"/>
        <v>12000</v>
      </c>
    </row>
    <row r="48" spans="2:3" x14ac:dyDescent="0.25">
      <c r="B48">
        <f t="shared" si="0"/>
        <v>8.1996246444144827E-3</v>
      </c>
      <c r="C48">
        <f t="shared" si="1"/>
        <v>12500</v>
      </c>
    </row>
    <row r="49" spans="2:3" x14ac:dyDescent="0.25">
      <c r="B49">
        <f t="shared" si="0"/>
        <v>9.1995663437769003E-3</v>
      </c>
      <c r="C49">
        <f t="shared" si="1"/>
        <v>13000</v>
      </c>
    </row>
    <row r="50" spans="2:3" x14ac:dyDescent="0.25">
      <c r="B50">
        <f t="shared" si="0"/>
        <v>1.0273608123333956E-2</v>
      </c>
      <c r="C50">
        <f t="shared" si="1"/>
        <v>13500</v>
      </c>
    </row>
    <row r="51" spans="2:3" x14ac:dyDescent="0.25">
      <c r="B51">
        <f t="shared" si="0"/>
        <v>1.1423469191788382E-2</v>
      </c>
      <c r="C51">
        <f t="shared" si="1"/>
        <v>14000</v>
      </c>
    </row>
    <row r="52" spans="2:3" x14ac:dyDescent="0.25">
      <c r="B52">
        <f t="shared" si="0"/>
        <v>1.2650706817332047E-2</v>
      </c>
      <c r="C52">
        <f t="shared" si="1"/>
        <v>14500</v>
      </c>
    </row>
    <row r="53" spans="2:3" x14ac:dyDescent="0.25">
      <c r="B53">
        <f t="shared" si="0"/>
        <v>1.3956707206263963E-2</v>
      </c>
      <c r="C53">
        <f t="shared" si="1"/>
        <v>15000</v>
      </c>
    </row>
    <row r="54" spans="2:3" x14ac:dyDescent="0.25">
      <c r="B54">
        <f t="shared" si="0"/>
        <v>1.5342676587180182E-2</v>
      </c>
      <c r="C54">
        <f t="shared" si="1"/>
        <v>15500</v>
      </c>
    </row>
    <row r="55" spans="2:3" x14ac:dyDescent="0.25">
      <c r="B55">
        <f t="shared" si="0"/>
        <v>1.6809632565965439E-2</v>
      </c>
      <c r="C55">
        <f t="shared" si="1"/>
        <v>16000</v>
      </c>
    </row>
    <row r="56" spans="2:3" x14ac:dyDescent="0.25">
      <c r="B56">
        <f t="shared" si="0"/>
        <v>1.8358395818443476E-2</v>
      </c>
      <c r="C56">
        <f t="shared" si="1"/>
        <v>16500</v>
      </c>
    </row>
    <row r="57" spans="2:3" x14ac:dyDescent="0.25">
      <c r="B57">
        <f t="shared" si="0"/>
        <v>1.9989582188770449E-2</v>
      </c>
      <c r="C57">
        <f t="shared" si="1"/>
        <v>17000</v>
      </c>
    </row>
    <row r="58" spans="2:3" x14ac:dyDescent="0.25">
      <c r="B58">
        <f t="shared" si="0"/>
        <v>2.1703595262441103E-2</v>
      </c>
      <c r="C58">
        <f t="shared" si="1"/>
        <v>17500</v>
      </c>
    </row>
    <row r="59" spans="2:3" x14ac:dyDescent="0.25">
      <c r="B59">
        <f t="shared" si="0"/>
        <v>2.3500619483080909E-2</v>
      </c>
      <c r="C59">
        <f t="shared" si="1"/>
        <v>18000</v>
      </c>
    </row>
    <row r="60" spans="2:3" x14ac:dyDescent="0.25">
      <c r="B60">
        <f t="shared" si="0"/>
        <v>2.538061388198436E-2</v>
      </c>
      <c r="C60">
        <f t="shared" si="1"/>
        <v>18500</v>
      </c>
    </row>
    <row r="61" spans="2:3" x14ac:dyDescent="0.25">
      <c r="B61">
        <f t="shared" si="0"/>
        <v>2.7343306488591249E-2</v>
      </c>
      <c r="C61">
        <f t="shared" si="1"/>
        <v>19000</v>
      </c>
    </row>
    <row r="62" spans="2:3" x14ac:dyDescent="0.25">
      <c r="B62">
        <f t="shared" si="0"/>
        <v>2.9388189488745109E-2</v>
      </c>
      <c r="C62">
        <f t="shared" si="1"/>
        <v>19500</v>
      </c>
    </row>
    <row r="63" spans="2:3" x14ac:dyDescent="0.25">
      <c r="B63">
        <f t="shared" si="0"/>
        <v>3.1514515195616613E-2</v>
      </c>
      <c r="C63">
        <f t="shared" si="1"/>
        <v>20000</v>
      </c>
    </row>
    <row r="64" spans="2:3" x14ac:dyDescent="0.25">
      <c r="B64">
        <f t="shared" si="0"/>
        <v>3.372129289558741E-2</v>
      </c>
      <c r="C64">
        <f t="shared" si="1"/>
        <v>20500</v>
      </c>
    </row>
    <row r="65" spans="2:3" x14ac:dyDescent="0.25">
      <c r="B65">
        <f t="shared" si="0"/>
        <v>3.6007286628151627E-2</v>
      </c>
      <c r="C65">
        <f t="shared" si="1"/>
        <v>21000</v>
      </c>
    </row>
    <row r="66" spans="2:3" x14ac:dyDescent="0.25">
      <c r="B66">
        <f t="shared" si="0"/>
        <v>3.8371013955001823E-2</v>
      </c>
      <c r="C66">
        <f t="shared" si="1"/>
        <v>21500</v>
      </c>
    </row>
    <row r="67" spans="2:3" x14ac:dyDescent="0.25">
      <c r="B67">
        <f t="shared" si="0"/>
        <v>4.0810745768913415E-2</v>
      </c>
      <c r="C67">
        <f t="shared" si="1"/>
        <v>22000</v>
      </c>
    </row>
    <row r="68" spans="2:3" x14ac:dyDescent="0.25">
      <c r="B68">
        <f t="shared" si="0"/>
        <v>4.3324507187836363E-2</v>
      </c>
      <c r="C68">
        <f t="shared" si="1"/>
        <v>22500</v>
      </c>
    </row>
    <row r="69" spans="2:3" x14ac:dyDescent="0.25">
      <c r="B69">
        <f t="shared" si="0"/>
        <v>4.5910079573753593E-2</v>
      </c>
      <c r="C69">
        <f t="shared" si="1"/>
        <v>23000</v>
      </c>
    </row>
    <row r="70" spans="2:3" x14ac:dyDescent="0.25">
      <c r="B70">
        <f t="shared" si="0"/>
        <v>4.8565003709393588E-2</v>
      </c>
      <c r="C70">
        <f t="shared" si="1"/>
        <v>23500</v>
      </c>
    </row>
    <row r="71" spans="2:3" x14ac:dyDescent="0.25">
      <c r="B71">
        <f t="shared" si="0"/>
        <v>5.1286584158818753E-2</v>
      </c>
      <c r="C71">
        <f t="shared" si="1"/>
        <v>24000</v>
      </c>
    </row>
    <row r="72" spans="2:3" x14ac:dyDescent="0.25">
      <c r="B72">
        <f t="shared" si="0"/>
        <v>5.407189483028596E-2</v>
      </c>
      <c r="C72">
        <f t="shared" si="1"/>
        <v>24500</v>
      </c>
    </row>
    <row r="73" spans="2:3" x14ac:dyDescent="0.25">
      <c r="B73">
        <f t="shared" si="0"/>
        <v>5.6917785751641151E-2</v>
      </c>
      <c r="C73">
        <f t="shared" si="1"/>
        <v>25000</v>
      </c>
    </row>
    <row r="74" spans="2:3" x14ac:dyDescent="0.25">
      <c r="B74">
        <f t="shared" si="0"/>
        <v>5.982089105991404E-2</v>
      </c>
      <c r="C74">
        <f t="shared" si="1"/>
        <v>25500</v>
      </c>
    </row>
    <row r="75" spans="2:3" x14ac:dyDescent="0.25">
      <c r="B75">
        <f t="shared" si="0"/>
        <v>6.2777638197790697E-2</v>
      </c>
      <c r="C75">
        <f t="shared" si="1"/>
        <v>26000</v>
      </c>
    </row>
    <row r="76" spans="2:3" x14ac:dyDescent="0.25">
      <c r="B76">
        <f t="shared" si="0"/>
        <v>6.5784258300326109E-2</v>
      </c>
      <c r="C76">
        <f t="shared" si="1"/>
        <v>26500</v>
      </c>
    </row>
    <row r="77" spans="2:3" x14ac:dyDescent="0.25">
      <c r="B77">
        <f t="shared" si="0"/>
        <v>6.8836797745699688E-2</v>
      </c>
      <c r="C77">
        <f t="shared" si="1"/>
        <v>27000</v>
      </c>
    </row>
    <row r="78" spans="2:3" x14ac:dyDescent="0.25">
      <c r="B78">
        <f t="shared" si="0"/>
        <v>7.1931130834093512E-2</v>
      </c>
      <c r="C78">
        <f t="shared" si="1"/>
        <v>27500</v>
      </c>
    </row>
    <row r="79" spans="2:3" x14ac:dyDescent="0.25">
      <c r="B79">
        <f t="shared" si="0"/>
        <v>7.506297354898428E-2</v>
      </c>
      <c r="C79">
        <f t="shared" si="1"/>
        <v>28000</v>
      </c>
    </row>
    <row r="80" spans="2:3" x14ac:dyDescent="0.25">
      <c r="B80">
        <f t="shared" si="0"/>
        <v>7.8227898345377744E-2</v>
      </c>
      <c r="C80">
        <f t="shared" si="1"/>
        <v>28500</v>
      </c>
    </row>
    <row r="81" spans="2:3" x14ac:dyDescent="0.25">
      <c r="B81">
        <f t="shared" si="0"/>
        <v>8.142134989988481E-2</v>
      </c>
      <c r="C81">
        <f t="shared" si="1"/>
        <v>29000</v>
      </c>
    </row>
    <row r="82" spans="2:3" x14ac:dyDescent="0.25">
      <c r="B82">
        <f t="shared" si="0"/>
        <v>8.4638661748143884E-2</v>
      </c>
      <c r="C82">
        <f t="shared" si="1"/>
        <v>29500</v>
      </c>
    </row>
    <row r="83" spans="2:3" x14ac:dyDescent="0.25">
      <c r="B83">
        <f t="shared" si="0"/>
        <v>8.787507372604586E-2</v>
      </c>
      <c r="C83">
        <f t="shared" si="1"/>
        <v>30000</v>
      </c>
    </row>
    <row r="84" spans="2:3" x14ac:dyDescent="0.25">
      <c r="B84">
        <f t="shared" si="0"/>
        <v>9.1125750122621946E-2</v>
      </c>
      <c r="C84">
        <f t="shared" si="1"/>
        <v>30500</v>
      </c>
    </row>
    <row r="85" spans="2:3" x14ac:dyDescent="0.25">
      <c r="B85">
        <f t="shared" si="0"/>
        <v>9.438579844442066E-2</v>
      </c>
      <c r="C85">
        <f t="shared" si="1"/>
        <v>31000</v>
      </c>
    </row>
    <row r="86" spans="2:3" x14ac:dyDescent="0.25">
      <c r="B86">
        <f t="shared" si="0"/>
        <v>9.7650288683833367E-2</v>
      </c>
      <c r="C86">
        <f t="shared" si="1"/>
        <v>31500</v>
      </c>
    </row>
    <row r="87" spans="2:3" x14ac:dyDescent="0.25">
      <c r="B87">
        <f t="shared" si="0"/>
        <v>0.10091427297723279</v>
      </c>
      <c r="C87">
        <f t="shared" si="1"/>
        <v>32000</v>
      </c>
    </row>
    <row r="88" spans="2:3" x14ac:dyDescent="0.25">
      <c r="B88">
        <f t="shared" ref="B88:B124" si="2">(1-EXP(-((C88/$B$19-($B$18-0.5))/$B$16)^$B$17))*$B$15</f>
        <v>0.10417280553305999</v>
      </c>
      <c r="C88">
        <f t="shared" si="1"/>
        <v>32500</v>
      </c>
    </row>
    <row r="89" spans="2:3" x14ac:dyDescent="0.25">
      <c r="B89">
        <f t="shared" si="2"/>
        <v>0.10742096270522571</v>
      </c>
      <c r="C89">
        <f t="shared" si="1"/>
        <v>33000</v>
      </c>
    </row>
    <row r="90" spans="2:3" x14ac:dyDescent="0.25">
      <c r="B90">
        <f t="shared" si="2"/>
        <v>0.11065386308346375</v>
      </c>
      <c r="C90">
        <f t="shared" si="1"/>
        <v>33500</v>
      </c>
    </row>
    <row r="91" spans="2:3" x14ac:dyDescent="0.25">
      <c r="B91">
        <f t="shared" si="2"/>
        <v>0.11386668746965854</v>
      </c>
      <c r="C91">
        <f t="shared" ref="C91:C124" si="3">C90+500</f>
        <v>34000</v>
      </c>
    </row>
    <row r="92" spans="2:3" x14ac:dyDescent="0.25">
      <c r="B92">
        <f t="shared" si="2"/>
        <v>0.11705469860772776</v>
      </c>
      <c r="C92">
        <f t="shared" si="3"/>
        <v>34500</v>
      </c>
    </row>
    <row r="93" spans="2:3" x14ac:dyDescent="0.25">
      <c r="B93">
        <f t="shared" si="2"/>
        <v>0.12021326053442474</v>
      </c>
      <c r="C93">
        <f t="shared" si="3"/>
        <v>35000</v>
      </c>
    </row>
    <row r="94" spans="2:3" x14ac:dyDescent="0.25">
      <c r="B94">
        <f t="shared" si="2"/>
        <v>0.12333785741946623</v>
      </c>
      <c r="C94">
        <f t="shared" si="3"/>
        <v>35500</v>
      </c>
    </row>
    <row r="95" spans="2:3" x14ac:dyDescent="0.25">
      <c r="B95">
        <f t="shared" si="2"/>
        <v>0.12642411176571153</v>
      </c>
      <c r="C95">
        <f t="shared" si="3"/>
        <v>36000</v>
      </c>
    </row>
    <row r="96" spans="2:3" x14ac:dyDescent="0.25">
      <c r="B96">
        <f t="shared" si="2"/>
        <v>0.12946780184372289</v>
      </c>
      <c r="C96">
        <f t="shared" si="3"/>
        <v>36500</v>
      </c>
    </row>
    <row r="97" spans="2:3" x14ac:dyDescent="0.25">
      <c r="B97">
        <f t="shared" si="2"/>
        <v>0.1324648782399141</v>
      </c>
      <c r="C97">
        <f t="shared" si="3"/>
        <v>37000</v>
      </c>
    </row>
    <row r="98" spans="2:3" x14ac:dyDescent="0.25">
      <c r="B98">
        <f t="shared" si="2"/>
        <v>0.13541147940361392</v>
      </c>
      <c r="C98">
        <f t="shared" si="3"/>
        <v>37500</v>
      </c>
    </row>
    <row r="99" spans="2:3" x14ac:dyDescent="0.25">
      <c r="B99">
        <f t="shared" si="2"/>
        <v>0.1383039460856948</v>
      </c>
      <c r="C99">
        <f t="shared" si="3"/>
        <v>38000</v>
      </c>
    </row>
    <row r="100" spans="2:3" x14ac:dyDescent="0.25">
      <c r="B100">
        <f t="shared" si="2"/>
        <v>0.14113883456987392</v>
      </c>
      <c r="C100">
        <f t="shared" si="3"/>
        <v>38500</v>
      </c>
    </row>
    <row r="101" spans="2:3" x14ac:dyDescent="0.25">
      <c r="B101">
        <f t="shared" si="2"/>
        <v>0.1439129286073208</v>
      </c>
      <c r="C101">
        <f t="shared" si="3"/>
        <v>39000</v>
      </c>
    </row>
    <row r="102" spans="2:3" x14ac:dyDescent="0.25">
      <c r="B102">
        <f t="shared" si="2"/>
        <v>0.14662324997569645</v>
      </c>
      <c r="C102">
        <f t="shared" si="3"/>
        <v>39500</v>
      </c>
    </row>
    <row r="103" spans="2:3" x14ac:dyDescent="0.25">
      <c r="B103">
        <f t="shared" si="2"/>
        <v>0.14926706759510625</v>
      </c>
      <c r="C103">
        <f t="shared" si="3"/>
        <v>40000</v>
      </c>
    </row>
    <row r="104" spans="2:3" x14ac:dyDescent="0.25">
      <c r="B104">
        <f t="shared" si="2"/>
        <v>0.15184190514555035</v>
      </c>
      <c r="C104">
        <f t="shared" si="3"/>
        <v>40500</v>
      </c>
    </row>
    <row r="105" spans="2:3" x14ac:dyDescent="0.25">
      <c r="B105">
        <f t="shared" si="2"/>
        <v>0.15434554714316789</v>
      </c>
      <c r="C105">
        <f t="shared" si="3"/>
        <v>41000</v>
      </c>
    </row>
    <row r="106" spans="2:3" x14ac:dyDescent="0.25">
      <c r="B106">
        <f t="shared" si="2"/>
        <v>0.15677604344575632</v>
      </c>
      <c r="C106">
        <f t="shared" si="3"/>
        <v>41500</v>
      </c>
    </row>
    <row r="107" spans="2:3" x14ac:dyDescent="0.25">
      <c r="B107">
        <f t="shared" si="2"/>
        <v>0.1591317121715517</v>
      </c>
      <c r="C107">
        <f t="shared" si="3"/>
        <v>42000</v>
      </c>
    </row>
    <row r="108" spans="2:3" x14ac:dyDescent="0.25">
      <c r="B108">
        <f t="shared" si="2"/>
        <v>0.16141114102892998</v>
      </c>
      <c r="C108">
        <f t="shared" si="3"/>
        <v>42500</v>
      </c>
    </row>
    <row r="109" spans="2:3" x14ac:dyDescent="0.25">
      <c r="B109">
        <f t="shared" si="2"/>
        <v>0.16361318706836692</v>
      </c>
      <c r="C109">
        <f t="shared" si="3"/>
        <v>43000</v>
      </c>
    </row>
    <row r="110" spans="2:3" x14ac:dyDescent="0.25">
      <c r="B110">
        <f t="shared" si="2"/>
        <v>0.16573697488151984</v>
      </c>
      <c r="C110">
        <f t="shared" si="3"/>
        <v>43500</v>
      </c>
    </row>
    <row r="111" spans="2:3" x14ac:dyDescent="0.25">
      <c r="B111">
        <f t="shared" si="2"/>
        <v>0.16778189328550838</v>
      </c>
      <c r="C111">
        <f t="shared" si="3"/>
        <v>44000</v>
      </c>
    </row>
    <row r="112" spans="2:3" x14ac:dyDescent="0.25">
      <c r="B112">
        <f t="shared" si="2"/>
        <v>0.16974759054321262</v>
      </c>
      <c r="C112">
        <f t="shared" si="3"/>
        <v>44500</v>
      </c>
    </row>
    <row r="113" spans="2:3" x14ac:dyDescent="0.25">
      <c r="B113">
        <f t="shared" si="2"/>
        <v>0.17163396818253152</v>
      </c>
      <c r="C113">
        <f t="shared" si="3"/>
        <v>45000</v>
      </c>
    </row>
    <row r="114" spans="2:3" x14ac:dyDescent="0.25">
      <c r="B114">
        <f t="shared" si="2"/>
        <v>0.17344117348890589</v>
      </c>
      <c r="C114">
        <f t="shared" si="3"/>
        <v>45500</v>
      </c>
    </row>
    <row r="115" spans="2:3" x14ac:dyDescent="0.25">
      <c r="B115">
        <f t="shared" si="2"/>
        <v>0.17516959075587743</v>
      </c>
      <c r="C115">
        <f t="shared" si="3"/>
        <v>46000</v>
      </c>
    </row>
    <row r="116" spans="2:3" x14ac:dyDescent="0.25">
      <c r="B116">
        <f t="shared" si="2"/>
        <v>0.17681983138790913</v>
      </c>
      <c r="C116">
        <f t="shared" si="3"/>
        <v>46500</v>
      </c>
    </row>
    <row r="117" spans="2:3" x14ac:dyDescent="0.25">
      <c r="B117">
        <f t="shared" si="2"/>
        <v>0.17839272295802988</v>
      </c>
      <c r="C117">
        <f t="shared" si="3"/>
        <v>47000</v>
      </c>
    </row>
    <row r="118" spans="2:3" x14ac:dyDescent="0.25">
      <c r="B118">
        <f t="shared" si="2"/>
        <v>0.17988929732999137</v>
      </c>
      <c r="C118">
        <f t="shared" si="3"/>
        <v>47500</v>
      </c>
    </row>
    <row r="119" spans="2:3" x14ac:dyDescent="0.25">
      <c r="B119">
        <f t="shared" si="2"/>
        <v>0.18131077796047496</v>
      </c>
      <c r="C119">
        <f t="shared" si="3"/>
        <v>48000</v>
      </c>
    </row>
    <row r="120" spans="2:3" x14ac:dyDescent="0.25">
      <c r="B120">
        <f t="shared" si="2"/>
        <v>0.18265856650140078</v>
      </c>
      <c r="C120">
        <f t="shared" si="3"/>
        <v>48500</v>
      </c>
    </row>
    <row r="121" spans="2:3" x14ac:dyDescent="0.25">
      <c r="B121">
        <f t="shared" si="2"/>
        <v>0.18393422882553601</v>
      </c>
      <c r="C121">
        <f t="shared" si="3"/>
        <v>49000</v>
      </c>
    </row>
    <row r="122" spans="2:3" x14ac:dyDescent="0.25">
      <c r="B122">
        <f t="shared" si="2"/>
        <v>0.18513948060036278</v>
      </c>
      <c r="C122">
        <f t="shared" si="3"/>
        <v>49500</v>
      </c>
    </row>
    <row r="123" spans="2:3" x14ac:dyDescent="0.25">
      <c r="B123">
        <f t="shared" si="2"/>
        <v>0.18627617253555084</v>
      </c>
      <c r="C123">
        <f t="shared" si="3"/>
        <v>50000</v>
      </c>
    </row>
    <row r="124" spans="2:3" x14ac:dyDescent="0.25">
      <c r="B124">
        <f t="shared" si="2"/>
        <v>0.18734627542840634</v>
      </c>
      <c r="C124">
        <f t="shared" si="3"/>
        <v>50500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C2E7-868E-446E-8321-CDDE5386BCAC}">
  <sheetPr>
    <tabColor rgb="FF002060"/>
  </sheetPr>
  <dimension ref="A1:CF2"/>
  <sheetViews>
    <sheetView workbookViewId="0">
      <selection activeCell="A22" sqref="A22"/>
    </sheetView>
  </sheetViews>
  <sheetFormatPr defaultRowHeight="15" x14ac:dyDescent="0.25"/>
  <cols>
    <col min="1" max="1" width="23.5703125" bestFit="1" customWidth="1"/>
    <col min="3" max="3" width="12.7109375" bestFit="1" customWidth="1"/>
  </cols>
  <sheetData>
    <row r="1" spans="1:84" x14ac:dyDescent="0.25">
      <c r="A1" t="s">
        <v>3</v>
      </c>
      <c r="B1">
        <f>(1-EXP(-((B2/About!$B$19-(About!$B$18-0.5))/About!$B$16)^About!$B$17))*About!$B$15</f>
        <v>0</v>
      </c>
      <c r="C1">
        <f>(1-EXP(-((C2/About!$B$19-(About!$B$18-0.5))/About!$B$16)^About!$B$17))*About!$B$15</f>
        <v>1.8084408978769062E-6</v>
      </c>
      <c r="D1">
        <f>(1-EXP(-((D2/About!$B$19-(About!$B$18-0.5))/About!$B$16)^About!$B$17))*About!$B$15</f>
        <v>1.4467069327128713E-5</v>
      </c>
      <c r="E1">
        <f>(1-EXP(-((E2/About!$B$19-(About!$B$18-0.5))/About!$B$16)^About!$B$17))*About!$B$15</f>
        <v>4.8822165020556696E-5</v>
      </c>
      <c r="F1">
        <f>(1-EXP(-((F2/About!$B$19-(About!$B$18-0.5))/About!$B$16)^About!$B$17))*About!$B$15</f>
        <v>1.1570725740235322E-4</v>
      </c>
      <c r="G1">
        <f>(1-EXP(-((G2/About!$B$19-(About!$B$18-0.5))/About!$B$16)^About!$B$17))*About!$B$15</f>
        <v>2.2592842893849331E-4</v>
      </c>
      <c r="H1">
        <f>(1-EXP(-((H2/About!$B$19-(About!$B$18-0.5))/About!$B$16)^About!$B$17))*About!$B$15</f>
        <v>3.9024377850489512E-4</v>
      </c>
      <c r="I1">
        <f>(1-EXP(-((I2/About!$B$19-(About!$B$18-0.5))/About!$B$16)^About!$B$17))*About!$B$15</f>
        <v>6.1933710198034406E-4</v>
      </c>
      <c r="J1">
        <f>(1-EXP(-((J2/About!$B$19-(About!$B$18-0.5))/About!$B$16)^About!$B$17))*About!$B$15</f>
        <v>9.2378588268478008E-4</v>
      </c>
      <c r="K1">
        <f>(1-EXP(-((K2/About!$B$19-(About!$B$18-0.5))/About!$B$16)^About!$B$17))*About!$B$15</f>
        <v>1.314023728194358E-3</v>
      </c>
      <c r="L1">
        <f>(1-EXP(-((L2/About!$B$19-(About!$B$18-0.5))/About!$B$16)^About!$B$17))*About!$B$15</f>
        <v>1.8002974421282847E-3</v>
      </c>
      <c r="M1">
        <f>(1-EXP(-((M2/About!$B$19-(About!$B$18-0.5))/About!$B$16)^About!$B$17))*About!$B$15</f>
        <v>2.3926189792404132E-3</v>
      </c>
      <c r="N1">
        <f>(1-EXP(-((N2/About!$B$19-(About!$B$18-0.5))/About!$B$16)^About!$B$17))*About!$B$15</f>
        <v>3.1007125989183093E-3</v>
      </c>
      <c r="O1">
        <f>(1-EXP(-((O2/About!$B$19-(About!$B$18-0.5))/About!$B$16)^About!$B$17))*About!$B$15</f>
        <v>3.9339576051655948E-3</v>
      </c>
      <c r="P1">
        <f>(1-EXP(-((P2/About!$B$19-(About!$B$18-0.5))/About!$B$16)^About!$B$17))*About!$B$15</f>
        <v>4.9013271393022924E-3</v>
      </c>
      <c r="Q1">
        <f>(1-EXP(-((Q2/About!$B$19-(About!$B$18-0.5))/About!$B$16)^About!$B$17))*About!$B$15</f>
        <v>6.0113235737311978E-3</v>
      </c>
      <c r="R1">
        <f>(1-EXP(-((R2/About!$B$19-(About!$B$18-0.5))/About!$B$16)^About!$B$17))*About!$B$15</f>
        <v>7.2719111397427484E-3</v>
      </c>
      <c r="S1">
        <f>(1-EXP(-((S2/About!$B$19-(About!$B$18-0.5))/About!$B$16)^About!$B$17))*About!$B$15</f>
        <v>8.6904465078136549E-3</v>
      </c>
      <c r="T1">
        <f>(1-EXP(-((T2/About!$B$19-(About!$B$18-0.5))/About!$B$16)^About!$B$17))*About!$B$15</f>
        <v>1.0273608123333956E-2</v>
      </c>
      <c r="U1">
        <f>(1-EXP(-((U2/About!$B$19-(About!$B$18-0.5))/About!$B$16)^About!$B$17))*About!$B$15</f>
        <v>1.2027325182124038E-2</v>
      </c>
      <c r="V1">
        <f>(1-EXP(-((V2/About!$B$19-(About!$B$18-0.5))/About!$B$16)^About!$B$17))*About!$B$15</f>
        <v>1.3956707206263963E-2</v>
      </c>
      <c r="W1">
        <f>(1-EXP(-((W2/About!$B$19-(About!$B$18-0.5))/About!$B$16)^About!$B$17))*About!$B$15</f>
        <v>1.6065975249306242E-2</v>
      </c>
      <c r="X1">
        <f>(1-EXP(-((X2/About!$B$19-(About!$B$18-0.5))/About!$B$16)^About!$B$17))*About!$B$15</f>
        <v>1.8358395818443476E-2</v>
      </c>
      <c r="Y1">
        <f>(1-EXP(-((Y2/About!$B$19-(About!$B$18-0.5))/About!$B$16)^About!$B$17))*About!$B$15</f>
        <v>2.0836218647182148E-2</v>
      </c>
      <c r="Z1">
        <f>(1-EXP(-((Z2/About!$B$19-(About!$B$18-0.5))/About!$B$16)^About!$B$17))*About!$B$15</f>
        <v>2.3500619483080909E-2</v>
      </c>
      <c r="AA1">
        <f>(1-EXP(-((AA2/About!$B$19-(About!$B$18-0.5))/About!$B$16)^About!$B$17))*About!$B$15</f>
        <v>2.6351649068786332E-2</v>
      </c>
      <c r="AB1">
        <f>(1-EXP(-((AB2/About!$B$19-(About!$B$18-0.5))/About!$B$16)^About!$B$17))*About!$B$15</f>
        <v>2.9388189488745109E-2</v>
      </c>
      <c r="AC1">
        <f>(1-EXP(-((AC2/About!$B$19-(About!$B$18-0.5))/About!$B$16)^About!$B$17))*About!$B$15</f>
        <v>3.2607919026638753E-2</v>
      </c>
      <c r="AD1">
        <f>(1-EXP(-((AD2/About!$B$19-(About!$B$18-0.5))/About!$B$16)^About!$B$17))*About!$B$15</f>
        <v>3.6007286628151627E-2</v>
      </c>
      <c r="AE1">
        <f>(1-EXP(-((AE2/About!$B$19-(About!$B$18-0.5))/About!$B$16)^About!$B$17))*About!$B$15</f>
        <v>3.9581496988934053E-2</v>
      </c>
      <c r="AF1">
        <f>(1-EXP(-((AF2/About!$B$19-(About!$B$18-0.5))/About!$B$16)^About!$B$17))*About!$B$15</f>
        <v>4.3324507187836363E-2</v>
      </c>
      <c r="AG1">
        <f>(1-EXP(-((AG2/About!$B$19-(About!$B$18-0.5))/About!$B$16)^About!$B$17))*About!$B$15</f>
        <v>4.7229035660514646E-2</v>
      </c>
      <c r="AH1">
        <f>(1-EXP(-((AH2/About!$B$19-(About!$B$18-0.5))/About!$B$16)^About!$B$17))*About!$B$15</f>
        <v>5.1286584158818753E-2</v>
      </c>
      <c r="AI1">
        <f>(1-EXP(-((AI2/About!$B$19-(About!$B$18-0.5))/About!$B$16)^About!$B$17))*About!$B$15</f>
        <v>5.5487473168130901E-2</v>
      </c>
      <c r="AJ1">
        <f>(1-EXP(-((AJ2/About!$B$19-(About!$B$18-0.5))/About!$B$16)^About!$B$17))*About!$B$15</f>
        <v>5.982089105991404E-2</v>
      </c>
      <c r="AK1">
        <f>(1-EXP(-((AK2/About!$B$19-(About!$B$18-0.5))/About!$B$16)^About!$B$17))*About!$B$15</f>
        <v>6.4274957042773889E-2</v>
      </c>
      <c r="AL1">
        <f>(1-EXP(-((AL2/About!$B$19-(About!$B$18-0.5))/About!$B$16)^About!$B$17))*About!$B$15</f>
        <v>6.8836797745699688E-2</v>
      </c>
      <c r="AM1">
        <f>(1-EXP(-((AM2/About!$B$19-(About!$B$18-0.5))/About!$B$16)^About!$B$17))*About!$B$15</f>
        <v>7.3492637025887084E-2</v>
      </c>
      <c r="AN1">
        <f>(1-EXP(-((AN2/About!$B$19-(About!$B$18-0.5))/About!$B$16)^About!$B$17))*About!$B$15</f>
        <v>7.8227898345377744E-2</v>
      </c>
      <c r="AO1">
        <f>(1-EXP(-((AO2/About!$B$19-(About!$B$18-0.5))/About!$B$16)^About!$B$17))*About!$B$15</f>
        <v>8.3027318810954889E-2</v>
      </c>
      <c r="AP1">
        <f>(1-EXP(-((AP2/About!$B$19-(About!$B$18-0.5))/About!$B$16)^About!$B$17))*About!$B$15</f>
        <v>8.787507372604586E-2</v>
      </c>
      <c r="AQ1">
        <f>(1-EXP(-((AQ2/About!$B$19-(About!$B$18-0.5))/About!$B$16)^About!$B$17))*About!$B$15</f>
        <v>9.2754910267858384E-2</v>
      </c>
      <c r="AR1">
        <f>(1-EXP(-((AR2/About!$B$19-(About!$B$18-0.5))/About!$B$16)^About!$B$17))*About!$B$15</f>
        <v>9.7650288683833367E-2</v>
      </c>
      <c r="AS1">
        <f>(1-EXP(-((AS2/About!$B$19-(About!$B$18-0.5))/About!$B$16)^About!$B$17))*About!$B$15</f>
        <v>0.10254452920492661</v>
      </c>
      <c r="AT1">
        <f>(1-EXP(-((AT2/About!$B$19-(About!$B$18-0.5))/About!$B$16)^About!$B$17))*About!$B$15</f>
        <v>0.10742096270522571</v>
      </c>
      <c r="AU1">
        <f>(1-EXP(-((AU2/About!$B$19-(About!$B$18-0.5))/About!$B$16)^About!$B$17))*About!$B$15</f>
        <v>0.11226308300352937</v>
      </c>
      <c r="AV1">
        <f>(1-EXP(-((AV2/About!$B$19-(About!$B$18-0.5))/About!$B$16)^About!$B$17))*About!$B$15</f>
        <v>0.11705469860772776</v>
      </c>
      <c r="AW1">
        <f>(1-EXP(-((AW2/About!$B$19-(About!$B$18-0.5))/About!$B$16)^About!$B$17))*About!$B$15</f>
        <v>0.12178008165125719</v>
      </c>
      <c r="AX1">
        <f>(1-EXP(-((AX2/About!$B$19-(About!$B$18-0.5))/About!$B$16)^About!$B$17))*About!$B$15</f>
        <v>0.12642411176571153</v>
      </c>
      <c r="AY1">
        <f>(1-EXP(-((AY2/About!$B$19-(About!$B$18-0.5))/About!$B$16)^About!$B$17))*About!$B$15</f>
        <v>0.13097241267686607</v>
      </c>
      <c r="AZ1">
        <f>(1-EXP(-((AZ2/About!$B$19-(About!$B$18-0.5))/About!$B$16)^About!$B$17))*About!$B$15</f>
        <v>0.13541147940361392</v>
      </c>
      <c r="BA1">
        <f>(1-EXP(-((BA2/About!$B$19-(About!$B$18-0.5))/About!$B$16)^About!$B$17))*About!$B$15</f>
        <v>0.13972879407997515</v>
      </c>
      <c r="BB1">
        <f>(1-EXP(-((BB2/About!$B$19-(About!$B$18-0.5))/About!$B$16)^About!$B$17))*About!$B$15</f>
        <v>0.1439129286073208</v>
      </c>
      <c r="BC1">
        <f>(1-EXP(-((BC2/About!$B$19-(About!$B$18-0.5))/About!$B$16)^About!$B$17))*About!$B$15</f>
        <v>0.14795363257377489</v>
      </c>
      <c r="BD1">
        <f>(1-EXP(-((BD2/About!$B$19-(About!$B$18-0.5))/About!$B$16)^About!$B$17))*About!$B$15</f>
        <v>0.15184190514555035</v>
      </c>
      <c r="BE1">
        <f>(1-EXP(-((BE2/About!$B$19-(About!$B$18-0.5))/About!$B$16)^About!$B$17))*About!$B$15</f>
        <v>0.15557004993463353</v>
      </c>
      <c r="BF1">
        <f>(1-EXP(-((BF2/About!$B$19-(About!$B$18-0.5))/About!$B$16)^About!$B$17))*About!$B$15</f>
        <v>0.1591317121715517</v>
      </c>
      <c r="BG1">
        <f>(1-EXP(-((BG2/About!$B$19-(About!$B$18-0.5))/About!$B$16)^About!$B$17))*About!$B$15</f>
        <v>0.16252189785283866</v>
      </c>
      <c r="BH1">
        <f>(1-EXP(-((BH2/About!$B$19-(About!$B$18-0.5))/About!$B$16)^About!$B$17))*About!$B$15</f>
        <v>0.16573697488151984</v>
      </c>
      <c r="BI1">
        <f>(1-EXP(-((BI2/About!$B$19-(About!$B$18-0.5))/About!$B$16)^About!$B$17))*About!$B$15</f>
        <v>0.16877465656635493</v>
      </c>
      <c r="BJ1">
        <f>(1-EXP(-((BJ2/About!$B$19-(About!$B$18-0.5))/About!$B$16)^About!$B$17))*About!$B$15</f>
        <v>0.17163396818253152</v>
      </c>
      <c r="BK1">
        <f>(1-EXP(-((BK2/About!$B$19-(About!$B$18-0.5))/About!$B$16)^About!$B$17))*About!$B$15</f>
        <v>0.17431519761406211</v>
      </c>
      <c r="BL1">
        <f>(1-EXP(-((BL2/About!$B$19-(About!$B$18-0.5))/About!$B$16)^About!$B$17))*About!$B$15</f>
        <v>0.17681983138790913</v>
      </c>
      <c r="BM1">
        <f>(1-EXP(-((BM2/About!$B$19-(About!$B$18-0.5))/About!$B$16)^About!$B$17))*About!$B$15</f>
        <v>0.17915047766431236</v>
      </c>
      <c r="BN1">
        <f>(1-EXP(-((BN2/About!$B$19-(About!$B$18-0.5))/About!$B$16)^About!$B$17))*About!$B$15</f>
        <v>0.18131077796047496</v>
      </c>
      <c r="BO1">
        <f>(1-EXP(-((BO2/About!$B$19-(About!$B$18-0.5))/About!$B$16)^About!$B$17))*About!$B$15</f>
        <v>0.18330530955057037</v>
      </c>
      <c r="BP1">
        <f>(1-EXP(-((BP2/About!$B$19-(About!$B$18-0.5))/About!$B$16)^About!$B$17))*About!$B$15</f>
        <v>0.18513948060036278</v>
      </c>
      <c r="BQ1">
        <f>(1-EXP(-((BQ2/About!$B$19-(About!$B$18-0.5))/About!$B$16)^About!$B$17))*About!$B$15</f>
        <v>0.18681942015759484</v>
      </c>
      <c r="BR1">
        <f>(1-EXP(-((BR2/About!$B$19-(About!$B$18-0.5))/About!$B$16)^About!$B$17))*About!$B$15</f>
        <v>0.18835186512938695</v>
      </c>
      <c r="BS1">
        <f>(1-EXP(-((BS2/About!$B$19-(About!$B$18-0.5))/About!$B$16)^About!$B$17))*About!$B$15</f>
        <v>0.18974404633655748</v>
      </c>
      <c r="BT1">
        <f>(1-EXP(-((BT2/About!$B$19-(About!$B$18-0.5))/About!$B$16)^About!$B$17))*About!$B$15</f>
        <v>0.19100357564494788</v>
      </c>
      <c r="BU1">
        <f>(1-EXP(-((BU2/About!$B$19-(About!$B$18-0.5))/About!$B$16)^About!$B$17))*About!$B$15</f>
        <v>0.19213833603990588</v>
      </c>
      <c r="BV1">
        <f>(1-EXP(-((BV2/About!$B$19-(About!$B$18-0.5))/About!$B$16)^About!$B$17))*About!$B$15</f>
        <v>0.1931563763376668</v>
      </c>
      <c r="BW1">
        <f>(1-EXP(-((BW2/About!$B$19-(About!$B$18-0.5))/About!$B$16)^About!$B$17))*About!$B$15</f>
        <v>0.19406581202312914</v>
      </c>
      <c r="BX1">
        <f>(1-EXP(-((BX2/About!$B$19-(About!$B$18-0.5))/About!$B$16)^About!$B$17))*About!$B$15</f>
        <v>0.19487473347482187</v>
      </c>
      <c r="BY1">
        <f>(1-EXP(-((BY2/About!$B$19-(About!$B$18-0.5))/About!$B$16)^About!$B$17))*About!$B$15</f>
        <v>0.19559112259253686</v>
      </c>
      <c r="BZ1">
        <f>(1-EXP(-((BZ2/About!$B$19-(About!$B$18-0.5))/About!$B$16)^About!$B$17))*About!$B$15</f>
        <v>0.19622277858911699</v>
      </c>
      <c r="CA1">
        <f>(1-EXP(-((CA2/About!$B$19-(About!$B$18-0.5))/About!$B$16)^About!$B$17))*About!$B$15</f>
        <v>0.19677725345305985</v>
      </c>
      <c r="CB1">
        <f>(1-EXP(-((CB2/About!$B$19-(About!$B$18-0.5))/About!$B$16)^About!$B$17))*About!$B$15</f>
        <v>0.1972617973403015</v>
      </c>
      <c r="CC1">
        <f>(1-EXP(-((CC2/About!$B$19-(About!$B$18-0.5))/About!$B$16)^About!$B$17))*About!$B$15</f>
        <v>0.19768331391847932</v>
      </c>
      <c r="CD1">
        <f>(1-EXP(-((CD2/About!$B$19-(About!$B$18-0.5))/About!$B$16)^About!$B$17))*About!$B$15</f>
        <v>0.19804832547095644</v>
      </c>
      <c r="CE1">
        <f>(1-EXP(-((CE2/About!$B$19-(About!$B$18-0.5))/About!$B$16)^About!$B$17))*About!$B$15</f>
        <v>0.19836294737568722</v>
      </c>
      <c r="CF1">
        <f>(1-EXP(-((CF2/About!$B$19-(About!$B$18-0.5))/About!$B$16)^About!$B$17))*About!$B$15</f>
        <v>0.2</v>
      </c>
    </row>
    <row r="2" spans="1:84" x14ac:dyDescent="0.25">
      <c r="A2" t="s">
        <v>40</v>
      </c>
      <c r="B2">
        <v>0</v>
      </c>
      <c r="C2">
        <f>B2+750</f>
        <v>750</v>
      </c>
      <c r="D2">
        <f t="shared" ref="D2:BO2" si="0">C2+750</f>
        <v>1500</v>
      </c>
      <c r="E2">
        <f t="shared" si="0"/>
        <v>2250</v>
      </c>
      <c r="F2">
        <f t="shared" si="0"/>
        <v>3000</v>
      </c>
      <c r="G2">
        <f t="shared" si="0"/>
        <v>3750</v>
      </c>
      <c r="H2">
        <f t="shared" si="0"/>
        <v>4500</v>
      </c>
      <c r="I2">
        <f t="shared" si="0"/>
        <v>5250</v>
      </c>
      <c r="J2">
        <f t="shared" si="0"/>
        <v>6000</v>
      </c>
      <c r="K2">
        <f t="shared" si="0"/>
        <v>6750</v>
      </c>
      <c r="L2">
        <f t="shared" si="0"/>
        <v>7500</v>
      </c>
      <c r="M2">
        <f t="shared" si="0"/>
        <v>8250</v>
      </c>
      <c r="N2">
        <f t="shared" si="0"/>
        <v>9000</v>
      </c>
      <c r="O2">
        <f t="shared" si="0"/>
        <v>9750</v>
      </c>
      <c r="P2">
        <f t="shared" si="0"/>
        <v>10500</v>
      </c>
      <c r="Q2">
        <f t="shared" si="0"/>
        <v>11250</v>
      </c>
      <c r="R2">
        <f t="shared" si="0"/>
        <v>12000</v>
      </c>
      <c r="S2">
        <f t="shared" si="0"/>
        <v>12750</v>
      </c>
      <c r="T2">
        <f t="shared" si="0"/>
        <v>13500</v>
      </c>
      <c r="U2">
        <f t="shared" si="0"/>
        <v>14250</v>
      </c>
      <c r="V2">
        <f t="shared" si="0"/>
        <v>15000</v>
      </c>
      <c r="W2">
        <f t="shared" si="0"/>
        <v>15750</v>
      </c>
      <c r="X2">
        <f t="shared" si="0"/>
        <v>16500</v>
      </c>
      <c r="Y2">
        <f t="shared" si="0"/>
        <v>17250</v>
      </c>
      <c r="Z2">
        <f t="shared" si="0"/>
        <v>18000</v>
      </c>
      <c r="AA2">
        <f t="shared" si="0"/>
        <v>18750</v>
      </c>
      <c r="AB2">
        <f t="shared" si="0"/>
        <v>19500</v>
      </c>
      <c r="AC2">
        <f t="shared" si="0"/>
        <v>20250</v>
      </c>
      <c r="AD2">
        <f t="shared" si="0"/>
        <v>21000</v>
      </c>
      <c r="AE2">
        <f t="shared" si="0"/>
        <v>21750</v>
      </c>
      <c r="AF2">
        <f t="shared" si="0"/>
        <v>22500</v>
      </c>
      <c r="AG2">
        <f t="shared" si="0"/>
        <v>23250</v>
      </c>
      <c r="AH2">
        <f t="shared" si="0"/>
        <v>24000</v>
      </c>
      <c r="AI2">
        <f t="shared" si="0"/>
        <v>24750</v>
      </c>
      <c r="AJ2">
        <f t="shared" si="0"/>
        <v>25500</v>
      </c>
      <c r="AK2">
        <f t="shared" si="0"/>
        <v>26250</v>
      </c>
      <c r="AL2">
        <f t="shared" si="0"/>
        <v>27000</v>
      </c>
      <c r="AM2">
        <f t="shared" si="0"/>
        <v>27750</v>
      </c>
      <c r="AN2">
        <f t="shared" si="0"/>
        <v>28500</v>
      </c>
      <c r="AO2">
        <f t="shared" si="0"/>
        <v>29250</v>
      </c>
      <c r="AP2">
        <f t="shared" si="0"/>
        <v>30000</v>
      </c>
      <c r="AQ2">
        <f t="shared" si="0"/>
        <v>30750</v>
      </c>
      <c r="AR2">
        <f t="shared" si="0"/>
        <v>31500</v>
      </c>
      <c r="AS2">
        <f t="shared" si="0"/>
        <v>32250</v>
      </c>
      <c r="AT2">
        <f t="shared" si="0"/>
        <v>33000</v>
      </c>
      <c r="AU2">
        <f t="shared" si="0"/>
        <v>33750</v>
      </c>
      <c r="AV2">
        <f t="shared" si="0"/>
        <v>34500</v>
      </c>
      <c r="AW2">
        <f t="shared" si="0"/>
        <v>35250</v>
      </c>
      <c r="AX2">
        <f t="shared" si="0"/>
        <v>36000</v>
      </c>
      <c r="AY2">
        <f t="shared" si="0"/>
        <v>36750</v>
      </c>
      <c r="AZ2">
        <f t="shared" si="0"/>
        <v>37500</v>
      </c>
      <c r="BA2">
        <f t="shared" si="0"/>
        <v>38250</v>
      </c>
      <c r="BB2">
        <f t="shared" si="0"/>
        <v>39000</v>
      </c>
      <c r="BC2">
        <f t="shared" si="0"/>
        <v>39750</v>
      </c>
      <c r="BD2">
        <f t="shared" si="0"/>
        <v>40500</v>
      </c>
      <c r="BE2">
        <f t="shared" si="0"/>
        <v>41250</v>
      </c>
      <c r="BF2">
        <f t="shared" si="0"/>
        <v>42000</v>
      </c>
      <c r="BG2">
        <f t="shared" si="0"/>
        <v>42750</v>
      </c>
      <c r="BH2">
        <f t="shared" si="0"/>
        <v>43500</v>
      </c>
      <c r="BI2">
        <f t="shared" si="0"/>
        <v>44250</v>
      </c>
      <c r="BJ2">
        <f t="shared" si="0"/>
        <v>45000</v>
      </c>
      <c r="BK2">
        <f t="shared" si="0"/>
        <v>45750</v>
      </c>
      <c r="BL2">
        <f t="shared" si="0"/>
        <v>46500</v>
      </c>
      <c r="BM2">
        <f t="shared" si="0"/>
        <v>47250</v>
      </c>
      <c r="BN2">
        <f t="shared" si="0"/>
        <v>48000</v>
      </c>
      <c r="BO2">
        <f t="shared" si="0"/>
        <v>48750</v>
      </c>
      <c r="BP2">
        <f t="shared" ref="BP2:CE2" si="1">BO2+750</f>
        <v>49500</v>
      </c>
      <c r="BQ2">
        <f t="shared" si="1"/>
        <v>50250</v>
      </c>
      <c r="BR2">
        <f t="shared" si="1"/>
        <v>51000</v>
      </c>
      <c r="BS2">
        <f t="shared" si="1"/>
        <v>51750</v>
      </c>
      <c r="BT2">
        <f t="shared" si="1"/>
        <v>52500</v>
      </c>
      <c r="BU2">
        <f t="shared" si="1"/>
        <v>53250</v>
      </c>
      <c r="BV2">
        <f t="shared" si="1"/>
        <v>54000</v>
      </c>
      <c r="BW2">
        <f t="shared" si="1"/>
        <v>54750</v>
      </c>
      <c r="BX2">
        <f t="shared" si="1"/>
        <v>55500</v>
      </c>
      <c r="BY2">
        <f t="shared" si="1"/>
        <v>56250</v>
      </c>
      <c r="BZ2">
        <f t="shared" si="1"/>
        <v>57000</v>
      </c>
      <c r="CA2">
        <f t="shared" si="1"/>
        <v>57750</v>
      </c>
      <c r="CB2">
        <f t="shared" si="1"/>
        <v>58500</v>
      </c>
      <c r="CC2">
        <f t="shared" si="1"/>
        <v>59250</v>
      </c>
      <c r="CD2">
        <f t="shared" si="1"/>
        <v>60000</v>
      </c>
      <c r="CE2">
        <f t="shared" si="1"/>
        <v>60750</v>
      </c>
      <c r="CF2" s="2">
        <f>10^9</f>
        <v>1000000000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EED-C1F0-46D1-887C-CF4C1E6085B7}">
  <sheetPr>
    <tabColor rgb="FF002060"/>
  </sheetPr>
  <dimension ref="A1:B2"/>
  <sheetViews>
    <sheetView workbookViewId="0">
      <selection activeCell="A3" sqref="A3"/>
    </sheetView>
  </sheetViews>
  <sheetFormatPr defaultRowHeight="15" x14ac:dyDescent="0.25"/>
  <cols>
    <col min="1" max="1" width="17.5703125" bestFit="1" customWidth="1"/>
  </cols>
  <sheetData>
    <row r="1" spans="1:2" x14ac:dyDescent="0.25">
      <c r="A1" t="s">
        <v>33</v>
      </c>
    </row>
    <row r="2" spans="1:2" x14ac:dyDescent="0.25">
      <c r="A2" s="1" t="s">
        <v>34</v>
      </c>
      <c r="B2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497-B8E3-4CCE-9609-B49065717FEC}">
  <sheetPr>
    <tabColor rgb="FF002060"/>
  </sheetPr>
  <dimension ref="A1:AZ25"/>
  <sheetViews>
    <sheetView topLeftCell="AH1" workbookViewId="0">
      <selection activeCell="AZ1" sqref="AZ1"/>
    </sheetView>
  </sheetViews>
  <sheetFormatPr defaultRowHeight="15" x14ac:dyDescent="0.25"/>
  <cols>
    <col min="1" max="1" width="33.5703125" bestFit="1" customWidth="1"/>
  </cols>
  <sheetData>
    <row r="1" spans="1:52" x14ac:dyDescent="0.25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</row>
    <row r="2" spans="1:52" x14ac:dyDescent="0.2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 x14ac:dyDescent="0.25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 x14ac:dyDescent="0.2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5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 t="s">
        <v>10</v>
      </c>
      <c r="B7">
        <v>0.75</v>
      </c>
      <c r="C7">
        <v>0.75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  <c r="AB7">
        <v>0.75</v>
      </c>
      <c r="AC7">
        <v>0.75</v>
      </c>
      <c r="AD7">
        <v>0.75</v>
      </c>
      <c r="AE7">
        <v>0.75</v>
      </c>
      <c r="AF7">
        <v>0.75</v>
      </c>
      <c r="AG7">
        <v>0.75</v>
      </c>
      <c r="AH7">
        <v>0.75</v>
      </c>
      <c r="AI7">
        <v>0.75</v>
      </c>
      <c r="AJ7">
        <v>0.75</v>
      </c>
      <c r="AK7">
        <v>0.75</v>
      </c>
      <c r="AL7">
        <v>0.75</v>
      </c>
      <c r="AM7">
        <v>0.75</v>
      </c>
      <c r="AN7">
        <v>0.75</v>
      </c>
      <c r="AO7">
        <v>0.75</v>
      </c>
      <c r="AP7">
        <v>0.75</v>
      </c>
      <c r="AQ7">
        <v>0.75</v>
      </c>
      <c r="AR7">
        <v>0.75</v>
      </c>
      <c r="AS7">
        <v>0.75</v>
      </c>
      <c r="AT7">
        <v>0.75</v>
      </c>
      <c r="AU7">
        <v>0.75</v>
      </c>
      <c r="AV7">
        <v>0.75</v>
      </c>
      <c r="AW7">
        <v>0.75</v>
      </c>
      <c r="AX7">
        <v>0.75</v>
      </c>
      <c r="AY7">
        <v>0.75</v>
      </c>
      <c r="AZ7">
        <v>0.75</v>
      </c>
    </row>
    <row r="8" spans="1:52" x14ac:dyDescent="0.25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 x14ac:dyDescent="0.25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 x14ac:dyDescent="0.25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 x14ac:dyDescent="0.25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25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 x14ac:dyDescent="0.25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 x14ac:dyDescent="0.25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 x14ac:dyDescent="0.2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 x14ac:dyDescent="0.25">
      <c r="A17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 x14ac:dyDescent="0.25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 x14ac:dyDescent="0.25">
      <c r="A19" t="s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 x14ac:dyDescent="0.25">
      <c r="A20" t="s">
        <v>23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 x14ac:dyDescent="0.25">
      <c r="A21" t="s">
        <v>24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 x14ac:dyDescent="0.25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 x14ac:dyDescent="0.25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 x14ac:dyDescent="0.25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 x14ac:dyDescent="0.25">
      <c r="A25" t="s">
        <v>28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CSC-CSCCCMvSoECBtY</vt:lpstr>
      <vt:lpstr>CSC-CSCMBCfPTwNEC</vt:lpstr>
      <vt:lpstr>CSC-CSCSoCECBiaSY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2023-09-28T15:25:45Z</dcterms:created>
  <dcterms:modified xsi:type="dcterms:W3CDTF">2026-02-10T18:35:45Z</dcterms:modified>
</cp:coreProperties>
</file>