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13_ncr:1_{868C41B0-7E46-4805-952F-9E603374601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bout" sheetId="1" r:id="rId1"/>
    <sheet name="Fuhrman data" sheetId="7" r:id="rId2"/>
    <sheet name="ERWD-potential" sheetId="3" r:id="rId3"/>
    <sheet name="ERWD-energyintensity" sheetId="5" r:id="rId4"/>
    <sheet name="ERWD-capex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3" l="1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G2" i="3" a="1"/>
  <c r="G2" i="3" s="1"/>
  <c r="L2" i="3"/>
  <c r="F2" i="3" l="1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H2" i="3" l="1" a="1"/>
  <c r="H2" i="3" s="1"/>
  <c r="I2" i="3" s="1" a="1"/>
  <c r="I2" i="3" s="1"/>
  <c r="J2" i="3" s="1" a="1"/>
  <c r="J2" i="3" s="1"/>
  <c r="K2" i="3" s="1" a="1"/>
  <c r="K2" i="3" s="1"/>
  <c r="B2" i="5"/>
  <c r="N2" i="5" s="1"/>
  <c r="AF2" i="6"/>
  <c r="B2" i="6"/>
  <c r="M2" i="5" l="1"/>
  <c r="AC2" i="5"/>
  <c r="AA2" i="5"/>
  <c r="AB2" i="5"/>
  <c r="O2" i="5"/>
  <c r="K2" i="5"/>
  <c r="J2" i="5"/>
  <c r="C2" i="5"/>
  <c r="AF2" i="5"/>
  <c r="AE2" i="5"/>
  <c r="AD2" i="5"/>
  <c r="L2" i="5"/>
  <c r="I2" i="5"/>
  <c r="H2" i="5"/>
  <c r="G2" i="5"/>
  <c r="D2" i="5"/>
  <c r="Z2" i="5"/>
  <c r="F2" i="5"/>
  <c r="Y2" i="5"/>
  <c r="E2" i="5"/>
  <c r="X2" i="5"/>
  <c r="W2" i="5"/>
  <c r="V2" i="5"/>
  <c r="U2" i="5"/>
  <c r="T2" i="5"/>
  <c r="S2" i="5"/>
  <c r="R2" i="5"/>
  <c r="Q2" i="5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P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<sst xmlns="http://schemas.openxmlformats.org/spreadsheetml/2006/main" count="43" uniqueCount="43">
  <si>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>ERWD Enhanced Rock Weathering Potential</t>
  </si>
  <si>
    <t>ERWD Enhanced Rock Weathering Energy Intensity</t>
  </si>
  <si>
    <t>ERWD Enhanced Rock Weathering Amortized CapEx and OM</t>
  </si>
  <si>
    <t>Sources:</t>
  </si>
  <si>
    <t>Potential</t>
  </si>
  <si>
    <t>Fuhrman et al.</t>
  </si>
  <si>
    <t>Diverse carbon dioxide removal approaches could reduce impacts on the energy-water-land system</t>
  </si>
  <si>
    <t>https://www.nature.com/articles/s41558-023-01604-9</t>
  </si>
  <si>
    <t>Supplemental information, Figure 9</t>
  </si>
  <si>
    <t>Beering et al.</t>
  </si>
  <si>
    <t>Potential for large-scale CO2 removal via enhanced rock weathering with croplands</t>
  </si>
  <si>
    <t>https://www.nature.com/articles/s41586-020-2448-9</t>
  </si>
  <si>
    <t>Notes</t>
  </si>
  <si>
    <t>We report the US specific cost and potential.</t>
  </si>
  <si>
    <t>Because enhanced rock weathering involves the crushing of rock and application</t>
  </si>
  <si>
    <t>on fields, which are available technologies today, we assume the full potential</t>
  </si>
  <si>
    <t>could be realized as soon as 2030. However, it is worth noting that would require</t>
  </si>
  <si>
    <t>a very large scale-up of capacity and transportation logistics.</t>
  </si>
  <si>
    <t>Amortized CapEx and OM Cost Notes</t>
  </si>
  <si>
    <t>CapEx here should include the cost of equipment, maintenance, and labor.</t>
  </si>
  <si>
    <t>Energy costs are calculated separately in the model and should not be included here.</t>
  </si>
  <si>
    <t>2020 to 2012 USD</t>
  </si>
  <si>
    <t>BTU per GJ</t>
  </si>
  <si>
    <t>2020 cost adder (declines to 0 by 2050 in Fuhrman et al), Supplementary Table 3</t>
  </si>
  <si>
    <t>Total potential</t>
  </si>
  <si>
    <t>Best estimate, electrical energy inputs (GJ/tCO2), Supplemental Table 4</t>
  </si>
  <si>
    <t>metric tons/yr</t>
  </si>
  <si>
    <t>DAC Potential</t>
  </si>
  <si>
    <t>BTU/metric ton CO2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</si>
  <si>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</si>
  <si>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</si>
  <si>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</si>
  <si>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</si>
  <si>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</si>
  <si>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</si>
  <si>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</si>
  <si>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</si>
  <si>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</si>
  <si>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</si>
  <si>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$/metric ton CO2</t>
  </si>
  <si>
    <t>amortized CapEx</t>
  </si>
  <si>
    <t>Mexico</t>
  </si>
  <si>
    <t>MX representative cost per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</si>
</sst>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</xdr:rowOff>
    </xdr:from>
    <xdr:to>
      <xdr:col>6</xdr:col>
      <xdr:colOff>435135</xdr:colOff>
      <xdr:row>29</xdr:row>
      <xdr:rowOff>179651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C9408-8510-9476-05A0-D1CA178F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24050"/>
          <a:ext cx="5696745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ture.com/articles/s41586-020-2448-9" TargetMode="External"/><Relationship Id="rId1" Type="http://schemas.openxmlformats.org/officeDocument/2006/relationships/hyperlink" Target="https://www.nature.com/articles/s41558-023-01604-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B17" sqref="B17"/>
    </sheetView>
  </sheetViews>
  <sheetFormatPr baseColWidth="10" defaultColWidth="9.140625" defaultRowHeight="15" x14ac:dyDescent="0.25"/>
  <cols>
    <col min="1" max="1" width="20.85546875" customWidth="1"/>
    <col min="2" max="2" width="53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5" spans="1:2" x14ac:dyDescent="0.25">
      <c r="A5" s="1" t="s">
        <v>3</v>
      </c>
      <c r="B5" s="3" t="s">
        <v>4</v>
      </c>
    </row>
    <row r="6" spans="1:2" x14ac:dyDescent="0.25">
      <c r="B6" t="s">
        <v>5</v>
      </c>
    </row>
    <row r="7" spans="1:2" x14ac:dyDescent="0.25">
      <c r="B7" s="4">
        <v>2023</v>
      </c>
    </row>
    <row r="8" spans="1:2" ht="30" x14ac:dyDescent="0.25">
      <c r="B8" s="6" t="s">
        <v>6</v>
      </c>
    </row>
    <row r="9" spans="1:2" x14ac:dyDescent="0.25">
      <c r="B9" s="8" t="s">
        <v>7</v>
      </c>
    </row>
    <row r="10" spans="1:2" x14ac:dyDescent="0.25">
      <c r="B10" t="s">
        <v>8</v>
      </c>
    </row>
    <row r="12" spans="1:2" x14ac:dyDescent="0.25">
      <c r="B12" t="s">
        <v>9</v>
      </c>
    </row>
    <row r="13" spans="1:2" x14ac:dyDescent="0.25">
      <c r="B13" t="s">
        <v>10</v>
      </c>
    </row>
    <row r="14" spans="1:2" x14ac:dyDescent="0.25">
      <c r="B14" s="8" t="s">
        <v>11</v>
      </c>
    </row>
    <row r="19" spans="1:1" x14ac:dyDescent="0.25">
      <c r="A19" s="1" t="s">
        <v>12</v>
      </c>
    </row>
    <row r="20" spans="1:1" x14ac:dyDescent="0.25">
      <c r="A20" t="s">
        <v>13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7" spans="1:1" x14ac:dyDescent="0.25">
      <c r="A27" s="1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1" spans="1:1" x14ac:dyDescent="0.25">
      <c r="A31" t="s">
        <v>21</v>
      </c>
    </row>
    <row r="32" spans="1:1" x14ac:dyDescent="0.25">
      <c r="A32">
        <v>0.88711067149387013</v>
      </c>
    </row>
    <row r="34" spans="1:2" x14ac:dyDescent="0.25">
      <c r="A34" t="s">
        <v>22</v>
      </c>
      <c r="B34">
        <v>947817</v>
      </c>
    </row>
  </sheetData>
  <hyperlinks>
    <hyperlink ref="B9" r:id="rId1" xr:uid="{322CA8A5-32E0-4F81-8C6C-A08295ACD06A}"/>
    <hyperlink ref="B14" r:id="rId2" xr:uid="{C6718D8E-4D68-405D-8A37-FE0672F200A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2:B7"/>
  <sheetViews>
    <sheetView workbookViewId="0">
      <selection activeCell="A5" sqref="A5:B5"/>
    </sheetView>
  </sheetViews>
  <sheetFormatPr baseColWidth="10" defaultColWidth="9.140625" defaultRowHeight="15" x14ac:dyDescent="0.25"/>
  <cols>
    <col min="1" max="1" width="30.5703125" customWidth="1"/>
    <col min="4" max="5" width="11.85546875" bestFit="1" customWidth="1"/>
  </cols>
  <sheetData>
    <row r="2" spans="1:2" x14ac:dyDescent="0.25">
      <c r="B2" t="s">
        <v>41</v>
      </c>
    </row>
    <row r="3" spans="1:2" x14ac:dyDescent="0.25">
      <c r="A3" t="s">
        <v>42</v>
      </c>
      <c r="B3">
        <v>90</v>
      </c>
    </row>
    <row r="4" spans="1:2" ht="45" x14ac:dyDescent="0.25">
      <c r="A4" s="6" t="s">
        <v>23</v>
      </c>
      <c r="B4">
        <v>138</v>
      </c>
    </row>
    <row r="5" spans="1:2" x14ac:dyDescent="0.25">
      <c r="A5" s="6" t="s">
        <v>24</v>
      </c>
      <c r="B5">
        <v>90</v>
      </c>
    </row>
    <row r="6" spans="1:2" ht="45" x14ac:dyDescent="0.25">
      <c r="A6" s="6" t="s">
        <v>25</v>
      </c>
      <c r="B6">
        <v>0.66</v>
      </c>
    </row>
    <row r="7" spans="1:2" x14ac:dyDescent="0.25">
      <c r="A7" s="6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2"/>
  <sheetViews>
    <sheetView tabSelected="1" topLeftCell="AN1" workbookViewId="0">
      <selection activeCell="AZ7" sqref="AZ7"/>
    </sheetView>
  </sheetViews>
  <sheetFormatPr baseColWidth="10" defaultColWidth="9.140625" defaultRowHeight="15" x14ac:dyDescent="0.25"/>
  <cols>
    <col min="1" max="1" width="19.85546875" customWidth="1"/>
    <col min="2" max="21" width="9.42578125" bestFit="1" customWidth="1"/>
    <col min="22" max="22" width="10.85546875" bestFit="1" customWidth="1"/>
    <col min="23" max="32" width="9.42578125" bestFit="1" customWidth="1"/>
  </cols>
  <sheetData>
    <row r="1" spans="1:52" x14ac:dyDescent="0.25">
      <c r="A1" s="2" t="s">
        <v>26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27</v>
      </c>
      <c r="B2" s="7">
        <v>0</v>
      </c>
      <c r="C2" s="7">
        <v>0</v>
      </c>
      <c r="D2" s="7">
        <v>0</v>
      </c>
      <c r="E2" s="7">
        <v>0</v>
      </c>
      <c r="F2" s="7">
        <f>E2</f>
        <v>0</v>
      </c>
      <c r="G2" s="7" cm="1">
        <f t="array" ref="G2">TREND($L$2-$F$2)/COUNT($G$1:$L$1)+F2</f>
        <v>15000000</v>
      </c>
      <c r="H2" s="7" cm="1">
        <f t="array" ref="H2">TREND($L$2-$F$2)/COUNT($G$1:$L$1)+G2</f>
        <v>30000000</v>
      </c>
      <c r="I2" s="7" cm="1">
        <f t="array" ref="I2">TREND($L$2-$F$2)/COUNT($G$1:$L$1)+H2</f>
        <v>45000000</v>
      </c>
      <c r="J2" s="7" cm="1">
        <f t="array" ref="J2">TREND($L$2-$F$2)/COUNT($G$1:$L$1)+I2</f>
        <v>60000000</v>
      </c>
      <c r="K2" s="7" cm="1">
        <f t="array" ref="K2">TREND($L$2-$F$2)/COUNT($G$1:$L$1)+J2</f>
        <v>75000000</v>
      </c>
      <c r="L2" s="7">
        <f>'Fuhrman data'!$B$5*10^6</f>
        <v>90000000</v>
      </c>
      <c r="M2" s="7">
        <f>'Fuhrman data'!$B$5*10^6</f>
        <v>90000000</v>
      </c>
      <c r="N2" s="7">
        <f>'Fuhrman data'!$B$5*10^6</f>
        <v>90000000</v>
      </c>
      <c r="O2" s="7">
        <f>'Fuhrman data'!$B$5*10^6</f>
        <v>90000000</v>
      </c>
      <c r="P2" s="7">
        <f>'Fuhrman data'!$B$5*10^6</f>
        <v>90000000</v>
      </c>
      <c r="Q2" s="7">
        <f>'Fuhrman data'!$B$5*10^6</f>
        <v>90000000</v>
      </c>
      <c r="R2" s="7">
        <f>'Fuhrman data'!$B$5*10^6</f>
        <v>90000000</v>
      </c>
      <c r="S2" s="7">
        <f>'Fuhrman data'!$B$5*10^6</f>
        <v>90000000</v>
      </c>
      <c r="T2" s="7">
        <f>'Fuhrman data'!$B$5*10^6</f>
        <v>90000000</v>
      </c>
      <c r="U2" s="7">
        <f>'Fuhrman data'!$B$5*10^6</f>
        <v>90000000</v>
      </c>
      <c r="V2" s="7">
        <f>'Fuhrman data'!$B$5*10^6</f>
        <v>90000000</v>
      </c>
      <c r="W2" s="7">
        <f>'Fuhrman data'!$B$5*10^6</f>
        <v>90000000</v>
      </c>
      <c r="X2" s="7">
        <f>'Fuhrman data'!$B$5*10^6</f>
        <v>90000000</v>
      </c>
      <c r="Y2" s="7">
        <f>'Fuhrman data'!$B$5*10^6</f>
        <v>90000000</v>
      </c>
      <c r="Z2" s="7">
        <f>'Fuhrman data'!$B$5*10^6</f>
        <v>90000000</v>
      </c>
      <c r="AA2" s="7">
        <f>'Fuhrman data'!$B$5*10^6</f>
        <v>90000000</v>
      </c>
      <c r="AB2" s="7">
        <f>'Fuhrman data'!$B$5*10^6</f>
        <v>90000000</v>
      </c>
      <c r="AC2" s="7">
        <f>'Fuhrman data'!$B$5*10^6</f>
        <v>90000000</v>
      </c>
      <c r="AD2" s="7">
        <f>'Fuhrman data'!$B$5*10^6</f>
        <v>90000000</v>
      </c>
      <c r="AE2" s="7">
        <f>'Fuhrman data'!$B$5*10^6</f>
        <v>90000000</v>
      </c>
      <c r="AF2" s="7">
        <f>'Fuhrman data'!$B$5*10^6</f>
        <v>90000000</v>
      </c>
      <c r="AG2" s="7">
        <f>'Fuhrman data'!$B$5*10^6</f>
        <v>90000000</v>
      </c>
      <c r="AH2" s="7">
        <f>'Fuhrman data'!$B$5*10^6</f>
        <v>90000000</v>
      </c>
      <c r="AI2" s="7">
        <f>'Fuhrman data'!$B$5*10^6</f>
        <v>90000000</v>
      </c>
      <c r="AJ2" s="7">
        <f>'Fuhrman data'!$B$5*10^6</f>
        <v>90000000</v>
      </c>
      <c r="AK2" s="7">
        <f>'Fuhrman data'!$B$5*10^6</f>
        <v>90000000</v>
      </c>
      <c r="AL2" s="7">
        <f>'Fuhrman data'!$B$5*10^6</f>
        <v>90000000</v>
      </c>
      <c r="AM2" s="7">
        <f>'Fuhrman data'!$B$5*10^6</f>
        <v>90000000</v>
      </c>
      <c r="AN2" s="7">
        <f>'Fuhrman data'!$B$5*10^6</f>
        <v>90000000</v>
      </c>
      <c r="AO2" s="7">
        <f>'Fuhrman data'!$B$5*10^6</f>
        <v>90000000</v>
      </c>
      <c r="AP2" s="7">
        <f>'Fuhrman data'!$B$5*10^6</f>
        <v>90000000</v>
      </c>
      <c r="AQ2" s="7">
        <f>'Fuhrman data'!$B$5*10^6</f>
        <v>90000000</v>
      </c>
      <c r="AR2" s="7">
        <f>'Fuhrman data'!$B$5*10^6</f>
        <v>90000000</v>
      </c>
      <c r="AS2" s="7">
        <f>'Fuhrman data'!$B$5*10^6</f>
        <v>90000000</v>
      </c>
      <c r="AT2" s="7">
        <f>'Fuhrman data'!$B$5*10^6</f>
        <v>90000000</v>
      </c>
      <c r="AU2" s="7">
        <f>'Fuhrman data'!$B$5*10^6</f>
        <v>90000000</v>
      </c>
      <c r="AV2" s="7">
        <f>'Fuhrman data'!$B$5*10^6</f>
        <v>90000000</v>
      </c>
      <c r="AW2" s="7">
        <f>'Fuhrman data'!$B$5*10^6</f>
        <v>90000000</v>
      </c>
      <c r="AX2" s="7">
        <f>'Fuhrman data'!$B$5*10^6</f>
        <v>90000000</v>
      </c>
      <c r="AY2" s="7">
        <f>'Fuhrman data'!$B$5*10^6</f>
        <v>90000000</v>
      </c>
      <c r="AZ2" s="7">
        <f>'Fuhrman data'!$B$5*10^6</f>
        <v>90000000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F11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24.7109375" customWidth="1"/>
  </cols>
  <sheetData>
    <row r="1" spans="1:32" x14ac:dyDescent="0.25">
      <c r="A1" s="2" t="s">
        <v>28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29</v>
      </c>
      <c r="B2" s="5">
        <f>'Fuhrman data'!B6*About!B34</f>
        <v>625559.22</v>
      </c>
      <c r="C2" s="5">
        <f>$B$2</f>
        <v>625559.22</v>
      </c>
      <c r="D2" s="5">
        <f t="shared" ref="D2:AF2" si="0">$B$2</f>
        <v>625559.22</v>
      </c>
      <c r="E2" s="5">
        <f t="shared" si="0"/>
        <v>625559.22</v>
      </c>
      <c r="F2" s="5">
        <f t="shared" si="0"/>
        <v>625559.22</v>
      </c>
      <c r="G2" s="5">
        <f t="shared" si="0"/>
        <v>625559.22</v>
      </c>
      <c r="H2" s="5">
        <f t="shared" si="0"/>
        <v>625559.22</v>
      </c>
      <c r="I2" s="5">
        <f t="shared" si="0"/>
        <v>625559.22</v>
      </c>
      <c r="J2" s="5">
        <f t="shared" si="0"/>
        <v>625559.22</v>
      </c>
      <c r="K2" s="5">
        <f t="shared" si="0"/>
        <v>625559.22</v>
      </c>
      <c r="L2" s="5">
        <f t="shared" si="0"/>
        <v>625559.22</v>
      </c>
      <c r="M2" s="5">
        <f t="shared" si="0"/>
        <v>625559.22</v>
      </c>
      <c r="N2" s="5">
        <f t="shared" si="0"/>
        <v>625559.22</v>
      </c>
      <c r="O2" s="5">
        <f t="shared" si="0"/>
        <v>625559.22</v>
      </c>
      <c r="P2" s="5">
        <f t="shared" si="0"/>
        <v>625559.22</v>
      </c>
      <c r="Q2" s="5">
        <f t="shared" si="0"/>
        <v>625559.22</v>
      </c>
      <c r="R2" s="5">
        <f t="shared" si="0"/>
        <v>625559.22</v>
      </c>
      <c r="S2" s="5">
        <f t="shared" si="0"/>
        <v>625559.22</v>
      </c>
      <c r="T2" s="5">
        <f t="shared" si="0"/>
        <v>625559.22</v>
      </c>
      <c r="U2" s="5">
        <f t="shared" si="0"/>
        <v>625559.22</v>
      </c>
      <c r="V2" s="5">
        <f t="shared" si="0"/>
        <v>625559.22</v>
      </c>
      <c r="W2" s="5">
        <f t="shared" si="0"/>
        <v>625559.22</v>
      </c>
      <c r="X2" s="5">
        <f t="shared" si="0"/>
        <v>625559.22</v>
      </c>
      <c r="Y2" s="5">
        <f t="shared" si="0"/>
        <v>625559.22</v>
      </c>
      <c r="Z2" s="5">
        <f t="shared" si="0"/>
        <v>625559.22</v>
      </c>
      <c r="AA2" s="5">
        <f t="shared" si="0"/>
        <v>625559.22</v>
      </c>
      <c r="AB2" s="5">
        <f t="shared" si="0"/>
        <v>625559.22</v>
      </c>
      <c r="AC2" s="5">
        <f t="shared" si="0"/>
        <v>625559.22</v>
      </c>
      <c r="AD2" s="5">
        <f t="shared" si="0"/>
        <v>625559.22</v>
      </c>
      <c r="AE2" s="5">
        <f t="shared" si="0"/>
        <v>625559.22</v>
      </c>
      <c r="AF2" s="5">
        <f t="shared" si="0"/>
        <v>625559.22</v>
      </c>
    </row>
    <row r="3" spans="1:32" x14ac:dyDescent="0.25">
      <c r="A3" t="s">
        <v>30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25">
      <c r="A4" t="s">
        <v>31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25">
      <c r="A5" t="s">
        <v>32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25">
      <c r="A6" t="s">
        <v>33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25">
      <c r="A7" t="s">
        <v>34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25">
      <c r="A8" t="s">
        <v>35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25">
      <c r="A9" t="s">
        <v>36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x14ac:dyDescent="0.25">
      <c r="A10" t="s">
        <v>37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25">
      <c r="A11" t="s">
        <v>38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F2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24.7109375" customWidth="1"/>
  </cols>
  <sheetData>
    <row r="1" spans="1:32" x14ac:dyDescent="0.25">
      <c r="A1" s="2" t="s">
        <v>39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40</v>
      </c>
      <c r="B2">
        <f>('Fuhrman data'!B3+'Fuhrman data'!B4)*About!A32</f>
        <v>202.2612331006024</v>
      </c>
      <c r="C2">
        <f>($AF$2-$B$2)/COUNT($C$1:$AF$1)+B2</f>
        <v>198.1805240117306</v>
      </c>
      <c r="D2">
        <f t="shared" ref="D2:AE2" si="0">($AF$2-$B$2)/COUNT($C$1:$AF$1)+C2</f>
        <v>194.0998149228588</v>
      </c>
      <c r="E2">
        <f t="shared" si="0"/>
        <v>190.019105833987</v>
      </c>
      <c r="F2">
        <f t="shared" si="0"/>
        <v>185.9383967451152</v>
      </c>
      <c r="G2">
        <f t="shared" si="0"/>
        <v>181.8576876562434</v>
      </c>
      <c r="H2">
        <f t="shared" si="0"/>
        <v>177.7769785673716</v>
      </c>
      <c r="I2">
        <f t="shared" si="0"/>
        <v>173.6962694784998</v>
      </c>
      <c r="J2">
        <f t="shared" si="0"/>
        <v>169.615560389628</v>
      </c>
      <c r="K2">
        <f t="shared" si="0"/>
        <v>165.5348513007562</v>
      </c>
      <c r="L2">
        <f t="shared" si="0"/>
        <v>161.4541422118844</v>
      </c>
      <c r="M2">
        <f t="shared" si="0"/>
        <v>157.3734331230126</v>
      </c>
      <c r="N2">
        <f t="shared" si="0"/>
        <v>153.2927240341408</v>
      </c>
      <c r="O2">
        <f t="shared" si="0"/>
        <v>149.212014945269</v>
      </c>
      <c r="P2">
        <f t="shared" si="0"/>
        <v>145.1313058563972</v>
      </c>
      <c r="Q2">
        <f t="shared" si="0"/>
        <v>141.05059676752541</v>
      </c>
      <c r="R2">
        <f t="shared" si="0"/>
        <v>136.96988767865361</v>
      </c>
      <c r="S2">
        <f t="shared" si="0"/>
        <v>132.88917858978181</v>
      </c>
      <c r="T2">
        <f t="shared" si="0"/>
        <v>128.80846950091001</v>
      </c>
      <c r="U2">
        <f t="shared" si="0"/>
        <v>124.72776041203821</v>
      </c>
      <c r="V2">
        <f t="shared" si="0"/>
        <v>120.64705132316641</v>
      </c>
      <c r="W2">
        <f t="shared" si="0"/>
        <v>116.56634223429461</v>
      </c>
      <c r="X2">
        <f t="shared" si="0"/>
        <v>112.48563314542281</v>
      </c>
      <c r="Y2">
        <f t="shared" si="0"/>
        <v>108.40492405655101</v>
      </c>
      <c r="Z2">
        <f t="shared" si="0"/>
        <v>104.32421496767921</v>
      </c>
      <c r="AA2">
        <f t="shared" si="0"/>
        <v>100.24350587880741</v>
      </c>
      <c r="AB2">
        <f t="shared" si="0"/>
        <v>96.162796789935612</v>
      </c>
      <c r="AC2">
        <f t="shared" si="0"/>
        <v>92.082087701063813</v>
      </c>
      <c r="AD2">
        <f t="shared" si="0"/>
        <v>88.001378612192013</v>
      </c>
      <c r="AE2">
        <f t="shared" si="0"/>
        <v>83.920669523320214</v>
      </c>
      <c r="AF2">
        <f>'Fuhrman data'!B3*About!A32</f>
        <v>79.839960434448315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9DAB439B36DB4795F39C4E722C7BC4" ma:contentTypeVersion="4" ma:contentTypeDescription="Crear nuevo documento." ma:contentTypeScope="" ma:versionID="2675f8417a7852adb5ac278d647999f1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1d431266b3277f48244cbeea34d4f4da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C57EC-BE0D-430E-B991-451E702B3440}"/>
</file>

<file path=customXml/itemProps2.xml><?xml version="1.0" encoding="utf-8"?>
<ds:datastoreItem xmlns:ds="http://schemas.openxmlformats.org/officeDocument/2006/customXml" ds:itemID="{CA56AE9B-CCA8-468A-854F-CFBD288E6BE6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79748b23-d81a-423e-9112-21109dc864e6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C54658-8104-4245-A3F1-446D31C079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About</vt:lpstr>
      <vt:lpstr>Fuhrman data</vt:lpstr>
      <vt:lpstr>ERWD-potential</vt:lpstr>
      <vt:lpstr>ERWD-energyintensity</vt:lpstr>
      <vt:lpstr>ERWD-capex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 Palacios</cp:lastModifiedBy>
  <cp:revision/>
  <dcterms:created xsi:type="dcterms:W3CDTF">2019-12-04T00:52:30Z</dcterms:created>
  <dcterms:modified xsi:type="dcterms:W3CDTF">2025-01-28T14:21:59Z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