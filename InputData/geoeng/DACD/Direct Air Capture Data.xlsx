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C:\Users\Rod\Downloads\"/>
    </mc:Choice>
  </mc:AlternateContent>
  <xr:revisionPtr revIDLastSave="0" documentId="13_ncr:1_{1D6638CB-2B61-4B28-88E6-2202EB0466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out" sheetId="1" r:id="rId1"/>
    <sheet name="Data" sheetId="2" r:id="rId2"/>
    <sheet name="Fuhrman data" sheetId="8" r:id="rId3"/>
    <sheet name="DACD-potential" sheetId="3" r:id="rId4"/>
    <sheet name="DACD-energyintensity" sheetId="5" r:id="rId5"/>
    <sheet name="DACD-capex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3" l="1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O2" i="3"/>
  <c r="J2" i="3" s="1" a="1"/>
  <c r="J2" i="3" s="1"/>
  <c r="I2" i="3"/>
  <c r="B2" i="5"/>
  <c r="C34" i="2"/>
  <c r="C35" i="2"/>
  <c r="B35" i="2"/>
  <c r="B34" i="2"/>
  <c r="K2" i="3" l="1" a="1"/>
  <c r="K2" i="3" s="1"/>
  <c r="L2" i="3" s="1" a="1"/>
  <c r="L2" i="3" s="1"/>
  <c r="M2" i="3" s="1" a="1"/>
  <c r="M2" i="3" s="1"/>
  <c r="N2" i="3" s="1" a="1"/>
  <c r="N2" i="3" s="1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C3" i="5"/>
  <c r="C5" i="5"/>
  <c r="C6" i="5"/>
  <c r="C7" i="5"/>
  <c r="C8" i="5"/>
  <c r="C9" i="5"/>
  <c r="C10" i="5"/>
  <c r="C11" i="5"/>
  <c r="K2" i="5" l="1"/>
  <c r="S2" i="5"/>
  <c r="AA2" i="5"/>
  <c r="AI2" i="5"/>
  <c r="F2" i="5"/>
  <c r="N2" i="5"/>
  <c r="V2" i="5"/>
  <c r="W2" i="5"/>
  <c r="D2" i="5"/>
  <c r="L2" i="5"/>
  <c r="T2" i="5"/>
  <c r="AB2" i="5"/>
  <c r="C2" i="5"/>
  <c r="AD2" i="5"/>
  <c r="G2" i="5"/>
  <c r="AE2" i="5"/>
  <c r="Q2" i="5"/>
  <c r="R2" i="5"/>
  <c r="E2" i="5"/>
  <c r="M2" i="5"/>
  <c r="U2" i="5"/>
  <c r="AC2" i="5"/>
  <c r="O2" i="5"/>
  <c r="Y2" i="5"/>
  <c r="Z2" i="5"/>
  <c r="J2" i="5"/>
  <c r="AH2" i="5"/>
  <c r="H2" i="5"/>
  <c r="P2" i="5"/>
  <c r="X2" i="5"/>
  <c r="AF2" i="5"/>
  <c r="I2" i="5"/>
  <c r="AG2" i="5"/>
  <c r="B2" i="6"/>
  <c r="K4" i="5" l="1"/>
  <c r="S4" i="5"/>
  <c r="AA4" i="5"/>
  <c r="AI4" i="5"/>
  <c r="F4" i="5"/>
  <c r="W4" i="5"/>
  <c r="AH4" i="5"/>
  <c r="D4" i="5"/>
  <c r="L4" i="5"/>
  <c r="T4" i="5"/>
  <c r="AB4" i="5"/>
  <c r="N4" i="5"/>
  <c r="O4" i="5"/>
  <c r="J4" i="5"/>
  <c r="E4" i="5"/>
  <c r="M4" i="5"/>
  <c r="U4" i="5"/>
  <c r="AC4" i="5"/>
  <c r="C4" i="5"/>
  <c r="V4" i="5"/>
  <c r="G4" i="5"/>
  <c r="AD4" i="5"/>
  <c r="AE4" i="5"/>
  <c r="Q4" i="5"/>
  <c r="Z4" i="5"/>
  <c r="H4" i="5"/>
  <c r="P4" i="5"/>
  <c r="X4" i="5"/>
  <c r="AF4" i="5"/>
  <c r="I4" i="5"/>
  <c r="Y4" i="5"/>
  <c r="AG4" i="5"/>
  <c r="R4" i="5"/>
  <c r="D2" i="6"/>
  <c r="L2" i="6"/>
  <c r="T2" i="6"/>
  <c r="AB2" i="6"/>
  <c r="C2" i="6"/>
  <c r="O2" i="6"/>
  <c r="X2" i="6"/>
  <c r="AA2" i="6"/>
  <c r="E2" i="6"/>
  <c r="M2" i="6"/>
  <c r="U2" i="6"/>
  <c r="AC2" i="6"/>
  <c r="AE2" i="6"/>
  <c r="P2" i="6"/>
  <c r="S2" i="6"/>
  <c r="F2" i="6"/>
  <c r="N2" i="6"/>
  <c r="V2" i="6"/>
  <c r="AD2" i="6"/>
  <c r="W2" i="6"/>
  <c r="H2" i="6"/>
  <c r="K2" i="6"/>
  <c r="G2" i="6"/>
  <c r="AF2" i="6"/>
  <c r="I2" i="6"/>
  <c r="Q2" i="6"/>
  <c r="Y2" i="6"/>
  <c r="AG2" i="6"/>
  <c r="J2" i="6"/>
  <c r="R2" i="6"/>
  <c r="Z2" i="6"/>
  <c r="AH2" i="6"/>
  <c r="AI2" i="6"/>
  <c r="B85" i="2"/>
  <c r="B76" i="2"/>
  <c r="C76" i="2"/>
  <c r="D76" i="2"/>
  <c r="E76" i="2"/>
  <c r="F76" i="2"/>
  <c r="G76" i="2"/>
  <c r="H76" i="2"/>
  <c r="C75" i="2"/>
  <c r="C89" i="2" s="1"/>
  <c r="C94" i="2" s="1"/>
  <c r="D75" i="2"/>
  <c r="E75" i="2"/>
  <c r="F75" i="2"/>
  <c r="G75" i="2"/>
  <c r="H75" i="2"/>
  <c r="B75" i="2"/>
  <c r="E90" i="2" l="1"/>
  <c r="E95" i="2" s="1"/>
  <c r="D89" i="2"/>
  <c r="D94" i="2" s="1"/>
  <c r="D90" i="2"/>
  <c r="D95" i="2" s="1"/>
  <c r="B90" i="2"/>
  <c r="B95" i="2" s="1"/>
  <c r="C90" i="2"/>
  <c r="C95" i="2" s="1"/>
  <c r="F89" i="2"/>
  <c r="F94" i="2" s="1"/>
  <c r="E89" i="2"/>
  <c r="E94" i="2" s="1"/>
  <c r="H90" i="2"/>
  <c r="H95" i="2" s="1"/>
  <c r="B89" i="2"/>
  <c r="B94" i="2" s="1"/>
  <c r="G90" i="2"/>
  <c r="G95" i="2" s="1"/>
  <c r="H89" i="2"/>
  <c r="H94" i="2" s="1"/>
  <c r="F90" i="2"/>
  <c r="F95" i="2" s="1"/>
  <c r="G89" i="2"/>
  <c r="G9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<sst xmlns="http://schemas.openxmlformats.org/spreadsheetml/2006/main" count="112" uniqueCount="94">
  <si>
    <t>DACD Direct Air Capture Potential</t>
  </si>
  <si>
    <t>DACD Direct Air Capture Energy Intensity</t>
  </si>
  <si>
    <t>DACD Direct Air Capture Amortized CapEx and OM</t>
  </si>
  <si>
    <t>Sources:</t>
  </si>
  <si>
    <t>Potential</t>
  </si>
  <si>
    <t>Fuhrman et al.</t>
  </si>
  <si>
    <t>Diverse carbon dioxide removal approaches could reduce impacts on the energy-water-land system</t>
  </si>
  <si>
    <t>https://www.nature.com/articles/s41558-023-01604-9</t>
  </si>
  <si>
    <t>Supplemental information, Figure 9</t>
  </si>
  <si>
    <t>Energy Intensity and CapEx Data</t>
  </si>
  <si>
    <t>Realmonte et al.</t>
  </si>
  <si>
    <t>An inter-model assessment of the role of direct air capture in deep mitigation pathways</t>
  </si>
  <si>
    <t>https://www.nature.com/articles/s41467-019-10842-5</t>
  </si>
  <si>
    <t>Table 2</t>
  </si>
  <si>
    <t>https://static-content.springer.com/esm/art%3A10.1038%2Fs41467-019-10842-5/MediaObjects/41467_2019_10842_MOESM1_ESM.pdf</t>
  </si>
  <si>
    <t>Supplementary materials, Fig 3</t>
  </si>
  <si>
    <t>Notes</t>
  </si>
  <si>
    <t xml:space="preserve">We use the US Long-Term Strategy to project DAC potential and a </t>
  </si>
  <si>
    <t xml:space="preserve">separate source for energy intensity and CapEx calculations. </t>
  </si>
  <si>
    <t>Amortized CapEx and OM Cost Notes</t>
  </si>
  <si>
    <t>CapEx here should include the cost of equipment, maintenance, and labor.</t>
  </si>
  <si>
    <t>Energy costs are calculated separately in the model and should not be included here.</t>
  </si>
  <si>
    <t>DAC Technologies Considered</t>
  </si>
  <si>
    <t>DAC1 = hydroxide sorbent-based technology, most mature technology, used for large-scale plants, requires high heat (&gt;800C)</t>
  </si>
  <si>
    <t>DAC2 = amine-based technology, less mature, can be small modular units, can accept waste heat (temp 85-120C)</t>
  </si>
  <si>
    <t>According to the source paper, DAC1 heat is provided by natural gas, and DAC2 heat is provided by waste heat.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</si>
  <si>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</si>
  <si>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</si>
  <si>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</si>
  <si>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</si>
  <si>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Capital Cost per Ton CO2 Captured (amortized over lifetime of equipment)</t>
  </si>
  <si>
    <t>The paper indicates these costs include equipment, maintenance, and labor.  Energy costs are not included.</t>
  </si>
  <si>
    <t>$/ton CO2</t>
  </si>
  <si>
    <t>DAC1</t>
  </si>
  <si>
    <t>DAC2</t>
  </si>
  <si>
    <t>High</t>
  </si>
  <si>
    <t>Low</t>
  </si>
  <si>
    <t>Floor</t>
  </si>
  <si>
    <t>Electricity Required per Ton CO2 Captured</t>
  </si>
  <si>
    <t>GJ/ton CO2</t>
  </si>
  <si>
    <t>Heat Input Required per Ton CO2 Captured</t>
  </si>
  <si>
    <t>Percent Reduction in Fuel Use with Heat Pump</t>
  </si>
  <si>
    <t>Source: indst/PIFURfE</t>
  </si>
  <si>
    <t>Heat Input Required per Ton CO2 Captured, Converted to Electricity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</si>
  <si>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</si>
  <si>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</si>
  <si>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</si>
  <si>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</si>
  <si>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Global DAC Potential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</si>
  <si>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</si>
  <si>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</si>
  <si>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</si>
  <si>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</si>
  <si>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</si>
  <si>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</si>
  <si>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</si>
  <si>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</si>
  <si>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</si>
  <si>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</si>
  <si>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</si>
  <si>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</si>
  <si>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</si>
  <si>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</si>
  <si>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trillion USD</t>
  </si>
  <si>
    <t>World GDP</t>
  </si>
  <si>
    <t>trillion UDS</t>
  </si>
  <si>
    <t>US GDP share</t>
  </si>
  <si>
    <t>U.S. DAC potential</t>
  </si>
  <si>
    <t>Converting to metric tons:</t>
  </si>
  <si>
    <t>DAC1 (t/yr)</t>
  </si>
  <si>
    <t>DAC2 (t/yr)</t>
  </si>
  <si>
    <t>Electricity and Heat Intensity, Costs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</si>
  <si>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</si>
  <si>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</si>
  <si>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low intensity or cost values.  Therefore, we take the high values as constant over the period 2046-2050, when deployment</t>
  </si>
  <si>
    <t>is just barely beginning.</t>
  </si>
  <si>
    <t>BTU/GJ</t>
  </si>
  <si>
    <t>In this variable, we use BTU for all energy sources, including electricity.  This is a strict unit conversion, not a heat rate.</t>
  </si>
  <si>
    <t>Total potential</t>
  </si>
  <si>
    <t>metric tons/yr</t>
  </si>
  <si>
    <t>DAC Potential</t>
  </si>
  <si>
    <t>BTU/metric ton CO2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</si>
  <si>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</si>
  <si>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</si>
  <si>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</si>
  <si>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</si>
  <si>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</si>
  <si>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</si>
  <si>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</si>
  <si>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</si>
  <si>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</si>
  <si>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</si>
  <si>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$/metric ton CO2</t>
  </si>
  <si>
    <t>amortized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</si>
</sst>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E+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0" fontId="0" fillId="0" borderId="0" xfId="0" applyAlignment="1">
      <alignment wrapText="1"/>
    </xf>
    <xf numFmtId="166" fontId="0" fillId="0" borderId="0" xfId="0" applyNumberFormat="1"/>
    <xf numFmtId="0" fontId="1" fillId="0" borderId="0" xfId="0" applyFont="1" applyAlignment="1">
      <alignment wrapText="1"/>
    </xf>
    <xf numFmtId="9" fontId="0" fillId="0" borderId="0" xfId="2" applyFont="1"/>
    <xf numFmtId="0" fontId="3" fillId="0" borderId="0" xfId="3"/>
  </cellXfs>
  <cellStyles count="4">
    <cellStyle name="Hipervínculo" xfId="1" builtinId="8"/>
    <cellStyle name="Hyperlink" xfId="3" xr:uid="{89AE56F8-F38F-4F16-9D7D-FAE3D047B2C7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87608"/>
          <a:ext cx="5002696" cy="3414851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7066" y="7567130"/>
          <a:ext cx="782430" cy="50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0</xdr:row>
      <xdr:rowOff>0</xdr:rowOff>
    </xdr:from>
    <xdr:to>
      <xdr:col>10</xdr:col>
      <xdr:colOff>558960</xdr:colOff>
      <xdr:row>20</xdr:row>
      <xdr:rowOff>160601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54A7DE8-C665-46CE-9316-2DC55BE9E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6025" y="0"/>
          <a:ext cx="5692935" cy="4161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ure.com/articles/s41558-023-01604-9" TargetMode="External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F8" sqref="F8"/>
    </sheetView>
  </sheetViews>
  <sheetFormatPr defaultColWidth="9.140625" defaultRowHeight="15"/>
  <cols>
    <col min="1" max="1" width="11.140625" customWidth="1"/>
    <col min="2" max="2" width="47.140625" customWidth="1"/>
  </cols>
  <sheetData>
    <row r="1" spans="1:2">
      <c r="A1" s="1" t="s">
        <v>0</v>
      </c>
    </row>
    <row r="2" spans="1:2">
      <c r="A2" s="1" t="s">
        <v>1</v>
      </c>
    </row>
    <row r="3" spans="1:2">
      <c r="A3" s="1" t="s">
        <v>2</v>
      </c>
    </row>
    <row r="5" spans="1:2">
      <c r="A5" s="1" t="s">
        <v>3</v>
      </c>
      <c r="B5" s="4" t="s">
        <v>4</v>
      </c>
    </row>
    <row r="6" spans="1:2">
      <c r="B6" t="s">
        <v>5</v>
      </c>
    </row>
    <row r="7" spans="1:2">
      <c r="B7" s="6">
        <v>2023</v>
      </c>
    </row>
    <row r="8" spans="1:2" ht="30">
      <c r="B8" s="15" t="s">
        <v>6</v>
      </c>
    </row>
    <row r="9" spans="1:2">
      <c r="B9" s="19" t="s">
        <v>7</v>
      </c>
    </row>
    <row r="10" spans="1:2">
      <c r="B10" t="s">
        <v>8</v>
      </c>
    </row>
    <row r="12" spans="1:2">
      <c r="B12" s="4" t="s">
        <v>9</v>
      </c>
    </row>
    <row r="13" spans="1:2">
      <c r="B13" t="s">
        <v>10</v>
      </c>
    </row>
    <row r="14" spans="1:2">
      <c r="B14" s="6">
        <v>2019</v>
      </c>
    </row>
    <row r="15" spans="1:2">
      <c r="B15" t="s">
        <v>11</v>
      </c>
    </row>
    <row r="16" spans="1:2">
      <c r="B16" s="5" t="s">
        <v>12</v>
      </c>
    </row>
    <row r="17" spans="1:2">
      <c r="B17" t="s">
        <v>13</v>
      </c>
    </row>
    <row r="18" spans="1:2">
      <c r="B18" s="5" t="s">
        <v>14</v>
      </c>
    </row>
    <row r="19" spans="1:2">
      <c r="B19" t="s">
        <v>15</v>
      </c>
    </row>
    <row r="21" spans="1:2">
      <c r="A21" s="1" t="s">
        <v>16</v>
      </c>
    </row>
    <row r="22" spans="1:2">
      <c r="A22" t="s">
        <v>17</v>
      </c>
    </row>
    <row r="23" spans="1:2">
      <c r="A23" t="s">
        <v>18</v>
      </c>
    </row>
    <row r="25" spans="1:2">
      <c r="A25" s="1" t="s">
        <v>19</v>
      </c>
    </row>
    <row r="26" spans="1:2">
      <c r="A26" t="s">
        <v>20</v>
      </c>
    </row>
    <row r="27" spans="1:2">
      <c r="A27" t="s">
        <v>21</v>
      </c>
    </row>
  </sheetData>
  <hyperlinks>
    <hyperlink ref="B16" r:id="rId1" xr:uid="{1B7B203B-1F27-4F66-8D85-059A5F09A136}"/>
    <hyperlink ref="B18" r:id="rId2" xr:uid="{1148D792-FF18-4C25-9D22-BDCFE3F34969}"/>
    <hyperlink ref="B9" r:id="rId3" xr:uid="{24985E67-9410-4D94-9909-37DE381E813D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zoomScale="115" zoomScaleNormal="115" workbookViewId="0">
      <selection activeCell="A36" sqref="A36:XFD38"/>
    </sheetView>
  </sheetViews>
  <sheetFormatPr defaultColWidth="9.140625" defaultRowHeight="15"/>
  <cols>
    <col min="1" max="1" width="33.28515625" customWidth="1"/>
    <col min="2" max="8" width="11.42578125" customWidth="1"/>
  </cols>
  <sheetData>
    <row r="1" spans="1:7">
      <c r="A1" s="1" t="s">
        <v>22</v>
      </c>
    </row>
    <row r="2" spans="1:7">
      <c r="A2" t="s">
        <v>23</v>
      </c>
    </row>
    <row r="3" spans="1:7">
      <c r="A3" t="s">
        <v>24</v>
      </c>
    </row>
    <row r="5" spans="1:7">
      <c r="A5" t="s">
        <v>25</v>
      </c>
    </row>
    <row r="6" spans="1:7">
      <c r="A6" t="s">
        <v>26</v>
      </c>
    </row>
    <row r="7" spans="1:7">
      <c r="A7" t="s">
        <v>27</v>
      </c>
    </row>
    <row r="8" spans="1:7">
      <c r="A8" t="s">
        <v>28</v>
      </c>
    </row>
    <row r="9" spans="1:7">
      <c r="A9" t="s">
        <v>29</v>
      </c>
    </row>
    <row r="11" spans="1:7">
      <c r="A11" s="1" t="s">
        <v>30</v>
      </c>
    </row>
    <row r="12" spans="1:7">
      <c r="A12" s="13" t="s">
        <v>31</v>
      </c>
      <c r="B12" s="14"/>
      <c r="C12" s="14"/>
      <c r="D12" s="14"/>
      <c r="E12" s="14"/>
      <c r="F12" s="14"/>
      <c r="G12" s="14"/>
    </row>
    <row r="13" spans="1:7">
      <c r="A13" s="2" t="s">
        <v>32</v>
      </c>
      <c r="B13" s="3" t="s">
        <v>33</v>
      </c>
      <c r="C13" s="3" t="s">
        <v>34</v>
      </c>
    </row>
    <row r="14" spans="1:7">
      <c r="A14" s="1" t="s">
        <v>35</v>
      </c>
      <c r="B14">
        <v>300</v>
      </c>
      <c r="C14">
        <v>350</v>
      </c>
    </row>
    <row r="15" spans="1:7">
      <c r="A15" s="1" t="s">
        <v>36</v>
      </c>
      <c r="B15">
        <v>180</v>
      </c>
      <c r="C15">
        <v>200</v>
      </c>
    </row>
    <row r="16" spans="1:7">
      <c r="A16" s="1" t="s">
        <v>37</v>
      </c>
      <c r="B16">
        <v>100</v>
      </c>
      <c r="C16">
        <v>50</v>
      </c>
    </row>
    <row r="18" spans="1:4">
      <c r="A18" s="1" t="s">
        <v>38</v>
      </c>
    </row>
    <row r="19" spans="1:4">
      <c r="A19" s="2" t="s">
        <v>39</v>
      </c>
      <c r="B19" s="3" t="s">
        <v>33</v>
      </c>
      <c r="C19" s="3" t="s">
        <v>34</v>
      </c>
    </row>
    <row r="20" spans="1:4">
      <c r="A20" s="1" t="s">
        <v>35</v>
      </c>
      <c r="B20">
        <v>1.8</v>
      </c>
      <c r="C20">
        <v>1.1000000000000001</v>
      </c>
    </row>
    <row r="21" spans="1:4">
      <c r="A21" s="1" t="s">
        <v>36</v>
      </c>
      <c r="B21">
        <v>1.3</v>
      </c>
      <c r="C21">
        <v>0.6</v>
      </c>
    </row>
    <row r="22" spans="1:4">
      <c r="A22" s="1" t="s">
        <v>37</v>
      </c>
    </row>
    <row r="24" spans="1:4">
      <c r="A24" s="1" t="s">
        <v>40</v>
      </c>
    </row>
    <row r="25" spans="1:4">
      <c r="A25" s="2" t="s">
        <v>39</v>
      </c>
      <c r="B25" s="3" t="s">
        <v>33</v>
      </c>
      <c r="C25" s="3" t="s">
        <v>34</v>
      </c>
    </row>
    <row r="26" spans="1:4">
      <c r="A26" s="1" t="s">
        <v>35</v>
      </c>
      <c r="B26">
        <v>8.1</v>
      </c>
      <c r="C26">
        <v>7.2</v>
      </c>
    </row>
    <row r="27" spans="1:4">
      <c r="A27" s="1" t="s">
        <v>36</v>
      </c>
      <c r="B27">
        <v>5.3</v>
      </c>
      <c r="C27">
        <v>4.4000000000000004</v>
      </c>
    </row>
    <row r="28" spans="1:4">
      <c r="A28" s="1" t="s">
        <v>37</v>
      </c>
    </row>
    <row r="29" spans="1:4">
      <c r="A29" s="1"/>
    </row>
    <row r="30" spans="1:4" ht="30">
      <c r="A30" s="17" t="s">
        <v>41</v>
      </c>
      <c r="B30" s="18">
        <v>0.67</v>
      </c>
      <c r="D30" t="s">
        <v>42</v>
      </c>
    </row>
    <row r="31" spans="1:4">
      <c r="A31" s="1"/>
    </row>
    <row r="32" spans="1:4">
      <c r="A32" s="1" t="s">
        <v>43</v>
      </c>
    </row>
    <row r="33" spans="1:3">
      <c r="A33" s="2" t="s">
        <v>39</v>
      </c>
      <c r="B33" s="3" t="s">
        <v>33</v>
      </c>
      <c r="C33" s="3" t="s">
        <v>34</v>
      </c>
    </row>
    <row r="34" spans="1:3">
      <c r="A34" s="1" t="s">
        <v>35</v>
      </c>
      <c r="B34" s="7">
        <f>B26*(1-$B$30)</f>
        <v>2.6729999999999996</v>
      </c>
      <c r="C34" s="7">
        <f>C26*(1-$B$30)</f>
        <v>2.3759999999999999</v>
      </c>
    </row>
    <row r="35" spans="1:3">
      <c r="A35" s="1" t="s">
        <v>36</v>
      </c>
      <c r="B35" s="7">
        <f>B27*(1-$B$30)</f>
        <v>1.7489999999999997</v>
      </c>
      <c r="C35" s="7">
        <f>C27*(1-$B$30)</f>
        <v>1.452</v>
      </c>
    </row>
    <row r="37" spans="1:3">
      <c r="A37" s="1" t="s">
        <v>44</v>
      </c>
    </row>
    <row r="38" spans="1:3">
      <c r="A38" t="s">
        <v>45</v>
      </c>
    </row>
    <row r="39" spans="1:3">
      <c r="A39" t="s">
        <v>46</v>
      </c>
    </row>
    <row r="40" spans="1:3">
      <c r="A40" t="s">
        <v>47</v>
      </c>
    </row>
    <row r="62" spans="1:8">
      <c r="A62" s="4" t="s">
        <v>48</v>
      </c>
      <c r="B62" s="9"/>
      <c r="C62" s="9"/>
      <c r="D62" s="9"/>
      <c r="E62" s="9"/>
      <c r="F62" s="9"/>
      <c r="G62" s="9"/>
      <c r="H62" s="9"/>
    </row>
    <row r="63" spans="1:8">
      <c r="A63" t="s">
        <v>49</v>
      </c>
    </row>
    <row r="64" spans="1:8">
      <c r="A64" t="s">
        <v>50</v>
      </c>
    </row>
    <row r="65" spans="1:8">
      <c r="A65" t="s">
        <v>51</v>
      </c>
    </row>
    <row r="66" spans="1:8">
      <c r="A66" t="s">
        <v>52</v>
      </c>
    </row>
    <row r="68" spans="1:8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>
      <c r="A69" t="s">
        <v>53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>
      <c r="A70" t="s">
        <v>54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>
      <c r="A72" t="s">
        <v>55</v>
      </c>
      <c r="B72">
        <v>420</v>
      </c>
    </row>
    <row r="74" spans="1:8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>
      <c r="A75" t="s">
        <v>56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>
      <c r="A76" t="s">
        <v>57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>
      <c r="A78" s="1" t="s">
        <v>58</v>
      </c>
    </row>
    <row r="79" spans="1:8">
      <c r="A79" t="s">
        <v>59</v>
      </c>
    </row>
    <row r="80" spans="1:8">
      <c r="A80" t="s">
        <v>60</v>
      </c>
    </row>
    <row r="81" spans="1:8">
      <c r="A81" t="s">
        <v>61</v>
      </c>
    </row>
    <row r="83" spans="1:8">
      <c r="A83" t="s">
        <v>62</v>
      </c>
      <c r="B83">
        <v>19.39</v>
      </c>
      <c r="C83" t="s">
        <v>63</v>
      </c>
      <c r="D83">
        <v>2017</v>
      </c>
    </row>
    <row r="84" spans="1:8">
      <c r="A84" t="s">
        <v>64</v>
      </c>
      <c r="B84">
        <v>80</v>
      </c>
      <c r="C84" t="s">
        <v>65</v>
      </c>
      <c r="D84">
        <v>2017</v>
      </c>
    </row>
    <row r="85" spans="1:8">
      <c r="A85" t="s">
        <v>66</v>
      </c>
      <c r="B85" s="8">
        <f>B83/B84</f>
        <v>0.24237500000000001</v>
      </c>
    </row>
    <row r="87" spans="1:8">
      <c r="A87" s="4" t="s">
        <v>67</v>
      </c>
      <c r="B87" s="9"/>
      <c r="C87" s="9"/>
      <c r="D87" s="9"/>
      <c r="E87" s="9"/>
      <c r="F87" s="9"/>
      <c r="G87" s="9"/>
      <c r="H87" s="9"/>
    </row>
    <row r="88" spans="1:8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>
      <c r="A89" t="s">
        <v>56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>
      <c r="A90" t="s">
        <v>57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>
      <c r="A92" t="s">
        <v>68</v>
      </c>
    </row>
    <row r="93" spans="1:8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>
      <c r="A94" t="s">
        <v>69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>
      <c r="A95" t="s">
        <v>70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>
      <c r="A97" s="4" t="s">
        <v>71</v>
      </c>
    </row>
    <row r="98" spans="1:2">
      <c r="A98" t="s">
        <v>72</v>
      </c>
    </row>
    <row r="99" spans="1:2">
      <c r="A99" t="s">
        <v>73</v>
      </c>
    </row>
    <row r="100" spans="1:2">
      <c r="A100" t="s">
        <v>74</v>
      </c>
    </row>
    <row r="101" spans="1:2">
      <c r="A101" t="s">
        <v>75</v>
      </c>
    </row>
    <row r="103" spans="1:2">
      <c r="A103" t="s">
        <v>76</v>
      </c>
      <c r="B103">
        <v>947086</v>
      </c>
    </row>
    <row r="105" spans="1:2">
      <c r="A105" t="s">
        <v>77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CEC2-71D6-45C4-AD10-306F02D88CEB}">
  <dimension ref="A1:B1"/>
  <sheetViews>
    <sheetView workbookViewId="0">
      <selection sqref="A1:B1"/>
    </sheetView>
  </sheetViews>
  <sheetFormatPr defaultColWidth="11.42578125" defaultRowHeight="15"/>
  <sheetData>
    <row r="1" spans="1:2" ht="30">
      <c r="A1" s="15" t="s">
        <v>78</v>
      </c>
      <c r="B1">
        <v>90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C2"/>
  <sheetViews>
    <sheetView topLeftCell="Y1" workbookViewId="0">
      <selection activeCell="AE12" sqref="AE12"/>
    </sheetView>
  </sheetViews>
  <sheetFormatPr defaultColWidth="9.140625" defaultRowHeight="15"/>
  <cols>
    <col min="1" max="1" width="19.85546875" customWidth="1"/>
    <col min="2" max="2" width="9.140625" customWidth="1"/>
    <col min="3" max="9" width="9.42578125" bestFit="1" customWidth="1"/>
    <col min="10" max="10" width="10.28515625" bestFit="1" customWidth="1"/>
    <col min="11" max="24" width="9.42578125" bestFit="1" customWidth="1"/>
    <col min="25" max="25" width="10.85546875" bestFit="1" customWidth="1"/>
    <col min="26" max="35" width="9.42578125" bestFit="1" customWidth="1"/>
    <col min="36" max="36" width="9.5703125" bestFit="1" customWidth="1"/>
  </cols>
  <sheetData>
    <row r="1" spans="1:55">
      <c r="A1" s="2" t="s">
        <v>79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>
      <c r="A2" t="s">
        <v>80</v>
      </c>
      <c r="B2" s="16">
        <v>0</v>
      </c>
      <c r="C2" s="16">
        <v>0</v>
      </c>
      <c r="D2" s="16">
        <v>0</v>
      </c>
      <c r="E2" s="16">
        <v>0</v>
      </c>
      <c r="F2" s="16">
        <v>0</v>
      </c>
      <c r="G2" s="16">
        <v>0</v>
      </c>
      <c r="H2" s="16">
        <v>0</v>
      </c>
      <c r="I2" s="16">
        <f>H2</f>
        <v>0</v>
      </c>
      <c r="J2" s="16" cm="1">
        <f t="array" ref="J2">TREND($O$2-$I$2)/COUNT($J$1:$O$1)+I2</f>
        <v>15000000</v>
      </c>
      <c r="K2" s="16" cm="1">
        <f t="array" ref="K2">TREND($O$2-$I$2)/COUNT($J$1:$O$1)+J2</f>
        <v>30000000</v>
      </c>
      <c r="L2" s="16" cm="1">
        <f t="array" ref="L2">TREND($O$2-$I$2)/COUNT($J$1:$O$1)+K2</f>
        <v>45000000</v>
      </c>
      <c r="M2" s="16" cm="1">
        <f t="array" ref="M2">TREND($O$2-$I$2)/COUNT($J$1:$O$1)+L2</f>
        <v>60000000</v>
      </c>
      <c r="N2" s="16" cm="1">
        <f t="array" ref="N2">TREND($O$2-$I$2)/COUNT($J$1:$O$1)+M2</f>
        <v>75000000</v>
      </c>
      <c r="O2" s="16">
        <f>'Fuhrman data'!$B$1*10^6</f>
        <v>90000000</v>
      </c>
      <c r="P2" s="16">
        <f>'Fuhrman data'!$B$1*10^6</f>
        <v>90000000</v>
      </c>
      <c r="Q2" s="16">
        <f>'Fuhrman data'!$B$1*10^6</f>
        <v>90000000</v>
      </c>
      <c r="R2" s="16">
        <f>'Fuhrman data'!$B$1*10^6</f>
        <v>90000000</v>
      </c>
      <c r="S2" s="16">
        <f>'Fuhrman data'!$B$1*10^6</f>
        <v>90000000</v>
      </c>
      <c r="T2" s="16">
        <f>'Fuhrman data'!$B$1*10^6</f>
        <v>90000000</v>
      </c>
      <c r="U2" s="16">
        <f>'Fuhrman data'!$B$1*10^6</f>
        <v>90000000</v>
      </c>
      <c r="V2" s="16">
        <f>'Fuhrman data'!$B$1*10^6</f>
        <v>90000000</v>
      </c>
      <c r="W2" s="16">
        <f>'Fuhrman data'!$B$1*10^6</f>
        <v>90000000</v>
      </c>
      <c r="X2" s="16">
        <f>'Fuhrman data'!$B$1*10^6</f>
        <v>90000000</v>
      </c>
      <c r="Y2" s="16">
        <f>'Fuhrman data'!$B$1*10^6</f>
        <v>90000000</v>
      </c>
      <c r="Z2" s="16">
        <f>'Fuhrman data'!$B$1*10^6</f>
        <v>90000000</v>
      </c>
      <c r="AA2" s="16">
        <f>'Fuhrman data'!$B$1*10^6</f>
        <v>90000000</v>
      </c>
      <c r="AB2" s="16">
        <f>'Fuhrman data'!$B$1*10^6</f>
        <v>90000000</v>
      </c>
      <c r="AC2" s="16">
        <f>'Fuhrman data'!$B$1*10^6</f>
        <v>90000000</v>
      </c>
      <c r="AD2" s="16">
        <f>'Fuhrman data'!$B$1*10^6</f>
        <v>90000000</v>
      </c>
      <c r="AE2" s="16">
        <f>'Fuhrman data'!$B$1*10^6</f>
        <v>90000000</v>
      </c>
      <c r="AF2" s="16">
        <f>'Fuhrman data'!$B$1*10^6</f>
        <v>90000000</v>
      </c>
      <c r="AG2" s="16">
        <f>'Fuhrman data'!$B$1*10^6</f>
        <v>90000000</v>
      </c>
      <c r="AH2" s="16">
        <f>'Fuhrman data'!$B$1*10^6</f>
        <v>90000000</v>
      </c>
      <c r="AI2" s="16">
        <f>'Fuhrman data'!$B$1*10^6</f>
        <v>90000000</v>
      </c>
      <c r="AJ2" s="16">
        <f>'Fuhrman data'!$B$1*10^6</f>
        <v>90000000</v>
      </c>
      <c r="AK2" s="16">
        <f>'Fuhrman data'!$B$1*10^6</f>
        <v>90000000</v>
      </c>
      <c r="AL2" s="16">
        <f>'Fuhrman data'!$B$1*10^6</f>
        <v>90000000</v>
      </c>
      <c r="AM2" s="16">
        <f>'Fuhrman data'!$B$1*10^6</f>
        <v>90000000</v>
      </c>
      <c r="AN2" s="16">
        <f>'Fuhrman data'!$B$1*10^6</f>
        <v>90000000</v>
      </c>
      <c r="AO2" s="16">
        <f>'Fuhrman data'!$B$1*10^6</f>
        <v>90000000</v>
      </c>
      <c r="AP2" s="16">
        <f>'Fuhrman data'!$B$1*10^6</f>
        <v>90000000</v>
      </c>
      <c r="AQ2" s="16">
        <f>'Fuhrman data'!$B$1*10^6</f>
        <v>90000000</v>
      </c>
      <c r="AR2" s="16">
        <f>'Fuhrman data'!$B$1*10^6</f>
        <v>90000000</v>
      </c>
      <c r="AS2" s="16">
        <f>'Fuhrman data'!$B$1*10^6</f>
        <v>90000000</v>
      </c>
      <c r="AT2" s="16">
        <f>'Fuhrman data'!$B$1*10^6</f>
        <v>90000000</v>
      </c>
      <c r="AU2" s="16">
        <f>'Fuhrman data'!$B$1*10^6</f>
        <v>90000000</v>
      </c>
      <c r="AV2" s="16">
        <f>'Fuhrman data'!$B$1*10^6</f>
        <v>90000000</v>
      </c>
      <c r="AW2" s="16">
        <f>'Fuhrman data'!$B$1*10^6</f>
        <v>90000000</v>
      </c>
      <c r="AX2" s="16">
        <f>'Fuhrman data'!$B$1*10^6</f>
        <v>90000000</v>
      </c>
      <c r="AY2" s="16">
        <f>'Fuhrman data'!$B$1*10^6</f>
        <v>90000000</v>
      </c>
      <c r="AZ2" s="16">
        <f>'Fuhrman data'!$B$1*10^6</f>
        <v>90000000</v>
      </c>
      <c r="BA2" s="16">
        <f>'Fuhrman data'!$B$1*10^6</f>
        <v>90000000</v>
      </c>
      <c r="BB2" s="16">
        <f>'Fuhrman data'!$B$1*10^6</f>
        <v>90000000</v>
      </c>
      <c r="BC2" s="16">
        <f>'Fuhrman data'!$B$1*10^6</f>
        <v>90000000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B2" sqref="B2"/>
    </sheetView>
  </sheetViews>
  <sheetFormatPr defaultColWidth="9.140625" defaultRowHeight="15"/>
  <cols>
    <col min="1" max="1" width="24.7109375" customWidth="1"/>
    <col min="2" max="2" width="9.140625" customWidth="1"/>
  </cols>
  <sheetData>
    <row r="1" spans="1:35">
      <c r="A1" s="2" t="s">
        <v>81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>
      <c r="A2" t="s">
        <v>82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>
      <c r="A3" t="s">
        <v>83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>
      <c r="A4" t="s">
        <v>84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>
      <c r="A5" t="s">
        <v>85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>
      <c r="A6" t="s">
        <v>86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>
      <c r="A7" t="s">
        <v>87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>
      <c r="A8" t="s">
        <v>88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>
      <c r="A9" t="s">
        <v>89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>
      <c r="A10" t="s">
        <v>90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D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>
      <c r="A11" t="s">
        <v>91</v>
      </c>
      <c r="B11">
        <v>0</v>
      </c>
      <c r="C11" s="12">
        <f t="shared" si="1"/>
        <v>0</v>
      </c>
      <c r="D11" s="12">
        <f t="shared" si="2"/>
        <v>0</v>
      </c>
      <c r="E11" s="12">
        <f t="shared" si="2"/>
        <v>0</v>
      </c>
      <c r="F11" s="12">
        <f t="shared" si="2"/>
        <v>0</v>
      </c>
      <c r="G11" s="12">
        <f t="shared" si="2"/>
        <v>0</v>
      </c>
      <c r="H11" s="12">
        <f t="shared" si="2"/>
        <v>0</v>
      </c>
      <c r="I11" s="12">
        <f t="shared" si="2"/>
        <v>0</v>
      </c>
      <c r="J11" s="12">
        <f t="shared" si="2"/>
        <v>0</v>
      </c>
      <c r="K11" s="12">
        <f t="shared" si="2"/>
        <v>0</v>
      </c>
      <c r="L11" s="12">
        <f t="shared" si="2"/>
        <v>0</v>
      </c>
      <c r="M11" s="12">
        <f t="shared" si="2"/>
        <v>0</v>
      </c>
      <c r="N11" s="12">
        <f t="shared" si="2"/>
        <v>0</v>
      </c>
      <c r="O11" s="12">
        <f t="shared" si="2"/>
        <v>0</v>
      </c>
      <c r="P11" s="12">
        <f t="shared" si="2"/>
        <v>0</v>
      </c>
      <c r="Q11" s="12">
        <f t="shared" si="2"/>
        <v>0</v>
      </c>
      <c r="R11" s="12">
        <f t="shared" si="2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ColWidth="9.140625" defaultRowHeight="15"/>
  <cols>
    <col min="1" max="1" width="24.7109375" customWidth="1"/>
    <col min="2" max="2" width="9.140625" customWidth="1"/>
  </cols>
  <sheetData>
    <row r="1" spans="1:35">
      <c r="A1" s="2" t="s">
        <v>92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>
      <c r="A2" t="s">
        <v>93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0680C4-F692-4EAD-A60B-637CE72108F8}"/>
</file>

<file path=customXml/itemProps2.xml><?xml version="1.0" encoding="utf-8"?>
<ds:datastoreItem xmlns:ds="http://schemas.openxmlformats.org/officeDocument/2006/customXml" ds:itemID="{534D3644-ED23-42A8-AF43-0EB127BD4A83}"/>
</file>

<file path=customXml/itemProps3.xml><?xml version="1.0" encoding="utf-8"?>
<ds:datastoreItem xmlns:ds="http://schemas.openxmlformats.org/officeDocument/2006/customXml" ds:itemID="{9112A27B-23A8-4AD5-88DA-C23BF7A8AF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2019-12-04T00:52:30Z</dcterms:created>
  <dcterms:modified xsi:type="dcterms:W3CDTF">2025-01-28T14:50:09Z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