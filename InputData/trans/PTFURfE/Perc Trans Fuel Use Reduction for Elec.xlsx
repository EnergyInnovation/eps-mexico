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PTFURfE\"/>
    </mc:Choice>
  </mc:AlternateContent>
  <xr:revisionPtr revIDLastSave="0" documentId="11_256AC4A4FBC51A161F9A9D9F1270DEB9A62485EE" xr6:coauthVersionLast="47" xr6:coauthVersionMax="47" xr10:uidLastSave="{00000000-0000-0000-0000-000000000000}"/>
  <bookViews>
    <workbookView xWindow="360" yWindow="105" windowWidth="20115" windowHeight="12075" xr2:uid="{00000000-000D-0000-FFFF-FFFF00000000}"/>
  </bookViews>
  <sheets>
    <sheet name="About" sheetId="1" r:id="rId1"/>
    <sheet name="LDVs" sheetId="3" r:id="rId2"/>
    <sheet name="HDVs, Rail" sheetId="2" r:id="rId3"/>
    <sheet name="PTFURf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2" i="3"/>
  <c r="B9" i="2"/>
  <c r="B5" i="4" s="1"/>
  <c r="B8" i="2"/>
  <c r="C5" i="4" l="1"/>
  <c r="B4" i="4"/>
  <c r="B6" i="4"/>
  <c r="B6" i="3"/>
  <c r="B2" i="4"/>
  <c r="C2" i="4"/>
  <c r="C4" i="4" l="1"/>
  <c r="C6" i="4"/>
  <c r="C7" i="4"/>
  <c r="B3" i="4"/>
  <c r="C3" i="4"/>
  <c r="B7" i="4"/>
</calcChain>
</file>

<file path=xl/sharedStrings.xml><?xml version="1.0" encoding="utf-8"?>
<sst xmlns="http://schemas.openxmlformats.org/spreadsheetml/2006/main" count="67" uniqueCount="51">
  <si>
    <t>PTFURfE Percentage Transportation Fuel Use Reduction for Electricity</t>
  </si>
  <si>
    <t>Source:</t>
  </si>
  <si>
    <t>LDVs</t>
  </si>
  <si>
    <t>U.S. Department of Energy, U.S. EPA</t>
  </si>
  <si>
    <t>All-Electric Vehicles (EVs)</t>
  </si>
  <si>
    <t>http://www.fueleconomy.gov/feg/evtech.shtml</t>
  </si>
  <si>
    <t>HDVs, Rail</t>
  </si>
  <si>
    <t>M. J. Bradley &amp; Associates</t>
  </si>
  <si>
    <t>Comparison of Energy Use &amp; CO2 Emissions from Different Transportation Modes</t>
  </si>
  <si>
    <t>http://www.buses.org/files/ComparativeEnergy.pdf</t>
  </si>
  <si>
    <t>Page 4, Table 1.1</t>
  </si>
  <si>
    <t>Notes:</t>
  </si>
  <si>
    <t>For vehicle types that can use electricity, this variable specifies the percentage</t>
  </si>
  <si>
    <t>reduction in fuel use (on a BTU basis) relative to the typical fuel type for that vehicle</t>
  </si>
  <si>
    <t>type (e.g. gasoline for LDVs, diesel for HDVs, etc.) due to the fact that electricity</t>
  </si>
  <si>
    <t>can be converted into work more efficiently than other fuel types.</t>
  </si>
  <si>
    <t>For the LCFS to work correctly, all on-road modes need to have the same value, so we</t>
  </si>
  <si>
    <t>use the passenger LDVs value for all on-road modes.  (It is very close to the calculated</t>
  </si>
  <si>
    <t>passenger HDVs value in any case.)</t>
  </si>
  <si>
    <t>Aircraft and ships are assumed to be the same as rail, since they all use large engines</t>
  </si>
  <si>
    <t>intended to move heavy craft.</t>
  </si>
  <si>
    <t>Vehicle Type</t>
  </si>
  <si>
    <t>Fuel Type</t>
  </si>
  <si>
    <t>Efficiency (Low)</t>
  </si>
  <si>
    <t>Efficiency (High)</t>
  </si>
  <si>
    <t>Efficiency (Avg)</t>
  </si>
  <si>
    <t>gasoline</t>
  </si>
  <si>
    <t>electricity</t>
  </si>
  <si>
    <t>Percentage Fuel Use Reduction</t>
  </si>
  <si>
    <t>Model Vehicle Type</t>
  </si>
  <si>
    <t>Corresponding Vehicle Type from Key (page 1)</t>
  </si>
  <si>
    <t>Corresponding Vehicle Type from Table 1.1</t>
  </si>
  <si>
    <t>Energy Use (BTU/passenger*mile)</t>
  </si>
  <si>
    <t>passenger HDV</t>
  </si>
  <si>
    <t>petroleum diesel</t>
  </si>
  <si>
    <t>Urban Transit Bus</t>
  </si>
  <si>
    <t>Transit Bus</t>
  </si>
  <si>
    <t>Electric Trolley Bus</t>
  </si>
  <si>
    <t>Trolley Bus</t>
  </si>
  <si>
    <t>passenger rail</t>
  </si>
  <si>
    <t>Commuter Rail</t>
  </si>
  <si>
    <t>Heavy Urban Rail</t>
  </si>
  <si>
    <t>Heavy Rail</t>
  </si>
  <si>
    <t>Percentage Reduction (dimensionless)</t>
  </si>
  <si>
    <t>Passengers</t>
  </si>
  <si>
    <t>Freight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</si>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</sst>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/>
    <xf numFmtId="164" fontId="0" fillId="0" borderId="0" xfId="2" applyNumberFormat="1" applyFont="1"/>
    <xf numFmtId="164" fontId="0" fillId="3" borderId="0" xfId="2" applyNumberFormat="1" applyFont="1" applyFill="1"/>
    <xf numFmtId="0" fontId="0" fillId="3" borderId="0" xfId="0" applyFill="1"/>
    <xf numFmtId="165" fontId="0" fillId="0" borderId="0" xfId="0" applyNumberForma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fueleconomy.gov/feg/evtech.shtml" TargetMode="External"/><Relationship Id="rId1" Type="http://schemas.openxmlformats.org/officeDocument/2006/relationships/hyperlink" Target="http://www.buses.org/files/ComparativeEnergy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defaultRowHeight="15"/>
  <cols>
    <col min="2" max="2" width="72.5703125" customWidth="1"/>
  </cols>
  <sheetData>
    <row r="1" spans="1:2">
      <c r="A1" s="1" t="s">
        <v>0</v>
      </c>
    </row>
    <row r="3" spans="1:2">
      <c r="A3" s="1" t="s">
        <v>1</v>
      </c>
      <c r="B3" s="5" t="s">
        <v>2</v>
      </c>
    </row>
    <row r="4" spans="1:2">
      <c r="B4" t="s">
        <v>3</v>
      </c>
    </row>
    <row r="5" spans="1:2">
      <c r="B5" s="2">
        <v>2014</v>
      </c>
    </row>
    <row r="6" spans="1:2">
      <c r="B6" t="s">
        <v>4</v>
      </c>
    </row>
    <row r="7" spans="1:2">
      <c r="B7" s="3" t="s">
        <v>5</v>
      </c>
    </row>
    <row r="10" spans="1:2">
      <c r="B10" s="5" t="s">
        <v>6</v>
      </c>
    </row>
    <row r="11" spans="1:2">
      <c r="B11" t="s">
        <v>7</v>
      </c>
    </row>
    <row r="12" spans="1:2">
      <c r="B12" s="2">
        <v>2007</v>
      </c>
    </row>
    <row r="13" spans="1:2">
      <c r="B13" t="s">
        <v>8</v>
      </c>
    </row>
    <row r="14" spans="1:2">
      <c r="B14" s="3" t="s">
        <v>9</v>
      </c>
    </row>
    <row r="15" spans="1:2">
      <c r="B15" t="s">
        <v>10</v>
      </c>
    </row>
    <row r="17" spans="1:1">
      <c r="A17" s="1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7" spans="1:1">
      <c r="A27" t="s">
        <v>19</v>
      </c>
    </row>
    <row r="28" spans="1:1">
      <c r="A28" t="s">
        <v>20</v>
      </c>
    </row>
  </sheetData>
  <hyperlinks>
    <hyperlink ref="B14" r:id="rId1" xr:uid="{00000000-0004-0000-0000-000000000000}"/>
    <hyperlink ref="B7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/>
  <cols>
    <col min="1" max="2" width="15.7109375" customWidth="1"/>
    <col min="3" max="4" width="16.5703125" customWidth="1"/>
    <col min="5" max="5" width="16.2851562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</v>
      </c>
      <c r="B2" t="s">
        <v>26</v>
      </c>
      <c r="C2" s="6">
        <v>0.17</v>
      </c>
      <c r="D2" s="6">
        <v>0.21</v>
      </c>
      <c r="E2" s="6">
        <f>AVERAGE(C2:D2)</f>
        <v>0.19</v>
      </c>
    </row>
    <row r="3" spans="1:5">
      <c r="A3" t="s">
        <v>2</v>
      </c>
      <c r="B3" t="s">
        <v>27</v>
      </c>
      <c r="C3" s="6">
        <v>0.59</v>
      </c>
      <c r="D3" s="6">
        <v>0.62</v>
      </c>
      <c r="E3" s="6">
        <f>AVERAGE(C3:D3)</f>
        <v>0.60499999999999998</v>
      </c>
    </row>
    <row r="5" spans="1:5" ht="30">
      <c r="A5" s="1" t="s">
        <v>21</v>
      </c>
      <c r="B5" s="4" t="s">
        <v>28</v>
      </c>
    </row>
    <row r="6" spans="1:5">
      <c r="A6" s="8" t="s">
        <v>2</v>
      </c>
      <c r="B6" s="7">
        <f>(E3-E2)/E3</f>
        <v>0.68595041322314043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/>
  <cols>
    <col min="1" max="1" width="16.140625" customWidth="1"/>
    <col min="2" max="2" width="18.5703125" customWidth="1"/>
    <col min="3" max="4" width="23.7109375" customWidth="1"/>
    <col min="5" max="5" width="23" customWidth="1"/>
  </cols>
  <sheetData>
    <row r="1" spans="1:5" ht="30">
      <c r="A1" s="4" t="s">
        <v>29</v>
      </c>
      <c r="B1" s="4" t="s">
        <v>22</v>
      </c>
      <c r="C1" s="4" t="s">
        <v>30</v>
      </c>
      <c r="D1" s="4" t="s">
        <v>31</v>
      </c>
      <c r="E1" s="4" t="s">
        <v>32</v>
      </c>
    </row>
    <row r="2" spans="1:5">
      <c r="A2" t="s">
        <v>33</v>
      </c>
      <c r="B2" t="s">
        <v>34</v>
      </c>
      <c r="C2" t="s">
        <v>35</v>
      </c>
      <c r="D2" t="s">
        <v>36</v>
      </c>
      <c r="E2" s="2">
        <v>4245</v>
      </c>
    </row>
    <row r="3" spans="1:5">
      <c r="A3" t="s">
        <v>33</v>
      </c>
      <c r="B3" t="s">
        <v>27</v>
      </c>
      <c r="C3" t="s">
        <v>37</v>
      </c>
      <c r="D3" t="s">
        <v>38</v>
      </c>
      <c r="E3" s="2">
        <v>1321</v>
      </c>
    </row>
    <row r="4" spans="1:5">
      <c r="A4" t="s">
        <v>39</v>
      </c>
      <c r="B4" t="s">
        <v>34</v>
      </c>
      <c r="C4" t="s">
        <v>40</v>
      </c>
      <c r="D4" t="s">
        <v>40</v>
      </c>
      <c r="E4" s="2">
        <v>1608</v>
      </c>
    </row>
    <row r="5" spans="1:5">
      <c r="A5" t="s">
        <v>39</v>
      </c>
      <c r="B5" t="s">
        <v>27</v>
      </c>
      <c r="C5" t="s">
        <v>41</v>
      </c>
      <c r="D5" t="s">
        <v>42</v>
      </c>
      <c r="E5" s="2">
        <v>889</v>
      </c>
    </row>
    <row r="7" spans="1:5" ht="30">
      <c r="A7" s="4" t="s">
        <v>29</v>
      </c>
      <c r="B7" s="4" t="s">
        <v>28</v>
      </c>
    </row>
    <row r="8" spans="1:5">
      <c r="A8" s="8" t="s">
        <v>33</v>
      </c>
      <c r="B8" s="7">
        <f>(E2-E3)/E2</f>
        <v>0.68881036513545346</v>
      </c>
    </row>
    <row r="9" spans="1:5">
      <c r="A9" s="8" t="s">
        <v>39</v>
      </c>
      <c r="B9" s="7">
        <f>(E4-E5)/E4</f>
        <v>0.44713930348258707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/>
  </sheetViews>
  <sheetFormatPr defaultRowHeight="15"/>
  <cols>
    <col min="1" max="1" width="16.85546875" customWidth="1"/>
    <col min="2" max="2" width="19" customWidth="1"/>
    <col min="3" max="3" width="10.5703125" customWidth="1"/>
  </cols>
  <sheetData>
    <row r="1" spans="1:3" ht="45">
      <c r="A1" s="4" t="s">
        <v>43</v>
      </c>
      <c r="B1" s="10" t="s">
        <v>44</v>
      </c>
      <c r="C1" s="10" t="s">
        <v>45</v>
      </c>
    </row>
    <row r="2" spans="1:3">
      <c r="A2" t="s">
        <v>2</v>
      </c>
      <c r="B2" s="9">
        <f>LDVs!B6</f>
        <v>0.68595041322314043</v>
      </c>
      <c r="C2" s="9">
        <f>LDVs!B6</f>
        <v>0.68595041322314043</v>
      </c>
    </row>
    <row r="3" spans="1:3">
      <c r="A3" t="s">
        <v>46</v>
      </c>
      <c r="B3" s="9">
        <f>$B$2</f>
        <v>0.68595041322314043</v>
      </c>
      <c r="C3" s="9">
        <f>$B$2</f>
        <v>0.68595041322314043</v>
      </c>
    </row>
    <row r="4" spans="1:3">
      <c r="A4" t="s">
        <v>47</v>
      </c>
      <c r="B4" s="9">
        <f>B5</f>
        <v>0.44713930348258707</v>
      </c>
      <c r="C4" s="9">
        <f>C5</f>
        <v>0.44713930348258707</v>
      </c>
    </row>
    <row r="5" spans="1:3">
      <c r="A5" t="s">
        <v>48</v>
      </c>
      <c r="B5" s="9">
        <f>'HDVs, Rail'!B9</f>
        <v>0.44713930348258707</v>
      </c>
      <c r="C5" s="9">
        <f>B5</f>
        <v>0.44713930348258707</v>
      </c>
    </row>
    <row r="6" spans="1:3">
      <c r="A6" t="s">
        <v>49</v>
      </c>
      <c r="B6" s="9">
        <f>B5</f>
        <v>0.44713930348258707</v>
      </c>
      <c r="C6" s="9">
        <f>C5</f>
        <v>0.44713930348258707</v>
      </c>
    </row>
    <row r="7" spans="1:3">
      <c r="A7" t="s">
        <v>50</v>
      </c>
      <c r="B7" s="9">
        <f>$B$2</f>
        <v>0.68595041322314043</v>
      </c>
      <c r="C7" s="9">
        <f>$B$2</f>
        <v>0.68595041322314043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BC22DD-01C5-446E-A03A-8415A89C35F7}"/>
</file>

<file path=customXml/itemProps2.xml><?xml version="1.0" encoding="utf-8"?>
<ds:datastoreItem xmlns:ds="http://schemas.openxmlformats.org/officeDocument/2006/customXml" ds:itemID="{71D8C0E7-E5A6-424C-9254-67A0802407E8}"/>
</file>

<file path=customXml/itemProps3.xml><?xml version="1.0" encoding="utf-8"?>
<ds:datastoreItem xmlns:ds="http://schemas.openxmlformats.org/officeDocument/2006/customXml" ds:itemID="{B0700419-774B-4063-BD69-CA8C5C903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2014-08-20T23:07:57Z</dcterms:created>
  <dcterms:modified xsi:type="dcterms:W3CDTF">2025-01-30T16:17:28Z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